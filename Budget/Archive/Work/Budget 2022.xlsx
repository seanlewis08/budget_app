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filterPrivacy="1" defaultThemeVersion="166925"/>
  <xr:revisionPtr revIDLastSave="0" documentId="13_ncr:1_{3DDD6251-A501-47F9-9FBB-6058DD8FA380}" xr6:coauthVersionLast="47" xr6:coauthVersionMax="47" xr10:uidLastSave="{00000000-0000-0000-0000-000000000000}"/>
  <bookViews>
    <workbookView xWindow="-120" yWindow="-120" windowWidth="29040" windowHeight="15840" activeTab="2" xr2:uid="{7DB8FD3D-0037-45C3-AFB0-EEA7B912FC3B}"/>
  </bookViews>
  <sheets>
    <sheet name="Income" sheetId="33" r:id="rId1"/>
    <sheet name="Snapshot" sheetId="13" r:id="rId2"/>
    <sheet name="Transactions" sheetId="4" r:id="rId3"/>
    <sheet name="Categories" sheetId="30" r:id="rId4"/>
    <sheet name="HiddenCategories" sheetId="31" state="hidden" r:id="rId5"/>
    <sheet name="Institutions" sheetId="32" state="hidden" r:id="rId6"/>
    <sheet name="MonthlyBudgetHidden" sheetId="34" state="hidden" r:id="rId7"/>
    <sheet name="MonthlyBudget" sheetId="35" r:id="rId8"/>
  </sheets>
  <externalReferences>
    <externalReference r:id="rId9"/>
  </externalReferences>
  <definedNames>
    <definedName name="AprSun1">DATE(CalendarYear,4,1)-WEEKDAY(DATE(CalendarYear,4,1))</definedName>
    <definedName name="AugSun1">DATE(CalendarYear,8,1)-WEEKDAY(DATE(CalendarYear,8,1))</definedName>
    <definedName name="CalendarYear">[0]!Year1</definedName>
    <definedName name="Categories">OFFSET(#REF!,0,0,COUNTIF(#REF!,"&lt;&gt;"&amp;"--"),1)</definedName>
    <definedName name="CategoryIdentifiers">Categories!$B$8:$B$273</definedName>
    <definedName name="CategoryNames" localSheetId="0">#REF!</definedName>
    <definedName name="CategoryNames">Categories!$C$8:$C$273</definedName>
    <definedName name="DecSun1">DATE(CalendarYear,12,1)-WEEKDAY(DATE(CalendarYear,12,1))</definedName>
    <definedName name="Essential">#REF!</definedName>
    <definedName name="Expense_Lookup">[1]Discover!$S:$T</definedName>
    <definedName name="FebSun1">DATE(CalendarYear,2,1)-WEEKDAY(DATE(CalendarYear,2,1))</definedName>
    <definedName name="HiddenCategoriesCategoryNames">_xlfn.ANCHORARRAY(HiddenCategories!$B$2)</definedName>
    <definedName name="HiddenCategoriesSubcategoryNames">HiddenCategories!$C$2:$C$100</definedName>
    <definedName name="HiddenCategoriesSubcategoryNamesRows">HiddenCategories!$C$2:$CX$100</definedName>
    <definedName name="JanSun1">DATE(CalendarYear,1,1)-WEEKDAY(DATE(CalendarYear,1,1))</definedName>
    <definedName name="JulSun1">DATE(CalendarYear,7,1)-WEEKDAY(DATE(CalendarYear,7,1))</definedName>
    <definedName name="JunSun1">DATE(CalendarYear,6,1)-WEEKDAY(DATE(CalendarYear,6,1))</definedName>
    <definedName name="LastCol">COUNTA('[1]PERSONAL BUDGET - WIP'!$4:$4)+1</definedName>
    <definedName name="MarSun1">DATE(CalendarYear,3,1)-WEEKDAY(DATE(CalendarYear,3,1))</definedName>
    <definedName name="MaySun1">DATE(CalendarYear,5,1)-WEEKDAY(DATE(CalendarYear,5,1))</definedName>
    <definedName name="MonthlyBudgetAvailableDates">_xlfn.ANCHORARRAY(MonthlyBudgetHidden!$C$2)</definedName>
    <definedName name="MonthlyBudgetAvailableDateValues">MonthlyBudgetHidden!$C$2:$C$26</definedName>
    <definedName name="MonthlyBudgetCurrentDate" localSheetId="6">MonthlyBudgetHidden!$A$2</definedName>
    <definedName name="MonthlyBudgetDate" localSheetId="7">MonthlyBudget!$O$3</definedName>
    <definedName name="MonthlyBudgetDates" localSheetId="6">MonthlyBudgetHidden!$C$2</definedName>
    <definedName name="MonthlyBudgetFavoriteCategory1" localSheetId="7">MonthlyBudget!$J$25</definedName>
    <definedName name="MonthlyBudgetFavoriteCategory1BudgetPercentage" localSheetId="7">MonthlyBudget!$K$27</definedName>
    <definedName name="MonthlyBudgetFavoriteCategory1DetailsText" localSheetId="7">MonthlyBudget!$J$28</definedName>
    <definedName name="MonthlyBudgetFavoriteCategory1LeftText" localSheetId="7">MonthlyBudget!$L$25</definedName>
    <definedName name="MonthlyBudgetFavoriteCategory1Percentages" localSheetId="7">MonthlyBudget!$J$27:$L$27</definedName>
    <definedName name="MonthlyBudgetFavoriteCategory1RemainingPercentage" localSheetId="7">MonthlyBudget!$L$27</definedName>
    <definedName name="MonthlyBudgetFavoriteCategory1SpentPercentage" localSheetId="7">MonthlyBudget!$J$27</definedName>
    <definedName name="MonthlyBudgetFavoriteCategory2" localSheetId="7">MonthlyBudget!$O$25</definedName>
    <definedName name="MonthlyBudgetFavoriteCategory2BudgetPercentage" localSheetId="7">MonthlyBudget!$P$27</definedName>
    <definedName name="MonthlyBudgetFavoriteCategory2DetailsText" localSheetId="7">MonthlyBudget!$O$28</definedName>
    <definedName name="MonthlyBudgetFavoriteCategory2LeftText" localSheetId="7">MonthlyBudget!$Q$25</definedName>
    <definedName name="MonthlyBudgetFavoriteCategory2Percentages" localSheetId="7">MonthlyBudget!$O$27:$Q$27</definedName>
    <definedName name="MonthlyBudgetFavoriteCategory2RemainingPercentage" localSheetId="7">MonthlyBudget!$Q$27</definedName>
    <definedName name="MonthlyBudgetFavoriteCategory2SpentPercentage" localSheetId="7">MonthlyBudget!$O$27</definedName>
    <definedName name="MonthlyBudgetIncomeVsSpendingDescriptionText" localSheetId="7">MonthlyBudget!$C$8</definedName>
    <definedName name="MonthlyBudgetNearestTransactionDate">MonthlyBudgetHidden!$C$2</definedName>
    <definedName name="MonthlyBudgetSpendingOverTime" localSheetId="7">MonthlyBudget!$K$12:$K$17</definedName>
    <definedName name="MonthlyBudgetSpendingOverTimeDescriptionText" localSheetId="7">MonthlyBudget!$J$8</definedName>
    <definedName name="MonthlyBudgetTextDates" localSheetId="6">MonthlyBudgetHidden!$B$2:$B$2000</definedName>
    <definedName name="MonthlyBudgetTitle" localSheetId="7">MonthlyBudget!$B$2</definedName>
    <definedName name="MonthlyBudgetTotalBudget" localSheetId="7">MonthlyBudget!$J$33</definedName>
    <definedName name="MonthlyBudgetTotalBudgetDescriptionText" localSheetId="7">MonthlyBudget!$C$23</definedName>
    <definedName name="MonthlyBudgetTotalBudgetDetailsText" localSheetId="7">MonthlyBudget!$C$28</definedName>
    <definedName name="MonthlyBudgetTotalBudgetLeftText" localSheetId="7">MonthlyBudget!$F$25</definedName>
    <definedName name="MonthlyBudgetTotalBudgetPercentage" localSheetId="7">MonthlyBudget!$D$27</definedName>
    <definedName name="MonthlyBudgetTotalExpenses" localSheetId="7">MonthlyBudget!$F$16</definedName>
    <definedName name="MonthlyBudgetTotalIncome" localSheetId="7">MonthlyBudget!$F$13</definedName>
    <definedName name="MonthlyBudgetTotalPercentages" localSheetId="7">MonthlyBudget!$C$27:$E$27</definedName>
    <definedName name="MonthlyBudgetTotalRemaining" localSheetId="7">MonthlyBudget!$L$33</definedName>
    <definedName name="MonthlyBudgetTotalRemainingPercentage" localSheetId="7">MonthlyBudget!$E$27</definedName>
    <definedName name="MonthlyBudgetTotalSpent" localSheetId="7">MonthlyBudget!$F$33</definedName>
    <definedName name="MonthlyBudgetTotalSpentPercentage" localSheetId="7">MonthlyBudget!$C$27</definedName>
    <definedName name="MonthlyBudgetTransactionDates" localSheetId="6">MonthlyBudgetHidden!$A$3</definedName>
    <definedName name="MonthlyBudgetUnusedCategories" localSheetId="6">MonthlyBudgetHidden!$F$2:$F$2000</definedName>
    <definedName name="MonthlyBudgetUnusedCategoryNames">_xlfn.ANCHORARRAY(MonthlyBudgetHidden!$G$2)</definedName>
    <definedName name="MonthlyBudgetUnusedFilteredCategories" localSheetId="6">MonthlyBudgetHidden!$G$2</definedName>
    <definedName name="MonthlyBudgetUsedCategories" localSheetId="6">MonthlyBudgetHidden!$E$2</definedName>
    <definedName name="MonthlyBudgetUsedCategoryNames">_xlfn.ANCHORARRAY(MonthlyBudgetHidden!$E$2)</definedName>
    <definedName name="MonthlyBudgetValidCategories" localSheetId="6">MonthlyBudgetHidden!$D$2</definedName>
    <definedName name="MonthlyBudgetValidCategoryNames">_xlfn.ANCHORARRAY(MonthlyBudgetHidden!$D$2)</definedName>
    <definedName name="Months">OFFSET(Snapshot!$V$7,0,0,COUNTIF(Snapshot!$V$7:$V$200,"&lt;&gt;"&amp;"--"),1)</definedName>
    <definedName name="Non_Essential">#REF!</definedName>
    <definedName name="NovSun1">DATE(CalendarYear,11,1)-WEEKDAY(DATE(CalendarYear,11,1))</definedName>
    <definedName name="OctSun1">DATE(CalendarYear,10,1)-WEEKDAY(DATE(CalendarYear,10,1))</definedName>
    <definedName name="PrintArea_SET">OFFSET('[1]PERSONAL BUDGET - WIP'!$C$2,,,MATCH(REPT("z",255),'[1]PERSONAL BUDGET - WIP'!$C:$C),LastCol)</definedName>
    <definedName name="SepSun1">DATE(CalendarYear,9,1)-WEEKDAY(DATE(CalendarYear,9,1))</definedName>
    <definedName name="snapshot_month">Snapshot!$Q$4</definedName>
    <definedName name="SubcategoryNames">Categories!$I$8:$I$251</definedName>
    <definedName name="user_custom_categories">#REF!</definedName>
    <definedName name="Year1">VALUE(LEFT(#REF!,4))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6" i="35" l="1"/>
  <c r="L36" i="35" s="1"/>
  <c r="F37" i="35"/>
  <c r="L37" i="35" s="1"/>
  <c r="F38" i="35"/>
  <c r="L38" i="35" s="1"/>
  <c r="F39" i="35"/>
  <c r="L39" i="35" s="1"/>
  <c r="F46" i="35"/>
  <c r="L46" i="35" s="1"/>
  <c r="F54" i="35"/>
  <c r="L54" i="35" s="1"/>
  <c r="F40" i="35"/>
  <c r="L40" i="35" s="1"/>
  <c r="W36" i="35"/>
  <c r="W37" i="35"/>
  <c r="W38" i="35"/>
  <c r="W39" i="35"/>
  <c r="W46" i="35"/>
  <c r="W54" i="35"/>
  <c r="W40" i="35"/>
  <c r="J61" i="30"/>
  <c r="J60" i="30"/>
  <c r="J57" i="30"/>
  <c r="J55" i="30"/>
  <c r="J54" i="30"/>
  <c r="J59" i="30"/>
  <c r="J56" i="30"/>
  <c r="J53" i="30"/>
  <c r="J62" i="30"/>
  <c r="J63" i="30"/>
  <c r="J58" i="30"/>
  <c r="J69" i="30"/>
  <c r="J68" i="30"/>
  <c r="J65" i="30"/>
  <c r="J70" i="30"/>
  <c r="J67" i="30"/>
  <c r="J64" i="30"/>
  <c r="J66" i="30"/>
  <c r="J28" i="30"/>
  <c r="J32" i="30"/>
  <c r="J31" i="30"/>
  <c r="J30" i="30"/>
  <c r="J33" i="30"/>
  <c r="J27" i="30"/>
  <c r="J29" i="30"/>
  <c r="J71" i="30"/>
  <c r="J13" i="30"/>
  <c r="J14" i="30"/>
  <c r="J12" i="30"/>
  <c r="J10" i="30"/>
  <c r="J8" i="30"/>
  <c r="J11" i="30"/>
  <c r="J15" i="30"/>
  <c r="J9" i="30"/>
  <c r="J26" i="30"/>
  <c r="J17" i="30"/>
  <c r="J16" i="30"/>
  <c r="J18" i="30"/>
  <c r="J37" i="30"/>
  <c r="J40" i="30"/>
  <c r="J38" i="30"/>
  <c r="J34" i="30"/>
  <c r="J36" i="30"/>
  <c r="J41" i="30"/>
  <c r="J39" i="30"/>
  <c r="J35" i="30"/>
  <c r="J25" i="30"/>
  <c r="J23" i="30"/>
  <c r="J22" i="30"/>
  <c r="J24" i="30"/>
  <c r="J21" i="30"/>
  <c r="J19" i="30"/>
  <c r="J20" i="30"/>
  <c r="J42" i="30"/>
  <c r="J44" i="30"/>
  <c r="J50" i="30"/>
  <c r="J49" i="30"/>
  <c r="J45" i="30"/>
  <c r="J43" i="30"/>
  <c r="J52" i="30"/>
  <c r="J46" i="30"/>
  <c r="J51" i="30"/>
  <c r="J48" i="30"/>
  <c r="J47" i="30"/>
  <c r="G7" i="4"/>
  <c r="G8" i="4"/>
  <c r="I8" i="4" s="1"/>
  <c r="G9" i="4"/>
  <c r="G10" i="4"/>
  <c r="G11" i="4"/>
  <c r="G12" i="4"/>
  <c r="G13" i="4"/>
  <c r="I13" i="4" s="1"/>
  <c r="G14" i="4"/>
  <c r="I14" i="4" s="1"/>
  <c r="G15" i="4"/>
  <c r="G16" i="4"/>
  <c r="G17" i="4"/>
  <c r="G18" i="4"/>
  <c r="G19" i="4"/>
  <c r="I19" i="4" s="1"/>
  <c r="G20" i="4"/>
  <c r="I20" i="4" s="1"/>
  <c r="G23" i="4"/>
  <c r="I23" i="4" s="1"/>
  <c r="G24" i="4"/>
  <c r="I24" i="4" s="1"/>
  <c r="G25" i="4"/>
  <c r="G29" i="4"/>
  <c r="I29" i="4" s="1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3" i="4"/>
  <c r="H24" i="4"/>
  <c r="H25" i="4"/>
  <c r="H29" i="4"/>
  <c r="I7" i="4"/>
  <c r="I9" i="4"/>
  <c r="I10" i="4"/>
  <c r="I11" i="4"/>
  <c r="I12" i="4"/>
  <c r="I15" i="4"/>
  <c r="I16" i="4"/>
  <c r="I17" i="4"/>
  <c r="I18" i="4"/>
  <c r="I25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3" i="4"/>
  <c r="M24" i="4"/>
  <c r="M25" i="4"/>
  <c r="M29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3" i="4"/>
  <c r="N24" i="4"/>
  <c r="N25" i="4"/>
  <c r="N29" i="4"/>
  <c r="O7" i="4" a="1"/>
  <c r="O7" i="4" s="1"/>
  <c r="O8" i="4" a="1"/>
  <c r="O8" i="4" s="1"/>
  <c r="O9" i="4" a="1"/>
  <c r="O9" i="4" s="1"/>
  <c r="O10" i="4" a="1"/>
  <c r="O10" i="4" s="1"/>
  <c r="O11" i="4" a="1"/>
  <c r="O11" i="4" s="1"/>
  <c r="O12" i="4" a="1"/>
  <c r="O12" i="4" s="1"/>
  <c r="O13" i="4" a="1"/>
  <c r="O13" i="4" s="1"/>
  <c r="O14" i="4" a="1"/>
  <c r="O14" i="4" s="1"/>
  <c r="O15" i="4" a="1"/>
  <c r="O15" i="4" s="1"/>
  <c r="O16" i="4" a="1"/>
  <c r="O16" i="4" s="1"/>
  <c r="O17" i="4" a="1"/>
  <c r="O17" i="4" s="1"/>
  <c r="O18" i="4" a="1"/>
  <c r="O18" i="4" s="1"/>
  <c r="O19" i="4" a="1"/>
  <c r="O19" i="4" s="1"/>
  <c r="O20" i="4" a="1"/>
  <c r="O20" i="4" s="1"/>
  <c r="O23" i="4" a="1"/>
  <c r="O23" i="4" s="1"/>
  <c r="O24" i="4" a="1"/>
  <c r="O24" i="4" s="1"/>
  <c r="O25" i="4" a="1"/>
  <c r="O25" i="4" s="1"/>
  <c r="O29" i="4" a="1"/>
  <c r="O29" i="4" s="1"/>
  <c r="Q7" i="4"/>
  <c r="T7" i="4" s="1"/>
  <c r="Q8" i="4"/>
  <c r="Q9" i="4"/>
  <c r="T9" i="4" s="1"/>
  <c r="Q10" i="4"/>
  <c r="Q11" i="4"/>
  <c r="T11" i="4" s="1"/>
  <c r="Q12" i="4"/>
  <c r="T12" i="4" s="1"/>
  <c r="Q13" i="4"/>
  <c r="T13" i="4" s="1"/>
  <c r="Q14" i="4"/>
  <c r="T14" i="4" s="1"/>
  <c r="Q15" i="4"/>
  <c r="Q16" i="4"/>
  <c r="Q17" i="4"/>
  <c r="Q18" i="4"/>
  <c r="Q19" i="4"/>
  <c r="T19" i="4" s="1"/>
  <c r="Q20" i="4"/>
  <c r="T20" i="4" s="1"/>
  <c r="Q23" i="4"/>
  <c r="T23" i="4" s="1"/>
  <c r="Q24" i="4"/>
  <c r="T24" i="4" s="1"/>
  <c r="Q25" i="4"/>
  <c r="T25" i="4" s="1"/>
  <c r="Q29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3" i="4"/>
  <c r="S24" i="4"/>
  <c r="S25" i="4"/>
  <c r="S29" i="4"/>
  <c r="T8" i="4"/>
  <c r="T10" i="4"/>
  <c r="T15" i="4"/>
  <c r="T16" i="4"/>
  <c r="T17" i="4"/>
  <c r="T18" i="4"/>
  <c r="T29" i="4"/>
  <c r="W49" i="35"/>
  <c r="W41" i="35"/>
  <c r="W43" i="35"/>
  <c r="W53" i="35"/>
  <c r="G32" i="4"/>
  <c r="G34" i="4"/>
  <c r="G33" i="4"/>
  <c r="G37" i="4"/>
  <c r="G63" i="4"/>
  <c r="I63" i="4" s="1"/>
  <c r="G62" i="4"/>
  <c r="I62" i="4" s="1"/>
  <c r="G94" i="4"/>
  <c r="I94" i="4" s="1"/>
  <c r="G114" i="4"/>
  <c r="I114" i="4" s="1"/>
  <c r="G125" i="4"/>
  <c r="I125" i="4" s="1"/>
  <c r="G150" i="4"/>
  <c r="I150" i="4" s="1"/>
  <c r="G291" i="4"/>
  <c r="I291" i="4" s="1"/>
  <c r="G289" i="4"/>
  <c r="I289" i="4" s="1"/>
  <c r="G331" i="4"/>
  <c r="I331" i="4" s="1"/>
  <c r="G368" i="4"/>
  <c r="I368" i="4" s="1"/>
  <c r="G365" i="4"/>
  <c r="I365" i="4" s="1"/>
  <c r="G367" i="4"/>
  <c r="I367" i="4" s="1"/>
  <c r="G399" i="4"/>
  <c r="G423" i="4"/>
  <c r="I423" i="4" s="1"/>
  <c r="G422" i="4"/>
  <c r="G482" i="4"/>
  <c r="I482" i="4" s="1"/>
  <c r="G511" i="4"/>
  <c r="I511" i="4" s="1"/>
  <c r="G512" i="4"/>
  <c r="I512" i="4" s="1"/>
  <c r="G594" i="4"/>
  <c r="I594" i="4" s="1"/>
  <c r="G699" i="4"/>
  <c r="I699" i="4" s="1"/>
  <c r="G704" i="4"/>
  <c r="G773" i="4"/>
  <c r="I773" i="4" s="1"/>
  <c r="G865" i="4"/>
  <c r="I865" i="4" s="1"/>
  <c r="G1241" i="4"/>
  <c r="I1241" i="4" s="1"/>
  <c r="G1244" i="4"/>
  <c r="I1244" i="4" s="1"/>
  <c r="G1277" i="4"/>
  <c r="I1277" i="4" s="1"/>
  <c r="G1313" i="4"/>
  <c r="I1313" i="4" s="1"/>
  <c r="G1311" i="4"/>
  <c r="I1311" i="4" s="1"/>
  <c r="G1333" i="4"/>
  <c r="G1331" i="4"/>
  <c r="G1330" i="4"/>
  <c r="G1334" i="4"/>
  <c r="I1334" i="4" s="1"/>
  <c r="G1332" i="4"/>
  <c r="I1332" i="4" s="1"/>
  <c r="G1335" i="4"/>
  <c r="I1335" i="4" s="1"/>
  <c r="G1347" i="4"/>
  <c r="I1347" i="4" s="1"/>
  <c r="H32" i="4"/>
  <c r="H34" i="4"/>
  <c r="H33" i="4"/>
  <c r="H37" i="4"/>
  <c r="H63" i="4"/>
  <c r="H62" i="4"/>
  <c r="H94" i="4"/>
  <c r="H114" i="4"/>
  <c r="H125" i="4"/>
  <c r="H150" i="4"/>
  <c r="H291" i="4"/>
  <c r="H289" i="4"/>
  <c r="H331" i="4"/>
  <c r="H368" i="4"/>
  <c r="H365" i="4"/>
  <c r="H367" i="4"/>
  <c r="H399" i="4"/>
  <c r="H423" i="4"/>
  <c r="H422" i="4"/>
  <c r="H482" i="4"/>
  <c r="H511" i="4"/>
  <c r="H512" i="4"/>
  <c r="H594" i="4"/>
  <c r="H699" i="4"/>
  <c r="H704" i="4"/>
  <c r="H773" i="4"/>
  <c r="H865" i="4"/>
  <c r="H1241" i="4"/>
  <c r="H1244" i="4"/>
  <c r="H1277" i="4"/>
  <c r="H1313" i="4"/>
  <c r="H1311" i="4"/>
  <c r="H1333" i="4"/>
  <c r="H1331" i="4"/>
  <c r="H1330" i="4"/>
  <c r="H1334" i="4"/>
  <c r="H1332" i="4"/>
  <c r="H1335" i="4"/>
  <c r="H1347" i="4"/>
  <c r="I32" i="4"/>
  <c r="I34" i="4"/>
  <c r="I33" i="4"/>
  <c r="I37" i="4"/>
  <c r="I399" i="4"/>
  <c r="I422" i="4"/>
  <c r="I704" i="4"/>
  <c r="I1333" i="4"/>
  <c r="I1331" i="4"/>
  <c r="I1330" i="4"/>
  <c r="M32" i="4"/>
  <c r="M34" i="4"/>
  <c r="M33" i="4"/>
  <c r="M37" i="4"/>
  <c r="M63" i="4"/>
  <c r="M62" i="4"/>
  <c r="M94" i="4"/>
  <c r="M114" i="4"/>
  <c r="M125" i="4"/>
  <c r="M150" i="4"/>
  <c r="M291" i="4"/>
  <c r="M289" i="4"/>
  <c r="M331" i="4"/>
  <c r="M368" i="4"/>
  <c r="M365" i="4"/>
  <c r="M367" i="4"/>
  <c r="M399" i="4"/>
  <c r="M423" i="4"/>
  <c r="M422" i="4"/>
  <c r="M482" i="4"/>
  <c r="M511" i="4"/>
  <c r="M512" i="4"/>
  <c r="M594" i="4"/>
  <c r="M699" i="4"/>
  <c r="M704" i="4"/>
  <c r="M773" i="4"/>
  <c r="M865" i="4"/>
  <c r="M1241" i="4"/>
  <c r="M1244" i="4"/>
  <c r="M1277" i="4"/>
  <c r="M1313" i="4"/>
  <c r="M1311" i="4"/>
  <c r="M1333" i="4"/>
  <c r="M1331" i="4"/>
  <c r="M1330" i="4"/>
  <c r="M1334" i="4"/>
  <c r="M1332" i="4"/>
  <c r="M1335" i="4"/>
  <c r="M1347" i="4"/>
  <c r="N32" i="4"/>
  <c r="N34" i="4"/>
  <c r="N33" i="4"/>
  <c r="N37" i="4"/>
  <c r="N63" i="4"/>
  <c r="N62" i="4"/>
  <c r="N94" i="4"/>
  <c r="N114" i="4"/>
  <c r="N125" i="4"/>
  <c r="N150" i="4"/>
  <c r="N291" i="4"/>
  <c r="N289" i="4"/>
  <c r="N331" i="4"/>
  <c r="N368" i="4"/>
  <c r="N365" i="4"/>
  <c r="N367" i="4"/>
  <c r="N399" i="4"/>
  <c r="N423" i="4"/>
  <c r="N422" i="4"/>
  <c r="N482" i="4"/>
  <c r="N511" i="4"/>
  <c r="N512" i="4"/>
  <c r="N594" i="4"/>
  <c r="N699" i="4"/>
  <c r="N704" i="4"/>
  <c r="N773" i="4"/>
  <c r="N865" i="4"/>
  <c r="N1241" i="4"/>
  <c r="N1244" i="4"/>
  <c r="N1277" i="4"/>
  <c r="N1313" i="4"/>
  <c r="N1311" i="4"/>
  <c r="N1333" i="4"/>
  <c r="N1331" i="4"/>
  <c r="N1330" i="4"/>
  <c r="N1334" i="4"/>
  <c r="N1332" i="4"/>
  <c r="N1335" i="4"/>
  <c r="N1347" i="4"/>
  <c r="O32" i="4" a="1"/>
  <c r="O32" i="4" s="1"/>
  <c r="O34" i="4" a="1"/>
  <c r="O34" i="4" s="1"/>
  <c r="O33" i="4" a="1"/>
  <c r="O33" i="4" s="1"/>
  <c r="O37" i="4" a="1"/>
  <c r="O37" i="4" s="1"/>
  <c r="O63" i="4" a="1"/>
  <c r="O63" i="4" s="1"/>
  <c r="O62" i="4" a="1"/>
  <c r="O62" i="4" s="1"/>
  <c r="O94" i="4" a="1"/>
  <c r="O94" i="4" s="1"/>
  <c r="O114" i="4" a="1"/>
  <c r="O114" i="4" s="1"/>
  <c r="O125" i="4" a="1"/>
  <c r="O125" i="4" s="1"/>
  <c r="O150" i="4" a="1"/>
  <c r="O150" i="4" s="1"/>
  <c r="O291" i="4" a="1"/>
  <c r="O291" i="4" s="1"/>
  <c r="O289" i="4" a="1"/>
  <c r="O289" i="4" s="1"/>
  <c r="O331" i="4" a="1"/>
  <c r="O331" i="4" s="1"/>
  <c r="O368" i="4" a="1"/>
  <c r="O368" i="4" s="1"/>
  <c r="O365" i="4" a="1"/>
  <c r="O365" i="4" s="1"/>
  <c r="O367" i="4" a="1"/>
  <c r="O367" i="4" s="1"/>
  <c r="O399" i="4" a="1"/>
  <c r="O399" i="4" s="1"/>
  <c r="O423" i="4" a="1"/>
  <c r="O423" i="4" s="1"/>
  <c r="O422" i="4" a="1"/>
  <c r="O422" i="4" s="1"/>
  <c r="O482" i="4" a="1"/>
  <c r="O482" i="4" s="1"/>
  <c r="O511" i="4" a="1"/>
  <c r="O511" i="4" s="1"/>
  <c r="O512" i="4" a="1"/>
  <c r="O512" i="4" s="1"/>
  <c r="O594" i="4" a="1"/>
  <c r="O594" i="4" s="1"/>
  <c r="O699" i="4" a="1"/>
  <c r="O699" i="4" s="1"/>
  <c r="O704" i="4" a="1"/>
  <c r="O704" i="4" s="1"/>
  <c r="O773" i="4" a="1"/>
  <c r="O773" i="4" s="1"/>
  <c r="O865" i="4" a="1"/>
  <c r="O865" i="4" s="1"/>
  <c r="O1241" i="4" a="1"/>
  <c r="O1241" i="4" s="1"/>
  <c r="O1244" i="4" a="1"/>
  <c r="O1244" i="4" s="1"/>
  <c r="O1277" i="4" a="1"/>
  <c r="O1277" i="4" s="1"/>
  <c r="O1313" i="4" a="1"/>
  <c r="O1313" i="4" s="1"/>
  <c r="O1311" i="4" a="1"/>
  <c r="O1311" i="4" s="1"/>
  <c r="O1333" i="4" a="1"/>
  <c r="O1333" i="4" s="1"/>
  <c r="O1331" i="4" a="1"/>
  <c r="O1331" i="4" s="1"/>
  <c r="O1330" i="4" a="1"/>
  <c r="O1330" i="4" s="1"/>
  <c r="O1334" i="4" a="1"/>
  <c r="O1334" i="4" s="1"/>
  <c r="O1332" i="4" a="1"/>
  <c r="O1332" i="4" s="1"/>
  <c r="O1335" i="4" a="1"/>
  <c r="O1335" i="4" s="1"/>
  <c r="O1347" i="4" a="1"/>
  <c r="O1347" i="4" s="1"/>
  <c r="Q32" i="4"/>
  <c r="T32" i="4" s="1"/>
  <c r="Q34" i="4"/>
  <c r="T34" i="4" s="1"/>
  <c r="Q33" i="4"/>
  <c r="T33" i="4" s="1"/>
  <c r="Q37" i="4"/>
  <c r="T37" i="4" s="1"/>
  <c r="Q63" i="4"/>
  <c r="Q62" i="4"/>
  <c r="T62" i="4" s="1"/>
  <c r="Q94" i="4"/>
  <c r="Q114" i="4"/>
  <c r="T114" i="4" s="1"/>
  <c r="Q125" i="4"/>
  <c r="T125" i="4" s="1"/>
  <c r="Q150" i="4"/>
  <c r="T150" i="4" s="1"/>
  <c r="Q291" i="4"/>
  <c r="T291" i="4" s="1"/>
  <c r="Q289" i="4"/>
  <c r="T289" i="4" s="1"/>
  <c r="Q331" i="4"/>
  <c r="T331" i="4" s="1"/>
  <c r="Q368" i="4"/>
  <c r="T368" i="4" s="1"/>
  <c r="Q365" i="4"/>
  <c r="T365" i="4" s="1"/>
  <c r="Q367" i="4"/>
  <c r="T367" i="4" s="1"/>
  <c r="Q399" i="4"/>
  <c r="T399" i="4" s="1"/>
  <c r="Q423" i="4"/>
  <c r="T423" i="4" s="1"/>
  <c r="Q422" i="4"/>
  <c r="T422" i="4" s="1"/>
  <c r="Q482" i="4"/>
  <c r="T482" i="4" s="1"/>
  <c r="Q511" i="4"/>
  <c r="Q512" i="4"/>
  <c r="T512" i="4" s="1"/>
  <c r="Q594" i="4"/>
  <c r="T594" i="4" s="1"/>
  <c r="Q699" i="4"/>
  <c r="T699" i="4" s="1"/>
  <c r="Q704" i="4"/>
  <c r="T704" i="4" s="1"/>
  <c r="Q773" i="4"/>
  <c r="T773" i="4" s="1"/>
  <c r="Q865" i="4"/>
  <c r="T865" i="4" s="1"/>
  <c r="Q1241" i="4"/>
  <c r="T1241" i="4" s="1"/>
  <c r="Q1244" i="4"/>
  <c r="T1244" i="4" s="1"/>
  <c r="Q1277" i="4"/>
  <c r="T1277" i="4" s="1"/>
  <c r="Q1313" i="4"/>
  <c r="T1313" i="4" s="1"/>
  <c r="Q1311" i="4"/>
  <c r="T1311" i="4" s="1"/>
  <c r="Q1333" i="4"/>
  <c r="T1333" i="4" s="1"/>
  <c r="Q1331" i="4"/>
  <c r="T1331" i="4" s="1"/>
  <c r="Q1330" i="4"/>
  <c r="T1330" i="4" s="1"/>
  <c r="Q1334" i="4"/>
  <c r="T1334" i="4" s="1"/>
  <c r="Q1332" i="4"/>
  <c r="T1332" i="4" s="1"/>
  <c r="Q1335" i="4"/>
  <c r="T1335" i="4" s="1"/>
  <c r="Q1347" i="4"/>
  <c r="T1347" i="4" s="1"/>
  <c r="S32" i="4"/>
  <c r="S34" i="4"/>
  <c r="S33" i="4"/>
  <c r="S37" i="4"/>
  <c r="S63" i="4"/>
  <c r="S62" i="4"/>
  <c r="S94" i="4"/>
  <c r="S114" i="4"/>
  <c r="S125" i="4"/>
  <c r="S150" i="4"/>
  <c r="S291" i="4"/>
  <c r="S289" i="4"/>
  <c r="S331" i="4"/>
  <c r="S368" i="4"/>
  <c r="S365" i="4"/>
  <c r="S367" i="4"/>
  <c r="S399" i="4"/>
  <c r="S423" i="4"/>
  <c r="S422" i="4"/>
  <c r="S482" i="4"/>
  <c r="S511" i="4"/>
  <c r="S512" i="4"/>
  <c r="S594" i="4"/>
  <c r="S699" i="4"/>
  <c r="S704" i="4"/>
  <c r="S773" i="4"/>
  <c r="S865" i="4"/>
  <c r="S1241" i="4"/>
  <c r="S1244" i="4"/>
  <c r="S1277" i="4"/>
  <c r="S1313" i="4"/>
  <c r="S1311" i="4"/>
  <c r="S1333" i="4"/>
  <c r="S1331" i="4"/>
  <c r="S1330" i="4"/>
  <c r="S1334" i="4"/>
  <c r="S1332" i="4"/>
  <c r="S1335" i="4"/>
  <c r="S1347" i="4"/>
  <c r="T63" i="4"/>
  <c r="T94" i="4"/>
  <c r="T511" i="4"/>
  <c r="B26" i="33"/>
  <c r="C26" i="33"/>
  <c r="D26" i="33"/>
  <c r="E26" i="33"/>
  <c r="F26" i="33"/>
  <c r="G26" i="33"/>
  <c r="H26" i="33"/>
  <c r="I26" i="33"/>
  <c r="J26" i="33"/>
  <c r="K26" i="33"/>
  <c r="L26" i="33"/>
  <c r="M26" i="33"/>
  <c r="N26" i="33"/>
  <c r="O26" i="33"/>
  <c r="P26" i="33"/>
  <c r="E2" i="34" a="1"/>
  <c r="E2" i="34" s="1"/>
  <c r="W44" i="35"/>
  <c r="W45" i="35"/>
  <c r="W50" i="35"/>
  <c r="W51" i="35"/>
  <c r="W42" i="35"/>
  <c r="W47" i="35"/>
  <c r="W48" i="35"/>
  <c r="W52" i="35"/>
  <c r="J12" i="35"/>
  <c r="B2" i="35"/>
  <c r="D2" i="34" a="1"/>
  <c r="D2" i="34" s="1"/>
  <c r="A3" i="34" a="1"/>
  <c r="A3" i="34" s="1"/>
  <c r="A2" i="34"/>
  <c r="G1945" i="4" l="1"/>
  <c r="I1945" i="4" s="1"/>
  <c r="G1948" i="4"/>
  <c r="I1948" i="4" s="1"/>
  <c r="G1949" i="4"/>
  <c r="I1949" i="4" s="1"/>
  <c r="G1951" i="4"/>
  <c r="I1951" i="4" s="1"/>
  <c r="G1953" i="4"/>
  <c r="I1953" i="4" s="1"/>
  <c r="G1952" i="4"/>
  <c r="I1952" i="4" s="1"/>
  <c r="G1950" i="4"/>
  <c r="I1950" i="4" s="1"/>
  <c r="G1956" i="4"/>
  <c r="I1956" i="4" s="1"/>
  <c r="G1954" i="4"/>
  <c r="I1954" i="4" s="1"/>
  <c r="G1955" i="4"/>
  <c r="I1955" i="4" s="1"/>
  <c r="G1958" i="4"/>
  <c r="I1958" i="4" s="1"/>
  <c r="G1959" i="4"/>
  <c r="I1959" i="4" s="1"/>
  <c r="G1957" i="4"/>
  <c r="I1957" i="4" s="1"/>
  <c r="G1960" i="4"/>
  <c r="I1960" i="4" s="1"/>
  <c r="G1962" i="4"/>
  <c r="I1962" i="4" s="1"/>
  <c r="G1961" i="4"/>
  <c r="I1961" i="4" s="1"/>
  <c r="G1963" i="4"/>
  <c r="I1963" i="4" s="1"/>
  <c r="G1965" i="4"/>
  <c r="G1966" i="4"/>
  <c r="I1966" i="4" s="1"/>
  <c r="G1964" i="4"/>
  <c r="I1964" i="4" s="1"/>
  <c r="G1971" i="4"/>
  <c r="I1971" i="4" s="1"/>
  <c r="G1967" i="4"/>
  <c r="I1967" i="4" s="1"/>
  <c r="G1968" i="4"/>
  <c r="I1968" i="4" s="1"/>
  <c r="G1969" i="4"/>
  <c r="G1970" i="4"/>
  <c r="I1970" i="4" s="1"/>
  <c r="G1973" i="4"/>
  <c r="I1973" i="4" s="1"/>
  <c r="G1976" i="4"/>
  <c r="I1976" i="4" s="1"/>
  <c r="G1972" i="4"/>
  <c r="I1972" i="4" s="1"/>
  <c r="G1975" i="4"/>
  <c r="I1975" i="4" s="1"/>
  <c r="G1974" i="4"/>
  <c r="I1974" i="4" s="1"/>
  <c r="G1978" i="4"/>
  <c r="I1978" i="4" s="1"/>
  <c r="G1977" i="4"/>
  <c r="I1977" i="4" s="1"/>
  <c r="G1979" i="4"/>
  <c r="I1979" i="4" s="1"/>
  <c r="G1980" i="4"/>
  <c r="I1980" i="4" s="1"/>
  <c r="G1982" i="4"/>
  <c r="I1982" i="4" s="1"/>
  <c r="G1981" i="4"/>
  <c r="I1981" i="4" s="1"/>
  <c r="G1983" i="4"/>
  <c r="I1983" i="4" s="1"/>
  <c r="G1985" i="4"/>
  <c r="I1985" i="4" s="1"/>
  <c r="G1984" i="4"/>
  <c r="I1984" i="4" s="1"/>
  <c r="G1988" i="4"/>
  <c r="I1988" i="4" s="1"/>
  <c r="G1986" i="4"/>
  <c r="I1986" i="4" s="1"/>
  <c r="G1987" i="4"/>
  <c r="I1987" i="4" s="1"/>
  <c r="G1989" i="4"/>
  <c r="I1989" i="4" s="1"/>
  <c r="G1990" i="4"/>
  <c r="I1990" i="4" s="1"/>
  <c r="G1992" i="4"/>
  <c r="I1992" i="4" s="1"/>
  <c r="G1993" i="4"/>
  <c r="I1993" i="4" s="1"/>
  <c r="G1991" i="4"/>
  <c r="I1991" i="4" s="1"/>
  <c r="G1996" i="4"/>
  <c r="I1996" i="4" s="1"/>
  <c r="G1995" i="4"/>
  <c r="I1995" i="4" s="1"/>
  <c r="G1994" i="4"/>
  <c r="I1994" i="4" s="1"/>
  <c r="G1997" i="4"/>
  <c r="I1997" i="4" s="1"/>
  <c r="G1998" i="4"/>
  <c r="I1998" i="4" s="1"/>
  <c r="G1999" i="4"/>
  <c r="I1999" i="4" s="1"/>
  <c r="G2003" i="4"/>
  <c r="I2003" i="4" s="1"/>
  <c r="G2001" i="4"/>
  <c r="I2001" i="4" s="1"/>
  <c r="G2000" i="4"/>
  <c r="I2000" i="4" s="1"/>
  <c r="G2002" i="4"/>
  <c r="I2002" i="4" s="1"/>
  <c r="G2004" i="4"/>
  <c r="I2004" i="4" s="1"/>
  <c r="G2008" i="4"/>
  <c r="I2008" i="4" s="1"/>
  <c r="G2007" i="4"/>
  <c r="I2007" i="4" s="1"/>
  <c r="G2006" i="4"/>
  <c r="I2006" i="4" s="1"/>
  <c r="G2005" i="4"/>
  <c r="I2005" i="4" s="1"/>
  <c r="G2010" i="4"/>
  <c r="I2010" i="4" s="1"/>
  <c r="G2009" i="4"/>
  <c r="I2009" i="4" s="1"/>
  <c r="G2011" i="4"/>
  <c r="I2011" i="4" s="1"/>
  <c r="G2013" i="4"/>
  <c r="I2013" i="4" s="1"/>
  <c r="G2012" i="4"/>
  <c r="I2012" i="4" s="1"/>
  <c r="G2014" i="4"/>
  <c r="I2014" i="4" s="1"/>
  <c r="G2016" i="4"/>
  <c r="I2016" i="4" s="1"/>
  <c r="G2017" i="4"/>
  <c r="I2017" i="4" s="1"/>
  <c r="G2015" i="4"/>
  <c r="I2015" i="4" s="1"/>
  <c r="G2019" i="4"/>
  <c r="I2019" i="4" s="1"/>
  <c r="G2018" i="4"/>
  <c r="I2018" i="4" s="1"/>
  <c r="G2020" i="4"/>
  <c r="I2020" i="4" s="1"/>
  <c r="G2021" i="4"/>
  <c r="I2021" i="4" s="1"/>
  <c r="G2022" i="4"/>
  <c r="I2022" i="4" s="1"/>
  <c r="G2024" i="4"/>
  <c r="I2024" i="4" s="1"/>
  <c r="G2023" i="4"/>
  <c r="I2023" i="4" s="1"/>
  <c r="G2025" i="4"/>
  <c r="I2025" i="4" s="1"/>
  <c r="G2026" i="4"/>
  <c r="I2026" i="4" s="1"/>
  <c r="G2027" i="4"/>
  <c r="I2027" i="4" s="1"/>
  <c r="G2029" i="4"/>
  <c r="G2028" i="4"/>
  <c r="G2031" i="4"/>
  <c r="I2031" i="4" s="1"/>
  <c r="G2030" i="4"/>
  <c r="I2030" i="4" s="1"/>
  <c r="G2032" i="4"/>
  <c r="I2032" i="4" s="1"/>
  <c r="G2033" i="4"/>
  <c r="I2033" i="4" s="1"/>
  <c r="G2034" i="4"/>
  <c r="I2034" i="4" s="1"/>
  <c r="G2035" i="4"/>
  <c r="I2035" i="4" s="1"/>
  <c r="G2036" i="4"/>
  <c r="I2036" i="4" s="1"/>
  <c r="G2037" i="4"/>
  <c r="I2037" i="4" s="1"/>
  <c r="G2038" i="4"/>
  <c r="I2038" i="4" s="1"/>
  <c r="G2039" i="4"/>
  <c r="I2039" i="4" s="1"/>
  <c r="G2040" i="4"/>
  <c r="I2040" i="4" s="1"/>
  <c r="G2042" i="4"/>
  <c r="I2042" i="4" s="1"/>
  <c r="G2041" i="4"/>
  <c r="I2041" i="4" s="1"/>
  <c r="G2043" i="4"/>
  <c r="I2043" i="4" s="1"/>
  <c r="G2044" i="4"/>
  <c r="I2044" i="4" s="1"/>
  <c r="G2045" i="4"/>
  <c r="I2045" i="4" s="1"/>
  <c r="G2046" i="4"/>
  <c r="I2046" i="4" s="1"/>
  <c r="G2047" i="4"/>
  <c r="I2047" i="4" s="1"/>
  <c r="G2049" i="4"/>
  <c r="I2049" i="4" s="1"/>
  <c r="G2048" i="4"/>
  <c r="I2048" i="4" s="1"/>
  <c r="G2050" i="4"/>
  <c r="I2050" i="4" s="1"/>
  <c r="G2051" i="4"/>
  <c r="I2051" i="4" s="1"/>
  <c r="G2052" i="4"/>
  <c r="I2052" i="4" s="1"/>
  <c r="G2053" i="4"/>
  <c r="I2053" i="4" s="1"/>
  <c r="G2057" i="4"/>
  <c r="I2057" i="4" s="1"/>
  <c r="G2054" i="4"/>
  <c r="I2054" i="4" s="1"/>
  <c r="G2056" i="4"/>
  <c r="I2056" i="4" s="1"/>
  <c r="G2055" i="4"/>
  <c r="I2055" i="4" s="1"/>
  <c r="G2058" i="4"/>
  <c r="I2058" i="4" s="1"/>
  <c r="G2059" i="4"/>
  <c r="I2059" i="4" s="1"/>
  <c r="G2060" i="4"/>
  <c r="I2060" i="4" s="1"/>
  <c r="G2061" i="4"/>
  <c r="I2061" i="4" s="1"/>
  <c r="G2062" i="4"/>
  <c r="I2062" i="4" s="1"/>
  <c r="G2063" i="4"/>
  <c r="I2063" i="4" s="1"/>
  <c r="G2065" i="4"/>
  <c r="I2065" i="4" s="1"/>
  <c r="G2064" i="4"/>
  <c r="I2064" i="4" s="1"/>
  <c r="H1945" i="4"/>
  <c r="H1948" i="4"/>
  <c r="H1949" i="4"/>
  <c r="H1951" i="4"/>
  <c r="H1953" i="4"/>
  <c r="H1952" i="4"/>
  <c r="H1950" i="4"/>
  <c r="H1956" i="4"/>
  <c r="H1954" i="4"/>
  <c r="H1955" i="4"/>
  <c r="H1958" i="4"/>
  <c r="H1959" i="4"/>
  <c r="H1957" i="4"/>
  <c r="H1960" i="4"/>
  <c r="H1962" i="4"/>
  <c r="H1961" i="4"/>
  <c r="H1963" i="4"/>
  <c r="H1965" i="4"/>
  <c r="H1966" i="4"/>
  <c r="H1964" i="4"/>
  <c r="H1971" i="4"/>
  <c r="H1967" i="4"/>
  <c r="H1968" i="4"/>
  <c r="H1969" i="4"/>
  <c r="H1970" i="4"/>
  <c r="H1973" i="4"/>
  <c r="H1976" i="4"/>
  <c r="H1972" i="4"/>
  <c r="H1975" i="4"/>
  <c r="H1974" i="4"/>
  <c r="H1978" i="4"/>
  <c r="H1977" i="4"/>
  <c r="H1979" i="4"/>
  <c r="H1980" i="4"/>
  <c r="H1982" i="4"/>
  <c r="H1981" i="4"/>
  <c r="H1983" i="4"/>
  <c r="H1985" i="4"/>
  <c r="H1984" i="4"/>
  <c r="H1988" i="4"/>
  <c r="H1986" i="4"/>
  <c r="H1987" i="4"/>
  <c r="H1989" i="4"/>
  <c r="H1990" i="4"/>
  <c r="H1992" i="4"/>
  <c r="H1993" i="4"/>
  <c r="H1991" i="4"/>
  <c r="H1996" i="4"/>
  <c r="H1995" i="4"/>
  <c r="H1994" i="4"/>
  <c r="H1997" i="4"/>
  <c r="H1998" i="4"/>
  <c r="H1999" i="4"/>
  <c r="H2003" i="4"/>
  <c r="H2001" i="4"/>
  <c r="H2000" i="4"/>
  <c r="H2002" i="4"/>
  <c r="H2004" i="4"/>
  <c r="H2008" i="4"/>
  <c r="H2007" i="4"/>
  <c r="H2006" i="4"/>
  <c r="H2005" i="4"/>
  <c r="H2010" i="4"/>
  <c r="H2009" i="4"/>
  <c r="H2011" i="4"/>
  <c r="H2013" i="4"/>
  <c r="H2012" i="4"/>
  <c r="H2014" i="4"/>
  <c r="H2016" i="4"/>
  <c r="H2017" i="4"/>
  <c r="H2015" i="4"/>
  <c r="H2019" i="4"/>
  <c r="H2018" i="4"/>
  <c r="H2020" i="4"/>
  <c r="H2021" i="4"/>
  <c r="H2022" i="4"/>
  <c r="H2024" i="4"/>
  <c r="H2023" i="4"/>
  <c r="H2025" i="4"/>
  <c r="H2026" i="4"/>
  <c r="H2027" i="4"/>
  <c r="H2029" i="4"/>
  <c r="H2028" i="4"/>
  <c r="H2031" i="4"/>
  <c r="H2030" i="4"/>
  <c r="H2032" i="4"/>
  <c r="H2033" i="4"/>
  <c r="H2034" i="4"/>
  <c r="H2035" i="4"/>
  <c r="H2036" i="4"/>
  <c r="H2037" i="4"/>
  <c r="H2038" i="4"/>
  <c r="H2039" i="4"/>
  <c r="H2040" i="4"/>
  <c r="H2042" i="4"/>
  <c r="H2041" i="4"/>
  <c r="H2043" i="4"/>
  <c r="H2044" i="4"/>
  <c r="H2045" i="4"/>
  <c r="H2046" i="4"/>
  <c r="H2047" i="4"/>
  <c r="H2049" i="4"/>
  <c r="H2048" i="4"/>
  <c r="H2050" i="4"/>
  <c r="H2051" i="4"/>
  <c r="H2052" i="4"/>
  <c r="H2053" i="4"/>
  <c r="H2057" i="4"/>
  <c r="H2054" i="4"/>
  <c r="H2056" i="4"/>
  <c r="H2055" i="4"/>
  <c r="H2058" i="4"/>
  <c r="H2059" i="4"/>
  <c r="H2060" i="4"/>
  <c r="H2061" i="4"/>
  <c r="H2062" i="4"/>
  <c r="H2063" i="4"/>
  <c r="H2065" i="4"/>
  <c r="H2064" i="4"/>
  <c r="I1965" i="4"/>
  <c r="I1969" i="4"/>
  <c r="I2029" i="4"/>
  <c r="I2028" i="4"/>
  <c r="M1945" i="4"/>
  <c r="M1948" i="4"/>
  <c r="M1949" i="4"/>
  <c r="M1951" i="4"/>
  <c r="M1953" i="4"/>
  <c r="M1952" i="4"/>
  <c r="M1950" i="4"/>
  <c r="M1956" i="4"/>
  <c r="M1954" i="4"/>
  <c r="M1955" i="4"/>
  <c r="M1958" i="4"/>
  <c r="M1959" i="4"/>
  <c r="M1957" i="4"/>
  <c r="M1960" i="4"/>
  <c r="M1962" i="4"/>
  <c r="M1961" i="4"/>
  <c r="M1963" i="4"/>
  <c r="M1965" i="4"/>
  <c r="M1966" i="4"/>
  <c r="M1964" i="4"/>
  <c r="M1971" i="4"/>
  <c r="M1967" i="4"/>
  <c r="M1968" i="4"/>
  <c r="M1969" i="4"/>
  <c r="M1970" i="4"/>
  <c r="M1973" i="4"/>
  <c r="M1976" i="4"/>
  <c r="M1972" i="4"/>
  <c r="M1975" i="4"/>
  <c r="M1974" i="4"/>
  <c r="M1978" i="4"/>
  <c r="M1977" i="4"/>
  <c r="M1979" i="4"/>
  <c r="M1980" i="4"/>
  <c r="M1982" i="4"/>
  <c r="M1981" i="4"/>
  <c r="M1983" i="4"/>
  <c r="M1985" i="4"/>
  <c r="M1984" i="4"/>
  <c r="M1988" i="4"/>
  <c r="M1986" i="4"/>
  <c r="M1987" i="4"/>
  <c r="M1989" i="4"/>
  <c r="M1990" i="4"/>
  <c r="M1992" i="4"/>
  <c r="M1993" i="4"/>
  <c r="M1991" i="4"/>
  <c r="M1996" i="4"/>
  <c r="M1995" i="4"/>
  <c r="M1994" i="4"/>
  <c r="M1997" i="4"/>
  <c r="M1998" i="4"/>
  <c r="M1999" i="4"/>
  <c r="M2003" i="4"/>
  <c r="M2001" i="4"/>
  <c r="M2000" i="4"/>
  <c r="M2002" i="4"/>
  <c r="M2004" i="4"/>
  <c r="M2008" i="4"/>
  <c r="M2007" i="4"/>
  <c r="M2006" i="4"/>
  <c r="M2005" i="4"/>
  <c r="M2010" i="4"/>
  <c r="M2009" i="4"/>
  <c r="M2011" i="4"/>
  <c r="M2013" i="4"/>
  <c r="M2012" i="4"/>
  <c r="M2014" i="4"/>
  <c r="M2016" i="4"/>
  <c r="M2017" i="4"/>
  <c r="M2015" i="4"/>
  <c r="M2019" i="4"/>
  <c r="M2018" i="4"/>
  <c r="M2020" i="4"/>
  <c r="M2021" i="4"/>
  <c r="M2022" i="4"/>
  <c r="M2024" i="4"/>
  <c r="M2023" i="4"/>
  <c r="M2025" i="4"/>
  <c r="M2026" i="4"/>
  <c r="M2027" i="4"/>
  <c r="M2029" i="4"/>
  <c r="M2028" i="4"/>
  <c r="M2031" i="4"/>
  <c r="M2030" i="4"/>
  <c r="M2032" i="4"/>
  <c r="M2033" i="4"/>
  <c r="M2034" i="4"/>
  <c r="M2035" i="4"/>
  <c r="M2036" i="4"/>
  <c r="M2037" i="4"/>
  <c r="M2038" i="4"/>
  <c r="M2039" i="4"/>
  <c r="M2040" i="4"/>
  <c r="M2042" i="4"/>
  <c r="M2041" i="4"/>
  <c r="M2043" i="4"/>
  <c r="M2044" i="4"/>
  <c r="M2045" i="4"/>
  <c r="M2046" i="4"/>
  <c r="M2047" i="4"/>
  <c r="M2049" i="4"/>
  <c r="M2048" i="4"/>
  <c r="M2050" i="4"/>
  <c r="M2051" i="4"/>
  <c r="M2052" i="4"/>
  <c r="M2053" i="4"/>
  <c r="M2057" i="4"/>
  <c r="M2054" i="4"/>
  <c r="M2056" i="4"/>
  <c r="M2055" i="4"/>
  <c r="M2058" i="4"/>
  <c r="M2059" i="4"/>
  <c r="M2060" i="4"/>
  <c r="M2061" i="4"/>
  <c r="M2062" i="4"/>
  <c r="M2063" i="4"/>
  <c r="M2065" i="4"/>
  <c r="M2064" i="4"/>
  <c r="N1945" i="4"/>
  <c r="N1948" i="4"/>
  <c r="N1949" i="4"/>
  <c r="N1951" i="4"/>
  <c r="N1953" i="4"/>
  <c r="N1952" i="4"/>
  <c r="N1950" i="4"/>
  <c r="N1956" i="4"/>
  <c r="N1954" i="4"/>
  <c r="N1955" i="4"/>
  <c r="N1958" i="4"/>
  <c r="N1959" i="4"/>
  <c r="N1957" i="4"/>
  <c r="N1960" i="4"/>
  <c r="N1962" i="4"/>
  <c r="N1961" i="4"/>
  <c r="N1963" i="4"/>
  <c r="N1965" i="4"/>
  <c r="N1966" i="4"/>
  <c r="N1964" i="4"/>
  <c r="N1971" i="4"/>
  <c r="N1967" i="4"/>
  <c r="N1968" i="4"/>
  <c r="N1969" i="4"/>
  <c r="N1970" i="4"/>
  <c r="N1973" i="4"/>
  <c r="N1976" i="4"/>
  <c r="N1972" i="4"/>
  <c r="N1975" i="4"/>
  <c r="N1974" i="4"/>
  <c r="N1978" i="4"/>
  <c r="N1977" i="4"/>
  <c r="N1979" i="4"/>
  <c r="N1980" i="4"/>
  <c r="N1982" i="4"/>
  <c r="N1981" i="4"/>
  <c r="N1983" i="4"/>
  <c r="N1985" i="4"/>
  <c r="N1984" i="4"/>
  <c r="N1988" i="4"/>
  <c r="N1986" i="4"/>
  <c r="N1987" i="4"/>
  <c r="N1989" i="4"/>
  <c r="N1990" i="4"/>
  <c r="N1992" i="4"/>
  <c r="N1993" i="4"/>
  <c r="N1991" i="4"/>
  <c r="N1996" i="4"/>
  <c r="N1995" i="4"/>
  <c r="N1994" i="4"/>
  <c r="N1997" i="4"/>
  <c r="N1998" i="4"/>
  <c r="N1999" i="4"/>
  <c r="N2003" i="4"/>
  <c r="N2001" i="4"/>
  <c r="N2000" i="4"/>
  <c r="N2002" i="4"/>
  <c r="N2004" i="4"/>
  <c r="N2008" i="4"/>
  <c r="N2007" i="4"/>
  <c r="N2006" i="4"/>
  <c r="N2005" i="4"/>
  <c r="N2010" i="4"/>
  <c r="N2009" i="4"/>
  <c r="N2011" i="4"/>
  <c r="N2013" i="4"/>
  <c r="N2012" i="4"/>
  <c r="N2014" i="4"/>
  <c r="N2016" i="4"/>
  <c r="N2017" i="4"/>
  <c r="N2015" i="4"/>
  <c r="N2019" i="4"/>
  <c r="N2018" i="4"/>
  <c r="N2020" i="4"/>
  <c r="N2021" i="4"/>
  <c r="N2022" i="4"/>
  <c r="N2024" i="4"/>
  <c r="N2023" i="4"/>
  <c r="N2025" i="4"/>
  <c r="N2026" i="4"/>
  <c r="N2027" i="4"/>
  <c r="N2029" i="4"/>
  <c r="N2028" i="4"/>
  <c r="N2031" i="4"/>
  <c r="N2030" i="4"/>
  <c r="N2032" i="4"/>
  <c r="N2033" i="4"/>
  <c r="N2034" i="4"/>
  <c r="N2035" i="4"/>
  <c r="N2036" i="4"/>
  <c r="N2037" i="4"/>
  <c r="N2038" i="4"/>
  <c r="N2039" i="4"/>
  <c r="N2040" i="4"/>
  <c r="N2042" i="4"/>
  <c r="N2041" i="4"/>
  <c r="N2043" i="4"/>
  <c r="N2044" i="4"/>
  <c r="N2045" i="4"/>
  <c r="N2046" i="4"/>
  <c r="N2047" i="4"/>
  <c r="N2049" i="4"/>
  <c r="N2048" i="4"/>
  <c r="N2050" i="4"/>
  <c r="N2051" i="4"/>
  <c r="N2052" i="4"/>
  <c r="N2053" i="4"/>
  <c r="N2057" i="4"/>
  <c r="N2054" i="4"/>
  <c r="N2056" i="4"/>
  <c r="N2055" i="4"/>
  <c r="N2058" i="4"/>
  <c r="N2059" i="4"/>
  <c r="N2060" i="4"/>
  <c r="N2061" i="4"/>
  <c r="N2062" i="4"/>
  <c r="N2063" i="4"/>
  <c r="N2065" i="4"/>
  <c r="N2064" i="4"/>
  <c r="O1945" i="4" a="1"/>
  <c r="O1945" i="4" s="1"/>
  <c r="O1948" i="4" a="1"/>
  <c r="O1948" i="4" s="1"/>
  <c r="O1949" i="4" a="1"/>
  <c r="O1949" i="4" s="1"/>
  <c r="O1951" i="4" a="1"/>
  <c r="O1951" i="4" s="1"/>
  <c r="O1953" i="4" a="1"/>
  <c r="O1953" i="4" s="1"/>
  <c r="O1952" i="4" a="1"/>
  <c r="O1952" i="4" s="1"/>
  <c r="O1950" i="4" a="1"/>
  <c r="O1950" i="4" s="1"/>
  <c r="O1956" i="4" a="1"/>
  <c r="O1956" i="4" s="1"/>
  <c r="O1954" i="4" a="1"/>
  <c r="O1954" i="4" s="1"/>
  <c r="O1955" i="4" a="1"/>
  <c r="O1955" i="4" s="1"/>
  <c r="O1958" i="4" a="1"/>
  <c r="O1958" i="4" s="1"/>
  <c r="O1959" i="4" a="1"/>
  <c r="O1959" i="4" s="1"/>
  <c r="O1957" i="4" a="1"/>
  <c r="O1957" i="4" s="1"/>
  <c r="O1960" i="4" a="1"/>
  <c r="O1960" i="4" s="1"/>
  <c r="O1962" i="4" a="1"/>
  <c r="O1962" i="4" s="1"/>
  <c r="O1961" i="4" a="1"/>
  <c r="O1961" i="4" s="1"/>
  <c r="O1963" i="4" a="1"/>
  <c r="O1963" i="4" s="1"/>
  <c r="O1965" i="4" a="1"/>
  <c r="O1965" i="4" s="1"/>
  <c r="O1966" i="4" a="1"/>
  <c r="O1966" i="4" s="1"/>
  <c r="O1964" i="4" a="1"/>
  <c r="O1964" i="4" s="1"/>
  <c r="O1971" i="4" a="1"/>
  <c r="O1971" i="4" s="1"/>
  <c r="O1967" i="4" a="1"/>
  <c r="O1967" i="4" s="1"/>
  <c r="O1968" i="4" a="1"/>
  <c r="O1968" i="4" s="1"/>
  <c r="O1969" i="4" a="1"/>
  <c r="O1969" i="4" s="1"/>
  <c r="O1970" i="4" a="1"/>
  <c r="O1970" i="4" s="1"/>
  <c r="O1973" i="4" a="1"/>
  <c r="O1973" i="4" s="1"/>
  <c r="O1976" i="4" a="1"/>
  <c r="O1976" i="4" s="1"/>
  <c r="O1972" i="4" a="1"/>
  <c r="O1972" i="4" s="1"/>
  <c r="O1975" i="4" a="1"/>
  <c r="O1975" i="4" s="1"/>
  <c r="O1974" i="4" a="1"/>
  <c r="O1974" i="4" s="1"/>
  <c r="O1978" i="4" a="1"/>
  <c r="O1978" i="4" s="1"/>
  <c r="O1977" i="4" a="1"/>
  <c r="O1977" i="4" s="1"/>
  <c r="O1979" i="4" a="1"/>
  <c r="O1979" i="4" s="1"/>
  <c r="O1980" i="4" a="1"/>
  <c r="O1980" i="4" s="1"/>
  <c r="O1982" i="4" a="1"/>
  <c r="O1982" i="4" s="1"/>
  <c r="O1981" i="4" a="1"/>
  <c r="O1981" i="4" s="1"/>
  <c r="O1983" i="4" a="1"/>
  <c r="O1983" i="4" s="1"/>
  <c r="O1985" i="4" a="1"/>
  <c r="O1985" i="4" s="1"/>
  <c r="O1984" i="4" a="1"/>
  <c r="O1984" i="4" s="1"/>
  <c r="O1988" i="4" a="1"/>
  <c r="O1988" i="4" s="1"/>
  <c r="O1986" i="4" a="1"/>
  <c r="O1986" i="4" s="1"/>
  <c r="O1987" i="4" a="1"/>
  <c r="O1987" i="4" s="1"/>
  <c r="O1989" i="4" a="1"/>
  <c r="O1989" i="4" s="1"/>
  <c r="O1990" i="4" a="1"/>
  <c r="O1990" i="4" s="1"/>
  <c r="O1992" i="4" a="1"/>
  <c r="O1992" i="4" s="1"/>
  <c r="O1993" i="4" a="1"/>
  <c r="O1993" i="4" s="1"/>
  <c r="O1991" i="4" a="1"/>
  <c r="O1991" i="4" s="1"/>
  <c r="O1996" i="4" a="1"/>
  <c r="O1996" i="4" s="1"/>
  <c r="O1995" i="4" a="1"/>
  <c r="O1995" i="4" s="1"/>
  <c r="O1994" i="4" a="1"/>
  <c r="O1994" i="4" s="1"/>
  <c r="O1997" i="4" a="1"/>
  <c r="O1997" i="4" s="1"/>
  <c r="O1998" i="4" a="1"/>
  <c r="O1998" i="4" s="1"/>
  <c r="O1999" i="4" a="1"/>
  <c r="O1999" i="4" s="1"/>
  <c r="O2003" i="4" a="1"/>
  <c r="O2003" i="4" s="1"/>
  <c r="O2001" i="4" a="1"/>
  <c r="O2001" i="4" s="1"/>
  <c r="O2000" i="4" a="1"/>
  <c r="O2000" i="4" s="1"/>
  <c r="O2002" i="4" a="1"/>
  <c r="O2002" i="4" s="1"/>
  <c r="O2004" i="4" a="1"/>
  <c r="O2004" i="4" s="1"/>
  <c r="O2008" i="4" a="1"/>
  <c r="O2008" i="4" s="1"/>
  <c r="O2007" i="4" a="1"/>
  <c r="O2007" i="4" s="1"/>
  <c r="O2006" i="4" a="1"/>
  <c r="O2006" i="4" s="1"/>
  <c r="O2005" i="4" a="1"/>
  <c r="O2005" i="4" s="1"/>
  <c r="O2010" i="4" a="1"/>
  <c r="O2010" i="4" s="1"/>
  <c r="O2009" i="4" a="1"/>
  <c r="O2009" i="4" s="1"/>
  <c r="O2011" i="4" a="1"/>
  <c r="O2011" i="4" s="1"/>
  <c r="O2013" i="4" a="1"/>
  <c r="O2013" i="4" s="1"/>
  <c r="O2012" i="4" a="1"/>
  <c r="O2012" i="4" s="1"/>
  <c r="O2014" i="4" a="1"/>
  <c r="O2014" i="4" s="1"/>
  <c r="O2016" i="4" a="1"/>
  <c r="O2016" i="4" s="1"/>
  <c r="O2017" i="4" a="1"/>
  <c r="O2017" i="4" s="1"/>
  <c r="O2015" i="4" a="1"/>
  <c r="O2015" i="4" s="1"/>
  <c r="O2019" i="4" a="1"/>
  <c r="O2019" i="4" s="1"/>
  <c r="O2018" i="4" a="1"/>
  <c r="O2018" i="4" s="1"/>
  <c r="O2020" i="4" a="1"/>
  <c r="O2020" i="4" s="1"/>
  <c r="O2021" i="4" a="1"/>
  <c r="O2021" i="4" s="1"/>
  <c r="O2022" i="4" a="1"/>
  <c r="O2022" i="4" s="1"/>
  <c r="O2024" i="4" a="1"/>
  <c r="O2024" i="4" s="1"/>
  <c r="O2023" i="4" a="1"/>
  <c r="O2023" i="4" s="1"/>
  <c r="O2025" i="4" a="1"/>
  <c r="O2025" i="4" s="1"/>
  <c r="O2026" i="4" a="1"/>
  <c r="O2026" i="4" s="1"/>
  <c r="O2027" i="4" a="1"/>
  <c r="O2027" i="4" s="1"/>
  <c r="O2029" i="4" a="1"/>
  <c r="O2029" i="4" s="1"/>
  <c r="O2028" i="4" a="1"/>
  <c r="O2028" i="4" s="1"/>
  <c r="O2031" i="4" a="1"/>
  <c r="O2031" i="4" s="1"/>
  <c r="O2030" i="4" a="1"/>
  <c r="O2030" i="4" s="1"/>
  <c r="O2032" i="4" a="1"/>
  <c r="O2032" i="4" s="1"/>
  <c r="O2033" i="4" a="1"/>
  <c r="O2033" i="4" s="1"/>
  <c r="O2034" i="4" a="1"/>
  <c r="O2034" i="4" s="1"/>
  <c r="O2035" i="4" a="1"/>
  <c r="O2035" i="4" s="1"/>
  <c r="O2036" i="4" a="1"/>
  <c r="O2036" i="4" s="1"/>
  <c r="O2037" i="4" a="1"/>
  <c r="O2037" i="4" s="1"/>
  <c r="O2038" i="4" a="1"/>
  <c r="O2038" i="4" s="1"/>
  <c r="O2039" i="4" a="1"/>
  <c r="O2039" i="4" s="1"/>
  <c r="O2040" i="4" a="1"/>
  <c r="O2040" i="4" s="1"/>
  <c r="O2042" i="4" a="1"/>
  <c r="O2042" i="4" s="1"/>
  <c r="O2041" i="4" a="1"/>
  <c r="O2041" i="4" s="1"/>
  <c r="O2043" i="4" a="1"/>
  <c r="O2043" i="4" s="1"/>
  <c r="O2044" i="4" a="1"/>
  <c r="O2044" i="4" s="1"/>
  <c r="O2045" i="4" a="1"/>
  <c r="O2045" i="4" s="1"/>
  <c r="O2046" i="4" a="1"/>
  <c r="O2046" i="4" s="1"/>
  <c r="O2047" i="4" a="1"/>
  <c r="O2047" i="4" s="1"/>
  <c r="O2049" i="4" a="1"/>
  <c r="O2049" i="4" s="1"/>
  <c r="O2048" i="4" a="1"/>
  <c r="O2048" i="4" s="1"/>
  <c r="O2050" i="4" a="1"/>
  <c r="O2050" i="4" s="1"/>
  <c r="O2051" i="4" a="1"/>
  <c r="O2051" i="4" s="1"/>
  <c r="O2052" i="4" a="1"/>
  <c r="O2052" i="4" s="1"/>
  <c r="O2053" i="4" a="1"/>
  <c r="O2053" i="4" s="1"/>
  <c r="O2057" i="4" a="1"/>
  <c r="O2057" i="4" s="1"/>
  <c r="O2054" i="4" a="1"/>
  <c r="O2054" i="4" s="1"/>
  <c r="O2056" i="4" a="1"/>
  <c r="O2056" i="4" s="1"/>
  <c r="O2055" i="4" a="1"/>
  <c r="O2055" i="4" s="1"/>
  <c r="O2058" i="4" a="1"/>
  <c r="O2058" i="4" s="1"/>
  <c r="O2059" i="4" a="1"/>
  <c r="O2059" i="4" s="1"/>
  <c r="O2060" i="4" a="1"/>
  <c r="O2060" i="4" s="1"/>
  <c r="O2061" i="4" a="1"/>
  <c r="O2061" i="4" s="1"/>
  <c r="O2062" i="4" a="1"/>
  <c r="O2062" i="4" s="1"/>
  <c r="O2063" i="4" a="1"/>
  <c r="O2063" i="4" s="1"/>
  <c r="O2065" i="4" a="1"/>
  <c r="O2065" i="4" s="1"/>
  <c r="O2064" i="4" a="1"/>
  <c r="O2064" i="4" s="1"/>
  <c r="Q1945" i="4"/>
  <c r="T1945" i="4" s="1"/>
  <c r="Q1948" i="4"/>
  <c r="T1948" i="4" s="1"/>
  <c r="Q1949" i="4"/>
  <c r="T1949" i="4" s="1"/>
  <c r="Q1951" i="4"/>
  <c r="T1951" i="4" s="1"/>
  <c r="Q1953" i="4"/>
  <c r="T1953" i="4" s="1"/>
  <c r="Q1952" i="4"/>
  <c r="T1952" i="4" s="1"/>
  <c r="Q1950" i="4"/>
  <c r="T1950" i="4" s="1"/>
  <c r="Q1956" i="4"/>
  <c r="T1956" i="4" s="1"/>
  <c r="Q1954" i="4"/>
  <c r="T1954" i="4" s="1"/>
  <c r="Q1955" i="4"/>
  <c r="T1955" i="4" s="1"/>
  <c r="Q1958" i="4"/>
  <c r="T1958" i="4" s="1"/>
  <c r="Q1959" i="4"/>
  <c r="T1959" i="4" s="1"/>
  <c r="Q1957" i="4"/>
  <c r="T1957" i="4" s="1"/>
  <c r="Q1960" i="4"/>
  <c r="T1960" i="4" s="1"/>
  <c r="Q1962" i="4"/>
  <c r="T1962" i="4" s="1"/>
  <c r="Q1961" i="4"/>
  <c r="T1961" i="4" s="1"/>
  <c r="Q1963" i="4"/>
  <c r="T1963" i="4" s="1"/>
  <c r="Q1965" i="4"/>
  <c r="T1965" i="4" s="1"/>
  <c r="Q1966" i="4"/>
  <c r="T1966" i="4" s="1"/>
  <c r="Q1964" i="4"/>
  <c r="T1964" i="4" s="1"/>
  <c r="Q1971" i="4"/>
  <c r="T1971" i="4" s="1"/>
  <c r="Q1967" i="4"/>
  <c r="T1967" i="4" s="1"/>
  <c r="Q1968" i="4"/>
  <c r="T1968" i="4" s="1"/>
  <c r="Q1969" i="4"/>
  <c r="T1969" i="4" s="1"/>
  <c r="Q1970" i="4"/>
  <c r="T1970" i="4" s="1"/>
  <c r="Q1973" i="4"/>
  <c r="T1973" i="4" s="1"/>
  <c r="Q1976" i="4"/>
  <c r="T1976" i="4" s="1"/>
  <c r="Q1972" i="4"/>
  <c r="T1972" i="4" s="1"/>
  <c r="Q1975" i="4"/>
  <c r="T1975" i="4" s="1"/>
  <c r="Q1974" i="4"/>
  <c r="T1974" i="4" s="1"/>
  <c r="Q1978" i="4"/>
  <c r="T1978" i="4" s="1"/>
  <c r="Q1977" i="4"/>
  <c r="T1977" i="4" s="1"/>
  <c r="Q1979" i="4"/>
  <c r="T1979" i="4" s="1"/>
  <c r="Q1980" i="4"/>
  <c r="T1980" i="4" s="1"/>
  <c r="Q1982" i="4"/>
  <c r="T1982" i="4" s="1"/>
  <c r="Q1981" i="4"/>
  <c r="T1981" i="4" s="1"/>
  <c r="Q1983" i="4"/>
  <c r="T1983" i="4" s="1"/>
  <c r="Q1985" i="4"/>
  <c r="T1985" i="4" s="1"/>
  <c r="Q1984" i="4"/>
  <c r="T1984" i="4" s="1"/>
  <c r="Q1988" i="4"/>
  <c r="T1988" i="4" s="1"/>
  <c r="Q1986" i="4"/>
  <c r="T1986" i="4" s="1"/>
  <c r="Q1987" i="4"/>
  <c r="T1987" i="4" s="1"/>
  <c r="Q1989" i="4"/>
  <c r="T1989" i="4" s="1"/>
  <c r="Q1990" i="4"/>
  <c r="T1990" i="4" s="1"/>
  <c r="Q1992" i="4"/>
  <c r="T1992" i="4" s="1"/>
  <c r="Q1993" i="4"/>
  <c r="T1993" i="4" s="1"/>
  <c r="Q1991" i="4"/>
  <c r="T1991" i="4" s="1"/>
  <c r="Q1996" i="4"/>
  <c r="T1996" i="4" s="1"/>
  <c r="Q1995" i="4"/>
  <c r="T1995" i="4" s="1"/>
  <c r="Q1994" i="4"/>
  <c r="T1994" i="4" s="1"/>
  <c r="Q1997" i="4"/>
  <c r="T1997" i="4" s="1"/>
  <c r="Q1998" i="4"/>
  <c r="T1998" i="4" s="1"/>
  <c r="Q1999" i="4"/>
  <c r="T1999" i="4" s="1"/>
  <c r="Q2003" i="4"/>
  <c r="T2003" i="4" s="1"/>
  <c r="Q2001" i="4"/>
  <c r="T2001" i="4" s="1"/>
  <c r="Q2000" i="4"/>
  <c r="T2000" i="4" s="1"/>
  <c r="Q2002" i="4"/>
  <c r="T2002" i="4" s="1"/>
  <c r="Q2004" i="4"/>
  <c r="T2004" i="4" s="1"/>
  <c r="Q2008" i="4"/>
  <c r="T2008" i="4" s="1"/>
  <c r="Q2007" i="4"/>
  <c r="T2007" i="4" s="1"/>
  <c r="Q2006" i="4"/>
  <c r="T2006" i="4" s="1"/>
  <c r="Q2005" i="4"/>
  <c r="T2005" i="4" s="1"/>
  <c r="Q2010" i="4"/>
  <c r="T2010" i="4" s="1"/>
  <c r="Q2009" i="4"/>
  <c r="T2009" i="4" s="1"/>
  <c r="Q2011" i="4"/>
  <c r="T2011" i="4" s="1"/>
  <c r="Q2013" i="4"/>
  <c r="T2013" i="4" s="1"/>
  <c r="Q2012" i="4"/>
  <c r="T2012" i="4" s="1"/>
  <c r="Q2014" i="4"/>
  <c r="T2014" i="4" s="1"/>
  <c r="Q2016" i="4"/>
  <c r="T2016" i="4" s="1"/>
  <c r="Q2017" i="4"/>
  <c r="T2017" i="4" s="1"/>
  <c r="Q2015" i="4"/>
  <c r="T2015" i="4" s="1"/>
  <c r="Q2019" i="4"/>
  <c r="T2019" i="4" s="1"/>
  <c r="Q2018" i="4"/>
  <c r="T2018" i="4" s="1"/>
  <c r="Q2020" i="4"/>
  <c r="T2020" i="4" s="1"/>
  <c r="Q2021" i="4"/>
  <c r="T2021" i="4" s="1"/>
  <c r="Q2022" i="4"/>
  <c r="T2022" i="4" s="1"/>
  <c r="Q2024" i="4"/>
  <c r="T2024" i="4" s="1"/>
  <c r="Q2023" i="4"/>
  <c r="T2023" i="4" s="1"/>
  <c r="Q2025" i="4"/>
  <c r="T2025" i="4" s="1"/>
  <c r="Q2026" i="4"/>
  <c r="T2026" i="4" s="1"/>
  <c r="Q2027" i="4"/>
  <c r="T2027" i="4" s="1"/>
  <c r="Q2029" i="4"/>
  <c r="T2029" i="4" s="1"/>
  <c r="Q2028" i="4"/>
  <c r="T2028" i="4" s="1"/>
  <c r="Q2031" i="4"/>
  <c r="T2031" i="4" s="1"/>
  <c r="Q2030" i="4"/>
  <c r="T2030" i="4" s="1"/>
  <c r="Q2032" i="4"/>
  <c r="T2032" i="4" s="1"/>
  <c r="Q2033" i="4"/>
  <c r="T2033" i="4" s="1"/>
  <c r="Q2034" i="4"/>
  <c r="T2034" i="4" s="1"/>
  <c r="Q2035" i="4"/>
  <c r="T2035" i="4" s="1"/>
  <c r="Q2036" i="4"/>
  <c r="T2036" i="4" s="1"/>
  <c r="Q2037" i="4"/>
  <c r="T2037" i="4" s="1"/>
  <c r="Q2038" i="4"/>
  <c r="T2038" i="4" s="1"/>
  <c r="Q2039" i="4"/>
  <c r="T2039" i="4" s="1"/>
  <c r="Q2040" i="4"/>
  <c r="T2040" i="4" s="1"/>
  <c r="Q2042" i="4"/>
  <c r="T2042" i="4" s="1"/>
  <c r="Q2041" i="4"/>
  <c r="T2041" i="4" s="1"/>
  <c r="Q2043" i="4"/>
  <c r="T2043" i="4" s="1"/>
  <c r="Q2044" i="4"/>
  <c r="T2044" i="4" s="1"/>
  <c r="Q2045" i="4"/>
  <c r="T2045" i="4" s="1"/>
  <c r="Q2046" i="4"/>
  <c r="T2046" i="4" s="1"/>
  <c r="Q2047" i="4"/>
  <c r="T2047" i="4" s="1"/>
  <c r="Q2049" i="4"/>
  <c r="T2049" i="4" s="1"/>
  <c r="Q2048" i="4"/>
  <c r="T2048" i="4" s="1"/>
  <c r="Q2050" i="4"/>
  <c r="T2050" i="4" s="1"/>
  <c r="Q2051" i="4"/>
  <c r="T2051" i="4" s="1"/>
  <c r="Q2052" i="4"/>
  <c r="T2052" i="4" s="1"/>
  <c r="Q2053" i="4"/>
  <c r="T2053" i="4" s="1"/>
  <c r="Q2057" i="4"/>
  <c r="T2057" i="4" s="1"/>
  <c r="Q2054" i="4"/>
  <c r="T2054" i="4" s="1"/>
  <c r="Q2056" i="4"/>
  <c r="T2056" i="4" s="1"/>
  <c r="Q2055" i="4"/>
  <c r="T2055" i="4" s="1"/>
  <c r="Q2058" i="4"/>
  <c r="T2058" i="4" s="1"/>
  <c r="Q2059" i="4"/>
  <c r="T2059" i="4" s="1"/>
  <c r="Q2060" i="4"/>
  <c r="T2060" i="4" s="1"/>
  <c r="Q2061" i="4"/>
  <c r="T2061" i="4" s="1"/>
  <c r="Q2062" i="4"/>
  <c r="T2062" i="4" s="1"/>
  <c r="Q2063" i="4"/>
  <c r="T2063" i="4" s="1"/>
  <c r="Q2065" i="4"/>
  <c r="T2065" i="4" s="1"/>
  <c r="Q2064" i="4"/>
  <c r="T2064" i="4" s="1"/>
  <c r="S1945" i="4"/>
  <c r="S1948" i="4"/>
  <c r="S1949" i="4"/>
  <c r="S1951" i="4"/>
  <c r="S1953" i="4"/>
  <c r="S1952" i="4"/>
  <c r="S1950" i="4"/>
  <c r="S1956" i="4"/>
  <c r="S1954" i="4"/>
  <c r="S1955" i="4"/>
  <c r="S1958" i="4"/>
  <c r="S1959" i="4"/>
  <c r="S1957" i="4"/>
  <c r="S1960" i="4"/>
  <c r="S1962" i="4"/>
  <c r="S1961" i="4"/>
  <c r="S1963" i="4"/>
  <c r="S1965" i="4"/>
  <c r="S1966" i="4"/>
  <c r="S1964" i="4"/>
  <c r="S1971" i="4"/>
  <c r="S1967" i="4"/>
  <c r="S1968" i="4"/>
  <c r="S1969" i="4"/>
  <c r="S1970" i="4"/>
  <c r="S1973" i="4"/>
  <c r="S1976" i="4"/>
  <c r="S1972" i="4"/>
  <c r="S1975" i="4"/>
  <c r="S1974" i="4"/>
  <c r="S1978" i="4"/>
  <c r="S1977" i="4"/>
  <c r="S1979" i="4"/>
  <c r="S1980" i="4"/>
  <c r="S1982" i="4"/>
  <c r="S1981" i="4"/>
  <c r="S1983" i="4"/>
  <c r="S1985" i="4"/>
  <c r="S1984" i="4"/>
  <c r="S1988" i="4"/>
  <c r="S1986" i="4"/>
  <c r="S1987" i="4"/>
  <c r="S1989" i="4"/>
  <c r="S1990" i="4"/>
  <c r="S1992" i="4"/>
  <c r="S1993" i="4"/>
  <c r="S1991" i="4"/>
  <c r="S1996" i="4"/>
  <c r="S1995" i="4"/>
  <c r="S1994" i="4"/>
  <c r="S1997" i="4"/>
  <c r="S1998" i="4"/>
  <c r="S1999" i="4"/>
  <c r="S2003" i="4"/>
  <c r="S2001" i="4"/>
  <c r="S2000" i="4"/>
  <c r="S2002" i="4"/>
  <c r="S2004" i="4"/>
  <c r="S2008" i="4"/>
  <c r="S2007" i="4"/>
  <c r="S2006" i="4"/>
  <c r="S2005" i="4"/>
  <c r="S2010" i="4"/>
  <c r="S2009" i="4"/>
  <c r="S2011" i="4"/>
  <c r="S2013" i="4"/>
  <c r="S2012" i="4"/>
  <c r="S2014" i="4"/>
  <c r="S2016" i="4"/>
  <c r="S2017" i="4"/>
  <c r="S2015" i="4"/>
  <c r="S2019" i="4"/>
  <c r="S2018" i="4"/>
  <c r="S2020" i="4"/>
  <c r="S2021" i="4"/>
  <c r="S2022" i="4"/>
  <c r="S2024" i="4"/>
  <c r="S2023" i="4"/>
  <c r="S2025" i="4"/>
  <c r="S2026" i="4"/>
  <c r="S2027" i="4"/>
  <c r="S2029" i="4"/>
  <c r="S2028" i="4"/>
  <c r="S2031" i="4"/>
  <c r="S2030" i="4"/>
  <c r="S2032" i="4"/>
  <c r="S2033" i="4"/>
  <c r="S2034" i="4"/>
  <c r="S2035" i="4"/>
  <c r="S2036" i="4"/>
  <c r="S2037" i="4"/>
  <c r="S2038" i="4"/>
  <c r="S2039" i="4"/>
  <c r="S2040" i="4"/>
  <c r="S2042" i="4"/>
  <c r="S2041" i="4"/>
  <c r="S2043" i="4"/>
  <c r="S2044" i="4"/>
  <c r="S2045" i="4"/>
  <c r="S2046" i="4"/>
  <c r="S2047" i="4"/>
  <c r="S2049" i="4"/>
  <c r="S2048" i="4"/>
  <c r="S2050" i="4"/>
  <c r="S2051" i="4"/>
  <c r="S2052" i="4"/>
  <c r="S2053" i="4"/>
  <c r="S2057" i="4"/>
  <c r="S2054" i="4"/>
  <c r="S2056" i="4"/>
  <c r="S2055" i="4"/>
  <c r="S2058" i="4"/>
  <c r="S2059" i="4"/>
  <c r="S2060" i="4"/>
  <c r="S2061" i="4"/>
  <c r="S2062" i="4"/>
  <c r="S2063" i="4"/>
  <c r="S2065" i="4"/>
  <c r="S2064" i="4"/>
  <c r="G1284" i="4"/>
  <c r="G1287" i="4"/>
  <c r="I1287" i="4" s="1"/>
  <c r="G1286" i="4"/>
  <c r="I1286" i="4" s="1"/>
  <c r="G1288" i="4"/>
  <c r="G1294" i="4"/>
  <c r="I1294" i="4" s="1"/>
  <c r="G1298" i="4"/>
  <c r="I1298" i="4" s="1"/>
  <c r="G1296" i="4"/>
  <c r="I1296" i="4" s="1"/>
  <c r="G1297" i="4"/>
  <c r="I1297" i="4" s="1"/>
  <c r="G1299" i="4"/>
  <c r="I1299" i="4" s="1"/>
  <c r="G1300" i="4"/>
  <c r="I1300" i="4" s="1"/>
  <c r="G1302" i="4"/>
  <c r="I1302" i="4" s="1"/>
  <c r="G1303" i="4"/>
  <c r="I1303" i="4" s="1"/>
  <c r="G1306" i="4"/>
  <c r="G1305" i="4"/>
  <c r="G1304" i="4"/>
  <c r="I1304" i="4" s="1"/>
  <c r="G1307" i="4"/>
  <c r="G1310" i="4"/>
  <c r="G1308" i="4"/>
  <c r="I1308" i="4" s="1"/>
  <c r="G1314" i="4"/>
  <c r="I1314" i="4" s="1"/>
  <c r="G1319" i="4"/>
  <c r="I1319" i="4" s="1"/>
  <c r="G1320" i="4"/>
  <c r="I1320" i="4" s="1"/>
  <c r="G1318" i="4"/>
  <c r="I1318" i="4" s="1"/>
  <c r="G1321" i="4"/>
  <c r="I1321" i="4" s="1"/>
  <c r="G1326" i="4"/>
  <c r="I1326" i="4" s="1"/>
  <c r="G1324" i="4"/>
  <c r="I1324" i="4" s="1"/>
  <c r="G1322" i="4"/>
  <c r="I1322" i="4" s="1"/>
  <c r="G1327" i="4"/>
  <c r="I1327" i="4" s="1"/>
  <c r="G1323" i="4"/>
  <c r="G1329" i="4"/>
  <c r="I1329" i="4" s="1"/>
  <c r="G1337" i="4"/>
  <c r="I1337" i="4" s="1"/>
  <c r="G1336" i="4"/>
  <c r="I1336" i="4" s="1"/>
  <c r="G1338" i="4"/>
  <c r="I1338" i="4" s="1"/>
  <c r="G1340" i="4"/>
  <c r="I1340" i="4" s="1"/>
  <c r="G1339" i="4"/>
  <c r="I1339" i="4" s="1"/>
  <c r="G1341" i="4"/>
  <c r="I1341" i="4" s="1"/>
  <c r="G1344" i="4"/>
  <c r="I1344" i="4" s="1"/>
  <c r="G1342" i="4"/>
  <c r="G1343" i="4"/>
  <c r="I1343" i="4" s="1"/>
  <c r="G1346" i="4"/>
  <c r="I1346" i="4" s="1"/>
  <c r="G1345" i="4"/>
  <c r="I1345" i="4" s="1"/>
  <c r="G1349" i="4"/>
  <c r="I1349" i="4" s="1"/>
  <c r="G1348" i="4"/>
  <c r="I1348" i="4" s="1"/>
  <c r="G1352" i="4"/>
  <c r="I1352" i="4" s="1"/>
  <c r="G1351" i="4"/>
  <c r="G1350" i="4"/>
  <c r="I1350" i="4" s="1"/>
  <c r="G1354" i="4"/>
  <c r="I1354" i="4" s="1"/>
  <c r="G1355" i="4"/>
  <c r="I1355" i="4" s="1"/>
  <c r="G1353" i="4"/>
  <c r="I1353" i="4" s="1"/>
  <c r="G1358" i="4"/>
  <c r="I1358" i="4" s="1"/>
  <c r="G1357" i="4"/>
  <c r="I1357" i="4" s="1"/>
  <c r="G1356" i="4"/>
  <c r="I1356" i="4" s="1"/>
  <c r="G1362" i="4"/>
  <c r="G1361" i="4"/>
  <c r="G1363" i="4"/>
  <c r="I1363" i="4" s="1"/>
  <c r="G1368" i="4"/>
  <c r="I1368" i="4" s="1"/>
  <c r="G1370" i="4"/>
  <c r="I1370" i="4" s="1"/>
  <c r="G1369" i="4"/>
  <c r="I1369" i="4" s="1"/>
  <c r="G1373" i="4"/>
  <c r="I1373" i="4" s="1"/>
  <c r="G1374" i="4"/>
  <c r="I1374" i="4" s="1"/>
  <c r="G1376" i="4"/>
  <c r="I1376" i="4" s="1"/>
  <c r="G1377" i="4"/>
  <c r="I1377" i="4" s="1"/>
  <c r="G1375" i="4"/>
  <c r="I1375" i="4" s="1"/>
  <c r="G1378" i="4"/>
  <c r="I1378" i="4" s="1"/>
  <c r="G1380" i="4"/>
  <c r="I1380" i="4" s="1"/>
  <c r="G1379" i="4"/>
  <c r="I1379" i="4" s="1"/>
  <c r="G1381" i="4"/>
  <c r="I1381" i="4" s="1"/>
  <c r="G1384" i="4"/>
  <c r="I1384" i="4" s="1"/>
  <c r="G1382" i="4"/>
  <c r="G1383" i="4"/>
  <c r="G1388" i="4"/>
  <c r="I1388" i="4" s="1"/>
  <c r="G1386" i="4"/>
  <c r="G1392" i="4"/>
  <c r="I1392" i="4" s="1"/>
  <c r="G1391" i="4"/>
  <c r="I1391" i="4" s="1"/>
  <c r="G1390" i="4"/>
  <c r="I1390" i="4" s="1"/>
  <c r="G1387" i="4"/>
  <c r="I1387" i="4" s="1"/>
  <c r="G1393" i="4"/>
  <c r="G1395" i="4"/>
  <c r="I1395" i="4" s="1"/>
  <c r="G1394" i="4"/>
  <c r="I1394" i="4" s="1"/>
  <c r="G1397" i="4"/>
  <c r="I1397" i="4" s="1"/>
  <c r="G1396" i="4"/>
  <c r="I1396" i="4" s="1"/>
  <c r="G1398" i="4"/>
  <c r="I1398" i="4" s="1"/>
  <c r="G1402" i="4"/>
  <c r="I1402" i="4" s="1"/>
  <c r="G1407" i="4"/>
  <c r="I1407" i="4" s="1"/>
  <c r="G1404" i="4"/>
  <c r="G1406" i="4"/>
  <c r="G1408" i="4"/>
  <c r="I1408" i="4" s="1"/>
  <c r="G1410" i="4"/>
  <c r="I1410" i="4" s="1"/>
  <c r="G1414" i="4"/>
  <c r="I1414" i="4" s="1"/>
  <c r="G1413" i="4"/>
  <c r="I1413" i="4" s="1"/>
  <c r="G1411" i="4"/>
  <c r="I1411" i="4" s="1"/>
  <c r="G1412" i="4"/>
  <c r="I1412" i="4" s="1"/>
  <c r="G1415" i="4"/>
  <c r="G1416" i="4"/>
  <c r="I1416" i="4" s="1"/>
  <c r="G1422" i="4"/>
  <c r="I1422" i="4" s="1"/>
  <c r="G1419" i="4"/>
  <c r="I1419" i="4" s="1"/>
  <c r="G1421" i="4"/>
  <c r="I1421" i="4" s="1"/>
  <c r="G1418" i="4"/>
  <c r="I1418" i="4" s="1"/>
  <c r="G1420" i="4"/>
  <c r="I1420" i="4" s="1"/>
  <c r="G1423" i="4"/>
  <c r="I1423" i="4" s="1"/>
  <c r="G1424" i="4"/>
  <c r="G1425" i="4"/>
  <c r="G1427" i="4"/>
  <c r="I1427" i="4" s="1"/>
  <c r="G1429" i="4"/>
  <c r="I1429" i="4" s="1"/>
  <c r="G1431" i="4"/>
  <c r="I1431" i="4" s="1"/>
  <c r="G1432" i="4"/>
  <c r="I1432" i="4" s="1"/>
  <c r="G1441" i="4"/>
  <c r="I1441" i="4" s="1"/>
  <c r="G1436" i="4"/>
  <c r="I1436" i="4" s="1"/>
  <c r="G1433" i="4"/>
  <c r="G1438" i="4"/>
  <c r="I1438" i="4" s="1"/>
  <c r="G1434" i="4"/>
  <c r="I1434" i="4" s="1"/>
  <c r="G1437" i="4"/>
  <c r="I1437" i="4" s="1"/>
  <c r="G1440" i="4"/>
  <c r="I1440" i="4" s="1"/>
  <c r="G1439" i="4"/>
  <c r="I1439" i="4" s="1"/>
  <c r="G1443" i="4"/>
  <c r="I1443" i="4" s="1"/>
  <c r="G1442" i="4"/>
  <c r="I1442" i="4" s="1"/>
  <c r="G1446" i="4"/>
  <c r="G1444" i="4"/>
  <c r="G1448" i="4"/>
  <c r="I1448" i="4" s="1"/>
  <c r="G1451" i="4"/>
  <c r="I1451" i="4" s="1"/>
  <c r="G1450" i="4"/>
  <c r="I1450" i="4" s="1"/>
  <c r="G1449" i="4"/>
  <c r="I1449" i="4" s="1"/>
  <c r="G1452" i="4"/>
  <c r="I1452" i="4" s="1"/>
  <c r="G1455" i="4"/>
  <c r="I1455" i="4" s="1"/>
  <c r="G1453" i="4"/>
  <c r="I1453" i="4" s="1"/>
  <c r="G1454" i="4"/>
  <c r="I1454" i="4" s="1"/>
  <c r="G1456" i="4"/>
  <c r="I1456" i="4" s="1"/>
  <c r="G1457" i="4"/>
  <c r="I1457" i="4" s="1"/>
  <c r="G1459" i="4"/>
  <c r="I1459" i="4" s="1"/>
  <c r="G1460" i="4"/>
  <c r="I1460" i="4" s="1"/>
  <c r="G1458" i="4"/>
  <c r="I1458" i="4" s="1"/>
  <c r="G1461" i="4"/>
  <c r="I1461" i="4" s="1"/>
  <c r="G1463" i="4"/>
  <c r="G1462" i="4"/>
  <c r="G1464" i="4"/>
  <c r="I1464" i="4" s="1"/>
  <c r="G1466" i="4"/>
  <c r="G1465" i="4"/>
  <c r="I1465" i="4" s="1"/>
  <c r="G1468" i="4"/>
  <c r="I1468" i="4" s="1"/>
  <c r="G1469" i="4"/>
  <c r="I1469" i="4" s="1"/>
  <c r="G1470" i="4"/>
  <c r="I1470" i="4" s="1"/>
  <c r="G1467" i="4"/>
  <c r="I1467" i="4" s="1"/>
  <c r="G1471" i="4"/>
  <c r="I1471" i="4" s="1"/>
  <c r="G1475" i="4"/>
  <c r="I1475" i="4" s="1"/>
  <c r="G1472" i="4"/>
  <c r="I1472" i="4" s="1"/>
  <c r="G1479" i="4"/>
  <c r="I1479" i="4" s="1"/>
  <c r="G1477" i="4"/>
  <c r="I1477" i="4" s="1"/>
  <c r="G1480" i="4"/>
  <c r="I1480" i="4" s="1"/>
  <c r="G1473" i="4"/>
  <c r="I1473" i="4" s="1"/>
  <c r="G1476" i="4"/>
  <c r="G1474" i="4"/>
  <c r="G1485" i="4"/>
  <c r="I1485" i="4" s="1"/>
  <c r="G1483" i="4"/>
  <c r="I1483" i="4" s="1"/>
  <c r="G1481" i="4"/>
  <c r="I1481" i="4" s="1"/>
  <c r="G1484" i="4"/>
  <c r="I1484" i="4" s="1"/>
  <c r="G1482" i="4"/>
  <c r="I1482" i="4" s="1"/>
  <c r="G1489" i="4"/>
  <c r="I1489" i="4" s="1"/>
  <c r="G1487" i="4"/>
  <c r="G1486" i="4"/>
  <c r="I1486" i="4" s="1"/>
  <c r="G1491" i="4"/>
  <c r="I1491" i="4" s="1"/>
  <c r="G1493" i="4"/>
  <c r="I1493" i="4" s="1"/>
  <c r="G1494" i="4"/>
  <c r="I1494" i="4" s="1"/>
  <c r="G1498" i="4"/>
  <c r="I1498" i="4" s="1"/>
  <c r="G1499" i="4"/>
  <c r="I1499" i="4" s="1"/>
  <c r="G1500" i="4"/>
  <c r="I1500" i="4" s="1"/>
  <c r="G1504" i="4"/>
  <c r="G1505" i="4"/>
  <c r="G1501" i="4"/>
  <c r="I1501" i="4" s="1"/>
  <c r="G1503" i="4"/>
  <c r="I1503" i="4" s="1"/>
  <c r="G1502" i="4"/>
  <c r="I1502" i="4" s="1"/>
  <c r="G1509" i="4"/>
  <c r="I1509" i="4" s="1"/>
  <c r="G1507" i="4"/>
  <c r="I1507" i="4" s="1"/>
  <c r="G1506" i="4"/>
  <c r="I1506" i="4" s="1"/>
  <c r="G1508" i="4"/>
  <c r="I1508" i="4" s="1"/>
  <c r="G1514" i="4"/>
  <c r="I1514" i="4" s="1"/>
  <c r="G1517" i="4"/>
  <c r="I1517" i="4" s="1"/>
  <c r="G1516" i="4"/>
  <c r="I1516" i="4" s="1"/>
  <c r="G1512" i="4"/>
  <c r="I1512" i="4" s="1"/>
  <c r="G1511" i="4"/>
  <c r="I1511" i="4" s="1"/>
  <c r="G1518" i="4"/>
  <c r="I1518" i="4" s="1"/>
  <c r="G1521" i="4"/>
  <c r="I1521" i="4" s="1"/>
  <c r="G1524" i="4"/>
  <c r="G1522" i="4"/>
  <c r="G1523" i="4"/>
  <c r="I1523" i="4" s="1"/>
  <c r="G1527" i="4"/>
  <c r="I1527" i="4" s="1"/>
  <c r="G1529" i="4"/>
  <c r="I1529" i="4" s="1"/>
  <c r="G1528" i="4"/>
  <c r="I1528" i="4" s="1"/>
  <c r="G1530" i="4"/>
  <c r="I1530" i="4" s="1"/>
  <c r="G1526" i="4"/>
  <c r="I1526" i="4" s="1"/>
  <c r="G1532" i="4"/>
  <c r="G1533" i="4"/>
  <c r="I1533" i="4" s="1"/>
  <c r="G1534" i="4"/>
  <c r="I1534" i="4" s="1"/>
  <c r="G1536" i="4"/>
  <c r="I1536" i="4" s="1"/>
  <c r="G1535" i="4"/>
  <c r="I1535" i="4" s="1"/>
  <c r="G1542" i="4"/>
  <c r="I1542" i="4" s="1"/>
  <c r="G1543" i="4"/>
  <c r="I1543" i="4" s="1"/>
  <c r="G1544" i="4"/>
  <c r="I1544" i="4" s="1"/>
  <c r="G1545" i="4"/>
  <c r="G1553" i="4"/>
  <c r="G1558" i="4"/>
  <c r="I1558" i="4" s="1"/>
  <c r="G1557" i="4"/>
  <c r="I1557" i="4" s="1"/>
  <c r="G1559" i="4"/>
  <c r="I1559" i="4" s="1"/>
  <c r="G1561" i="4"/>
  <c r="I1561" i="4" s="1"/>
  <c r="G1566" i="4"/>
  <c r="I1566" i="4" s="1"/>
  <c r="G1564" i="4"/>
  <c r="I1564" i="4" s="1"/>
  <c r="G1562" i="4"/>
  <c r="G1563" i="4"/>
  <c r="I1563" i="4" s="1"/>
  <c r="G1565" i="4"/>
  <c r="I1565" i="4" s="1"/>
  <c r="G1567" i="4"/>
  <c r="I1567" i="4" s="1"/>
  <c r="G1571" i="4"/>
  <c r="I1571" i="4" s="1"/>
  <c r="G1569" i="4"/>
  <c r="I1569" i="4" s="1"/>
  <c r="G1568" i="4"/>
  <c r="I1568" i="4" s="1"/>
  <c r="G1570" i="4"/>
  <c r="I1570" i="4" s="1"/>
  <c r="G1573" i="4"/>
  <c r="G1572" i="4"/>
  <c r="G1575" i="4"/>
  <c r="I1575" i="4" s="1"/>
  <c r="G1577" i="4"/>
  <c r="I1577" i="4" s="1"/>
  <c r="G1578" i="4"/>
  <c r="I1578" i="4" s="1"/>
  <c r="G1576" i="4"/>
  <c r="I1576" i="4" s="1"/>
  <c r="G1579" i="4"/>
  <c r="I1579" i="4" s="1"/>
  <c r="G1582" i="4"/>
  <c r="I1582" i="4" s="1"/>
  <c r="G1587" i="4"/>
  <c r="I1587" i="4" s="1"/>
  <c r="G1584" i="4"/>
  <c r="I1584" i="4" s="1"/>
  <c r="G1586" i="4"/>
  <c r="I1586" i="4" s="1"/>
  <c r="G1585" i="4"/>
  <c r="I1585" i="4" s="1"/>
  <c r="G1590" i="4"/>
  <c r="I1590" i="4" s="1"/>
  <c r="G1589" i="4"/>
  <c r="I1589" i="4" s="1"/>
  <c r="G1593" i="4"/>
  <c r="I1593" i="4" s="1"/>
  <c r="G1592" i="4"/>
  <c r="I1592" i="4" s="1"/>
  <c r="G1595" i="4"/>
  <c r="G1596" i="4"/>
  <c r="G1599" i="4"/>
  <c r="I1599" i="4" s="1"/>
  <c r="G1598" i="4"/>
  <c r="I1598" i="4" s="1"/>
  <c r="G1597" i="4"/>
  <c r="I1597" i="4" s="1"/>
  <c r="G1600" i="4"/>
  <c r="I1600" i="4" s="1"/>
  <c r="G1601" i="4"/>
  <c r="I1601" i="4" s="1"/>
  <c r="G1606" i="4"/>
  <c r="I1606" i="4" s="1"/>
  <c r="G1607" i="4"/>
  <c r="I1607" i="4" s="1"/>
  <c r="G1605" i="4"/>
  <c r="I1605" i="4" s="1"/>
  <c r="G1604" i="4"/>
  <c r="I1604" i="4" s="1"/>
  <c r="G1609" i="4"/>
  <c r="I1609" i="4" s="1"/>
  <c r="G1610" i="4"/>
  <c r="I1610" i="4" s="1"/>
  <c r="G1612" i="4"/>
  <c r="I1612" i="4" s="1"/>
  <c r="G1611" i="4"/>
  <c r="I1611" i="4" s="1"/>
  <c r="G1613" i="4"/>
  <c r="I1613" i="4" s="1"/>
  <c r="G1614" i="4"/>
  <c r="G1615" i="4"/>
  <c r="G1621" i="4"/>
  <c r="I1621" i="4" s="1"/>
  <c r="G1619" i="4"/>
  <c r="I1619" i="4" s="1"/>
  <c r="G1620" i="4"/>
  <c r="I1620" i="4" s="1"/>
  <c r="G1618" i="4"/>
  <c r="I1618" i="4" s="1"/>
  <c r="G1622" i="4"/>
  <c r="I1622" i="4" s="1"/>
  <c r="G1616" i="4"/>
  <c r="I1616" i="4" s="1"/>
  <c r="G1623" i="4"/>
  <c r="I1623" i="4" s="1"/>
  <c r="G1625" i="4"/>
  <c r="I1625" i="4" s="1"/>
  <c r="G1627" i="4"/>
  <c r="I1627" i="4" s="1"/>
  <c r="G1626" i="4"/>
  <c r="I1626" i="4" s="1"/>
  <c r="G1628" i="4"/>
  <c r="I1628" i="4" s="1"/>
  <c r="G1630" i="4"/>
  <c r="I1630" i="4" s="1"/>
  <c r="G1632" i="4"/>
  <c r="I1632" i="4" s="1"/>
  <c r="G1634" i="4"/>
  <c r="I1634" i="4" s="1"/>
  <c r="G1633" i="4"/>
  <c r="G1631" i="4"/>
  <c r="G1637" i="4"/>
  <c r="I1637" i="4" s="1"/>
  <c r="G1646" i="4"/>
  <c r="I1646" i="4" s="1"/>
  <c r="G1636" i="4"/>
  <c r="I1636" i="4" s="1"/>
  <c r="G1641" i="4"/>
  <c r="I1641" i="4" s="1"/>
  <c r="G1642" i="4"/>
  <c r="I1642" i="4" s="1"/>
  <c r="G1635" i="4"/>
  <c r="I1635" i="4" s="1"/>
  <c r="G1643" i="4"/>
  <c r="G1640" i="4"/>
  <c r="I1640" i="4" s="1"/>
  <c r="G1645" i="4"/>
  <c r="I1645" i="4" s="1"/>
  <c r="G1651" i="4"/>
  <c r="I1651" i="4" s="1"/>
  <c r="G1650" i="4"/>
  <c r="I1650" i="4" s="1"/>
  <c r="G1648" i="4"/>
  <c r="I1648" i="4" s="1"/>
  <c r="G1647" i="4"/>
  <c r="I1647" i="4" s="1"/>
  <c r="G1652" i="4"/>
  <c r="I1652" i="4" s="1"/>
  <c r="G1654" i="4"/>
  <c r="G1655" i="4"/>
  <c r="G1661" i="4"/>
  <c r="I1661" i="4" s="1"/>
  <c r="G1659" i="4"/>
  <c r="I1659" i="4" s="1"/>
  <c r="G1660" i="4"/>
  <c r="I1660" i="4" s="1"/>
  <c r="G1656" i="4"/>
  <c r="I1656" i="4" s="1"/>
  <c r="G1664" i="4"/>
  <c r="I1664" i="4" s="1"/>
  <c r="G1668" i="4"/>
  <c r="I1668" i="4" s="1"/>
  <c r="G1665" i="4"/>
  <c r="I1665" i="4" s="1"/>
  <c r="G1666" i="4"/>
  <c r="I1666" i="4" s="1"/>
  <c r="G1669" i="4"/>
  <c r="I1669" i="4" s="1"/>
  <c r="G1673" i="4"/>
  <c r="I1673" i="4" s="1"/>
  <c r="G1674" i="4"/>
  <c r="I1674" i="4" s="1"/>
  <c r="G1672" i="4"/>
  <c r="I1672" i="4" s="1"/>
  <c r="G1675" i="4"/>
  <c r="I1675" i="4" s="1"/>
  <c r="G1677" i="4"/>
  <c r="I1677" i="4" s="1"/>
  <c r="G1676" i="4"/>
  <c r="G1679" i="4"/>
  <c r="G1680" i="4"/>
  <c r="I1680" i="4" s="1"/>
  <c r="G1678" i="4"/>
  <c r="I1678" i="4" s="1"/>
  <c r="G1681" i="4"/>
  <c r="I1681" i="4" s="1"/>
  <c r="G1683" i="4"/>
  <c r="I1683" i="4" s="1"/>
  <c r="G1686" i="4"/>
  <c r="I1686" i="4" s="1"/>
  <c r="G1689" i="4"/>
  <c r="I1689" i="4" s="1"/>
  <c r="G1688" i="4"/>
  <c r="I1688" i="4" s="1"/>
  <c r="G1687" i="4"/>
  <c r="I1687" i="4" s="1"/>
  <c r="G1690" i="4"/>
  <c r="I1690" i="4" s="1"/>
  <c r="G1700" i="4"/>
  <c r="I1700" i="4" s="1"/>
  <c r="G1693" i="4"/>
  <c r="I1693" i="4" s="1"/>
  <c r="G1697" i="4"/>
  <c r="I1697" i="4" s="1"/>
  <c r="G1694" i="4"/>
  <c r="I1694" i="4" s="1"/>
  <c r="G1702" i="4"/>
  <c r="I1702" i="4" s="1"/>
  <c r="G1704" i="4"/>
  <c r="G1705" i="4"/>
  <c r="G1706" i="4"/>
  <c r="I1706" i="4" s="1"/>
  <c r="G1708" i="4"/>
  <c r="I1708" i="4" s="1"/>
  <c r="G1707" i="4"/>
  <c r="I1707" i="4" s="1"/>
  <c r="G1709" i="4"/>
  <c r="I1709" i="4" s="1"/>
  <c r="G1710" i="4"/>
  <c r="I1710" i="4" s="1"/>
  <c r="G1714" i="4"/>
  <c r="I1714" i="4" s="1"/>
  <c r="G1712" i="4"/>
  <c r="I1712" i="4" s="1"/>
  <c r="G1711" i="4"/>
  <c r="I1711" i="4" s="1"/>
  <c r="G1713" i="4"/>
  <c r="I1713" i="4" s="1"/>
  <c r="G1716" i="4"/>
  <c r="I1716" i="4" s="1"/>
  <c r="G1715" i="4"/>
  <c r="I1715" i="4" s="1"/>
  <c r="G1722" i="4"/>
  <c r="I1722" i="4" s="1"/>
  <c r="G1717" i="4"/>
  <c r="I1717" i="4" s="1"/>
  <c r="G1720" i="4"/>
  <c r="I1720" i="4" s="1"/>
  <c r="G1719" i="4"/>
  <c r="G1723" i="4"/>
  <c r="G1724" i="4"/>
  <c r="I1724" i="4" s="1"/>
  <c r="G1726" i="4"/>
  <c r="I1726" i="4" s="1"/>
  <c r="G1725" i="4"/>
  <c r="I1725" i="4" s="1"/>
  <c r="G1728" i="4"/>
  <c r="I1728" i="4" s="1"/>
  <c r="G1729" i="4"/>
  <c r="I1729" i="4" s="1"/>
  <c r="G1734" i="4"/>
  <c r="I1734" i="4" s="1"/>
  <c r="G1732" i="4"/>
  <c r="G1733" i="4"/>
  <c r="I1733" i="4" s="1"/>
  <c r="G1735" i="4"/>
  <c r="I1735" i="4" s="1"/>
  <c r="G1730" i="4"/>
  <c r="I1730" i="4" s="1"/>
  <c r="G1731" i="4"/>
  <c r="I1731" i="4" s="1"/>
  <c r="G1742" i="4"/>
  <c r="I1742" i="4" s="1"/>
  <c r="G1737" i="4"/>
  <c r="I1737" i="4" s="1"/>
  <c r="G1741" i="4"/>
  <c r="I1741" i="4" s="1"/>
  <c r="G1740" i="4"/>
  <c r="G1739" i="4"/>
  <c r="G1738" i="4"/>
  <c r="I1738" i="4" s="1"/>
  <c r="G1744" i="4"/>
  <c r="I1744" i="4" s="1"/>
  <c r="G1745" i="4"/>
  <c r="I1745" i="4" s="1"/>
  <c r="G1748" i="4"/>
  <c r="I1748" i="4" s="1"/>
  <c r="G1749" i="4"/>
  <c r="I1749" i="4" s="1"/>
  <c r="G1747" i="4"/>
  <c r="I1747" i="4" s="1"/>
  <c r="G1750" i="4"/>
  <c r="I1750" i="4" s="1"/>
  <c r="G1751" i="4"/>
  <c r="I1751" i="4" s="1"/>
  <c r="G1753" i="4"/>
  <c r="I1753" i="4" s="1"/>
  <c r="G1752" i="4"/>
  <c r="I1752" i="4" s="1"/>
  <c r="G1755" i="4"/>
  <c r="I1755" i="4" s="1"/>
  <c r="G1756" i="4"/>
  <c r="I1756" i="4" s="1"/>
  <c r="G1754" i="4"/>
  <c r="I1754" i="4" s="1"/>
  <c r="G1757" i="4"/>
  <c r="I1757" i="4" s="1"/>
  <c r="G1758" i="4"/>
  <c r="G1762" i="4"/>
  <c r="G1763" i="4"/>
  <c r="I1763" i="4" s="1"/>
  <c r="G1764" i="4"/>
  <c r="I1764" i="4" s="1"/>
  <c r="G1761" i="4"/>
  <c r="I1761" i="4" s="1"/>
  <c r="G1766" i="4"/>
  <c r="I1766" i="4" s="1"/>
  <c r="G1765" i="4"/>
  <c r="I1765" i="4" s="1"/>
  <c r="G1759" i="4"/>
  <c r="I1759" i="4" s="1"/>
  <c r="G1760" i="4"/>
  <c r="I1760" i="4" s="1"/>
  <c r="G1767" i="4"/>
  <c r="I1767" i="4" s="1"/>
  <c r="G1769" i="4"/>
  <c r="I1769" i="4" s="1"/>
  <c r="G1775" i="4"/>
  <c r="I1775" i="4" s="1"/>
  <c r="G1774" i="4"/>
  <c r="I1774" i="4" s="1"/>
  <c r="G1772" i="4"/>
  <c r="I1772" i="4" s="1"/>
  <c r="G1771" i="4"/>
  <c r="I1771" i="4" s="1"/>
  <c r="G1780" i="4"/>
  <c r="I1780" i="4" s="1"/>
  <c r="G1781" i="4"/>
  <c r="G1779" i="4"/>
  <c r="G1790" i="4"/>
  <c r="I1790" i="4" s="1"/>
  <c r="G1788" i="4"/>
  <c r="I1788" i="4" s="1"/>
  <c r="G1784" i="4"/>
  <c r="I1784" i="4" s="1"/>
  <c r="G1787" i="4"/>
  <c r="I1787" i="4" s="1"/>
  <c r="G1793" i="4"/>
  <c r="I1793" i="4" s="1"/>
  <c r="G1783" i="4"/>
  <c r="I1783" i="4" s="1"/>
  <c r="G1789" i="4"/>
  <c r="I1789" i="4" s="1"/>
  <c r="G1795" i="4"/>
  <c r="I1795" i="4" s="1"/>
  <c r="G1794" i="4"/>
  <c r="I1794" i="4" s="1"/>
  <c r="G1797" i="4"/>
  <c r="I1797" i="4" s="1"/>
  <c r="G1796" i="4"/>
  <c r="I1796" i="4" s="1"/>
  <c r="G1798" i="4"/>
  <c r="I1798" i="4" s="1"/>
  <c r="G1804" i="4"/>
  <c r="I1804" i="4" s="1"/>
  <c r="G1801" i="4"/>
  <c r="I1801" i="4" s="1"/>
  <c r="G1800" i="4"/>
  <c r="G1799" i="4"/>
  <c r="G1805" i="4"/>
  <c r="I1805" i="4" s="1"/>
  <c r="G1807" i="4"/>
  <c r="I1807" i="4" s="1"/>
  <c r="G1811" i="4"/>
  <c r="I1811" i="4" s="1"/>
  <c r="G1813" i="4"/>
  <c r="I1813" i="4" s="1"/>
  <c r="G1812" i="4"/>
  <c r="I1812" i="4" s="1"/>
  <c r="G1806" i="4"/>
  <c r="I1806" i="4" s="1"/>
  <c r="G1810" i="4"/>
  <c r="I1810" i="4" s="1"/>
  <c r="G1808" i="4"/>
  <c r="I1808" i="4" s="1"/>
  <c r="G1819" i="4"/>
  <c r="I1819" i="4" s="1"/>
  <c r="G1815" i="4"/>
  <c r="I1815" i="4" s="1"/>
  <c r="G1817" i="4"/>
  <c r="I1817" i="4" s="1"/>
  <c r="G1818" i="4"/>
  <c r="I1818" i="4" s="1"/>
  <c r="G1814" i="4"/>
  <c r="I1814" i="4" s="1"/>
  <c r="G1816" i="4"/>
  <c r="I1816" i="4" s="1"/>
  <c r="G1820" i="4"/>
  <c r="G1824" i="4"/>
  <c r="I1824" i="4" s="1"/>
  <c r="G1825" i="4"/>
  <c r="I1825" i="4" s="1"/>
  <c r="G1823" i="4"/>
  <c r="I1823" i="4" s="1"/>
  <c r="G1822" i="4"/>
  <c r="I1822" i="4" s="1"/>
  <c r="G1828" i="4"/>
  <c r="I1828" i="4" s="1"/>
  <c r="G1826" i="4"/>
  <c r="I1826" i="4" s="1"/>
  <c r="G1827" i="4"/>
  <c r="I1827" i="4" s="1"/>
  <c r="G1821" i="4"/>
  <c r="G1829" i="4"/>
  <c r="I1829" i="4" s="1"/>
  <c r="G1830" i="4"/>
  <c r="I1830" i="4" s="1"/>
  <c r="G1831" i="4"/>
  <c r="I1831" i="4" s="1"/>
  <c r="G1832" i="4"/>
  <c r="I1832" i="4" s="1"/>
  <c r="G1841" i="4"/>
  <c r="I1841" i="4" s="1"/>
  <c r="G1835" i="4"/>
  <c r="I1835" i="4" s="1"/>
  <c r="G1836" i="4"/>
  <c r="I1836" i="4" s="1"/>
  <c r="G1840" i="4"/>
  <c r="G1842" i="4"/>
  <c r="G1838" i="4"/>
  <c r="I1838" i="4" s="1"/>
  <c r="G1837" i="4"/>
  <c r="I1837" i="4" s="1"/>
  <c r="G1839" i="4"/>
  <c r="I1839" i="4" s="1"/>
  <c r="G1834" i="4"/>
  <c r="I1834" i="4" s="1"/>
  <c r="G1846" i="4"/>
  <c r="I1846" i="4" s="1"/>
  <c r="G1848" i="4"/>
  <c r="I1848" i="4" s="1"/>
  <c r="G1851" i="4"/>
  <c r="I1851" i="4" s="1"/>
  <c r="G1855" i="4"/>
  <c r="I1855" i="4" s="1"/>
  <c r="G1854" i="4"/>
  <c r="I1854" i="4" s="1"/>
  <c r="G1864" i="4"/>
  <c r="I1864" i="4" s="1"/>
  <c r="G1863" i="4"/>
  <c r="I1863" i="4" s="1"/>
  <c r="G1860" i="4"/>
  <c r="I1860" i="4" s="1"/>
  <c r="G1858" i="4"/>
  <c r="I1858" i="4" s="1"/>
  <c r="G1867" i="4"/>
  <c r="I1867" i="4" s="1"/>
  <c r="G1866" i="4"/>
  <c r="G1865" i="4"/>
  <c r="G1868" i="4"/>
  <c r="I1868" i="4" s="1"/>
  <c r="G1871" i="4"/>
  <c r="I1871" i="4" s="1"/>
  <c r="G1869" i="4"/>
  <c r="I1869" i="4" s="1"/>
  <c r="G1870" i="4"/>
  <c r="I1870" i="4" s="1"/>
  <c r="G1872" i="4"/>
  <c r="I1872" i="4" s="1"/>
  <c r="G1874" i="4"/>
  <c r="I1874" i="4" s="1"/>
  <c r="G1873" i="4"/>
  <c r="I1873" i="4" s="1"/>
  <c r="G1878" i="4"/>
  <c r="I1878" i="4" s="1"/>
  <c r="G1876" i="4"/>
  <c r="I1876" i="4" s="1"/>
  <c r="G1875" i="4"/>
  <c r="I1875" i="4" s="1"/>
  <c r="G1877" i="4"/>
  <c r="I1877" i="4" s="1"/>
  <c r="G1880" i="4"/>
  <c r="I1880" i="4" s="1"/>
  <c r="G1881" i="4"/>
  <c r="I1881" i="4" s="1"/>
  <c r="G1882" i="4"/>
  <c r="I1882" i="4" s="1"/>
  <c r="G1883" i="4"/>
  <c r="G1884" i="4"/>
  <c r="G1885" i="4"/>
  <c r="I1885" i="4" s="1"/>
  <c r="G1887" i="4"/>
  <c r="I1887" i="4" s="1"/>
  <c r="G1889" i="4"/>
  <c r="I1889" i="4" s="1"/>
  <c r="G1891" i="4"/>
  <c r="I1891" i="4" s="1"/>
  <c r="G1893" i="4"/>
  <c r="I1893" i="4" s="1"/>
  <c r="G1895" i="4"/>
  <c r="I1895" i="4" s="1"/>
  <c r="G1896" i="4"/>
  <c r="I1896" i="4" s="1"/>
  <c r="G1897" i="4"/>
  <c r="I1897" i="4" s="1"/>
  <c r="G1902" i="4"/>
  <c r="I1902" i="4" s="1"/>
  <c r="G1903" i="4"/>
  <c r="I1903" i="4" s="1"/>
  <c r="G1907" i="4"/>
  <c r="I1907" i="4" s="1"/>
  <c r="G1911" i="4"/>
  <c r="I1911" i="4" s="1"/>
  <c r="G1910" i="4"/>
  <c r="I1910" i="4" s="1"/>
  <c r="G1914" i="4"/>
  <c r="I1914" i="4" s="1"/>
  <c r="G1915" i="4"/>
  <c r="G1916" i="4"/>
  <c r="I1916" i="4" s="1"/>
  <c r="G1917" i="4"/>
  <c r="I1917" i="4" s="1"/>
  <c r="G1919" i="4"/>
  <c r="I1919" i="4" s="1"/>
  <c r="G1918" i="4"/>
  <c r="I1918" i="4" s="1"/>
  <c r="G1923" i="4"/>
  <c r="I1923" i="4" s="1"/>
  <c r="G1927" i="4"/>
  <c r="I1927" i="4" s="1"/>
  <c r="G1928" i="4"/>
  <c r="I1928" i="4" s="1"/>
  <c r="G1929" i="4"/>
  <c r="I1929" i="4" s="1"/>
  <c r="G1930" i="4"/>
  <c r="I1930" i="4" s="1"/>
  <c r="G1932" i="4"/>
  <c r="I1932" i="4" s="1"/>
  <c r="G1933" i="4"/>
  <c r="I1933" i="4" s="1"/>
  <c r="G1934" i="4"/>
  <c r="I1934" i="4" s="1"/>
  <c r="G1937" i="4"/>
  <c r="I1937" i="4" s="1"/>
  <c r="G1935" i="4"/>
  <c r="I1935" i="4" s="1"/>
  <c r="G1936" i="4"/>
  <c r="I1936" i="4" s="1"/>
  <c r="G1938" i="4"/>
  <c r="G1940" i="4"/>
  <c r="G1942" i="4"/>
  <c r="I1942" i="4" s="1"/>
  <c r="G1941" i="4"/>
  <c r="I1941" i="4" s="1"/>
  <c r="G1943" i="4"/>
  <c r="I1943" i="4" s="1"/>
  <c r="G1944" i="4"/>
  <c r="I1944" i="4" s="1"/>
  <c r="G1947" i="4"/>
  <c r="I1947" i="4" s="1"/>
  <c r="G1946" i="4"/>
  <c r="I1946" i="4" s="1"/>
  <c r="H1284" i="4"/>
  <c r="H1287" i="4"/>
  <c r="H1286" i="4"/>
  <c r="H1288" i="4"/>
  <c r="H1294" i="4"/>
  <c r="H1298" i="4"/>
  <c r="H1296" i="4"/>
  <c r="H1297" i="4"/>
  <c r="H1299" i="4"/>
  <c r="H1300" i="4"/>
  <c r="H1302" i="4"/>
  <c r="H1303" i="4"/>
  <c r="H1306" i="4"/>
  <c r="H1305" i="4"/>
  <c r="H1304" i="4"/>
  <c r="H1307" i="4"/>
  <c r="H1310" i="4"/>
  <c r="H1308" i="4"/>
  <c r="H1314" i="4"/>
  <c r="H1319" i="4"/>
  <c r="H1320" i="4"/>
  <c r="H1318" i="4"/>
  <c r="H1321" i="4"/>
  <c r="H1326" i="4"/>
  <c r="H1324" i="4"/>
  <c r="H1322" i="4"/>
  <c r="H1327" i="4"/>
  <c r="H1323" i="4"/>
  <c r="H1329" i="4"/>
  <c r="H1337" i="4"/>
  <c r="H1336" i="4"/>
  <c r="H1338" i="4"/>
  <c r="H1340" i="4"/>
  <c r="H1339" i="4"/>
  <c r="H1341" i="4"/>
  <c r="H1344" i="4"/>
  <c r="H1342" i="4"/>
  <c r="H1343" i="4"/>
  <c r="H1346" i="4"/>
  <c r="H1345" i="4"/>
  <c r="H1349" i="4"/>
  <c r="H1348" i="4"/>
  <c r="H1352" i="4"/>
  <c r="H1351" i="4"/>
  <c r="H1350" i="4"/>
  <c r="H1354" i="4"/>
  <c r="H1355" i="4"/>
  <c r="H1353" i="4"/>
  <c r="H1358" i="4"/>
  <c r="H1357" i="4"/>
  <c r="H1356" i="4"/>
  <c r="H1362" i="4"/>
  <c r="H1361" i="4"/>
  <c r="H1363" i="4"/>
  <c r="H1368" i="4"/>
  <c r="H1370" i="4"/>
  <c r="H1369" i="4"/>
  <c r="H1373" i="4"/>
  <c r="H1374" i="4"/>
  <c r="H1376" i="4"/>
  <c r="H1377" i="4"/>
  <c r="H1375" i="4"/>
  <c r="H1378" i="4"/>
  <c r="H1380" i="4"/>
  <c r="H1379" i="4"/>
  <c r="H1381" i="4"/>
  <c r="H1384" i="4"/>
  <c r="H1382" i="4"/>
  <c r="H1383" i="4"/>
  <c r="H1388" i="4"/>
  <c r="H1386" i="4"/>
  <c r="H1392" i="4"/>
  <c r="H1391" i="4"/>
  <c r="H1390" i="4"/>
  <c r="H1387" i="4"/>
  <c r="H1393" i="4"/>
  <c r="H1395" i="4"/>
  <c r="H1394" i="4"/>
  <c r="H1397" i="4"/>
  <c r="H1396" i="4"/>
  <c r="H1398" i="4"/>
  <c r="H1402" i="4"/>
  <c r="H1407" i="4"/>
  <c r="H1404" i="4"/>
  <c r="H1406" i="4"/>
  <c r="H1408" i="4"/>
  <c r="H1410" i="4"/>
  <c r="H1414" i="4"/>
  <c r="H1413" i="4"/>
  <c r="H1411" i="4"/>
  <c r="H1412" i="4"/>
  <c r="H1415" i="4"/>
  <c r="H1416" i="4"/>
  <c r="H1422" i="4"/>
  <c r="H1419" i="4"/>
  <c r="H1421" i="4"/>
  <c r="H1418" i="4"/>
  <c r="H1420" i="4"/>
  <c r="H1423" i="4"/>
  <c r="H1424" i="4"/>
  <c r="H1425" i="4"/>
  <c r="H1427" i="4"/>
  <c r="H1429" i="4"/>
  <c r="H1431" i="4"/>
  <c r="H1432" i="4"/>
  <c r="H1441" i="4"/>
  <c r="H1436" i="4"/>
  <c r="H1433" i="4"/>
  <c r="H1438" i="4"/>
  <c r="H1434" i="4"/>
  <c r="H1437" i="4"/>
  <c r="H1440" i="4"/>
  <c r="H1439" i="4"/>
  <c r="H1443" i="4"/>
  <c r="H1442" i="4"/>
  <c r="H1446" i="4"/>
  <c r="H1444" i="4"/>
  <c r="H1448" i="4"/>
  <c r="H1451" i="4"/>
  <c r="H1450" i="4"/>
  <c r="H1449" i="4"/>
  <c r="H1452" i="4"/>
  <c r="H1455" i="4"/>
  <c r="H1453" i="4"/>
  <c r="H1454" i="4"/>
  <c r="H1456" i="4"/>
  <c r="H1457" i="4"/>
  <c r="H1459" i="4"/>
  <c r="H1460" i="4"/>
  <c r="H1458" i="4"/>
  <c r="H1461" i="4"/>
  <c r="H1463" i="4"/>
  <c r="H1462" i="4"/>
  <c r="H1464" i="4"/>
  <c r="H1466" i="4"/>
  <c r="H1465" i="4"/>
  <c r="H1468" i="4"/>
  <c r="H1469" i="4"/>
  <c r="H1470" i="4"/>
  <c r="H1467" i="4"/>
  <c r="H1471" i="4"/>
  <c r="H1475" i="4"/>
  <c r="H1472" i="4"/>
  <c r="H1479" i="4"/>
  <c r="H1477" i="4"/>
  <c r="H1480" i="4"/>
  <c r="H1473" i="4"/>
  <c r="H1476" i="4"/>
  <c r="H1474" i="4"/>
  <c r="H1485" i="4"/>
  <c r="H1483" i="4"/>
  <c r="H1481" i="4"/>
  <c r="H1484" i="4"/>
  <c r="H1482" i="4"/>
  <c r="H1489" i="4"/>
  <c r="H1487" i="4"/>
  <c r="H1486" i="4"/>
  <c r="H1491" i="4"/>
  <c r="H1493" i="4"/>
  <c r="H1494" i="4"/>
  <c r="H1498" i="4"/>
  <c r="H1499" i="4"/>
  <c r="H1500" i="4"/>
  <c r="H1504" i="4"/>
  <c r="H1505" i="4"/>
  <c r="H1501" i="4"/>
  <c r="H1503" i="4"/>
  <c r="H1502" i="4"/>
  <c r="H1509" i="4"/>
  <c r="H1507" i="4"/>
  <c r="H1506" i="4"/>
  <c r="H1508" i="4"/>
  <c r="H1514" i="4"/>
  <c r="H1517" i="4"/>
  <c r="H1516" i="4"/>
  <c r="H1512" i="4"/>
  <c r="H1511" i="4"/>
  <c r="H1518" i="4"/>
  <c r="H1521" i="4"/>
  <c r="H1524" i="4"/>
  <c r="H1522" i="4"/>
  <c r="H1523" i="4"/>
  <c r="H1527" i="4"/>
  <c r="H1529" i="4"/>
  <c r="H1528" i="4"/>
  <c r="H1530" i="4"/>
  <c r="H1526" i="4"/>
  <c r="H1532" i="4"/>
  <c r="H1533" i="4"/>
  <c r="H1534" i="4"/>
  <c r="H1536" i="4"/>
  <c r="H1535" i="4"/>
  <c r="H1542" i="4"/>
  <c r="H1543" i="4"/>
  <c r="H1544" i="4"/>
  <c r="H1545" i="4"/>
  <c r="H1553" i="4"/>
  <c r="H1558" i="4"/>
  <c r="H1557" i="4"/>
  <c r="H1559" i="4"/>
  <c r="H1561" i="4"/>
  <c r="H1566" i="4"/>
  <c r="H1564" i="4"/>
  <c r="H1562" i="4"/>
  <c r="H1563" i="4"/>
  <c r="H1565" i="4"/>
  <c r="H1567" i="4"/>
  <c r="H1571" i="4"/>
  <c r="H1569" i="4"/>
  <c r="H1568" i="4"/>
  <c r="H1570" i="4"/>
  <c r="H1573" i="4"/>
  <c r="H1572" i="4"/>
  <c r="H1575" i="4"/>
  <c r="H1577" i="4"/>
  <c r="H1578" i="4"/>
  <c r="H1576" i="4"/>
  <c r="H1579" i="4"/>
  <c r="H1582" i="4"/>
  <c r="H1587" i="4"/>
  <c r="H1584" i="4"/>
  <c r="H1586" i="4"/>
  <c r="H1585" i="4"/>
  <c r="H1590" i="4"/>
  <c r="H1589" i="4"/>
  <c r="H1593" i="4"/>
  <c r="H1592" i="4"/>
  <c r="H1595" i="4"/>
  <c r="H1596" i="4"/>
  <c r="H1599" i="4"/>
  <c r="H1598" i="4"/>
  <c r="H1597" i="4"/>
  <c r="H1600" i="4"/>
  <c r="H1601" i="4"/>
  <c r="H1606" i="4"/>
  <c r="H1607" i="4"/>
  <c r="H1605" i="4"/>
  <c r="H1604" i="4"/>
  <c r="H1609" i="4"/>
  <c r="H1610" i="4"/>
  <c r="H1612" i="4"/>
  <c r="H1611" i="4"/>
  <c r="H1613" i="4"/>
  <c r="H1614" i="4"/>
  <c r="H1615" i="4"/>
  <c r="H1621" i="4"/>
  <c r="H1619" i="4"/>
  <c r="H1620" i="4"/>
  <c r="H1618" i="4"/>
  <c r="H1622" i="4"/>
  <c r="H1616" i="4"/>
  <c r="H1623" i="4"/>
  <c r="H1625" i="4"/>
  <c r="H1627" i="4"/>
  <c r="H1626" i="4"/>
  <c r="H1628" i="4"/>
  <c r="H1630" i="4"/>
  <c r="H1632" i="4"/>
  <c r="H1634" i="4"/>
  <c r="H1633" i="4"/>
  <c r="H1631" i="4"/>
  <c r="H1637" i="4"/>
  <c r="H1646" i="4"/>
  <c r="H1636" i="4"/>
  <c r="H1641" i="4"/>
  <c r="H1642" i="4"/>
  <c r="H1635" i="4"/>
  <c r="H1643" i="4"/>
  <c r="H1640" i="4"/>
  <c r="H1645" i="4"/>
  <c r="H1651" i="4"/>
  <c r="H1650" i="4"/>
  <c r="H1648" i="4"/>
  <c r="H1647" i="4"/>
  <c r="H1652" i="4"/>
  <c r="H1654" i="4"/>
  <c r="H1655" i="4"/>
  <c r="H1661" i="4"/>
  <c r="H1659" i="4"/>
  <c r="H1660" i="4"/>
  <c r="H1656" i="4"/>
  <c r="H1664" i="4"/>
  <c r="H1668" i="4"/>
  <c r="H1665" i="4"/>
  <c r="H1666" i="4"/>
  <c r="H1669" i="4"/>
  <c r="H1673" i="4"/>
  <c r="H1674" i="4"/>
  <c r="H1672" i="4"/>
  <c r="H1675" i="4"/>
  <c r="H1677" i="4"/>
  <c r="H1676" i="4"/>
  <c r="H1679" i="4"/>
  <c r="H1680" i="4"/>
  <c r="H1678" i="4"/>
  <c r="H1681" i="4"/>
  <c r="H1683" i="4"/>
  <c r="H1686" i="4"/>
  <c r="H1689" i="4"/>
  <c r="H1688" i="4"/>
  <c r="H1687" i="4"/>
  <c r="H1690" i="4"/>
  <c r="H1700" i="4"/>
  <c r="H1693" i="4"/>
  <c r="H1697" i="4"/>
  <c r="H1694" i="4"/>
  <c r="H1702" i="4"/>
  <c r="H1704" i="4"/>
  <c r="H1705" i="4"/>
  <c r="H1706" i="4"/>
  <c r="H1708" i="4"/>
  <c r="H1707" i="4"/>
  <c r="H1709" i="4"/>
  <c r="H1710" i="4"/>
  <c r="H1714" i="4"/>
  <c r="H1712" i="4"/>
  <c r="H1711" i="4"/>
  <c r="H1713" i="4"/>
  <c r="H1716" i="4"/>
  <c r="H1715" i="4"/>
  <c r="H1722" i="4"/>
  <c r="H1717" i="4"/>
  <c r="H1720" i="4"/>
  <c r="H1719" i="4"/>
  <c r="H1723" i="4"/>
  <c r="H1724" i="4"/>
  <c r="H1726" i="4"/>
  <c r="H1725" i="4"/>
  <c r="H1728" i="4"/>
  <c r="H1729" i="4"/>
  <c r="H1734" i="4"/>
  <c r="H1732" i="4"/>
  <c r="H1733" i="4"/>
  <c r="H1735" i="4"/>
  <c r="H1730" i="4"/>
  <c r="H1731" i="4"/>
  <c r="H1742" i="4"/>
  <c r="H1737" i="4"/>
  <c r="H1741" i="4"/>
  <c r="H1740" i="4"/>
  <c r="H1739" i="4"/>
  <c r="H1738" i="4"/>
  <c r="H1744" i="4"/>
  <c r="H1745" i="4"/>
  <c r="H1748" i="4"/>
  <c r="H1749" i="4"/>
  <c r="H1747" i="4"/>
  <c r="H1750" i="4"/>
  <c r="H1751" i="4"/>
  <c r="H1753" i="4"/>
  <c r="H1752" i="4"/>
  <c r="H1755" i="4"/>
  <c r="H1756" i="4"/>
  <c r="H1754" i="4"/>
  <c r="H1757" i="4"/>
  <c r="H1758" i="4"/>
  <c r="H1762" i="4"/>
  <c r="H1763" i="4"/>
  <c r="H1764" i="4"/>
  <c r="H1761" i="4"/>
  <c r="H1766" i="4"/>
  <c r="H1765" i="4"/>
  <c r="H1759" i="4"/>
  <c r="H1760" i="4"/>
  <c r="H1767" i="4"/>
  <c r="H1769" i="4"/>
  <c r="H1775" i="4"/>
  <c r="H1774" i="4"/>
  <c r="H1772" i="4"/>
  <c r="H1771" i="4"/>
  <c r="H1780" i="4"/>
  <c r="H1781" i="4"/>
  <c r="H1779" i="4"/>
  <c r="H1790" i="4"/>
  <c r="H1788" i="4"/>
  <c r="H1784" i="4"/>
  <c r="H1787" i="4"/>
  <c r="H1793" i="4"/>
  <c r="H1783" i="4"/>
  <c r="H1789" i="4"/>
  <c r="H1795" i="4"/>
  <c r="H1794" i="4"/>
  <c r="H1797" i="4"/>
  <c r="H1796" i="4"/>
  <c r="H1798" i="4"/>
  <c r="H1804" i="4"/>
  <c r="H1801" i="4"/>
  <c r="H1800" i="4"/>
  <c r="H1799" i="4"/>
  <c r="H1805" i="4"/>
  <c r="H1807" i="4"/>
  <c r="H1811" i="4"/>
  <c r="H1813" i="4"/>
  <c r="H1812" i="4"/>
  <c r="H1806" i="4"/>
  <c r="H1810" i="4"/>
  <c r="H1808" i="4"/>
  <c r="H1819" i="4"/>
  <c r="H1815" i="4"/>
  <c r="H1817" i="4"/>
  <c r="H1818" i="4"/>
  <c r="H1814" i="4"/>
  <c r="H1816" i="4"/>
  <c r="H1820" i="4"/>
  <c r="H1824" i="4"/>
  <c r="H1825" i="4"/>
  <c r="H1823" i="4"/>
  <c r="H1822" i="4"/>
  <c r="H1828" i="4"/>
  <c r="H1826" i="4"/>
  <c r="H1827" i="4"/>
  <c r="H1821" i="4"/>
  <c r="H1829" i="4"/>
  <c r="H1830" i="4"/>
  <c r="H1831" i="4"/>
  <c r="H1832" i="4"/>
  <c r="H1841" i="4"/>
  <c r="H1835" i="4"/>
  <c r="H1836" i="4"/>
  <c r="H1840" i="4"/>
  <c r="H1842" i="4"/>
  <c r="H1838" i="4"/>
  <c r="H1837" i="4"/>
  <c r="H1839" i="4"/>
  <c r="H1834" i="4"/>
  <c r="H1846" i="4"/>
  <c r="H1848" i="4"/>
  <c r="H1851" i="4"/>
  <c r="H1855" i="4"/>
  <c r="H1854" i="4"/>
  <c r="H1864" i="4"/>
  <c r="H1863" i="4"/>
  <c r="H1860" i="4"/>
  <c r="H1858" i="4"/>
  <c r="H1867" i="4"/>
  <c r="H1866" i="4"/>
  <c r="H1865" i="4"/>
  <c r="H1868" i="4"/>
  <c r="H1871" i="4"/>
  <c r="H1869" i="4"/>
  <c r="H1870" i="4"/>
  <c r="H1872" i="4"/>
  <c r="H1874" i="4"/>
  <c r="H1873" i="4"/>
  <c r="H1878" i="4"/>
  <c r="H1876" i="4"/>
  <c r="H1875" i="4"/>
  <c r="H1877" i="4"/>
  <c r="H1880" i="4"/>
  <c r="H1881" i="4"/>
  <c r="H1882" i="4"/>
  <c r="H1883" i="4"/>
  <c r="H1884" i="4"/>
  <c r="H1885" i="4"/>
  <c r="H1887" i="4"/>
  <c r="H1889" i="4"/>
  <c r="H1891" i="4"/>
  <c r="H1893" i="4"/>
  <c r="H1895" i="4"/>
  <c r="H1896" i="4"/>
  <c r="H1897" i="4"/>
  <c r="H1902" i="4"/>
  <c r="H1903" i="4"/>
  <c r="H1907" i="4"/>
  <c r="H1911" i="4"/>
  <c r="H1910" i="4"/>
  <c r="H1914" i="4"/>
  <c r="H1915" i="4"/>
  <c r="H1916" i="4"/>
  <c r="H1917" i="4"/>
  <c r="H1919" i="4"/>
  <c r="H1918" i="4"/>
  <c r="H1923" i="4"/>
  <c r="H1927" i="4"/>
  <c r="H1928" i="4"/>
  <c r="H1929" i="4"/>
  <c r="H1930" i="4"/>
  <c r="H1932" i="4"/>
  <c r="H1933" i="4"/>
  <c r="H1934" i="4"/>
  <c r="H1937" i="4"/>
  <c r="H1935" i="4"/>
  <c r="H1936" i="4"/>
  <c r="H1938" i="4"/>
  <c r="H1940" i="4"/>
  <c r="H1942" i="4"/>
  <c r="H1941" i="4"/>
  <c r="H1943" i="4"/>
  <c r="H1944" i="4"/>
  <c r="H1947" i="4"/>
  <c r="H1946" i="4"/>
  <c r="I1284" i="4"/>
  <c r="I1288" i="4"/>
  <c r="I1306" i="4"/>
  <c r="I1305" i="4"/>
  <c r="I1307" i="4"/>
  <c r="I1310" i="4"/>
  <c r="I1323" i="4"/>
  <c r="I1342" i="4"/>
  <c r="I1351" i="4"/>
  <c r="I1362" i="4"/>
  <c r="I1361" i="4"/>
  <c r="I1382" i="4"/>
  <c r="I1383" i="4"/>
  <c r="I1386" i="4"/>
  <c r="I1393" i="4"/>
  <c r="I1404" i="4"/>
  <c r="I1406" i="4"/>
  <c r="I1415" i="4"/>
  <c r="I1424" i="4"/>
  <c r="I1425" i="4"/>
  <c r="I1433" i="4"/>
  <c r="I1446" i="4"/>
  <c r="I1444" i="4"/>
  <c r="I1463" i="4"/>
  <c r="I1462" i="4"/>
  <c r="I1466" i="4"/>
  <c r="I1476" i="4"/>
  <c r="I1474" i="4"/>
  <c r="I1487" i="4"/>
  <c r="I1504" i="4"/>
  <c r="I1505" i="4"/>
  <c r="I1524" i="4"/>
  <c r="I1522" i="4"/>
  <c r="I1532" i="4"/>
  <c r="I1545" i="4"/>
  <c r="I1553" i="4"/>
  <c r="I1562" i="4"/>
  <c r="I1573" i="4"/>
  <c r="I1572" i="4"/>
  <c r="I1595" i="4"/>
  <c r="I1596" i="4"/>
  <c r="I1614" i="4"/>
  <c r="I1615" i="4"/>
  <c r="I1633" i="4"/>
  <c r="I1631" i="4"/>
  <c r="I1643" i="4"/>
  <c r="I1654" i="4"/>
  <c r="I1655" i="4"/>
  <c r="I1676" i="4"/>
  <c r="I1679" i="4"/>
  <c r="I1704" i="4"/>
  <c r="I1705" i="4"/>
  <c r="I1719" i="4"/>
  <c r="I1723" i="4"/>
  <c r="I1732" i="4"/>
  <c r="I1740" i="4"/>
  <c r="I1739" i="4"/>
  <c r="I1758" i="4"/>
  <c r="I1762" i="4"/>
  <c r="I1781" i="4"/>
  <c r="I1779" i="4"/>
  <c r="I1800" i="4"/>
  <c r="I1799" i="4"/>
  <c r="I1820" i="4"/>
  <c r="I1821" i="4"/>
  <c r="I1840" i="4"/>
  <c r="I1842" i="4"/>
  <c r="I1866" i="4"/>
  <c r="I1865" i="4"/>
  <c r="I1883" i="4"/>
  <c r="I1884" i="4"/>
  <c r="I1915" i="4"/>
  <c r="I1938" i="4"/>
  <c r="I1940" i="4"/>
  <c r="M1284" i="4"/>
  <c r="M1287" i="4"/>
  <c r="M1286" i="4"/>
  <c r="M1288" i="4"/>
  <c r="M1294" i="4"/>
  <c r="M1298" i="4"/>
  <c r="M1296" i="4"/>
  <c r="M1297" i="4"/>
  <c r="M1299" i="4"/>
  <c r="M1300" i="4"/>
  <c r="M1302" i="4"/>
  <c r="M1303" i="4"/>
  <c r="M1306" i="4"/>
  <c r="M1305" i="4"/>
  <c r="M1304" i="4"/>
  <c r="M1307" i="4"/>
  <c r="M1310" i="4"/>
  <c r="M1308" i="4"/>
  <c r="M1314" i="4"/>
  <c r="M1319" i="4"/>
  <c r="M1320" i="4"/>
  <c r="M1318" i="4"/>
  <c r="M1321" i="4"/>
  <c r="M1326" i="4"/>
  <c r="M1324" i="4"/>
  <c r="M1322" i="4"/>
  <c r="M1327" i="4"/>
  <c r="M1323" i="4"/>
  <c r="M1329" i="4"/>
  <c r="M1337" i="4"/>
  <c r="M1336" i="4"/>
  <c r="M1338" i="4"/>
  <c r="M1340" i="4"/>
  <c r="M1339" i="4"/>
  <c r="M1341" i="4"/>
  <c r="M1344" i="4"/>
  <c r="M1342" i="4"/>
  <c r="M1343" i="4"/>
  <c r="M1346" i="4"/>
  <c r="M1345" i="4"/>
  <c r="M1349" i="4"/>
  <c r="M1348" i="4"/>
  <c r="M1352" i="4"/>
  <c r="M1351" i="4"/>
  <c r="M1350" i="4"/>
  <c r="M1354" i="4"/>
  <c r="M1355" i="4"/>
  <c r="M1353" i="4"/>
  <c r="M1358" i="4"/>
  <c r="M1357" i="4"/>
  <c r="M1356" i="4"/>
  <c r="M1362" i="4"/>
  <c r="M1361" i="4"/>
  <c r="M1363" i="4"/>
  <c r="M1368" i="4"/>
  <c r="M1370" i="4"/>
  <c r="M1369" i="4"/>
  <c r="M1373" i="4"/>
  <c r="M1374" i="4"/>
  <c r="M1376" i="4"/>
  <c r="M1377" i="4"/>
  <c r="M1375" i="4"/>
  <c r="M1378" i="4"/>
  <c r="M1380" i="4"/>
  <c r="M1379" i="4"/>
  <c r="M1381" i="4"/>
  <c r="M1384" i="4"/>
  <c r="M1382" i="4"/>
  <c r="M1383" i="4"/>
  <c r="M1388" i="4"/>
  <c r="M1386" i="4"/>
  <c r="M1392" i="4"/>
  <c r="M1391" i="4"/>
  <c r="M1390" i="4"/>
  <c r="M1387" i="4"/>
  <c r="M1393" i="4"/>
  <c r="M1395" i="4"/>
  <c r="M1394" i="4"/>
  <c r="M1397" i="4"/>
  <c r="M1396" i="4"/>
  <c r="M1398" i="4"/>
  <c r="M1402" i="4"/>
  <c r="M1407" i="4"/>
  <c r="M1404" i="4"/>
  <c r="M1406" i="4"/>
  <c r="M1408" i="4"/>
  <c r="M1410" i="4"/>
  <c r="M1414" i="4"/>
  <c r="M1413" i="4"/>
  <c r="M1411" i="4"/>
  <c r="M1412" i="4"/>
  <c r="M1415" i="4"/>
  <c r="M1416" i="4"/>
  <c r="M1422" i="4"/>
  <c r="M1419" i="4"/>
  <c r="M1421" i="4"/>
  <c r="M1418" i="4"/>
  <c r="M1420" i="4"/>
  <c r="M1423" i="4"/>
  <c r="M1424" i="4"/>
  <c r="M1425" i="4"/>
  <c r="M1427" i="4"/>
  <c r="M1429" i="4"/>
  <c r="M1431" i="4"/>
  <c r="M1432" i="4"/>
  <c r="M1441" i="4"/>
  <c r="M1436" i="4"/>
  <c r="M1433" i="4"/>
  <c r="M1438" i="4"/>
  <c r="M1434" i="4"/>
  <c r="M1437" i="4"/>
  <c r="M1440" i="4"/>
  <c r="M1439" i="4"/>
  <c r="M1443" i="4"/>
  <c r="M1442" i="4"/>
  <c r="M1446" i="4"/>
  <c r="M1444" i="4"/>
  <c r="M1448" i="4"/>
  <c r="M1451" i="4"/>
  <c r="M1450" i="4"/>
  <c r="M1449" i="4"/>
  <c r="M1452" i="4"/>
  <c r="M1455" i="4"/>
  <c r="M1453" i="4"/>
  <c r="M1454" i="4"/>
  <c r="M1456" i="4"/>
  <c r="M1457" i="4"/>
  <c r="M1459" i="4"/>
  <c r="M1460" i="4"/>
  <c r="M1458" i="4"/>
  <c r="M1461" i="4"/>
  <c r="M1463" i="4"/>
  <c r="M1462" i="4"/>
  <c r="M1464" i="4"/>
  <c r="M1466" i="4"/>
  <c r="M1465" i="4"/>
  <c r="M1468" i="4"/>
  <c r="M1469" i="4"/>
  <c r="M1470" i="4"/>
  <c r="M1467" i="4"/>
  <c r="M1471" i="4"/>
  <c r="M1475" i="4"/>
  <c r="M1472" i="4"/>
  <c r="M1479" i="4"/>
  <c r="M1477" i="4"/>
  <c r="M1480" i="4"/>
  <c r="M1473" i="4"/>
  <c r="M1476" i="4"/>
  <c r="M1474" i="4"/>
  <c r="M1485" i="4"/>
  <c r="M1483" i="4"/>
  <c r="M1481" i="4"/>
  <c r="M1484" i="4"/>
  <c r="M1482" i="4"/>
  <c r="M1489" i="4"/>
  <c r="M1487" i="4"/>
  <c r="M1486" i="4"/>
  <c r="M1491" i="4"/>
  <c r="M1493" i="4"/>
  <c r="M1494" i="4"/>
  <c r="M1498" i="4"/>
  <c r="M1499" i="4"/>
  <c r="M1500" i="4"/>
  <c r="M1504" i="4"/>
  <c r="M1505" i="4"/>
  <c r="M1501" i="4"/>
  <c r="M1503" i="4"/>
  <c r="M1502" i="4"/>
  <c r="M1509" i="4"/>
  <c r="M1507" i="4"/>
  <c r="M1506" i="4"/>
  <c r="M1508" i="4"/>
  <c r="M1514" i="4"/>
  <c r="M1517" i="4"/>
  <c r="M1516" i="4"/>
  <c r="M1512" i="4"/>
  <c r="M1511" i="4"/>
  <c r="M1518" i="4"/>
  <c r="M1521" i="4"/>
  <c r="M1524" i="4"/>
  <c r="M1522" i="4"/>
  <c r="M1523" i="4"/>
  <c r="M1527" i="4"/>
  <c r="M1529" i="4"/>
  <c r="M1528" i="4"/>
  <c r="M1530" i="4"/>
  <c r="M1526" i="4"/>
  <c r="M1532" i="4"/>
  <c r="M1533" i="4"/>
  <c r="M1534" i="4"/>
  <c r="M1536" i="4"/>
  <c r="M1535" i="4"/>
  <c r="M1542" i="4"/>
  <c r="M1543" i="4"/>
  <c r="M1544" i="4"/>
  <c r="M1545" i="4"/>
  <c r="M1553" i="4"/>
  <c r="M1558" i="4"/>
  <c r="M1557" i="4"/>
  <c r="M1559" i="4"/>
  <c r="M1561" i="4"/>
  <c r="M1566" i="4"/>
  <c r="M1564" i="4"/>
  <c r="M1562" i="4"/>
  <c r="M1563" i="4"/>
  <c r="M1565" i="4"/>
  <c r="M1567" i="4"/>
  <c r="M1571" i="4"/>
  <c r="M1569" i="4"/>
  <c r="M1568" i="4"/>
  <c r="M1570" i="4"/>
  <c r="M1573" i="4"/>
  <c r="M1572" i="4"/>
  <c r="M1575" i="4"/>
  <c r="M1577" i="4"/>
  <c r="M1578" i="4"/>
  <c r="M1576" i="4"/>
  <c r="M1579" i="4"/>
  <c r="M1582" i="4"/>
  <c r="M1587" i="4"/>
  <c r="M1584" i="4"/>
  <c r="M1586" i="4"/>
  <c r="M1585" i="4"/>
  <c r="M1590" i="4"/>
  <c r="M1589" i="4"/>
  <c r="M1593" i="4"/>
  <c r="M1592" i="4"/>
  <c r="M1595" i="4"/>
  <c r="M1596" i="4"/>
  <c r="M1599" i="4"/>
  <c r="M1598" i="4"/>
  <c r="M1597" i="4"/>
  <c r="M1600" i="4"/>
  <c r="M1601" i="4"/>
  <c r="M1606" i="4"/>
  <c r="M1607" i="4"/>
  <c r="M1605" i="4"/>
  <c r="M1604" i="4"/>
  <c r="M1609" i="4"/>
  <c r="M1610" i="4"/>
  <c r="M1612" i="4"/>
  <c r="M1611" i="4"/>
  <c r="M1613" i="4"/>
  <c r="M1614" i="4"/>
  <c r="M1615" i="4"/>
  <c r="M1621" i="4"/>
  <c r="M1619" i="4"/>
  <c r="M1620" i="4"/>
  <c r="M1618" i="4"/>
  <c r="M1622" i="4"/>
  <c r="M1616" i="4"/>
  <c r="M1623" i="4"/>
  <c r="M1625" i="4"/>
  <c r="M1627" i="4"/>
  <c r="M1626" i="4"/>
  <c r="M1628" i="4"/>
  <c r="M1630" i="4"/>
  <c r="M1632" i="4"/>
  <c r="M1634" i="4"/>
  <c r="M1633" i="4"/>
  <c r="M1631" i="4"/>
  <c r="M1637" i="4"/>
  <c r="M1646" i="4"/>
  <c r="M1636" i="4"/>
  <c r="M1641" i="4"/>
  <c r="M1642" i="4"/>
  <c r="M1635" i="4"/>
  <c r="M1643" i="4"/>
  <c r="M1640" i="4"/>
  <c r="M1645" i="4"/>
  <c r="M1651" i="4"/>
  <c r="M1650" i="4"/>
  <c r="M1648" i="4"/>
  <c r="M1647" i="4"/>
  <c r="M1652" i="4"/>
  <c r="M1654" i="4"/>
  <c r="M1655" i="4"/>
  <c r="M1661" i="4"/>
  <c r="M1659" i="4"/>
  <c r="M1660" i="4"/>
  <c r="M1656" i="4"/>
  <c r="M1664" i="4"/>
  <c r="M1668" i="4"/>
  <c r="M1665" i="4"/>
  <c r="M1666" i="4"/>
  <c r="M1669" i="4"/>
  <c r="M1673" i="4"/>
  <c r="M1674" i="4"/>
  <c r="M1672" i="4"/>
  <c r="M1675" i="4"/>
  <c r="M1677" i="4"/>
  <c r="M1676" i="4"/>
  <c r="M1679" i="4"/>
  <c r="M1680" i="4"/>
  <c r="M1678" i="4"/>
  <c r="M1681" i="4"/>
  <c r="M1683" i="4"/>
  <c r="M1686" i="4"/>
  <c r="M1689" i="4"/>
  <c r="M1688" i="4"/>
  <c r="M1687" i="4"/>
  <c r="M1690" i="4"/>
  <c r="M1700" i="4"/>
  <c r="M1693" i="4"/>
  <c r="M1697" i="4"/>
  <c r="M1694" i="4"/>
  <c r="M1702" i="4"/>
  <c r="M1704" i="4"/>
  <c r="M1705" i="4"/>
  <c r="M1706" i="4"/>
  <c r="M1708" i="4"/>
  <c r="M1707" i="4"/>
  <c r="M1709" i="4"/>
  <c r="M1710" i="4"/>
  <c r="M1714" i="4"/>
  <c r="M1712" i="4"/>
  <c r="M1711" i="4"/>
  <c r="M1713" i="4"/>
  <c r="M1716" i="4"/>
  <c r="M1715" i="4"/>
  <c r="M1722" i="4"/>
  <c r="M1717" i="4"/>
  <c r="M1720" i="4"/>
  <c r="M1719" i="4"/>
  <c r="M1723" i="4"/>
  <c r="M1724" i="4"/>
  <c r="M1726" i="4"/>
  <c r="M1725" i="4"/>
  <c r="M1728" i="4"/>
  <c r="M1729" i="4"/>
  <c r="M1734" i="4"/>
  <c r="M1732" i="4"/>
  <c r="M1733" i="4"/>
  <c r="M1735" i="4"/>
  <c r="M1730" i="4"/>
  <c r="M1731" i="4"/>
  <c r="M1742" i="4"/>
  <c r="M1737" i="4"/>
  <c r="M1741" i="4"/>
  <c r="M1740" i="4"/>
  <c r="M1739" i="4"/>
  <c r="M1738" i="4"/>
  <c r="M1744" i="4"/>
  <c r="M1745" i="4"/>
  <c r="M1748" i="4"/>
  <c r="M1749" i="4"/>
  <c r="M1747" i="4"/>
  <c r="M1750" i="4"/>
  <c r="M1751" i="4"/>
  <c r="M1753" i="4"/>
  <c r="M1752" i="4"/>
  <c r="M1755" i="4"/>
  <c r="M1756" i="4"/>
  <c r="M1754" i="4"/>
  <c r="M1757" i="4"/>
  <c r="M1758" i="4"/>
  <c r="M1762" i="4"/>
  <c r="M1763" i="4"/>
  <c r="M1764" i="4"/>
  <c r="M1761" i="4"/>
  <c r="M1766" i="4"/>
  <c r="M1765" i="4"/>
  <c r="M1759" i="4"/>
  <c r="M1760" i="4"/>
  <c r="M1767" i="4"/>
  <c r="M1769" i="4"/>
  <c r="M1775" i="4"/>
  <c r="M1774" i="4"/>
  <c r="M1772" i="4"/>
  <c r="M1771" i="4"/>
  <c r="M1780" i="4"/>
  <c r="M1781" i="4"/>
  <c r="M1779" i="4"/>
  <c r="M1790" i="4"/>
  <c r="M1788" i="4"/>
  <c r="M1784" i="4"/>
  <c r="M1787" i="4"/>
  <c r="M1793" i="4"/>
  <c r="M1783" i="4"/>
  <c r="M1789" i="4"/>
  <c r="M1795" i="4"/>
  <c r="M1794" i="4"/>
  <c r="M1797" i="4"/>
  <c r="M1796" i="4"/>
  <c r="M1798" i="4"/>
  <c r="M1804" i="4"/>
  <c r="M1801" i="4"/>
  <c r="M1800" i="4"/>
  <c r="M1799" i="4"/>
  <c r="M1805" i="4"/>
  <c r="M1807" i="4"/>
  <c r="M1811" i="4"/>
  <c r="M1813" i="4"/>
  <c r="M1812" i="4"/>
  <c r="M1806" i="4"/>
  <c r="M1810" i="4"/>
  <c r="M1808" i="4"/>
  <c r="M1819" i="4"/>
  <c r="M1815" i="4"/>
  <c r="M1817" i="4"/>
  <c r="M1818" i="4"/>
  <c r="M1814" i="4"/>
  <c r="M1816" i="4"/>
  <c r="M1820" i="4"/>
  <c r="M1824" i="4"/>
  <c r="M1825" i="4"/>
  <c r="M1823" i="4"/>
  <c r="M1822" i="4"/>
  <c r="M1828" i="4"/>
  <c r="M1826" i="4"/>
  <c r="M1827" i="4"/>
  <c r="M1821" i="4"/>
  <c r="M1829" i="4"/>
  <c r="M1830" i="4"/>
  <c r="M1831" i="4"/>
  <c r="M1832" i="4"/>
  <c r="M1841" i="4"/>
  <c r="M1835" i="4"/>
  <c r="M1836" i="4"/>
  <c r="M1840" i="4"/>
  <c r="M1842" i="4"/>
  <c r="M1838" i="4"/>
  <c r="M1837" i="4"/>
  <c r="M1839" i="4"/>
  <c r="M1834" i="4"/>
  <c r="M1846" i="4"/>
  <c r="M1848" i="4"/>
  <c r="M1851" i="4"/>
  <c r="M1855" i="4"/>
  <c r="M1854" i="4"/>
  <c r="M1864" i="4"/>
  <c r="M1863" i="4"/>
  <c r="M1860" i="4"/>
  <c r="M1858" i="4"/>
  <c r="M1867" i="4"/>
  <c r="M1866" i="4"/>
  <c r="M1865" i="4"/>
  <c r="M1868" i="4"/>
  <c r="M1871" i="4"/>
  <c r="M1869" i="4"/>
  <c r="M1870" i="4"/>
  <c r="M1872" i="4"/>
  <c r="M1874" i="4"/>
  <c r="M1873" i="4"/>
  <c r="M1878" i="4"/>
  <c r="M1876" i="4"/>
  <c r="M1875" i="4"/>
  <c r="M1877" i="4"/>
  <c r="M1880" i="4"/>
  <c r="M1881" i="4"/>
  <c r="M1882" i="4"/>
  <c r="M1883" i="4"/>
  <c r="M1884" i="4"/>
  <c r="M1885" i="4"/>
  <c r="M1887" i="4"/>
  <c r="M1889" i="4"/>
  <c r="M1891" i="4"/>
  <c r="M1893" i="4"/>
  <c r="M1895" i="4"/>
  <c r="M1896" i="4"/>
  <c r="M1897" i="4"/>
  <c r="M1902" i="4"/>
  <c r="M1903" i="4"/>
  <c r="M1907" i="4"/>
  <c r="M1911" i="4"/>
  <c r="M1910" i="4"/>
  <c r="M1914" i="4"/>
  <c r="M1915" i="4"/>
  <c r="M1916" i="4"/>
  <c r="M1917" i="4"/>
  <c r="M1919" i="4"/>
  <c r="M1918" i="4"/>
  <c r="M1923" i="4"/>
  <c r="M1927" i="4"/>
  <c r="M1928" i="4"/>
  <c r="M1929" i="4"/>
  <c r="M1930" i="4"/>
  <c r="M1932" i="4"/>
  <c r="M1933" i="4"/>
  <c r="M1934" i="4"/>
  <c r="M1937" i="4"/>
  <c r="M1935" i="4"/>
  <c r="M1936" i="4"/>
  <c r="M1938" i="4"/>
  <c r="M1940" i="4"/>
  <c r="M1942" i="4"/>
  <c r="M1941" i="4"/>
  <c r="M1943" i="4"/>
  <c r="M1944" i="4"/>
  <c r="M1947" i="4"/>
  <c r="M1946" i="4"/>
  <c r="N1284" i="4"/>
  <c r="N1287" i="4"/>
  <c r="N1286" i="4"/>
  <c r="N1288" i="4"/>
  <c r="N1294" i="4"/>
  <c r="N1298" i="4"/>
  <c r="N1296" i="4"/>
  <c r="N1297" i="4"/>
  <c r="N1299" i="4"/>
  <c r="N1300" i="4"/>
  <c r="N1302" i="4"/>
  <c r="N1303" i="4"/>
  <c r="N1306" i="4"/>
  <c r="N1305" i="4"/>
  <c r="N1304" i="4"/>
  <c r="N1307" i="4"/>
  <c r="N1310" i="4"/>
  <c r="N1308" i="4"/>
  <c r="N1314" i="4"/>
  <c r="N1319" i="4"/>
  <c r="N1320" i="4"/>
  <c r="N1318" i="4"/>
  <c r="N1321" i="4"/>
  <c r="N1326" i="4"/>
  <c r="N1324" i="4"/>
  <c r="N1322" i="4"/>
  <c r="N1327" i="4"/>
  <c r="N1323" i="4"/>
  <c r="N1329" i="4"/>
  <c r="N1337" i="4"/>
  <c r="N1336" i="4"/>
  <c r="N1338" i="4"/>
  <c r="N1340" i="4"/>
  <c r="N1339" i="4"/>
  <c r="N1341" i="4"/>
  <c r="N1344" i="4"/>
  <c r="N1342" i="4"/>
  <c r="N1343" i="4"/>
  <c r="N1346" i="4"/>
  <c r="N1345" i="4"/>
  <c r="N1349" i="4"/>
  <c r="N1348" i="4"/>
  <c r="N1352" i="4"/>
  <c r="N1351" i="4"/>
  <c r="N1350" i="4"/>
  <c r="N1354" i="4"/>
  <c r="N1355" i="4"/>
  <c r="N1353" i="4"/>
  <c r="N1358" i="4"/>
  <c r="N1357" i="4"/>
  <c r="N1356" i="4"/>
  <c r="N1362" i="4"/>
  <c r="N1361" i="4"/>
  <c r="N1363" i="4"/>
  <c r="N1368" i="4"/>
  <c r="N1370" i="4"/>
  <c r="N1369" i="4"/>
  <c r="N1373" i="4"/>
  <c r="N1374" i="4"/>
  <c r="N1376" i="4"/>
  <c r="N1377" i="4"/>
  <c r="N1375" i="4"/>
  <c r="N1378" i="4"/>
  <c r="N1380" i="4"/>
  <c r="N1379" i="4"/>
  <c r="N1381" i="4"/>
  <c r="N1384" i="4"/>
  <c r="N1382" i="4"/>
  <c r="N1383" i="4"/>
  <c r="N1388" i="4"/>
  <c r="N1386" i="4"/>
  <c r="N1392" i="4"/>
  <c r="N1391" i="4"/>
  <c r="N1390" i="4"/>
  <c r="N1387" i="4"/>
  <c r="N1393" i="4"/>
  <c r="N1395" i="4"/>
  <c r="N1394" i="4"/>
  <c r="N1397" i="4"/>
  <c r="N1396" i="4"/>
  <c r="N1398" i="4"/>
  <c r="N1402" i="4"/>
  <c r="N1407" i="4"/>
  <c r="N1404" i="4"/>
  <c r="N1406" i="4"/>
  <c r="N1408" i="4"/>
  <c r="N1410" i="4"/>
  <c r="N1414" i="4"/>
  <c r="N1413" i="4"/>
  <c r="N1411" i="4"/>
  <c r="N1412" i="4"/>
  <c r="N1415" i="4"/>
  <c r="N1416" i="4"/>
  <c r="N1422" i="4"/>
  <c r="N1419" i="4"/>
  <c r="N1421" i="4"/>
  <c r="N1418" i="4"/>
  <c r="N1420" i="4"/>
  <c r="N1423" i="4"/>
  <c r="N1424" i="4"/>
  <c r="N1425" i="4"/>
  <c r="N1427" i="4"/>
  <c r="N1429" i="4"/>
  <c r="N1431" i="4"/>
  <c r="N1432" i="4"/>
  <c r="N1441" i="4"/>
  <c r="N1436" i="4"/>
  <c r="N1433" i="4"/>
  <c r="N1438" i="4"/>
  <c r="N1434" i="4"/>
  <c r="N1437" i="4"/>
  <c r="N1440" i="4"/>
  <c r="N1439" i="4"/>
  <c r="N1443" i="4"/>
  <c r="N1442" i="4"/>
  <c r="N1446" i="4"/>
  <c r="N1444" i="4"/>
  <c r="N1448" i="4"/>
  <c r="N1451" i="4"/>
  <c r="N1450" i="4"/>
  <c r="N1449" i="4"/>
  <c r="N1452" i="4"/>
  <c r="N1455" i="4"/>
  <c r="N1453" i="4"/>
  <c r="N1454" i="4"/>
  <c r="N1456" i="4"/>
  <c r="N1457" i="4"/>
  <c r="N1459" i="4"/>
  <c r="N1460" i="4"/>
  <c r="N1458" i="4"/>
  <c r="N1461" i="4"/>
  <c r="N1463" i="4"/>
  <c r="N1462" i="4"/>
  <c r="N1464" i="4"/>
  <c r="N1466" i="4"/>
  <c r="N1465" i="4"/>
  <c r="N1468" i="4"/>
  <c r="N1469" i="4"/>
  <c r="N1470" i="4"/>
  <c r="N1467" i="4"/>
  <c r="N1471" i="4"/>
  <c r="N1475" i="4"/>
  <c r="N1472" i="4"/>
  <c r="N1479" i="4"/>
  <c r="N1477" i="4"/>
  <c r="N1480" i="4"/>
  <c r="N1473" i="4"/>
  <c r="N1476" i="4"/>
  <c r="N1474" i="4"/>
  <c r="N1485" i="4"/>
  <c r="N1483" i="4"/>
  <c r="N1481" i="4"/>
  <c r="N1484" i="4"/>
  <c r="N1482" i="4"/>
  <c r="N1489" i="4"/>
  <c r="N1487" i="4"/>
  <c r="N1486" i="4"/>
  <c r="N1491" i="4"/>
  <c r="N1493" i="4"/>
  <c r="N1494" i="4"/>
  <c r="N1498" i="4"/>
  <c r="N1499" i="4"/>
  <c r="N1500" i="4"/>
  <c r="N1504" i="4"/>
  <c r="N1505" i="4"/>
  <c r="N1501" i="4"/>
  <c r="N1503" i="4"/>
  <c r="N1502" i="4"/>
  <c r="N1509" i="4"/>
  <c r="N1507" i="4"/>
  <c r="N1506" i="4"/>
  <c r="N1508" i="4"/>
  <c r="N1514" i="4"/>
  <c r="N1517" i="4"/>
  <c r="N1516" i="4"/>
  <c r="N1512" i="4"/>
  <c r="N1511" i="4"/>
  <c r="N1518" i="4"/>
  <c r="N1521" i="4"/>
  <c r="N1524" i="4"/>
  <c r="N1522" i="4"/>
  <c r="N1523" i="4"/>
  <c r="N1527" i="4"/>
  <c r="N1529" i="4"/>
  <c r="N1528" i="4"/>
  <c r="N1530" i="4"/>
  <c r="N1526" i="4"/>
  <c r="N1532" i="4"/>
  <c r="N1533" i="4"/>
  <c r="N1534" i="4"/>
  <c r="N1536" i="4"/>
  <c r="N1535" i="4"/>
  <c r="N1542" i="4"/>
  <c r="N1543" i="4"/>
  <c r="N1544" i="4"/>
  <c r="N1545" i="4"/>
  <c r="N1553" i="4"/>
  <c r="N1558" i="4"/>
  <c r="N1557" i="4"/>
  <c r="N1559" i="4"/>
  <c r="N1561" i="4"/>
  <c r="N1566" i="4"/>
  <c r="N1564" i="4"/>
  <c r="N1562" i="4"/>
  <c r="N1563" i="4"/>
  <c r="N1565" i="4"/>
  <c r="N1567" i="4"/>
  <c r="N1571" i="4"/>
  <c r="N1569" i="4"/>
  <c r="N1568" i="4"/>
  <c r="N1570" i="4"/>
  <c r="N1573" i="4"/>
  <c r="N1572" i="4"/>
  <c r="N1575" i="4"/>
  <c r="N1577" i="4"/>
  <c r="N1578" i="4"/>
  <c r="N1576" i="4"/>
  <c r="N1579" i="4"/>
  <c r="N1582" i="4"/>
  <c r="N1587" i="4"/>
  <c r="N1584" i="4"/>
  <c r="N1586" i="4"/>
  <c r="N1585" i="4"/>
  <c r="N1590" i="4"/>
  <c r="N1589" i="4"/>
  <c r="N1593" i="4"/>
  <c r="N1592" i="4"/>
  <c r="N1595" i="4"/>
  <c r="N1596" i="4"/>
  <c r="N1599" i="4"/>
  <c r="N1598" i="4"/>
  <c r="N1597" i="4"/>
  <c r="N1600" i="4"/>
  <c r="N1601" i="4"/>
  <c r="N1606" i="4"/>
  <c r="N1607" i="4"/>
  <c r="N1605" i="4"/>
  <c r="N1604" i="4"/>
  <c r="N1609" i="4"/>
  <c r="N1610" i="4"/>
  <c r="N1612" i="4"/>
  <c r="N1611" i="4"/>
  <c r="N1613" i="4"/>
  <c r="N1614" i="4"/>
  <c r="N1615" i="4"/>
  <c r="N1621" i="4"/>
  <c r="N1619" i="4"/>
  <c r="N1620" i="4"/>
  <c r="N1618" i="4"/>
  <c r="N1622" i="4"/>
  <c r="N1616" i="4"/>
  <c r="N1623" i="4"/>
  <c r="N1625" i="4"/>
  <c r="N1627" i="4"/>
  <c r="N1626" i="4"/>
  <c r="N1628" i="4"/>
  <c r="N1630" i="4"/>
  <c r="N1632" i="4"/>
  <c r="N1634" i="4"/>
  <c r="N1633" i="4"/>
  <c r="N1631" i="4"/>
  <c r="N1637" i="4"/>
  <c r="N1646" i="4"/>
  <c r="N1636" i="4"/>
  <c r="N1641" i="4"/>
  <c r="N1642" i="4"/>
  <c r="N1635" i="4"/>
  <c r="N1643" i="4"/>
  <c r="N1640" i="4"/>
  <c r="N1645" i="4"/>
  <c r="N1651" i="4"/>
  <c r="N1650" i="4"/>
  <c r="N1648" i="4"/>
  <c r="N1647" i="4"/>
  <c r="N1652" i="4"/>
  <c r="N1654" i="4"/>
  <c r="N1655" i="4"/>
  <c r="N1661" i="4"/>
  <c r="N1659" i="4"/>
  <c r="N1660" i="4"/>
  <c r="N1656" i="4"/>
  <c r="N1664" i="4"/>
  <c r="N1668" i="4"/>
  <c r="N1665" i="4"/>
  <c r="N1666" i="4"/>
  <c r="N1669" i="4"/>
  <c r="N1673" i="4"/>
  <c r="N1674" i="4"/>
  <c r="N1672" i="4"/>
  <c r="N1675" i="4"/>
  <c r="N1677" i="4"/>
  <c r="N1676" i="4"/>
  <c r="N1679" i="4"/>
  <c r="N1680" i="4"/>
  <c r="N1678" i="4"/>
  <c r="N1681" i="4"/>
  <c r="N1683" i="4"/>
  <c r="N1686" i="4"/>
  <c r="N1689" i="4"/>
  <c r="N1688" i="4"/>
  <c r="N1687" i="4"/>
  <c r="N1690" i="4"/>
  <c r="N1700" i="4"/>
  <c r="N1693" i="4"/>
  <c r="N1697" i="4"/>
  <c r="N1694" i="4"/>
  <c r="N1702" i="4"/>
  <c r="N1704" i="4"/>
  <c r="N1705" i="4"/>
  <c r="N1706" i="4"/>
  <c r="N1708" i="4"/>
  <c r="N1707" i="4"/>
  <c r="N1709" i="4"/>
  <c r="N1710" i="4"/>
  <c r="N1714" i="4"/>
  <c r="N1712" i="4"/>
  <c r="N1711" i="4"/>
  <c r="N1713" i="4"/>
  <c r="N1716" i="4"/>
  <c r="N1715" i="4"/>
  <c r="N1722" i="4"/>
  <c r="N1717" i="4"/>
  <c r="N1720" i="4"/>
  <c r="N1719" i="4"/>
  <c r="N1723" i="4"/>
  <c r="N1724" i="4"/>
  <c r="N1726" i="4"/>
  <c r="N1725" i="4"/>
  <c r="N1728" i="4"/>
  <c r="N1729" i="4"/>
  <c r="N1734" i="4"/>
  <c r="N1732" i="4"/>
  <c r="N1733" i="4"/>
  <c r="N1735" i="4"/>
  <c r="N1730" i="4"/>
  <c r="N1731" i="4"/>
  <c r="N1742" i="4"/>
  <c r="N1737" i="4"/>
  <c r="N1741" i="4"/>
  <c r="N1740" i="4"/>
  <c r="N1739" i="4"/>
  <c r="N1738" i="4"/>
  <c r="N1744" i="4"/>
  <c r="N1745" i="4"/>
  <c r="N1748" i="4"/>
  <c r="N1749" i="4"/>
  <c r="N1747" i="4"/>
  <c r="N1750" i="4"/>
  <c r="N1751" i="4"/>
  <c r="N1753" i="4"/>
  <c r="N1752" i="4"/>
  <c r="N1755" i="4"/>
  <c r="N1756" i="4"/>
  <c r="N1754" i="4"/>
  <c r="N1757" i="4"/>
  <c r="N1758" i="4"/>
  <c r="N1762" i="4"/>
  <c r="N1763" i="4"/>
  <c r="N1764" i="4"/>
  <c r="N1761" i="4"/>
  <c r="N1766" i="4"/>
  <c r="N1765" i="4"/>
  <c r="N1759" i="4"/>
  <c r="N1760" i="4"/>
  <c r="N1767" i="4"/>
  <c r="N1769" i="4"/>
  <c r="N1775" i="4"/>
  <c r="N1774" i="4"/>
  <c r="N1772" i="4"/>
  <c r="N1771" i="4"/>
  <c r="N1780" i="4"/>
  <c r="N1781" i="4"/>
  <c r="N1779" i="4"/>
  <c r="N1790" i="4"/>
  <c r="N1788" i="4"/>
  <c r="N1784" i="4"/>
  <c r="N1787" i="4"/>
  <c r="N1793" i="4"/>
  <c r="N1783" i="4"/>
  <c r="N1789" i="4"/>
  <c r="N1795" i="4"/>
  <c r="N1794" i="4"/>
  <c r="N1797" i="4"/>
  <c r="N1796" i="4"/>
  <c r="N1798" i="4"/>
  <c r="N1804" i="4"/>
  <c r="N1801" i="4"/>
  <c r="N1800" i="4"/>
  <c r="N1799" i="4"/>
  <c r="N1805" i="4"/>
  <c r="N1807" i="4"/>
  <c r="N1811" i="4"/>
  <c r="N1813" i="4"/>
  <c r="N1812" i="4"/>
  <c r="N1806" i="4"/>
  <c r="N1810" i="4"/>
  <c r="N1808" i="4"/>
  <c r="N1819" i="4"/>
  <c r="N1815" i="4"/>
  <c r="N1817" i="4"/>
  <c r="N1818" i="4"/>
  <c r="N1814" i="4"/>
  <c r="N1816" i="4"/>
  <c r="N1820" i="4"/>
  <c r="N1824" i="4"/>
  <c r="N1825" i="4"/>
  <c r="N1823" i="4"/>
  <c r="N1822" i="4"/>
  <c r="N1828" i="4"/>
  <c r="N1826" i="4"/>
  <c r="N1827" i="4"/>
  <c r="N1821" i="4"/>
  <c r="N1829" i="4"/>
  <c r="N1830" i="4"/>
  <c r="N1831" i="4"/>
  <c r="N1832" i="4"/>
  <c r="N1841" i="4"/>
  <c r="N1835" i="4"/>
  <c r="N1836" i="4"/>
  <c r="N1840" i="4"/>
  <c r="N1842" i="4"/>
  <c r="N1838" i="4"/>
  <c r="N1837" i="4"/>
  <c r="N1839" i="4"/>
  <c r="N1834" i="4"/>
  <c r="N1846" i="4"/>
  <c r="N1848" i="4"/>
  <c r="N1851" i="4"/>
  <c r="N1855" i="4"/>
  <c r="N1854" i="4"/>
  <c r="N1864" i="4"/>
  <c r="N1863" i="4"/>
  <c r="N1860" i="4"/>
  <c r="N1858" i="4"/>
  <c r="N1867" i="4"/>
  <c r="N1866" i="4"/>
  <c r="N1865" i="4"/>
  <c r="N1868" i="4"/>
  <c r="N1871" i="4"/>
  <c r="N1869" i="4"/>
  <c r="N1870" i="4"/>
  <c r="N1872" i="4"/>
  <c r="N1874" i="4"/>
  <c r="N1873" i="4"/>
  <c r="N1878" i="4"/>
  <c r="N1876" i="4"/>
  <c r="N1875" i="4"/>
  <c r="N1877" i="4"/>
  <c r="N1880" i="4"/>
  <c r="N1881" i="4"/>
  <c r="N1882" i="4"/>
  <c r="N1883" i="4"/>
  <c r="N1884" i="4"/>
  <c r="N1885" i="4"/>
  <c r="N1887" i="4"/>
  <c r="N1889" i="4"/>
  <c r="N1891" i="4"/>
  <c r="N1893" i="4"/>
  <c r="N1895" i="4"/>
  <c r="N1896" i="4"/>
  <c r="N1897" i="4"/>
  <c r="N1902" i="4"/>
  <c r="N1903" i="4"/>
  <c r="N1907" i="4"/>
  <c r="N1911" i="4"/>
  <c r="N1910" i="4"/>
  <c r="N1914" i="4"/>
  <c r="N1915" i="4"/>
  <c r="N1916" i="4"/>
  <c r="N1917" i="4"/>
  <c r="N1919" i="4"/>
  <c r="N1918" i="4"/>
  <c r="N1923" i="4"/>
  <c r="N1927" i="4"/>
  <c r="N1928" i="4"/>
  <c r="N1929" i="4"/>
  <c r="N1930" i="4"/>
  <c r="N1932" i="4"/>
  <c r="N1933" i="4"/>
  <c r="N1934" i="4"/>
  <c r="N1937" i="4"/>
  <c r="N1935" i="4"/>
  <c r="N1936" i="4"/>
  <c r="N1938" i="4"/>
  <c r="N1940" i="4"/>
  <c r="N1942" i="4"/>
  <c r="N1941" i="4"/>
  <c r="N1943" i="4"/>
  <c r="N1944" i="4"/>
  <c r="N1947" i="4"/>
  <c r="N1946" i="4"/>
  <c r="O1284" i="4" a="1"/>
  <c r="O1284" i="4" s="1"/>
  <c r="O1287" i="4" a="1"/>
  <c r="O1287" i="4" s="1"/>
  <c r="O1286" i="4" a="1"/>
  <c r="O1286" i="4" s="1"/>
  <c r="O1288" i="4" a="1"/>
  <c r="O1288" i="4" s="1"/>
  <c r="O1294" i="4" a="1"/>
  <c r="O1294" i="4" s="1"/>
  <c r="O1298" i="4" a="1"/>
  <c r="O1298" i="4" s="1"/>
  <c r="O1296" i="4" a="1"/>
  <c r="O1296" i="4" s="1"/>
  <c r="O1297" i="4" a="1"/>
  <c r="O1297" i="4" s="1"/>
  <c r="O1299" i="4" a="1"/>
  <c r="O1299" i="4" s="1"/>
  <c r="O1300" i="4" a="1"/>
  <c r="O1300" i="4" s="1"/>
  <c r="O1302" i="4" a="1"/>
  <c r="O1302" i="4" s="1"/>
  <c r="O1303" i="4" a="1"/>
  <c r="O1303" i="4" s="1"/>
  <c r="O1306" i="4" a="1"/>
  <c r="O1306" i="4" s="1"/>
  <c r="O1305" i="4" a="1"/>
  <c r="O1305" i="4" s="1"/>
  <c r="O1304" i="4" a="1"/>
  <c r="O1304" i="4" s="1"/>
  <c r="O1307" i="4" a="1"/>
  <c r="O1307" i="4" s="1"/>
  <c r="O1310" i="4" a="1"/>
  <c r="O1310" i="4" s="1"/>
  <c r="O1308" i="4" a="1"/>
  <c r="O1308" i="4" s="1"/>
  <c r="O1314" i="4" a="1"/>
  <c r="O1314" i="4" s="1"/>
  <c r="O1319" i="4" a="1"/>
  <c r="O1319" i="4" s="1"/>
  <c r="O1320" i="4" a="1"/>
  <c r="O1320" i="4" s="1"/>
  <c r="O1318" i="4" a="1"/>
  <c r="O1318" i="4" s="1"/>
  <c r="O1321" i="4" a="1"/>
  <c r="O1321" i="4" s="1"/>
  <c r="O1326" i="4" a="1"/>
  <c r="O1326" i="4" s="1"/>
  <c r="O1324" i="4" a="1"/>
  <c r="O1324" i="4" s="1"/>
  <c r="O1322" i="4" a="1"/>
  <c r="O1322" i="4" s="1"/>
  <c r="O1327" i="4" a="1"/>
  <c r="O1327" i="4" s="1"/>
  <c r="O1323" i="4" a="1"/>
  <c r="O1323" i="4" s="1"/>
  <c r="O1329" i="4" a="1"/>
  <c r="O1329" i="4" s="1"/>
  <c r="O1337" i="4" a="1"/>
  <c r="O1337" i="4" s="1"/>
  <c r="O1336" i="4" a="1"/>
  <c r="O1336" i="4" s="1"/>
  <c r="O1338" i="4" a="1"/>
  <c r="O1338" i="4" s="1"/>
  <c r="O1340" i="4" a="1"/>
  <c r="O1340" i="4" s="1"/>
  <c r="O1339" i="4" a="1"/>
  <c r="O1339" i="4" s="1"/>
  <c r="O1341" i="4" a="1"/>
  <c r="O1341" i="4" s="1"/>
  <c r="O1344" i="4" a="1"/>
  <c r="O1344" i="4" s="1"/>
  <c r="O1342" i="4" a="1"/>
  <c r="O1342" i="4" s="1"/>
  <c r="O1343" i="4" a="1"/>
  <c r="O1343" i="4" s="1"/>
  <c r="O1346" i="4" a="1"/>
  <c r="O1346" i="4" s="1"/>
  <c r="O1345" i="4" a="1"/>
  <c r="O1345" i="4" s="1"/>
  <c r="O1349" i="4" a="1"/>
  <c r="O1349" i="4" s="1"/>
  <c r="O1348" i="4" a="1"/>
  <c r="O1348" i="4" s="1"/>
  <c r="O1352" i="4" a="1"/>
  <c r="O1352" i="4" s="1"/>
  <c r="O1351" i="4" a="1"/>
  <c r="O1351" i="4" s="1"/>
  <c r="O1350" i="4" a="1"/>
  <c r="O1350" i="4" s="1"/>
  <c r="O1354" i="4" a="1"/>
  <c r="O1354" i="4" s="1"/>
  <c r="O1355" i="4" a="1"/>
  <c r="O1355" i="4" s="1"/>
  <c r="O1353" i="4" a="1"/>
  <c r="O1353" i="4" s="1"/>
  <c r="O1358" i="4" a="1"/>
  <c r="O1358" i="4" s="1"/>
  <c r="O1357" i="4" a="1"/>
  <c r="O1357" i="4" s="1"/>
  <c r="O1356" i="4" a="1"/>
  <c r="O1356" i="4" s="1"/>
  <c r="O1362" i="4" a="1"/>
  <c r="O1362" i="4" s="1"/>
  <c r="O1361" i="4" a="1"/>
  <c r="O1361" i="4" s="1"/>
  <c r="O1363" i="4" a="1"/>
  <c r="O1363" i="4" s="1"/>
  <c r="O1368" i="4" a="1"/>
  <c r="O1368" i="4" s="1"/>
  <c r="O1370" i="4" a="1"/>
  <c r="O1370" i="4" s="1"/>
  <c r="O1369" i="4" a="1"/>
  <c r="O1369" i="4" s="1"/>
  <c r="O1373" i="4" a="1"/>
  <c r="O1373" i="4" s="1"/>
  <c r="O1374" i="4" a="1"/>
  <c r="O1374" i="4" s="1"/>
  <c r="O1376" i="4" a="1"/>
  <c r="O1376" i="4" s="1"/>
  <c r="O1377" i="4" a="1"/>
  <c r="O1377" i="4" s="1"/>
  <c r="O1375" i="4" a="1"/>
  <c r="O1375" i="4" s="1"/>
  <c r="O1378" i="4" a="1"/>
  <c r="O1378" i="4" s="1"/>
  <c r="O1380" i="4" a="1"/>
  <c r="O1380" i="4" s="1"/>
  <c r="O1379" i="4" a="1"/>
  <c r="O1379" i="4" s="1"/>
  <c r="O1381" i="4" a="1"/>
  <c r="O1381" i="4" s="1"/>
  <c r="O1384" i="4" a="1"/>
  <c r="O1384" i="4" s="1"/>
  <c r="O1382" i="4" a="1"/>
  <c r="O1382" i="4" s="1"/>
  <c r="O1383" i="4" a="1"/>
  <c r="O1383" i="4" s="1"/>
  <c r="O1388" i="4" a="1"/>
  <c r="O1388" i="4" s="1"/>
  <c r="O1386" i="4" a="1"/>
  <c r="O1386" i="4" s="1"/>
  <c r="O1392" i="4" a="1"/>
  <c r="O1392" i="4" s="1"/>
  <c r="O1391" i="4" a="1"/>
  <c r="O1391" i="4" s="1"/>
  <c r="O1390" i="4" a="1"/>
  <c r="O1390" i="4" s="1"/>
  <c r="O1387" i="4" a="1"/>
  <c r="O1387" i="4" s="1"/>
  <c r="O1393" i="4" a="1"/>
  <c r="O1393" i="4" s="1"/>
  <c r="O1395" i="4" a="1"/>
  <c r="O1395" i="4" s="1"/>
  <c r="O1394" i="4" a="1"/>
  <c r="O1394" i="4" s="1"/>
  <c r="O1397" i="4" a="1"/>
  <c r="O1397" i="4" s="1"/>
  <c r="O1396" i="4" a="1"/>
  <c r="O1396" i="4" s="1"/>
  <c r="O1398" i="4" a="1"/>
  <c r="O1398" i="4" s="1"/>
  <c r="O1402" i="4" a="1"/>
  <c r="O1402" i="4" s="1"/>
  <c r="O1407" i="4" a="1"/>
  <c r="O1407" i="4" s="1"/>
  <c r="O1404" i="4" a="1"/>
  <c r="O1404" i="4" s="1"/>
  <c r="O1406" i="4" a="1"/>
  <c r="O1406" i="4" s="1"/>
  <c r="O1408" i="4" a="1"/>
  <c r="O1408" i="4" s="1"/>
  <c r="O1410" i="4" a="1"/>
  <c r="O1410" i="4" s="1"/>
  <c r="O1414" i="4" a="1"/>
  <c r="O1414" i="4" s="1"/>
  <c r="O1413" i="4" a="1"/>
  <c r="O1413" i="4" s="1"/>
  <c r="O1411" i="4" a="1"/>
  <c r="O1411" i="4" s="1"/>
  <c r="O1412" i="4" a="1"/>
  <c r="O1412" i="4" s="1"/>
  <c r="O1415" i="4" a="1"/>
  <c r="O1415" i="4" s="1"/>
  <c r="O1416" i="4" a="1"/>
  <c r="O1416" i="4" s="1"/>
  <c r="O1422" i="4" a="1"/>
  <c r="O1422" i="4" s="1"/>
  <c r="O1419" i="4" a="1"/>
  <c r="O1419" i="4" s="1"/>
  <c r="O1421" i="4" a="1"/>
  <c r="O1421" i="4" s="1"/>
  <c r="O1418" i="4" a="1"/>
  <c r="O1418" i="4" s="1"/>
  <c r="O1420" i="4" a="1"/>
  <c r="O1420" i="4" s="1"/>
  <c r="O1423" i="4" a="1"/>
  <c r="O1423" i="4" s="1"/>
  <c r="O1424" i="4" a="1"/>
  <c r="O1424" i="4" s="1"/>
  <c r="O1425" i="4" a="1"/>
  <c r="O1425" i="4" s="1"/>
  <c r="O1427" i="4" a="1"/>
  <c r="O1427" i="4" s="1"/>
  <c r="O1429" i="4" a="1"/>
  <c r="O1429" i="4" s="1"/>
  <c r="O1431" i="4" a="1"/>
  <c r="O1431" i="4" s="1"/>
  <c r="O1432" i="4" a="1"/>
  <c r="O1432" i="4" s="1"/>
  <c r="O1441" i="4" a="1"/>
  <c r="O1441" i="4" s="1"/>
  <c r="O1436" i="4" a="1"/>
  <c r="O1436" i="4" s="1"/>
  <c r="O1433" i="4" a="1"/>
  <c r="O1433" i="4" s="1"/>
  <c r="O1438" i="4" a="1"/>
  <c r="O1438" i="4" s="1"/>
  <c r="O1434" i="4" a="1"/>
  <c r="O1434" i="4" s="1"/>
  <c r="O1437" i="4" a="1"/>
  <c r="O1437" i="4" s="1"/>
  <c r="O1440" i="4" a="1"/>
  <c r="O1440" i="4" s="1"/>
  <c r="O1439" i="4" a="1"/>
  <c r="O1439" i="4" s="1"/>
  <c r="O1443" i="4" a="1"/>
  <c r="O1443" i="4" s="1"/>
  <c r="O1442" i="4" a="1"/>
  <c r="O1442" i="4" s="1"/>
  <c r="O1446" i="4" a="1"/>
  <c r="O1446" i="4" s="1"/>
  <c r="O1444" i="4" a="1"/>
  <c r="O1444" i="4" s="1"/>
  <c r="O1448" i="4" a="1"/>
  <c r="O1448" i="4" s="1"/>
  <c r="O1451" i="4" a="1"/>
  <c r="O1451" i="4" s="1"/>
  <c r="O1450" i="4" a="1"/>
  <c r="O1450" i="4" s="1"/>
  <c r="O1449" i="4" a="1"/>
  <c r="O1449" i="4" s="1"/>
  <c r="O1452" i="4" a="1"/>
  <c r="O1452" i="4" s="1"/>
  <c r="O1455" i="4" a="1"/>
  <c r="O1455" i="4" s="1"/>
  <c r="O1453" i="4" a="1"/>
  <c r="O1453" i="4" s="1"/>
  <c r="O1454" i="4" a="1"/>
  <c r="O1454" i="4" s="1"/>
  <c r="O1456" i="4" a="1"/>
  <c r="O1456" i="4" s="1"/>
  <c r="O1457" i="4" a="1"/>
  <c r="O1457" i="4" s="1"/>
  <c r="O1459" i="4" a="1"/>
  <c r="O1459" i="4" s="1"/>
  <c r="O1460" i="4" a="1"/>
  <c r="O1460" i="4" s="1"/>
  <c r="O1458" i="4" a="1"/>
  <c r="O1458" i="4" s="1"/>
  <c r="O1461" i="4" a="1"/>
  <c r="O1461" i="4" s="1"/>
  <c r="O1463" i="4" a="1"/>
  <c r="O1463" i="4" s="1"/>
  <c r="O1462" i="4" a="1"/>
  <c r="O1462" i="4" s="1"/>
  <c r="O1464" i="4" a="1"/>
  <c r="O1464" i="4" s="1"/>
  <c r="O1466" i="4" a="1"/>
  <c r="O1466" i="4" s="1"/>
  <c r="O1465" i="4" a="1"/>
  <c r="O1465" i="4" s="1"/>
  <c r="O1468" i="4" a="1"/>
  <c r="O1468" i="4" s="1"/>
  <c r="O1469" i="4" a="1"/>
  <c r="O1469" i="4" s="1"/>
  <c r="O1470" i="4" a="1"/>
  <c r="O1470" i="4" s="1"/>
  <c r="O1467" i="4" a="1"/>
  <c r="O1467" i="4" s="1"/>
  <c r="O1471" i="4" a="1"/>
  <c r="O1471" i="4" s="1"/>
  <c r="O1475" i="4" a="1"/>
  <c r="O1475" i="4" s="1"/>
  <c r="O1472" i="4" a="1"/>
  <c r="O1472" i="4" s="1"/>
  <c r="O1479" i="4" a="1"/>
  <c r="O1479" i="4" s="1"/>
  <c r="O1477" i="4" a="1"/>
  <c r="O1477" i="4" s="1"/>
  <c r="O1480" i="4" a="1"/>
  <c r="O1480" i="4" s="1"/>
  <c r="O1473" i="4" a="1"/>
  <c r="O1473" i="4" s="1"/>
  <c r="O1476" i="4" a="1"/>
  <c r="O1476" i="4" s="1"/>
  <c r="O1474" i="4" a="1"/>
  <c r="O1474" i="4" s="1"/>
  <c r="O1485" i="4" a="1"/>
  <c r="O1485" i="4" s="1"/>
  <c r="O1483" i="4" a="1"/>
  <c r="O1483" i="4" s="1"/>
  <c r="O1481" i="4" a="1"/>
  <c r="O1481" i="4" s="1"/>
  <c r="O1484" i="4" a="1"/>
  <c r="O1484" i="4" s="1"/>
  <c r="O1482" i="4" a="1"/>
  <c r="O1482" i="4" s="1"/>
  <c r="O1489" i="4" a="1"/>
  <c r="O1489" i="4" s="1"/>
  <c r="O1487" i="4" a="1"/>
  <c r="O1487" i="4" s="1"/>
  <c r="O1486" i="4" a="1"/>
  <c r="O1486" i="4" s="1"/>
  <c r="O1491" i="4" a="1"/>
  <c r="O1491" i="4" s="1"/>
  <c r="O1493" i="4" a="1"/>
  <c r="O1493" i="4" s="1"/>
  <c r="O1494" i="4" a="1"/>
  <c r="O1494" i="4" s="1"/>
  <c r="O1498" i="4" a="1"/>
  <c r="O1498" i="4" s="1"/>
  <c r="O1499" i="4" a="1"/>
  <c r="O1499" i="4" s="1"/>
  <c r="O1500" i="4" a="1"/>
  <c r="O1500" i="4" s="1"/>
  <c r="O1504" i="4" a="1"/>
  <c r="O1504" i="4" s="1"/>
  <c r="O1505" i="4" a="1"/>
  <c r="O1505" i="4" s="1"/>
  <c r="O1501" i="4" a="1"/>
  <c r="O1501" i="4" s="1"/>
  <c r="O1503" i="4" a="1"/>
  <c r="O1503" i="4" s="1"/>
  <c r="O1502" i="4" a="1"/>
  <c r="O1502" i="4" s="1"/>
  <c r="O1509" i="4" a="1"/>
  <c r="O1509" i="4" s="1"/>
  <c r="O1507" i="4" a="1"/>
  <c r="O1507" i="4" s="1"/>
  <c r="O1506" i="4" a="1"/>
  <c r="O1506" i="4" s="1"/>
  <c r="O1508" i="4" a="1"/>
  <c r="O1508" i="4" s="1"/>
  <c r="O1514" i="4" a="1"/>
  <c r="O1514" i="4" s="1"/>
  <c r="O1517" i="4" a="1"/>
  <c r="O1517" i="4" s="1"/>
  <c r="O1516" i="4" a="1"/>
  <c r="O1516" i="4" s="1"/>
  <c r="O1512" i="4" a="1"/>
  <c r="O1512" i="4" s="1"/>
  <c r="O1511" i="4" a="1"/>
  <c r="O1511" i="4" s="1"/>
  <c r="O1518" i="4" a="1"/>
  <c r="O1518" i="4" s="1"/>
  <c r="O1521" i="4" a="1"/>
  <c r="O1521" i="4" s="1"/>
  <c r="O1524" i="4" a="1"/>
  <c r="O1524" i="4" s="1"/>
  <c r="O1522" i="4" a="1"/>
  <c r="O1522" i="4" s="1"/>
  <c r="O1523" i="4" a="1"/>
  <c r="O1523" i="4" s="1"/>
  <c r="O1527" i="4" a="1"/>
  <c r="O1527" i="4" s="1"/>
  <c r="O1529" i="4" a="1"/>
  <c r="O1529" i="4" s="1"/>
  <c r="O1528" i="4" a="1"/>
  <c r="O1528" i="4" s="1"/>
  <c r="O1530" i="4" a="1"/>
  <c r="O1530" i="4" s="1"/>
  <c r="O1526" i="4" a="1"/>
  <c r="O1526" i="4" s="1"/>
  <c r="O1532" i="4" a="1"/>
  <c r="O1532" i="4" s="1"/>
  <c r="O1533" i="4" a="1"/>
  <c r="O1533" i="4" s="1"/>
  <c r="O1534" i="4" a="1"/>
  <c r="O1534" i="4" s="1"/>
  <c r="O1536" i="4" a="1"/>
  <c r="O1536" i="4" s="1"/>
  <c r="O1535" i="4" a="1"/>
  <c r="O1535" i="4" s="1"/>
  <c r="O1542" i="4" a="1"/>
  <c r="O1542" i="4" s="1"/>
  <c r="O1543" i="4" a="1"/>
  <c r="O1543" i="4" s="1"/>
  <c r="O1544" i="4" a="1"/>
  <c r="O1544" i="4" s="1"/>
  <c r="O1545" i="4" a="1"/>
  <c r="O1545" i="4" s="1"/>
  <c r="O1553" i="4" a="1"/>
  <c r="O1553" i="4" s="1"/>
  <c r="O1558" i="4" a="1"/>
  <c r="O1558" i="4" s="1"/>
  <c r="O1557" i="4" a="1"/>
  <c r="O1557" i="4" s="1"/>
  <c r="O1559" i="4" a="1"/>
  <c r="O1559" i="4" s="1"/>
  <c r="O1561" i="4" a="1"/>
  <c r="O1561" i="4" s="1"/>
  <c r="O1566" i="4" a="1"/>
  <c r="O1566" i="4" s="1"/>
  <c r="O1564" i="4" a="1"/>
  <c r="O1564" i="4" s="1"/>
  <c r="O1562" i="4" a="1"/>
  <c r="O1562" i="4" s="1"/>
  <c r="O1563" i="4" a="1"/>
  <c r="O1563" i="4" s="1"/>
  <c r="O1565" i="4" a="1"/>
  <c r="O1565" i="4" s="1"/>
  <c r="O1567" i="4" a="1"/>
  <c r="O1567" i="4" s="1"/>
  <c r="O1571" i="4" a="1"/>
  <c r="O1571" i="4" s="1"/>
  <c r="O1569" i="4" a="1"/>
  <c r="O1569" i="4" s="1"/>
  <c r="O1568" i="4" a="1"/>
  <c r="O1568" i="4" s="1"/>
  <c r="O1570" i="4" a="1"/>
  <c r="O1570" i="4" s="1"/>
  <c r="O1573" i="4" a="1"/>
  <c r="O1573" i="4" s="1"/>
  <c r="O1572" i="4" a="1"/>
  <c r="O1572" i="4" s="1"/>
  <c r="O1575" i="4" a="1"/>
  <c r="O1575" i="4" s="1"/>
  <c r="O1577" i="4" a="1"/>
  <c r="O1577" i="4" s="1"/>
  <c r="O1578" i="4" a="1"/>
  <c r="O1578" i="4" s="1"/>
  <c r="O1576" i="4" a="1"/>
  <c r="O1576" i="4" s="1"/>
  <c r="O1579" i="4" a="1"/>
  <c r="O1579" i="4" s="1"/>
  <c r="O1582" i="4" a="1"/>
  <c r="O1582" i="4" s="1"/>
  <c r="O1587" i="4" a="1"/>
  <c r="O1587" i="4" s="1"/>
  <c r="O1584" i="4" a="1"/>
  <c r="O1584" i="4" s="1"/>
  <c r="O1586" i="4" a="1"/>
  <c r="O1586" i="4" s="1"/>
  <c r="O1585" i="4" a="1"/>
  <c r="O1585" i="4" s="1"/>
  <c r="O1590" i="4" a="1"/>
  <c r="O1590" i="4" s="1"/>
  <c r="O1589" i="4" a="1"/>
  <c r="O1589" i="4" s="1"/>
  <c r="O1593" i="4" a="1"/>
  <c r="O1593" i="4" s="1"/>
  <c r="O1592" i="4" a="1"/>
  <c r="O1592" i="4" s="1"/>
  <c r="O1595" i="4" a="1"/>
  <c r="O1595" i="4" s="1"/>
  <c r="O1596" i="4" a="1"/>
  <c r="O1596" i="4" s="1"/>
  <c r="O1599" i="4" a="1"/>
  <c r="O1599" i="4" s="1"/>
  <c r="O1598" i="4" a="1"/>
  <c r="O1598" i="4" s="1"/>
  <c r="O1597" i="4" a="1"/>
  <c r="O1597" i="4" s="1"/>
  <c r="O1600" i="4" a="1"/>
  <c r="O1600" i="4" s="1"/>
  <c r="O1601" i="4" a="1"/>
  <c r="O1601" i="4" s="1"/>
  <c r="O1606" i="4" a="1"/>
  <c r="O1606" i="4" s="1"/>
  <c r="O1607" i="4" a="1"/>
  <c r="O1607" i="4" s="1"/>
  <c r="O1605" i="4" a="1"/>
  <c r="O1605" i="4" s="1"/>
  <c r="O1604" i="4" a="1"/>
  <c r="O1604" i="4" s="1"/>
  <c r="O1609" i="4" a="1"/>
  <c r="O1609" i="4" s="1"/>
  <c r="O1610" i="4" a="1"/>
  <c r="O1610" i="4" s="1"/>
  <c r="O1612" i="4" a="1"/>
  <c r="O1612" i="4" s="1"/>
  <c r="O1611" i="4" a="1"/>
  <c r="O1611" i="4" s="1"/>
  <c r="O1613" i="4" a="1"/>
  <c r="O1613" i="4" s="1"/>
  <c r="O1614" i="4" a="1"/>
  <c r="O1614" i="4" s="1"/>
  <c r="O1615" i="4" a="1"/>
  <c r="O1615" i="4" s="1"/>
  <c r="O1621" i="4" a="1"/>
  <c r="O1621" i="4" s="1"/>
  <c r="O1619" i="4" a="1"/>
  <c r="O1619" i="4" s="1"/>
  <c r="O1620" i="4" a="1"/>
  <c r="O1620" i="4" s="1"/>
  <c r="O1618" i="4" a="1"/>
  <c r="O1618" i="4" s="1"/>
  <c r="O1622" i="4" a="1"/>
  <c r="O1622" i="4" s="1"/>
  <c r="O1616" i="4" a="1"/>
  <c r="O1616" i="4" s="1"/>
  <c r="O1623" i="4" a="1"/>
  <c r="O1623" i="4" s="1"/>
  <c r="O1625" i="4" a="1"/>
  <c r="O1625" i="4" s="1"/>
  <c r="O1627" i="4" a="1"/>
  <c r="O1627" i="4" s="1"/>
  <c r="O1626" i="4" a="1"/>
  <c r="O1626" i="4" s="1"/>
  <c r="O1628" i="4" a="1"/>
  <c r="O1628" i="4" s="1"/>
  <c r="O1630" i="4" a="1"/>
  <c r="O1630" i="4" s="1"/>
  <c r="O1632" i="4" a="1"/>
  <c r="O1632" i="4" s="1"/>
  <c r="O1634" i="4" a="1"/>
  <c r="O1634" i="4" s="1"/>
  <c r="O1633" i="4" a="1"/>
  <c r="O1633" i="4" s="1"/>
  <c r="O1631" i="4" a="1"/>
  <c r="O1631" i="4" s="1"/>
  <c r="O1637" i="4" a="1"/>
  <c r="O1637" i="4" s="1"/>
  <c r="O1646" i="4" a="1"/>
  <c r="O1646" i="4" s="1"/>
  <c r="O1636" i="4" a="1"/>
  <c r="O1636" i="4" s="1"/>
  <c r="O1641" i="4" a="1"/>
  <c r="O1641" i="4" s="1"/>
  <c r="O1642" i="4" a="1"/>
  <c r="O1642" i="4" s="1"/>
  <c r="O1635" i="4" a="1"/>
  <c r="O1635" i="4" s="1"/>
  <c r="O1643" i="4" a="1"/>
  <c r="O1643" i="4" s="1"/>
  <c r="O1640" i="4" a="1"/>
  <c r="O1640" i="4" s="1"/>
  <c r="O1645" i="4" a="1"/>
  <c r="O1645" i="4" s="1"/>
  <c r="O1651" i="4" a="1"/>
  <c r="O1651" i="4" s="1"/>
  <c r="O1650" i="4" a="1"/>
  <c r="O1650" i="4" s="1"/>
  <c r="O1648" i="4" a="1"/>
  <c r="O1648" i="4" s="1"/>
  <c r="O1647" i="4" a="1"/>
  <c r="O1647" i="4" s="1"/>
  <c r="O1652" i="4" a="1"/>
  <c r="O1652" i="4" s="1"/>
  <c r="O1654" i="4" a="1"/>
  <c r="O1654" i="4" s="1"/>
  <c r="O1655" i="4" a="1"/>
  <c r="O1655" i="4" s="1"/>
  <c r="O1661" i="4" a="1"/>
  <c r="O1661" i="4" s="1"/>
  <c r="O1659" i="4" a="1"/>
  <c r="O1659" i="4" s="1"/>
  <c r="O1660" i="4" a="1"/>
  <c r="O1660" i="4" s="1"/>
  <c r="O1656" i="4" a="1"/>
  <c r="O1656" i="4" s="1"/>
  <c r="O1664" i="4" a="1"/>
  <c r="O1664" i="4" s="1"/>
  <c r="O1668" i="4" a="1"/>
  <c r="O1668" i="4" s="1"/>
  <c r="O1665" i="4" a="1"/>
  <c r="O1665" i="4" s="1"/>
  <c r="O1666" i="4" a="1"/>
  <c r="O1666" i="4" s="1"/>
  <c r="O1669" i="4" a="1"/>
  <c r="O1669" i="4" s="1"/>
  <c r="O1673" i="4" a="1"/>
  <c r="O1673" i="4" s="1"/>
  <c r="O1674" i="4" a="1"/>
  <c r="O1674" i="4" s="1"/>
  <c r="O1672" i="4" a="1"/>
  <c r="O1672" i="4" s="1"/>
  <c r="O1675" i="4" a="1"/>
  <c r="O1675" i="4" s="1"/>
  <c r="O1677" i="4" a="1"/>
  <c r="O1677" i="4" s="1"/>
  <c r="O1676" i="4" a="1"/>
  <c r="O1676" i="4" s="1"/>
  <c r="O1679" i="4" a="1"/>
  <c r="O1679" i="4" s="1"/>
  <c r="O1680" i="4" a="1"/>
  <c r="O1680" i="4" s="1"/>
  <c r="O1678" i="4" a="1"/>
  <c r="O1678" i="4" s="1"/>
  <c r="O1681" i="4" a="1"/>
  <c r="O1681" i="4" s="1"/>
  <c r="O1683" i="4" a="1"/>
  <c r="O1683" i="4" s="1"/>
  <c r="O1686" i="4" a="1"/>
  <c r="O1686" i="4" s="1"/>
  <c r="O1689" i="4" a="1"/>
  <c r="O1689" i="4" s="1"/>
  <c r="O1688" i="4" a="1"/>
  <c r="O1688" i="4" s="1"/>
  <c r="O1687" i="4" a="1"/>
  <c r="O1687" i="4" s="1"/>
  <c r="O1690" i="4" a="1"/>
  <c r="O1690" i="4" s="1"/>
  <c r="O1700" i="4" a="1"/>
  <c r="O1700" i="4" s="1"/>
  <c r="O1693" i="4" a="1"/>
  <c r="O1693" i="4" s="1"/>
  <c r="O1697" i="4" a="1"/>
  <c r="O1697" i="4" s="1"/>
  <c r="O1694" i="4" a="1"/>
  <c r="O1694" i="4" s="1"/>
  <c r="O1702" i="4" a="1"/>
  <c r="O1702" i="4" s="1"/>
  <c r="O1704" i="4" a="1"/>
  <c r="O1704" i="4" s="1"/>
  <c r="O1705" i="4" a="1"/>
  <c r="O1705" i="4" s="1"/>
  <c r="O1706" i="4" a="1"/>
  <c r="O1706" i="4" s="1"/>
  <c r="O1708" i="4" a="1"/>
  <c r="O1708" i="4" s="1"/>
  <c r="O1707" i="4" a="1"/>
  <c r="O1707" i="4" s="1"/>
  <c r="O1709" i="4" a="1"/>
  <c r="O1709" i="4" s="1"/>
  <c r="O1710" i="4" a="1"/>
  <c r="O1710" i="4" s="1"/>
  <c r="O1714" i="4" a="1"/>
  <c r="O1714" i="4" s="1"/>
  <c r="O1712" i="4" a="1"/>
  <c r="O1712" i="4" s="1"/>
  <c r="O1711" i="4" a="1"/>
  <c r="O1711" i="4" s="1"/>
  <c r="O1713" i="4" a="1"/>
  <c r="O1713" i="4" s="1"/>
  <c r="O1716" i="4" a="1"/>
  <c r="O1716" i="4" s="1"/>
  <c r="O1715" i="4" a="1"/>
  <c r="O1715" i="4" s="1"/>
  <c r="O1722" i="4" a="1"/>
  <c r="O1722" i="4" s="1"/>
  <c r="O1717" i="4" a="1"/>
  <c r="O1717" i="4" s="1"/>
  <c r="O1720" i="4" a="1"/>
  <c r="O1720" i="4" s="1"/>
  <c r="O1719" i="4" a="1"/>
  <c r="O1719" i="4" s="1"/>
  <c r="O1723" i="4" a="1"/>
  <c r="O1723" i="4" s="1"/>
  <c r="O1724" i="4" a="1"/>
  <c r="O1724" i="4" s="1"/>
  <c r="O1726" i="4" a="1"/>
  <c r="O1726" i="4" s="1"/>
  <c r="O1725" i="4" a="1"/>
  <c r="O1725" i="4" s="1"/>
  <c r="O1728" i="4" a="1"/>
  <c r="O1728" i="4" s="1"/>
  <c r="O1729" i="4" a="1"/>
  <c r="O1729" i="4" s="1"/>
  <c r="O1734" i="4" a="1"/>
  <c r="O1734" i="4" s="1"/>
  <c r="O1732" i="4" a="1"/>
  <c r="O1732" i="4" s="1"/>
  <c r="O1733" i="4" a="1"/>
  <c r="O1733" i="4" s="1"/>
  <c r="O1735" i="4" a="1"/>
  <c r="O1735" i="4" s="1"/>
  <c r="O1730" i="4" a="1"/>
  <c r="O1730" i="4" s="1"/>
  <c r="O1731" i="4" a="1"/>
  <c r="O1731" i="4" s="1"/>
  <c r="O1742" i="4" a="1"/>
  <c r="O1742" i="4" s="1"/>
  <c r="O1737" i="4" a="1"/>
  <c r="O1737" i="4" s="1"/>
  <c r="O1741" i="4" a="1"/>
  <c r="O1741" i="4" s="1"/>
  <c r="O1740" i="4" a="1"/>
  <c r="O1740" i="4" s="1"/>
  <c r="O1739" i="4" a="1"/>
  <c r="O1739" i="4" s="1"/>
  <c r="O1738" i="4" a="1"/>
  <c r="O1738" i="4" s="1"/>
  <c r="O1744" i="4" a="1"/>
  <c r="O1744" i="4" s="1"/>
  <c r="O1745" i="4" a="1"/>
  <c r="O1745" i="4" s="1"/>
  <c r="O1748" i="4" a="1"/>
  <c r="O1748" i="4" s="1"/>
  <c r="O1749" i="4" a="1"/>
  <c r="O1749" i="4" s="1"/>
  <c r="O1747" i="4" a="1"/>
  <c r="O1747" i="4" s="1"/>
  <c r="O1750" i="4" a="1"/>
  <c r="O1750" i="4" s="1"/>
  <c r="O1751" i="4" a="1"/>
  <c r="O1751" i="4" s="1"/>
  <c r="O1753" i="4" a="1"/>
  <c r="O1753" i="4" s="1"/>
  <c r="O1752" i="4" a="1"/>
  <c r="O1752" i="4" s="1"/>
  <c r="O1755" i="4" a="1"/>
  <c r="O1755" i="4" s="1"/>
  <c r="O1756" i="4" a="1"/>
  <c r="O1756" i="4" s="1"/>
  <c r="O1754" i="4" a="1"/>
  <c r="O1754" i="4" s="1"/>
  <c r="O1757" i="4" a="1"/>
  <c r="O1757" i="4" s="1"/>
  <c r="O1758" i="4" a="1"/>
  <c r="O1758" i="4" s="1"/>
  <c r="O1762" i="4" a="1"/>
  <c r="O1762" i="4" s="1"/>
  <c r="O1763" i="4" a="1"/>
  <c r="O1763" i="4" s="1"/>
  <c r="O1764" i="4" a="1"/>
  <c r="O1764" i="4" s="1"/>
  <c r="O1761" i="4" a="1"/>
  <c r="O1761" i="4" s="1"/>
  <c r="O1766" i="4" a="1"/>
  <c r="O1766" i="4" s="1"/>
  <c r="O1765" i="4" a="1"/>
  <c r="O1765" i="4" s="1"/>
  <c r="O1759" i="4" a="1"/>
  <c r="O1759" i="4" s="1"/>
  <c r="O1760" i="4" a="1"/>
  <c r="O1760" i="4" s="1"/>
  <c r="O1767" i="4" a="1"/>
  <c r="O1767" i="4" s="1"/>
  <c r="O1769" i="4" a="1"/>
  <c r="O1769" i="4" s="1"/>
  <c r="O1775" i="4" a="1"/>
  <c r="O1775" i="4" s="1"/>
  <c r="O1774" i="4" a="1"/>
  <c r="O1774" i="4" s="1"/>
  <c r="O1772" i="4" a="1"/>
  <c r="O1772" i="4" s="1"/>
  <c r="O1771" i="4" a="1"/>
  <c r="O1771" i="4" s="1"/>
  <c r="O1780" i="4" a="1"/>
  <c r="O1780" i="4" s="1"/>
  <c r="O1781" i="4" a="1"/>
  <c r="O1781" i="4" s="1"/>
  <c r="O1779" i="4" a="1"/>
  <c r="O1779" i="4" s="1"/>
  <c r="O1790" i="4" a="1"/>
  <c r="O1790" i="4" s="1"/>
  <c r="O1788" i="4" a="1"/>
  <c r="O1788" i="4" s="1"/>
  <c r="O1784" i="4" a="1"/>
  <c r="O1784" i="4" s="1"/>
  <c r="O1787" i="4" a="1"/>
  <c r="O1787" i="4" s="1"/>
  <c r="O1793" i="4" a="1"/>
  <c r="O1793" i="4" s="1"/>
  <c r="O1783" i="4" a="1"/>
  <c r="O1783" i="4" s="1"/>
  <c r="O1789" i="4" a="1"/>
  <c r="O1789" i="4" s="1"/>
  <c r="O1795" i="4" a="1"/>
  <c r="O1795" i="4" s="1"/>
  <c r="O1794" i="4" a="1"/>
  <c r="O1794" i="4" s="1"/>
  <c r="O1797" i="4" a="1"/>
  <c r="O1797" i="4" s="1"/>
  <c r="O1796" i="4" a="1"/>
  <c r="O1796" i="4" s="1"/>
  <c r="O1798" i="4" a="1"/>
  <c r="O1798" i="4" s="1"/>
  <c r="O1804" i="4" a="1"/>
  <c r="O1804" i="4" s="1"/>
  <c r="O1801" i="4" a="1"/>
  <c r="O1801" i="4" s="1"/>
  <c r="O1800" i="4" a="1"/>
  <c r="O1800" i="4" s="1"/>
  <c r="O1799" i="4" a="1"/>
  <c r="O1799" i="4" s="1"/>
  <c r="O1805" i="4" a="1"/>
  <c r="O1805" i="4" s="1"/>
  <c r="O1807" i="4" a="1"/>
  <c r="O1807" i="4" s="1"/>
  <c r="O1811" i="4" a="1"/>
  <c r="O1811" i="4" s="1"/>
  <c r="O1813" i="4" a="1"/>
  <c r="O1813" i="4" s="1"/>
  <c r="O1812" i="4" a="1"/>
  <c r="O1812" i="4" s="1"/>
  <c r="O1806" i="4" a="1"/>
  <c r="O1806" i="4" s="1"/>
  <c r="O1810" i="4" a="1"/>
  <c r="O1810" i="4" s="1"/>
  <c r="O1808" i="4" a="1"/>
  <c r="O1808" i="4" s="1"/>
  <c r="O1819" i="4" a="1"/>
  <c r="O1819" i="4" s="1"/>
  <c r="O1815" i="4" a="1"/>
  <c r="O1815" i="4" s="1"/>
  <c r="O1817" i="4" a="1"/>
  <c r="O1817" i="4" s="1"/>
  <c r="O1818" i="4" a="1"/>
  <c r="O1818" i="4" s="1"/>
  <c r="O1814" i="4" a="1"/>
  <c r="O1814" i="4" s="1"/>
  <c r="O1816" i="4" a="1"/>
  <c r="O1816" i="4" s="1"/>
  <c r="O1820" i="4" a="1"/>
  <c r="O1820" i="4" s="1"/>
  <c r="O1824" i="4" a="1"/>
  <c r="O1824" i="4" s="1"/>
  <c r="O1825" i="4" a="1"/>
  <c r="O1825" i="4" s="1"/>
  <c r="O1823" i="4" a="1"/>
  <c r="O1823" i="4" s="1"/>
  <c r="O1822" i="4" a="1"/>
  <c r="O1822" i="4" s="1"/>
  <c r="O1828" i="4" a="1"/>
  <c r="O1828" i="4" s="1"/>
  <c r="O1826" i="4" a="1"/>
  <c r="O1826" i="4" s="1"/>
  <c r="O1827" i="4" a="1"/>
  <c r="O1827" i="4" s="1"/>
  <c r="O1821" i="4" a="1"/>
  <c r="O1821" i="4" s="1"/>
  <c r="O1829" i="4" a="1"/>
  <c r="O1829" i="4" s="1"/>
  <c r="O1830" i="4" a="1"/>
  <c r="O1830" i="4" s="1"/>
  <c r="O1831" i="4" a="1"/>
  <c r="O1831" i="4" s="1"/>
  <c r="O1832" i="4" a="1"/>
  <c r="O1832" i="4" s="1"/>
  <c r="O1841" i="4" a="1"/>
  <c r="O1841" i="4" s="1"/>
  <c r="O1835" i="4" a="1"/>
  <c r="O1835" i="4" s="1"/>
  <c r="O1836" i="4" a="1"/>
  <c r="O1836" i="4" s="1"/>
  <c r="O1840" i="4" a="1"/>
  <c r="O1840" i="4" s="1"/>
  <c r="O1842" i="4" a="1"/>
  <c r="O1842" i="4" s="1"/>
  <c r="O1838" i="4" a="1"/>
  <c r="O1838" i="4" s="1"/>
  <c r="O1837" i="4" a="1"/>
  <c r="O1837" i="4" s="1"/>
  <c r="O1839" i="4" a="1"/>
  <c r="O1839" i="4" s="1"/>
  <c r="O1834" i="4" a="1"/>
  <c r="O1834" i="4" s="1"/>
  <c r="O1846" i="4" a="1"/>
  <c r="O1846" i="4" s="1"/>
  <c r="O1848" i="4" a="1"/>
  <c r="O1848" i="4" s="1"/>
  <c r="O1851" i="4" a="1"/>
  <c r="O1851" i="4" s="1"/>
  <c r="O1855" i="4" a="1"/>
  <c r="O1855" i="4" s="1"/>
  <c r="O1854" i="4" a="1"/>
  <c r="O1854" i="4" s="1"/>
  <c r="O1864" i="4" a="1"/>
  <c r="O1864" i="4" s="1"/>
  <c r="O1863" i="4" a="1"/>
  <c r="O1863" i="4" s="1"/>
  <c r="O1860" i="4" a="1"/>
  <c r="O1860" i="4" s="1"/>
  <c r="O1858" i="4" a="1"/>
  <c r="O1858" i="4" s="1"/>
  <c r="O1867" i="4" a="1"/>
  <c r="O1867" i="4" s="1"/>
  <c r="O1866" i="4" a="1"/>
  <c r="O1866" i="4" s="1"/>
  <c r="O1865" i="4" a="1"/>
  <c r="O1865" i="4" s="1"/>
  <c r="O1868" i="4" a="1"/>
  <c r="O1868" i="4" s="1"/>
  <c r="O1871" i="4" a="1"/>
  <c r="O1871" i="4" s="1"/>
  <c r="O1869" i="4" a="1"/>
  <c r="O1869" i="4" s="1"/>
  <c r="O1870" i="4" a="1"/>
  <c r="O1870" i="4" s="1"/>
  <c r="O1872" i="4" a="1"/>
  <c r="O1872" i="4" s="1"/>
  <c r="O1874" i="4" a="1"/>
  <c r="O1874" i="4" s="1"/>
  <c r="O1873" i="4" a="1"/>
  <c r="O1873" i="4" s="1"/>
  <c r="O1878" i="4" a="1"/>
  <c r="O1878" i="4" s="1"/>
  <c r="O1876" i="4" a="1"/>
  <c r="O1876" i="4" s="1"/>
  <c r="O1875" i="4" a="1"/>
  <c r="O1875" i="4" s="1"/>
  <c r="O1877" i="4" a="1"/>
  <c r="O1877" i="4" s="1"/>
  <c r="O1880" i="4" a="1"/>
  <c r="O1880" i="4" s="1"/>
  <c r="O1881" i="4" a="1"/>
  <c r="O1881" i="4" s="1"/>
  <c r="O1882" i="4" a="1"/>
  <c r="O1882" i="4" s="1"/>
  <c r="O1883" i="4" a="1"/>
  <c r="O1883" i="4" s="1"/>
  <c r="O1884" i="4" a="1"/>
  <c r="O1884" i="4" s="1"/>
  <c r="O1885" i="4" a="1"/>
  <c r="O1885" i="4" s="1"/>
  <c r="O1887" i="4" a="1"/>
  <c r="O1887" i="4" s="1"/>
  <c r="O1889" i="4" a="1"/>
  <c r="O1889" i="4" s="1"/>
  <c r="O1891" i="4" a="1"/>
  <c r="O1891" i="4" s="1"/>
  <c r="O1893" i="4" a="1"/>
  <c r="O1893" i="4" s="1"/>
  <c r="O1895" i="4" a="1"/>
  <c r="O1895" i="4" s="1"/>
  <c r="O1896" i="4" a="1"/>
  <c r="O1896" i="4" s="1"/>
  <c r="O1897" i="4" a="1"/>
  <c r="O1897" i="4" s="1"/>
  <c r="O1902" i="4" a="1"/>
  <c r="O1902" i="4" s="1"/>
  <c r="O1903" i="4" a="1"/>
  <c r="O1903" i="4" s="1"/>
  <c r="O1907" i="4" a="1"/>
  <c r="O1907" i="4" s="1"/>
  <c r="O1911" i="4" a="1"/>
  <c r="O1911" i="4" s="1"/>
  <c r="O1910" i="4" a="1"/>
  <c r="O1910" i="4" s="1"/>
  <c r="O1914" i="4" a="1"/>
  <c r="O1914" i="4" s="1"/>
  <c r="O1915" i="4" a="1"/>
  <c r="O1915" i="4" s="1"/>
  <c r="O1916" i="4" a="1"/>
  <c r="O1916" i="4" s="1"/>
  <c r="O1917" i="4" a="1"/>
  <c r="O1917" i="4" s="1"/>
  <c r="O1919" i="4" a="1"/>
  <c r="O1919" i="4" s="1"/>
  <c r="O1918" i="4" a="1"/>
  <c r="O1918" i="4" s="1"/>
  <c r="O1923" i="4" a="1"/>
  <c r="O1923" i="4" s="1"/>
  <c r="O1927" i="4" a="1"/>
  <c r="O1927" i="4" s="1"/>
  <c r="O1928" i="4" a="1"/>
  <c r="O1928" i="4" s="1"/>
  <c r="O1929" i="4" a="1"/>
  <c r="O1929" i="4" s="1"/>
  <c r="O1930" i="4" a="1"/>
  <c r="O1930" i="4" s="1"/>
  <c r="O1932" i="4" a="1"/>
  <c r="O1932" i="4" s="1"/>
  <c r="O1933" i="4" a="1"/>
  <c r="O1933" i="4" s="1"/>
  <c r="O1934" i="4" a="1"/>
  <c r="O1934" i="4" s="1"/>
  <c r="O1937" i="4" a="1"/>
  <c r="O1937" i="4" s="1"/>
  <c r="O1935" i="4" a="1"/>
  <c r="O1935" i="4" s="1"/>
  <c r="O1936" i="4" a="1"/>
  <c r="O1936" i="4" s="1"/>
  <c r="O1938" i="4" a="1"/>
  <c r="O1938" i="4" s="1"/>
  <c r="O1940" i="4" a="1"/>
  <c r="O1940" i="4" s="1"/>
  <c r="O1942" i="4" a="1"/>
  <c r="O1942" i="4" s="1"/>
  <c r="O1941" i="4" a="1"/>
  <c r="O1941" i="4" s="1"/>
  <c r="O1943" i="4" a="1"/>
  <c r="O1943" i="4" s="1"/>
  <c r="O1944" i="4" a="1"/>
  <c r="O1944" i="4" s="1"/>
  <c r="O1947" i="4" a="1"/>
  <c r="O1947" i="4" s="1"/>
  <c r="O1946" i="4" a="1"/>
  <c r="O1946" i="4" s="1"/>
  <c r="Q1284" i="4"/>
  <c r="T1284" i="4" s="1"/>
  <c r="Q1287" i="4"/>
  <c r="T1287" i="4" s="1"/>
  <c r="Q1286" i="4"/>
  <c r="T1286" i="4" s="1"/>
  <c r="Q1288" i="4"/>
  <c r="T1288" i="4" s="1"/>
  <c r="Q1294" i="4"/>
  <c r="T1294" i="4" s="1"/>
  <c r="Q1298" i="4"/>
  <c r="T1298" i="4" s="1"/>
  <c r="Q1296" i="4"/>
  <c r="T1296" i="4" s="1"/>
  <c r="Q1297" i="4"/>
  <c r="T1297" i="4" s="1"/>
  <c r="Q1299" i="4"/>
  <c r="T1299" i="4" s="1"/>
  <c r="Q1300" i="4"/>
  <c r="T1300" i="4" s="1"/>
  <c r="Q1302" i="4"/>
  <c r="T1302" i="4" s="1"/>
  <c r="Q1303" i="4"/>
  <c r="T1303" i="4" s="1"/>
  <c r="Q1306" i="4"/>
  <c r="T1306" i="4" s="1"/>
  <c r="Q1305" i="4"/>
  <c r="T1305" i="4" s="1"/>
  <c r="Q1304" i="4"/>
  <c r="T1304" i="4" s="1"/>
  <c r="Q1307" i="4"/>
  <c r="T1307" i="4" s="1"/>
  <c r="Q1310" i="4"/>
  <c r="T1310" i="4" s="1"/>
  <c r="Q1308" i="4"/>
  <c r="T1308" i="4" s="1"/>
  <c r="Q1314" i="4"/>
  <c r="T1314" i="4" s="1"/>
  <c r="Q1319" i="4"/>
  <c r="T1319" i="4" s="1"/>
  <c r="Q1320" i="4"/>
  <c r="T1320" i="4" s="1"/>
  <c r="Q1318" i="4"/>
  <c r="T1318" i="4" s="1"/>
  <c r="Q1321" i="4"/>
  <c r="T1321" i="4" s="1"/>
  <c r="Q1326" i="4"/>
  <c r="T1326" i="4" s="1"/>
  <c r="Q1324" i="4"/>
  <c r="T1324" i="4" s="1"/>
  <c r="Q1322" i="4"/>
  <c r="T1322" i="4" s="1"/>
  <c r="Q1327" i="4"/>
  <c r="T1327" i="4" s="1"/>
  <c r="Q1323" i="4"/>
  <c r="T1323" i="4" s="1"/>
  <c r="Q1329" i="4"/>
  <c r="T1329" i="4" s="1"/>
  <c r="Q1337" i="4"/>
  <c r="T1337" i="4" s="1"/>
  <c r="Q1336" i="4"/>
  <c r="T1336" i="4" s="1"/>
  <c r="Q1338" i="4"/>
  <c r="T1338" i="4" s="1"/>
  <c r="Q1340" i="4"/>
  <c r="T1340" i="4" s="1"/>
  <c r="Q1339" i="4"/>
  <c r="T1339" i="4" s="1"/>
  <c r="Q1341" i="4"/>
  <c r="T1341" i="4" s="1"/>
  <c r="Q1344" i="4"/>
  <c r="T1344" i="4" s="1"/>
  <c r="Q1342" i="4"/>
  <c r="T1342" i="4" s="1"/>
  <c r="Q1343" i="4"/>
  <c r="T1343" i="4" s="1"/>
  <c r="Q1346" i="4"/>
  <c r="T1346" i="4" s="1"/>
  <c r="Q1345" i="4"/>
  <c r="T1345" i="4" s="1"/>
  <c r="Q1349" i="4"/>
  <c r="T1349" i="4" s="1"/>
  <c r="Q1348" i="4"/>
  <c r="T1348" i="4" s="1"/>
  <c r="Q1352" i="4"/>
  <c r="T1352" i="4" s="1"/>
  <c r="Q1351" i="4"/>
  <c r="T1351" i="4" s="1"/>
  <c r="Q1350" i="4"/>
  <c r="T1350" i="4" s="1"/>
  <c r="Q1354" i="4"/>
  <c r="T1354" i="4" s="1"/>
  <c r="Q1355" i="4"/>
  <c r="T1355" i="4" s="1"/>
  <c r="Q1353" i="4"/>
  <c r="T1353" i="4" s="1"/>
  <c r="Q1358" i="4"/>
  <c r="T1358" i="4" s="1"/>
  <c r="Q1357" i="4"/>
  <c r="T1357" i="4" s="1"/>
  <c r="Q1356" i="4"/>
  <c r="T1356" i="4" s="1"/>
  <c r="Q1362" i="4"/>
  <c r="T1362" i="4" s="1"/>
  <c r="Q1361" i="4"/>
  <c r="T1361" i="4" s="1"/>
  <c r="Q1363" i="4"/>
  <c r="T1363" i="4" s="1"/>
  <c r="Q1368" i="4"/>
  <c r="T1368" i="4" s="1"/>
  <c r="Q1370" i="4"/>
  <c r="T1370" i="4" s="1"/>
  <c r="Q1369" i="4"/>
  <c r="T1369" i="4" s="1"/>
  <c r="Q1373" i="4"/>
  <c r="T1373" i="4" s="1"/>
  <c r="Q1374" i="4"/>
  <c r="T1374" i="4" s="1"/>
  <c r="Q1376" i="4"/>
  <c r="T1376" i="4" s="1"/>
  <c r="Q1377" i="4"/>
  <c r="T1377" i="4" s="1"/>
  <c r="Q1375" i="4"/>
  <c r="T1375" i="4" s="1"/>
  <c r="Q1378" i="4"/>
  <c r="T1378" i="4" s="1"/>
  <c r="Q1380" i="4"/>
  <c r="T1380" i="4" s="1"/>
  <c r="Q1379" i="4"/>
  <c r="T1379" i="4" s="1"/>
  <c r="Q1381" i="4"/>
  <c r="T1381" i="4" s="1"/>
  <c r="Q1384" i="4"/>
  <c r="T1384" i="4" s="1"/>
  <c r="Q1382" i="4"/>
  <c r="T1382" i="4" s="1"/>
  <c r="Q1383" i="4"/>
  <c r="T1383" i="4" s="1"/>
  <c r="Q1388" i="4"/>
  <c r="T1388" i="4" s="1"/>
  <c r="Q1386" i="4"/>
  <c r="T1386" i="4" s="1"/>
  <c r="Q1392" i="4"/>
  <c r="T1392" i="4" s="1"/>
  <c r="Q1391" i="4"/>
  <c r="T1391" i="4" s="1"/>
  <c r="Q1390" i="4"/>
  <c r="T1390" i="4" s="1"/>
  <c r="Q1387" i="4"/>
  <c r="T1387" i="4" s="1"/>
  <c r="Q1393" i="4"/>
  <c r="T1393" i="4" s="1"/>
  <c r="Q1395" i="4"/>
  <c r="T1395" i="4" s="1"/>
  <c r="Q1394" i="4"/>
  <c r="T1394" i="4" s="1"/>
  <c r="Q1397" i="4"/>
  <c r="T1397" i="4" s="1"/>
  <c r="Q1396" i="4"/>
  <c r="T1396" i="4" s="1"/>
  <c r="Q1398" i="4"/>
  <c r="T1398" i="4" s="1"/>
  <c r="Q1402" i="4"/>
  <c r="T1402" i="4" s="1"/>
  <c r="Q1407" i="4"/>
  <c r="T1407" i="4" s="1"/>
  <c r="Q1404" i="4"/>
  <c r="T1404" i="4" s="1"/>
  <c r="Q1406" i="4"/>
  <c r="T1406" i="4" s="1"/>
  <c r="Q1408" i="4"/>
  <c r="T1408" i="4" s="1"/>
  <c r="Q1410" i="4"/>
  <c r="T1410" i="4" s="1"/>
  <c r="Q1414" i="4"/>
  <c r="T1414" i="4" s="1"/>
  <c r="Q1413" i="4"/>
  <c r="T1413" i="4" s="1"/>
  <c r="Q1411" i="4"/>
  <c r="T1411" i="4" s="1"/>
  <c r="Q1412" i="4"/>
  <c r="T1412" i="4" s="1"/>
  <c r="Q1415" i="4"/>
  <c r="T1415" i="4" s="1"/>
  <c r="Q1416" i="4"/>
  <c r="T1416" i="4" s="1"/>
  <c r="Q1422" i="4"/>
  <c r="T1422" i="4" s="1"/>
  <c r="Q1419" i="4"/>
  <c r="T1419" i="4" s="1"/>
  <c r="Q1421" i="4"/>
  <c r="T1421" i="4" s="1"/>
  <c r="Q1418" i="4"/>
  <c r="T1418" i="4" s="1"/>
  <c r="Q1420" i="4"/>
  <c r="T1420" i="4" s="1"/>
  <c r="Q1423" i="4"/>
  <c r="T1423" i="4" s="1"/>
  <c r="Q1424" i="4"/>
  <c r="T1424" i="4" s="1"/>
  <c r="Q1425" i="4"/>
  <c r="T1425" i="4" s="1"/>
  <c r="Q1427" i="4"/>
  <c r="T1427" i="4" s="1"/>
  <c r="Q1429" i="4"/>
  <c r="T1429" i="4" s="1"/>
  <c r="Q1431" i="4"/>
  <c r="T1431" i="4" s="1"/>
  <c r="Q1432" i="4"/>
  <c r="T1432" i="4" s="1"/>
  <c r="Q1441" i="4"/>
  <c r="T1441" i="4" s="1"/>
  <c r="Q1436" i="4"/>
  <c r="T1436" i="4" s="1"/>
  <c r="Q1433" i="4"/>
  <c r="T1433" i="4" s="1"/>
  <c r="Q1438" i="4"/>
  <c r="T1438" i="4" s="1"/>
  <c r="Q1434" i="4"/>
  <c r="T1434" i="4" s="1"/>
  <c r="Q1437" i="4"/>
  <c r="T1437" i="4" s="1"/>
  <c r="Q1440" i="4"/>
  <c r="T1440" i="4" s="1"/>
  <c r="Q1439" i="4"/>
  <c r="T1439" i="4" s="1"/>
  <c r="Q1443" i="4"/>
  <c r="T1443" i="4" s="1"/>
  <c r="Q1442" i="4"/>
  <c r="T1442" i="4" s="1"/>
  <c r="Q1446" i="4"/>
  <c r="T1446" i="4" s="1"/>
  <c r="Q1444" i="4"/>
  <c r="T1444" i="4" s="1"/>
  <c r="Q1448" i="4"/>
  <c r="T1448" i="4" s="1"/>
  <c r="Q1451" i="4"/>
  <c r="T1451" i="4" s="1"/>
  <c r="Q1450" i="4"/>
  <c r="T1450" i="4" s="1"/>
  <c r="Q1449" i="4"/>
  <c r="T1449" i="4" s="1"/>
  <c r="Q1452" i="4"/>
  <c r="T1452" i="4" s="1"/>
  <c r="Q1455" i="4"/>
  <c r="T1455" i="4" s="1"/>
  <c r="Q1453" i="4"/>
  <c r="T1453" i="4" s="1"/>
  <c r="Q1454" i="4"/>
  <c r="T1454" i="4" s="1"/>
  <c r="Q1456" i="4"/>
  <c r="T1456" i="4" s="1"/>
  <c r="Q1457" i="4"/>
  <c r="T1457" i="4" s="1"/>
  <c r="Q1459" i="4"/>
  <c r="T1459" i="4" s="1"/>
  <c r="Q1460" i="4"/>
  <c r="T1460" i="4" s="1"/>
  <c r="Q1458" i="4"/>
  <c r="T1458" i="4" s="1"/>
  <c r="Q1461" i="4"/>
  <c r="T1461" i="4" s="1"/>
  <c r="Q1463" i="4"/>
  <c r="T1463" i="4" s="1"/>
  <c r="Q1462" i="4"/>
  <c r="T1462" i="4" s="1"/>
  <c r="Q1464" i="4"/>
  <c r="T1464" i="4" s="1"/>
  <c r="Q1466" i="4"/>
  <c r="T1466" i="4" s="1"/>
  <c r="Q1465" i="4"/>
  <c r="T1465" i="4" s="1"/>
  <c r="Q1468" i="4"/>
  <c r="T1468" i="4" s="1"/>
  <c r="Q1469" i="4"/>
  <c r="T1469" i="4" s="1"/>
  <c r="Q1470" i="4"/>
  <c r="T1470" i="4" s="1"/>
  <c r="Q1467" i="4"/>
  <c r="T1467" i="4" s="1"/>
  <c r="Q1471" i="4"/>
  <c r="T1471" i="4" s="1"/>
  <c r="Q1475" i="4"/>
  <c r="T1475" i="4" s="1"/>
  <c r="Q1472" i="4"/>
  <c r="T1472" i="4" s="1"/>
  <c r="Q1479" i="4"/>
  <c r="T1479" i="4" s="1"/>
  <c r="Q1477" i="4"/>
  <c r="T1477" i="4" s="1"/>
  <c r="Q1480" i="4"/>
  <c r="T1480" i="4" s="1"/>
  <c r="Q1473" i="4"/>
  <c r="T1473" i="4" s="1"/>
  <c r="Q1476" i="4"/>
  <c r="T1476" i="4" s="1"/>
  <c r="Q1474" i="4"/>
  <c r="T1474" i="4" s="1"/>
  <c r="Q1485" i="4"/>
  <c r="T1485" i="4" s="1"/>
  <c r="Q1483" i="4"/>
  <c r="T1483" i="4" s="1"/>
  <c r="Q1481" i="4"/>
  <c r="T1481" i="4" s="1"/>
  <c r="Q1484" i="4"/>
  <c r="T1484" i="4" s="1"/>
  <c r="Q1482" i="4"/>
  <c r="T1482" i="4" s="1"/>
  <c r="Q1489" i="4"/>
  <c r="T1489" i="4" s="1"/>
  <c r="Q1487" i="4"/>
  <c r="T1487" i="4" s="1"/>
  <c r="Q1486" i="4"/>
  <c r="T1486" i="4" s="1"/>
  <c r="Q1491" i="4"/>
  <c r="T1491" i="4" s="1"/>
  <c r="Q1493" i="4"/>
  <c r="T1493" i="4" s="1"/>
  <c r="Q1494" i="4"/>
  <c r="T1494" i="4" s="1"/>
  <c r="Q1498" i="4"/>
  <c r="T1498" i="4" s="1"/>
  <c r="Q1499" i="4"/>
  <c r="T1499" i="4" s="1"/>
  <c r="Q1500" i="4"/>
  <c r="T1500" i="4" s="1"/>
  <c r="Q1504" i="4"/>
  <c r="T1504" i="4" s="1"/>
  <c r="Q1505" i="4"/>
  <c r="T1505" i="4" s="1"/>
  <c r="Q1501" i="4"/>
  <c r="T1501" i="4" s="1"/>
  <c r="Q1503" i="4"/>
  <c r="T1503" i="4" s="1"/>
  <c r="Q1502" i="4"/>
  <c r="T1502" i="4" s="1"/>
  <c r="Q1509" i="4"/>
  <c r="T1509" i="4" s="1"/>
  <c r="Q1507" i="4"/>
  <c r="T1507" i="4" s="1"/>
  <c r="Q1506" i="4"/>
  <c r="T1506" i="4" s="1"/>
  <c r="Q1508" i="4"/>
  <c r="T1508" i="4" s="1"/>
  <c r="Q1514" i="4"/>
  <c r="T1514" i="4" s="1"/>
  <c r="Q1517" i="4"/>
  <c r="T1517" i="4" s="1"/>
  <c r="Q1516" i="4"/>
  <c r="T1516" i="4" s="1"/>
  <c r="Q1512" i="4"/>
  <c r="T1512" i="4" s="1"/>
  <c r="Q1511" i="4"/>
  <c r="T1511" i="4" s="1"/>
  <c r="Q1518" i="4"/>
  <c r="T1518" i="4" s="1"/>
  <c r="Q1521" i="4"/>
  <c r="T1521" i="4" s="1"/>
  <c r="Q1524" i="4"/>
  <c r="T1524" i="4" s="1"/>
  <c r="Q1522" i="4"/>
  <c r="T1522" i="4" s="1"/>
  <c r="Q1523" i="4"/>
  <c r="T1523" i="4" s="1"/>
  <c r="Q1527" i="4"/>
  <c r="T1527" i="4" s="1"/>
  <c r="Q1529" i="4"/>
  <c r="T1529" i="4" s="1"/>
  <c r="Q1528" i="4"/>
  <c r="T1528" i="4" s="1"/>
  <c r="Q1530" i="4"/>
  <c r="T1530" i="4" s="1"/>
  <c r="Q1526" i="4"/>
  <c r="T1526" i="4" s="1"/>
  <c r="Q1532" i="4"/>
  <c r="T1532" i="4" s="1"/>
  <c r="Q1533" i="4"/>
  <c r="T1533" i="4" s="1"/>
  <c r="Q1534" i="4"/>
  <c r="T1534" i="4" s="1"/>
  <c r="Q1536" i="4"/>
  <c r="T1536" i="4" s="1"/>
  <c r="Q1535" i="4"/>
  <c r="T1535" i="4" s="1"/>
  <c r="Q1542" i="4"/>
  <c r="T1542" i="4" s="1"/>
  <c r="Q1543" i="4"/>
  <c r="T1543" i="4" s="1"/>
  <c r="Q1544" i="4"/>
  <c r="T1544" i="4" s="1"/>
  <c r="Q1545" i="4"/>
  <c r="T1545" i="4" s="1"/>
  <c r="Q1553" i="4"/>
  <c r="T1553" i="4" s="1"/>
  <c r="Q1558" i="4"/>
  <c r="T1558" i="4" s="1"/>
  <c r="Q1557" i="4"/>
  <c r="T1557" i="4" s="1"/>
  <c r="Q1559" i="4"/>
  <c r="T1559" i="4" s="1"/>
  <c r="Q1561" i="4"/>
  <c r="T1561" i="4" s="1"/>
  <c r="Q1566" i="4"/>
  <c r="T1566" i="4" s="1"/>
  <c r="Q1564" i="4"/>
  <c r="T1564" i="4" s="1"/>
  <c r="Q1562" i="4"/>
  <c r="T1562" i="4" s="1"/>
  <c r="Q1563" i="4"/>
  <c r="T1563" i="4" s="1"/>
  <c r="Q1565" i="4"/>
  <c r="T1565" i="4" s="1"/>
  <c r="Q1567" i="4"/>
  <c r="T1567" i="4" s="1"/>
  <c r="Q1571" i="4"/>
  <c r="T1571" i="4" s="1"/>
  <c r="Q1569" i="4"/>
  <c r="T1569" i="4" s="1"/>
  <c r="Q1568" i="4"/>
  <c r="T1568" i="4" s="1"/>
  <c r="Q1570" i="4"/>
  <c r="T1570" i="4" s="1"/>
  <c r="Q1573" i="4"/>
  <c r="T1573" i="4" s="1"/>
  <c r="Q1572" i="4"/>
  <c r="T1572" i="4" s="1"/>
  <c r="Q1575" i="4"/>
  <c r="T1575" i="4" s="1"/>
  <c r="Q1577" i="4"/>
  <c r="T1577" i="4" s="1"/>
  <c r="Q1578" i="4"/>
  <c r="T1578" i="4" s="1"/>
  <c r="Q1576" i="4"/>
  <c r="T1576" i="4" s="1"/>
  <c r="Q1579" i="4"/>
  <c r="T1579" i="4" s="1"/>
  <c r="Q1582" i="4"/>
  <c r="T1582" i="4" s="1"/>
  <c r="Q1587" i="4"/>
  <c r="T1587" i="4" s="1"/>
  <c r="Q1584" i="4"/>
  <c r="T1584" i="4" s="1"/>
  <c r="Q1586" i="4"/>
  <c r="T1586" i="4" s="1"/>
  <c r="Q1585" i="4"/>
  <c r="T1585" i="4" s="1"/>
  <c r="Q1590" i="4"/>
  <c r="T1590" i="4" s="1"/>
  <c r="Q1589" i="4"/>
  <c r="T1589" i="4" s="1"/>
  <c r="Q1593" i="4"/>
  <c r="T1593" i="4" s="1"/>
  <c r="Q1592" i="4"/>
  <c r="T1592" i="4" s="1"/>
  <c r="Q1595" i="4"/>
  <c r="T1595" i="4" s="1"/>
  <c r="Q1596" i="4"/>
  <c r="T1596" i="4" s="1"/>
  <c r="Q1599" i="4"/>
  <c r="T1599" i="4" s="1"/>
  <c r="Q1598" i="4"/>
  <c r="T1598" i="4" s="1"/>
  <c r="Q1597" i="4"/>
  <c r="T1597" i="4" s="1"/>
  <c r="Q1600" i="4"/>
  <c r="T1600" i="4" s="1"/>
  <c r="Q1601" i="4"/>
  <c r="T1601" i="4" s="1"/>
  <c r="Q1606" i="4"/>
  <c r="T1606" i="4" s="1"/>
  <c r="Q1607" i="4"/>
  <c r="T1607" i="4" s="1"/>
  <c r="Q1605" i="4"/>
  <c r="T1605" i="4" s="1"/>
  <c r="Q1604" i="4"/>
  <c r="T1604" i="4" s="1"/>
  <c r="Q1609" i="4"/>
  <c r="T1609" i="4" s="1"/>
  <c r="Q1610" i="4"/>
  <c r="T1610" i="4" s="1"/>
  <c r="Q1612" i="4"/>
  <c r="T1612" i="4" s="1"/>
  <c r="Q1611" i="4"/>
  <c r="T1611" i="4" s="1"/>
  <c r="Q1613" i="4"/>
  <c r="T1613" i="4" s="1"/>
  <c r="Q1614" i="4"/>
  <c r="T1614" i="4" s="1"/>
  <c r="Q1615" i="4"/>
  <c r="T1615" i="4" s="1"/>
  <c r="Q1621" i="4"/>
  <c r="T1621" i="4" s="1"/>
  <c r="Q1619" i="4"/>
  <c r="T1619" i="4" s="1"/>
  <c r="Q1620" i="4"/>
  <c r="T1620" i="4" s="1"/>
  <c r="Q1618" i="4"/>
  <c r="T1618" i="4" s="1"/>
  <c r="Q1622" i="4"/>
  <c r="T1622" i="4" s="1"/>
  <c r="Q1616" i="4"/>
  <c r="T1616" i="4" s="1"/>
  <c r="Q1623" i="4"/>
  <c r="T1623" i="4" s="1"/>
  <c r="Q1625" i="4"/>
  <c r="T1625" i="4" s="1"/>
  <c r="Q1627" i="4"/>
  <c r="T1627" i="4" s="1"/>
  <c r="Q1626" i="4"/>
  <c r="T1626" i="4" s="1"/>
  <c r="Q1628" i="4"/>
  <c r="T1628" i="4" s="1"/>
  <c r="Q1630" i="4"/>
  <c r="T1630" i="4" s="1"/>
  <c r="Q1632" i="4"/>
  <c r="T1632" i="4" s="1"/>
  <c r="Q1634" i="4"/>
  <c r="T1634" i="4" s="1"/>
  <c r="Q1633" i="4"/>
  <c r="T1633" i="4" s="1"/>
  <c r="Q1631" i="4"/>
  <c r="T1631" i="4" s="1"/>
  <c r="Q1637" i="4"/>
  <c r="T1637" i="4" s="1"/>
  <c r="Q1646" i="4"/>
  <c r="T1646" i="4" s="1"/>
  <c r="Q1636" i="4"/>
  <c r="T1636" i="4" s="1"/>
  <c r="Q1641" i="4"/>
  <c r="T1641" i="4" s="1"/>
  <c r="Q1642" i="4"/>
  <c r="T1642" i="4" s="1"/>
  <c r="Q1635" i="4"/>
  <c r="T1635" i="4" s="1"/>
  <c r="Q1643" i="4"/>
  <c r="T1643" i="4" s="1"/>
  <c r="Q1640" i="4"/>
  <c r="T1640" i="4" s="1"/>
  <c r="Q1645" i="4"/>
  <c r="T1645" i="4" s="1"/>
  <c r="Q1651" i="4"/>
  <c r="T1651" i="4" s="1"/>
  <c r="Q1650" i="4"/>
  <c r="T1650" i="4" s="1"/>
  <c r="Q1648" i="4"/>
  <c r="T1648" i="4" s="1"/>
  <c r="Q1647" i="4"/>
  <c r="T1647" i="4" s="1"/>
  <c r="Q1652" i="4"/>
  <c r="T1652" i="4" s="1"/>
  <c r="Q1654" i="4"/>
  <c r="T1654" i="4" s="1"/>
  <c r="Q1655" i="4"/>
  <c r="T1655" i="4" s="1"/>
  <c r="Q1661" i="4"/>
  <c r="T1661" i="4" s="1"/>
  <c r="Q1659" i="4"/>
  <c r="T1659" i="4" s="1"/>
  <c r="Q1660" i="4"/>
  <c r="T1660" i="4" s="1"/>
  <c r="Q1656" i="4"/>
  <c r="T1656" i="4" s="1"/>
  <c r="Q1664" i="4"/>
  <c r="T1664" i="4" s="1"/>
  <c r="Q1668" i="4"/>
  <c r="T1668" i="4" s="1"/>
  <c r="Q1665" i="4"/>
  <c r="T1665" i="4" s="1"/>
  <c r="Q1666" i="4"/>
  <c r="T1666" i="4" s="1"/>
  <c r="Q1669" i="4"/>
  <c r="T1669" i="4" s="1"/>
  <c r="Q1673" i="4"/>
  <c r="T1673" i="4" s="1"/>
  <c r="Q1674" i="4"/>
  <c r="T1674" i="4" s="1"/>
  <c r="Q1672" i="4"/>
  <c r="T1672" i="4" s="1"/>
  <c r="Q1675" i="4"/>
  <c r="T1675" i="4" s="1"/>
  <c r="Q1677" i="4"/>
  <c r="T1677" i="4" s="1"/>
  <c r="Q1676" i="4"/>
  <c r="T1676" i="4" s="1"/>
  <c r="Q1679" i="4"/>
  <c r="T1679" i="4" s="1"/>
  <c r="Q1680" i="4"/>
  <c r="T1680" i="4" s="1"/>
  <c r="Q1678" i="4"/>
  <c r="T1678" i="4" s="1"/>
  <c r="Q1681" i="4"/>
  <c r="T1681" i="4" s="1"/>
  <c r="Q1683" i="4"/>
  <c r="T1683" i="4" s="1"/>
  <c r="Q1686" i="4"/>
  <c r="T1686" i="4" s="1"/>
  <c r="Q1689" i="4"/>
  <c r="T1689" i="4" s="1"/>
  <c r="Q1688" i="4"/>
  <c r="T1688" i="4" s="1"/>
  <c r="Q1687" i="4"/>
  <c r="T1687" i="4" s="1"/>
  <c r="Q1690" i="4"/>
  <c r="T1690" i="4" s="1"/>
  <c r="Q1700" i="4"/>
  <c r="T1700" i="4" s="1"/>
  <c r="Q1693" i="4"/>
  <c r="T1693" i="4" s="1"/>
  <c r="Q1697" i="4"/>
  <c r="T1697" i="4" s="1"/>
  <c r="Q1694" i="4"/>
  <c r="T1694" i="4" s="1"/>
  <c r="Q1702" i="4"/>
  <c r="T1702" i="4" s="1"/>
  <c r="Q1704" i="4"/>
  <c r="T1704" i="4" s="1"/>
  <c r="Q1705" i="4"/>
  <c r="T1705" i="4" s="1"/>
  <c r="Q1706" i="4"/>
  <c r="T1706" i="4" s="1"/>
  <c r="Q1708" i="4"/>
  <c r="T1708" i="4" s="1"/>
  <c r="Q1707" i="4"/>
  <c r="T1707" i="4" s="1"/>
  <c r="Q1709" i="4"/>
  <c r="T1709" i="4" s="1"/>
  <c r="Q1710" i="4"/>
  <c r="T1710" i="4" s="1"/>
  <c r="Q1714" i="4"/>
  <c r="T1714" i="4" s="1"/>
  <c r="Q1712" i="4"/>
  <c r="T1712" i="4" s="1"/>
  <c r="Q1711" i="4"/>
  <c r="T1711" i="4" s="1"/>
  <c r="Q1713" i="4"/>
  <c r="T1713" i="4" s="1"/>
  <c r="Q1716" i="4"/>
  <c r="T1716" i="4" s="1"/>
  <c r="Q1715" i="4"/>
  <c r="T1715" i="4" s="1"/>
  <c r="Q1722" i="4"/>
  <c r="T1722" i="4" s="1"/>
  <c r="Q1717" i="4"/>
  <c r="T1717" i="4" s="1"/>
  <c r="Q1720" i="4"/>
  <c r="T1720" i="4" s="1"/>
  <c r="Q1719" i="4"/>
  <c r="T1719" i="4" s="1"/>
  <c r="Q1723" i="4"/>
  <c r="T1723" i="4" s="1"/>
  <c r="Q1724" i="4"/>
  <c r="T1724" i="4" s="1"/>
  <c r="Q1726" i="4"/>
  <c r="T1726" i="4" s="1"/>
  <c r="Q1725" i="4"/>
  <c r="T1725" i="4" s="1"/>
  <c r="Q1728" i="4"/>
  <c r="T1728" i="4" s="1"/>
  <c r="Q1729" i="4"/>
  <c r="T1729" i="4" s="1"/>
  <c r="Q1734" i="4"/>
  <c r="T1734" i="4" s="1"/>
  <c r="Q1732" i="4"/>
  <c r="T1732" i="4" s="1"/>
  <c r="Q1733" i="4"/>
  <c r="T1733" i="4" s="1"/>
  <c r="Q1735" i="4"/>
  <c r="T1735" i="4" s="1"/>
  <c r="Q1730" i="4"/>
  <c r="T1730" i="4" s="1"/>
  <c r="Q1731" i="4"/>
  <c r="T1731" i="4" s="1"/>
  <c r="Q1742" i="4"/>
  <c r="T1742" i="4" s="1"/>
  <c r="Q1737" i="4"/>
  <c r="T1737" i="4" s="1"/>
  <c r="Q1741" i="4"/>
  <c r="T1741" i="4" s="1"/>
  <c r="Q1740" i="4"/>
  <c r="T1740" i="4" s="1"/>
  <c r="Q1739" i="4"/>
  <c r="T1739" i="4" s="1"/>
  <c r="Q1738" i="4"/>
  <c r="T1738" i="4" s="1"/>
  <c r="Q1744" i="4"/>
  <c r="T1744" i="4" s="1"/>
  <c r="Q1745" i="4"/>
  <c r="T1745" i="4" s="1"/>
  <c r="Q1748" i="4"/>
  <c r="T1748" i="4" s="1"/>
  <c r="Q1749" i="4"/>
  <c r="T1749" i="4" s="1"/>
  <c r="Q1747" i="4"/>
  <c r="T1747" i="4" s="1"/>
  <c r="Q1750" i="4"/>
  <c r="T1750" i="4" s="1"/>
  <c r="Q1751" i="4"/>
  <c r="T1751" i="4" s="1"/>
  <c r="Q1753" i="4"/>
  <c r="T1753" i="4" s="1"/>
  <c r="Q1752" i="4"/>
  <c r="T1752" i="4" s="1"/>
  <c r="Q1755" i="4"/>
  <c r="T1755" i="4" s="1"/>
  <c r="Q1756" i="4"/>
  <c r="T1756" i="4" s="1"/>
  <c r="Q1754" i="4"/>
  <c r="T1754" i="4" s="1"/>
  <c r="Q1757" i="4"/>
  <c r="T1757" i="4" s="1"/>
  <c r="Q1758" i="4"/>
  <c r="T1758" i="4" s="1"/>
  <c r="Q1762" i="4"/>
  <c r="T1762" i="4" s="1"/>
  <c r="Q1763" i="4"/>
  <c r="T1763" i="4" s="1"/>
  <c r="Q1764" i="4"/>
  <c r="T1764" i="4" s="1"/>
  <c r="Q1761" i="4"/>
  <c r="T1761" i="4" s="1"/>
  <c r="Q1766" i="4"/>
  <c r="T1766" i="4" s="1"/>
  <c r="Q1765" i="4"/>
  <c r="T1765" i="4" s="1"/>
  <c r="Q1759" i="4"/>
  <c r="T1759" i="4" s="1"/>
  <c r="Q1760" i="4"/>
  <c r="T1760" i="4" s="1"/>
  <c r="Q1767" i="4"/>
  <c r="T1767" i="4" s="1"/>
  <c r="Q1769" i="4"/>
  <c r="T1769" i="4" s="1"/>
  <c r="Q1775" i="4"/>
  <c r="T1775" i="4" s="1"/>
  <c r="Q1774" i="4"/>
  <c r="T1774" i="4" s="1"/>
  <c r="Q1772" i="4"/>
  <c r="T1772" i="4" s="1"/>
  <c r="Q1771" i="4"/>
  <c r="T1771" i="4" s="1"/>
  <c r="Q1780" i="4"/>
  <c r="T1780" i="4" s="1"/>
  <c r="Q1781" i="4"/>
  <c r="T1781" i="4" s="1"/>
  <c r="Q1779" i="4"/>
  <c r="T1779" i="4" s="1"/>
  <c r="Q1790" i="4"/>
  <c r="T1790" i="4" s="1"/>
  <c r="Q1788" i="4"/>
  <c r="T1788" i="4" s="1"/>
  <c r="Q1784" i="4"/>
  <c r="T1784" i="4" s="1"/>
  <c r="Q1787" i="4"/>
  <c r="T1787" i="4" s="1"/>
  <c r="Q1793" i="4"/>
  <c r="T1793" i="4" s="1"/>
  <c r="Q1783" i="4"/>
  <c r="T1783" i="4" s="1"/>
  <c r="Q1789" i="4"/>
  <c r="T1789" i="4" s="1"/>
  <c r="Q1795" i="4"/>
  <c r="T1795" i="4" s="1"/>
  <c r="Q1794" i="4"/>
  <c r="T1794" i="4" s="1"/>
  <c r="Q1797" i="4"/>
  <c r="T1797" i="4" s="1"/>
  <c r="Q1796" i="4"/>
  <c r="T1796" i="4" s="1"/>
  <c r="Q1798" i="4"/>
  <c r="T1798" i="4" s="1"/>
  <c r="Q1804" i="4"/>
  <c r="T1804" i="4" s="1"/>
  <c r="Q1801" i="4"/>
  <c r="T1801" i="4" s="1"/>
  <c r="Q1800" i="4"/>
  <c r="T1800" i="4" s="1"/>
  <c r="Q1799" i="4"/>
  <c r="T1799" i="4" s="1"/>
  <c r="Q1805" i="4"/>
  <c r="T1805" i="4" s="1"/>
  <c r="Q1807" i="4"/>
  <c r="T1807" i="4" s="1"/>
  <c r="Q1811" i="4"/>
  <c r="T1811" i="4" s="1"/>
  <c r="Q1813" i="4"/>
  <c r="T1813" i="4" s="1"/>
  <c r="Q1812" i="4"/>
  <c r="T1812" i="4" s="1"/>
  <c r="Q1806" i="4"/>
  <c r="T1806" i="4" s="1"/>
  <c r="Q1810" i="4"/>
  <c r="T1810" i="4" s="1"/>
  <c r="Q1808" i="4"/>
  <c r="T1808" i="4" s="1"/>
  <c r="Q1819" i="4"/>
  <c r="T1819" i="4" s="1"/>
  <c r="Q1815" i="4"/>
  <c r="T1815" i="4" s="1"/>
  <c r="Q1817" i="4"/>
  <c r="T1817" i="4" s="1"/>
  <c r="Q1818" i="4"/>
  <c r="T1818" i="4" s="1"/>
  <c r="Q1814" i="4"/>
  <c r="T1814" i="4" s="1"/>
  <c r="Q1816" i="4"/>
  <c r="T1816" i="4" s="1"/>
  <c r="Q1820" i="4"/>
  <c r="T1820" i="4" s="1"/>
  <c r="Q1824" i="4"/>
  <c r="T1824" i="4" s="1"/>
  <c r="Q1825" i="4"/>
  <c r="T1825" i="4" s="1"/>
  <c r="Q1823" i="4"/>
  <c r="T1823" i="4" s="1"/>
  <c r="Q1822" i="4"/>
  <c r="T1822" i="4" s="1"/>
  <c r="Q1828" i="4"/>
  <c r="T1828" i="4" s="1"/>
  <c r="Q1826" i="4"/>
  <c r="T1826" i="4" s="1"/>
  <c r="Q1827" i="4"/>
  <c r="T1827" i="4" s="1"/>
  <c r="Q1821" i="4"/>
  <c r="T1821" i="4" s="1"/>
  <c r="Q1829" i="4"/>
  <c r="T1829" i="4" s="1"/>
  <c r="Q1830" i="4"/>
  <c r="T1830" i="4" s="1"/>
  <c r="Q1831" i="4"/>
  <c r="T1831" i="4" s="1"/>
  <c r="Q1832" i="4"/>
  <c r="T1832" i="4" s="1"/>
  <c r="Q1841" i="4"/>
  <c r="T1841" i="4" s="1"/>
  <c r="Q1835" i="4"/>
  <c r="T1835" i="4" s="1"/>
  <c r="Q1836" i="4"/>
  <c r="T1836" i="4" s="1"/>
  <c r="Q1840" i="4"/>
  <c r="T1840" i="4" s="1"/>
  <c r="Q1842" i="4"/>
  <c r="T1842" i="4" s="1"/>
  <c r="Q1838" i="4"/>
  <c r="T1838" i="4" s="1"/>
  <c r="Q1837" i="4"/>
  <c r="T1837" i="4" s="1"/>
  <c r="Q1839" i="4"/>
  <c r="T1839" i="4" s="1"/>
  <c r="Q1834" i="4"/>
  <c r="T1834" i="4" s="1"/>
  <c r="Q1846" i="4"/>
  <c r="T1846" i="4" s="1"/>
  <c r="Q1848" i="4"/>
  <c r="T1848" i="4" s="1"/>
  <c r="Q1851" i="4"/>
  <c r="T1851" i="4" s="1"/>
  <c r="Q1855" i="4"/>
  <c r="T1855" i="4" s="1"/>
  <c r="Q1854" i="4"/>
  <c r="T1854" i="4" s="1"/>
  <c r="Q1864" i="4"/>
  <c r="T1864" i="4" s="1"/>
  <c r="Q1863" i="4"/>
  <c r="T1863" i="4" s="1"/>
  <c r="Q1860" i="4"/>
  <c r="T1860" i="4" s="1"/>
  <c r="Q1858" i="4"/>
  <c r="T1858" i="4" s="1"/>
  <c r="Q1867" i="4"/>
  <c r="T1867" i="4" s="1"/>
  <c r="Q1866" i="4"/>
  <c r="T1866" i="4" s="1"/>
  <c r="Q1865" i="4"/>
  <c r="T1865" i="4" s="1"/>
  <c r="Q1868" i="4"/>
  <c r="T1868" i="4" s="1"/>
  <c r="Q1871" i="4"/>
  <c r="T1871" i="4" s="1"/>
  <c r="Q1869" i="4"/>
  <c r="T1869" i="4" s="1"/>
  <c r="Q1870" i="4"/>
  <c r="T1870" i="4" s="1"/>
  <c r="Q1872" i="4"/>
  <c r="T1872" i="4" s="1"/>
  <c r="Q1874" i="4"/>
  <c r="T1874" i="4" s="1"/>
  <c r="Q1873" i="4"/>
  <c r="T1873" i="4" s="1"/>
  <c r="Q1878" i="4"/>
  <c r="T1878" i="4" s="1"/>
  <c r="Q1876" i="4"/>
  <c r="T1876" i="4" s="1"/>
  <c r="Q1875" i="4"/>
  <c r="T1875" i="4" s="1"/>
  <c r="Q1877" i="4"/>
  <c r="T1877" i="4" s="1"/>
  <c r="Q1880" i="4"/>
  <c r="T1880" i="4" s="1"/>
  <c r="Q1881" i="4"/>
  <c r="T1881" i="4" s="1"/>
  <c r="Q1882" i="4"/>
  <c r="T1882" i="4" s="1"/>
  <c r="Q1883" i="4"/>
  <c r="T1883" i="4" s="1"/>
  <c r="Q1884" i="4"/>
  <c r="T1884" i="4" s="1"/>
  <c r="Q1885" i="4"/>
  <c r="T1885" i="4" s="1"/>
  <c r="Q1887" i="4"/>
  <c r="T1887" i="4" s="1"/>
  <c r="Q1889" i="4"/>
  <c r="T1889" i="4" s="1"/>
  <c r="Q1891" i="4"/>
  <c r="T1891" i="4" s="1"/>
  <c r="Q1893" i="4"/>
  <c r="T1893" i="4" s="1"/>
  <c r="Q1895" i="4"/>
  <c r="T1895" i="4" s="1"/>
  <c r="Q1896" i="4"/>
  <c r="T1896" i="4" s="1"/>
  <c r="Q1897" i="4"/>
  <c r="T1897" i="4" s="1"/>
  <c r="Q1902" i="4"/>
  <c r="T1902" i="4" s="1"/>
  <c r="Q1903" i="4"/>
  <c r="T1903" i="4" s="1"/>
  <c r="Q1907" i="4"/>
  <c r="T1907" i="4" s="1"/>
  <c r="Q1911" i="4"/>
  <c r="T1911" i="4" s="1"/>
  <c r="Q1910" i="4"/>
  <c r="T1910" i="4" s="1"/>
  <c r="Q1914" i="4"/>
  <c r="T1914" i="4" s="1"/>
  <c r="Q1915" i="4"/>
  <c r="T1915" i="4" s="1"/>
  <c r="Q1916" i="4"/>
  <c r="T1916" i="4" s="1"/>
  <c r="Q1917" i="4"/>
  <c r="T1917" i="4" s="1"/>
  <c r="Q1919" i="4"/>
  <c r="T1919" i="4" s="1"/>
  <c r="Q1918" i="4"/>
  <c r="T1918" i="4" s="1"/>
  <c r="Q1923" i="4"/>
  <c r="T1923" i="4" s="1"/>
  <c r="Q1927" i="4"/>
  <c r="T1927" i="4" s="1"/>
  <c r="Q1928" i="4"/>
  <c r="T1928" i="4" s="1"/>
  <c r="Q1929" i="4"/>
  <c r="T1929" i="4" s="1"/>
  <c r="Q1930" i="4"/>
  <c r="T1930" i="4" s="1"/>
  <c r="Q1932" i="4"/>
  <c r="T1932" i="4" s="1"/>
  <c r="Q1933" i="4"/>
  <c r="T1933" i="4" s="1"/>
  <c r="Q1934" i="4"/>
  <c r="T1934" i="4" s="1"/>
  <c r="Q1937" i="4"/>
  <c r="T1937" i="4" s="1"/>
  <c r="Q1935" i="4"/>
  <c r="T1935" i="4" s="1"/>
  <c r="Q1936" i="4"/>
  <c r="T1936" i="4" s="1"/>
  <c r="Q1938" i="4"/>
  <c r="T1938" i="4" s="1"/>
  <c r="Q1940" i="4"/>
  <c r="T1940" i="4" s="1"/>
  <c r="Q1942" i="4"/>
  <c r="T1942" i="4" s="1"/>
  <c r="Q1941" i="4"/>
  <c r="T1941" i="4" s="1"/>
  <c r="Q1943" i="4"/>
  <c r="T1943" i="4" s="1"/>
  <c r="Q1944" i="4"/>
  <c r="T1944" i="4" s="1"/>
  <c r="Q1947" i="4"/>
  <c r="T1947" i="4" s="1"/>
  <c r="Q1946" i="4"/>
  <c r="T1946" i="4" s="1"/>
  <c r="S1284" i="4"/>
  <c r="S1287" i="4"/>
  <c r="S1286" i="4"/>
  <c r="S1288" i="4"/>
  <c r="S1294" i="4"/>
  <c r="S1298" i="4"/>
  <c r="S1296" i="4"/>
  <c r="S1297" i="4"/>
  <c r="S1299" i="4"/>
  <c r="S1300" i="4"/>
  <c r="S1302" i="4"/>
  <c r="S1303" i="4"/>
  <c r="S1306" i="4"/>
  <c r="S1305" i="4"/>
  <c r="S1304" i="4"/>
  <c r="S1307" i="4"/>
  <c r="S1310" i="4"/>
  <c r="S1308" i="4"/>
  <c r="S1314" i="4"/>
  <c r="S1319" i="4"/>
  <c r="S1320" i="4"/>
  <c r="S1318" i="4"/>
  <c r="S1321" i="4"/>
  <c r="S1326" i="4"/>
  <c r="S1324" i="4"/>
  <c r="S1322" i="4"/>
  <c r="S1327" i="4"/>
  <c r="S1323" i="4"/>
  <c r="S1329" i="4"/>
  <c r="S1337" i="4"/>
  <c r="S1336" i="4"/>
  <c r="S1338" i="4"/>
  <c r="S1340" i="4"/>
  <c r="S1339" i="4"/>
  <c r="S1341" i="4"/>
  <c r="S1344" i="4"/>
  <c r="S1342" i="4"/>
  <c r="S1343" i="4"/>
  <c r="S1346" i="4"/>
  <c r="S1345" i="4"/>
  <c r="S1349" i="4"/>
  <c r="S1348" i="4"/>
  <c r="S1352" i="4"/>
  <c r="S1351" i="4"/>
  <c r="S1350" i="4"/>
  <c r="S1354" i="4"/>
  <c r="S1355" i="4"/>
  <c r="S1353" i="4"/>
  <c r="S1358" i="4"/>
  <c r="S1357" i="4"/>
  <c r="S1356" i="4"/>
  <c r="S1362" i="4"/>
  <c r="S1361" i="4"/>
  <c r="S1363" i="4"/>
  <c r="S1368" i="4"/>
  <c r="S1370" i="4"/>
  <c r="S1369" i="4"/>
  <c r="S1373" i="4"/>
  <c r="S1374" i="4"/>
  <c r="S1376" i="4"/>
  <c r="S1377" i="4"/>
  <c r="S1375" i="4"/>
  <c r="S1378" i="4"/>
  <c r="S1380" i="4"/>
  <c r="S1379" i="4"/>
  <c r="S1381" i="4"/>
  <c r="S1384" i="4"/>
  <c r="S1382" i="4"/>
  <c r="S1383" i="4"/>
  <c r="S1388" i="4"/>
  <c r="S1386" i="4"/>
  <c r="S1392" i="4"/>
  <c r="S1391" i="4"/>
  <c r="S1390" i="4"/>
  <c r="S1387" i="4"/>
  <c r="S1393" i="4"/>
  <c r="S1395" i="4"/>
  <c r="S1394" i="4"/>
  <c r="S1397" i="4"/>
  <c r="S1396" i="4"/>
  <c r="S1398" i="4"/>
  <c r="S1402" i="4"/>
  <c r="S1407" i="4"/>
  <c r="S1404" i="4"/>
  <c r="S1406" i="4"/>
  <c r="S1408" i="4"/>
  <c r="S1410" i="4"/>
  <c r="S1414" i="4"/>
  <c r="S1413" i="4"/>
  <c r="S1411" i="4"/>
  <c r="S1412" i="4"/>
  <c r="S1415" i="4"/>
  <c r="S1416" i="4"/>
  <c r="S1422" i="4"/>
  <c r="S1419" i="4"/>
  <c r="S1421" i="4"/>
  <c r="S1418" i="4"/>
  <c r="S1420" i="4"/>
  <c r="S1423" i="4"/>
  <c r="S1424" i="4"/>
  <c r="S1425" i="4"/>
  <c r="S1427" i="4"/>
  <c r="S1429" i="4"/>
  <c r="S1431" i="4"/>
  <c r="S1432" i="4"/>
  <c r="S1441" i="4"/>
  <c r="S1436" i="4"/>
  <c r="S1433" i="4"/>
  <c r="S1438" i="4"/>
  <c r="S1434" i="4"/>
  <c r="S1437" i="4"/>
  <c r="S1440" i="4"/>
  <c r="S1439" i="4"/>
  <c r="S1443" i="4"/>
  <c r="S1442" i="4"/>
  <c r="S1446" i="4"/>
  <c r="S1444" i="4"/>
  <c r="S1448" i="4"/>
  <c r="S1451" i="4"/>
  <c r="S1450" i="4"/>
  <c r="S1449" i="4"/>
  <c r="S1452" i="4"/>
  <c r="S1455" i="4"/>
  <c r="S1453" i="4"/>
  <c r="S1454" i="4"/>
  <c r="S1456" i="4"/>
  <c r="S1457" i="4"/>
  <c r="S1459" i="4"/>
  <c r="S1460" i="4"/>
  <c r="S1458" i="4"/>
  <c r="S1461" i="4"/>
  <c r="S1463" i="4"/>
  <c r="S1462" i="4"/>
  <c r="S1464" i="4"/>
  <c r="S1466" i="4"/>
  <c r="S1465" i="4"/>
  <c r="S1468" i="4"/>
  <c r="S1469" i="4"/>
  <c r="S1470" i="4"/>
  <c r="S1467" i="4"/>
  <c r="S1471" i="4"/>
  <c r="S1475" i="4"/>
  <c r="S1472" i="4"/>
  <c r="S1479" i="4"/>
  <c r="S1477" i="4"/>
  <c r="S1480" i="4"/>
  <c r="S1473" i="4"/>
  <c r="S1476" i="4"/>
  <c r="S1474" i="4"/>
  <c r="S1485" i="4"/>
  <c r="S1483" i="4"/>
  <c r="S1481" i="4"/>
  <c r="S1484" i="4"/>
  <c r="S1482" i="4"/>
  <c r="S1489" i="4"/>
  <c r="S1487" i="4"/>
  <c r="S1486" i="4"/>
  <c r="S1491" i="4"/>
  <c r="S1493" i="4"/>
  <c r="S1494" i="4"/>
  <c r="S1498" i="4"/>
  <c r="S1499" i="4"/>
  <c r="S1500" i="4"/>
  <c r="S1504" i="4"/>
  <c r="S1505" i="4"/>
  <c r="S1501" i="4"/>
  <c r="S1503" i="4"/>
  <c r="S1502" i="4"/>
  <c r="S1509" i="4"/>
  <c r="S1507" i="4"/>
  <c r="S1506" i="4"/>
  <c r="S1508" i="4"/>
  <c r="S1514" i="4"/>
  <c r="S1517" i="4"/>
  <c r="S1516" i="4"/>
  <c r="S1512" i="4"/>
  <c r="S1511" i="4"/>
  <c r="S1518" i="4"/>
  <c r="S1521" i="4"/>
  <c r="S1524" i="4"/>
  <c r="S1522" i="4"/>
  <c r="S1523" i="4"/>
  <c r="S1527" i="4"/>
  <c r="S1529" i="4"/>
  <c r="S1528" i="4"/>
  <c r="S1530" i="4"/>
  <c r="S1526" i="4"/>
  <c r="S1532" i="4"/>
  <c r="S1533" i="4"/>
  <c r="S1534" i="4"/>
  <c r="S1536" i="4"/>
  <c r="S1535" i="4"/>
  <c r="S1542" i="4"/>
  <c r="S1543" i="4"/>
  <c r="S1544" i="4"/>
  <c r="S1545" i="4"/>
  <c r="S1553" i="4"/>
  <c r="S1558" i="4"/>
  <c r="S1557" i="4"/>
  <c r="S1559" i="4"/>
  <c r="S1561" i="4"/>
  <c r="S1566" i="4"/>
  <c r="S1564" i="4"/>
  <c r="S1562" i="4"/>
  <c r="S1563" i="4"/>
  <c r="S1565" i="4"/>
  <c r="S1567" i="4"/>
  <c r="S1571" i="4"/>
  <c r="S1569" i="4"/>
  <c r="S1568" i="4"/>
  <c r="S1570" i="4"/>
  <c r="S1573" i="4"/>
  <c r="S1572" i="4"/>
  <c r="S1575" i="4"/>
  <c r="S1577" i="4"/>
  <c r="S1578" i="4"/>
  <c r="S1576" i="4"/>
  <c r="S1579" i="4"/>
  <c r="S1582" i="4"/>
  <c r="S1587" i="4"/>
  <c r="S1584" i="4"/>
  <c r="S1586" i="4"/>
  <c r="S1585" i="4"/>
  <c r="S1590" i="4"/>
  <c r="S1589" i="4"/>
  <c r="S1593" i="4"/>
  <c r="S1592" i="4"/>
  <c r="S1595" i="4"/>
  <c r="S1596" i="4"/>
  <c r="S1599" i="4"/>
  <c r="S1598" i="4"/>
  <c r="S1597" i="4"/>
  <c r="S1600" i="4"/>
  <c r="S1601" i="4"/>
  <c r="S1606" i="4"/>
  <c r="S1607" i="4"/>
  <c r="S1605" i="4"/>
  <c r="S1604" i="4"/>
  <c r="S1609" i="4"/>
  <c r="S1610" i="4"/>
  <c r="S1612" i="4"/>
  <c r="S1611" i="4"/>
  <c r="S1613" i="4"/>
  <c r="S1614" i="4"/>
  <c r="S1615" i="4"/>
  <c r="S1621" i="4"/>
  <c r="S1619" i="4"/>
  <c r="S1620" i="4"/>
  <c r="S1618" i="4"/>
  <c r="S1622" i="4"/>
  <c r="S1616" i="4"/>
  <c r="S1623" i="4"/>
  <c r="S1625" i="4"/>
  <c r="S1627" i="4"/>
  <c r="S1626" i="4"/>
  <c r="S1628" i="4"/>
  <c r="S1630" i="4"/>
  <c r="S1632" i="4"/>
  <c r="S1634" i="4"/>
  <c r="S1633" i="4"/>
  <c r="S1631" i="4"/>
  <c r="S1637" i="4"/>
  <c r="S1646" i="4"/>
  <c r="S1636" i="4"/>
  <c r="S1641" i="4"/>
  <c r="S1642" i="4"/>
  <c r="S1635" i="4"/>
  <c r="S1643" i="4"/>
  <c r="S1640" i="4"/>
  <c r="S1645" i="4"/>
  <c r="S1651" i="4"/>
  <c r="S1650" i="4"/>
  <c r="S1648" i="4"/>
  <c r="S1647" i="4"/>
  <c r="S1652" i="4"/>
  <c r="S1654" i="4"/>
  <c r="S1655" i="4"/>
  <c r="S1661" i="4"/>
  <c r="S1659" i="4"/>
  <c r="S1660" i="4"/>
  <c r="S1656" i="4"/>
  <c r="S1664" i="4"/>
  <c r="S1668" i="4"/>
  <c r="S1665" i="4"/>
  <c r="S1666" i="4"/>
  <c r="S1669" i="4"/>
  <c r="S1673" i="4"/>
  <c r="S1674" i="4"/>
  <c r="S1672" i="4"/>
  <c r="S1675" i="4"/>
  <c r="S1677" i="4"/>
  <c r="S1676" i="4"/>
  <c r="S1679" i="4"/>
  <c r="S1680" i="4"/>
  <c r="S1678" i="4"/>
  <c r="S1681" i="4"/>
  <c r="S1683" i="4"/>
  <c r="S1686" i="4"/>
  <c r="S1689" i="4"/>
  <c r="S1688" i="4"/>
  <c r="S1687" i="4"/>
  <c r="S1690" i="4"/>
  <c r="S1700" i="4"/>
  <c r="S1693" i="4"/>
  <c r="S1697" i="4"/>
  <c r="S1694" i="4"/>
  <c r="S1702" i="4"/>
  <c r="S1704" i="4"/>
  <c r="S1705" i="4"/>
  <c r="S1706" i="4"/>
  <c r="S1708" i="4"/>
  <c r="S1707" i="4"/>
  <c r="S1709" i="4"/>
  <c r="S1710" i="4"/>
  <c r="S1714" i="4"/>
  <c r="S1712" i="4"/>
  <c r="S1711" i="4"/>
  <c r="S1713" i="4"/>
  <c r="S1716" i="4"/>
  <c r="S1715" i="4"/>
  <c r="S1722" i="4"/>
  <c r="S1717" i="4"/>
  <c r="S1720" i="4"/>
  <c r="S1719" i="4"/>
  <c r="S1723" i="4"/>
  <c r="S1724" i="4"/>
  <c r="S1726" i="4"/>
  <c r="S1725" i="4"/>
  <c r="S1728" i="4"/>
  <c r="S1729" i="4"/>
  <c r="S1734" i="4"/>
  <c r="S1732" i="4"/>
  <c r="S1733" i="4"/>
  <c r="S1735" i="4"/>
  <c r="S1730" i="4"/>
  <c r="S1731" i="4"/>
  <c r="S1742" i="4"/>
  <c r="S1737" i="4"/>
  <c r="S1741" i="4"/>
  <c r="S1740" i="4"/>
  <c r="S1739" i="4"/>
  <c r="S1738" i="4"/>
  <c r="S1744" i="4"/>
  <c r="S1745" i="4"/>
  <c r="S1748" i="4"/>
  <c r="S1749" i="4"/>
  <c r="S1747" i="4"/>
  <c r="S1750" i="4"/>
  <c r="S1751" i="4"/>
  <c r="S1753" i="4"/>
  <c r="S1752" i="4"/>
  <c r="S1755" i="4"/>
  <c r="S1756" i="4"/>
  <c r="S1754" i="4"/>
  <c r="S1757" i="4"/>
  <c r="S1758" i="4"/>
  <c r="S1762" i="4"/>
  <c r="S1763" i="4"/>
  <c r="S1764" i="4"/>
  <c r="S1761" i="4"/>
  <c r="S1766" i="4"/>
  <c r="S1765" i="4"/>
  <c r="S1759" i="4"/>
  <c r="S1760" i="4"/>
  <c r="S1767" i="4"/>
  <c r="S1769" i="4"/>
  <c r="S1775" i="4"/>
  <c r="S1774" i="4"/>
  <c r="S1772" i="4"/>
  <c r="S1771" i="4"/>
  <c r="S1780" i="4"/>
  <c r="S1781" i="4"/>
  <c r="S1779" i="4"/>
  <c r="S1790" i="4"/>
  <c r="S1788" i="4"/>
  <c r="S1784" i="4"/>
  <c r="S1787" i="4"/>
  <c r="S1793" i="4"/>
  <c r="S1783" i="4"/>
  <c r="S1789" i="4"/>
  <c r="S1795" i="4"/>
  <c r="S1794" i="4"/>
  <c r="S1797" i="4"/>
  <c r="S1796" i="4"/>
  <c r="S1798" i="4"/>
  <c r="S1804" i="4"/>
  <c r="S1801" i="4"/>
  <c r="S1800" i="4"/>
  <c r="S1799" i="4"/>
  <c r="S1805" i="4"/>
  <c r="S1807" i="4"/>
  <c r="S1811" i="4"/>
  <c r="S1813" i="4"/>
  <c r="S1812" i="4"/>
  <c r="S1806" i="4"/>
  <c r="S1810" i="4"/>
  <c r="S1808" i="4"/>
  <c r="S1819" i="4"/>
  <c r="S1815" i="4"/>
  <c r="S1817" i="4"/>
  <c r="S1818" i="4"/>
  <c r="S1814" i="4"/>
  <c r="S1816" i="4"/>
  <c r="S1820" i="4"/>
  <c r="S1824" i="4"/>
  <c r="S1825" i="4"/>
  <c r="S1823" i="4"/>
  <c r="S1822" i="4"/>
  <c r="S1828" i="4"/>
  <c r="S1826" i="4"/>
  <c r="S1827" i="4"/>
  <c r="S1821" i="4"/>
  <c r="S1829" i="4"/>
  <c r="S1830" i="4"/>
  <c r="S1831" i="4"/>
  <c r="S1832" i="4"/>
  <c r="S1841" i="4"/>
  <c r="S1835" i="4"/>
  <c r="S1836" i="4"/>
  <c r="S1840" i="4"/>
  <c r="S1842" i="4"/>
  <c r="S1838" i="4"/>
  <c r="S1837" i="4"/>
  <c r="S1839" i="4"/>
  <c r="S1834" i="4"/>
  <c r="S1846" i="4"/>
  <c r="S1848" i="4"/>
  <c r="S1851" i="4"/>
  <c r="S1855" i="4"/>
  <c r="S1854" i="4"/>
  <c r="S1864" i="4"/>
  <c r="S1863" i="4"/>
  <c r="S1860" i="4"/>
  <c r="S1858" i="4"/>
  <c r="S1867" i="4"/>
  <c r="S1866" i="4"/>
  <c r="S1865" i="4"/>
  <c r="S1868" i="4"/>
  <c r="S1871" i="4"/>
  <c r="S1869" i="4"/>
  <c r="S1870" i="4"/>
  <c r="S1872" i="4"/>
  <c r="S1874" i="4"/>
  <c r="S1873" i="4"/>
  <c r="S1878" i="4"/>
  <c r="S1876" i="4"/>
  <c r="S1875" i="4"/>
  <c r="S1877" i="4"/>
  <c r="S1880" i="4"/>
  <c r="S1881" i="4"/>
  <c r="S1882" i="4"/>
  <c r="S1883" i="4"/>
  <c r="S1884" i="4"/>
  <c r="S1885" i="4"/>
  <c r="S1887" i="4"/>
  <c r="S1889" i="4"/>
  <c r="S1891" i="4"/>
  <c r="S1893" i="4"/>
  <c r="S1895" i="4"/>
  <c r="S1896" i="4"/>
  <c r="S1897" i="4"/>
  <c r="S1902" i="4"/>
  <c r="S1903" i="4"/>
  <c r="S1907" i="4"/>
  <c r="S1911" i="4"/>
  <c r="S1910" i="4"/>
  <c r="S1914" i="4"/>
  <c r="S1915" i="4"/>
  <c r="S1916" i="4"/>
  <c r="S1917" i="4"/>
  <c r="S1919" i="4"/>
  <c r="S1918" i="4"/>
  <c r="S1923" i="4"/>
  <c r="S1927" i="4"/>
  <c r="S1928" i="4"/>
  <c r="S1929" i="4"/>
  <c r="S1930" i="4"/>
  <c r="S1932" i="4"/>
  <c r="S1933" i="4"/>
  <c r="S1934" i="4"/>
  <c r="S1937" i="4"/>
  <c r="S1935" i="4"/>
  <c r="S1936" i="4"/>
  <c r="S1938" i="4"/>
  <c r="S1940" i="4"/>
  <c r="S1942" i="4"/>
  <c r="S1941" i="4"/>
  <c r="S1943" i="4"/>
  <c r="S1944" i="4"/>
  <c r="S1947" i="4"/>
  <c r="S1946" i="4"/>
  <c r="G634" i="4"/>
  <c r="I634" i="4" s="1"/>
  <c r="G636" i="4"/>
  <c r="I636" i="4" s="1"/>
  <c r="G637" i="4"/>
  <c r="I637" i="4" s="1"/>
  <c r="G638" i="4"/>
  <c r="I638" i="4" s="1"/>
  <c r="G635" i="4"/>
  <c r="I635" i="4" s="1"/>
  <c r="G639" i="4"/>
  <c r="I639" i="4" s="1"/>
  <c r="G641" i="4"/>
  <c r="I641" i="4" s="1"/>
  <c r="G642" i="4"/>
  <c r="I642" i="4" s="1"/>
  <c r="G643" i="4"/>
  <c r="I643" i="4" s="1"/>
  <c r="G644" i="4"/>
  <c r="I644" i="4" s="1"/>
  <c r="G647" i="4"/>
  <c r="I647" i="4" s="1"/>
  <c r="G654" i="4"/>
  <c r="I654" i="4" s="1"/>
  <c r="G651" i="4"/>
  <c r="I651" i="4" s="1"/>
  <c r="G653" i="4"/>
  <c r="I653" i="4" s="1"/>
  <c r="G655" i="4"/>
  <c r="I655" i="4" s="1"/>
  <c r="G656" i="4"/>
  <c r="I656" i="4" s="1"/>
  <c r="G652" i="4"/>
  <c r="I652" i="4" s="1"/>
  <c r="G648" i="4"/>
  <c r="I648" i="4" s="1"/>
  <c r="G650" i="4"/>
  <c r="I650" i="4" s="1"/>
  <c r="G649" i="4"/>
  <c r="I649" i="4" s="1"/>
  <c r="G660" i="4"/>
  <c r="I660" i="4" s="1"/>
  <c r="G657" i="4"/>
  <c r="I657" i="4" s="1"/>
  <c r="G662" i="4"/>
  <c r="I662" i="4" s="1"/>
  <c r="G658" i="4"/>
  <c r="I658" i="4" s="1"/>
  <c r="G661" i="4"/>
  <c r="I661" i="4" s="1"/>
  <c r="G659" i="4"/>
  <c r="I659" i="4" s="1"/>
  <c r="G664" i="4"/>
  <c r="I664" i="4" s="1"/>
  <c r="G663" i="4"/>
  <c r="I663" i="4" s="1"/>
  <c r="G666" i="4"/>
  <c r="I666" i="4" s="1"/>
  <c r="G668" i="4"/>
  <c r="I668" i="4" s="1"/>
  <c r="G665" i="4"/>
  <c r="I665" i="4" s="1"/>
  <c r="G667" i="4"/>
  <c r="I667" i="4" s="1"/>
  <c r="G671" i="4"/>
  <c r="I671" i="4" s="1"/>
  <c r="G670" i="4"/>
  <c r="I670" i="4" s="1"/>
  <c r="G669" i="4"/>
  <c r="I669" i="4" s="1"/>
  <c r="G672" i="4"/>
  <c r="I672" i="4" s="1"/>
  <c r="G673" i="4"/>
  <c r="I673" i="4" s="1"/>
  <c r="G674" i="4"/>
  <c r="I674" i="4" s="1"/>
  <c r="G675" i="4"/>
  <c r="I675" i="4" s="1"/>
  <c r="G677" i="4"/>
  <c r="I677" i="4" s="1"/>
  <c r="G679" i="4"/>
  <c r="I679" i="4" s="1"/>
  <c r="G683" i="4"/>
  <c r="I683" i="4" s="1"/>
  <c r="G682" i="4"/>
  <c r="I682" i="4" s="1"/>
  <c r="G681" i="4"/>
  <c r="I681" i="4" s="1"/>
  <c r="G684" i="4"/>
  <c r="I684" i="4" s="1"/>
  <c r="G686" i="4"/>
  <c r="I686" i="4" s="1"/>
  <c r="G685" i="4"/>
  <c r="I685" i="4" s="1"/>
  <c r="G687" i="4"/>
  <c r="I687" i="4" s="1"/>
  <c r="G689" i="4"/>
  <c r="I689" i="4" s="1"/>
  <c r="G690" i="4"/>
  <c r="I690" i="4" s="1"/>
  <c r="G696" i="4"/>
  <c r="I696" i="4" s="1"/>
  <c r="G693" i="4"/>
  <c r="I693" i="4" s="1"/>
  <c r="G694" i="4"/>
  <c r="I694" i="4" s="1"/>
  <c r="G698" i="4"/>
  <c r="I698" i="4" s="1"/>
  <c r="G702" i="4"/>
  <c r="I702" i="4" s="1"/>
  <c r="G701" i="4"/>
  <c r="I701" i="4" s="1"/>
  <c r="G705" i="4"/>
  <c r="I705" i="4" s="1"/>
  <c r="G706" i="4"/>
  <c r="I706" i="4" s="1"/>
  <c r="G700" i="4"/>
  <c r="I700" i="4" s="1"/>
  <c r="G703" i="4"/>
  <c r="I703" i="4" s="1"/>
  <c r="G710" i="4"/>
  <c r="I710" i="4" s="1"/>
  <c r="G709" i="4"/>
  <c r="I709" i="4" s="1"/>
  <c r="G708" i="4"/>
  <c r="I708" i="4" s="1"/>
  <c r="G713" i="4"/>
  <c r="I713" i="4" s="1"/>
  <c r="G711" i="4"/>
  <c r="I711" i="4" s="1"/>
  <c r="G712" i="4"/>
  <c r="I712" i="4" s="1"/>
  <c r="G714" i="4"/>
  <c r="I714" i="4" s="1"/>
  <c r="G720" i="4"/>
  <c r="I720" i="4" s="1"/>
  <c r="G721" i="4"/>
  <c r="I721" i="4" s="1"/>
  <c r="G722" i="4"/>
  <c r="I722" i="4" s="1"/>
  <c r="G715" i="4"/>
  <c r="I715" i="4" s="1"/>
  <c r="G724" i="4"/>
  <c r="I724" i="4" s="1"/>
  <c r="G723" i="4"/>
  <c r="I723" i="4" s="1"/>
  <c r="G719" i="4"/>
  <c r="I719" i="4" s="1"/>
  <c r="G718" i="4"/>
  <c r="I718" i="4" s="1"/>
  <c r="G717" i="4"/>
  <c r="I717" i="4" s="1"/>
  <c r="G716" i="4"/>
  <c r="I716" i="4" s="1"/>
  <c r="G735" i="4"/>
  <c r="I735" i="4" s="1"/>
  <c r="G736" i="4"/>
  <c r="I736" i="4" s="1"/>
  <c r="G733" i="4"/>
  <c r="I733" i="4" s="1"/>
  <c r="G727" i="4"/>
  <c r="I727" i="4" s="1"/>
  <c r="G730" i="4"/>
  <c r="I730" i="4" s="1"/>
  <c r="G729" i="4"/>
  <c r="I729" i="4" s="1"/>
  <c r="G728" i="4"/>
  <c r="I728" i="4" s="1"/>
  <c r="G725" i="4"/>
  <c r="I725" i="4" s="1"/>
  <c r="G726" i="4"/>
  <c r="I726" i="4" s="1"/>
  <c r="G731" i="4"/>
  <c r="I731" i="4" s="1"/>
  <c r="G734" i="4"/>
  <c r="I734" i="4" s="1"/>
  <c r="G741" i="4"/>
  <c r="I741" i="4" s="1"/>
  <c r="G739" i="4"/>
  <c r="I739" i="4" s="1"/>
  <c r="G745" i="4"/>
  <c r="I745" i="4" s="1"/>
  <c r="G748" i="4"/>
  <c r="I748" i="4" s="1"/>
  <c r="G746" i="4"/>
  <c r="I746" i="4" s="1"/>
  <c r="G753" i="4"/>
  <c r="I753" i="4" s="1"/>
  <c r="G750" i="4"/>
  <c r="I750" i="4" s="1"/>
  <c r="G752" i="4"/>
  <c r="I752" i="4" s="1"/>
  <c r="G749" i="4"/>
  <c r="I749" i="4" s="1"/>
  <c r="G754" i="4"/>
  <c r="I754" i="4" s="1"/>
  <c r="G755" i="4"/>
  <c r="I755" i="4" s="1"/>
  <c r="G758" i="4"/>
  <c r="I758" i="4" s="1"/>
  <c r="G760" i="4"/>
  <c r="I760" i="4" s="1"/>
  <c r="G757" i="4"/>
  <c r="I757" i="4" s="1"/>
  <c r="G759" i="4"/>
  <c r="I759" i="4" s="1"/>
  <c r="G756" i="4"/>
  <c r="I756" i="4" s="1"/>
  <c r="G762" i="4"/>
  <c r="I762" i="4" s="1"/>
  <c r="G766" i="4"/>
  <c r="I766" i="4" s="1"/>
  <c r="G763" i="4"/>
  <c r="I763" i="4" s="1"/>
  <c r="G764" i="4"/>
  <c r="I764" i="4" s="1"/>
  <c r="G765" i="4"/>
  <c r="I765" i="4" s="1"/>
  <c r="G767" i="4"/>
  <c r="I767" i="4" s="1"/>
  <c r="G768" i="4"/>
  <c r="I768" i="4" s="1"/>
  <c r="G770" i="4"/>
  <c r="I770" i="4" s="1"/>
  <c r="G769" i="4"/>
  <c r="I769" i="4" s="1"/>
  <c r="G772" i="4"/>
  <c r="I772" i="4" s="1"/>
  <c r="G784" i="4"/>
  <c r="I784" i="4" s="1"/>
  <c r="G782" i="4"/>
  <c r="I782" i="4" s="1"/>
  <c r="G781" i="4"/>
  <c r="I781" i="4" s="1"/>
  <c r="G779" i="4"/>
  <c r="I779" i="4" s="1"/>
  <c r="G785" i="4"/>
  <c r="I785" i="4" s="1"/>
  <c r="G792" i="4"/>
  <c r="I792" i="4" s="1"/>
  <c r="G787" i="4"/>
  <c r="I787" i="4" s="1"/>
  <c r="G788" i="4"/>
  <c r="I788" i="4" s="1"/>
  <c r="G793" i="4"/>
  <c r="I793" i="4" s="1"/>
  <c r="G786" i="4"/>
  <c r="I786" i="4" s="1"/>
  <c r="G790" i="4"/>
  <c r="I790" i="4" s="1"/>
  <c r="G789" i="4"/>
  <c r="I789" i="4" s="1"/>
  <c r="G791" i="4"/>
  <c r="I791" i="4" s="1"/>
  <c r="G794" i="4"/>
  <c r="I794" i="4" s="1"/>
  <c r="G797" i="4"/>
  <c r="I797" i="4" s="1"/>
  <c r="G798" i="4"/>
  <c r="I798" i="4" s="1"/>
  <c r="G800" i="4"/>
  <c r="I800" i="4" s="1"/>
  <c r="G799" i="4"/>
  <c r="I799" i="4" s="1"/>
  <c r="G801" i="4"/>
  <c r="I801" i="4" s="1"/>
  <c r="G796" i="4"/>
  <c r="I796" i="4" s="1"/>
  <c r="G795" i="4"/>
  <c r="I795" i="4" s="1"/>
  <c r="G802" i="4"/>
  <c r="I802" i="4" s="1"/>
  <c r="G808" i="4"/>
  <c r="I808" i="4" s="1"/>
  <c r="G805" i="4"/>
  <c r="I805" i="4" s="1"/>
  <c r="G809" i="4"/>
  <c r="I809" i="4" s="1"/>
  <c r="G804" i="4"/>
  <c r="I804" i="4" s="1"/>
  <c r="G812" i="4"/>
  <c r="I812" i="4" s="1"/>
  <c r="G811" i="4"/>
  <c r="I811" i="4" s="1"/>
  <c r="G803" i="4"/>
  <c r="I803" i="4" s="1"/>
  <c r="G806" i="4"/>
  <c r="I806" i="4" s="1"/>
  <c r="G813" i="4"/>
  <c r="I813" i="4" s="1"/>
  <c r="G807" i="4"/>
  <c r="I807" i="4" s="1"/>
  <c r="G815" i="4"/>
  <c r="I815" i="4" s="1"/>
  <c r="G820" i="4"/>
  <c r="I820" i="4" s="1"/>
  <c r="G816" i="4"/>
  <c r="I816" i="4" s="1"/>
  <c r="G818" i="4"/>
  <c r="I818" i="4" s="1"/>
  <c r="G817" i="4"/>
  <c r="I817" i="4" s="1"/>
  <c r="G821" i="4"/>
  <c r="I821" i="4" s="1"/>
  <c r="G825" i="4"/>
  <c r="I825" i="4" s="1"/>
  <c r="G824" i="4"/>
  <c r="I824" i="4" s="1"/>
  <c r="G823" i="4"/>
  <c r="I823" i="4" s="1"/>
  <c r="G830" i="4"/>
  <c r="I830" i="4" s="1"/>
  <c r="G828" i="4"/>
  <c r="I828" i="4" s="1"/>
  <c r="G829" i="4"/>
  <c r="I829" i="4" s="1"/>
  <c r="G827" i="4"/>
  <c r="I827" i="4" s="1"/>
  <c r="G826" i="4"/>
  <c r="I826" i="4" s="1"/>
  <c r="G833" i="4"/>
  <c r="I833" i="4" s="1"/>
  <c r="G832" i="4"/>
  <c r="I832" i="4" s="1"/>
  <c r="G836" i="4"/>
  <c r="I836" i="4" s="1"/>
  <c r="G831" i="4"/>
  <c r="I831" i="4" s="1"/>
  <c r="G835" i="4"/>
  <c r="I835" i="4" s="1"/>
  <c r="G834" i="4"/>
  <c r="I834" i="4" s="1"/>
  <c r="G838" i="4"/>
  <c r="I838" i="4" s="1"/>
  <c r="G839" i="4"/>
  <c r="I839" i="4" s="1"/>
  <c r="G840" i="4"/>
  <c r="I840" i="4" s="1"/>
  <c r="G837" i="4"/>
  <c r="I837" i="4" s="1"/>
  <c r="G843" i="4"/>
  <c r="I843" i="4" s="1"/>
  <c r="G842" i="4"/>
  <c r="I842" i="4" s="1"/>
  <c r="G841" i="4"/>
  <c r="I841" i="4" s="1"/>
  <c r="G845" i="4"/>
  <c r="I845" i="4" s="1"/>
  <c r="G844" i="4"/>
  <c r="I844" i="4" s="1"/>
  <c r="G850" i="4"/>
  <c r="I850" i="4" s="1"/>
  <c r="G848" i="4"/>
  <c r="I848" i="4" s="1"/>
  <c r="G853" i="4"/>
  <c r="I853" i="4" s="1"/>
  <c r="G851" i="4"/>
  <c r="I851" i="4" s="1"/>
  <c r="G854" i="4"/>
  <c r="I854" i="4" s="1"/>
  <c r="G859" i="4"/>
  <c r="I859" i="4" s="1"/>
  <c r="G860" i="4"/>
  <c r="I860" i="4" s="1"/>
  <c r="G855" i="4"/>
  <c r="I855" i="4" s="1"/>
  <c r="G856" i="4"/>
  <c r="I856" i="4" s="1"/>
  <c r="G861" i="4"/>
  <c r="I861" i="4" s="1"/>
  <c r="G858" i="4"/>
  <c r="I858" i="4" s="1"/>
  <c r="G863" i="4"/>
  <c r="I863" i="4" s="1"/>
  <c r="G864" i="4"/>
  <c r="I864" i="4" s="1"/>
  <c r="G866" i="4"/>
  <c r="I866" i="4" s="1"/>
  <c r="G868" i="4"/>
  <c r="I868" i="4" s="1"/>
  <c r="G869" i="4"/>
  <c r="I869" i="4" s="1"/>
  <c r="G871" i="4"/>
  <c r="I871" i="4" s="1"/>
  <c r="G872" i="4"/>
  <c r="I872" i="4" s="1"/>
  <c r="G875" i="4"/>
  <c r="I875" i="4" s="1"/>
  <c r="G876" i="4"/>
  <c r="I876" i="4" s="1"/>
  <c r="G878" i="4"/>
  <c r="I878" i="4" s="1"/>
  <c r="G882" i="4"/>
  <c r="I882" i="4" s="1"/>
  <c r="G881" i="4"/>
  <c r="I881" i="4" s="1"/>
  <c r="G880" i="4"/>
  <c r="I880" i="4" s="1"/>
  <c r="G879" i="4"/>
  <c r="I879" i="4" s="1"/>
  <c r="G886" i="4"/>
  <c r="I886" i="4" s="1"/>
  <c r="G887" i="4"/>
  <c r="I887" i="4" s="1"/>
  <c r="G884" i="4"/>
  <c r="I884" i="4" s="1"/>
  <c r="G885" i="4"/>
  <c r="I885" i="4" s="1"/>
  <c r="G891" i="4"/>
  <c r="I891" i="4" s="1"/>
  <c r="G890" i="4"/>
  <c r="I890" i="4" s="1"/>
  <c r="G888" i="4"/>
  <c r="I888" i="4" s="1"/>
  <c r="G892" i="4"/>
  <c r="I892" i="4" s="1"/>
  <c r="G889" i="4"/>
  <c r="I889" i="4" s="1"/>
  <c r="G893" i="4"/>
  <c r="I893" i="4" s="1"/>
  <c r="G895" i="4"/>
  <c r="I895" i="4" s="1"/>
  <c r="G898" i="4"/>
  <c r="I898" i="4" s="1"/>
  <c r="G903" i="4"/>
  <c r="I903" i="4" s="1"/>
  <c r="G905" i="4"/>
  <c r="I905" i="4" s="1"/>
  <c r="G906" i="4"/>
  <c r="I906" i="4" s="1"/>
  <c r="G910" i="4"/>
  <c r="I910" i="4" s="1"/>
  <c r="G909" i="4"/>
  <c r="I909" i="4" s="1"/>
  <c r="G908" i="4"/>
  <c r="I908" i="4" s="1"/>
  <c r="G907" i="4"/>
  <c r="I907" i="4" s="1"/>
  <c r="G911" i="4"/>
  <c r="I911" i="4" s="1"/>
  <c r="G914" i="4"/>
  <c r="I914" i="4" s="1"/>
  <c r="G912" i="4"/>
  <c r="I912" i="4" s="1"/>
  <c r="G917" i="4"/>
  <c r="I917" i="4" s="1"/>
  <c r="G918" i="4"/>
  <c r="I918" i="4" s="1"/>
  <c r="G919" i="4"/>
  <c r="I919" i="4" s="1"/>
  <c r="G924" i="4"/>
  <c r="I924" i="4" s="1"/>
  <c r="G922" i="4"/>
  <c r="I922" i="4" s="1"/>
  <c r="G921" i="4"/>
  <c r="I921" i="4" s="1"/>
  <c r="G920" i="4"/>
  <c r="I920" i="4" s="1"/>
  <c r="G923" i="4"/>
  <c r="I923" i="4" s="1"/>
  <c r="G927" i="4"/>
  <c r="I927" i="4" s="1"/>
  <c r="G928" i="4"/>
  <c r="I928" i="4" s="1"/>
  <c r="G926" i="4"/>
  <c r="I926" i="4" s="1"/>
  <c r="G931" i="4"/>
  <c r="I931" i="4" s="1"/>
  <c r="G929" i="4"/>
  <c r="I929" i="4" s="1"/>
  <c r="G930" i="4"/>
  <c r="I930" i="4" s="1"/>
  <c r="G932" i="4"/>
  <c r="I932" i="4" s="1"/>
  <c r="G933" i="4"/>
  <c r="I933" i="4" s="1"/>
  <c r="G937" i="4"/>
  <c r="I937" i="4" s="1"/>
  <c r="G934" i="4"/>
  <c r="I934" i="4" s="1"/>
  <c r="G935" i="4"/>
  <c r="I935" i="4" s="1"/>
  <c r="G936" i="4"/>
  <c r="I936" i="4" s="1"/>
  <c r="G939" i="4"/>
  <c r="I939" i="4" s="1"/>
  <c r="G940" i="4"/>
  <c r="I940" i="4" s="1"/>
  <c r="G942" i="4"/>
  <c r="I942" i="4" s="1"/>
  <c r="G938" i="4"/>
  <c r="I938" i="4" s="1"/>
  <c r="G941" i="4"/>
  <c r="I941" i="4" s="1"/>
  <c r="G943" i="4"/>
  <c r="I943" i="4" s="1"/>
  <c r="G944" i="4"/>
  <c r="I944" i="4" s="1"/>
  <c r="G948" i="4"/>
  <c r="I948" i="4" s="1"/>
  <c r="G947" i="4"/>
  <c r="I947" i="4" s="1"/>
  <c r="G949" i="4"/>
  <c r="I949" i="4" s="1"/>
  <c r="G950" i="4"/>
  <c r="I950" i="4" s="1"/>
  <c r="G953" i="4"/>
  <c r="I953" i="4" s="1"/>
  <c r="G952" i="4"/>
  <c r="I952" i="4" s="1"/>
  <c r="G951" i="4"/>
  <c r="I951" i="4" s="1"/>
  <c r="G955" i="4"/>
  <c r="I955" i="4" s="1"/>
  <c r="G956" i="4"/>
  <c r="I956" i="4" s="1"/>
  <c r="G959" i="4"/>
  <c r="I959" i="4" s="1"/>
  <c r="G960" i="4"/>
  <c r="I960" i="4" s="1"/>
  <c r="G961" i="4"/>
  <c r="I961" i="4" s="1"/>
  <c r="G962" i="4"/>
  <c r="I962" i="4" s="1"/>
  <c r="G965" i="4"/>
  <c r="I965" i="4" s="1"/>
  <c r="G969" i="4"/>
  <c r="I969" i="4" s="1"/>
  <c r="G964" i="4"/>
  <c r="I964" i="4" s="1"/>
  <c r="G972" i="4"/>
  <c r="I972" i="4" s="1"/>
  <c r="G973" i="4"/>
  <c r="I973" i="4" s="1"/>
  <c r="G977" i="4"/>
  <c r="I977" i="4" s="1"/>
  <c r="G974" i="4"/>
  <c r="I974" i="4" s="1"/>
  <c r="G975" i="4"/>
  <c r="I975" i="4" s="1"/>
  <c r="G976" i="4"/>
  <c r="I976" i="4" s="1"/>
  <c r="G978" i="4"/>
  <c r="I978" i="4" s="1"/>
  <c r="G979" i="4"/>
  <c r="I979" i="4" s="1"/>
  <c r="G981" i="4"/>
  <c r="I981" i="4" s="1"/>
  <c r="G982" i="4"/>
  <c r="I982" i="4" s="1"/>
  <c r="G983" i="4"/>
  <c r="I983" i="4" s="1"/>
  <c r="G984" i="4"/>
  <c r="I984" i="4" s="1"/>
  <c r="G988" i="4"/>
  <c r="I988" i="4" s="1"/>
  <c r="G986" i="4"/>
  <c r="I986" i="4" s="1"/>
  <c r="G987" i="4"/>
  <c r="I987" i="4" s="1"/>
  <c r="G989" i="4"/>
  <c r="I989" i="4" s="1"/>
  <c r="G991" i="4"/>
  <c r="I991" i="4" s="1"/>
  <c r="G992" i="4"/>
  <c r="I992" i="4" s="1"/>
  <c r="G994" i="4"/>
  <c r="I994" i="4" s="1"/>
  <c r="G996" i="4"/>
  <c r="I996" i="4" s="1"/>
  <c r="G998" i="4"/>
  <c r="I998" i="4" s="1"/>
  <c r="G999" i="4"/>
  <c r="I999" i="4" s="1"/>
  <c r="G997" i="4"/>
  <c r="I997" i="4" s="1"/>
  <c r="G1001" i="4"/>
  <c r="I1001" i="4" s="1"/>
  <c r="G1003" i="4"/>
  <c r="I1003" i="4" s="1"/>
  <c r="G1007" i="4"/>
  <c r="I1007" i="4" s="1"/>
  <c r="G1005" i="4"/>
  <c r="I1005" i="4" s="1"/>
  <c r="G1008" i="4"/>
  <c r="I1008" i="4" s="1"/>
  <c r="G1012" i="4"/>
  <c r="I1012" i="4" s="1"/>
  <c r="G1013" i="4"/>
  <c r="I1013" i="4" s="1"/>
  <c r="G1015" i="4"/>
  <c r="I1015" i="4" s="1"/>
  <c r="G1016" i="4"/>
  <c r="I1016" i="4" s="1"/>
  <c r="G1014" i="4"/>
  <c r="I1014" i="4" s="1"/>
  <c r="G1018" i="4"/>
  <c r="I1018" i="4" s="1"/>
  <c r="G1019" i="4"/>
  <c r="I1019" i="4" s="1"/>
  <c r="G1020" i="4"/>
  <c r="I1020" i="4" s="1"/>
  <c r="G1021" i="4"/>
  <c r="I1021" i="4" s="1"/>
  <c r="G1023" i="4"/>
  <c r="I1023" i="4" s="1"/>
  <c r="G1022" i="4"/>
  <c r="I1022" i="4" s="1"/>
  <c r="G1024" i="4"/>
  <c r="I1024" i="4" s="1"/>
  <c r="G1029" i="4"/>
  <c r="I1029" i="4" s="1"/>
  <c r="G1030" i="4"/>
  <c r="I1030" i="4" s="1"/>
  <c r="G1028" i="4"/>
  <c r="I1028" i="4" s="1"/>
  <c r="G1026" i="4"/>
  <c r="I1026" i="4" s="1"/>
  <c r="G1027" i="4"/>
  <c r="I1027" i="4" s="1"/>
  <c r="G1025" i="4"/>
  <c r="I1025" i="4" s="1"/>
  <c r="G1033" i="4"/>
  <c r="I1033" i="4" s="1"/>
  <c r="G1032" i="4"/>
  <c r="I1032" i="4" s="1"/>
  <c r="G1031" i="4"/>
  <c r="I1031" i="4" s="1"/>
  <c r="G1035" i="4"/>
  <c r="I1035" i="4" s="1"/>
  <c r="G1034" i="4"/>
  <c r="I1034" i="4" s="1"/>
  <c r="G1040" i="4"/>
  <c r="I1040" i="4" s="1"/>
  <c r="G1039" i="4"/>
  <c r="I1039" i="4" s="1"/>
  <c r="G1038" i="4"/>
  <c r="I1038" i="4" s="1"/>
  <c r="G1037" i="4"/>
  <c r="I1037" i="4" s="1"/>
  <c r="G1041" i="4"/>
  <c r="I1041" i="4" s="1"/>
  <c r="G1042" i="4"/>
  <c r="I1042" i="4" s="1"/>
  <c r="G1043" i="4"/>
  <c r="I1043" i="4" s="1"/>
  <c r="G1044" i="4"/>
  <c r="I1044" i="4" s="1"/>
  <c r="G1047" i="4"/>
  <c r="I1047" i="4" s="1"/>
  <c r="G1046" i="4"/>
  <c r="I1046" i="4" s="1"/>
  <c r="G1045" i="4"/>
  <c r="I1045" i="4" s="1"/>
  <c r="G1050" i="4"/>
  <c r="I1050" i="4" s="1"/>
  <c r="G1053" i="4"/>
  <c r="I1053" i="4" s="1"/>
  <c r="G1052" i="4"/>
  <c r="I1052" i="4" s="1"/>
  <c r="G1054" i="4"/>
  <c r="I1054" i="4" s="1"/>
  <c r="G1055" i="4"/>
  <c r="I1055" i="4" s="1"/>
  <c r="G1057" i="4"/>
  <c r="I1057" i="4" s="1"/>
  <c r="G1056" i="4"/>
  <c r="I1056" i="4" s="1"/>
  <c r="G1060" i="4"/>
  <c r="I1060" i="4" s="1"/>
  <c r="G1062" i="4"/>
  <c r="I1062" i="4" s="1"/>
  <c r="G1064" i="4"/>
  <c r="I1064" i="4" s="1"/>
  <c r="G1063" i="4"/>
  <c r="I1063" i="4" s="1"/>
  <c r="G1065" i="4"/>
  <c r="I1065" i="4" s="1"/>
  <c r="G1066" i="4"/>
  <c r="I1066" i="4" s="1"/>
  <c r="G1067" i="4"/>
  <c r="I1067" i="4" s="1"/>
  <c r="G1068" i="4"/>
  <c r="I1068" i="4" s="1"/>
  <c r="G1069" i="4"/>
  <c r="I1069" i="4" s="1"/>
  <c r="G1071" i="4"/>
  <c r="I1071" i="4" s="1"/>
  <c r="G1070" i="4"/>
  <c r="I1070" i="4" s="1"/>
  <c r="G1072" i="4"/>
  <c r="I1072" i="4" s="1"/>
  <c r="G1073" i="4"/>
  <c r="I1073" i="4" s="1"/>
  <c r="G1074" i="4"/>
  <c r="I1074" i="4" s="1"/>
  <c r="G1080" i="4"/>
  <c r="I1080" i="4" s="1"/>
  <c r="G1076" i="4"/>
  <c r="I1076" i="4" s="1"/>
  <c r="G1078" i="4"/>
  <c r="I1078" i="4" s="1"/>
  <c r="G1075" i="4"/>
  <c r="I1075" i="4" s="1"/>
  <c r="G1082" i="4"/>
  <c r="I1082" i="4" s="1"/>
  <c r="G1083" i="4"/>
  <c r="I1083" i="4" s="1"/>
  <c r="G1084" i="4"/>
  <c r="I1084" i="4" s="1"/>
  <c r="G1086" i="4"/>
  <c r="I1086" i="4" s="1"/>
  <c r="G1085" i="4"/>
  <c r="I1085" i="4" s="1"/>
  <c r="G1087" i="4"/>
  <c r="I1087" i="4" s="1"/>
  <c r="G1088" i="4"/>
  <c r="I1088" i="4" s="1"/>
  <c r="G1090" i="4"/>
  <c r="I1090" i="4" s="1"/>
  <c r="G1092" i="4"/>
  <c r="I1092" i="4" s="1"/>
  <c r="G1093" i="4"/>
  <c r="I1093" i="4" s="1"/>
  <c r="G1091" i="4"/>
  <c r="I1091" i="4" s="1"/>
  <c r="G1094" i="4"/>
  <c r="I1094" i="4" s="1"/>
  <c r="G1095" i="4"/>
  <c r="I1095" i="4" s="1"/>
  <c r="G1096" i="4"/>
  <c r="I1096" i="4" s="1"/>
  <c r="G1098" i="4"/>
  <c r="I1098" i="4" s="1"/>
  <c r="G1100" i="4"/>
  <c r="I1100" i="4" s="1"/>
  <c r="G1099" i="4"/>
  <c r="I1099" i="4" s="1"/>
  <c r="G1097" i="4"/>
  <c r="I1097" i="4" s="1"/>
  <c r="G1101" i="4"/>
  <c r="I1101" i="4" s="1"/>
  <c r="G1103" i="4"/>
  <c r="I1103" i="4" s="1"/>
  <c r="G1102" i="4"/>
  <c r="I1102" i="4" s="1"/>
  <c r="G1106" i="4"/>
  <c r="I1106" i="4" s="1"/>
  <c r="G1107" i="4"/>
  <c r="I1107" i="4" s="1"/>
  <c r="G1108" i="4"/>
  <c r="I1108" i="4" s="1"/>
  <c r="G1111" i="4"/>
  <c r="I1111" i="4" s="1"/>
  <c r="G1110" i="4"/>
  <c r="I1110" i="4" s="1"/>
  <c r="G1114" i="4"/>
  <c r="I1114" i="4" s="1"/>
  <c r="G1116" i="4"/>
  <c r="I1116" i="4" s="1"/>
  <c r="G1112" i="4"/>
  <c r="I1112" i="4" s="1"/>
  <c r="G1113" i="4"/>
  <c r="I1113" i="4" s="1"/>
  <c r="G1115" i="4"/>
  <c r="I1115" i="4" s="1"/>
  <c r="G1117" i="4"/>
  <c r="I1117" i="4" s="1"/>
  <c r="G1118" i="4"/>
  <c r="I1118" i="4" s="1"/>
  <c r="G1119" i="4"/>
  <c r="I1119" i="4" s="1"/>
  <c r="G1122" i="4"/>
  <c r="I1122" i="4" s="1"/>
  <c r="G1121" i="4"/>
  <c r="I1121" i="4" s="1"/>
  <c r="G1124" i="4"/>
  <c r="I1124" i="4" s="1"/>
  <c r="G1125" i="4"/>
  <c r="I1125" i="4" s="1"/>
  <c r="G1126" i="4"/>
  <c r="I1126" i="4" s="1"/>
  <c r="G1127" i="4"/>
  <c r="I1127" i="4" s="1"/>
  <c r="G1129" i="4"/>
  <c r="I1129" i="4" s="1"/>
  <c r="G1130" i="4"/>
  <c r="I1130" i="4" s="1"/>
  <c r="G1134" i="4"/>
  <c r="I1134" i="4" s="1"/>
  <c r="G1136" i="4"/>
  <c r="I1136" i="4" s="1"/>
  <c r="G1135" i="4"/>
  <c r="I1135" i="4" s="1"/>
  <c r="G1133" i="4"/>
  <c r="I1133" i="4" s="1"/>
  <c r="G1141" i="4"/>
  <c r="I1141" i="4" s="1"/>
  <c r="G1137" i="4"/>
  <c r="I1137" i="4" s="1"/>
  <c r="G1138" i="4"/>
  <c r="I1138" i="4" s="1"/>
  <c r="G1140" i="4"/>
  <c r="I1140" i="4" s="1"/>
  <c r="G1139" i="4"/>
  <c r="I1139" i="4" s="1"/>
  <c r="G1142" i="4"/>
  <c r="I1142" i="4" s="1"/>
  <c r="G1144" i="4"/>
  <c r="I1144" i="4" s="1"/>
  <c r="G1145" i="4"/>
  <c r="I1145" i="4" s="1"/>
  <c r="G1146" i="4"/>
  <c r="I1146" i="4" s="1"/>
  <c r="G1153" i="4"/>
  <c r="I1153" i="4" s="1"/>
  <c r="G1155" i="4"/>
  <c r="I1155" i="4" s="1"/>
  <c r="G1156" i="4"/>
  <c r="I1156" i="4" s="1"/>
  <c r="G1157" i="4"/>
  <c r="I1157" i="4" s="1"/>
  <c r="G1159" i="4"/>
  <c r="I1159" i="4" s="1"/>
  <c r="G1160" i="4"/>
  <c r="I1160" i="4" s="1"/>
  <c r="G1161" i="4"/>
  <c r="I1161" i="4" s="1"/>
  <c r="G1158" i="4"/>
  <c r="I1158" i="4" s="1"/>
  <c r="G1162" i="4"/>
  <c r="I1162" i="4" s="1"/>
  <c r="G1164" i="4"/>
  <c r="I1164" i="4" s="1"/>
  <c r="G1163" i="4"/>
  <c r="I1163" i="4" s="1"/>
  <c r="G1170" i="4"/>
  <c r="I1170" i="4" s="1"/>
  <c r="G1169" i="4"/>
  <c r="I1169" i="4" s="1"/>
  <c r="G1165" i="4"/>
  <c r="I1165" i="4" s="1"/>
  <c r="G1171" i="4"/>
  <c r="I1171" i="4" s="1"/>
  <c r="G1167" i="4"/>
  <c r="I1167" i="4" s="1"/>
  <c r="G1173" i="4"/>
  <c r="I1173" i="4" s="1"/>
  <c r="G1172" i="4"/>
  <c r="I1172" i="4" s="1"/>
  <c r="G1180" i="4"/>
  <c r="I1180" i="4" s="1"/>
  <c r="G1177" i="4"/>
  <c r="I1177" i="4" s="1"/>
  <c r="G1176" i="4"/>
  <c r="I1176" i="4" s="1"/>
  <c r="G1175" i="4"/>
  <c r="I1175" i="4" s="1"/>
  <c r="G1181" i="4"/>
  <c r="I1181" i="4" s="1"/>
  <c r="G1178" i="4"/>
  <c r="I1178" i="4" s="1"/>
  <c r="G1182" i="4"/>
  <c r="I1182" i="4" s="1"/>
  <c r="G1183" i="4"/>
  <c r="I1183" i="4" s="1"/>
  <c r="G1185" i="4"/>
  <c r="I1185" i="4" s="1"/>
  <c r="G1187" i="4"/>
  <c r="I1187" i="4" s="1"/>
  <c r="G1190" i="4"/>
  <c r="I1190" i="4" s="1"/>
  <c r="G1191" i="4"/>
  <c r="I1191" i="4" s="1"/>
  <c r="G1188" i="4"/>
  <c r="I1188" i="4" s="1"/>
  <c r="G1189" i="4"/>
  <c r="I1189" i="4" s="1"/>
  <c r="G1192" i="4"/>
  <c r="I1192" i="4" s="1"/>
  <c r="G1193" i="4"/>
  <c r="I1193" i="4" s="1"/>
  <c r="G1194" i="4"/>
  <c r="I1194" i="4" s="1"/>
  <c r="G1196" i="4"/>
  <c r="I1196" i="4" s="1"/>
  <c r="G1198" i="4"/>
  <c r="I1198" i="4" s="1"/>
  <c r="G1200" i="4"/>
  <c r="I1200" i="4" s="1"/>
  <c r="G1202" i="4"/>
  <c r="I1202" i="4" s="1"/>
  <c r="G1207" i="4"/>
  <c r="I1207" i="4" s="1"/>
  <c r="G1208" i="4"/>
  <c r="I1208" i="4" s="1"/>
  <c r="G1204" i="4"/>
  <c r="I1204" i="4" s="1"/>
  <c r="G1205" i="4"/>
  <c r="I1205" i="4" s="1"/>
  <c r="G1206" i="4"/>
  <c r="I1206" i="4" s="1"/>
  <c r="G1209" i="4"/>
  <c r="I1209" i="4" s="1"/>
  <c r="G1211" i="4"/>
  <c r="I1211" i="4" s="1"/>
  <c r="G1214" i="4"/>
  <c r="I1214" i="4" s="1"/>
  <c r="G1212" i="4"/>
  <c r="I1212" i="4" s="1"/>
  <c r="G1210" i="4"/>
  <c r="I1210" i="4" s="1"/>
  <c r="G1215" i="4"/>
  <c r="I1215" i="4" s="1"/>
  <c r="G1219" i="4"/>
  <c r="I1219" i="4" s="1"/>
  <c r="G1217" i="4"/>
  <c r="I1217" i="4" s="1"/>
  <c r="G1222" i="4"/>
  <c r="I1222" i="4" s="1"/>
  <c r="G1223" i="4"/>
  <c r="I1223" i="4" s="1"/>
  <c r="G1230" i="4"/>
  <c r="I1230" i="4" s="1"/>
  <c r="G1228" i="4"/>
  <c r="I1228" i="4" s="1"/>
  <c r="G1231" i="4"/>
  <c r="I1231" i="4" s="1"/>
  <c r="G1227" i="4"/>
  <c r="I1227" i="4" s="1"/>
  <c r="G1232" i="4"/>
  <c r="I1232" i="4" s="1"/>
  <c r="G1229" i="4"/>
  <c r="I1229" i="4" s="1"/>
  <c r="G1233" i="4"/>
  <c r="I1233" i="4" s="1"/>
  <c r="G1237" i="4"/>
  <c r="I1237" i="4" s="1"/>
  <c r="G1236" i="4"/>
  <c r="I1236" i="4" s="1"/>
  <c r="G1234" i="4"/>
  <c r="I1234" i="4" s="1"/>
  <c r="G1235" i="4"/>
  <c r="I1235" i="4" s="1"/>
  <c r="G1240" i="4"/>
  <c r="I1240" i="4" s="1"/>
  <c r="G1242" i="4"/>
  <c r="I1242" i="4" s="1"/>
  <c r="G1252" i="4"/>
  <c r="I1252" i="4" s="1"/>
  <c r="G1253" i="4"/>
  <c r="I1253" i="4" s="1"/>
  <c r="G1254" i="4"/>
  <c r="I1254" i="4" s="1"/>
  <c r="G1261" i="4"/>
  <c r="I1261" i="4" s="1"/>
  <c r="G1259" i="4"/>
  <c r="I1259" i="4" s="1"/>
  <c r="G1257" i="4"/>
  <c r="I1257" i="4" s="1"/>
  <c r="G1262" i="4"/>
  <c r="I1262" i="4" s="1"/>
  <c r="G1263" i="4"/>
  <c r="I1263" i="4" s="1"/>
  <c r="G1264" i="4"/>
  <c r="I1264" i="4" s="1"/>
  <c r="G1265" i="4"/>
  <c r="I1265" i="4" s="1"/>
  <c r="G1266" i="4"/>
  <c r="I1266" i="4" s="1"/>
  <c r="G1270" i="4"/>
  <c r="I1270" i="4" s="1"/>
  <c r="G1272" i="4"/>
  <c r="I1272" i="4" s="1"/>
  <c r="G1271" i="4"/>
  <c r="I1271" i="4" s="1"/>
  <c r="G1276" i="4"/>
  <c r="I1276" i="4" s="1"/>
  <c r="G1274" i="4"/>
  <c r="I1274" i="4" s="1"/>
  <c r="G1282" i="4"/>
  <c r="I1282" i="4" s="1"/>
  <c r="G1279" i="4"/>
  <c r="I1279" i="4" s="1"/>
  <c r="G1285" i="4"/>
  <c r="I1285" i="4" s="1"/>
  <c r="H634" i="4"/>
  <c r="H636" i="4"/>
  <c r="H637" i="4"/>
  <c r="H638" i="4"/>
  <c r="H635" i="4"/>
  <c r="H639" i="4"/>
  <c r="H641" i="4"/>
  <c r="H642" i="4"/>
  <c r="H643" i="4"/>
  <c r="H644" i="4"/>
  <c r="H647" i="4"/>
  <c r="H654" i="4"/>
  <c r="H651" i="4"/>
  <c r="H653" i="4"/>
  <c r="H655" i="4"/>
  <c r="H656" i="4"/>
  <c r="H652" i="4"/>
  <c r="H648" i="4"/>
  <c r="H650" i="4"/>
  <c r="H649" i="4"/>
  <c r="H660" i="4"/>
  <c r="H657" i="4"/>
  <c r="H662" i="4"/>
  <c r="H658" i="4"/>
  <c r="H661" i="4"/>
  <c r="H659" i="4"/>
  <c r="H664" i="4"/>
  <c r="H663" i="4"/>
  <c r="H666" i="4"/>
  <c r="H668" i="4"/>
  <c r="H665" i="4"/>
  <c r="H667" i="4"/>
  <c r="H671" i="4"/>
  <c r="H670" i="4"/>
  <c r="H669" i="4"/>
  <c r="H672" i="4"/>
  <c r="H673" i="4"/>
  <c r="H674" i="4"/>
  <c r="H675" i="4"/>
  <c r="H677" i="4"/>
  <c r="H679" i="4"/>
  <c r="H683" i="4"/>
  <c r="H682" i="4"/>
  <c r="H681" i="4"/>
  <c r="H684" i="4"/>
  <c r="H686" i="4"/>
  <c r="H685" i="4"/>
  <c r="H687" i="4"/>
  <c r="H689" i="4"/>
  <c r="H690" i="4"/>
  <c r="H696" i="4"/>
  <c r="H693" i="4"/>
  <c r="H694" i="4"/>
  <c r="H698" i="4"/>
  <c r="H702" i="4"/>
  <c r="H701" i="4"/>
  <c r="H705" i="4"/>
  <c r="H706" i="4"/>
  <c r="H700" i="4"/>
  <c r="H703" i="4"/>
  <c r="H710" i="4"/>
  <c r="H709" i="4"/>
  <c r="H708" i="4"/>
  <c r="H713" i="4"/>
  <c r="H711" i="4"/>
  <c r="H712" i="4"/>
  <c r="H714" i="4"/>
  <c r="H720" i="4"/>
  <c r="H721" i="4"/>
  <c r="H722" i="4"/>
  <c r="H715" i="4"/>
  <c r="H724" i="4"/>
  <c r="H723" i="4"/>
  <c r="H719" i="4"/>
  <c r="H718" i="4"/>
  <c r="H717" i="4"/>
  <c r="H716" i="4"/>
  <c r="H735" i="4"/>
  <c r="H736" i="4"/>
  <c r="H733" i="4"/>
  <c r="H727" i="4"/>
  <c r="H730" i="4"/>
  <c r="H729" i="4"/>
  <c r="H728" i="4"/>
  <c r="H725" i="4"/>
  <c r="H726" i="4"/>
  <c r="H731" i="4"/>
  <c r="H734" i="4"/>
  <c r="H741" i="4"/>
  <c r="H739" i="4"/>
  <c r="H745" i="4"/>
  <c r="H748" i="4"/>
  <c r="H746" i="4"/>
  <c r="H753" i="4"/>
  <c r="H750" i="4"/>
  <c r="H752" i="4"/>
  <c r="H749" i="4"/>
  <c r="H754" i="4"/>
  <c r="H755" i="4"/>
  <c r="H758" i="4"/>
  <c r="H760" i="4"/>
  <c r="H757" i="4"/>
  <c r="H759" i="4"/>
  <c r="H756" i="4"/>
  <c r="H762" i="4"/>
  <c r="H766" i="4"/>
  <c r="H763" i="4"/>
  <c r="H764" i="4"/>
  <c r="H765" i="4"/>
  <c r="H767" i="4"/>
  <c r="H768" i="4"/>
  <c r="H770" i="4"/>
  <c r="H769" i="4"/>
  <c r="H772" i="4"/>
  <c r="H784" i="4"/>
  <c r="H782" i="4"/>
  <c r="H781" i="4"/>
  <c r="H779" i="4"/>
  <c r="H785" i="4"/>
  <c r="H792" i="4"/>
  <c r="H787" i="4"/>
  <c r="H788" i="4"/>
  <c r="H793" i="4"/>
  <c r="H786" i="4"/>
  <c r="H790" i="4"/>
  <c r="H789" i="4"/>
  <c r="H791" i="4"/>
  <c r="H794" i="4"/>
  <c r="H797" i="4"/>
  <c r="H798" i="4"/>
  <c r="H800" i="4"/>
  <c r="H799" i="4"/>
  <c r="H801" i="4"/>
  <c r="H796" i="4"/>
  <c r="H795" i="4"/>
  <c r="H802" i="4"/>
  <c r="H808" i="4"/>
  <c r="H805" i="4"/>
  <c r="H809" i="4"/>
  <c r="H804" i="4"/>
  <c r="H812" i="4"/>
  <c r="H811" i="4"/>
  <c r="H803" i="4"/>
  <c r="H806" i="4"/>
  <c r="H813" i="4"/>
  <c r="H807" i="4"/>
  <c r="H815" i="4"/>
  <c r="H820" i="4"/>
  <c r="H816" i="4"/>
  <c r="H818" i="4"/>
  <c r="H817" i="4"/>
  <c r="H821" i="4"/>
  <c r="H825" i="4"/>
  <c r="H824" i="4"/>
  <c r="H823" i="4"/>
  <c r="H830" i="4"/>
  <c r="H828" i="4"/>
  <c r="H829" i="4"/>
  <c r="H827" i="4"/>
  <c r="H826" i="4"/>
  <c r="H833" i="4"/>
  <c r="H832" i="4"/>
  <c r="H836" i="4"/>
  <c r="H831" i="4"/>
  <c r="H835" i="4"/>
  <c r="H834" i="4"/>
  <c r="H838" i="4"/>
  <c r="H839" i="4"/>
  <c r="H840" i="4"/>
  <c r="H837" i="4"/>
  <c r="H843" i="4"/>
  <c r="H842" i="4"/>
  <c r="H841" i="4"/>
  <c r="H845" i="4"/>
  <c r="H844" i="4"/>
  <c r="H850" i="4"/>
  <c r="H848" i="4"/>
  <c r="H853" i="4"/>
  <c r="H851" i="4"/>
  <c r="H854" i="4"/>
  <c r="H859" i="4"/>
  <c r="H860" i="4"/>
  <c r="H855" i="4"/>
  <c r="H856" i="4"/>
  <c r="H861" i="4"/>
  <c r="H858" i="4"/>
  <c r="H863" i="4"/>
  <c r="H864" i="4"/>
  <c r="H866" i="4"/>
  <c r="H868" i="4"/>
  <c r="H869" i="4"/>
  <c r="H871" i="4"/>
  <c r="H872" i="4"/>
  <c r="H875" i="4"/>
  <c r="H876" i="4"/>
  <c r="H878" i="4"/>
  <c r="H882" i="4"/>
  <c r="H881" i="4"/>
  <c r="H880" i="4"/>
  <c r="H879" i="4"/>
  <c r="H886" i="4"/>
  <c r="H887" i="4"/>
  <c r="H884" i="4"/>
  <c r="H885" i="4"/>
  <c r="H891" i="4"/>
  <c r="H890" i="4"/>
  <c r="H888" i="4"/>
  <c r="H892" i="4"/>
  <c r="H889" i="4"/>
  <c r="H893" i="4"/>
  <c r="H895" i="4"/>
  <c r="H898" i="4"/>
  <c r="H903" i="4"/>
  <c r="H905" i="4"/>
  <c r="H906" i="4"/>
  <c r="H910" i="4"/>
  <c r="H909" i="4"/>
  <c r="H908" i="4"/>
  <c r="H907" i="4"/>
  <c r="H911" i="4"/>
  <c r="H914" i="4"/>
  <c r="H912" i="4"/>
  <c r="H917" i="4"/>
  <c r="H918" i="4"/>
  <c r="H919" i="4"/>
  <c r="H924" i="4"/>
  <c r="H922" i="4"/>
  <c r="H921" i="4"/>
  <c r="H920" i="4"/>
  <c r="H923" i="4"/>
  <c r="H927" i="4"/>
  <c r="H928" i="4"/>
  <c r="H926" i="4"/>
  <c r="H931" i="4"/>
  <c r="H929" i="4"/>
  <c r="H930" i="4"/>
  <c r="H932" i="4"/>
  <c r="H933" i="4"/>
  <c r="H937" i="4"/>
  <c r="H934" i="4"/>
  <c r="H935" i="4"/>
  <c r="H936" i="4"/>
  <c r="H939" i="4"/>
  <c r="H940" i="4"/>
  <c r="H942" i="4"/>
  <c r="H938" i="4"/>
  <c r="H941" i="4"/>
  <c r="H943" i="4"/>
  <c r="H944" i="4"/>
  <c r="H948" i="4"/>
  <c r="H947" i="4"/>
  <c r="H949" i="4"/>
  <c r="H950" i="4"/>
  <c r="H953" i="4"/>
  <c r="H952" i="4"/>
  <c r="H951" i="4"/>
  <c r="H955" i="4"/>
  <c r="H956" i="4"/>
  <c r="H959" i="4"/>
  <c r="H960" i="4"/>
  <c r="H961" i="4"/>
  <c r="H962" i="4"/>
  <c r="H965" i="4"/>
  <c r="H969" i="4"/>
  <c r="H964" i="4"/>
  <c r="H972" i="4"/>
  <c r="H973" i="4"/>
  <c r="H977" i="4"/>
  <c r="H974" i="4"/>
  <c r="H975" i="4"/>
  <c r="H976" i="4"/>
  <c r="H978" i="4"/>
  <c r="H979" i="4"/>
  <c r="H981" i="4"/>
  <c r="H982" i="4"/>
  <c r="H983" i="4"/>
  <c r="H984" i="4"/>
  <c r="H988" i="4"/>
  <c r="H986" i="4"/>
  <c r="H987" i="4"/>
  <c r="H989" i="4"/>
  <c r="H991" i="4"/>
  <c r="H992" i="4"/>
  <c r="H994" i="4"/>
  <c r="H996" i="4"/>
  <c r="H998" i="4"/>
  <c r="H999" i="4"/>
  <c r="H997" i="4"/>
  <c r="H1001" i="4"/>
  <c r="H1003" i="4"/>
  <c r="H1007" i="4"/>
  <c r="H1005" i="4"/>
  <c r="H1008" i="4"/>
  <c r="H1012" i="4"/>
  <c r="H1013" i="4"/>
  <c r="H1015" i="4"/>
  <c r="H1016" i="4"/>
  <c r="H1014" i="4"/>
  <c r="H1018" i="4"/>
  <c r="H1019" i="4"/>
  <c r="H1020" i="4"/>
  <c r="H1021" i="4"/>
  <c r="H1023" i="4"/>
  <c r="H1022" i="4"/>
  <c r="H1024" i="4"/>
  <c r="H1029" i="4"/>
  <c r="H1030" i="4"/>
  <c r="H1028" i="4"/>
  <c r="H1026" i="4"/>
  <c r="H1027" i="4"/>
  <c r="H1025" i="4"/>
  <c r="H1033" i="4"/>
  <c r="H1032" i="4"/>
  <c r="H1031" i="4"/>
  <c r="H1035" i="4"/>
  <c r="H1034" i="4"/>
  <c r="H1040" i="4"/>
  <c r="H1039" i="4"/>
  <c r="H1038" i="4"/>
  <c r="H1037" i="4"/>
  <c r="H1041" i="4"/>
  <c r="H1042" i="4"/>
  <c r="H1043" i="4"/>
  <c r="H1044" i="4"/>
  <c r="H1047" i="4"/>
  <c r="H1046" i="4"/>
  <c r="H1045" i="4"/>
  <c r="H1050" i="4"/>
  <c r="H1053" i="4"/>
  <c r="H1052" i="4"/>
  <c r="H1054" i="4"/>
  <c r="H1055" i="4"/>
  <c r="H1057" i="4"/>
  <c r="H1056" i="4"/>
  <c r="H1060" i="4"/>
  <c r="H1062" i="4"/>
  <c r="H1064" i="4"/>
  <c r="H1063" i="4"/>
  <c r="H1065" i="4"/>
  <c r="H1066" i="4"/>
  <c r="H1067" i="4"/>
  <c r="H1068" i="4"/>
  <c r="H1069" i="4"/>
  <c r="H1071" i="4"/>
  <c r="H1070" i="4"/>
  <c r="H1072" i="4"/>
  <c r="H1073" i="4"/>
  <c r="H1074" i="4"/>
  <c r="H1080" i="4"/>
  <c r="H1076" i="4"/>
  <c r="H1078" i="4"/>
  <c r="H1075" i="4"/>
  <c r="H1082" i="4"/>
  <c r="H1083" i="4"/>
  <c r="H1084" i="4"/>
  <c r="H1086" i="4"/>
  <c r="H1085" i="4"/>
  <c r="H1087" i="4"/>
  <c r="H1088" i="4"/>
  <c r="H1090" i="4"/>
  <c r="H1092" i="4"/>
  <c r="H1093" i="4"/>
  <c r="H1091" i="4"/>
  <c r="H1094" i="4"/>
  <c r="H1095" i="4"/>
  <c r="H1096" i="4"/>
  <c r="H1098" i="4"/>
  <c r="H1100" i="4"/>
  <c r="H1099" i="4"/>
  <c r="H1097" i="4"/>
  <c r="H1101" i="4"/>
  <c r="H1103" i="4"/>
  <c r="H1102" i="4"/>
  <c r="H1106" i="4"/>
  <c r="H1107" i="4"/>
  <c r="H1108" i="4"/>
  <c r="H1111" i="4"/>
  <c r="H1110" i="4"/>
  <c r="H1114" i="4"/>
  <c r="H1116" i="4"/>
  <c r="H1112" i="4"/>
  <c r="H1113" i="4"/>
  <c r="H1115" i="4"/>
  <c r="H1117" i="4"/>
  <c r="H1118" i="4"/>
  <c r="H1119" i="4"/>
  <c r="H1122" i="4"/>
  <c r="H1121" i="4"/>
  <c r="H1124" i="4"/>
  <c r="H1125" i="4"/>
  <c r="H1126" i="4"/>
  <c r="H1127" i="4"/>
  <c r="H1129" i="4"/>
  <c r="H1130" i="4"/>
  <c r="H1134" i="4"/>
  <c r="H1136" i="4"/>
  <c r="H1135" i="4"/>
  <c r="H1133" i="4"/>
  <c r="H1141" i="4"/>
  <c r="H1137" i="4"/>
  <c r="H1138" i="4"/>
  <c r="H1140" i="4"/>
  <c r="H1139" i="4"/>
  <c r="H1142" i="4"/>
  <c r="H1144" i="4"/>
  <c r="H1145" i="4"/>
  <c r="H1146" i="4"/>
  <c r="H1153" i="4"/>
  <c r="H1155" i="4"/>
  <c r="H1156" i="4"/>
  <c r="H1157" i="4"/>
  <c r="H1159" i="4"/>
  <c r="H1160" i="4"/>
  <c r="H1161" i="4"/>
  <c r="H1158" i="4"/>
  <c r="H1162" i="4"/>
  <c r="H1164" i="4"/>
  <c r="H1163" i="4"/>
  <c r="H1170" i="4"/>
  <c r="H1169" i="4"/>
  <c r="H1165" i="4"/>
  <c r="H1171" i="4"/>
  <c r="H1167" i="4"/>
  <c r="H1173" i="4"/>
  <c r="H1172" i="4"/>
  <c r="H1180" i="4"/>
  <c r="H1177" i="4"/>
  <c r="H1176" i="4"/>
  <c r="H1175" i="4"/>
  <c r="H1181" i="4"/>
  <c r="H1178" i="4"/>
  <c r="H1182" i="4"/>
  <c r="H1183" i="4"/>
  <c r="H1185" i="4"/>
  <c r="H1187" i="4"/>
  <c r="H1190" i="4"/>
  <c r="H1191" i="4"/>
  <c r="H1188" i="4"/>
  <c r="H1189" i="4"/>
  <c r="H1192" i="4"/>
  <c r="H1193" i="4"/>
  <c r="H1194" i="4"/>
  <c r="H1196" i="4"/>
  <c r="H1198" i="4"/>
  <c r="H1200" i="4"/>
  <c r="H1202" i="4"/>
  <c r="H1207" i="4"/>
  <c r="H1208" i="4"/>
  <c r="H1204" i="4"/>
  <c r="H1205" i="4"/>
  <c r="H1206" i="4"/>
  <c r="H1209" i="4"/>
  <c r="H1211" i="4"/>
  <c r="H1214" i="4"/>
  <c r="H1212" i="4"/>
  <c r="H1210" i="4"/>
  <c r="H1215" i="4"/>
  <c r="H1219" i="4"/>
  <c r="H1217" i="4"/>
  <c r="H1222" i="4"/>
  <c r="H1223" i="4"/>
  <c r="H1230" i="4"/>
  <c r="H1228" i="4"/>
  <c r="H1231" i="4"/>
  <c r="H1227" i="4"/>
  <c r="H1232" i="4"/>
  <c r="H1229" i="4"/>
  <c r="H1233" i="4"/>
  <c r="H1237" i="4"/>
  <c r="H1236" i="4"/>
  <c r="H1234" i="4"/>
  <c r="H1235" i="4"/>
  <c r="H1240" i="4"/>
  <c r="H1242" i="4"/>
  <c r="H1252" i="4"/>
  <c r="H1253" i="4"/>
  <c r="H1254" i="4"/>
  <c r="H1261" i="4"/>
  <c r="H1259" i="4"/>
  <c r="H1257" i="4"/>
  <c r="H1262" i="4"/>
  <c r="H1263" i="4"/>
  <c r="H1264" i="4"/>
  <c r="H1265" i="4"/>
  <c r="H1266" i="4"/>
  <c r="H1270" i="4"/>
  <c r="H1272" i="4"/>
  <c r="H1271" i="4"/>
  <c r="H1276" i="4"/>
  <c r="H1274" i="4"/>
  <c r="H1282" i="4"/>
  <c r="H1279" i="4"/>
  <c r="H1285" i="4"/>
  <c r="M634" i="4"/>
  <c r="M636" i="4"/>
  <c r="M637" i="4"/>
  <c r="M638" i="4"/>
  <c r="M635" i="4"/>
  <c r="M639" i="4"/>
  <c r="M641" i="4"/>
  <c r="M642" i="4"/>
  <c r="M643" i="4"/>
  <c r="M644" i="4"/>
  <c r="M647" i="4"/>
  <c r="M654" i="4"/>
  <c r="M651" i="4"/>
  <c r="M653" i="4"/>
  <c r="M655" i="4"/>
  <c r="M656" i="4"/>
  <c r="M652" i="4"/>
  <c r="M648" i="4"/>
  <c r="M650" i="4"/>
  <c r="M649" i="4"/>
  <c r="M660" i="4"/>
  <c r="M657" i="4"/>
  <c r="M662" i="4"/>
  <c r="M658" i="4"/>
  <c r="M661" i="4"/>
  <c r="M659" i="4"/>
  <c r="M664" i="4"/>
  <c r="M663" i="4"/>
  <c r="M666" i="4"/>
  <c r="M668" i="4"/>
  <c r="M665" i="4"/>
  <c r="M667" i="4"/>
  <c r="M671" i="4"/>
  <c r="M670" i="4"/>
  <c r="M669" i="4"/>
  <c r="M672" i="4"/>
  <c r="M673" i="4"/>
  <c r="M674" i="4"/>
  <c r="M675" i="4"/>
  <c r="M677" i="4"/>
  <c r="M679" i="4"/>
  <c r="M683" i="4"/>
  <c r="M682" i="4"/>
  <c r="M681" i="4"/>
  <c r="M684" i="4"/>
  <c r="M686" i="4"/>
  <c r="M685" i="4"/>
  <c r="M687" i="4"/>
  <c r="M689" i="4"/>
  <c r="M690" i="4"/>
  <c r="M696" i="4"/>
  <c r="M693" i="4"/>
  <c r="M694" i="4"/>
  <c r="M698" i="4"/>
  <c r="M702" i="4"/>
  <c r="M701" i="4"/>
  <c r="M705" i="4"/>
  <c r="M706" i="4"/>
  <c r="M700" i="4"/>
  <c r="M703" i="4"/>
  <c r="M710" i="4"/>
  <c r="M709" i="4"/>
  <c r="M708" i="4"/>
  <c r="M713" i="4"/>
  <c r="M711" i="4"/>
  <c r="M712" i="4"/>
  <c r="M714" i="4"/>
  <c r="M720" i="4"/>
  <c r="M721" i="4"/>
  <c r="M722" i="4"/>
  <c r="M715" i="4"/>
  <c r="M724" i="4"/>
  <c r="M723" i="4"/>
  <c r="M719" i="4"/>
  <c r="M718" i="4"/>
  <c r="M717" i="4"/>
  <c r="M716" i="4"/>
  <c r="M735" i="4"/>
  <c r="M736" i="4"/>
  <c r="M733" i="4"/>
  <c r="M727" i="4"/>
  <c r="M730" i="4"/>
  <c r="M729" i="4"/>
  <c r="M728" i="4"/>
  <c r="M725" i="4"/>
  <c r="M726" i="4"/>
  <c r="M731" i="4"/>
  <c r="M734" i="4"/>
  <c r="M741" i="4"/>
  <c r="M739" i="4"/>
  <c r="M745" i="4"/>
  <c r="M748" i="4"/>
  <c r="M746" i="4"/>
  <c r="M753" i="4"/>
  <c r="M750" i="4"/>
  <c r="M752" i="4"/>
  <c r="M749" i="4"/>
  <c r="M754" i="4"/>
  <c r="M755" i="4"/>
  <c r="M758" i="4"/>
  <c r="M760" i="4"/>
  <c r="M757" i="4"/>
  <c r="M759" i="4"/>
  <c r="M756" i="4"/>
  <c r="M762" i="4"/>
  <c r="M766" i="4"/>
  <c r="M763" i="4"/>
  <c r="M764" i="4"/>
  <c r="M765" i="4"/>
  <c r="M767" i="4"/>
  <c r="M768" i="4"/>
  <c r="M770" i="4"/>
  <c r="M769" i="4"/>
  <c r="M772" i="4"/>
  <c r="M784" i="4"/>
  <c r="M782" i="4"/>
  <c r="M781" i="4"/>
  <c r="M779" i="4"/>
  <c r="M785" i="4"/>
  <c r="M792" i="4"/>
  <c r="M787" i="4"/>
  <c r="M788" i="4"/>
  <c r="M793" i="4"/>
  <c r="M786" i="4"/>
  <c r="M790" i="4"/>
  <c r="M789" i="4"/>
  <c r="M791" i="4"/>
  <c r="M794" i="4"/>
  <c r="M797" i="4"/>
  <c r="M798" i="4"/>
  <c r="M800" i="4"/>
  <c r="M799" i="4"/>
  <c r="M801" i="4"/>
  <c r="M796" i="4"/>
  <c r="M795" i="4"/>
  <c r="M802" i="4"/>
  <c r="M808" i="4"/>
  <c r="M805" i="4"/>
  <c r="M809" i="4"/>
  <c r="M804" i="4"/>
  <c r="M812" i="4"/>
  <c r="M811" i="4"/>
  <c r="M803" i="4"/>
  <c r="M806" i="4"/>
  <c r="M813" i="4"/>
  <c r="M807" i="4"/>
  <c r="M815" i="4"/>
  <c r="M820" i="4"/>
  <c r="M816" i="4"/>
  <c r="M818" i="4"/>
  <c r="M817" i="4"/>
  <c r="M821" i="4"/>
  <c r="M825" i="4"/>
  <c r="M824" i="4"/>
  <c r="M823" i="4"/>
  <c r="M830" i="4"/>
  <c r="M828" i="4"/>
  <c r="M829" i="4"/>
  <c r="M827" i="4"/>
  <c r="M826" i="4"/>
  <c r="M833" i="4"/>
  <c r="M832" i="4"/>
  <c r="M836" i="4"/>
  <c r="M831" i="4"/>
  <c r="M835" i="4"/>
  <c r="M834" i="4"/>
  <c r="M838" i="4"/>
  <c r="M839" i="4"/>
  <c r="M840" i="4"/>
  <c r="M837" i="4"/>
  <c r="M843" i="4"/>
  <c r="M842" i="4"/>
  <c r="M841" i="4"/>
  <c r="M845" i="4"/>
  <c r="M844" i="4"/>
  <c r="M850" i="4"/>
  <c r="M848" i="4"/>
  <c r="M853" i="4"/>
  <c r="M851" i="4"/>
  <c r="M854" i="4"/>
  <c r="M859" i="4"/>
  <c r="M860" i="4"/>
  <c r="M855" i="4"/>
  <c r="M856" i="4"/>
  <c r="M861" i="4"/>
  <c r="M858" i="4"/>
  <c r="M863" i="4"/>
  <c r="M864" i="4"/>
  <c r="M866" i="4"/>
  <c r="M868" i="4"/>
  <c r="M869" i="4"/>
  <c r="M871" i="4"/>
  <c r="M872" i="4"/>
  <c r="M875" i="4"/>
  <c r="M876" i="4"/>
  <c r="M878" i="4"/>
  <c r="M882" i="4"/>
  <c r="M881" i="4"/>
  <c r="M880" i="4"/>
  <c r="M879" i="4"/>
  <c r="M886" i="4"/>
  <c r="M887" i="4"/>
  <c r="M884" i="4"/>
  <c r="M885" i="4"/>
  <c r="M891" i="4"/>
  <c r="M890" i="4"/>
  <c r="M888" i="4"/>
  <c r="M892" i="4"/>
  <c r="M889" i="4"/>
  <c r="M893" i="4"/>
  <c r="M895" i="4"/>
  <c r="M898" i="4"/>
  <c r="M903" i="4"/>
  <c r="M905" i="4"/>
  <c r="M906" i="4"/>
  <c r="M910" i="4"/>
  <c r="M909" i="4"/>
  <c r="M908" i="4"/>
  <c r="M907" i="4"/>
  <c r="M911" i="4"/>
  <c r="M914" i="4"/>
  <c r="M912" i="4"/>
  <c r="M917" i="4"/>
  <c r="M918" i="4"/>
  <c r="M919" i="4"/>
  <c r="M924" i="4"/>
  <c r="M922" i="4"/>
  <c r="M921" i="4"/>
  <c r="M920" i="4"/>
  <c r="M923" i="4"/>
  <c r="M927" i="4"/>
  <c r="M928" i="4"/>
  <c r="M926" i="4"/>
  <c r="M931" i="4"/>
  <c r="M929" i="4"/>
  <c r="M930" i="4"/>
  <c r="M932" i="4"/>
  <c r="M933" i="4"/>
  <c r="M937" i="4"/>
  <c r="M934" i="4"/>
  <c r="M935" i="4"/>
  <c r="M936" i="4"/>
  <c r="M939" i="4"/>
  <c r="M940" i="4"/>
  <c r="M942" i="4"/>
  <c r="M938" i="4"/>
  <c r="M941" i="4"/>
  <c r="M943" i="4"/>
  <c r="M944" i="4"/>
  <c r="M948" i="4"/>
  <c r="M947" i="4"/>
  <c r="M949" i="4"/>
  <c r="M950" i="4"/>
  <c r="M953" i="4"/>
  <c r="M952" i="4"/>
  <c r="M951" i="4"/>
  <c r="M955" i="4"/>
  <c r="M956" i="4"/>
  <c r="M959" i="4"/>
  <c r="M960" i="4"/>
  <c r="M961" i="4"/>
  <c r="M962" i="4"/>
  <c r="M965" i="4"/>
  <c r="M969" i="4"/>
  <c r="M964" i="4"/>
  <c r="M972" i="4"/>
  <c r="M973" i="4"/>
  <c r="M977" i="4"/>
  <c r="M974" i="4"/>
  <c r="M975" i="4"/>
  <c r="M976" i="4"/>
  <c r="M978" i="4"/>
  <c r="M979" i="4"/>
  <c r="M981" i="4"/>
  <c r="M982" i="4"/>
  <c r="M983" i="4"/>
  <c r="M984" i="4"/>
  <c r="M988" i="4"/>
  <c r="M986" i="4"/>
  <c r="M987" i="4"/>
  <c r="M989" i="4"/>
  <c r="M991" i="4"/>
  <c r="M992" i="4"/>
  <c r="M994" i="4"/>
  <c r="M996" i="4"/>
  <c r="M998" i="4"/>
  <c r="M999" i="4"/>
  <c r="M997" i="4"/>
  <c r="M1001" i="4"/>
  <c r="M1003" i="4"/>
  <c r="M1007" i="4"/>
  <c r="M1005" i="4"/>
  <c r="M1008" i="4"/>
  <c r="M1012" i="4"/>
  <c r="M1013" i="4"/>
  <c r="M1015" i="4"/>
  <c r="M1016" i="4"/>
  <c r="M1014" i="4"/>
  <c r="M1018" i="4"/>
  <c r="M1019" i="4"/>
  <c r="M1020" i="4"/>
  <c r="M1021" i="4"/>
  <c r="M1023" i="4"/>
  <c r="M1022" i="4"/>
  <c r="M1024" i="4"/>
  <c r="M1029" i="4"/>
  <c r="M1030" i="4"/>
  <c r="M1028" i="4"/>
  <c r="M1026" i="4"/>
  <c r="M1027" i="4"/>
  <c r="M1025" i="4"/>
  <c r="M1033" i="4"/>
  <c r="M1032" i="4"/>
  <c r="M1031" i="4"/>
  <c r="M1035" i="4"/>
  <c r="M1034" i="4"/>
  <c r="M1040" i="4"/>
  <c r="M1039" i="4"/>
  <c r="M1038" i="4"/>
  <c r="M1037" i="4"/>
  <c r="M1041" i="4"/>
  <c r="M1042" i="4"/>
  <c r="M1043" i="4"/>
  <c r="M1044" i="4"/>
  <c r="M1047" i="4"/>
  <c r="M1046" i="4"/>
  <c r="M1045" i="4"/>
  <c r="M1050" i="4"/>
  <c r="M1053" i="4"/>
  <c r="M1052" i="4"/>
  <c r="M1054" i="4"/>
  <c r="M1055" i="4"/>
  <c r="M1057" i="4"/>
  <c r="M1056" i="4"/>
  <c r="M1060" i="4"/>
  <c r="M1062" i="4"/>
  <c r="M1064" i="4"/>
  <c r="M1063" i="4"/>
  <c r="M1065" i="4"/>
  <c r="M1066" i="4"/>
  <c r="M1067" i="4"/>
  <c r="M1068" i="4"/>
  <c r="M1069" i="4"/>
  <c r="M1071" i="4"/>
  <c r="M1070" i="4"/>
  <c r="M1072" i="4"/>
  <c r="M1073" i="4"/>
  <c r="M1074" i="4"/>
  <c r="M1080" i="4"/>
  <c r="M1076" i="4"/>
  <c r="M1078" i="4"/>
  <c r="M1075" i="4"/>
  <c r="M1082" i="4"/>
  <c r="M1083" i="4"/>
  <c r="M1084" i="4"/>
  <c r="M1086" i="4"/>
  <c r="M1085" i="4"/>
  <c r="M1087" i="4"/>
  <c r="M1088" i="4"/>
  <c r="M1090" i="4"/>
  <c r="M1092" i="4"/>
  <c r="M1093" i="4"/>
  <c r="M1091" i="4"/>
  <c r="M1094" i="4"/>
  <c r="M1095" i="4"/>
  <c r="M1096" i="4"/>
  <c r="M1098" i="4"/>
  <c r="M1100" i="4"/>
  <c r="M1099" i="4"/>
  <c r="M1097" i="4"/>
  <c r="M1101" i="4"/>
  <c r="M1103" i="4"/>
  <c r="M1102" i="4"/>
  <c r="M1106" i="4"/>
  <c r="M1107" i="4"/>
  <c r="M1108" i="4"/>
  <c r="M1111" i="4"/>
  <c r="M1110" i="4"/>
  <c r="M1114" i="4"/>
  <c r="M1116" i="4"/>
  <c r="M1112" i="4"/>
  <c r="M1113" i="4"/>
  <c r="M1115" i="4"/>
  <c r="M1117" i="4"/>
  <c r="M1118" i="4"/>
  <c r="M1119" i="4"/>
  <c r="M1122" i="4"/>
  <c r="M1121" i="4"/>
  <c r="M1124" i="4"/>
  <c r="M1125" i="4"/>
  <c r="M1126" i="4"/>
  <c r="M1127" i="4"/>
  <c r="M1129" i="4"/>
  <c r="M1130" i="4"/>
  <c r="M1134" i="4"/>
  <c r="M1136" i="4"/>
  <c r="M1135" i="4"/>
  <c r="M1133" i="4"/>
  <c r="M1141" i="4"/>
  <c r="M1137" i="4"/>
  <c r="M1138" i="4"/>
  <c r="M1140" i="4"/>
  <c r="M1139" i="4"/>
  <c r="M1142" i="4"/>
  <c r="M1144" i="4"/>
  <c r="M1145" i="4"/>
  <c r="M1146" i="4"/>
  <c r="M1153" i="4"/>
  <c r="M1155" i="4"/>
  <c r="M1156" i="4"/>
  <c r="M1157" i="4"/>
  <c r="M1159" i="4"/>
  <c r="M1160" i="4"/>
  <c r="M1161" i="4"/>
  <c r="M1158" i="4"/>
  <c r="M1162" i="4"/>
  <c r="M1164" i="4"/>
  <c r="M1163" i="4"/>
  <c r="M1170" i="4"/>
  <c r="M1169" i="4"/>
  <c r="M1165" i="4"/>
  <c r="M1171" i="4"/>
  <c r="M1167" i="4"/>
  <c r="M1173" i="4"/>
  <c r="M1172" i="4"/>
  <c r="M1180" i="4"/>
  <c r="M1177" i="4"/>
  <c r="M1176" i="4"/>
  <c r="M1175" i="4"/>
  <c r="M1181" i="4"/>
  <c r="M1178" i="4"/>
  <c r="M1182" i="4"/>
  <c r="M1183" i="4"/>
  <c r="M1185" i="4"/>
  <c r="M1187" i="4"/>
  <c r="M1190" i="4"/>
  <c r="M1191" i="4"/>
  <c r="M1188" i="4"/>
  <c r="M1189" i="4"/>
  <c r="M1192" i="4"/>
  <c r="M1193" i="4"/>
  <c r="M1194" i="4"/>
  <c r="M1196" i="4"/>
  <c r="M1198" i="4"/>
  <c r="M1200" i="4"/>
  <c r="M1202" i="4"/>
  <c r="M1207" i="4"/>
  <c r="M1208" i="4"/>
  <c r="M1204" i="4"/>
  <c r="M1205" i="4"/>
  <c r="M1206" i="4"/>
  <c r="M1209" i="4"/>
  <c r="M1211" i="4"/>
  <c r="M1214" i="4"/>
  <c r="M1212" i="4"/>
  <c r="M1210" i="4"/>
  <c r="M1215" i="4"/>
  <c r="M1219" i="4"/>
  <c r="M1217" i="4"/>
  <c r="M1222" i="4"/>
  <c r="M1223" i="4"/>
  <c r="M1230" i="4"/>
  <c r="M1228" i="4"/>
  <c r="M1231" i="4"/>
  <c r="M1227" i="4"/>
  <c r="M1232" i="4"/>
  <c r="M1229" i="4"/>
  <c r="M1233" i="4"/>
  <c r="M1237" i="4"/>
  <c r="M1236" i="4"/>
  <c r="M1234" i="4"/>
  <c r="M1235" i="4"/>
  <c r="M1240" i="4"/>
  <c r="M1242" i="4"/>
  <c r="M1252" i="4"/>
  <c r="M1253" i="4"/>
  <c r="M1254" i="4"/>
  <c r="M1261" i="4"/>
  <c r="M1259" i="4"/>
  <c r="M1257" i="4"/>
  <c r="M1262" i="4"/>
  <c r="M1263" i="4"/>
  <c r="M1264" i="4"/>
  <c r="M1265" i="4"/>
  <c r="M1266" i="4"/>
  <c r="M1270" i="4"/>
  <c r="M1272" i="4"/>
  <c r="M1271" i="4"/>
  <c r="M1276" i="4"/>
  <c r="M1274" i="4"/>
  <c r="M1282" i="4"/>
  <c r="M1279" i="4"/>
  <c r="M1285" i="4"/>
  <c r="N634" i="4"/>
  <c r="N636" i="4"/>
  <c r="N637" i="4"/>
  <c r="N638" i="4"/>
  <c r="N635" i="4"/>
  <c r="N639" i="4"/>
  <c r="N641" i="4"/>
  <c r="N642" i="4"/>
  <c r="N643" i="4"/>
  <c r="N644" i="4"/>
  <c r="N647" i="4"/>
  <c r="N654" i="4"/>
  <c r="N651" i="4"/>
  <c r="N653" i="4"/>
  <c r="N655" i="4"/>
  <c r="N656" i="4"/>
  <c r="N652" i="4"/>
  <c r="N648" i="4"/>
  <c r="N650" i="4"/>
  <c r="N649" i="4"/>
  <c r="N660" i="4"/>
  <c r="N657" i="4"/>
  <c r="N662" i="4"/>
  <c r="N658" i="4"/>
  <c r="N661" i="4"/>
  <c r="N659" i="4"/>
  <c r="N664" i="4"/>
  <c r="N663" i="4"/>
  <c r="N666" i="4"/>
  <c r="N668" i="4"/>
  <c r="N665" i="4"/>
  <c r="N667" i="4"/>
  <c r="N671" i="4"/>
  <c r="N670" i="4"/>
  <c r="N669" i="4"/>
  <c r="N672" i="4"/>
  <c r="N673" i="4"/>
  <c r="N674" i="4"/>
  <c r="N675" i="4"/>
  <c r="N677" i="4"/>
  <c r="N679" i="4"/>
  <c r="N683" i="4"/>
  <c r="N682" i="4"/>
  <c r="N681" i="4"/>
  <c r="N684" i="4"/>
  <c r="N686" i="4"/>
  <c r="N685" i="4"/>
  <c r="N687" i="4"/>
  <c r="N689" i="4"/>
  <c r="N690" i="4"/>
  <c r="N696" i="4"/>
  <c r="N693" i="4"/>
  <c r="N694" i="4"/>
  <c r="N698" i="4"/>
  <c r="N702" i="4"/>
  <c r="N701" i="4"/>
  <c r="N705" i="4"/>
  <c r="N706" i="4"/>
  <c r="N700" i="4"/>
  <c r="N703" i="4"/>
  <c r="N710" i="4"/>
  <c r="N709" i="4"/>
  <c r="N708" i="4"/>
  <c r="N713" i="4"/>
  <c r="N711" i="4"/>
  <c r="N712" i="4"/>
  <c r="N714" i="4"/>
  <c r="N720" i="4"/>
  <c r="N721" i="4"/>
  <c r="N722" i="4"/>
  <c r="N715" i="4"/>
  <c r="N724" i="4"/>
  <c r="N723" i="4"/>
  <c r="N719" i="4"/>
  <c r="N718" i="4"/>
  <c r="N717" i="4"/>
  <c r="N716" i="4"/>
  <c r="N735" i="4"/>
  <c r="N736" i="4"/>
  <c r="N733" i="4"/>
  <c r="N727" i="4"/>
  <c r="N730" i="4"/>
  <c r="N729" i="4"/>
  <c r="N728" i="4"/>
  <c r="N725" i="4"/>
  <c r="N726" i="4"/>
  <c r="N731" i="4"/>
  <c r="N734" i="4"/>
  <c r="N741" i="4"/>
  <c r="N739" i="4"/>
  <c r="N745" i="4"/>
  <c r="N748" i="4"/>
  <c r="N746" i="4"/>
  <c r="N753" i="4"/>
  <c r="N750" i="4"/>
  <c r="N752" i="4"/>
  <c r="N749" i="4"/>
  <c r="N754" i="4"/>
  <c r="N755" i="4"/>
  <c r="N758" i="4"/>
  <c r="N760" i="4"/>
  <c r="N757" i="4"/>
  <c r="N759" i="4"/>
  <c r="N756" i="4"/>
  <c r="N762" i="4"/>
  <c r="N766" i="4"/>
  <c r="N763" i="4"/>
  <c r="N764" i="4"/>
  <c r="N765" i="4"/>
  <c r="N767" i="4"/>
  <c r="N768" i="4"/>
  <c r="N770" i="4"/>
  <c r="N769" i="4"/>
  <c r="N772" i="4"/>
  <c r="N784" i="4"/>
  <c r="N782" i="4"/>
  <c r="N781" i="4"/>
  <c r="N779" i="4"/>
  <c r="N785" i="4"/>
  <c r="N792" i="4"/>
  <c r="N787" i="4"/>
  <c r="N788" i="4"/>
  <c r="N793" i="4"/>
  <c r="N786" i="4"/>
  <c r="N790" i="4"/>
  <c r="N789" i="4"/>
  <c r="N791" i="4"/>
  <c r="N794" i="4"/>
  <c r="N797" i="4"/>
  <c r="N798" i="4"/>
  <c r="N800" i="4"/>
  <c r="N799" i="4"/>
  <c r="N801" i="4"/>
  <c r="N796" i="4"/>
  <c r="N795" i="4"/>
  <c r="N802" i="4"/>
  <c r="N808" i="4"/>
  <c r="N805" i="4"/>
  <c r="N809" i="4"/>
  <c r="N804" i="4"/>
  <c r="N812" i="4"/>
  <c r="N811" i="4"/>
  <c r="N803" i="4"/>
  <c r="N806" i="4"/>
  <c r="N813" i="4"/>
  <c r="N807" i="4"/>
  <c r="N815" i="4"/>
  <c r="N820" i="4"/>
  <c r="N816" i="4"/>
  <c r="N818" i="4"/>
  <c r="N817" i="4"/>
  <c r="N821" i="4"/>
  <c r="N825" i="4"/>
  <c r="N824" i="4"/>
  <c r="N823" i="4"/>
  <c r="N830" i="4"/>
  <c r="N828" i="4"/>
  <c r="N829" i="4"/>
  <c r="N827" i="4"/>
  <c r="N826" i="4"/>
  <c r="N833" i="4"/>
  <c r="N832" i="4"/>
  <c r="N836" i="4"/>
  <c r="N831" i="4"/>
  <c r="N835" i="4"/>
  <c r="N834" i="4"/>
  <c r="N838" i="4"/>
  <c r="N839" i="4"/>
  <c r="N840" i="4"/>
  <c r="N837" i="4"/>
  <c r="N843" i="4"/>
  <c r="N842" i="4"/>
  <c r="N841" i="4"/>
  <c r="N845" i="4"/>
  <c r="N844" i="4"/>
  <c r="N850" i="4"/>
  <c r="N848" i="4"/>
  <c r="N853" i="4"/>
  <c r="N851" i="4"/>
  <c r="N854" i="4"/>
  <c r="N859" i="4"/>
  <c r="N860" i="4"/>
  <c r="N855" i="4"/>
  <c r="N856" i="4"/>
  <c r="N861" i="4"/>
  <c r="N858" i="4"/>
  <c r="N863" i="4"/>
  <c r="N864" i="4"/>
  <c r="N866" i="4"/>
  <c r="N868" i="4"/>
  <c r="N869" i="4"/>
  <c r="N871" i="4"/>
  <c r="N872" i="4"/>
  <c r="N875" i="4"/>
  <c r="N876" i="4"/>
  <c r="N878" i="4"/>
  <c r="N882" i="4"/>
  <c r="N881" i="4"/>
  <c r="N880" i="4"/>
  <c r="N879" i="4"/>
  <c r="N886" i="4"/>
  <c r="N887" i="4"/>
  <c r="N884" i="4"/>
  <c r="N885" i="4"/>
  <c r="N891" i="4"/>
  <c r="N890" i="4"/>
  <c r="N888" i="4"/>
  <c r="N892" i="4"/>
  <c r="N889" i="4"/>
  <c r="N893" i="4"/>
  <c r="N895" i="4"/>
  <c r="N898" i="4"/>
  <c r="N903" i="4"/>
  <c r="N905" i="4"/>
  <c r="N906" i="4"/>
  <c r="N910" i="4"/>
  <c r="N909" i="4"/>
  <c r="N908" i="4"/>
  <c r="N907" i="4"/>
  <c r="N911" i="4"/>
  <c r="N914" i="4"/>
  <c r="N912" i="4"/>
  <c r="N917" i="4"/>
  <c r="N918" i="4"/>
  <c r="N919" i="4"/>
  <c r="N924" i="4"/>
  <c r="N922" i="4"/>
  <c r="N921" i="4"/>
  <c r="N920" i="4"/>
  <c r="N923" i="4"/>
  <c r="N927" i="4"/>
  <c r="N928" i="4"/>
  <c r="N926" i="4"/>
  <c r="N931" i="4"/>
  <c r="N929" i="4"/>
  <c r="N930" i="4"/>
  <c r="N932" i="4"/>
  <c r="N933" i="4"/>
  <c r="N937" i="4"/>
  <c r="N934" i="4"/>
  <c r="N935" i="4"/>
  <c r="N936" i="4"/>
  <c r="N939" i="4"/>
  <c r="N940" i="4"/>
  <c r="N942" i="4"/>
  <c r="N938" i="4"/>
  <c r="N941" i="4"/>
  <c r="N943" i="4"/>
  <c r="N944" i="4"/>
  <c r="N948" i="4"/>
  <c r="N947" i="4"/>
  <c r="N949" i="4"/>
  <c r="N950" i="4"/>
  <c r="N953" i="4"/>
  <c r="N952" i="4"/>
  <c r="N951" i="4"/>
  <c r="N955" i="4"/>
  <c r="N956" i="4"/>
  <c r="N959" i="4"/>
  <c r="N960" i="4"/>
  <c r="N961" i="4"/>
  <c r="N962" i="4"/>
  <c r="N965" i="4"/>
  <c r="N969" i="4"/>
  <c r="N964" i="4"/>
  <c r="N972" i="4"/>
  <c r="N973" i="4"/>
  <c r="N977" i="4"/>
  <c r="N974" i="4"/>
  <c r="N975" i="4"/>
  <c r="N976" i="4"/>
  <c r="N978" i="4"/>
  <c r="N979" i="4"/>
  <c r="N981" i="4"/>
  <c r="N982" i="4"/>
  <c r="N983" i="4"/>
  <c r="N984" i="4"/>
  <c r="N988" i="4"/>
  <c r="N986" i="4"/>
  <c r="N987" i="4"/>
  <c r="N989" i="4"/>
  <c r="N991" i="4"/>
  <c r="N992" i="4"/>
  <c r="N994" i="4"/>
  <c r="N996" i="4"/>
  <c r="N998" i="4"/>
  <c r="N999" i="4"/>
  <c r="N997" i="4"/>
  <c r="N1001" i="4"/>
  <c r="N1003" i="4"/>
  <c r="N1007" i="4"/>
  <c r="N1005" i="4"/>
  <c r="N1008" i="4"/>
  <c r="N1012" i="4"/>
  <c r="N1013" i="4"/>
  <c r="N1015" i="4"/>
  <c r="N1016" i="4"/>
  <c r="N1014" i="4"/>
  <c r="N1018" i="4"/>
  <c r="N1019" i="4"/>
  <c r="N1020" i="4"/>
  <c r="N1021" i="4"/>
  <c r="N1023" i="4"/>
  <c r="N1022" i="4"/>
  <c r="N1024" i="4"/>
  <c r="N1029" i="4"/>
  <c r="N1030" i="4"/>
  <c r="N1028" i="4"/>
  <c r="N1026" i="4"/>
  <c r="N1027" i="4"/>
  <c r="N1025" i="4"/>
  <c r="N1033" i="4"/>
  <c r="N1032" i="4"/>
  <c r="N1031" i="4"/>
  <c r="N1035" i="4"/>
  <c r="N1034" i="4"/>
  <c r="N1040" i="4"/>
  <c r="N1039" i="4"/>
  <c r="N1038" i="4"/>
  <c r="N1037" i="4"/>
  <c r="N1041" i="4"/>
  <c r="N1042" i="4"/>
  <c r="N1043" i="4"/>
  <c r="N1044" i="4"/>
  <c r="N1047" i="4"/>
  <c r="N1046" i="4"/>
  <c r="N1045" i="4"/>
  <c r="N1050" i="4"/>
  <c r="N1053" i="4"/>
  <c r="N1052" i="4"/>
  <c r="N1054" i="4"/>
  <c r="N1055" i="4"/>
  <c r="N1057" i="4"/>
  <c r="N1056" i="4"/>
  <c r="N1060" i="4"/>
  <c r="N1062" i="4"/>
  <c r="N1064" i="4"/>
  <c r="N1063" i="4"/>
  <c r="N1065" i="4"/>
  <c r="N1066" i="4"/>
  <c r="N1067" i="4"/>
  <c r="N1068" i="4"/>
  <c r="N1069" i="4"/>
  <c r="N1071" i="4"/>
  <c r="N1070" i="4"/>
  <c r="N1072" i="4"/>
  <c r="N1073" i="4"/>
  <c r="N1074" i="4"/>
  <c r="N1080" i="4"/>
  <c r="N1076" i="4"/>
  <c r="N1078" i="4"/>
  <c r="N1075" i="4"/>
  <c r="N1082" i="4"/>
  <c r="N1083" i="4"/>
  <c r="N1084" i="4"/>
  <c r="N1086" i="4"/>
  <c r="N1085" i="4"/>
  <c r="N1087" i="4"/>
  <c r="N1088" i="4"/>
  <c r="N1090" i="4"/>
  <c r="N1092" i="4"/>
  <c r="N1093" i="4"/>
  <c r="N1091" i="4"/>
  <c r="N1094" i="4"/>
  <c r="N1095" i="4"/>
  <c r="N1096" i="4"/>
  <c r="N1098" i="4"/>
  <c r="N1100" i="4"/>
  <c r="N1099" i="4"/>
  <c r="N1097" i="4"/>
  <c r="N1101" i="4"/>
  <c r="N1103" i="4"/>
  <c r="N1102" i="4"/>
  <c r="N1106" i="4"/>
  <c r="N1107" i="4"/>
  <c r="N1108" i="4"/>
  <c r="N1111" i="4"/>
  <c r="N1110" i="4"/>
  <c r="N1114" i="4"/>
  <c r="N1116" i="4"/>
  <c r="N1112" i="4"/>
  <c r="N1113" i="4"/>
  <c r="N1115" i="4"/>
  <c r="N1117" i="4"/>
  <c r="N1118" i="4"/>
  <c r="N1119" i="4"/>
  <c r="N1122" i="4"/>
  <c r="N1121" i="4"/>
  <c r="N1124" i="4"/>
  <c r="N1125" i="4"/>
  <c r="N1126" i="4"/>
  <c r="N1127" i="4"/>
  <c r="N1129" i="4"/>
  <c r="N1130" i="4"/>
  <c r="N1134" i="4"/>
  <c r="N1136" i="4"/>
  <c r="N1135" i="4"/>
  <c r="N1133" i="4"/>
  <c r="N1141" i="4"/>
  <c r="N1137" i="4"/>
  <c r="N1138" i="4"/>
  <c r="N1140" i="4"/>
  <c r="N1139" i="4"/>
  <c r="N1142" i="4"/>
  <c r="N1144" i="4"/>
  <c r="N1145" i="4"/>
  <c r="N1146" i="4"/>
  <c r="N1153" i="4"/>
  <c r="N1155" i="4"/>
  <c r="N1156" i="4"/>
  <c r="N1157" i="4"/>
  <c r="N1159" i="4"/>
  <c r="N1160" i="4"/>
  <c r="N1161" i="4"/>
  <c r="N1158" i="4"/>
  <c r="N1162" i="4"/>
  <c r="N1164" i="4"/>
  <c r="N1163" i="4"/>
  <c r="N1170" i="4"/>
  <c r="N1169" i="4"/>
  <c r="N1165" i="4"/>
  <c r="N1171" i="4"/>
  <c r="N1167" i="4"/>
  <c r="N1173" i="4"/>
  <c r="N1172" i="4"/>
  <c r="N1180" i="4"/>
  <c r="N1177" i="4"/>
  <c r="N1176" i="4"/>
  <c r="N1175" i="4"/>
  <c r="N1181" i="4"/>
  <c r="N1178" i="4"/>
  <c r="N1182" i="4"/>
  <c r="N1183" i="4"/>
  <c r="N1185" i="4"/>
  <c r="N1187" i="4"/>
  <c r="N1190" i="4"/>
  <c r="N1191" i="4"/>
  <c r="N1188" i="4"/>
  <c r="N1189" i="4"/>
  <c r="N1192" i="4"/>
  <c r="N1193" i="4"/>
  <c r="N1194" i="4"/>
  <c r="N1196" i="4"/>
  <c r="N1198" i="4"/>
  <c r="N1200" i="4"/>
  <c r="N1202" i="4"/>
  <c r="N1207" i="4"/>
  <c r="N1208" i="4"/>
  <c r="N1204" i="4"/>
  <c r="N1205" i="4"/>
  <c r="N1206" i="4"/>
  <c r="N1209" i="4"/>
  <c r="N1211" i="4"/>
  <c r="N1214" i="4"/>
  <c r="N1212" i="4"/>
  <c r="N1210" i="4"/>
  <c r="N1215" i="4"/>
  <c r="N1219" i="4"/>
  <c r="N1217" i="4"/>
  <c r="N1222" i="4"/>
  <c r="N1223" i="4"/>
  <c r="N1230" i="4"/>
  <c r="N1228" i="4"/>
  <c r="N1231" i="4"/>
  <c r="N1227" i="4"/>
  <c r="N1232" i="4"/>
  <c r="N1229" i="4"/>
  <c r="N1233" i="4"/>
  <c r="N1237" i="4"/>
  <c r="N1236" i="4"/>
  <c r="N1234" i="4"/>
  <c r="N1235" i="4"/>
  <c r="N1240" i="4"/>
  <c r="N1242" i="4"/>
  <c r="N1252" i="4"/>
  <c r="N1253" i="4"/>
  <c r="N1254" i="4"/>
  <c r="N1261" i="4"/>
  <c r="N1259" i="4"/>
  <c r="N1257" i="4"/>
  <c r="N1262" i="4"/>
  <c r="N1263" i="4"/>
  <c r="N1264" i="4"/>
  <c r="N1265" i="4"/>
  <c r="N1266" i="4"/>
  <c r="N1270" i="4"/>
  <c r="N1272" i="4"/>
  <c r="N1271" i="4"/>
  <c r="N1276" i="4"/>
  <c r="N1274" i="4"/>
  <c r="N1282" i="4"/>
  <c r="N1279" i="4"/>
  <c r="N1285" i="4"/>
  <c r="O634" i="4" a="1"/>
  <c r="O634" i="4" s="1"/>
  <c r="O636" i="4" a="1"/>
  <c r="O636" i="4" s="1"/>
  <c r="O637" i="4" a="1"/>
  <c r="O637" i="4" s="1"/>
  <c r="O638" i="4" a="1"/>
  <c r="O638" i="4" s="1"/>
  <c r="O635" i="4" a="1"/>
  <c r="O635" i="4" s="1"/>
  <c r="O639" i="4" a="1"/>
  <c r="O639" i="4" s="1"/>
  <c r="O641" i="4" a="1"/>
  <c r="O641" i="4" s="1"/>
  <c r="O642" i="4" a="1"/>
  <c r="O642" i="4" s="1"/>
  <c r="O643" i="4" a="1"/>
  <c r="O643" i="4" s="1"/>
  <c r="O644" i="4" a="1"/>
  <c r="O644" i="4" s="1"/>
  <c r="O647" i="4" a="1"/>
  <c r="O647" i="4" s="1"/>
  <c r="O654" i="4" a="1"/>
  <c r="O654" i="4" s="1"/>
  <c r="O651" i="4" a="1"/>
  <c r="O651" i="4" s="1"/>
  <c r="O653" i="4" a="1"/>
  <c r="O653" i="4" s="1"/>
  <c r="O655" i="4" a="1"/>
  <c r="O655" i="4" s="1"/>
  <c r="O656" i="4" a="1"/>
  <c r="O656" i="4" s="1"/>
  <c r="O652" i="4" a="1"/>
  <c r="O652" i="4" s="1"/>
  <c r="O648" i="4" a="1"/>
  <c r="O648" i="4" s="1"/>
  <c r="O650" i="4" a="1"/>
  <c r="O650" i="4" s="1"/>
  <c r="O649" i="4" a="1"/>
  <c r="O649" i="4" s="1"/>
  <c r="O660" i="4" a="1"/>
  <c r="O660" i="4" s="1"/>
  <c r="O657" i="4" a="1"/>
  <c r="O657" i="4" s="1"/>
  <c r="O662" i="4" a="1"/>
  <c r="O662" i="4" s="1"/>
  <c r="O658" i="4" a="1"/>
  <c r="O658" i="4" s="1"/>
  <c r="O661" i="4" a="1"/>
  <c r="O661" i="4" s="1"/>
  <c r="O659" i="4" a="1"/>
  <c r="O659" i="4" s="1"/>
  <c r="O664" i="4" a="1"/>
  <c r="O664" i="4" s="1"/>
  <c r="O663" i="4" a="1"/>
  <c r="O663" i="4" s="1"/>
  <c r="O666" i="4" a="1"/>
  <c r="O666" i="4" s="1"/>
  <c r="O668" i="4" a="1"/>
  <c r="O668" i="4" s="1"/>
  <c r="O665" i="4" a="1"/>
  <c r="O665" i="4" s="1"/>
  <c r="O667" i="4" a="1"/>
  <c r="O667" i="4" s="1"/>
  <c r="O671" i="4" a="1"/>
  <c r="O671" i="4" s="1"/>
  <c r="O670" i="4" a="1"/>
  <c r="O670" i="4" s="1"/>
  <c r="O669" i="4" a="1"/>
  <c r="O669" i="4" s="1"/>
  <c r="O672" i="4" a="1"/>
  <c r="O672" i="4" s="1"/>
  <c r="O673" i="4" a="1"/>
  <c r="O673" i="4" s="1"/>
  <c r="O674" i="4" a="1"/>
  <c r="O674" i="4" s="1"/>
  <c r="O675" i="4" a="1"/>
  <c r="O675" i="4" s="1"/>
  <c r="O677" i="4" a="1"/>
  <c r="O677" i="4" s="1"/>
  <c r="O679" i="4" a="1"/>
  <c r="O679" i="4" s="1"/>
  <c r="O683" i="4" a="1"/>
  <c r="O683" i="4" s="1"/>
  <c r="O682" i="4" a="1"/>
  <c r="O682" i="4" s="1"/>
  <c r="O681" i="4" a="1"/>
  <c r="O681" i="4" s="1"/>
  <c r="O684" i="4" a="1"/>
  <c r="O684" i="4" s="1"/>
  <c r="O686" i="4" a="1"/>
  <c r="O686" i="4" s="1"/>
  <c r="O685" i="4" a="1"/>
  <c r="O685" i="4" s="1"/>
  <c r="O687" i="4" a="1"/>
  <c r="O687" i="4" s="1"/>
  <c r="O689" i="4" a="1"/>
  <c r="O689" i="4" s="1"/>
  <c r="O690" i="4" a="1"/>
  <c r="O690" i="4" s="1"/>
  <c r="O696" i="4" a="1"/>
  <c r="O696" i="4" s="1"/>
  <c r="O693" i="4" a="1"/>
  <c r="O693" i="4" s="1"/>
  <c r="O694" i="4" a="1"/>
  <c r="O694" i="4" s="1"/>
  <c r="O698" i="4" a="1"/>
  <c r="O698" i="4" s="1"/>
  <c r="O702" i="4" a="1"/>
  <c r="O702" i="4" s="1"/>
  <c r="O701" i="4" a="1"/>
  <c r="O701" i="4" s="1"/>
  <c r="O705" i="4" a="1"/>
  <c r="O705" i="4" s="1"/>
  <c r="O706" i="4" a="1"/>
  <c r="O706" i="4" s="1"/>
  <c r="O700" i="4" a="1"/>
  <c r="O700" i="4" s="1"/>
  <c r="O703" i="4" a="1"/>
  <c r="O703" i="4" s="1"/>
  <c r="O710" i="4" a="1"/>
  <c r="O710" i="4" s="1"/>
  <c r="O709" i="4" a="1"/>
  <c r="O709" i="4" s="1"/>
  <c r="O708" i="4" a="1"/>
  <c r="O708" i="4" s="1"/>
  <c r="O713" i="4" a="1"/>
  <c r="O713" i="4" s="1"/>
  <c r="O711" i="4" a="1"/>
  <c r="O711" i="4" s="1"/>
  <c r="O712" i="4" a="1"/>
  <c r="O712" i="4" s="1"/>
  <c r="O714" i="4" a="1"/>
  <c r="O714" i="4" s="1"/>
  <c r="O720" i="4" a="1"/>
  <c r="O720" i="4" s="1"/>
  <c r="O721" i="4" a="1"/>
  <c r="O721" i="4" s="1"/>
  <c r="O722" i="4" a="1"/>
  <c r="O722" i="4" s="1"/>
  <c r="O715" i="4" a="1"/>
  <c r="O715" i="4" s="1"/>
  <c r="O724" i="4" a="1"/>
  <c r="O724" i="4" s="1"/>
  <c r="O723" i="4" a="1"/>
  <c r="O723" i="4" s="1"/>
  <c r="O719" i="4" a="1"/>
  <c r="O719" i="4" s="1"/>
  <c r="O718" i="4" a="1"/>
  <c r="O718" i="4" s="1"/>
  <c r="O717" i="4" a="1"/>
  <c r="O717" i="4" s="1"/>
  <c r="O716" i="4" a="1"/>
  <c r="O716" i="4" s="1"/>
  <c r="O735" i="4" a="1"/>
  <c r="O735" i="4" s="1"/>
  <c r="O736" i="4" a="1"/>
  <c r="O736" i="4" s="1"/>
  <c r="O733" i="4" a="1"/>
  <c r="O733" i="4" s="1"/>
  <c r="O727" i="4" a="1"/>
  <c r="O727" i="4" s="1"/>
  <c r="O730" i="4" a="1"/>
  <c r="O730" i="4" s="1"/>
  <c r="O729" i="4" a="1"/>
  <c r="O729" i="4" s="1"/>
  <c r="O728" i="4" a="1"/>
  <c r="O728" i="4" s="1"/>
  <c r="O725" i="4" a="1"/>
  <c r="O725" i="4" s="1"/>
  <c r="O726" i="4" a="1"/>
  <c r="O726" i="4" s="1"/>
  <c r="O731" i="4" a="1"/>
  <c r="O731" i="4" s="1"/>
  <c r="O734" i="4" a="1"/>
  <c r="O734" i="4" s="1"/>
  <c r="O741" i="4" a="1"/>
  <c r="O741" i="4" s="1"/>
  <c r="O739" i="4" a="1"/>
  <c r="O739" i="4" s="1"/>
  <c r="O745" i="4" a="1"/>
  <c r="O745" i="4" s="1"/>
  <c r="O748" i="4" a="1"/>
  <c r="O748" i="4" s="1"/>
  <c r="O746" i="4" a="1"/>
  <c r="O746" i="4" s="1"/>
  <c r="O753" i="4" a="1"/>
  <c r="O753" i="4" s="1"/>
  <c r="O750" i="4" a="1"/>
  <c r="O750" i="4" s="1"/>
  <c r="O752" i="4" a="1"/>
  <c r="O752" i="4" s="1"/>
  <c r="O749" i="4" a="1"/>
  <c r="O749" i="4" s="1"/>
  <c r="O754" i="4" a="1"/>
  <c r="O754" i="4" s="1"/>
  <c r="O755" i="4" a="1"/>
  <c r="O755" i="4" s="1"/>
  <c r="O758" i="4" a="1"/>
  <c r="O758" i="4" s="1"/>
  <c r="O760" i="4" a="1"/>
  <c r="O760" i="4" s="1"/>
  <c r="O757" i="4" a="1"/>
  <c r="O757" i="4" s="1"/>
  <c r="O759" i="4" a="1"/>
  <c r="O759" i="4" s="1"/>
  <c r="O756" i="4" a="1"/>
  <c r="O756" i="4" s="1"/>
  <c r="O762" i="4" a="1"/>
  <c r="O762" i="4" s="1"/>
  <c r="O766" i="4" a="1"/>
  <c r="O766" i="4" s="1"/>
  <c r="O763" i="4" a="1"/>
  <c r="O763" i="4" s="1"/>
  <c r="O764" i="4" a="1"/>
  <c r="O764" i="4" s="1"/>
  <c r="O765" i="4" a="1"/>
  <c r="O765" i="4" s="1"/>
  <c r="O767" i="4" a="1"/>
  <c r="O767" i="4" s="1"/>
  <c r="O768" i="4" a="1"/>
  <c r="O768" i="4" s="1"/>
  <c r="O770" i="4" a="1"/>
  <c r="O770" i="4" s="1"/>
  <c r="O769" i="4" a="1"/>
  <c r="O769" i="4" s="1"/>
  <c r="O772" i="4" a="1"/>
  <c r="O772" i="4" s="1"/>
  <c r="O784" i="4" a="1"/>
  <c r="O784" i="4" s="1"/>
  <c r="O782" i="4" a="1"/>
  <c r="O782" i="4" s="1"/>
  <c r="O781" i="4" a="1"/>
  <c r="O781" i="4" s="1"/>
  <c r="O779" i="4" a="1"/>
  <c r="O779" i="4" s="1"/>
  <c r="O785" i="4" a="1"/>
  <c r="O785" i="4" s="1"/>
  <c r="O792" i="4" a="1"/>
  <c r="O792" i="4" s="1"/>
  <c r="O787" i="4" a="1"/>
  <c r="O787" i="4" s="1"/>
  <c r="O788" i="4" a="1"/>
  <c r="O788" i="4" s="1"/>
  <c r="O793" i="4" a="1"/>
  <c r="O793" i="4" s="1"/>
  <c r="O786" i="4" a="1"/>
  <c r="O786" i="4" s="1"/>
  <c r="O790" i="4" a="1"/>
  <c r="O790" i="4" s="1"/>
  <c r="O789" i="4" a="1"/>
  <c r="O789" i="4" s="1"/>
  <c r="O791" i="4" a="1"/>
  <c r="O791" i="4" s="1"/>
  <c r="O794" i="4" a="1"/>
  <c r="O794" i="4" s="1"/>
  <c r="O797" i="4" a="1"/>
  <c r="O797" i="4" s="1"/>
  <c r="O798" i="4" a="1"/>
  <c r="O798" i="4" s="1"/>
  <c r="O800" i="4" a="1"/>
  <c r="O800" i="4" s="1"/>
  <c r="O799" i="4" a="1"/>
  <c r="O799" i="4" s="1"/>
  <c r="O801" i="4" a="1"/>
  <c r="O801" i="4" s="1"/>
  <c r="O796" i="4" a="1"/>
  <c r="O796" i="4" s="1"/>
  <c r="O795" i="4" a="1"/>
  <c r="O795" i="4" s="1"/>
  <c r="O802" i="4" a="1"/>
  <c r="O802" i="4" s="1"/>
  <c r="O808" i="4" a="1"/>
  <c r="O808" i="4" s="1"/>
  <c r="O805" i="4" a="1"/>
  <c r="O805" i="4" s="1"/>
  <c r="O809" i="4" a="1"/>
  <c r="O809" i="4" s="1"/>
  <c r="O804" i="4" a="1"/>
  <c r="O804" i="4" s="1"/>
  <c r="O812" i="4" a="1"/>
  <c r="O812" i="4" s="1"/>
  <c r="O811" i="4" a="1"/>
  <c r="O811" i="4" s="1"/>
  <c r="O803" i="4" a="1"/>
  <c r="O803" i="4" s="1"/>
  <c r="O806" i="4" a="1"/>
  <c r="O806" i="4" s="1"/>
  <c r="O813" i="4" a="1"/>
  <c r="O813" i="4" s="1"/>
  <c r="O807" i="4" a="1"/>
  <c r="O807" i="4" s="1"/>
  <c r="O815" i="4" a="1"/>
  <c r="O815" i="4" s="1"/>
  <c r="O820" i="4" a="1"/>
  <c r="O820" i="4" s="1"/>
  <c r="O816" i="4" a="1"/>
  <c r="O816" i="4" s="1"/>
  <c r="O818" i="4" a="1"/>
  <c r="O818" i="4" s="1"/>
  <c r="O817" i="4" a="1"/>
  <c r="O817" i="4" s="1"/>
  <c r="O821" i="4" a="1"/>
  <c r="O821" i="4" s="1"/>
  <c r="O825" i="4" a="1"/>
  <c r="O825" i="4" s="1"/>
  <c r="O824" i="4" a="1"/>
  <c r="O824" i="4" s="1"/>
  <c r="O823" i="4" a="1"/>
  <c r="O823" i="4" s="1"/>
  <c r="O830" i="4" a="1"/>
  <c r="O830" i="4" s="1"/>
  <c r="O828" i="4" a="1"/>
  <c r="O828" i="4" s="1"/>
  <c r="O829" i="4" a="1"/>
  <c r="O829" i="4" s="1"/>
  <c r="O827" i="4" a="1"/>
  <c r="O827" i="4" s="1"/>
  <c r="O826" i="4" a="1"/>
  <c r="O826" i="4" s="1"/>
  <c r="O833" i="4" a="1"/>
  <c r="O833" i="4" s="1"/>
  <c r="O832" i="4" a="1"/>
  <c r="O832" i="4" s="1"/>
  <c r="O836" i="4" a="1"/>
  <c r="O836" i="4" s="1"/>
  <c r="O831" i="4" a="1"/>
  <c r="O831" i="4" s="1"/>
  <c r="O835" i="4" a="1"/>
  <c r="O835" i="4" s="1"/>
  <c r="O834" i="4" a="1"/>
  <c r="O834" i="4" s="1"/>
  <c r="O838" i="4" a="1"/>
  <c r="O838" i="4" s="1"/>
  <c r="O839" i="4" a="1"/>
  <c r="O839" i="4" s="1"/>
  <c r="O840" i="4" a="1"/>
  <c r="O840" i="4" s="1"/>
  <c r="O837" i="4" a="1"/>
  <c r="O837" i="4" s="1"/>
  <c r="O843" i="4" a="1"/>
  <c r="O843" i="4" s="1"/>
  <c r="O842" i="4" a="1"/>
  <c r="O842" i="4" s="1"/>
  <c r="O841" i="4" a="1"/>
  <c r="O841" i="4" s="1"/>
  <c r="O845" i="4" a="1"/>
  <c r="O845" i="4" s="1"/>
  <c r="O844" i="4" a="1"/>
  <c r="O844" i="4" s="1"/>
  <c r="O850" i="4" a="1"/>
  <c r="O850" i="4" s="1"/>
  <c r="O848" i="4" a="1"/>
  <c r="O848" i="4" s="1"/>
  <c r="O853" i="4" a="1"/>
  <c r="O853" i="4" s="1"/>
  <c r="O851" i="4" a="1"/>
  <c r="O851" i="4" s="1"/>
  <c r="O854" i="4" a="1"/>
  <c r="O854" i="4" s="1"/>
  <c r="O859" i="4" a="1"/>
  <c r="O859" i="4" s="1"/>
  <c r="O860" i="4" a="1"/>
  <c r="O860" i="4" s="1"/>
  <c r="O855" i="4" a="1"/>
  <c r="O855" i="4" s="1"/>
  <c r="O856" i="4" a="1"/>
  <c r="O856" i="4" s="1"/>
  <c r="O861" i="4" a="1"/>
  <c r="O861" i="4" s="1"/>
  <c r="O858" i="4" a="1"/>
  <c r="O858" i="4" s="1"/>
  <c r="O863" i="4" a="1"/>
  <c r="O863" i="4" s="1"/>
  <c r="O864" i="4" a="1"/>
  <c r="O864" i="4" s="1"/>
  <c r="O866" i="4" a="1"/>
  <c r="O866" i="4" s="1"/>
  <c r="O868" i="4" a="1"/>
  <c r="O868" i="4" s="1"/>
  <c r="O869" i="4" a="1"/>
  <c r="O869" i="4" s="1"/>
  <c r="O871" i="4" a="1"/>
  <c r="O871" i="4" s="1"/>
  <c r="O872" i="4" a="1"/>
  <c r="O872" i="4" s="1"/>
  <c r="O875" i="4" a="1"/>
  <c r="O875" i="4" s="1"/>
  <c r="O876" i="4" a="1"/>
  <c r="O876" i="4" s="1"/>
  <c r="O878" i="4" a="1"/>
  <c r="O878" i="4" s="1"/>
  <c r="O882" i="4" a="1"/>
  <c r="O882" i="4" s="1"/>
  <c r="O881" i="4" a="1"/>
  <c r="O881" i="4" s="1"/>
  <c r="O880" i="4" a="1"/>
  <c r="O880" i="4" s="1"/>
  <c r="O879" i="4" a="1"/>
  <c r="O879" i="4" s="1"/>
  <c r="O886" i="4" a="1"/>
  <c r="O886" i="4" s="1"/>
  <c r="O887" i="4" a="1"/>
  <c r="O887" i="4" s="1"/>
  <c r="O884" i="4" a="1"/>
  <c r="O884" i="4" s="1"/>
  <c r="O885" i="4" a="1"/>
  <c r="O885" i="4" s="1"/>
  <c r="O891" i="4" a="1"/>
  <c r="O891" i="4" s="1"/>
  <c r="O890" i="4" a="1"/>
  <c r="O890" i="4" s="1"/>
  <c r="O888" i="4" a="1"/>
  <c r="O888" i="4" s="1"/>
  <c r="O892" i="4" a="1"/>
  <c r="O892" i="4" s="1"/>
  <c r="O889" i="4" a="1"/>
  <c r="O889" i="4" s="1"/>
  <c r="O893" i="4" a="1"/>
  <c r="O893" i="4" s="1"/>
  <c r="O895" i="4" a="1"/>
  <c r="O895" i="4" s="1"/>
  <c r="O898" i="4" a="1"/>
  <c r="O898" i="4" s="1"/>
  <c r="O903" i="4" a="1"/>
  <c r="O903" i="4" s="1"/>
  <c r="O905" i="4" a="1"/>
  <c r="O905" i="4" s="1"/>
  <c r="O906" i="4" a="1"/>
  <c r="O906" i="4" s="1"/>
  <c r="O910" i="4" a="1"/>
  <c r="O910" i="4" s="1"/>
  <c r="O909" i="4" a="1"/>
  <c r="O909" i="4" s="1"/>
  <c r="O908" i="4" a="1"/>
  <c r="O908" i="4" s="1"/>
  <c r="O907" i="4" a="1"/>
  <c r="O907" i="4" s="1"/>
  <c r="O911" i="4" a="1"/>
  <c r="O911" i="4" s="1"/>
  <c r="O914" i="4" a="1"/>
  <c r="O914" i="4" s="1"/>
  <c r="O912" i="4" a="1"/>
  <c r="O912" i="4" s="1"/>
  <c r="O917" i="4" a="1"/>
  <c r="O917" i="4" s="1"/>
  <c r="O918" i="4" a="1"/>
  <c r="O918" i="4" s="1"/>
  <c r="O919" i="4" a="1"/>
  <c r="O919" i="4" s="1"/>
  <c r="O924" i="4" a="1"/>
  <c r="O924" i="4" s="1"/>
  <c r="O922" i="4" a="1"/>
  <c r="O922" i="4" s="1"/>
  <c r="O921" i="4" a="1"/>
  <c r="O921" i="4" s="1"/>
  <c r="O920" i="4" a="1"/>
  <c r="O920" i="4" s="1"/>
  <c r="O923" i="4" a="1"/>
  <c r="O923" i="4" s="1"/>
  <c r="O927" i="4" a="1"/>
  <c r="O927" i="4" s="1"/>
  <c r="O928" i="4" a="1"/>
  <c r="O928" i="4" s="1"/>
  <c r="O926" i="4" a="1"/>
  <c r="O926" i="4" s="1"/>
  <c r="O931" i="4" a="1"/>
  <c r="O931" i="4" s="1"/>
  <c r="O929" i="4" a="1"/>
  <c r="O929" i="4" s="1"/>
  <c r="O930" i="4" a="1"/>
  <c r="O930" i="4" s="1"/>
  <c r="O932" i="4" a="1"/>
  <c r="O932" i="4" s="1"/>
  <c r="O933" i="4" a="1"/>
  <c r="O933" i="4" s="1"/>
  <c r="O937" i="4" a="1"/>
  <c r="O937" i="4" s="1"/>
  <c r="O934" i="4" a="1"/>
  <c r="O934" i="4" s="1"/>
  <c r="O935" i="4" a="1"/>
  <c r="O935" i="4" s="1"/>
  <c r="O936" i="4" a="1"/>
  <c r="O936" i="4" s="1"/>
  <c r="O939" i="4" a="1"/>
  <c r="O939" i="4" s="1"/>
  <c r="O940" i="4" a="1"/>
  <c r="O940" i="4" s="1"/>
  <c r="O942" i="4" a="1"/>
  <c r="O942" i="4" s="1"/>
  <c r="O938" i="4" a="1"/>
  <c r="O938" i="4" s="1"/>
  <c r="O941" i="4" a="1"/>
  <c r="O941" i="4" s="1"/>
  <c r="O943" i="4" a="1"/>
  <c r="O943" i="4" s="1"/>
  <c r="O944" i="4" a="1"/>
  <c r="O944" i="4" s="1"/>
  <c r="O948" i="4" a="1"/>
  <c r="O948" i="4" s="1"/>
  <c r="O947" i="4" a="1"/>
  <c r="O947" i="4" s="1"/>
  <c r="O949" i="4" a="1"/>
  <c r="O949" i="4" s="1"/>
  <c r="O950" i="4" a="1"/>
  <c r="O950" i="4" s="1"/>
  <c r="O953" i="4" a="1"/>
  <c r="O953" i="4" s="1"/>
  <c r="O952" i="4" a="1"/>
  <c r="O952" i="4" s="1"/>
  <c r="O951" i="4" a="1"/>
  <c r="O951" i="4" s="1"/>
  <c r="O955" i="4" a="1"/>
  <c r="O955" i="4" s="1"/>
  <c r="O956" i="4" a="1"/>
  <c r="O956" i="4" s="1"/>
  <c r="O959" i="4" a="1"/>
  <c r="O959" i="4" s="1"/>
  <c r="O960" i="4" a="1"/>
  <c r="O960" i="4" s="1"/>
  <c r="O961" i="4" a="1"/>
  <c r="O961" i="4" s="1"/>
  <c r="O962" i="4" a="1"/>
  <c r="O962" i="4" s="1"/>
  <c r="O965" i="4" a="1"/>
  <c r="O965" i="4" s="1"/>
  <c r="O969" i="4" a="1"/>
  <c r="O969" i="4" s="1"/>
  <c r="O964" i="4" a="1"/>
  <c r="O964" i="4" s="1"/>
  <c r="O972" i="4" a="1"/>
  <c r="O972" i="4" s="1"/>
  <c r="O973" i="4" a="1"/>
  <c r="O973" i="4" s="1"/>
  <c r="O977" i="4" a="1"/>
  <c r="O977" i="4" s="1"/>
  <c r="O974" i="4" a="1"/>
  <c r="O974" i="4" s="1"/>
  <c r="O975" i="4" a="1"/>
  <c r="O975" i="4" s="1"/>
  <c r="O976" i="4" a="1"/>
  <c r="O976" i="4" s="1"/>
  <c r="O978" i="4" a="1"/>
  <c r="O978" i="4" s="1"/>
  <c r="O979" i="4" a="1"/>
  <c r="O979" i="4" s="1"/>
  <c r="O981" i="4" a="1"/>
  <c r="O981" i="4" s="1"/>
  <c r="O982" i="4" a="1"/>
  <c r="O982" i="4" s="1"/>
  <c r="O983" i="4" a="1"/>
  <c r="O983" i="4" s="1"/>
  <c r="O984" i="4" a="1"/>
  <c r="O984" i="4" s="1"/>
  <c r="O988" i="4" a="1"/>
  <c r="O988" i="4" s="1"/>
  <c r="O986" i="4" a="1"/>
  <c r="O986" i="4" s="1"/>
  <c r="O987" i="4" a="1"/>
  <c r="O987" i="4" s="1"/>
  <c r="O989" i="4" a="1"/>
  <c r="O989" i="4" s="1"/>
  <c r="O991" i="4" a="1"/>
  <c r="O991" i="4" s="1"/>
  <c r="O992" i="4" a="1"/>
  <c r="O992" i="4" s="1"/>
  <c r="O994" i="4" a="1"/>
  <c r="O994" i="4" s="1"/>
  <c r="O996" i="4" a="1"/>
  <c r="O996" i="4" s="1"/>
  <c r="O998" i="4" a="1"/>
  <c r="O998" i="4" s="1"/>
  <c r="O999" i="4" a="1"/>
  <c r="O999" i="4" s="1"/>
  <c r="O997" i="4" a="1"/>
  <c r="O997" i="4" s="1"/>
  <c r="O1001" i="4" a="1"/>
  <c r="O1001" i="4" s="1"/>
  <c r="O1003" i="4" a="1"/>
  <c r="O1003" i="4" s="1"/>
  <c r="O1007" i="4" a="1"/>
  <c r="O1007" i="4" s="1"/>
  <c r="O1005" i="4" a="1"/>
  <c r="O1005" i="4" s="1"/>
  <c r="O1008" i="4" a="1"/>
  <c r="O1008" i="4" s="1"/>
  <c r="O1012" i="4" a="1"/>
  <c r="O1012" i="4" s="1"/>
  <c r="O1013" i="4" a="1"/>
  <c r="O1013" i="4" s="1"/>
  <c r="O1015" i="4" a="1"/>
  <c r="O1015" i="4" s="1"/>
  <c r="O1016" i="4" a="1"/>
  <c r="O1016" i="4" s="1"/>
  <c r="O1014" i="4" a="1"/>
  <c r="O1014" i="4" s="1"/>
  <c r="O1018" i="4" a="1"/>
  <c r="O1018" i="4" s="1"/>
  <c r="O1019" i="4" a="1"/>
  <c r="O1019" i="4" s="1"/>
  <c r="O1020" i="4" a="1"/>
  <c r="O1020" i="4" s="1"/>
  <c r="O1021" i="4" a="1"/>
  <c r="O1021" i="4" s="1"/>
  <c r="O1023" i="4" a="1"/>
  <c r="O1023" i="4" s="1"/>
  <c r="O1022" i="4" a="1"/>
  <c r="O1022" i="4" s="1"/>
  <c r="O1024" i="4" a="1"/>
  <c r="O1024" i="4" s="1"/>
  <c r="O1029" i="4" a="1"/>
  <c r="O1029" i="4" s="1"/>
  <c r="O1030" i="4" a="1"/>
  <c r="O1030" i="4" s="1"/>
  <c r="O1028" i="4" a="1"/>
  <c r="O1028" i="4" s="1"/>
  <c r="O1026" i="4" a="1"/>
  <c r="O1026" i="4" s="1"/>
  <c r="O1027" i="4" a="1"/>
  <c r="O1027" i="4" s="1"/>
  <c r="O1025" i="4" a="1"/>
  <c r="O1025" i="4" s="1"/>
  <c r="O1033" i="4" a="1"/>
  <c r="O1033" i="4" s="1"/>
  <c r="O1032" i="4" a="1"/>
  <c r="O1032" i="4" s="1"/>
  <c r="O1031" i="4" a="1"/>
  <c r="O1031" i="4" s="1"/>
  <c r="O1035" i="4" a="1"/>
  <c r="O1035" i="4" s="1"/>
  <c r="O1034" i="4" a="1"/>
  <c r="O1034" i="4" s="1"/>
  <c r="O1040" i="4" a="1"/>
  <c r="O1040" i="4" s="1"/>
  <c r="O1039" i="4" a="1"/>
  <c r="O1039" i="4" s="1"/>
  <c r="O1038" i="4" a="1"/>
  <c r="O1038" i="4" s="1"/>
  <c r="O1037" i="4" a="1"/>
  <c r="O1037" i="4" s="1"/>
  <c r="O1041" i="4" a="1"/>
  <c r="O1041" i="4" s="1"/>
  <c r="O1042" i="4" a="1"/>
  <c r="O1042" i="4" s="1"/>
  <c r="O1043" i="4" a="1"/>
  <c r="O1043" i="4" s="1"/>
  <c r="O1044" i="4" a="1"/>
  <c r="O1044" i="4" s="1"/>
  <c r="O1047" i="4" a="1"/>
  <c r="O1047" i="4" s="1"/>
  <c r="O1046" i="4" a="1"/>
  <c r="O1046" i="4" s="1"/>
  <c r="O1045" i="4" a="1"/>
  <c r="O1045" i="4" s="1"/>
  <c r="O1050" i="4" a="1"/>
  <c r="O1050" i="4" s="1"/>
  <c r="O1053" i="4" a="1"/>
  <c r="O1053" i="4" s="1"/>
  <c r="O1052" i="4" a="1"/>
  <c r="O1052" i="4" s="1"/>
  <c r="O1054" i="4" a="1"/>
  <c r="O1054" i="4" s="1"/>
  <c r="O1055" i="4" a="1"/>
  <c r="O1055" i="4" s="1"/>
  <c r="O1057" i="4" a="1"/>
  <c r="O1057" i="4" s="1"/>
  <c r="O1056" i="4" a="1"/>
  <c r="O1056" i="4" s="1"/>
  <c r="O1060" i="4" a="1"/>
  <c r="O1060" i="4" s="1"/>
  <c r="O1062" i="4" a="1"/>
  <c r="O1062" i="4" s="1"/>
  <c r="O1064" i="4" a="1"/>
  <c r="O1064" i="4" s="1"/>
  <c r="O1063" i="4" a="1"/>
  <c r="O1063" i="4" s="1"/>
  <c r="O1065" i="4" a="1"/>
  <c r="O1065" i="4" s="1"/>
  <c r="O1066" i="4" a="1"/>
  <c r="O1066" i="4" s="1"/>
  <c r="O1067" i="4" a="1"/>
  <c r="O1067" i="4" s="1"/>
  <c r="O1068" i="4" a="1"/>
  <c r="O1068" i="4" s="1"/>
  <c r="O1069" i="4" a="1"/>
  <c r="O1069" i="4" s="1"/>
  <c r="O1071" i="4" a="1"/>
  <c r="O1071" i="4" s="1"/>
  <c r="O1070" i="4" a="1"/>
  <c r="O1070" i="4" s="1"/>
  <c r="O1072" i="4" a="1"/>
  <c r="O1072" i="4" s="1"/>
  <c r="O1073" i="4" a="1"/>
  <c r="O1073" i="4" s="1"/>
  <c r="O1074" i="4" a="1"/>
  <c r="O1074" i="4" s="1"/>
  <c r="O1080" i="4" a="1"/>
  <c r="O1080" i="4" s="1"/>
  <c r="O1076" i="4" a="1"/>
  <c r="O1076" i="4" s="1"/>
  <c r="O1078" i="4" a="1"/>
  <c r="O1078" i="4" s="1"/>
  <c r="O1075" i="4" a="1"/>
  <c r="O1075" i="4" s="1"/>
  <c r="O1082" i="4" a="1"/>
  <c r="O1082" i="4" s="1"/>
  <c r="O1083" i="4" a="1"/>
  <c r="O1083" i="4" s="1"/>
  <c r="O1084" i="4" a="1"/>
  <c r="O1084" i="4" s="1"/>
  <c r="O1086" i="4" a="1"/>
  <c r="O1086" i="4" s="1"/>
  <c r="O1085" i="4" a="1"/>
  <c r="O1085" i="4" s="1"/>
  <c r="O1087" i="4" a="1"/>
  <c r="O1087" i="4" s="1"/>
  <c r="O1088" i="4" a="1"/>
  <c r="O1088" i="4" s="1"/>
  <c r="O1090" i="4" a="1"/>
  <c r="O1090" i="4" s="1"/>
  <c r="O1092" i="4" a="1"/>
  <c r="O1092" i="4" s="1"/>
  <c r="O1093" i="4" a="1"/>
  <c r="O1093" i="4" s="1"/>
  <c r="O1091" i="4" a="1"/>
  <c r="O1091" i="4" s="1"/>
  <c r="O1094" i="4" a="1"/>
  <c r="O1094" i="4" s="1"/>
  <c r="O1095" i="4" a="1"/>
  <c r="O1095" i="4" s="1"/>
  <c r="O1096" i="4" a="1"/>
  <c r="O1096" i="4" s="1"/>
  <c r="O1098" i="4" a="1"/>
  <c r="O1098" i="4" s="1"/>
  <c r="O1100" i="4" a="1"/>
  <c r="O1100" i="4" s="1"/>
  <c r="O1099" i="4" a="1"/>
  <c r="O1099" i="4" s="1"/>
  <c r="O1097" i="4" a="1"/>
  <c r="O1097" i="4" s="1"/>
  <c r="O1101" i="4" a="1"/>
  <c r="O1101" i="4" s="1"/>
  <c r="O1103" i="4" a="1"/>
  <c r="O1103" i="4" s="1"/>
  <c r="O1102" i="4" a="1"/>
  <c r="O1102" i="4" s="1"/>
  <c r="O1106" i="4" a="1"/>
  <c r="O1106" i="4" s="1"/>
  <c r="O1107" i="4" a="1"/>
  <c r="O1107" i="4" s="1"/>
  <c r="O1108" i="4" a="1"/>
  <c r="O1108" i="4" s="1"/>
  <c r="O1111" i="4" a="1"/>
  <c r="O1111" i="4" s="1"/>
  <c r="O1110" i="4" a="1"/>
  <c r="O1110" i="4" s="1"/>
  <c r="O1114" i="4" a="1"/>
  <c r="O1114" i="4" s="1"/>
  <c r="O1116" i="4" a="1"/>
  <c r="O1116" i="4" s="1"/>
  <c r="O1112" i="4" a="1"/>
  <c r="O1112" i="4" s="1"/>
  <c r="O1113" i="4" a="1"/>
  <c r="O1113" i="4" s="1"/>
  <c r="O1115" i="4" a="1"/>
  <c r="O1115" i="4" s="1"/>
  <c r="O1117" i="4" a="1"/>
  <c r="O1117" i="4" s="1"/>
  <c r="O1118" i="4" a="1"/>
  <c r="O1118" i="4" s="1"/>
  <c r="O1119" i="4" a="1"/>
  <c r="O1119" i="4" s="1"/>
  <c r="O1122" i="4" a="1"/>
  <c r="O1122" i="4" s="1"/>
  <c r="O1121" i="4" a="1"/>
  <c r="O1121" i="4" s="1"/>
  <c r="O1124" i="4" a="1"/>
  <c r="O1124" i="4" s="1"/>
  <c r="O1125" i="4" a="1"/>
  <c r="O1125" i="4" s="1"/>
  <c r="O1126" i="4" a="1"/>
  <c r="O1126" i="4" s="1"/>
  <c r="O1127" i="4" a="1"/>
  <c r="O1127" i="4" s="1"/>
  <c r="O1129" i="4" a="1"/>
  <c r="O1129" i="4" s="1"/>
  <c r="O1130" i="4" a="1"/>
  <c r="O1130" i="4" s="1"/>
  <c r="O1134" i="4" a="1"/>
  <c r="O1134" i="4" s="1"/>
  <c r="O1136" i="4" a="1"/>
  <c r="O1136" i="4" s="1"/>
  <c r="O1135" i="4" a="1"/>
  <c r="O1135" i="4" s="1"/>
  <c r="O1133" i="4" a="1"/>
  <c r="O1133" i="4" s="1"/>
  <c r="O1141" i="4" a="1"/>
  <c r="O1141" i="4" s="1"/>
  <c r="O1137" i="4" a="1"/>
  <c r="O1137" i="4" s="1"/>
  <c r="O1138" i="4" a="1"/>
  <c r="O1138" i="4" s="1"/>
  <c r="O1140" i="4" a="1"/>
  <c r="O1140" i="4" s="1"/>
  <c r="O1139" i="4" a="1"/>
  <c r="O1139" i="4" s="1"/>
  <c r="O1142" i="4" a="1"/>
  <c r="O1142" i="4" s="1"/>
  <c r="O1144" i="4" a="1"/>
  <c r="O1144" i="4" s="1"/>
  <c r="O1145" i="4" a="1"/>
  <c r="O1145" i="4" s="1"/>
  <c r="O1146" i="4" a="1"/>
  <c r="O1146" i="4" s="1"/>
  <c r="O1153" i="4" a="1"/>
  <c r="O1153" i="4" s="1"/>
  <c r="O1155" i="4" a="1"/>
  <c r="O1155" i="4" s="1"/>
  <c r="O1156" i="4" a="1"/>
  <c r="O1156" i="4" s="1"/>
  <c r="O1157" i="4" a="1"/>
  <c r="O1157" i="4" s="1"/>
  <c r="O1159" i="4" a="1"/>
  <c r="O1159" i="4" s="1"/>
  <c r="O1160" i="4" a="1"/>
  <c r="O1160" i="4" s="1"/>
  <c r="O1161" i="4" a="1"/>
  <c r="O1161" i="4" s="1"/>
  <c r="O1158" i="4" a="1"/>
  <c r="O1158" i="4" s="1"/>
  <c r="O1162" i="4" a="1"/>
  <c r="O1162" i="4" s="1"/>
  <c r="O1164" i="4" a="1"/>
  <c r="O1164" i="4" s="1"/>
  <c r="O1163" i="4" a="1"/>
  <c r="O1163" i="4" s="1"/>
  <c r="O1170" i="4" a="1"/>
  <c r="O1170" i="4" s="1"/>
  <c r="O1169" i="4" a="1"/>
  <c r="O1169" i="4" s="1"/>
  <c r="O1165" i="4" a="1"/>
  <c r="O1165" i="4" s="1"/>
  <c r="O1171" i="4" a="1"/>
  <c r="O1171" i="4" s="1"/>
  <c r="O1167" i="4" a="1"/>
  <c r="O1167" i="4" s="1"/>
  <c r="O1173" i="4" a="1"/>
  <c r="O1173" i="4" s="1"/>
  <c r="O1172" i="4" a="1"/>
  <c r="O1172" i="4" s="1"/>
  <c r="O1180" i="4" a="1"/>
  <c r="O1180" i="4" s="1"/>
  <c r="O1177" i="4" a="1"/>
  <c r="O1177" i="4" s="1"/>
  <c r="O1176" i="4" a="1"/>
  <c r="O1176" i="4" s="1"/>
  <c r="O1175" i="4" a="1"/>
  <c r="O1175" i="4" s="1"/>
  <c r="O1181" i="4" a="1"/>
  <c r="O1181" i="4" s="1"/>
  <c r="O1178" i="4" a="1"/>
  <c r="O1178" i="4" s="1"/>
  <c r="O1182" i="4" a="1"/>
  <c r="O1182" i="4" s="1"/>
  <c r="O1183" i="4" a="1"/>
  <c r="O1183" i="4" s="1"/>
  <c r="O1185" i="4" a="1"/>
  <c r="O1185" i="4" s="1"/>
  <c r="O1187" i="4" a="1"/>
  <c r="O1187" i="4" s="1"/>
  <c r="O1190" i="4" a="1"/>
  <c r="O1190" i="4" s="1"/>
  <c r="O1191" i="4" a="1"/>
  <c r="O1191" i="4" s="1"/>
  <c r="O1188" i="4" a="1"/>
  <c r="O1188" i="4" s="1"/>
  <c r="O1189" i="4" a="1"/>
  <c r="O1189" i="4" s="1"/>
  <c r="O1192" i="4" a="1"/>
  <c r="O1192" i="4" s="1"/>
  <c r="O1193" i="4" a="1"/>
  <c r="O1193" i="4" s="1"/>
  <c r="O1194" i="4" a="1"/>
  <c r="O1194" i="4" s="1"/>
  <c r="O1196" i="4" a="1"/>
  <c r="O1196" i="4" s="1"/>
  <c r="O1198" i="4" a="1"/>
  <c r="O1198" i="4" s="1"/>
  <c r="O1200" i="4" a="1"/>
  <c r="O1200" i="4" s="1"/>
  <c r="O1202" i="4" a="1"/>
  <c r="O1202" i="4" s="1"/>
  <c r="O1207" i="4" a="1"/>
  <c r="O1207" i="4" s="1"/>
  <c r="O1208" i="4" a="1"/>
  <c r="O1208" i="4" s="1"/>
  <c r="O1204" i="4" a="1"/>
  <c r="O1204" i="4" s="1"/>
  <c r="O1205" i="4" a="1"/>
  <c r="O1205" i="4" s="1"/>
  <c r="O1206" i="4" a="1"/>
  <c r="O1206" i="4" s="1"/>
  <c r="O1209" i="4" a="1"/>
  <c r="O1209" i="4" s="1"/>
  <c r="O1211" i="4" a="1"/>
  <c r="O1211" i="4" s="1"/>
  <c r="O1214" i="4" a="1"/>
  <c r="O1214" i="4" s="1"/>
  <c r="O1212" i="4" a="1"/>
  <c r="O1212" i="4" s="1"/>
  <c r="O1210" i="4" a="1"/>
  <c r="O1210" i="4" s="1"/>
  <c r="O1215" i="4" a="1"/>
  <c r="O1215" i="4" s="1"/>
  <c r="O1219" i="4" a="1"/>
  <c r="O1219" i="4" s="1"/>
  <c r="O1217" i="4" a="1"/>
  <c r="O1217" i="4" s="1"/>
  <c r="O1222" i="4" a="1"/>
  <c r="O1222" i="4" s="1"/>
  <c r="O1223" i="4" a="1"/>
  <c r="O1223" i="4" s="1"/>
  <c r="O1230" i="4" a="1"/>
  <c r="O1230" i="4" s="1"/>
  <c r="O1228" i="4" a="1"/>
  <c r="O1228" i="4" s="1"/>
  <c r="O1231" i="4" a="1"/>
  <c r="O1231" i="4" s="1"/>
  <c r="O1227" i="4" a="1"/>
  <c r="O1227" i="4" s="1"/>
  <c r="O1232" i="4" a="1"/>
  <c r="O1232" i="4" s="1"/>
  <c r="O1229" i="4" a="1"/>
  <c r="O1229" i="4" s="1"/>
  <c r="O1233" i="4" a="1"/>
  <c r="O1233" i="4" s="1"/>
  <c r="O1237" i="4" a="1"/>
  <c r="O1237" i="4" s="1"/>
  <c r="O1236" i="4" a="1"/>
  <c r="O1236" i="4" s="1"/>
  <c r="O1234" i="4" a="1"/>
  <c r="O1234" i="4" s="1"/>
  <c r="O1235" i="4" a="1"/>
  <c r="O1235" i="4" s="1"/>
  <c r="O1240" i="4" a="1"/>
  <c r="O1240" i="4" s="1"/>
  <c r="O1242" i="4" a="1"/>
  <c r="O1242" i="4" s="1"/>
  <c r="O1252" i="4" a="1"/>
  <c r="O1252" i="4" s="1"/>
  <c r="O1253" i="4" a="1"/>
  <c r="O1253" i="4" s="1"/>
  <c r="O1254" i="4" a="1"/>
  <c r="O1254" i="4" s="1"/>
  <c r="O1261" i="4" a="1"/>
  <c r="O1261" i="4" s="1"/>
  <c r="O1259" i="4" a="1"/>
  <c r="O1259" i="4" s="1"/>
  <c r="O1257" i="4" a="1"/>
  <c r="O1257" i="4" s="1"/>
  <c r="O1262" i="4" a="1"/>
  <c r="O1262" i="4" s="1"/>
  <c r="O1263" i="4" a="1"/>
  <c r="O1263" i="4" s="1"/>
  <c r="O1264" i="4" a="1"/>
  <c r="O1264" i="4" s="1"/>
  <c r="O1265" i="4" a="1"/>
  <c r="O1265" i="4" s="1"/>
  <c r="O1266" i="4" a="1"/>
  <c r="O1266" i="4" s="1"/>
  <c r="O1270" i="4" a="1"/>
  <c r="O1270" i="4" s="1"/>
  <c r="O1272" i="4" a="1"/>
  <c r="O1272" i="4" s="1"/>
  <c r="O1271" i="4" a="1"/>
  <c r="O1271" i="4" s="1"/>
  <c r="O1276" i="4" a="1"/>
  <c r="O1276" i="4" s="1"/>
  <c r="O1274" i="4" a="1"/>
  <c r="O1274" i="4" s="1"/>
  <c r="O1282" i="4" a="1"/>
  <c r="O1282" i="4" s="1"/>
  <c r="O1279" i="4" a="1"/>
  <c r="O1279" i="4" s="1"/>
  <c r="O1285" i="4" a="1"/>
  <c r="O1285" i="4" s="1"/>
  <c r="Q634" i="4"/>
  <c r="T634" i="4" s="1"/>
  <c r="Q636" i="4"/>
  <c r="T636" i="4" s="1"/>
  <c r="Q637" i="4"/>
  <c r="T637" i="4" s="1"/>
  <c r="Q638" i="4"/>
  <c r="T638" i="4" s="1"/>
  <c r="Q635" i="4"/>
  <c r="T635" i="4" s="1"/>
  <c r="Q639" i="4"/>
  <c r="T639" i="4" s="1"/>
  <c r="Q641" i="4"/>
  <c r="T641" i="4" s="1"/>
  <c r="Q642" i="4"/>
  <c r="T642" i="4" s="1"/>
  <c r="Q643" i="4"/>
  <c r="T643" i="4" s="1"/>
  <c r="Q644" i="4"/>
  <c r="T644" i="4" s="1"/>
  <c r="Q647" i="4"/>
  <c r="T647" i="4" s="1"/>
  <c r="Q654" i="4"/>
  <c r="T654" i="4" s="1"/>
  <c r="Q651" i="4"/>
  <c r="T651" i="4" s="1"/>
  <c r="Q653" i="4"/>
  <c r="T653" i="4" s="1"/>
  <c r="Q655" i="4"/>
  <c r="T655" i="4" s="1"/>
  <c r="Q656" i="4"/>
  <c r="T656" i="4" s="1"/>
  <c r="Q652" i="4"/>
  <c r="T652" i="4" s="1"/>
  <c r="Q648" i="4"/>
  <c r="T648" i="4" s="1"/>
  <c r="Q650" i="4"/>
  <c r="T650" i="4" s="1"/>
  <c r="Q649" i="4"/>
  <c r="T649" i="4" s="1"/>
  <c r="Q660" i="4"/>
  <c r="T660" i="4" s="1"/>
  <c r="Q657" i="4"/>
  <c r="T657" i="4" s="1"/>
  <c r="Q662" i="4"/>
  <c r="T662" i="4" s="1"/>
  <c r="Q658" i="4"/>
  <c r="T658" i="4" s="1"/>
  <c r="Q661" i="4"/>
  <c r="T661" i="4" s="1"/>
  <c r="Q659" i="4"/>
  <c r="T659" i="4" s="1"/>
  <c r="Q664" i="4"/>
  <c r="T664" i="4" s="1"/>
  <c r="Q663" i="4"/>
  <c r="T663" i="4" s="1"/>
  <c r="Q666" i="4"/>
  <c r="T666" i="4" s="1"/>
  <c r="Q668" i="4"/>
  <c r="T668" i="4" s="1"/>
  <c r="Q665" i="4"/>
  <c r="T665" i="4" s="1"/>
  <c r="Q667" i="4"/>
  <c r="T667" i="4" s="1"/>
  <c r="Q671" i="4"/>
  <c r="T671" i="4" s="1"/>
  <c r="Q670" i="4"/>
  <c r="T670" i="4" s="1"/>
  <c r="Q669" i="4"/>
  <c r="T669" i="4" s="1"/>
  <c r="Q672" i="4"/>
  <c r="T672" i="4" s="1"/>
  <c r="Q673" i="4"/>
  <c r="T673" i="4" s="1"/>
  <c r="Q674" i="4"/>
  <c r="T674" i="4" s="1"/>
  <c r="Q675" i="4"/>
  <c r="T675" i="4" s="1"/>
  <c r="Q677" i="4"/>
  <c r="T677" i="4" s="1"/>
  <c r="Q679" i="4"/>
  <c r="T679" i="4" s="1"/>
  <c r="Q683" i="4"/>
  <c r="T683" i="4" s="1"/>
  <c r="Q682" i="4"/>
  <c r="T682" i="4" s="1"/>
  <c r="Q681" i="4"/>
  <c r="T681" i="4" s="1"/>
  <c r="Q684" i="4"/>
  <c r="T684" i="4" s="1"/>
  <c r="Q686" i="4"/>
  <c r="T686" i="4" s="1"/>
  <c r="Q685" i="4"/>
  <c r="T685" i="4" s="1"/>
  <c r="Q687" i="4"/>
  <c r="T687" i="4" s="1"/>
  <c r="Q689" i="4"/>
  <c r="T689" i="4" s="1"/>
  <c r="Q690" i="4"/>
  <c r="T690" i="4" s="1"/>
  <c r="Q696" i="4"/>
  <c r="T696" i="4" s="1"/>
  <c r="Q693" i="4"/>
  <c r="T693" i="4" s="1"/>
  <c r="Q694" i="4"/>
  <c r="T694" i="4" s="1"/>
  <c r="Q698" i="4"/>
  <c r="T698" i="4" s="1"/>
  <c r="Q702" i="4"/>
  <c r="T702" i="4" s="1"/>
  <c r="Q701" i="4"/>
  <c r="T701" i="4" s="1"/>
  <c r="Q705" i="4"/>
  <c r="T705" i="4" s="1"/>
  <c r="Q706" i="4"/>
  <c r="T706" i="4" s="1"/>
  <c r="Q700" i="4"/>
  <c r="T700" i="4" s="1"/>
  <c r="Q703" i="4"/>
  <c r="T703" i="4" s="1"/>
  <c r="Q710" i="4"/>
  <c r="T710" i="4" s="1"/>
  <c r="Q709" i="4"/>
  <c r="T709" i="4" s="1"/>
  <c r="Q708" i="4"/>
  <c r="T708" i="4" s="1"/>
  <c r="Q713" i="4"/>
  <c r="T713" i="4" s="1"/>
  <c r="Q711" i="4"/>
  <c r="T711" i="4" s="1"/>
  <c r="Q712" i="4"/>
  <c r="T712" i="4" s="1"/>
  <c r="Q714" i="4"/>
  <c r="T714" i="4" s="1"/>
  <c r="Q720" i="4"/>
  <c r="T720" i="4" s="1"/>
  <c r="Q721" i="4"/>
  <c r="T721" i="4" s="1"/>
  <c r="Q722" i="4"/>
  <c r="T722" i="4" s="1"/>
  <c r="Q715" i="4"/>
  <c r="T715" i="4" s="1"/>
  <c r="Q724" i="4"/>
  <c r="T724" i="4" s="1"/>
  <c r="Q723" i="4"/>
  <c r="T723" i="4" s="1"/>
  <c r="Q719" i="4"/>
  <c r="T719" i="4" s="1"/>
  <c r="Q718" i="4"/>
  <c r="T718" i="4" s="1"/>
  <c r="Q717" i="4"/>
  <c r="T717" i="4" s="1"/>
  <c r="Q716" i="4"/>
  <c r="T716" i="4" s="1"/>
  <c r="Q735" i="4"/>
  <c r="T735" i="4" s="1"/>
  <c r="Q736" i="4"/>
  <c r="T736" i="4" s="1"/>
  <c r="Q733" i="4"/>
  <c r="T733" i="4" s="1"/>
  <c r="Q727" i="4"/>
  <c r="T727" i="4" s="1"/>
  <c r="Q730" i="4"/>
  <c r="T730" i="4" s="1"/>
  <c r="Q729" i="4"/>
  <c r="T729" i="4" s="1"/>
  <c r="Q728" i="4"/>
  <c r="T728" i="4" s="1"/>
  <c r="Q725" i="4"/>
  <c r="T725" i="4" s="1"/>
  <c r="Q726" i="4"/>
  <c r="T726" i="4" s="1"/>
  <c r="Q731" i="4"/>
  <c r="T731" i="4" s="1"/>
  <c r="Q734" i="4"/>
  <c r="T734" i="4" s="1"/>
  <c r="Q741" i="4"/>
  <c r="T741" i="4" s="1"/>
  <c r="Q739" i="4"/>
  <c r="T739" i="4" s="1"/>
  <c r="Q745" i="4"/>
  <c r="T745" i="4" s="1"/>
  <c r="Q748" i="4"/>
  <c r="T748" i="4" s="1"/>
  <c r="Q746" i="4"/>
  <c r="T746" i="4" s="1"/>
  <c r="Q753" i="4"/>
  <c r="T753" i="4" s="1"/>
  <c r="Q750" i="4"/>
  <c r="T750" i="4" s="1"/>
  <c r="Q752" i="4"/>
  <c r="T752" i="4" s="1"/>
  <c r="Q749" i="4"/>
  <c r="T749" i="4" s="1"/>
  <c r="Q754" i="4"/>
  <c r="T754" i="4" s="1"/>
  <c r="Q755" i="4"/>
  <c r="T755" i="4" s="1"/>
  <c r="Q758" i="4"/>
  <c r="T758" i="4" s="1"/>
  <c r="Q760" i="4"/>
  <c r="T760" i="4" s="1"/>
  <c r="Q757" i="4"/>
  <c r="T757" i="4" s="1"/>
  <c r="Q759" i="4"/>
  <c r="T759" i="4" s="1"/>
  <c r="Q756" i="4"/>
  <c r="T756" i="4" s="1"/>
  <c r="Q762" i="4"/>
  <c r="T762" i="4" s="1"/>
  <c r="Q766" i="4"/>
  <c r="T766" i="4" s="1"/>
  <c r="Q763" i="4"/>
  <c r="T763" i="4" s="1"/>
  <c r="Q764" i="4"/>
  <c r="T764" i="4" s="1"/>
  <c r="Q765" i="4"/>
  <c r="T765" i="4" s="1"/>
  <c r="Q767" i="4"/>
  <c r="T767" i="4" s="1"/>
  <c r="Q768" i="4"/>
  <c r="T768" i="4" s="1"/>
  <c r="Q770" i="4"/>
  <c r="T770" i="4" s="1"/>
  <c r="Q769" i="4"/>
  <c r="T769" i="4" s="1"/>
  <c r="Q772" i="4"/>
  <c r="T772" i="4" s="1"/>
  <c r="Q784" i="4"/>
  <c r="T784" i="4" s="1"/>
  <c r="Q782" i="4"/>
  <c r="T782" i="4" s="1"/>
  <c r="Q781" i="4"/>
  <c r="T781" i="4" s="1"/>
  <c r="Q779" i="4"/>
  <c r="T779" i="4" s="1"/>
  <c r="Q785" i="4"/>
  <c r="T785" i="4" s="1"/>
  <c r="Q792" i="4"/>
  <c r="T792" i="4" s="1"/>
  <c r="Q787" i="4"/>
  <c r="T787" i="4" s="1"/>
  <c r="Q788" i="4"/>
  <c r="T788" i="4" s="1"/>
  <c r="Q793" i="4"/>
  <c r="T793" i="4" s="1"/>
  <c r="Q786" i="4"/>
  <c r="T786" i="4" s="1"/>
  <c r="Q790" i="4"/>
  <c r="T790" i="4" s="1"/>
  <c r="Q789" i="4"/>
  <c r="T789" i="4" s="1"/>
  <c r="Q791" i="4"/>
  <c r="T791" i="4" s="1"/>
  <c r="Q794" i="4"/>
  <c r="T794" i="4" s="1"/>
  <c r="Q797" i="4"/>
  <c r="T797" i="4" s="1"/>
  <c r="Q798" i="4"/>
  <c r="T798" i="4" s="1"/>
  <c r="Q800" i="4"/>
  <c r="T800" i="4" s="1"/>
  <c r="Q799" i="4"/>
  <c r="T799" i="4" s="1"/>
  <c r="Q801" i="4"/>
  <c r="T801" i="4" s="1"/>
  <c r="Q796" i="4"/>
  <c r="T796" i="4" s="1"/>
  <c r="Q795" i="4"/>
  <c r="T795" i="4" s="1"/>
  <c r="Q802" i="4"/>
  <c r="T802" i="4" s="1"/>
  <c r="Q808" i="4"/>
  <c r="T808" i="4" s="1"/>
  <c r="Q805" i="4"/>
  <c r="T805" i="4" s="1"/>
  <c r="Q809" i="4"/>
  <c r="T809" i="4" s="1"/>
  <c r="Q804" i="4"/>
  <c r="T804" i="4" s="1"/>
  <c r="Q812" i="4"/>
  <c r="T812" i="4" s="1"/>
  <c r="Q811" i="4"/>
  <c r="T811" i="4" s="1"/>
  <c r="Q803" i="4"/>
  <c r="T803" i="4" s="1"/>
  <c r="Q806" i="4"/>
  <c r="T806" i="4" s="1"/>
  <c r="Q813" i="4"/>
  <c r="T813" i="4" s="1"/>
  <c r="Q807" i="4"/>
  <c r="T807" i="4" s="1"/>
  <c r="Q815" i="4"/>
  <c r="T815" i="4" s="1"/>
  <c r="Q820" i="4"/>
  <c r="T820" i="4" s="1"/>
  <c r="Q816" i="4"/>
  <c r="T816" i="4" s="1"/>
  <c r="Q818" i="4"/>
  <c r="T818" i="4" s="1"/>
  <c r="Q817" i="4"/>
  <c r="T817" i="4" s="1"/>
  <c r="Q821" i="4"/>
  <c r="T821" i="4" s="1"/>
  <c r="Q825" i="4"/>
  <c r="T825" i="4" s="1"/>
  <c r="Q824" i="4"/>
  <c r="T824" i="4" s="1"/>
  <c r="Q823" i="4"/>
  <c r="T823" i="4" s="1"/>
  <c r="Q830" i="4"/>
  <c r="T830" i="4" s="1"/>
  <c r="Q828" i="4"/>
  <c r="T828" i="4" s="1"/>
  <c r="Q829" i="4"/>
  <c r="T829" i="4" s="1"/>
  <c r="Q827" i="4"/>
  <c r="T827" i="4" s="1"/>
  <c r="Q826" i="4"/>
  <c r="T826" i="4" s="1"/>
  <c r="Q833" i="4"/>
  <c r="T833" i="4" s="1"/>
  <c r="Q832" i="4"/>
  <c r="T832" i="4" s="1"/>
  <c r="Q836" i="4"/>
  <c r="T836" i="4" s="1"/>
  <c r="Q831" i="4"/>
  <c r="T831" i="4" s="1"/>
  <c r="Q835" i="4"/>
  <c r="T835" i="4" s="1"/>
  <c r="Q834" i="4"/>
  <c r="T834" i="4" s="1"/>
  <c r="Q838" i="4"/>
  <c r="T838" i="4" s="1"/>
  <c r="Q839" i="4"/>
  <c r="T839" i="4" s="1"/>
  <c r="Q840" i="4"/>
  <c r="T840" i="4" s="1"/>
  <c r="Q837" i="4"/>
  <c r="T837" i="4" s="1"/>
  <c r="Q843" i="4"/>
  <c r="T843" i="4" s="1"/>
  <c r="Q842" i="4"/>
  <c r="T842" i="4" s="1"/>
  <c r="Q841" i="4"/>
  <c r="T841" i="4" s="1"/>
  <c r="Q845" i="4"/>
  <c r="T845" i="4" s="1"/>
  <c r="Q844" i="4"/>
  <c r="T844" i="4" s="1"/>
  <c r="Q850" i="4"/>
  <c r="T850" i="4" s="1"/>
  <c r="Q848" i="4"/>
  <c r="T848" i="4" s="1"/>
  <c r="Q853" i="4"/>
  <c r="T853" i="4" s="1"/>
  <c r="Q851" i="4"/>
  <c r="T851" i="4" s="1"/>
  <c r="Q854" i="4"/>
  <c r="T854" i="4" s="1"/>
  <c r="Q859" i="4"/>
  <c r="T859" i="4" s="1"/>
  <c r="Q860" i="4"/>
  <c r="T860" i="4" s="1"/>
  <c r="Q855" i="4"/>
  <c r="T855" i="4" s="1"/>
  <c r="Q856" i="4"/>
  <c r="T856" i="4" s="1"/>
  <c r="Q861" i="4"/>
  <c r="T861" i="4" s="1"/>
  <c r="Q858" i="4"/>
  <c r="T858" i="4" s="1"/>
  <c r="Q863" i="4"/>
  <c r="T863" i="4" s="1"/>
  <c r="Q864" i="4"/>
  <c r="T864" i="4" s="1"/>
  <c r="Q866" i="4"/>
  <c r="T866" i="4" s="1"/>
  <c r="Q868" i="4"/>
  <c r="T868" i="4" s="1"/>
  <c r="Q869" i="4"/>
  <c r="T869" i="4" s="1"/>
  <c r="Q871" i="4"/>
  <c r="T871" i="4" s="1"/>
  <c r="Q872" i="4"/>
  <c r="T872" i="4" s="1"/>
  <c r="Q875" i="4"/>
  <c r="T875" i="4" s="1"/>
  <c r="Q876" i="4"/>
  <c r="T876" i="4" s="1"/>
  <c r="Q878" i="4"/>
  <c r="T878" i="4" s="1"/>
  <c r="Q882" i="4"/>
  <c r="T882" i="4" s="1"/>
  <c r="Q881" i="4"/>
  <c r="T881" i="4" s="1"/>
  <c r="Q880" i="4"/>
  <c r="T880" i="4" s="1"/>
  <c r="Q879" i="4"/>
  <c r="T879" i="4" s="1"/>
  <c r="Q886" i="4"/>
  <c r="T886" i="4" s="1"/>
  <c r="Q887" i="4"/>
  <c r="T887" i="4" s="1"/>
  <c r="Q884" i="4"/>
  <c r="T884" i="4" s="1"/>
  <c r="Q885" i="4"/>
  <c r="T885" i="4" s="1"/>
  <c r="Q891" i="4"/>
  <c r="T891" i="4" s="1"/>
  <c r="Q890" i="4"/>
  <c r="T890" i="4" s="1"/>
  <c r="Q888" i="4"/>
  <c r="T888" i="4" s="1"/>
  <c r="Q892" i="4"/>
  <c r="T892" i="4" s="1"/>
  <c r="Q889" i="4"/>
  <c r="T889" i="4" s="1"/>
  <c r="Q893" i="4"/>
  <c r="T893" i="4" s="1"/>
  <c r="Q895" i="4"/>
  <c r="T895" i="4" s="1"/>
  <c r="Q898" i="4"/>
  <c r="T898" i="4" s="1"/>
  <c r="Q903" i="4"/>
  <c r="T903" i="4" s="1"/>
  <c r="Q905" i="4"/>
  <c r="T905" i="4" s="1"/>
  <c r="Q906" i="4"/>
  <c r="T906" i="4" s="1"/>
  <c r="Q910" i="4"/>
  <c r="T910" i="4" s="1"/>
  <c r="Q909" i="4"/>
  <c r="T909" i="4" s="1"/>
  <c r="Q908" i="4"/>
  <c r="T908" i="4" s="1"/>
  <c r="Q907" i="4"/>
  <c r="T907" i="4" s="1"/>
  <c r="Q911" i="4"/>
  <c r="T911" i="4" s="1"/>
  <c r="Q914" i="4"/>
  <c r="T914" i="4" s="1"/>
  <c r="Q912" i="4"/>
  <c r="T912" i="4" s="1"/>
  <c r="Q917" i="4"/>
  <c r="T917" i="4" s="1"/>
  <c r="Q918" i="4"/>
  <c r="T918" i="4" s="1"/>
  <c r="Q919" i="4"/>
  <c r="T919" i="4" s="1"/>
  <c r="Q924" i="4"/>
  <c r="T924" i="4" s="1"/>
  <c r="Q922" i="4"/>
  <c r="T922" i="4" s="1"/>
  <c r="Q921" i="4"/>
  <c r="T921" i="4" s="1"/>
  <c r="Q920" i="4"/>
  <c r="T920" i="4" s="1"/>
  <c r="Q923" i="4"/>
  <c r="T923" i="4" s="1"/>
  <c r="Q927" i="4"/>
  <c r="T927" i="4" s="1"/>
  <c r="Q928" i="4"/>
  <c r="T928" i="4" s="1"/>
  <c r="Q926" i="4"/>
  <c r="T926" i="4" s="1"/>
  <c r="Q931" i="4"/>
  <c r="T931" i="4" s="1"/>
  <c r="Q929" i="4"/>
  <c r="T929" i="4" s="1"/>
  <c r="Q930" i="4"/>
  <c r="T930" i="4" s="1"/>
  <c r="Q932" i="4"/>
  <c r="T932" i="4" s="1"/>
  <c r="Q933" i="4"/>
  <c r="T933" i="4" s="1"/>
  <c r="Q937" i="4"/>
  <c r="T937" i="4" s="1"/>
  <c r="Q934" i="4"/>
  <c r="T934" i="4" s="1"/>
  <c r="Q935" i="4"/>
  <c r="T935" i="4" s="1"/>
  <c r="Q936" i="4"/>
  <c r="T936" i="4" s="1"/>
  <c r="Q939" i="4"/>
  <c r="T939" i="4" s="1"/>
  <c r="Q940" i="4"/>
  <c r="T940" i="4" s="1"/>
  <c r="Q942" i="4"/>
  <c r="T942" i="4" s="1"/>
  <c r="Q938" i="4"/>
  <c r="T938" i="4" s="1"/>
  <c r="Q941" i="4"/>
  <c r="T941" i="4" s="1"/>
  <c r="Q943" i="4"/>
  <c r="T943" i="4" s="1"/>
  <c r="Q944" i="4"/>
  <c r="T944" i="4" s="1"/>
  <c r="Q948" i="4"/>
  <c r="T948" i="4" s="1"/>
  <c r="Q947" i="4"/>
  <c r="T947" i="4" s="1"/>
  <c r="Q949" i="4"/>
  <c r="T949" i="4" s="1"/>
  <c r="Q950" i="4"/>
  <c r="T950" i="4" s="1"/>
  <c r="Q953" i="4"/>
  <c r="T953" i="4" s="1"/>
  <c r="Q952" i="4"/>
  <c r="T952" i="4" s="1"/>
  <c r="Q951" i="4"/>
  <c r="T951" i="4" s="1"/>
  <c r="Q955" i="4"/>
  <c r="T955" i="4" s="1"/>
  <c r="Q956" i="4"/>
  <c r="T956" i="4" s="1"/>
  <c r="Q959" i="4"/>
  <c r="T959" i="4" s="1"/>
  <c r="Q960" i="4"/>
  <c r="T960" i="4" s="1"/>
  <c r="Q961" i="4"/>
  <c r="T961" i="4" s="1"/>
  <c r="Q962" i="4"/>
  <c r="T962" i="4" s="1"/>
  <c r="Q965" i="4"/>
  <c r="T965" i="4" s="1"/>
  <c r="Q969" i="4"/>
  <c r="T969" i="4" s="1"/>
  <c r="Q964" i="4"/>
  <c r="T964" i="4" s="1"/>
  <c r="Q972" i="4"/>
  <c r="T972" i="4" s="1"/>
  <c r="Q973" i="4"/>
  <c r="T973" i="4" s="1"/>
  <c r="Q977" i="4"/>
  <c r="T977" i="4" s="1"/>
  <c r="Q974" i="4"/>
  <c r="T974" i="4" s="1"/>
  <c r="Q975" i="4"/>
  <c r="T975" i="4" s="1"/>
  <c r="Q976" i="4"/>
  <c r="T976" i="4" s="1"/>
  <c r="Q978" i="4"/>
  <c r="T978" i="4" s="1"/>
  <c r="Q979" i="4"/>
  <c r="T979" i="4" s="1"/>
  <c r="Q981" i="4"/>
  <c r="T981" i="4" s="1"/>
  <c r="Q982" i="4"/>
  <c r="T982" i="4" s="1"/>
  <c r="Q983" i="4"/>
  <c r="T983" i="4" s="1"/>
  <c r="Q984" i="4"/>
  <c r="T984" i="4" s="1"/>
  <c r="Q988" i="4"/>
  <c r="T988" i="4" s="1"/>
  <c r="Q986" i="4"/>
  <c r="T986" i="4" s="1"/>
  <c r="Q987" i="4"/>
  <c r="T987" i="4" s="1"/>
  <c r="Q989" i="4"/>
  <c r="T989" i="4" s="1"/>
  <c r="Q991" i="4"/>
  <c r="T991" i="4" s="1"/>
  <c r="Q992" i="4"/>
  <c r="T992" i="4" s="1"/>
  <c r="Q994" i="4"/>
  <c r="T994" i="4" s="1"/>
  <c r="Q996" i="4"/>
  <c r="T996" i="4" s="1"/>
  <c r="Q998" i="4"/>
  <c r="T998" i="4" s="1"/>
  <c r="Q999" i="4"/>
  <c r="T999" i="4" s="1"/>
  <c r="Q997" i="4"/>
  <c r="T997" i="4" s="1"/>
  <c r="Q1001" i="4"/>
  <c r="T1001" i="4" s="1"/>
  <c r="Q1003" i="4"/>
  <c r="T1003" i="4" s="1"/>
  <c r="Q1007" i="4"/>
  <c r="T1007" i="4" s="1"/>
  <c r="Q1005" i="4"/>
  <c r="T1005" i="4" s="1"/>
  <c r="Q1008" i="4"/>
  <c r="T1008" i="4" s="1"/>
  <c r="Q1012" i="4"/>
  <c r="T1012" i="4" s="1"/>
  <c r="Q1013" i="4"/>
  <c r="T1013" i="4" s="1"/>
  <c r="Q1015" i="4"/>
  <c r="T1015" i="4" s="1"/>
  <c r="Q1016" i="4"/>
  <c r="T1016" i="4" s="1"/>
  <c r="Q1014" i="4"/>
  <c r="T1014" i="4" s="1"/>
  <c r="Q1018" i="4"/>
  <c r="T1018" i="4" s="1"/>
  <c r="Q1019" i="4"/>
  <c r="T1019" i="4" s="1"/>
  <c r="Q1020" i="4"/>
  <c r="T1020" i="4" s="1"/>
  <c r="Q1021" i="4"/>
  <c r="T1021" i="4" s="1"/>
  <c r="Q1023" i="4"/>
  <c r="T1023" i="4" s="1"/>
  <c r="Q1022" i="4"/>
  <c r="T1022" i="4" s="1"/>
  <c r="Q1024" i="4"/>
  <c r="T1024" i="4" s="1"/>
  <c r="Q1029" i="4"/>
  <c r="T1029" i="4" s="1"/>
  <c r="Q1030" i="4"/>
  <c r="T1030" i="4" s="1"/>
  <c r="Q1028" i="4"/>
  <c r="T1028" i="4" s="1"/>
  <c r="Q1026" i="4"/>
  <c r="T1026" i="4" s="1"/>
  <c r="Q1027" i="4"/>
  <c r="T1027" i="4" s="1"/>
  <c r="Q1025" i="4"/>
  <c r="T1025" i="4" s="1"/>
  <c r="Q1033" i="4"/>
  <c r="T1033" i="4" s="1"/>
  <c r="Q1032" i="4"/>
  <c r="T1032" i="4" s="1"/>
  <c r="Q1031" i="4"/>
  <c r="T1031" i="4" s="1"/>
  <c r="Q1035" i="4"/>
  <c r="T1035" i="4" s="1"/>
  <c r="Q1034" i="4"/>
  <c r="T1034" i="4" s="1"/>
  <c r="Q1040" i="4"/>
  <c r="T1040" i="4" s="1"/>
  <c r="Q1039" i="4"/>
  <c r="T1039" i="4" s="1"/>
  <c r="Q1038" i="4"/>
  <c r="T1038" i="4" s="1"/>
  <c r="Q1037" i="4"/>
  <c r="T1037" i="4" s="1"/>
  <c r="Q1041" i="4"/>
  <c r="T1041" i="4" s="1"/>
  <c r="Q1042" i="4"/>
  <c r="T1042" i="4" s="1"/>
  <c r="Q1043" i="4"/>
  <c r="T1043" i="4" s="1"/>
  <c r="Q1044" i="4"/>
  <c r="T1044" i="4" s="1"/>
  <c r="Q1047" i="4"/>
  <c r="T1047" i="4" s="1"/>
  <c r="Q1046" i="4"/>
  <c r="T1046" i="4" s="1"/>
  <c r="Q1045" i="4"/>
  <c r="T1045" i="4" s="1"/>
  <c r="Q1050" i="4"/>
  <c r="T1050" i="4" s="1"/>
  <c r="Q1053" i="4"/>
  <c r="T1053" i="4" s="1"/>
  <c r="Q1052" i="4"/>
  <c r="T1052" i="4" s="1"/>
  <c r="Q1054" i="4"/>
  <c r="T1054" i="4" s="1"/>
  <c r="Q1055" i="4"/>
  <c r="T1055" i="4" s="1"/>
  <c r="Q1057" i="4"/>
  <c r="T1057" i="4" s="1"/>
  <c r="Q1056" i="4"/>
  <c r="T1056" i="4" s="1"/>
  <c r="Q1060" i="4"/>
  <c r="T1060" i="4" s="1"/>
  <c r="Q1062" i="4"/>
  <c r="T1062" i="4" s="1"/>
  <c r="Q1064" i="4"/>
  <c r="T1064" i="4" s="1"/>
  <c r="Q1063" i="4"/>
  <c r="T1063" i="4" s="1"/>
  <c r="Q1065" i="4"/>
  <c r="T1065" i="4" s="1"/>
  <c r="Q1066" i="4"/>
  <c r="T1066" i="4" s="1"/>
  <c r="Q1067" i="4"/>
  <c r="T1067" i="4" s="1"/>
  <c r="Q1068" i="4"/>
  <c r="T1068" i="4" s="1"/>
  <c r="Q1069" i="4"/>
  <c r="T1069" i="4" s="1"/>
  <c r="Q1071" i="4"/>
  <c r="T1071" i="4" s="1"/>
  <c r="Q1070" i="4"/>
  <c r="T1070" i="4" s="1"/>
  <c r="Q1072" i="4"/>
  <c r="T1072" i="4" s="1"/>
  <c r="Q1073" i="4"/>
  <c r="T1073" i="4" s="1"/>
  <c r="Q1074" i="4"/>
  <c r="T1074" i="4" s="1"/>
  <c r="Q1080" i="4"/>
  <c r="T1080" i="4" s="1"/>
  <c r="Q1076" i="4"/>
  <c r="T1076" i="4" s="1"/>
  <c r="Q1078" i="4"/>
  <c r="T1078" i="4" s="1"/>
  <c r="Q1075" i="4"/>
  <c r="T1075" i="4" s="1"/>
  <c r="Q1082" i="4"/>
  <c r="T1082" i="4" s="1"/>
  <c r="Q1083" i="4"/>
  <c r="T1083" i="4" s="1"/>
  <c r="Q1084" i="4"/>
  <c r="T1084" i="4" s="1"/>
  <c r="Q1086" i="4"/>
  <c r="T1086" i="4" s="1"/>
  <c r="Q1085" i="4"/>
  <c r="T1085" i="4" s="1"/>
  <c r="Q1087" i="4"/>
  <c r="T1087" i="4" s="1"/>
  <c r="Q1088" i="4"/>
  <c r="T1088" i="4" s="1"/>
  <c r="Q1090" i="4"/>
  <c r="T1090" i="4" s="1"/>
  <c r="Q1092" i="4"/>
  <c r="T1092" i="4" s="1"/>
  <c r="Q1093" i="4"/>
  <c r="T1093" i="4" s="1"/>
  <c r="Q1091" i="4"/>
  <c r="T1091" i="4" s="1"/>
  <c r="Q1094" i="4"/>
  <c r="T1094" i="4" s="1"/>
  <c r="Q1095" i="4"/>
  <c r="T1095" i="4" s="1"/>
  <c r="Q1096" i="4"/>
  <c r="T1096" i="4" s="1"/>
  <c r="Q1098" i="4"/>
  <c r="T1098" i="4" s="1"/>
  <c r="Q1100" i="4"/>
  <c r="T1100" i="4" s="1"/>
  <c r="Q1099" i="4"/>
  <c r="T1099" i="4" s="1"/>
  <c r="Q1097" i="4"/>
  <c r="T1097" i="4" s="1"/>
  <c r="Q1101" i="4"/>
  <c r="T1101" i="4" s="1"/>
  <c r="Q1103" i="4"/>
  <c r="T1103" i="4" s="1"/>
  <c r="Q1102" i="4"/>
  <c r="T1102" i="4" s="1"/>
  <c r="Q1106" i="4"/>
  <c r="T1106" i="4" s="1"/>
  <c r="Q1107" i="4"/>
  <c r="T1107" i="4" s="1"/>
  <c r="Q1108" i="4"/>
  <c r="T1108" i="4" s="1"/>
  <c r="Q1111" i="4"/>
  <c r="T1111" i="4" s="1"/>
  <c r="Q1110" i="4"/>
  <c r="T1110" i="4" s="1"/>
  <c r="Q1114" i="4"/>
  <c r="T1114" i="4" s="1"/>
  <c r="Q1116" i="4"/>
  <c r="T1116" i="4" s="1"/>
  <c r="Q1112" i="4"/>
  <c r="T1112" i="4" s="1"/>
  <c r="Q1113" i="4"/>
  <c r="T1113" i="4" s="1"/>
  <c r="Q1115" i="4"/>
  <c r="T1115" i="4" s="1"/>
  <c r="Q1117" i="4"/>
  <c r="T1117" i="4" s="1"/>
  <c r="Q1118" i="4"/>
  <c r="T1118" i="4" s="1"/>
  <c r="Q1119" i="4"/>
  <c r="T1119" i="4" s="1"/>
  <c r="Q1122" i="4"/>
  <c r="T1122" i="4" s="1"/>
  <c r="Q1121" i="4"/>
  <c r="T1121" i="4" s="1"/>
  <c r="Q1124" i="4"/>
  <c r="T1124" i="4" s="1"/>
  <c r="Q1125" i="4"/>
  <c r="T1125" i="4" s="1"/>
  <c r="Q1126" i="4"/>
  <c r="T1126" i="4" s="1"/>
  <c r="Q1127" i="4"/>
  <c r="T1127" i="4" s="1"/>
  <c r="Q1129" i="4"/>
  <c r="T1129" i="4" s="1"/>
  <c r="Q1130" i="4"/>
  <c r="T1130" i="4" s="1"/>
  <c r="Q1134" i="4"/>
  <c r="T1134" i="4" s="1"/>
  <c r="Q1136" i="4"/>
  <c r="T1136" i="4" s="1"/>
  <c r="Q1135" i="4"/>
  <c r="T1135" i="4" s="1"/>
  <c r="Q1133" i="4"/>
  <c r="T1133" i="4" s="1"/>
  <c r="Q1141" i="4"/>
  <c r="T1141" i="4" s="1"/>
  <c r="Q1137" i="4"/>
  <c r="T1137" i="4" s="1"/>
  <c r="Q1138" i="4"/>
  <c r="T1138" i="4" s="1"/>
  <c r="Q1140" i="4"/>
  <c r="T1140" i="4" s="1"/>
  <c r="Q1139" i="4"/>
  <c r="T1139" i="4" s="1"/>
  <c r="Q1142" i="4"/>
  <c r="T1142" i="4" s="1"/>
  <c r="Q1144" i="4"/>
  <c r="T1144" i="4" s="1"/>
  <c r="Q1145" i="4"/>
  <c r="T1145" i="4" s="1"/>
  <c r="Q1146" i="4"/>
  <c r="T1146" i="4" s="1"/>
  <c r="Q1153" i="4"/>
  <c r="T1153" i="4" s="1"/>
  <c r="Q1155" i="4"/>
  <c r="T1155" i="4" s="1"/>
  <c r="Q1156" i="4"/>
  <c r="T1156" i="4" s="1"/>
  <c r="Q1157" i="4"/>
  <c r="T1157" i="4" s="1"/>
  <c r="Q1159" i="4"/>
  <c r="T1159" i="4" s="1"/>
  <c r="Q1160" i="4"/>
  <c r="T1160" i="4" s="1"/>
  <c r="Q1161" i="4"/>
  <c r="T1161" i="4" s="1"/>
  <c r="Q1158" i="4"/>
  <c r="T1158" i="4" s="1"/>
  <c r="Q1162" i="4"/>
  <c r="T1162" i="4" s="1"/>
  <c r="Q1164" i="4"/>
  <c r="T1164" i="4" s="1"/>
  <c r="Q1163" i="4"/>
  <c r="T1163" i="4" s="1"/>
  <c r="Q1170" i="4"/>
  <c r="T1170" i="4" s="1"/>
  <c r="Q1169" i="4"/>
  <c r="T1169" i="4" s="1"/>
  <c r="Q1165" i="4"/>
  <c r="T1165" i="4" s="1"/>
  <c r="Q1171" i="4"/>
  <c r="T1171" i="4" s="1"/>
  <c r="Q1167" i="4"/>
  <c r="T1167" i="4" s="1"/>
  <c r="Q1173" i="4"/>
  <c r="T1173" i="4" s="1"/>
  <c r="Q1172" i="4"/>
  <c r="T1172" i="4" s="1"/>
  <c r="Q1180" i="4"/>
  <c r="T1180" i="4" s="1"/>
  <c r="Q1177" i="4"/>
  <c r="T1177" i="4" s="1"/>
  <c r="Q1176" i="4"/>
  <c r="T1176" i="4" s="1"/>
  <c r="Q1175" i="4"/>
  <c r="T1175" i="4" s="1"/>
  <c r="Q1181" i="4"/>
  <c r="T1181" i="4" s="1"/>
  <c r="Q1178" i="4"/>
  <c r="T1178" i="4" s="1"/>
  <c r="Q1182" i="4"/>
  <c r="T1182" i="4" s="1"/>
  <c r="Q1183" i="4"/>
  <c r="T1183" i="4" s="1"/>
  <c r="Q1185" i="4"/>
  <c r="T1185" i="4" s="1"/>
  <c r="Q1187" i="4"/>
  <c r="T1187" i="4" s="1"/>
  <c r="Q1190" i="4"/>
  <c r="T1190" i="4" s="1"/>
  <c r="Q1191" i="4"/>
  <c r="T1191" i="4" s="1"/>
  <c r="Q1188" i="4"/>
  <c r="T1188" i="4" s="1"/>
  <c r="Q1189" i="4"/>
  <c r="T1189" i="4" s="1"/>
  <c r="Q1192" i="4"/>
  <c r="T1192" i="4" s="1"/>
  <c r="Q1193" i="4"/>
  <c r="T1193" i="4" s="1"/>
  <c r="Q1194" i="4"/>
  <c r="T1194" i="4" s="1"/>
  <c r="Q1196" i="4"/>
  <c r="T1196" i="4" s="1"/>
  <c r="Q1198" i="4"/>
  <c r="T1198" i="4" s="1"/>
  <c r="Q1200" i="4"/>
  <c r="T1200" i="4" s="1"/>
  <c r="Q1202" i="4"/>
  <c r="T1202" i="4" s="1"/>
  <c r="Q1207" i="4"/>
  <c r="T1207" i="4" s="1"/>
  <c r="Q1208" i="4"/>
  <c r="T1208" i="4" s="1"/>
  <c r="Q1204" i="4"/>
  <c r="T1204" i="4" s="1"/>
  <c r="Q1205" i="4"/>
  <c r="T1205" i="4" s="1"/>
  <c r="Q1206" i="4"/>
  <c r="T1206" i="4" s="1"/>
  <c r="Q1209" i="4"/>
  <c r="T1209" i="4" s="1"/>
  <c r="Q1211" i="4"/>
  <c r="T1211" i="4" s="1"/>
  <c r="Q1214" i="4"/>
  <c r="T1214" i="4" s="1"/>
  <c r="Q1212" i="4"/>
  <c r="T1212" i="4" s="1"/>
  <c r="Q1210" i="4"/>
  <c r="T1210" i="4" s="1"/>
  <c r="Q1215" i="4"/>
  <c r="T1215" i="4" s="1"/>
  <c r="Q1219" i="4"/>
  <c r="T1219" i="4" s="1"/>
  <c r="Q1217" i="4"/>
  <c r="T1217" i="4" s="1"/>
  <c r="Q1222" i="4"/>
  <c r="T1222" i="4" s="1"/>
  <c r="Q1223" i="4"/>
  <c r="T1223" i="4" s="1"/>
  <c r="Q1230" i="4"/>
  <c r="T1230" i="4" s="1"/>
  <c r="Q1228" i="4"/>
  <c r="T1228" i="4" s="1"/>
  <c r="Q1231" i="4"/>
  <c r="T1231" i="4" s="1"/>
  <c r="Q1227" i="4"/>
  <c r="T1227" i="4" s="1"/>
  <c r="Q1232" i="4"/>
  <c r="T1232" i="4" s="1"/>
  <c r="Q1229" i="4"/>
  <c r="T1229" i="4" s="1"/>
  <c r="Q1233" i="4"/>
  <c r="T1233" i="4" s="1"/>
  <c r="Q1237" i="4"/>
  <c r="T1237" i="4" s="1"/>
  <c r="Q1236" i="4"/>
  <c r="T1236" i="4" s="1"/>
  <c r="Q1234" i="4"/>
  <c r="T1234" i="4" s="1"/>
  <c r="Q1235" i="4"/>
  <c r="T1235" i="4" s="1"/>
  <c r="Q1240" i="4"/>
  <c r="T1240" i="4" s="1"/>
  <c r="Q1242" i="4"/>
  <c r="T1242" i="4" s="1"/>
  <c r="Q1252" i="4"/>
  <c r="T1252" i="4" s="1"/>
  <c r="Q1253" i="4"/>
  <c r="T1253" i="4" s="1"/>
  <c r="Q1254" i="4"/>
  <c r="T1254" i="4" s="1"/>
  <c r="Q1261" i="4"/>
  <c r="T1261" i="4" s="1"/>
  <c r="Q1259" i="4"/>
  <c r="T1259" i="4" s="1"/>
  <c r="Q1257" i="4"/>
  <c r="T1257" i="4" s="1"/>
  <c r="Q1262" i="4"/>
  <c r="T1262" i="4" s="1"/>
  <c r="Q1263" i="4"/>
  <c r="T1263" i="4" s="1"/>
  <c r="Q1264" i="4"/>
  <c r="T1264" i="4" s="1"/>
  <c r="Q1265" i="4"/>
  <c r="T1265" i="4" s="1"/>
  <c r="Q1266" i="4"/>
  <c r="T1266" i="4" s="1"/>
  <c r="Q1270" i="4"/>
  <c r="T1270" i="4" s="1"/>
  <c r="Q1272" i="4"/>
  <c r="T1272" i="4" s="1"/>
  <c r="Q1271" i="4"/>
  <c r="T1271" i="4" s="1"/>
  <c r="Q1276" i="4"/>
  <c r="T1276" i="4" s="1"/>
  <c r="Q1274" i="4"/>
  <c r="T1274" i="4" s="1"/>
  <c r="Q1282" i="4"/>
  <c r="T1282" i="4" s="1"/>
  <c r="Q1279" i="4"/>
  <c r="T1279" i="4" s="1"/>
  <c r="Q1285" i="4"/>
  <c r="T1285" i="4" s="1"/>
  <c r="S634" i="4"/>
  <c r="S636" i="4"/>
  <c r="S637" i="4"/>
  <c r="S638" i="4"/>
  <c r="S635" i="4"/>
  <c r="S639" i="4"/>
  <c r="S641" i="4"/>
  <c r="S642" i="4"/>
  <c r="S643" i="4"/>
  <c r="S644" i="4"/>
  <c r="S647" i="4"/>
  <c r="S654" i="4"/>
  <c r="S651" i="4"/>
  <c r="S653" i="4"/>
  <c r="S655" i="4"/>
  <c r="S656" i="4"/>
  <c r="S652" i="4"/>
  <c r="S648" i="4"/>
  <c r="S650" i="4"/>
  <c r="S649" i="4"/>
  <c r="S660" i="4"/>
  <c r="S657" i="4"/>
  <c r="S662" i="4"/>
  <c r="S658" i="4"/>
  <c r="S661" i="4"/>
  <c r="S659" i="4"/>
  <c r="S664" i="4"/>
  <c r="S663" i="4"/>
  <c r="S666" i="4"/>
  <c r="S668" i="4"/>
  <c r="S665" i="4"/>
  <c r="S667" i="4"/>
  <c r="S671" i="4"/>
  <c r="S670" i="4"/>
  <c r="S669" i="4"/>
  <c r="S672" i="4"/>
  <c r="S673" i="4"/>
  <c r="S674" i="4"/>
  <c r="S675" i="4"/>
  <c r="S677" i="4"/>
  <c r="S679" i="4"/>
  <c r="S683" i="4"/>
  <c r="S682" i="4"/>
  <c r="S681" i="4"/>
  <c r="S684" i="4"/>
  <c r="S686" i="4"/>
  <c r="S685" i="4"/>
  <c r="S687" i="4"/>
  <c r="S689" i="4"/>
  <c r="S690" i="4"/>
  <c r="S696" i="4"/>
  <c r="S693" i="4"/>
  <c r="S694" i="4"/>
  <c r="S698" i="4"/>
  <c r="S702" i="4"/>
  <c r="S701" i="4"/>
  <c r="S705" i="4"/>
  <c r="S706" i="4"/>
  <c r="S700" i="4"/>
  <c r="S703" i="4"/>
  <c r="S710" i="4"/>
  <c r="S709" i="4"/>
  <c r="S708" i="4"/>
  <c r="S713" i="4"/>
  <c r="S711" i="4"/>
  <c r="S712" i="4"/>
  <c r="S714" i="4"/>
  <c r="S720" i="4"/>
  <c r="S721" i="4"/>
  <c r="S722" i="4"/>
  <c r="S715" i="4"/>
  <c r="S724" i="4"/>
  <c r="S723" i="4"/>
  <c r="S719" i="4"/>
  <c r="S718" i="4"/>
  <c r="S717" i="4"/>
  <c r="S716" i="4"/>
  <c r="S735" i="4"/>
  <c r="S736" i="4"/>
  <c r="S733" i="4"/>
  <c r="S727" i="4"/>
  <c r="S730" i="4"/>
  <c r="S729" i="4"/>
  <c r="S728" i="4"/>
  <c r="S725" i="4"/>
  <c r="S726" i="4"/>
  <c r="S731" i="4"/>
  <c r="S734" i="4"/>
  <c r="S741" i="4"/>
  <c r="S739" i="4"/>
  <c r="S745" i="4"/>
  <c r="S748" i="4"/>
  <c r="S746" i="4"/>
  <c r="S753" i="4"/>
  <c r="S750" i="4"/>
  <c r="S752" i="4"/>
  <c r="S749" i="4"/>
  <c r="S754" i="4"/>
  <c r="S755" i="4"/>
  <c r="S758" i="4"/>
  <c r="S760" i="4"/>
  <c r="S757" i="4"/>
  <c r="S759" i="4"/>
  <c r="S756" i="4"/>
  <c r="S762" i="4"/>
  <c r="S766" i="4"/>
  <c r="S763" i="4"/>
  <c r="S764" i="4"/>
  <c r="S765" i="4"/>
  <c r="S767" i="4"/>
  <c r="S768" i="4"/>
  <c r="S770" i="4"/>
  <c r="S769" i="4"/>
  <c r="S772" i="4"/>
  <c r="S784" i="4"/>
  <c r="S782" i="4"/>
  <c r="S781" i="4"/>
  <c r="S779" i="4"/>
  <c r="S785" i="4"/>
  <c r="S792" i="4"/>
  <c r="S787" i="4"/>
  <c r="S788" i="4"/>
  <c r="S793" i="4"/>
  <c r="S786" i="4"/>
  <c r="S790" i="4"/>
  <c r="S789" i="4"/>
  <c r="S791" i="4"/>
  <c r="S794" i="4"/>
  <c r="S797" i="4"/>
  <c r="S798" i="4"/>
  <c r="S800" i="4"/>
  <c r="S799" i="4"/>
  <c r="S801" i="4"/>
  <c r="S796" i="4"/>
  <c r="S795" i="4"/>
  <c r="S802" i="4"/>
  <c r="S808" i="4"/>
  <c r="S805" i="4"/>
  <c r="S809" i="4"/>
  <c r="S804" i="4"/>
  <c r="S812" i="4"/>
  <c r="S811" i="4"/>
  <c r="S803" i="4"/>
  <c r="S806" i="4"/>
  <c r="S813" i="4"/>
  <c r="S807" i="4"/>
  <c r="S815" i="4"/>
  <c r="S820" i="4"/>
  <c r="S816" i="4"/>
  <c r="S818" i="4"/>
  <c r="S817" i="4"/>
  <c r="S821" i="4"/>
  <c r="S825" i="4"/>
  <c r="S824" i="4"/>
  <c r="S823" i="4"/>
  <c r="S830" i="4"/>
  <c r="S828" i="4"/>
  <c r="S829" i="4"/>
  <c r="S827" i="4"/>
  <c r="S826" i="4"/>
  <c r="S833" i="4"/>
  <c r="S832" i="4"/>
  <c r="S836" i="4"/>
  <c r="S831" i="4"/>
  <c r="S835" i="4"/>
  <c r="S834" i="4"/>
  <c r="S838" i="4"/>
  <c r="S839" i="4"/>
  <c r="S840" i="4"/>
  <c r="S837" i="4"/>
  <c r="S843" i="4"/>
  <c r="S842" i="4"/>
  <c r="S841" i="4"/>
  <c r="S845" i="4"/>
  <c r="S844" i="4"/>
  <c r="S850" i="4"/>
  <c r="S848" i="4"/>
  <c r="S853" i="4"/>
  <c r="S851" i="4"/>
  <c r="S854" i="4"/>
  <c r="S859" i="4"/>
  <c r="S860" i="4"/>
  <c r="S855" i="4"/>
  <c r="S856" i="4"/>
  <c r="S861" i="4"/>
  <c r="S858" i="4"/>
  <c r="S863" i="4"/>
  <c r="S864" i="4"/>
  <c r="S866" i="4"/>
  <c r="S868" i="4"/>
  <c r="S869" i="4"/>
  <c r="S871" i="4"/>
  <c r="S872" i="4"/>
  <c r="S875" i="4"/>
  <c r="S876" i="4"/>
  <c r="S878" i="4"/>
  <c r="S882" i="4"/>
  <c r="S881" i="4"/>
  <c r="S880" i="4"/>
  <c r="S879" i="4"/>
  <c r="S886" i="4"/>
  <c r="S887" i="4"/>
  <c r="S884" i="4"/>
  <c r="S885" i="4"/>
  <c r="S891" i="4"/>
  <c r="S890" i="4"/>
  <c r="S888" i="4"/>
  <c r="S892" i="4"/>
  <c r="S889" i="4"/>
  <c r="S893" i="4"/>
  <c r="S895" i="4"/>
  <c r="S898" i="4"/>
  <c r="S903" i="4"/>
  <c r="S905" i="4"/>
  <c r="S906" i="4"/>
  <c r="S910" i="4"/>
  <c r="S909" i="4"/>
  <c r="S908" i="4"/>
  <c r="S907" i="4"/>
  <c r="S911" i="4"/>
  <c r="S914" i="4"/>
  <c r="S912" i="4"/>
  <c r="S917" i="4"/>
  <c r="S918" i="4"/>
  <c r="S919" i="4"/>
  <c r="S924" i="4"/>
  <c r="S922" i="4"/>
  <c r="S921" i="4"/>
  <c r="S920" i="4"/>
  <c r="S923" i="4"/>
  <c r="S927" i="4"/>
  <c r="S928" i="4"/>
  <c r="S926" i="4"/>
  <c r="S931" i="4"/>
  <c r="S929" i="4"/>
  <c r="S930" i="4"/>
  <c r="S932" i="4"/>
  <c r="S933" i="4"/>
  <c r="S937" i="4"/>
  <c r="S934" i="4"/>
  <c r="S935" i="4"/>
  <c r="S936" i="4"/>
  <c r="S939" i="4"/>
  <c r="S940" i="4"/>
  <c r="S942" i="4"/>
  <c r="S938" i="4"/>
  <c r="S941" i="4"/>
  <c r="S943" i="4"/>
  <c r="S944" i="4"/>
  <c r="S948" i="4"/>
  <c r="S947" i="4"/>
  <c r="S949" i="4"/>
  <c r="S950" i="4"/>
  <c r="S953" i="4"/>
  <c r="S952" i="4"/>
  <c r="S951" i="4"/>
  <c r="S955" i="4"/>
  <c r="S956" i="4"/>
  <c r="S959" i="4"/>
  <c r="S960" i="4"/>
  <c r="S961" i="4"/>
  <c r="S962" i="4"/>
  <c r="S965" i="4"/>
  <c r="S969" i="4"/>
  <c r="S964" i="4"/>
  <c r="S972" i="4"/>
  <c r="S973" i="4"/>
  <c r="S977" i="4"/>
  <c r="S974" i="4"/>
  <c r="S975" i="4"/>
  <c r="S976" i="4"/>
  <c r="S978" i="4"/>
  <c r="S979" i="4"/>
  <c r="S981" i="4"/>
  <c r="S982" i="4"/>
  <c r="S983" i="4"/>
  <c r="S984" i="4"/>
  <c r="S988" i="4"/>
  <c r="S986" i="4"/>
  <c r="S987" i="4"/>
  <c r="S989" i="4"/>
  <c r="S991" i="4"/>
  <c r="S992" i="4"/>
  <c r="S994" i="4"/>
  <c r="S996" i="4"/>
  <c r="S998" i="4"/>
  <c r="S999" i="4"/>
  <c r="S997" i="4"/>
  <c r="S1001" i="4"/>
  <c r="S1003" i="4"/>
  <c r="S1007" i="4"/>
  <c r="S1005" i="4"/>
  <c r="S1008" i="4"/>
  <c r="S1012" i="4"/>
  <c r="S1013" i="4"/>
  <c r="S1015" i="4"/>
  <c r="S1016" i="4"/>
  <c r="S1014" i="4"/>
  <c r="S1018" i="4"/>
  <c r="S1019" i="4"/>
  <c r="S1020" i="4"/>
  <c r="S1021" i="4"/>
  <c r="S1023" i="4"/>
  <c r="S1022" i="4"/>
  <c r="S1024" i="4"/>
  <c r="S1029" i="4"/>
  <c r="S1030" i="4"/>
  <c r="S1028" i="4"/>
  <c r="S1026" i="4"/>
  <c r="S1027" i="4"/>
  <c r="S1025" i="4"/>
  <c r="S1033" i="4"/>
  <c r="S1032" i="4"/>
  <c r="S1031" i="4"/>
  <c r="S1035" i="4"/>
  <c r="S1034" i="4"/>
  <c r="S1040" i="4"/>
  <c r="S1039" i="4"/>
  <c r="S1038" i="4"/>
  <c r="S1037" i="4"/>
  <c r="S1041" i="4"/>
  <c r="S1042" i="4"/>
  <c r="S1043" i="4"/>
  <c r="S1044" i="4"/>
  <c r="S1047" i="4"/>
  <c r="S1046" i="4"/>
  <c r="S1045" i="4"/>
  <c r="S1050" i="4"/>
  <c r="S1053" i="4"/>
  <c r="S1052" i="4"/>
  <c r="S1054" i="4"/>
  <c r="S1055" i="4"/>
  <c r="S1057" i="4"/>
  <c r="S1056" i="4"/>
  <c r="S1060" i="4"/>
  <c r="S1062" i="4"/>
  <c r="S1064" i="4"/>
  <c r="S1063" i="4"/>
  <c r="S1065" i="4"/>
  <c r="S1066" i="4"/>
  <c r="S1067" i="4"/>
  <c r="S1068" i="4"/>
  <c r="S1069" i="4"/>
  <c r="S1071" i="4"/>
  <c r="S1070" i="4"/>
  <c r="S1072" i="4"/>
  <c r="S1073" i="4"/>
  <c r="S1074" i="4"/>
  <c r="S1080" i="4"/>
  <c r="S1076" i="4"/>
  <c r="S1078" i="4"/>
  <c r="S1075" i="4"/>
  <c r="S1082" i="4"/>
  <c r="S1083" i="4"/>
  <c r="S1084" i="4"/>
  <c r="S1086" i="4"/>
  <c r="S1085" i="4"/>
  <c r="S1087" i="4"/>
  <c r="S1088" i="4"/>
  <c r="S1090" i="4"/>
  <c r="S1092" i="4"/>
  <c r="S1093" i="4"/>
  <c r="S1091" i="4"/>
  <c r="S1094" i="4"/>
  <c r="S1095" i="4"/>
  <c r="S1096" i="4"/>
  <c r="S1098" i="4"/>
  <c r="S1100" i="4"/>
  <c r="S1099" i="4"/>
  <c r="S1097" i="4"/>
  <c r="S1101" i="4"/>
  <c r="S1103" i="4"/>
  <c r="S1102" i="4"/>
  <c r="S1106" i="4"/>
  <c r="S1107" i="4"/>
  <c r="S1108" i="4"/>
  <c r="S1111" i="4"/>
  <c r="S1110" i="4"/>
  <c r="S1114" i="4"/>
  <c r="S1116" i="4"/>
  <c r="S1112" i="4"/>
  <c r="S1113" i="4"/>
  <c r="S1115" i="4"/>
  <c r="S1117" i="4"/>
  <c r="S1118" i="4"/>
  <c r="S1119" i="4"/>
  <c r="S1122" i="4"/>
  <c r="S1121" i="4"/>
  <c r="S1124" i="4"/>
  <c r="S1125" i="4"/>
  <c r="S1126" i="4"/>
  <c r="S1127" i="4"/>
  <c r="S1129" i="4"/>
  <c r="S1130" i="4"/>
  <c r="S1134" i="4"/>
  <c r="S1136" i="4"/>
  <c r="S1135" i="4"/>
  <c r="S1133" i="4"/>
  <c r="S1141" i="4"/>
  <c r="S1137" i="4"/>
  <c r="S1138" i="4"/>
  <c r="S1140" i="4"/>
  <c r="S1139" i="4"/>
  <c r="S1142" i="4"/>
  <c r="S1144" i="4"/>
  <c r="S1145" i="4"/>
  <c r="S1146" i="4"/>
  <c r="S1153" i="4"/>
  <c r="S1155" i="4"/>
  <c r="S1156" i="4"/>
  <c r="S1157" i="4"/>
  <c r="S1159" i="4"/>
  <c r="S1160" i="4"/>
  <c r="S1161" i="4"/>
  <c r="S1158" i="4"/>
  <c r="S1162" i="4"/>
  <c r="S1164" i="4"/>
  <c r="S1163" i="4"/>
  <c r="S1170" i="4"/>
  <c r="S1169" i="4"/>
  <c r="S1165" i="4"/>
  <c r="S1171" i="4"/>
  <c r="S1167" i="4"/>
  <c r="S1173" i="4"/>
  <c r="S1172" i="4"/>
  <c r="S1180" i="4"/>
  <c r="S1177" i="4"/>
  <c r="S1176" i="4"/>
  <c r="S1175" i="4"/>
  <c r="S1181" i="4"/>
  <c r="S1178" i="4"/>
  <c r="S1182" i="4"/>
  <c r="S1183" i="4"/>
  <c r="S1185" i="4"/>
  <c r="S1187" i="4"/>
  <c r="S1190" i="4"/>
  <c r="S1191" i="4"/>
  <c r="S1188" i="4"/>
  <c r="S1189" i="4"/>
  <c r="S1192" i="4"/>
  <c r="S1193" i="4"/>
  <c r="S1194" i="4"/>
  <c r="S1196" i="4"/>
  <c r="S1198" i="4"/>
  <c r="S1200" i="4"/>
  <c r="S1202" i="4"/>
  <c r="S1207" i="4"/>
  <c r="S1208" i="4"/>
  <c r="S1204" i="4"/>
  <c r="S1205" i="4"/>
  <c r="S1206" i="4"/>
  <c r="S1209" i="4"/>
  <c r="S1211" i="4"/>
  <c r="S1214" i="4"/>
  <c r="S1212" i="4"/>
  <c r="S1210" i="4"/>
  <c r="S1215" i="4"/>
  <c r="S1219" i="4"/>
  <c r="S1217" i="4"/>
  <c r="S1222" i="4"/>
  <c r="S1223" i="4"/>
  <c r="S1230" i="4"/>
  <c r="S1228" i="4"/>
  <c r="S1231" i="4"/>
  <c r="S1227" i="4"/>
  <c r="S1232" i="4"/>
  <c r="S1229" i="4"/>
  <c r="S1233" i="4"/>
  <c r="S1237" i="4"/>
  <c r="S1236" i="4"/>
  <c r="S1234" i="4"/>
  <c r="S1235" i="4"/>
  <c r="S1240" i="4"/>
  <c r="S1242" i="4"/>
  <c r="S1252" i="4"/>
  <c r="S1253" i="4"/>
  <c r="S1254" i="4"/>
  <c r="S1261" i="4"/>
  <c r="S1259" i="4"/>
  <c r="S1257" i="4"/>
  <c r="S1262" i="4"/>
  <c r="S1263" i="4"/>
  <c r="S1264" i="4"/>
  <c r="S1265" i="4"/>
  <c r="S1266" i="4"/>
  <c r="S1270" i="4"/>
  <c r="S1272" i="4"/>
  <c r="S1271" i="4"/>
  <c r="S1276" i="4"/>
  <c r="S1274" i="4"/>
  <c r="S1282" i="4"/>
  <c r="S1279" i="4"/>
  <c r="S1285" i="4"/>
  <c r="G22" i="4"/>
  <c r="I22" i="4" s="1"/>
  <c r="G21" i="4"/>
  <c r="I21" i="4" s="1"/>
  <c r="G27" i="4"/>
  <c r="I27" i="4" s="1"/>
  <c r="G28" i="4"/>
  <c r="I28" i="4" s="1"/>
  <c r="G26" i="4"/>
  <c r="I26" i="4" s="1"/>
  <c r="G30" i="4"/>
  <c r="I30" i="4" s="1"/>
  <c r="G31" i="4"/>
  <c r="I31" i="4" s="1"/>
  <c r="G35" i="4"/>
  <c r="I35" i="4" s="1"/>
  <c r="G39" i="4"/>
  <c r="I39" i="4" s="1"/>
  <c r="G40" i="4"/>
  <c r="I40" i="4" s="1"/>
  <c r="G42" i="4"/>
  <c r="I42" i="4" s="1"/>
  <c r="G43" i="4"/>
  <c r="I43" i="4" s="1"/>
  <c r="G44" i="4"/>
  <c r="I44" i="4" s="1"/>
  <c r="G41" i="4"/>
  <c r="I41" i="4" s="1"/>
  <c r="G45" i="4"/>
  <c r="I45" i="4" s="1"/>
  <c r="G46" i="4"/>
  <c r="I46" i="4" s="1"/>
  <c r="G48" i="4"/>
  <c r="I48" i="4" s="1"/>
  <c r="G50" i="4"/>
  <c r="I50" i="4" s="1"/>
  <c r="G49" i="4"/>
  <c r="I49" i="4" s="1"/>
  <c r="G55" i="4"/>
  <c r="I55" i="4" s="1"/>
  <c r="G56" i="4"/>
  <c r="I56" i="4" s="1"/>
  <c r="G57" i="4"/>
  <c r="I57" i="4" s="1"/>
  <c r="G61" i="4"/>
  <c r="I61" i="4" s="1"/>
  <c r="G59" i="4"/>
  <c r="I59" i="4" s="1"/>
  <c r="G65" i="4"/>
  <c r="I65" i="4" s="1"/>
  <c r="G58" i="4"/>
  <c r="I58" i="4" s="1"/>
  <c r="G66" i="4"/>
  <c r="I66" i="4" s="1"/>
  <c r="G68" i="4"/>
  <c r="I68" i="4" s="1"/>
  <c r="G69" i="4"/>
  <c r="I69" i="4" s="1"/>
  <c r="G67" i="4"/>
  <c r="I67" i="4" s="1"/>
  <c r="G74" i="4"/>
  <c r="I74" i="4" s="1"/>
  <c r="G76" i="4"/>
  <c r="I76" i="4" s="1"/>
  <c r="G70" i="4"/>
  <c r="I70" i="4" s="1"/>
  <c r="G72" i="4"/>
  <c r="I72" i="4" s="1"/>
  <c r="G71" i="4"/>
  <c r="I71" i="4" s="1"/>
  <c r="G73" i="4"/>
  <c r="I73" i="4" s="1"/>
  <c r="G75" i="4"/>
  <c r="I75" i="4" s="1"/>
  <c r="G83" i="4"/>
  <c r="I83" i="4" s="1"/>
  <c r="G80" i="4"/>
  <c r="I80" i="4" s="1"/>
  <c r="G84" i="4"/>
  <c r="I84" i="4" s="1"/>
  <c r="G79" i="4"/>
  <c r="I79" i="4" s="1"/>
  <c r="G81" i="4"/>
  <c r="I81" i="4" s="1"/>
  <c r="G77" i="4"/>
  <c r="I77" i="4" s="1"/>
  <c r="G86" i="4"/>
  <c r="I86" i="4" s="1"/>
  <c r="G92" i="4"/>
  <c r="I92" i="4" s="1"/>
  <c r="G89" i="4"/>
  <c r="I89" i="4" s="1"/>
  <c r="G91" i="4"/>
  <c r="I91" i="4" s="1"/>
  <c r="G93" i="4"/>
  <c r="I93" i="4" s="1"/>
  <c r="G88" i="4"/>
  <c r="I88" i="4" s="1"/>
  <c r="G96" i="4"/>
  <c r="I96" i="4" s="1"/>
  <c r="G99" i="4"/>
  <c r="I99" i="4" s="1"/>
  <c r="G102" i="4"/>
  <c r="I102" i="4" s="1"/>
  <c r="G100" i="4"/>
  <c r="I100" i="4" s="1"/>
  <c r="G98" i="4"/>
  <c r="I98" i="4" s="1"/>
  <c r="G103" i="4"/>
  <c r="I103" i="4" s="1"/>
  <c r="G106" i="4"/>
  <c r="I106" i="4" s="1"/>
  <c r="G105" i="4"/>
  <c r="I105" i="4" s="1"/>
  <c r="G107" i="4"/>
  <c r="I107" i="4" s="1"/>
  <c r="G109" i="4"/>
  <c r="I109" i="4" s="1"/>
  <c r="G104" i="4"/>
  <c r="I104" i="4" s="1"/>
  <c r="G108" i="4"/>
  <c r="I108" i="4" s="1"/>
  <c r="G111" i="4"/>
  <c r="I111" i="4" s="1"/>
  <c r="G110" i="4"/>
  <c r="I110" i="4" s="1"/>
  <c r="G116" i="4"/>
  <c r="I116" i="4" s="1"/>
  <c r="G115" i="4"/>
  <c r="I115" i="4" s="1"/>
  <c r="G118" i="4"/>
  <c r="I118" i="4" s="1"/>
  <c r="G119" i="4"/>
  <c r="I119" i="4" s="1"/>
  <c r="G120" i="4"/>
  <c r="I120" i="4" s="1"/>
  <c r="G129" i="4"/>
  <c r="I129" i="4" s="1"/>
  <c r="G130" i="4"/>
  <c r="I130" i="4" s="1"/>
  <c r="G135" i="4"/>
  <c r="I135" i="4" s="1"/>
  <c r="G126" i="4"/>
  <c r="I126" i="4" s="1"/>
  <c r="G136" i="4"/>
  <c r="I136" i="4" s="1"/>
  <c r="G127" i="4"/>
  <c r="I127" i="4" s="1"/>
  <c r="G128" i="4"/>
  <c r="I128" i="4" s="1"/>
  <c r="G132" i="4"/>
  <c r="I132" i="4" s="1"/>
  <c r="G131" i="4"/>
  <c r="I131" i="4" s="1"/>
  <c r="G137" i="4"/>
  <c r="I137" i="4" s="1"/>
  <c r="G140" i="4"/>
  <c r="I140" i="4" s="1"/>
  <c r="G139" i="4"/>
  <c r="I139" i="4" s="1"/>
  <c r="G138" i="4"/>
  <c r="I138" i="4" s="1"/>
  <c r="G144" i="4"/>
  <c r="I144" i="4" s="1"/>
  <c r="G143" i="4"/>
  <c r="I143" i="4" s="1"/>
  <c r="G141" i="4"/>
  <c r="I141" i="4" s="1"/>
  <c r="G149" i="4"/>
  <c r="I149" i="4" s="1"/>
  <c r="G153" i="4"/>
  <c r="I153" i="4" s="1"/>
  <c r="G152" i="4"/>
  <c r="I152" i="4" s="1"/>
  <c r="G154" i="4"/>
  <c r="I154" i="4" s="1"/>
  <c r="G155" i="4"/>
  <c r="I155" i="4" s="1"/>
  <c r="G157" i="4"/>
  <c r="I157" i="4" s="1"/>
  <c r="G159" i="4"/>
  <c r="I159" i="4" s="1"/>
  <c r="G160" i="4"/>
  <c r="I160" i="4" s="1"/>
  <c r="G161" i="4"/>
  <c r="I161" i="4" s="1"/>
  <c r="G162" i="4"/>
  <c r="I162" i="4" s="1"/>
  <c r="G163" i="4"/>
  <c r="I163" i="4" s="1"/>
  <c r="G164" i="4"/>
  <c r="I164" i="4" s="1"/>
  <c r="G165" i="4"/>
  <c r="I165" i="4" s="1"/>
  <c r="G166" i="4"/>
  <c r="I166" i="4" s="1"/>
  <c r="G167" i="4"/>
  <c r="I167" i="4" s="1"/>
  <c r="G168" i="4"/>
  <c r="I168" i="4" s="1"/>
  <c r="G171" i="4"/>
  <c r="I171" i="4" s="1"/>
  <c r="G170" i="4"/>
  <c r="I170" i="4" s="1"/>
  <c r="G172" i="4"/>
  <c r="I172" i="4" s="1"/>
  <c r="G175" i="4"/>
  <c r="I175" i="4" s="1"/>
  <c r="G173" i="4"/>
  <c r="I173" i="4" s="1"/>
  <c r="G174" i="4"/>
  <c r="I174" i="4" s="1"/>
  <c r="G176" i="4"/>
  <c r="I176" i="4" s="1"/>
  <c r="G177" i="4"/>
  <c r="I177" i="4" s="1"/>
  <c r="G180" i="4"/>
  <c r="I180" i="4" s="1"/>
  <c r="G183" i="4"/>
  <c r="I183" i="4" s="1"/>
  <c r="G181" i="4"/>
  <c r="I181" i="4" s="1"/>
  <c r="G179" i="4"/>
  <c r="I179" i="4" s="1"/>
  <c r="G182" i="4"/>
  <c r="I182" i="4" s="1"/>
  <c r="G189" i="4"/>
  <c r="I189" i="4" s="1"/>
  <c r="G191" i="4"/>
  <c r="I191" i="4" s="1"/>
  <c r="G188" i="4"/>
  <c r="I188" i="4" s="1"/>
  <c r="G184" i="4"/>
  <c r="I184" i="4" s="1"/>
  <c r="G186" i="4"/>
  <c r="I186" i="4" s="1"/>
  <c r="G192" i="4"/>
  <c r="I192" i="4" s="1"/>
  <c r="G187" i="4"/>
  <c r="I187" i="4" s="1"/>
  <c r="G185" i="4"/>
  <c r="I185" i="4" s="1"/>
  <c r="G196" i="4"/>
  <c r="I196" i="4" s="1"/>
  <c r="G198" i="4"/>
  <c r="I198" i="4" s="1"/>
  <c r="G199" i="4"/>
  <c r="I199" i="4" s="1"/>
  <c r="G197" i="4"/>
  <c r="I197" i="4" s="1"/>
  <c r="G202" i="4"/>
  <c r="I202" i="4" s="1"/>
  <c r="G203" i="4"/>
  <c r="I203" i="4" s="1"/>
  <c r="G200" i="4"/>
  <c r="I200" i="4" s="1"/>
  <c r="G201" i="4"/>
  <c r="I201" i="4" s="1"/>
  <c r="G204" i="4"/>
  <c r="I204" i="4" s="1"/>
  <c r="G206" i="4"/>
  <c r="I206" i="4" s="1"/>
  <c r="G207" i="4"/>
  <c r="I207" i="4" s="1"/>
  <c r="G213" i="4"/>
  <c r="I213" i="4" s="1"/>
  <c r="G210" i="4"/>
  <c r="I210" i="4" s="1"/>
  <c r="G214" i="4"/>
  <c r="I214" i="4" s="1"/>
  <c r="G216" i="4"/>
  <c r="I216" i="4" s="1"/>
  <c r="G215" i="4"/>
  <c r="I215" i="4" s="1"/>
  <c r="G209" i="4"/>
  <c r="I209" i="4" s="1"/>
  <c r="G211" i="4"/>
  <c r="I211" i="4" s="1"/>
  <c r="G208" i="4"/>
  <c r="I208" i="4" s="1"/>
  <c r="G212" i="4"/>
  <c r="I212" i="4" s="1"/>
  <c r="G217" i="4"/>
  <c r="I217" i="4" s="1"/>
  <c r="G218" i="4"/>
  <c r="I218" i="4" s="1"/>
  <c r="G220" i="4"/>
  <c r="I220" i="4" s="1"/>
  <c r="G222" i="4"/>
  <c r="I222" i="4" s="1"/>
  <c r="G226" i="4"/>
  <c r="I226" i="4" s="1"/>
  <c r="G225" i="4"/>
  <c r="I225" i="4" s="1"/>
  <c r="G223" i="4"/>
  <c r="I223" i="4" s="1"/>
  <c r="G227" i="4"/>
  <c r="I227" i="4" s="1"/>
  <c r="G228" i="4"/>
  <c r="I228" i="4" s="1"/>
  <c r="G229" i="4"/>
  <c r="I229" i="4" s="1"/>
  <c r="G231" i="4"/>
  <c r="I231" i="4" s="1"/>
  <c r="G232" i="4"/>
  <c r="I232" i="4" s="1"/>
  <c r="G236" i="4"/>
  <c r="I236" i="4" s="1"/>
  <c r="G233" i="4"/>
  <c r="I233" i="4" s="1"/>
  <c r="G235" i="4"/>
  <c r="I235" i="4" s="1"/>
  <c r="G234" i="4"/>
  <c r="I234" i="4" s="1"/>
  <c r="G238" i="4"/>
  <c r="I238" i="4" s="1"/>
  <c r="G237" i="4"/>
  <c r="I237" i="4" s="1"/>
  <c r="G239" i="4"/>
  <c r="I239" i="4" s="1"/>
  <c r="G241" i="4"/>
  <c r="I241" i="4" s="1"/>
  <c r="G240" i="4"/>
  <c r="I240" i="4" s="1"/>
  <c r="G247" i="4"/>
  <c r="I247" i="4" s="1"/>
  <c r="G251" i="4"/>
  <c r="I251" i="4" s="1"/>
  <c r="G248" i="4"/>
  <c r="I248" i="4" s="1"/>
  <c r="G245" i="4"/>
  <c r="I245" i="4" s="1"/>
  <c r="G246" i="4"/>
  <c r="I246" i="4" s="1"/>
  <c r="G252" i="4"/>
  <c r="I252" i="4" s="1"/>
  <c r="G255" i="4"/>
  <c r="I255" i="4" s="1"/>
  <c r="G254" i="4"/>
  <c r="I254" i="4" s="1"/>
  <c r="G253" i="4"/>
  <c r="I253" i="4" s="1"/>
  <c r="G258" i="4"/>
  <c r="I258" i="4" s="1"/>
  <c r="G260" i="4"/>
  <c r="I260" i="4" s="1"/>
  <c r="G259" i="4"/>
  <c r="I259" i="4" s="1"/>
  <c r="G257" i="4"/>
  <c r="I257" i="4" s="1"/>
  <c r="G265" i="4"/>
  <c r="I265" i="4" s="1"/>
  <c r="G264" i="4"/>
  <c r="I264" i="4" s="1"/>
  <c r="G261" i="4"/>
  <c r="I261" i="4" s="1"/>
  <c r="G262" i="4"/>
  <c r="I262" i="4" s="1"/>
  <c r="G266" i="4"/>
  <c r="I266" i="4" s="1"/>
  <c r="G268" i="4"/>
  <c r="I268" i="4" s="1"/>
  <c r="G267" i="4"/>
  <c r="I267" i="4" s="1"/>
  <c r="G269" i="4"/>
  <c r="I269" i="4" s="1"/>
  <c r="G270" i="4"/>
  <c r="I270" i="4" s="1"/>
  <c r="G271" i="4"/>
  <c r="I271" i="4" s="1"/>
  <c r="G272" i="4"/>
  <c r="I272" i="4" s="1"/>
  <c r="G276" i="4"/>
  <c r="I276" i="4" s="1"/>
  <c r="G274" i="4"/>
  <c r="I274" i="4" s="1"/>
  <c r="G275" i="4"/>
  <c r="I275" i="4" s="1"/>
  <c r="G277" i="4"/>
  <c r="I277" i="4" s="1"/>
  <c r="G279" i="4"/>
  <c r="I279" i="4" s="1"/>
  <c r="G278" i="4"/>
  <c r="I278" i="4" s="1"/>
  <c r="G280" i="4"/>
  <c r="I280" i="4" s="1"/>
  <c r="G281" i="4"/>
  <c r="I281" i="4" s="1"/>
  <c r="G283" i="4"/>
  <c r="I283" i="4" s="1"/>
  <c r="G286" i="4"/>
  <c r="I286" i="4" s="1"/>
  <c r="G285" i="4"/>
  <c r="I285" i="4" s="1"/>
  <c r="G288" i="4"/>
  <c r="I288" i="4" s="1"/>
  <c r="G292" i="4"/>
  <c r="I292" i="4" s="1"/>
  <c r="G293" i="4"/>
  <c r="I293" i="4" s="1"/>
  <c r="G295" i="4"/>
  <c r="I295" i="4" s="1"/>
  <c r="G294" i="4"/>
  <c r="I294" i="4" s="1"/>
  <c r="G296" i="4"/>
  <c r="I296" i="4" s="1"/>
  <c r="G298" i="4"/>
  <c r="I298" i="4" s="1"/>
  <c r="G301" i="4"/>
  <c r="I301" i="4" s="1"/>
  <c r="G300" i="4"/>
  <c r="I300" i="4" s="1"/>
  <c r="G299" i="4"/>
  <c r="I299" i="4" s="1"/>
  <c r="G302" i="4"/>
  <c r="I302" i="4" s="1"/>
  <c r="G303" i="4"/>
  <c r="I303" i="4" s="1"/>
  <c r="G304" i="4"/>
  <c r="I304" i="4" s="1"/>
  <c r="G305" i="4"/>
  <c r="I305" i="4" s="1"/>
  <c r="G306" i="4"/>
  <c r="I306" i="4" s="1"/>
  <c r="G308" i="4"/>
  <c r="I308" i="4" s="1"/>
  <c r="G309" i="4"/>
  <c r="I309" i="4" s="1"/>
  <c r="G307" i="4"/>
  <c r="I307" i="4" s="1"/>
  <c r="G313" i="4"/>
  <c r="I313" i="4" s="1"/>
  <c r="G310" i="4"/>
  <c r="I310" i="4" s="1"/>
  <c r="G315" i="4"/>
  <c r="I315" i="4" s="1"/>
  <c r="G317" i="4"/>
  <c r="I317" i="4" s="1"/>
  <c r="G316" i="4"/>
  <c r="I316" i="4" s="1"/>
  <c r="G320" i="4"/>
  <c r="I320" i="4" s="1"/>
  <c r="G319" i="4"/>
  <c r="I319" i="4" s="1"/>
  <c r="G318" i="4"/>
  <c r="I318" i="4" s="1"/>
  <c r="G321" i="4"/>
  <c r="I321" i="4" s="1"/>
  <c r="G324" i="4"/>
  <c r="I324" i="4" s="1"/>
  <c r="G325" i="4"/>
  <c r="I325" i="4" s="1"/>
  <c r="G323" i="4"/>
  <c r="I323" i="4" s="1"/>
  <c r="G322" i="4"/>
  <c r="I322" i="4" s="1"/>
  <c r="G328" i="4"/>
  <c r="I328" i="4" s="1"/>
  <c r="G330" i="4"/>
  <c r="I330" i="4" s="1"/>
  <c r="G329" i="4"/>
  <c r="I329" i="4" s="1"/>
  <c r="G335" i="4"/>
  <c r="I335" i="4" s="1"/>
  <c r="G334" i="4"/>
  <c r="I334" i="4" s="1"/>
  <c r="G332" i="4"/>
  <c r="I332" i="4" s="1"/>
  <c r="G337" i="4"/>
  <c r="I337" i="4" s="1"/>
  <c r="G336" i="4"/>
  <c r="I336" i="4" s="1"/>
  <c r="G338" i="4"/>
  <c r="I338" i="4" s="1"/>
  <c r="G345" i="4"/>
  <c r="I345" i="4" s="1"/>
  <c r="G339" i="4"/>
  <c r="I339" i="4" s="1"/>
  <c r="G341" i="4"/>
  <c r="I341" i="4" s="1"/>
  <c r="G340" i="4"/>
  <c r="I340" i="4" s="1"/>
  <c r="G343" i="4"/>
  <c r="I343" i="4" s="1"/>
  <c r="G346" i="4"/>
  <c r="I346" i="4" s="1"/>
  <c r="G347" i="4"/>
  <c r="I347" i="4" s="1"/>
  <c r="G348" i="4"/>
  <c r="I348" i="4" s="1"/>
  <c r="G350" i="4"/>
  <c r="I350" i="4" s="1"/>
  <c r="G351" i="4"/>
  <c r="I351" i="4" s="1"/>
  <c r="G354" i="4"/>
  <c r="I354" i="4" s="1"/>
  <c r="G352" i="4"/>
  <c r="I352" i="4" s="1"/>
  <c r="G353" i="4"/>
  <c r="I353" i="4" s="1"/>
  <c r="G358" i="4"/>
  <c r="I358" i="4" s="1"/>
  <c r="G355" i="4"/>
  <c r="I355" i="4" s="1"/>
  <c r="G359" i="4"/>
  <c r="I359" i="4" s="1"/>
  <c r="G357" i="4"/>
  <c r="I357" i="4" s="1"/>
  <c r="G363" i="4"/>
  <c r="I363" i="4" s="1"/>
  <c r="G361" i="4"/>
  <c r="I361" i="4" s="1"/>
  <c r="G362" i="4"/>
  <c r="I362" i="4" s="1"/>
  <c r="G360" i="4"/>
  <c r="I360" i="4" s="1"/>
  <c r="G366" i="4"/>
  <c r="I366" i="4" s="1"/>
  <c r="G369" i="4"/>
  <c r="I369" i="4" s="1"/>
  <c r="G364" i="4"/>
  <c r="I364" i="4" s="1"/>
  <c r="G372" i="4"/>
  <c r="I372" i="4" s="1"/>
  <c r="G373" i="4"/>
  <c r="I373" i="4" s="1"/>
  <c r="G371" i="4"/>
  <c r="I371" i="4" s="1"/>
  <c r="G370" i="4"/>
  <c r="I370" i="4" s="1"/>
  <c r="G376" i="4"/>
  <c r="I376" i="4" s="1"/>
  <c r="G374" i="4"/>
  <c r="I374" i="4" s="1"/>
  <c r="G379" i="4"/>
  <c r="I379" i="4" s="1"/>
  <c r="G375" i="4"/>
  <c r="I375" i="4" s="1"/>
  <c r="G383" i="4"/>
  <c r="I383" i="4" s="1"/>
  <c r="G380" i="4"/>
  <c r="I380" i="4" s="1"/>
  <c r="G385" i="4"/>
  <c r="I385" i="4" s="1"/>
  <c r="G388" i="4"/>
  <c r="I388" i="4" s="1"/>
  <c r="G390" i="4"/>
  <c r="I390" i="4" s="1"/>
  <c r="G389" i="4"/>
  <c r="I389" i="4" s="1"/>
  <c r="G391" i="4"/>
  <c r="I391" i="4" s="1"/>
  <c r="G394" i="4"/>
  <c r="I394" i="4" s="1"/>
  <c r="G392" i="4"/>
  <c r="I392" i="4" s="1"/>
  <c r="G393" i="4"/>
  <c r="I393" i="4" s="1"/>
  <c r="G401" i="4"/>
  <c r="I401" i="4" s="1"/>
  <c r="G397" i="4"/>
  <c r="I397" i="4" s="1"/>
  <c r="G396" i="4"/>
  <c r="I396" i="4" s="1"/>
  <c r="G407" i="4"/>
  <c r="I407" i="4" s="1"/>
  <c r="G405" i="4"/>
  <c r="I405" i="4" s="1"/>
  <c r="G408" i="4"/>
  <c r="I408" i="4" s="1"/>
  <c r="G404" i="4"/>
  <c r="I404" i="4" s="1"/>
  <c r="G410" i="4"/>
  <c r="I410" i="4" s="1"/>
  <c r="G409" i="4"/>
  <c r="I409" i="4" s="1"/>
  <c r="G412" i="4"/>
  <c r="I412" i="4" s="1"/>
  <c r="G411" i="4"/>
  <c r="I411" i="4" s="1"/>
  <c r="G413" i="4"/>
  <c r="I413" i="4" s="1"/>
  <c r="G419" i="4"/>
  <c r="I419" i="4" s="1"/>
  <c r="G414" i="4"/>
  <c r="I414" i="4" s="1"/>
  <c r="G416" i="4"/>
  <c r="I416" i="4" s="1"/>
  <c r="G417" i="4"/>
  <c r="I417" i="4" s="1"/>
  <c r="G420" i="4"/>
  <c r="I420" i="4" s="1"/>
  <c r="G424" i="4"/>
  <c r="I424" i="4" s="1"/>
  <c r="G421" i="4"/>
  <c r="I421" i="4" s="1"/>
  <c r="G425" i="4"/>
  <c r="I425" i="4" s="1"/>
  <c r="G429" i="4"/>
  <c r="I429" i="4" s="1"/>
  <c r="G426" i="4"/>
  <c r="I426" i="4" s="1"/>
  <c r="G427" i="4"/>
  <c r="I427" i="4" s="1"/>
  <c r="G432" i="4"/>
  <c r="I432" i="4" s="1"/>
  <c r="G435" i="4"/>
  <c r="I435" i="4" s="1"/>
  <c r="G437" i="4"/>
  <c r="I437" i="4" s="1"/>
  <c r="G433" i="4"/>
  <c r="I433" i="4" s="1"/>
  <c r="G431" i="4"/>
  <c r="I431" i="4" s="1"/>
  <c r="G430" i="4"/>
  <c r="I430" i="4" s="1"/>
  <c r="G441" i="4"/>
  <c r="I441" i="4" s="1"/>
  <c r="G439" i="4"/>
  <c r="I439" i="4" s="1"/>
  <c r="G434" i="4"/>
  <c r="I434" i="4" s="1"/>
  <c r="G436" i="4"/>
  <c r="I436" i="4" s="1"/>
  <c r="G438" i="4"/>
  <c r="I438" i="4" s="1"/>
  <c r="G440" i="4"/>
  <c r="I440" i="4" s="1"/>
  <c r="G446" i="4"/>
  <c r="I446" i="4" s="1"/>
  <c r="G450" i="4"/>
  <c r="I450" i="4" s="1"/>
  <c r="G447" i="4"/>
  <c r="I447" i="4" s="1"/>
  <c r="G448" i="4"/>
  <c r="I448" i="4" s="1"/>
  <c r="G442" i="4"/>
  <c r="I442" i="4" s="1"/>
  <c r="G443" i="4"/>
  <c r="I443" i="4" s="1"/>
  <c r="G449" i="4"/>
  <c r="I449" i="4" s="1"/>
  <c r="G451" i="4"/>
  <c r="I451" i="4" s="1"/>
  <c r="G445" i="4"/>
  <c r="I445" i="4" s="1"/>
  <c r="G452" i="4"/>
  <c r="I452" i="4" s="1"/>
  <c r="G453" i="4"/>
  <c r="I453" i="4" s="1"/>
  <c r="G457" i="4"/>
  <c r="I457" i="4" s="1"/>
  <c r="G455" i="4"/>
  <c r="I455" i="4" s="1"/>
  <c r="G456" i="4"/>
  <c r="I456" i="4" s="1"/>
  <c r="G454" i="4"/>
  <c r="I454" i="4" s="1"/>
  <c r="G459" i="4"/>
  <c r="I459" i="4" s="1"/>
  <c r="G460" i="4"/>
  <c r="I460" i="4" s="1"/>
  <c r="G463" i="4"/>
  <c r="I463" i="4" s="1"/>
  <c r="G465" i="4"/>
  <c r="I465" i="4" s="1"/>
  <c r="G464" i="4"/>
  <c r="I464" i="4" s="1"/>
  <c r="G466" i="4"/>
  <c r="I466" i="4" s="1"/>
  <c r="G473" i="4"/>
  <c r="I473" i="4" s="1"/>
  <c r="G467" i="4"/>
  <c r="I467" i="4" s="1"/>
  <c r="G474" i="4"/>
  <c r="I474" i="4" s="1"/>
  <c r="G475" i="4"/>
  <c r="I475" i="4" s="1"/>
  <c r="G471" i="4"/>
  <c r="I471" i="4" s="1"/>
  <c r="G472" i="4"/>
  <c r="I472" i="4" s="1"/>
  <c r="G469" i="4"/>
  <c r="I469" i="4" s="1"/>
  <c r="G470" i="4"/>
  <c r="I470" i="4" s="1"/>
  <c r="G468" i="4"/>
  <c r="I468" i="4" s="1"/>
  <c r="G476" i="4"/>
  <c r="I476" i="4" s="1"/>
  <c r="G480" i="4"/>
  <c r="I480" i="4" s="1"/>
  <c r="G479" i="4"/>
  <c r="I479" i="4" s="1"/>
  <c r="G481" i="4"/>
  <c r="I481" i="4" s="1"/>
  <c r="G486" i="4"/>
  <c r="I486" i="4" s="1"/>
  <c r="G485" i="4"/>
  <c r="I485" i="4" s="1"/>
  <c r="G484" i="4"/>
  <c r="I484" i="4" s="1"/>
  <c r="G490" i="4"/>
  <c r="I490" i="4" s="1"/>
  <c r="G489" i="4"/>
  <c r="I489" i="4" s="1"/>
  <c r="G493" i="4"/>
  <c r="I493" i="4" s="1"/>
  <c r="G487" i="4"/>
  <c r="I487" i="4" s="1"/>
  <c r="G492" i="4"/>
  <c r="I492" i="4" s="1"/>
  <c r="G491" i="4"/>
  <c r="I491" i="4" s="1"/>
  <c r="G499" i="4"/>
  <c r="I499" i="4" s="1"/>
  <c r="G495" i="4"/>
  <c r="I495" i="4" s="1"/>
  <c r="G497" i="4"/>
  <c r="I497" i="4" s="1"/>
  <c r="G505" i="4"/>
  <c r="I505" i="4" s="1"/>
  <c r="G506" i="4"/>
  <c r="I506" i="4" s="1"/>
  <c r="G510" i="4"/>
  <c r="I510" i="4" s="1"/>
  <c r="G508" i="4"/>
  <c r="I508" i="4" s="1"/>
  <c r="G509" i="4"/>
  <c r="I509" i="4" s="1"/>
  <c r="G507" i="4"/>
  <c r="I507" i="4" s="1"/>
  <c r="G513" i="4"/>
  <c r="I513" i="4" s="1"/>
  <c r="G516" i="4"/>
  <c r="I516" i="4" s="1"/>
  <c r="G519" i="4"/>
  <c r="I519" i="4" s="1"/>
  <c r="G518" i="4"/>
  <c r="I518" i="4" s="1"/>
  <c r="G520" i="4"/>
  <c r="I520" i="4" s="1"/>
  <c r="G515" i="4"/>
  <c r="I515" i="4" s="1"/>
  <c r="G517" i="4"/>
  <c r="I517" i="4" s="1"/>
  <c r="G514" i="4"/>
  <c r="I514" i="4" s="1"/>
  <c r="G531" i="4"/>
  <c r="I531" i="4" s="1"/>
  <c r="G525" i="4"/>
  <c r="I525" i="4" s="1"/>
  <c r="G528" i="4"/>
  <c r="I528" i="4" s="1"/>
  <c r="G522" i="4"/>
  <c r="I522" i="4" s="1"/>
  <c r="G521" i="4"/>
  <c r="I521" i="4" s="1"/>
  <c r="G524" i="4"/>
  <c r="I524" i="4" s="1"/>
  <c r="G532" i="4"/>
  <c r="I532" i="4" s="1"/>
  <c r="G527" i="4"/>
  <c r="I527" i="4" s="1"/>
  <c r="G533" i="4"/>
  <c r="I533" i="4" s="1"/>
  <c r="G523" i="4"/>
  <c r="I523" i="4" s="1"/>
  <c r="G529" i="4"/>
  <c r="I529" i="4" s="1"/>
  <c r="G526" i="4"/>
  <c r="I526" i="4" s="1"/>
  <c r="G530" i="4"/>
  <c r="I530" i="4" s="1"/>
  <c r="G540" i="4"/>
  <c r="I540" i="4" s="1"/>
  <c r="G537" i="4"/>
  <c r="I537" i="4" s="1"/>
  <c r="G535" i="4"/>
  <c r="I535" i="4" s="1"/>
  <c r="G539" i="4"/>
  <c r="I539" i="4" s="1"/>
  <c r="G536" i="4"/>
  <c r="I536" i="4" s="1"/>
  <c r="G538" i="4"/>
  <c r="I538" i="4" s="1"/>
  <c r="G534" i="4"/>
  <c r="I534" i="4" s="1"/>
  <c r="G545" i="4"/>
  <c r="I545" i="4" s="1"/>
  <c r="G544" i="4"/>
  <c r="I544" i="4" s="1"/>
  <c r="G543" i="4"/>
  <c r="I543" i="4" s="1"/>
  <c r="G542" i="4"/>
  <c r="I542" i="4" s="1"/>
  <c r="G549" i="4"/>
  <c r="I549" i="4" s="1"/>
  <c r="G548" i="4"/>
  <c r="I548" i="4" s="1"/>
  <c r="G547" i="4"/>
  <c r="I547" i="4" s="1"/>
  <c r="G546" i="4"/>
  <c r="I546" i="4" s="1"/>
  <c r="G554" i="4"/>
  <c r="I554" i="4" s="1"/>
  <c r="G555" i="4"/>
  <c r="I555" i="4" s="1"/>
  <c r="G559" i="4"/>
  <c r="I559" i="4" s="1"/>
  <c r="G556" i="4"/>
  <c r="I556" i="4" s="1"/>
  <c r="G553" i="4"/>
  <c r="I553" i="4" s="1"/>
  <c r="G552" i="4"/>
  <c r="I552" i="4" s="1"/>
  <c r="G550" i="4"/>
  <c r="I550" i="4" s="1"/>
  <c r="G557" i="4"/>
  <c r="I557" i="4" s="1"/>
  <c r="G558" i="4"/>
  <c r="I558" i="4" s="1"/>
  <c r="G551" i="4"/>
  <c r="I551" i="4" s="1"/>
  <c r="G562" i="4"/>
  <c r="I562" i="4" s="1"/>
  <c r="G565" i="4"/>
  <c r="I565" i="4" s="1"/>
  <c r="G564" i="4"/>
  <c r="I564" i="4" s="1"/>
  <c r="G563" i="4"/>
  <c r="I563" i="4" s="1"/>
  <c r="G561" i="4"/>
  <c r="I561" i="4" s="1"/>
  <c r="G560" i="4"/>
  <c r="I560" i="4" s="1"/>
  <c r="G567" i="4"/>
  <c r="I567" i="4" s="1"/>
  <c r="G566" i="4"/>
  <c r="I566" i="4" s="1"/>
  <c r="G571" i="4"/>
  <c r="I571" i="4" s="1"/>
  <c r="G568" i="4"/>
  <c r="I568" i="4" s="1"/>
  <c r="G570" i="4"/>
  <c r="I570" i="4" s="1"/>
  <c r="G572" i="4"/>
  <c r="I572" i="4" s="1"/>
  <c r="G575" i="4"/>
  <c r="I575" i="4" s="1"/>
  <c r="G573" i="4"/>
  <c r="I573" i="4" s="1"/>
  <c r="G579" i="4"/>
  <c r="I579" i="4" s="1"/>
  <c r="G574" i="4"/>
  <c r="I574" i="4" s="1"/>
  <c r="G576" i="4"/>
  <c r="I576" i="4" s="1"/>
  <c r="G580" i="4"/>
  <c r="I580" i="4" s="1"/>
  <c r="G582" i="4"/>
  <c r="I582" i="4" s="1"/>
  <c r="G581" i="4"/>
  <c r="I581" i="4" s="1"/>
  <c r="G585" i="4"/>
  <c r="I585" i="4" s="1"/>
  <c r="G584" i="4"/>
  <c r="I584" i="4" s="1"/>
  <c r="G583" i="4"/>
  <c r="I583" i="4" s="1"/>
  <c r="G586" i="4"/>
  <c r="I586" i="4" s="1"/>
  <c r="G590" i="4"/>
  <c r="I590" i="4" s="1"/>
  <c r="G592" i="4"/>
  <c r="I592" i="4" s="1"/>
  <c r="G588" i="4"/>
  <c r="I588" i="4" s="1"/>
  <c r="G591" i="4"/>
  <c r="I591" i="4" s="1"/>
  <c r="G593" i="4"/>
  <c r="I593" i="4" s="1"/>
  <c r="G599" i="4"/>
  <c r="I599" i="4" s="1"/>
  <c r="G595" i="4"/>
  <c r="I595" i="4" s="1"/>
  <c r="G597" i="4"/>
  <c r="I597" i="4" s="1"/>
  <c r="G596" i="4"/>
  <c r="I596" i="4" s="1"/>
  <c r="G598" i="4"/>
  <c r="I598" i="4" s="1"/>
  <c r="G600" i="4"/>
  <c r="I600" i="4" s="1"/>
  <c r="G602" i="4"/>
  <c r="I602" i="4" s="1"/>
  <c r="G601" i="4"/>
  <c r="I601" i="4" s="1"/>
  <c r="G606" i="4"/>
  <c r="I606" i="4" s="1"/>
  <c r="G605" i="4"/>
  <c r="I605" i="4" s="1"/>
  <c r="G607" i="4"/>
  <c r="I607" i="4" s="1"/>
  <c r="G609" i="4"/>
  <c r="I609" i="4" s="1"/>
  <c r="G608" i="4"/>
  <c r="I608" i="4" s="1"/>
  <c r="G610" i="4"/>
  <c r="I610" i="4" s="1"/>
  <c r="G611" i="4"/>
  <c r="I611" i="4" s="1"/>
  <c r="G612" i="4"/>
  <c r="I612" i="4" s="1"/>
  <c r="G613" i="4"/>
  <c r="I613" i="4" s="1"/>
  <c r="G614" i="4"/>
  <c r="I614" i="4" s="1"/>
  <c r="G618" i="4"/>
  <c r="I618" i="4" s="1"/>
  <c r="G617" i="4"/>
  <c r="I617" i="4" s="1"/>
  <c r="G616" i="4"/>
  <c r="I616" i="4" s="1"/>
  <c r="G621" i="4"/>
  <c r="I621" i="4" s="1"/>
  <c r="G619" i="4"/>
  <c r="I619" i="4" s="1"/>
  <c r="G620" i="4"/>
  <c r="I620" i="4" s="1"/>
  <c r="G626" i="4"/>
  <c r="I626" i="4" s="1"/>
  <c r="G623" i="4"/>
  <c r="I623" i="4" s="1"/>
  <c r="G625" i="4"/>
  <c r="I625" i="4" s="1"/>
  <c r="G628" i="4"/>
  <c r="I628" i="4" s="1"/>
  <c r="G629" i="4"/>
  <c r="I629" i="4" s="1"/>
  <c r="G627" i="4"/>
  <c r="I627" i="4" s="1"/>
  <c r="G633" i="4"/>
  <c r="I633" i="4" s="1"/>
  <c r="G632" i="4"/>
  <c r="I632" i="4" s="1"/>
  <c r="H22" i="4"/>
  <c r="H21" i="4"/>
  <c r="H27" i="4"/>
  <c r="H28" i="4"/>
  <c r="H26" i="4"/>
  <c r="H30" i="4"/>
  <c r="H31" i="4"/>
  <c r="H35" i="4"/>
  <c r="H39" i="4"/>
  <c r="H40" i="4"/>
  <c r="H42" i="4"/>
  <c r="H43" i="4"/>
  <c r="H44" i="4"/>
  <c r="H41" i="4"/>
  <c r="H45" i="4"/>
  <c r="H46" i="4"/>
  <c r="H48" i="4"/>
  <c r="H50" i="4"/>
  <c r="H49" i="4"/>
  <c r="H55" i="4"/>
  <c r="H56" i="4"/>
  <c r="H57" i="4"/>
  <c r="H61" i="4"/>
  <c r="H59" i="4"/>
  <c r="H65" i="4"/>
  <c r="H58" i="4"/>
  <c r="H66" i="4"/>
  <c r="H68" i="4"/>
  <c r="H69" i="4"/>
  <c r="H67" i="4"/>
  <c r="H74" i="4"/>
  <c r="H76" i="4"/>
  <c r="H70" i="4"/>
  <c r="H72" i="4"/>
  <c r="H71" i="4"/>
  <c r="H73" i="4"/>
  <c r="H75" i="4"/>
  <c r="H83" i="4"/>
  <c r="H80" i="4"/>
  <c r="H84" i="4"/>
  <c r="H79" i="4"/>
  <c r="H81" i="4"/>
  <c r="H77" i="4"/>
  <c r="H86" i="4"/>
  <c r="H92" i="4"/>
  <c r="H89" i="4"/>
  <c r="H91" i="4"/>
  <c r="H93" i="4"/>
  <c r="H88" i="4"/>
  <c r="H96" i="4"/>
  <c r="H99" i="4"/>
  <c r="H102" i="4"/>
  <c r="H100" i="4"/>
  <c r="H98" i="4"/>
  <c r="H103" i="4"/>
  <c r="H106" i="4"/>
  <c r="H105" i="4"/>
  <c r="H107" i="4"/>
  <c r="H109" i="4"/>
  <c r="H104" i="4"/>
  <c r="H108" i="4"/>
  <c r="H111" i="4"/>
  <c r="H110" i="4"/>
  <c r="H116" i="4"/>
  <c r="H115" i="4"/>
  <c r="H118" i="4"/>
  <c r="H119" i="4"/>
  <c r="H120" i="4"/>
  <c r="H129" i="4"/>
  <c r="H130" i="4"/>
  <c r="H135" i="4"/>
  <c r="H126" i="4"/>
  <c r="H136" i="4"/>
  <c r="H127" i="4"/>
  <c r="H128" i="4"/>
  <c r="H132" i="4"/>
  <c r="H131" i="4"/>
  <c r="H137" i="4"/>
  <c r="H140" i="4"/>
  <c r="H139" i="4"/>
  <c r="H138" i="4"/>
  <c r="H144" i="4"/>
  <c r="H143" i="4"/>
  <c r="H141" i="4"/>
  <c r="H149" i="4"/>
  <c r="H153" i="4"/>
  <c r="H152" i="4"/>
  <c r="H154" i="4"/>
  <c r="H155" i="4"/>
  <c r="H157" i="4"/>
  <c r="H159" i="4"/>
  <c r="H160" i="4"/>
  <c r="H161" i="4"/>
  <c r="H162" i="4"/>
  <c r="H163" i="4"/>
  <c r="H164" i="4"/>
  <c r="H165" i="4"/>
  <c r="H166" i="4"/>
  <c r="H167" i="4"/>
  <c r="H168" i="4"/>
  <c r="H171" i="4"/>
  <c r="H170" i="4"/>
  <c r="H172" i="4"/>
  <c r="H175" i="4"/>
  <c r="H173" i="4"/>
  <c r="H174" i="4"/>
  <c r="H176" i="4"/>
  <c r="H177" i="4"/>
  <c r="H180" i="4"/>
  <c r="H183" i="4"/>
  <c r="H181" i="4"/>
  <c r="H179" i="4"/>
  <c r="H182" i="4"/>
  <c r="H189" i="4"/>
  <c r="H191" i="4"/>
  <c r="H188" i="4"/>
  <c r="H184" i="4"/>
  <c r="H186" i="4"/>
  <c r="H192" i="4"/>
  <c r="H187" i="4"/>
  <c r="H185" i="4"/>
  <c r="H196" i="4"/>
  <c r="H198" i="4"/>
  <c r="H199" i="4"/>
  <c r="H197" i="4"/>
  <c r="H202" i="4"/>
  <c r="H203" i="4"/>
  <c r="H200" i="4"/>
  <c r="H201" i="4"/>
  <c r="H204" i="4"/>
  <c r="H206" i="4"/>
  <c r="H207" i="4"/>
  <c r="H213" i="4"/>
  <c r="H210" i="4"/>
  <c r="H214" i="4"/>
  <c r="H216" i="4"/>
  <c r="H215" i="4"/>
  <c r="H209" i="4"/>
  <c r="H211" i="4"/>
  <c r="H208" i="4"/>
  <c r="H212" i="4"/>
  <c r="H217" i="4"/>
  <c r="H218" i="4"/>
  <c r="H220" i="4"/>
  <c r="H222" i="4"/>
  <c r="H226" i="4"/>
  <c r="H225" i="4"/>
  <c r="H223" i="4"/>
  <c r="H227" i="4"/>
  <c r="H228" i="4"/>
  <c r="H229" i="4"/>
  <c r="H231" i="4"/>
  <c r="H232" i="4"/>
  <c r="H236" i="4"/>
  <c r="H233" i="4"/>
  <c r="H235" i="4"/>
  <c r="H234" i="4"/>
  <c r="H238" i="4"/>
  <c r="H237" i="4"/>
  <c r="H239" i="4"/>
  <c r="H241" i="4"/>
  <c r="H240" i="4"/>
  <c r="H247" i="4"/>
  <c r="H251" i="4"/>
  <c r="H248" i="4"/>
  <c r="H245" i="4"/>
  <c r="H246" i="4"/>
  <c r="H252" i="4"/>
  <c r="H255" i="4"/>
  <c r="H254" i="4"/>
  <c r="H253" i="4"/>
  <c r="H258" i="4"/>
  <c r="H260" i="4"/>
  <c r="H259" i="4"/>
  <c r="H257" i="4"/>
  <c r="H265" i="4"/>
  <c r="H264" i="4"/>
  <c r="H261" i="4"/>
  <c r="H262" i="4"/>
  <c r="H266" i="4"/>
  <c r="H268" i="4"/>
  <c r="H267" i="4"/>
  <c r="H269" i="4"/>
  <c r="H270" i="4"/>
  <c r="H271" i="4"/>
  <c r="H272" i="4"/>
  <c r="H276" i="4"/>
  <c r="H274" i="4"/>
  <c r="H275" i="4"/>
  <c r="H277" i="4"/>
  <c r="H279" i="4"/>
  <c r="H278" i="4"/>
  <c r="H280" i="4"/>
  <c r="H281" i="4"/>
  <c r="H283" i="4"/>
  <c r="H286" i="4"/>
  <c r="H285" i="4"/>
  <c r="H288" i="4"/>
  <c r="H292" i="4"/>
  <c r="H293" i="4"/>
  <c r="H295" i="4"/>
  <c r="H294" i="4"/>
  <c r="H296" i="4"/>
  <c r="H298" i="4"/>
  <c r="H301" i="4"/>
  <c r="H300" i="4"/>
  <c r="H299" i="4"/>
  <c r="H302" i="4"/>
  <c r="H303" i="4"/>
  <c r="H304" i="4"/>
  <c r="H305" i="4"/>
  <c r="H306" i="4"/>
  <c r="H308" i="4"/>
  <c r="H309" i="4"/>
  <c r="H307" i="4"/>
  <c r="H313" i="4"/>
  <c r="H310" i="4"/>
  <c r="H315" i="4"/>
  <c r="H317" i="4"/>
  <c r="H316" i="4"/>
  <c r="H320" i="4"/>
  <c r="H319" i="4"/>
  <c r="H318" i="4"/>
  <c r="H321" i="4"/>
  <c r="H324" i="4"/>
  <c r="H325" i="4"/>
  <c r="H323" i="4"/>
  <c r="H322" i="4"/>
  <c r="H328" i="4"/>
  <c r="H330" i="4"/>
  <c r="H329" i="4"/>
  <c r="H335" i="4"/>
  <c r="H334" i="4"/>
  <c r="H332" i="4"/>
  <c r="H337" i="4"/>
  <c r="H336" i="4"/>
  <c r="H338" i="4"/>
  <c r="H345" i="4"/>
  <c r="H339" i="4"/>
  <c r="H341" i="4"/>
  <c r="H340" i="4"/>
  <c r="H343" i="4"/>
  <c r="H346" i="4"/>
  <c r="H347" i="4"/>
  <c r="H348" i="4"/>
  <c r="H350" i="4"/>
  <c r="H351" i="4"/>
  <c r="H354" i="4"/>
  <c r="H352" i="4"/>
  <c r="H353" i="4"/>
  <c r="H358" i="4"/>
  <c r="H355" i="4"/>
  <c r="H359" i="4"/>
  <c r="H357" i="4"/>
  <c r="H363" i="4"/>
  <c r="H361" i="4"/>
  <c r="H362" i="4"/>
  <c r="H360" i="4"/>
  <c r="H366" i="4"/>
  <c r="H369" i="4"/>
  <c r="H364" i="4"/>
  <c r="H372" i="4"/>
  <c r="H373" i="4"/>
  <c r="H371" i="4"/>
  <c r="H370" i="4"/>
  <c r="H376" i="4"/>
  <c r="H374" i="4"/>
  <c r="H379" i="4"/>
  <c r="H375" i="4"/>
  <c r="H383" i="4"/>
  <c r="H380" i="4"/>
  <c r="H385" i="4"/>
  <c r="H388" i="4"/>
  <c r="H390" i="4"/>
  <c r="H389" i="4"/>
  <c r="H391" i="4"/>
  <c r="H394" i="4"/>
  <c r="H392" i="4"/>
  <c r="H393" i="4"/>
  <c r="H401" i="4"/>
  <c r="H397" i="4"/>
  <c r="H396" i="4"/>
  <c r="H407" i="4"/>
  <c r="H405" i="4"/>
  <c r="H408" i="4"/>
  <c r="H404" i="4"/>
  <c r="H410" i="4"/>
  <c r="H409" i="4"/>
  <c r="H412" i="4"/>
  <c r="H411" i="4"/>
  <c r="H413" i="4"/>
  <c r="H419" i="4"/>
  <c r="H414" i="4"/>
  <c r="H416" i="4"/>
  <c r="H417" i="4"/>
  <c r="H420" i="4"/>
  <c r="H424" i="4"/>
  <c r="H421" i="4"/>
  <c r="H425" i="4"/>
  <c r="H429" i="4"/>
  <c r="H426" i="4"/>
  <c r="H427" i="4"/>
  <c r="H432" i="4"/>
  <c r="H435" i="4"/>
  <c r="H437" i="4"/>
  <c r="H433" i="4"/>
  <c r="H431" i="4"/>
  <c r="H430" i="4"/>
  <c r="H441" i="4"/>
  <c r="H439" i="4"/>
  <c r="H434" i="4"/>
  <c r="H436" i="4"/>
  <c r="H438" i="4"/>
  <c r="H440" i="4"/>
  <c r="H446" i="4"/>
  <c r="H450" i="4"/>
  <c r="H447" i="4"/>
  <c r="H448" i="4"/>
  <c r="H442" i="4"/>
  <c r="H443" i="4"/>
  <c r="H449" i="4"/>
  <c r="H451" i="4"/>
  <c r="H445" i="4"/>
  <c r="H452" i="4"/>
  <c r="H453" i="4"/>
  <c r="H457" i="4"/>
  <c r="H455" i="4"/>
  <c r="H456" i="4"/>
  <c r="H454" i="4"/>
  <c r="H459" i="4"/>
  <c r="H460" i="4"/>
  <c r="H463" i="4"/>
  <c r="H465" i="4"/>
  <c r="H464" i="4"/>
  <c r="H466" i="4"/>
  <c r="H473" i="4"/>
  <c r="H467" i="4"/>
  <c r="H474" i="4"/>
  <c r="H475" i="4"/>
  <c r="H471" i="4"/>
  <c r="H472" i="4"/>
  <c r="H469" i="4"/>
  <c r="H470" i="4"/>
  <c r="H468" i="4"/>
  <c r="H476" i="4"/>
  <c r="H480" i="4"/>
  <c r="H479" i="4"/>
  <c r="H481" i="4"/>
  <c r="H486" i="4"/>
  <c r="H485" i="4"/>
  <c r="H484" i="4"/>
  <c r="H490" i="4"/>
  <c r="H489" i="4"/>
  <c r="H493" i="4"/>
  <c r="H487" i="4"/>
  <c r="H492" i="4"/>
  <c r="H491" i="4"/>
  <c r="H499" i="4"/>
  <c r="H495" i="4"/>
  <c r="H497" i="4"/>
  <c r="H505" i="4"/>
  <c r="H506" i="4"/>
  <c r="H510" i="4"/>
  <c r="H508" i="4"/>
  <c r="H509" i="4"/>
  <c r="H507" i="4"/>
  <c r="H513" i="4"/>
  <c r="H516" i="4"/>
  <c r="H519" i="4"/>
  <c r="H518" i="4"/>
  <c r="H520" i="4"/>
  <c r="H515" i="4"/>
  <c r="H517" i="4"/>
  <c r="H514" i="4"/>
  <c r="H531" i="4"/>
  <c r="H525" i="4"/>
  <c r="H528" i="4"/>
  <c r="H522" i="4"/>
  <c r="H521" i="4"/>
  <c r="H524" i="4"/>
  <c r="H532" i="4"/>
  <c r="H527" i="4"/>
  <c r="H533" i="4"/>
  <c r="H523" i="4"/>
  <c r="H529" i="4"/>
  <c r="H526" i="4"/>
  <c r="H530" i="4"/>
  <c r="H540" i="4"/>
  <c r="H537" i="4"/>
  <c r="H535" i="4"/>
  <c r="H539" i="4"/>
  <c r="H536" i="4"/>
  <c r="H538" i="4"/>
  <c r="H534" i="4"/>
  <c r="H545" i="4"/>
  <c r="H544" i="4"/>
  <c r="H543" i="4"/>
  <c r="H542" i="4"/>
  <c r="H549" i="4"/>
  <c r="H548" i="4"/>
  <c r="H547" i="4"/>
  <c r="H546" i="4"/>
  <c r="H554" i="4"/>
  <c r="H555" i="4"/>
  <c r="H559" i="4"/>
  <c r="H556" i="4"/>
  <c r="H553" i="4"/>
  <c r="H552" i="4"/>
  <c r="H550" i="4"/>
  <c r="H557" i="4"/>
  <c r="H558" i="4"/>
  <c r="H551" i="4"/>
  <c r="H562" i="4"/>
  <c r="H565" i="4"/>
  <c r="H564" i="4"/>
  <c r="H563" i="4"/>
  <c r="H561" i="4"/>
  <c r="H560" i="4"/>
  <c r="H567" i="4"/>
  <c r="H566" i="4"/>
  <c r="H571" i="4"/>
  <c r="H568" i="4"/>
  <c r="H570" i="4"/>
  <c r="H572" i="4"/>
  <c r="H575" i="4"/>
  <c r="H573" i="4"/>
  <c r="H579" i="4"/>
  <c r="H574" i="4"/>
  <c r="H576" i="4"/>
  <c r="H580" i="4"/>
  <c r="H582" i="4"/>
  <c r="H581" i="4"/>
  <c r="H585" i="4"/>
  <c r="H584" i="4"/>
  <c r="H583" i="4"/>
  <c r="H586" i="4"/>
  <c r="H590" i="4"/>
  <c r="H592" i="4"/>
  <c r="H588" i="4"/>
  <c r="H591" i="4"/>
  <c r="H593" i="4"/>
  <c r="H599" i="4"/>
  <c r="H595" i="4"/>
  <c r="H597" i="4"/>
  <c r="H596" i="4"/>
  <c r="H598" i="4"/>
  <c r="H600" i="4"/>
  <c r="H602" i="4"/>
  <c r="H601" i="4"/>
  <c r="H606" i="4"/>
  <c r="H605" i="4"/>
  <c r="H607" i="4"/>
  <c r="H609" i="4"/>
  <c r="H608" i="4"/>
  <c r="H610" i="4"/>
  <c r="H611" i="4"/>
  <c r="H612" i="4"/>
  <c r="H613" i="4"/>
  <c r="H614" i="4"/>
  <c r="H618" i="4"/>
  <c r="H617" i="4"/>
  <c r="H616" i="4"/>
  <c r="H621" i="4"/>
  <c r="H619" i="4"/>
  <c r="H620" i="4"/>
  <c r="H626" i="4"/>
  <c r="H623" i="4"/>
  <c r="H625" i="4"/>
  <c r="H628" i="4"/>
  <c r="H629" i="4"/>
  <c r="H627" i="4"/>
  <c r="H633" i="4"/>
  <c r="H632" i="4"/>
  <c r="M22" i="4"/>
  <c r="M21" i="4"/>
  <c r="M27" i="4"/>
  <c r="M28" i="4"/>
  <c r="M26" i="4"/>
  <c r="M30" i="4"/>
  <c r="M31" i="4"/>
  <c r="M35" i="4"/>
  <c r="M39" i="4"/>
  <c r="M40" i="4"/>
  <c r="M42" i="4"/>
  <c r="M43" i="4"/>
  <c r="M44" i="4"/>
  <c r="M41" i="4"/>
  <c r="M45" i="4"/>
  <c r="M46" i="4"/>
  <c r="M48" i="4"/>
  <c r="M50" i="4"/>
  <c r="M49" i="4"/>
  <c r="M55" i="4"/>
  <c r="M56" i="4"/>
  <c r="M57" i="4"/>
  <c r="M61" i="4"/>
  <c r="M59" i="4"/>
  <c r="M65" i="4"/>
  <c r="M58" i="4"/>
  <c r="M66" i="4"/>
  <c r="M68" i="4"/>
  <c r="M69" i="4"/>
  <c r="M67" i="4"/>
  <c r="M74" i="4"/>
  <c r="M76" i="4"/>
  <c r="M70" i="4"/>
  <c r="M72" i="4"/>
  <c r="M71" i="4"/>
  <c r="M73" i="4"/>
  <c r="M75" i="4"/>
  <c r="M83" i="4"/>
  <c r="M80" i="4"/>
  <c r="M84" i="4"/>
  <c r="M79" i="4"/>
  <c r="M81" i="4"/>
  <c r="M77" i="4"/>
  <c r="M86" i="4"/>
  <c r="M92" i="4"/>
  <c r="M89" i="4"/>
  <c r="M91" i="4"/>
  <c r="M93" i="4"/>
  <c r="M88" i="4"/>
  <c r="M96" i="4"/>
  <c r="M99" i="4"/>
  <c r="M102" i="4"/>
  <c r="M100" i="4"/>
  <c r="M98" i="4"/>
  <c r="M103" i="4"/>
  <c r="M106" i="4"/>
  <c r="M105" i="4"/>
  <c r="M107" i="4"/>
  <c r="M109" i="4"/>
  <c r="M104" i="4"/>
  <c r="M108" i="4"/>
  <c r="M111" i="4"/>
  <c r="M110" i="4"/>
  <c r="M116" i="4"/>
  <c r="M115" i="4"/>
  <c r="M118" i="4"/>
  <c r="M119" i="4"/>
  <c r="M120" i="4"/>
  <c r="M129" i="4"/>
  <c r="M130" i="4"/>
  <c r="M135" i="4"/>
  <c r="M126" i="4"/>
  <c r="M136" i="4"/>
  <c r="M127" i="4"/>
  <c r="M128" i="4"/>
  <c r="M132" i="4"/>
  <c r="M131" i="4"/>
  <c r="M137" i="4"/>
  <c r="M140" i="4"/>
  <c r="M139" i="4"/>
  <c r="M138" i="4"/>
  <c r="M144" i="4"/>
  <c r="M143" i="4"/>
  <c r="M141" i="4"/>
  <c r="M149" i="4"/>
  <c r="M153" i="4"/>
  <c r="M152" i="4"/>
  <c r="M154" i="4"/>
  <c r="M155" i="4"/>
  <c r="M157" i="4"/>
  <c r="M159" i="4"/>
  <c r="M160" i="4"/>
  <c r="M161" i="4"/>
  <c r="M162" i="4"/>
  <c r="M163" i="4"/>
  <c r="M164" i="4"/>
  <c r="M165" i="4"/>
  <c r="M166" i="4"/>
  <c r="M167" i="4"/>
  <c r="M168" i="4"/>
  <c r="M171" i="4"/>
  <c r="M170" i="4"/>
  <c r="M172" i="4"/>
  <c r="M175" i="4"/>
  <c r="M173" i="4"/>
  <c r="M174" i="4"/>
  <c r="M176" i="4"/>
  <c r="M177" i="4"/>
  <c r="M180" i="4"/>
  <c r="M183" i="4"/>
  <c r="M181" i="4"/>
  <c r="M179" i="4"/>
  <c r="M182" i="4"/>
  <c r="M189" i="4"/>
  <c r="M191" i="4"/>
  <c r="M188" i="4"/>
  <c r="M184" i="4"/>
  <c r="M186" i="4"/>
  <c r="M192" i="4"/>
  <c r="M187" i="4"/>
  <c r="M185" i="4"/>
  <c r="M196" i="4"/>
  <c r="M198" i="4"/>
  <c r="M199" i="4"/>
  <c r="M197" i="4"/>
  <c r="M202" i="4"/>
  <c r="M203" i="4"/>
  <c r="M200" i="4"/>
  <c r="M201" i="4"/>
  <c r="M204" i="4"/>
  <c r="M206" i="4"/>
  <c r="M207" i="4"/>
  <c r="M213" i="4"/>
  <c r="M210" i="4"/>
  <c r="M214" i="4"/>
  <c r="M216" i="4"/>
  <c r="M215" i="4"/>
  <c r="M209" i="4"/>
  <c r="M211" i="4"/>
  <c r="M208" i="4"/>
  <c r="M212" i="4"/>
  <c r="M217" i="4"/>
  <c r="M218" i="4"/>
  <c r="M220" i="4"/>
  <c r="M222" i="4"/>
  <c r="M226" i="4"/>
  <c r="M225" i="4"/>
  <c r="M223" i="4"/>
  <c r="M227" i="4"/>
  <c r="M228" i="4"/>
  <c r="M229" i="4"/>
  <c r="M231" i="4"/>
  <c r="M232" i="4"/>
  <c r="M236" i="4"/>
  <c r="M233" i="4"/>
  <c r="M235" i="4"/>
  <c r="M234" i="4"/>
  <c r="M238" i="4"/>
  <c r="M237" i="4"/>
  <c r="M239" i="4"/>
  <c r="M241" i="4"/>
  <c r="M240" i="4"/>
  <c r="M247" i="4"/>
  <c r="M251" i="4"/>
  <c r="M248" i="4"/>
  <c r="M245" i="4"/>
  <c r="M246" i="4"/>
  <c r="M252" i="4"/>
  <c r="M255" i="4"/>
  <c r="M254" i="4"/>
  <c r="M253" i="4"/>
  <c r="M258" i="4"/>
  <c r="M260" i="4"/>
  <c r="M259" i="4"/>
  <c r="M257" i="4"/>
  <c r="M265" i="4"/>
  <c r="M264" i="4"/>
  <c r="M261" i="4"/>
  <c r="M262" i="4"/>
  <c r="M266" i="4"/>
  <c r="M268" i="4"/>
  <c r="M267" i="4"/>
  <c r="M269" i="4"/>
  <c r="M270" i="4"/>
  <c r="M271" i="4"/>
  <c r="M272" i="4"/>
  <c r="M276" i="4"/>
  <c r="M274" i="4"/>
  <c r="M275" i="4"/>
  <c r="M277" i="4"/>
  <c r="M279" i="4"/>
  <c r="M278" i="4"/>
  <c r="M280" i="4"/>
  <c r="M281" i="4"/>
  <c r="M283" i="4"/>
  <c r="M286" i="4"/>
  <c r="M285" i="4"/>
  <c r="M288" i="4"/>
  <c r="M292" i="4"/>
  <c r="M293" i="4"/>
  <c r="M295" i="4"/>
  <c r="M294" i="4"/>
  <c r="M296" i="4"/>
  <c r="M298" i="4"/>
  <c r="M301" i="4"/>
  <c r="M300" i="4"/>
  <c r="M299" i="4"/>
  <c r="M302" i="4"/>
  <c r="M303" i="4"/>
  <c r="M304" i="4"/>
  <c r="M305" i="4"/>
  <c r="M306" i="4"/>
  <c r="M308" i="4"/>
  <c r="M309" i="4"/>
  <c r="M307" i="4"/>
  <c r="M313" i="4"/>
  <c r="M310" i="4"/>
  <c r="M315" i="4"/>
  <c r="M317" i="4"/>
  <c r="M316" i="4"/>
  <c r="M320" i="4"/>
  <c r="M319" i="4"/>
  <c r="M318" i="4"/>
  <c r="M321" i="4"/>
  <c r="M324" i="4"/>
  <c r="M325" i="4"/>
  <c r="M323" i="4"/>
  <c r="M322" i="4"/>
  <c r="M328" i="4"/>
  <c r="M330" i="4"/>
  <c r="M329" i="4"/>
  <c r="M335" i="4"/>
  <c r="M334" i="4"/>
  <c r="M332" i="4"/>
  <c r="M337" i="4"/>
  <c r="M336" i="4"/>
  <c r="M338" i="4"/>
  <c r="M345" i="4"/>
  <c r="M339" i="4"/>
  <c r="M341" i="4"/>
  <c r="M340" i="4"/>
  <c r="M343" i="4"/>
  <c r="M346" i="4"/>
  <c r="M347" i="4"/>
  <c r="M348" i="4"/>
  <c r="M350" i="4"/>
  <c r="M351" i="4"/>
  <c r="M354" i="4"/>
  <c r="M352" i="4"/>
  <c r="M353" i="4"/>
  <c r="M358" i="4"/>
  <c r="M355" i="4"/>
  <c r="M359" i="4"/>
  <c r="M357" i="4"/>
  <c r="M363" i="4"/>
  <c r="M361" i="4"/>
  <c r="M362" i="4"/>
  <c r="M360" i="4"/>
  <c r="M366" i="4"/>
  <c r="M369" i="4"/>
  <c r="M364" i="4"/>
  <c r="M372" i="4"/>
  <c r="M373" i="4"/>
  <c r="M371" i="4"/>
  <c r="M370" i="4"/>
  <c r="M376" i="4"/>
  <c r="M374" i="4"/>
  <c r="M379" i="4"/>
  <c r="M375" i="4"/>
  <c r="M383" i="4"/>
  <c r="M380" i="4"/>
  <c r="M385" i="4"/>
  <c r="M388" i="4"/>
  <c r="M390" i="4"/>
  <c r="M389" i="4"/>
  <c r="M391" i="4"/>
  <c r="M394" i="4"/>
  <c r="M392" i="4"/>
  <c r="M393" i="4"/>
  <c r="M401" i="4"/>
  <c r="M397" i="4"/>
  <c r="M396" i="4"/>
  <c r="M407" i="4"/>
  <c r="M405" i="4"/>
  <c r="M408" i="4"/>
  <c r="M404" i="4"/>
  <c r="M410" i="4"/>
  <c r="M409" i="4"/>
  <c r="M412" i="4"/>
  <c r="M411" i="4"/>
  <c r="M413" i="4"/>
  <c r="M419" i="4"/>
  <c r="M414" i="4"/>
  <c r="M416" i="4"/>
  <c r="M417" i="4"/>
  <c r="M420" i="4"/>
  <c r="M424" i="4"/>
  <c r="M421" i="4"/>
  <c r="M425" i="4"/>
  <c r="M429" i="4"/>
  <c r="M426" i="4"/>
  <c r="M427" i="4"/>
  <c r="M432" i="4"/>
  <c r="M435" i="4"/>
  <c r="M437" i="4"/>
  <c r="M433" i="4"/>
  <c r="M431" i="4"/>
  <c r="M430" i="4"/>
  <c r="M441" i="4"/>
  <c r="M439" i="4"/>
  <c r="M434" i="4"/>
  <c r="M436" i="4"/>
  <c r="M438" i="4"/>
  <c r="M440" i="4"/>
  <c r="M446" i="4"/>
  <c r="M450" i="4"/>
  <c r="M447" i="4"/>
  <c r="M448" i="4"/>
  <c r="M442" i="4"/>
  <c r="M443" i="4"/>
  <c r="M449" i="4"/>
  <c r="M451" i="4"/>
  <c r="M445" i="4"/>
  <c r="M452" i="4"/>
  <c r="M453" i="4"/>
  <c r="M457" i="4"/>
  <c r="M455" i="4"/>
  <c r="M456" i="4"/>
  <c r="M454" i="4"/>
  <c r="M459" i="4"/>
  <c r="M460" i="4"/>
  <c r="M463" i="4"/>
  <c r="M465" i="4"/>
  <c r="M464" i="4"/>
  <c r="M466" i="4"/>
  <c r="M473" i="4"/>
  <c r="M467" i="4"/>
  <c r="M474" i="4"/>
  <c r="M475" i="4"/>
  <c r="M471" i="4"/>
  <c r="M472" i="4"/>
  <c r="M469" i="4"/>
  <c r="M470" i="4"/>
  <c r="M468" i="4"/>
  <c r="M476" i="4"/>
  <c r="M480" i="4"/>
  <c r="M479" i="4"/>
  <c r="M481" i="4"/>
  <c r="M486" i="4"/>
  <c r="M485" i="4"/>
  <c r="M484" i="4"/>
  <c r="M490" i="4"/>
  <c r="M489" i="4"/>
  <c r="M493" i="4"/>
  <c r="M487" i="4"/>
  <c r="M492" i="4"/>
  <c r="M491" i="4"/>
  <c r="M499" i="4"/>
  <c r="M495" i="4"/>
  <c r="M497" i="4"/>
  <c r="M505" i="4"/>
  <c r="M506" i="4"/>
  <c r="M510" i="4"/>
  <c r="M508" i="4"/>
  <c r="M509" i="4"/>
  <c r="M507" i="4"/>
  <c r="M513" i="4"/>
  <c r="M516" i="4"/>
  <c r="M519" i="4"/>
  <c r="M518" i="4"/>
  <c r="M520" i="4"/>
  <c r="M515" i="4"/>
  <c r="M517" i="4"/>
  <c r="M514" i="4"/>
  <c r="M531" i="4"/>
  <c r="M525" i="4"/>
  <c r="M528" i="4"/>
  <c r="M522" i="4"/>
  <c r="M521" i="4"/>
  <c r="M524" i="4"/>
  <c r="M532" i="4"/>
  <c r="M527" i="4"/>
  <c r="M533" i="4"/>
  <c r="M523" i="4"/>
  <c r="M529" i="4"/>
  <c r="M526" i="4"/>
  <c r="M530" i="4"/>
  <c r="M540" i="4"/>
  <c r="M537" i="4"/>
  <c r="M535" i="4"/>
  <c r="M539" i="4"/>
  <c r="M536" i="4"/>
  <c r="M538" i="4"/>
  <c r="M534" i="4"/>
  <c r="M545" i="4"/>
  <c r="M544" i="4"/>
  <c r="M543" i="4"/>
  <c r="M542" i="4"/>
  <c r="M549" i="4"/>
  <c r="M548" i="4"/>
  <c r="M547" i="4"/>
  <c r="M546" i="4"/>
  <c r="M554" i="4"/>
  <c r="M555" i="4"/>
  <c r="M559" i="4"/>
  <c r="M556" i="4"/>
  <c r="M553" i="4"/>
  <c r="M552" i="4"/>
  <c r="M550" i="4"/>
  <c r="M557" i="4"/>
  <c r="M558" i="4"/>
  <c r="M551" i="4"/>
  <c r="M562" i="4"/>
  <c r="M565" i="4"/>
  <c r="M564" i="4"/>
  <c r="M563" i="4"/>
  <c r="M561" i="4"/>
  <c r="M560" i="4"/>
  <c r="M567" i="4"/>
  <c r="M566" i="4"/>
  <c r="M571" i="4"/>
  <c r="M568" i="4"/>
  <c r="M570" i="4"/>
  <c r="M572" i="4"/>
  <c r="M575" i="4"/>
  <c r="M573" i="4"/>
  <c r="M579" i="4"/>
  <c r="M574" i="4"/>
  <c r="M576" i="4"/>
  <c r="M580" i="4"/>
  <c r="M582" i="4"/>
  <c r="M581" i="4"/>
  <c r="M585" i="4"/>
  <c r="M584" i="4"/>
  <c r="M583" i="4"/>
  <c r="M586" i="4"/>
  <c r="M590" i="4"/>
  <c r="M592" i="4"/>
  <c r="M588" i="4"/>
  <c r="M591" i="4"/>
  <c r="M593" i="4"/>
  <c r="M599" i="4"/>
  <c r="M595" i="4"/>
  <c r="M597" i="4"/>
  <c r="M596" i="4"/>
  <c r="M598" i="4"/>
  <c r="M600" i="4"/>
  <c r="M602" i="4"/>
  <c r="M601" i="4"/>
  <c r="M606" i="4"/>
  <c r="M605" i="4"/>
  <c r="M607" i="4"/>
  <c r="M609" i="4"/>
  <c r="M608" i="4"/>
  <c r="M610" i="4"/>
  <c r="M611" i="4"/>
  <c r="M612" i="4"/>
  <c r="M613" i="4"/>
  <c r="M614" i="4"/>
  <c r="M618" i="4"/>
  <c r="M617" i="4"/>
  <c r="M616" i="4"/>
  <c r="M621" i="4"/>
  <c r="M619" i="4"/>
  <c r="M620" i="4"/>
  <c r="M626" i="4"/>
  <c r="M623" i="4"/>
  <c r="M625" i="4"/>
  <c r="M628" i="4"/>
  <c r="M629" i="4"/>
  <c r="M627" i="4"/>
  <c r="M633" i="4"/>
  <c r="M632" i="4"/>
  <c r="N22" i="4"/>
  <c r="N21" i="4"/>
  <c r="N27" i="4"/>
  <c r="N28" i="4"/>
  <c r="N26" i="4"/>
  <c r="N30" i="4"/>
  <c r="N31" i="4"/>
  <c r="N35" i="4"/>
  <c r="N39" i="4"/>
  <c r="N40" i="4"/>
  <c r="N42" i="4"/>
  <c r="N43" i="4"/>
  <c r="N44" i="4"/>
  <c r="N41" i="4"/>
  <c r="N45" i="4"/>
  <c r="N46" i="4"/>
  <c r="N48" i="4"/>
  <c r="N50" i="4"/>
  <c r="N49" i="4"/>
  <c r="N55" i="4"/>
  <c r="N56" i="4"/>
  <c r="N57" i="4"/>
  <c r="N61" i="4"/>
  <c r="N59" i="4"/>
  <c r="N65" i="4"/>
  <c r="N58" i="4"/>
  <c r="N66" i="4"/>
  <c r="N68" i="4"/>
  <c r="N69" i="4"/>
  <c r="N67" i="4"/>
  <c r="N74" i="4"/>
  <c r="N76" i="4"/>
  <c r="N70" i="4"/>
  <c r="N72" i="4"/>
  <c r="N71" i="4"/>
  <c r="N73" i="4"/>
  <c r="N75" i="4"/>
  <c r="N83" i="4"/>
  <c r="N80" i="4"/>
  <c r="N84" i="4"/>
  <c r="N79" i="4"/>
  <c r="N81" i="4"/>
  <c r="N77" i="4"/>
  <c r="N86" i="4"/>
  <c r="N92" i="4"/>
  <c r="N89" i="4"/>
  <c r="N91" i="4"/>
  <c r="N93" i="4"/>
  <c r="N88" i="4"/>
  <c r="N96" i="4"/>
  <c r="N99" i="4"/>
  <c r="N102" i="4"/>
  <c r="N100" i="4"/>
  <c r="N98" i="4"/>
  <c r="N103" i="4"/>
  <c r="N106" i="4"/>
  <c r="N105" i="4"/>
  <c r="N107" i="4"/>
  <c r="N109" i="4"/>
  <c r="N104" i="4"/>
  <c r="N108" i="4"/>
  <c r="N111" i="4"/>
  <c r="N110" i="4"/>
  <c r="N116" i="4"/>
  <c r="N115" i="4"/>
  <c r="N118" i="4"/>
  <c r="N119" i="4"/>
  <c r="N120" i="4"/>
  <c r="N129" i="4"/>
  <c r="N130" i="4"/>
  <c r="N135" i="4"/>
  <c r="N126" i="4"/>
  <c r="N136" i="4"/>
  <c r="N127" i="4"/>
  <c r="N128" i="4"/>
  <c r="N132" i="4"/>
  <c r="N131" i="4"/>
  <c r="N137" i="4"/>
  <c r="N140" i="4"/>
  <c r="N139" i="4"/>
  <c r="N138" i="4"/>
  <c r="N144" i="4"/>
  <c r="N143" i="4"/>
  <c r="N141" i="4"/>
  <c r="N149" i="4"/>
  <c r="N153" i="4"/>
  <c r="N152" i="4"/>
  <c r="N154" i="4"/>
  <c r="N155" i="4"/>
  <c r="N157" i="4"/>
  <c r="N159" i="4"/>
  <c r="N160" i="4"/>
  <c r="N161" i="4"/>
  <c r="N162" i="4"/>
  <c r="N163" i="4"/>
  <c r="N164" i="4"/>
  <c r="N165" i="4"/>
  <c r="N166" i="4"/>
  <c r="N167" i="4"/>
  <c r="N168" i="4"/>
  <c r="N171" i="4"/>
  <c r="N170" i="4"/>
  <c r="N172" i="4"/>
  <c r="N175" i="4"/>
  <c r="N173" i="4"/>
  <c r="N174" i="4"/>
  <c r="N176" i="4"/>
  <c r="N177" i="4"/>
  <c r="N180" i="4"/>
  <c r="N183" i="4"/>
  <c r="N181" i="4"/>
  <c r="N179" i="4"/>
  <c r="N182" i="4"/>
  <c r="N189" i="4"/>
  <c r="N191" i="4"/>
  <c r="N188" i="4"/>
  <c r="N184" i="4"/>
  <c r="N186" i="4"/>
  <c r="N192" i="4"/>
  <c r="N187" i="4"/>
  <c r="N185" i="4"/>
  <c r="N196" i="4"/>
  <c r="N198" i="4"/>
  <c r="N199" i="4"/>
  <c r="N197" i="4"/>
  <c r="N202" i="4"/>
  <c r="N203" i="4"/>
  <c r="N200" i="4"/>
  <c r="N201" i="4"/>
  <c r="N204" i="4"/>
  <c r="N206" i="4"/>
  <c r="N207" i="4"/>
  <c r="N213" i="4"/>
  <c r="N210" i="4"/>
  <c r="N214" i="4"/>
  <c r="N216" i="4"/>
  <c r="N215" i="4"/>
  <c r="N209" i="4"/>
  <c r="N211" i="4"/>
  <c r="N208" i="4"/>
  <c r="N212" i="4"/>
  <c r="N217" i="4"/>
  <c r="N218" i="4"/>
  <c r="N220" i="4"/>
  <c r="N222" i="4"/>
  <c r="N226" i="4"/>
  <c r="N225" i="4"/>
  <c r="N223" i="4"/>
  <c r="N227" i="4"/>
  <c r="N228" i="4"/>
  <c r="N229" i="4"/>
  <c r="N231" i="4"/>
  <c r="N232" i="4"/>
  <c r="N236" i="4"/>
  <c r="N233" i="4"/>
  <c r="N235" i="4"/>
  <c r="N234" i="4"/>
  <c r="N238" i="4"/>
  <c r="N237" i="4"/>
  <c r="N239" i="4"/>
  <c r="N241" i="4"/>
  <c r="N240" i="4"/>
  <c r="N247" i="4"/>
  <c r="N251" i="4"/>
  <c r="N248" i="4"/>
  <c r="N245" i="4"/>
  <c r="N246" i="4"/>
  <c r="N252" i="4"/>
  <c r="N255" i="4"/>
  <c r="N254" i="4"/>
  <c r="N253" i="4"/>
  <c r="N258" i="4"/>
  <c r="N260" i="4"/>
  <c r="N259" i="4"/>
  <c r="N257" i="4"/>
  <c r="N265" i="4"/>
  <c r="N264" i="4"/>
  <c r="N261" i="4"/>
  <c r="N262" i="4"/>
  <c r="N266" i="4"/>
  <c r="N268" i="4"/>
  <c r="N267" i="4"/>
  <c r="N269" i="4"/>
  <c r="N270" i="4"/>
  <c r="N271" i="4"/>
  <c r="N272" i="4"/>
  <c r="N276" i="4"/>
  <c r="N274" i="4"/>
  <c r="N275" i="4"/>
  <c r="N277" i="4"/>
  <c r="N279" i="4"/>
  <c r="N278" i="4"/>
  <c r="N280" i="4"/>
  <c r="N281" i="4"/>
  <c r="N283" i="4"/>
  <c r="N286" i="4"/>
  <c r="N285" i="4"/>
  <c r="N288" i="4"/>
  <c r="N292" i="4"/>
  <c r="N293" i="4"/>
  <c r="N295" i="4"/>
  <c r="N294" i="4"/>
  <c r="N296" i="4"/>
  <c r="N298" i="4"/>
  <c r="N301" i="4"/>
  <c r="N300" i="4"/>
  <c r="N299" i="4"/>
  <c r="N302" i="4"/>
  <c r="N303" i="4"/>
  <c r="N304" i="4"/>
  <c r="N305" i="4"/>
  <c r="N306" i="4"/>
  <c r="N308" i="4"/>
  <c r="N309" i="4"/>
  <c r="N307" i="4"/>
  <c r="N313" i="4"/>
  <c r="N310" i="4"/>
  <c r="N315" i="4"/>
  <c r="N317" i="4"/>
  <c r="N316" i="4"/>
  <c r="N320" i="4"/>
  <c r="N319" i="4"/>
  <c r="N318" i="4"/>
  <c r="N321" i="4"/>
  <c r="N324" i="4"/>
  <c r="N325" i="4"/>
  <c r="N323" i="4"/>
  <c r="N322" i="4"/>
  <c r="N328" i="4"/>
  <c r="N330" i="4"/>
  <c r="N329" i="4"/>
  <c r="N335" i="4"/>
  <c r="N334" i="4"/>
  <c r="N332" i="4"/>
  <c r="N337" i="4"/>
  <c r="N336" i="4"/>
  <c r="N338" i="4"/>
  <c r="N345" i="4"/>
  <c r="N339" i="4"/>
  <c r="N341" i="4"/>
  <c r="N340" i="4"/>
  <c r="N343" i="4"/>
  <c r="N346" i="4"/>
  <c r="N347" i="4"/>
  <c r="N348" i="4"/>
  <c r="N350" i="4"/>
  <c r="N351" i="4"/>
  <c r="N354" i="4"/>
  <c r="N352" i="4"/>
  <c r="N353" i="4"/>
  <c r="N358" i="4"/>
  <c r="N355" i="4"/>
  <c r="N359" i="4"/>
  <c r="N357" i="4"/>
  <c r="N363" i="4"/>
  <c r="N361" i="4"/>
  <c r="N362" i="4"/>
  <c r="N360" i="4"/>
  <c r="N366" i="4"/>
  <c r="N369" i="4"/>
  <c r="N364" i="4"/>
  <c r="N372" i="4"/>
  <c r="N373" i="4"/>
  <c r="N371" i="4"/>
  <c r="N370" i="4"/>
  <c r="N376" i="4"/>
  <c r="N374" i="4"/>
  <c r="N379" i="4"/>
  <c r="N375" i="4"/>
  <c r="N383" i="4"/>
  <c r="N380" i="4"/>
  <c r="N385" i="4"/>
  <c r="N388" i="4"/>
  <c r="N390" i="4"/>
  <c r="N389" i="4"/>
  <c r="N391" i="4"/>
  <c r="N394" i="4"/>
  <c r="N392" i="4"/>
  <c r="N393" i="4"/>
  <c r="N401" i="4"/>
  <c r="N397" i="4"/>
  <c r="N396" i="4"/>
  <c r="N407" i="4"/>
  <c r="N405" i="4"/>
  <c r="N408" i="4"/>
  <c r="N404" i="4"/>
  <c r="N410" i="4"/>
  <c r="N409" i="4"/>
  <c r="N412" i="4"/>
  <c r="N411" i="4"/>
  <c r="N413" i="4"/>
  <c r="N419" i="4"/>
  <c r="N414" i="4"/>
  <c r="N416" i="4"/>
  <c r="N417" i="4"/>
  <c r="N420" i="4"/>
  <c r="N424" i="4"/>
  <c r="N421" i="4"/>
  <c r="N425" i="4"/>
  <c r="N429" i="4"/>
  <c r="N426" i="4"/>
  <c r="N427" i="4"/>
  <c r="N432" i="4"/>
  <c r="N435" i="4"/>
  <c r="N437" i="4"/>
  <c r="N433" i="4"/>
  <c r="N431" i="4"/>
  <c r="N430" i="4"/>
  <c r="N441" i="4"/>
  <c r="N439" i="4"/>
  <c r="N434" i="4"/>
  <c r="N436" i="4"/>
  <c r="N438" i="4"/>
  <c r="N440" i="4"/>
  <c r="N446" i="4"/>
  <c r="N450" i="4"/>
  <c r="N447" i="4"/>
  <c r="N448" i="4"/>
  <c r="N442" i="4"/>
  <c r="N443" i="4"/>
  <c r="N449" i="4"/>
  <c r="N451" i="4"/>
  <c r="N445" i="4"/>
  <c r="N452" i="4"/>
  <c r="N453" i="4"/>
  <c r="N457" i="4"/>
  <c r="N455" i="4"/>
  <c r="N456" i="4"/>
  <c r="N454" i="4"/>
  <c r="N459" i="4"/>
  <c r="N460" i="4"/>
  <c r="N463" i="4"/>
  <c r="N465" i="4"/>
  <c r="N464" i="4"/>
  <c r="N466" i="4"/>
  <c r="N473" i="4"/>
  <c r="N467" i="4"/>
  <c r="N474" i="4"/>
  <c r="N475" i="4"/>
  <c r="N471" i="4"/>
  <c r="N472" i="4"/>
  <c r="N469" i="4"/>
  <c r="N470" i="4"/>
  <c r="N468" i="4"/>
  <c r="N476" i="4"/>
  <c r="N480" i="4"/>
  <c r="N479" i="4"/>
  <c r="N481" i="4"/>
  <c r="N486" i="4"/>
  <c r="N485" i="4"/>
  <c r="N484" i="4"/>
  <c r="N490" i="4"/>
  <c r="N489" i="4"/>
  <c r="N493" i="4"/>
  <c r="N487" i="4"/>
  <c r="N492" i="4"/>
  <c r="N491" i="4"/>
  <c r="N499" i="4"/>
  <c r="N495" i="4"/>
  <c r="N497" i="4"/>
  <c r="N505" i="4"/>
  <c r="N506" i="4"/>
  <c r="N510" i="4"/>
  <c r="N508" i="4"/>
  <c r="N509" i="4"/>
  <c r="N507" i="4"/>
  <c r="N513" i="4"/>
  <c r="N516" i="4"/>
  <c r="N519" i="4"/>
  <c r="N518" i="4"/>
  <c r="N520" i="4"/>
  <c r="N515" i="4"/>
  <c r="N517" i="4"/>
  <c r="N514" i="4"/>
  <c r="N531" i="4"/>
  <c r="N525" i="4"/>
  <c r="N528" i="4"/>
  <c r="N522" i="4"/>
  <c r="N521" i="4"/>
  <c r="N524" i="4"/>
  <c r="N532" i="4"/>
  <c r="N527" i="4"/>
  <c r="N533" i="4"/>
  <c r="N523" i="4"/>
  <c r="N529" i="4"/>
  <c r="N526" i="4"/>
  <c r="N530" i="4"/>
  <c r="N540" i="4"/>
  <c r="N537" i="4"/>
  <c r="N535" i="4"/>
  <c r="N539" i="4"/>
  <c r="N536" i="4"/>
  <c r="N538" i="4"/>
  <c r="N534" i="4"/>
  <c r="N545" i="4"/>
  <c r="N544" i="4"/>
  <c r="N543" i="4"/>
  <c r="N542" i="4"/>
  <c r="N549" i="4"/>
  <c r="N548" i="4"/>
  <c r="N547" i="4"/>
  <c r="N546" i="4"/>
  <c r="N554" i="4"/>
  <c r="N555" i="4"/>
  <c r="N559" i="4"/>
  <c r="N556" i="4"/>
  <c r="N553" i="4"/>
  <c r="N552" i="4"/>
  <c r="N550" i="4"/>
  <c r="N557" i="4"/>
  <c r="N558" i="4"/>
  <c r="N551" i="4"/>
  <c r="N562" i="4"/>
  <c r="N565" i="4"/>
  <c r="N564" i="4"/>
  <c r="N563" i="4"/>
  <c r="N561" i="4"/>
  <c r="N560" i="4"/>
  <c r="N567" i="4"/>
  <c r="N566" i="4"/>
  <c r="N571" i="4"/>
  <c r="N568" i="4"/>
  <c r="N570" i="4"/>
  <c r="N572" i="4"/>
  <c r="N575" i="4"/>
  <c r="N573" i="4"/>
  <c r="N579" i="4"/>
  <c r="N574" i="4"/>
  <c r="N576" i="4"/>
  <c r="N580" i="4"/>
  <c r="N582" i="4"/>
  <c r="N581" i="4"/>
  <c r="N585" i="4"/>
  <c r="N584" i="4"/>
  <c r="N583" i="4"/>
  <c r="N586" i="4"/>
  <c r="N590" i="4"/>
  <c r="N592" i="4"/>
  <c r="N588" i="4"/>
  <c r="N591" i="4"/>
  <c r="N593" i="4"/>
  <c r="N599" i="4"/>
  <c r="N595" i="4"/>
  <c r="N597" i="4"/>
  <c r="N596" i="4"/>
  <c r="N598" i="4"/>
  <c r="N600" i="4"/>
  <c r="N602" i="4"/>
  <c r="N601" i="4"/>
  <c r="N606" i="4"/>
  <c r="N605" i="4"/>
  <c r="N607" i="4"/>
  <c r="N609" i="4"/>
  <c r="N608" i="4"/>
  <c r="N610" i="4"/>
  <c r="N611" i="4"/>
  <c r="N612" i="4"/>
  <c r="N613" i="4"/>
  <c r="N614" i="4"/>
  <c r="N618" i="4"/>
  <c r="N617" i="4"/>
  <c r="N616" i="4"/>
  <c r="N621" i="4"/>
  <c r="N619" i="4"/>
  <c r="N620" i="4"/>
  <c r="N626" i="4"/>
  <c r="N623" i="4"/>
  <c r="N625" i="4"/>
  <c r="N628" i="4"/>
  <c r="N629" i="4"/>
  <c r="N627" i="4"/>
  <c r="N633" i="4"/>
  <c r="N632" i="4"/>
  <c r="O22" i="4" a="1"/>
  <c r="O22" i="4" s="1"/>
  <c r="O21" i="4" a="1"/>
  <c r="O21" i="4" s="1"/>
  <c r="O27" i="4" a="1"/>
  <c r="O27" i="4" s="1"/>
  <c r="O28" i="4" a="1"/>
  <c r="O28" i="4" s="1"/>
  <c r="O26" i="4" a="1"/>
  <c r="O26" i="4" s="1"/>
  <c r="O30" i="4" a="1"/>
  <c r="O30" i="4" s="1"/>
  <c r="O31" i="4" a="1"/>
  <c r="O31" i="4" s="1"/>
  <c r="O35" i="4" a="1"/>
  <c r="O35" i="4" s="1"/>
  <c r="O39" i="4" a="1"/>
  <c r="O39" i="4" s="1"/>
  <c r="O40" i="4" a="1"/>
  <c r="O40" i="4" s="1"/>
  <c r="O42" i="4" a="1"/>
  <c r="O42" i="4" s="1"/>
  <c r="O43" i="4" a="1"/>
  <c r="O43" i="4" s="1"/>
  <c r="O44" i="4" a="1"/>
  <c r="O44" i="4" s="1"/>
  <c r="O41" i="4" a="1"/>
  <c r="O41" i="4" s="1"/>
  <c r="O45" i="4" a="1"/>
  <c r="O45" i="4" s="1"/>
  <c r="O46" i="4" a="1"/>
  <c r="O46" i="4" s="1"/>
  <c r="O48" i="4" a="1"/>
  <c r="O48" i="4" s="1"/>
  <c r="O50" i="4" a="1"/>
  <c r="O50" i="4" s="1"/>
  <c r="O49" i="4" a="1"/>
  <c r="O49" i="4" s="1"/>
  <c r="O55" i="4" a="1"/>
  <c r="O55" i="4" s="1"/>
  <c r="O56" i="4" a="1"/>
  <c r="O56" i="4" s="1"/>
  <c r="O57" i="4" a="1"/>
  <c r="O57" i="4" s="1"/>
  <c r="O61" i="4" a="1"/>
  <c r="O61" i="4" s="1"/>
  <c r="O59" i="4" a="1"/>
  <c r="O59" i="4" s="1"/>
  <c r="O65" i="4" a="1"/>
  <c r="O65" i="4" s="1"/>
  <c r="O58" i="4" a="1"/>
  <c r="O58" i="4" s="1"/>
  <c r="O66" i="4" a="1"/>
  <c r="O66" i="4" s="1"/>
  <c r="O68" i="4" a="1"/>
  <c r="O68" i="4" s="1"/>
  <c r="O69" i="4" a="1"/>
  <c r="O69" i="4" s="1"/>
  <c r="O67" i="4" a="1"/>
  <c r="O67" i="4" s="1"/>
  <c r="O74" i="4" a="1"/>
  <c r="O74" i="4" s="1"/>
  <c r="O76" i="4" a="1"/>
  <c r="O76" i="4" s="1"/>
  <c r="O70" i="4" a="1"/>
  <c r="O70" i="4" s="1"/>
  <c r="O72" i="4" a="1"/>
  <c r="O72" i="4" s="1"/>
  <c r="O71" i="4" a="1"/>
  <c r="O71" i="4" s="1"/>
  <c r="O73" i="4" a="1"/>
  <c r="O73" i="4" s="1"/>
  <c r="O75" i="4" a="1"/>
  <c r="O75" i="4" s="1"/>
  <c r="O83" i="4" a="1"/>
  <c r="O83" i="4" s="1"/>
  <c r="O80" i="4" a="1"/>
  <c r="O80" i="4" s="1"/>
  <c r="O84" i="4" a="1"/>
  <c r="O84" i="4" s="1"/>
  <c r="O79" i="4" a="1"/>
  <c r="O79" i="4" s="1"/>
  <c r="O81" i="4" a="1"/>
  <c r="O81" i="4" s="1"/>
  <c r="O77" i="4" a="1"/>
  <c r="O77" i="4" s="1"/>
  <c r="O86" i="4" a="1"/>
  <c r="O86" i="4" s="1"/>
  <c r="O92" i="4" a="1"/>
  <c r="O92" i="4" s="1"/>
  <c r="O89" i="4" a="1"/>
  <c r="O89" i="4" s="1"/>
  <c r="O91" i="4" a="1"/>
  <c r="O91" i="4" s="1"/>
  <c r="O93" i="4" a="1"/>
  <c r="O93" i="4" s="1"/>
  <c r="O88" i="4" a="1"/>
  <c r="O88" i="4" s="1"/>
  <c r="O96" i="4" a="1"/>
  <c r="O96" i="4" s="1"/>
  <c r="O99" i="4" a="1"/>
  <c r="O99" i="4" s="1"/>
  <c r="O102" i="4" a="1"/>
  <c r="O102" i="4" s="1"/>
  <c r="O100" i="4" a="1"/>
  <c r="O100" i="4" s="1"/>
  <c r="O98" i="4" a="1"/>
  <c r="O98" i="4" s="1"/>
  <c r="O103" i="4" a="1"/>
  <c r="O103" i="4" s="1"/>
  <c r="O106" i="4" a="1"/>
  <c r="O106" i="4" s="1"/>
  <c r="O105" i="4" a="1"/>
  <c r="O105" i="4" s="1"/>
  <c r="O107" i="4" a="1"/>
  <c r="O107" i="4" s="1"/>
  <c r="O109" i="4" a="1"/>
  <c r="O109" i="4" s="1"/>
  <c r="O104" i="4" a="1"/>
  <c r="O104" i="4" s="1"/>
  <c r="O108" i="4" a="1"/>
  <c r="O108" i="4" s="1"/>
  <c r="O111" i="4" a="1"/>
  <c r="O111" i="4" s="1"/>
  <c r="O110" i="4" a="1"/>
  <c r="O110" i="4" s="1"/>
  <c r="O116" i="4" a="1"/>
  <c r="O116" i="4" s="1"/>
  <c r="O115" i="4" a="1"/>
  <c r="O115" i="4" s="1"/>
  <c r="O118" i="4" a="1"/>
  <c r="O118" i="4" s="1"/>
  <c r="O119" i="4" a="1"/>
  <c r="O119" i="4" s="1"/>
  <c r="O120" i="4" a="1"/>
  <c r="O120" i="4" s="1"/>
  <c r="O129" i="4" a="1"/>
  <c r="O129" i="4" s="1"/>
  <c r="O130" i="4" a="1"/>
  <c r="O130" i="4" s="1"/>
  <c r="O135" i="4" a="1"/>
  <c r="O135" i="4" s="1"/>
  <c r="O126" i="4" a="1"/>
  <c r="O126" i="4" s="1"/>
  <c r="O136" i="4" a="1"/>
  <c r="O136" i="4" s="1"/>
  <c r="O127" i="4" a="1"/>
  <c r="O127" i="4" s="1"/>
  <c r="O128" i="4" a="1"/>
  <c r="O128" i="4" s="1"/>
  <c r="O132" i="4" a="1"/>
  <c r="O132" i="4" s="1"/>
  <c r="O131" i="4" a="1"/>
  <c r="O131" i="4" s="1"/>
  <c r="O137" i="4" a="1"/>
  <c r="O137" i="4" s="1"/>
  <c r="O140" i="4" a="1"/>
  <c r="O140" i="4" s="1"/>
  <c r="O139" i="4" a="1"/>
  <c r="O139" i="4" s="1"/>
  <c r="O138" i="4" a="1"/>
  <c r="O138" i="4" s="1"/>
  <c r="O144" i="4" a="1"/>
  <c r="O144" i="4" s="1"/>
  <c r="O143" i="4" a="1"/>
  <c r="O143" i="4" s="1"/>
  <c r="O141" i="4" a="1"/>
  <c r="O141" i="4" s="1"/>
  <c r="O149" i="4" a="1"/>
  <c r="O149" i="4" s="1"/>
  <c r="O153" i="4" a="1"/>
  <c r="O153" i="4" s="1"/>
  <c r="O152" i="4" a="1"/>
  <c r="O152" i="4" s="1"/>
  <c r="O154" i="4" a="1"/>
  <c r="O154" i="4" s="1"/>
  <c r="O155" i="4" a="1"/>
  <c r="O155" i="4" s="1"/>
  <c r="O157" i="4" a="1"/>
  <c r="O157" i="4" s="1"/>
  <c r="O159" i="4" a="1"/>
  <c r="O159" i="4" s="1"/>
  <c r="O160" i="4" a="1"/>
  <c r="O160" i="4" s="1"/>
  <c r="O161" i="4" a="1"/>
  <c r="O161" i="4" s="1"/>
  <c r="O162" i="4" a="1"/>
  <c r="O162" i="4" s="1"/>
  <c r="O163" i="4" a="1"/>
  <c r="O163" i="4" s="1"/>
  <c r="O164" i="4" a="1"/>
  <c r="O164" i="4" s="1"/>
  <c r="O165" i="4" a="1"/>
  <c r="O165" i="4" s="1"/>
  <c r="O166" i="4" a="1"/>
  <c r="O166" i="4" s="1"/>
  <c r="O167" i="4" a="1"/>
  <c r="O167" i="4" s="1"/>
  <c r="O168" i="4" a="1"/>
  <c r="O168" i="4" s="1"/>
  <c r="O171" i="4" a="1"/>
  <c r="O171" i="4" s="1"/>
  <c r="O170" i="4" a="1"/>
  <c r="O170" i="4" s="1"/>
  <c r="O172" i="4" a="1"/>
  <c r="O172" i="4" s="1"/>
  <c r="O175" i="4" a="1"/>
  <c r="O175" i="4" s="1"/>
  <c r="O173" i="4" a="1"/>
  <c r="O173" i="4" s="1"/>
  <c r="O174" i="4" a="1"/>
  <c r="O174" i="4" s="1"/>
  <c r="O176" i="4" a="1"/>
  <c r="O176" i="4" s="1"/>
  <c r="O177" i="4" a="1"/>
  <c r="O177" i="4" s="1"/>
  <c r="O180" i="4" a="1"/>
  <c r="O180" i="4" s="1"/>
  <c r="O183" i="4" a="1"/>
  <c r="O183" i="4" s="1"/>
  <c r="O181" i="4" a="1"/>
  <c r="O181" i="4" s="1"/>
  <c r="O179" i="4" a="1"/>
  <c r="O179" i="4" s="1"/>
  <c r="O182" i="4" a="1"/>
  <c r="O182" i="4" s="1"/>
  <c r="O189" i="4" a="1"/>
  <c r="O189" i="4" s="1"/>
  <c r="O191" i="4" a="1"/>
  <c r="O191" i="4" s="1"/>
  <c r="O188" i="4" a="1"/>
  <c r="O188" i="4" s="1"/>
  <c r="O184" i="4" a="1"/>
  <c r="O184" i="4" s="1"/>
  <c r="O186" i="4" a="1"/>
  <c r="O186" i="4" s="1"/>
  <c r="O192" i="4" a="1"/>
  <c r="O192" i="4" s="1"/>
  <c r="O187" i="4" a="1"/>
  <c r="O187" i="4" s="1"/>
  <c r="O185" i="4" a="1"/>
  <c r="O185" i="4" s="1"/>
  <c r="O196" i="4" a="1"/>
  <c r="O196" i="4" s="1"/>
  <c r="O198" i="4" a="1"/>
  <c r="O198" i="4" s="1"/>
  <c r="O199" i="4" a="1"/>
  <c r="O199" i="4" s="1"/>
  <c r="O197" i="4" a="1"/>
  <c r="O197" i="4" s="1"/>
  <c r="O202" i="4" a="1"/>
  <c r="O202" i="4" s="1"/>
  <c r="O203" i="4" a="1"/>
  <c r="O203" i="4" s="1"/>
  <c r="O200" i="4" a="1"/>
  <c r="O200" i="4" s="1"/>
  <c r="O201" i="4" a="1"/>
  <c r="O201" i="4" s="1"/>
  <c r="O204" i="4" a="1"/>
  <c r="O204" i="4" s="1"/>
  <c r="O206" i="4" a="1"/>
  <c r="O206" i="4" s="1"/>
  <c r="O207" i="4" a="1"/>
  <c r="O207" i="4" s="1"/>
  <c r="O213" i="4" a="1"/>
  <c r="O213" i="4" s="1"/>
  <c r="O210" i="4" a="1"/>
  <c r="O210" i="4" s="1"/>
  <c r="O214" i="4" a="1"/>
  <c r="O214" i="4" s="1"/>
  <c r="O216" i="4" a="1"/>
  <c r="O216" i="4" s="1"/>
  <c r="O215" i="4" a="1"/>
  <c r="O215" i="4" s="1"/>
  <c r="O209" i="4" a="1"/>
  <c r="O209" i="4" s="1"/>
  <c r="O211" i="4" a="1"/>
  <c r="O211" i="4" s="1"/>
  <c r="O208" i="4" a="1"/>
  <c r="O208" i="4" s="1"/>
  <c r="O212" i="4" a="1"/>
  <c r="O212" i="4" s="1"/>
  <c r="O217" i="4" a="1"/>
  <c r="O217" i="4" s="1"/>
  <c r="O218" i="4" a="1"/>
  <c r="O218" i="4" s="1"/>
  <c r="O220" i="4" a="1"/>
  <c r="O220" i="4" s="1"/>
  <c r="O222" i="4" a="1"/>
  <c r="O222" i="4" s="1"/>
  <c r="O226" i="4" a="1"/>
  <c r="O226" i="4" s="1"/>
  <c r="O225" i="4" a="1"/>
  <c r="O225" i="4" s="1"/>
  <c r="O223" i="4" a="1"/>
  <c r="O223" i="4" s="1"/>
  <c r="O227" i="4" a="1"/>
  <c r="O227" i="4" s="1"/>
  <c r="O228" i="4" a="1"/>
  <c r="O228" i="4" s="1"/>
  <c r="O229" i="4" a="1"/>
  <c r="O229" i="4" s="1"/>
  <c r="O231" i="4" a="1"/>
  <c r="O231" i="4" s="1"/>
  <c r="O232" i="4" a="1"/>
  <c r="O232" i="4" s="1"/>
  <c r="O236" i="4" a="1"/>
  <c r="O236" i="4" s="1"/>
  <c r="O233" i="4" a="1"/>
  <c r="O233" i="4" s="1"/>
  <c r="O235" i="4" a="1"/>
  <c r="O235" i="4" s="1"/>
  <c r="O234" i="4" a="1"/>
  <c r="O234" i="4" s="1"/>
  <c r="O238" i="4" a="1"/>
  <c r="O238" i="4" s="1"/>
  <c r="O237" i="4" a="1"/>
  <c r="O237" i="4" s="1"/>
  <c r="O239" i="4" a="1"/>
  <c r="O239" i="4" s="1"/>
  <c r="O241" i="4" a="1"/>
  <c r="O241" i="4" s="1"/>
  <c r="O240" i="4" a="1"/>
  <c r="O240" i="4" s="1"/>
  <c r="O247" i="4" a="1"/>
  <c r="O247" i="4" s="1"/>
  <c r="O251" i="4" a="1"/>
  <c r="O251" i="4" s="1"/>
  <c r="O248" i="4" a="1"/>
  <c r="O248" i="4" s="1"/>
  <c r="O245" i="4" a="1"/>
  <c r="O245" i="4" s="1"/>
  <c r="O246" i="4" a="1"/>
  <c r="O246" i="4" s="1"/>
  <c r="O252" i="4" a="1"/>
  <c r="O252" i="4" s="1"/>
  <c r="O255" i="4" a="1"/>
  <c r="O255" i="4" s="1"/>
  <c r="O254" i="4" a="1"/>
  <c r="O254" i="4" s="1"/>
  <c r="O253" i="4" a="1"/>
  <c r="O253" i="4" s="1"/>
  <c r="O258" i="4" a="1"/>
  <c r="O258" i="4" s="1"/>
  <c r="O260" i="4" a="1"/>
  <c r="O260" i="4" s="1"/>
  <c r="O259" i="4" a="1"/>
  <c r="O259" i="4" s="1"/>
  <c r="O257" i="4" a="1"/>
  <c r="O257" i="4" s="1"/>
  <c r="O265" i="4" a="1"/>
  <c r="O265" i="4" s="1"/>
  <c r="O264" i="4" a="1"/>
  <c r="O264" i="4" s="1"/>
  <c r="O261" i="4" a="1"/>
  <c r="O261" i="4" s="1"/>
  <c r="O262" i="4" a="1"/>
  <c r="O262" i="4" s="1"/>
  <c r="O266" i="4" a="1"/>
  <c r="O266" i="4" s="1"/>
  <c r="O268" i="4" a="1"/>
  <c r="O268" i="4" s="1"/>
  <c r="O267" i="4" a="1"/>
  <c r="O267" i="4" s="1"/>
  <c r="O269" i="4" a="1"/>
  <c r="O269" i="4" s="1"/>
  <c r="O270" i="4" a="1"/>
  <c r="O270" i="4" s="1"/>
  <c r="O271" i="4" a="1"/>
  <c r="O271" i="4" s="1"/>
  <c r="O272" i="4" a="1"/>
  <c r="O272" i="4" s="1"/>
  <c r="O276" i="4" a="1"/>
  <c r="O276" i="4" s="1"/>
  <c r="O274" i="4" a="1"/>
  <c r="O274" i="4" s="1"/>
  <c r="O275" i="4" a="1"/>
  <c r="O275" i="4" s="1"/>
  <c r="O277" i="4" a="1"/>
  <c r="O277" i="4" s="1"/>
  <c r="O279" i="4" a="1"/>
  <c r="O279" i="4" s="1"/>
  <c r="O278" i="4" a="1"/>
  <c r="O278" i="4" s="1"/>
  <c r="O280" i="4" a="1"/>
  <c r="O280" i="4" s="1"/>
  <c r="O281" i="4" a="1"/>
  <c r="O281" i="4" s="1"/>
  <c r="O283" i="4" a="1"/>
  <c r="O283" i="4" s="1"/>
  <c r="O286" i="4" a="1"/>
  <c r="O286" i="4" s="1"/>
  <c r="O285" i="4" a="1"/>
  <c r="O285" i="4" s="1"/>
  <c r="O288" i="4" a="1"/>
  <c r="O288" i="4" s="1"/>
  <c r="O292" i="4" a="1"/>
  <c r="O292" i="4" s="1"/>
  <c r="O293" i="4" a="1"/>
  <c r="O293" i="4" s="1"/>
  <c r="O295" i="4" a="1"/>
  <c r="O295" i="4" s="1"/>
  <c r="O294" i="4" a="1"/>
  <c r="O294" i="4" s="1"/>
  <c r="O296" i="4" a="1"/>
  <c r="O296" i="4" s="1"/>
  <c r="O298" i="4" a="1"/>
  <c r="O298" i="4" s="1"/>
  <c r="O301" i="4" a="1"/>
  <c r="O301" i="4" s="1"/>
  <c r="O300" i="4" a="1"/>
  <c r="O300" i="4" s="1"/>
  <c r="O299" i="4" a="1"/>
  <c r="O299" i="4" s="1"/>
  <c r="O302" i="4" a="1"/>
  <c r="O302" i="4" s="1"/>
  <c r="O303" i="4" a="1"/>
  <c r="O303" i="4" s="1"/>
  <c r="O304" i="4" a="1"/>
  <c r="O304" i="4" s="1"/>
  <c r="O305" i="4" a="1"/>
  <c r="O305" i="4" s="1"/>
  <c r="O306" i="4" a="1"/>
  <c r="O306" i="4" s="1"/>
  <c r="O308" i="4" a="1"/>
  <c r="O308" i="4" s="1"/>
  <c r="O309" i="4" a="1"/>
  <c r="O309" i="4" s="1"/>
  <c r="O307" i="4" a="1"/>
  <c r="O307" i="4" s="1"/>
  <c r="O313" i="4" a="1"/>
  <c r="O313" i="4" s="1"/>
  <c r="O310" i="4" a="1"/>
  <c r="O310" i="4" s="1"/>
  <c r="O315" i="4" a="1"/>
  <c r="O315" i="4" s="1"/>
  <c r="O317" i="4" a="1"/>
  <c r="O317" i="4" s="1"/>
  <c r="O316" i="4" a="1"/>
  <c r="O316" i="4" s="1"/>
  <c r="O320" i="4" a="1"/>
  <c r="O320" i="4" s="1"/>
  <c r="O319" i="4" a="1"/>
  <c r="O319" i="4" s="1"/>
  <c r="O318" i="4" a="1"/>
  <c r="O318" i="4" s="1"/>
  <c r="O321" i="4" a="1"/>
  <c r="O321" i="4" s="1"/>
  <c r="O324" i="4" a="1"/>
  <c r="O324" i="4" s="1"/>
  <c r="O325" i="4" a="1"/>
  <c r="O325" i="4" s="1"/>
  <c r="O323" i="4" a="1"/>
  <c r="O323" i="4" s="1"/>
  <c r="O322" i="4" a="1"/>
  <c r="O322" i="4" s="1"/>
  <c r="O328" i="4" a="1"/>
  <c r="O328" i="4" s="1"/>
  <c r="O330" i="4" a="1"/>
  <c r="O330" i="4" s="1"/>
  <c r="O329" i="4" a="1"/>
  <c r="O329" i="4" s="1"/>
  <c r="O335" i="4" a="1"/>
  <c r="O335" i="4" s="1"/>
  <c r="O334" i="4" a="1"/>
  <c r="O334" i="4" s="1"/>
  <c r="O332" i="4" a="1"/>
  <c r="O332" i="4" s="1"/>
  <c r="O337" i="4" a="1"/>
  <c r="O337" i="4" s="1"/>
  <c r="O336" i="4" a="1"/>
  <c r="O336" i="4" s="1"/>
  <c r="O338" i="4" a="1"/>
  <c r="O338" i="4" s="1"/>
  <c r="O345" i="4" a="1"/>
  <c r="O345" i="4" s="1"/>
  <c r="O339" i="4" a="1"/>
  <c r="O339" i="4" s="1"/>
  <c r="O341" i="4" a="1"/>
  <c r="O341" i="4" s="1"/>
  <c r="O340" i="4" a="1"/>
  <c r="O340" i="4" s="1"/>
  <c r="O343" i="4" a="1"/>
  <c r="O343" i="4" s="1"/>
  <c r="O346" i="4" a="1"/>
  <c r="O346" i="4" s="1"/>
  <c r="O347" i="4" a="1"/>
  <c r="O347" i="4" s="1"/>
  <c r="O348" i="4" a="1"/>
  <c r="O348" i="4" s="1"/>
  <c r="O350" i="4" a="1"/>
  <c r="O350" i="4" s="1"/>
  <c r="O351" i="4" a="1"/>
  <c r="O351" i="4" s="1"/>
  <c r="O354" i="4" a="1"/>
  <c r="O354" i="4" s="1"/>
  <c r="O352" i="4" a="1"/>
  <c r="O352" i="4" s="1"/>
  <c r="O353" i="4" a="1"/>
  <c r="O353" i="4" s="1"/>
  <c r="O358" i="4" a="1"/>
  <c r="O358" i="4" s="1"/>
  <c r="O355" i="4" a="1"/>
  <c r="O355" i="4" s="1"/>
  <c r="O359" i="4" a="1"/>
  <c r="O359" i="4" s="1"/>
  <c r="O357" i="4" a="1"/>
  <c r="O357" i="4" s="1"/>
  <c r="O363" i="4" a="1"/>
  <c r="O363" i="4" s="1"/>
  <c r="O361" i="4" a="1"/>
  <c r="O361" i="4" s="1"/>
  <c r="O362" i="4" a="1"/>
  <c r="O362" i="4" s="1"/>
  <c r="O360" i="4" a="1"/>
  <c r="O360" i="4" s="1"/>
  <c r="O366" i="4" a="1"/>
  <c r="O366" i="4" s="1"/>
  <c r="O369" i="4" a="1"/>
  <c r="O369" i="4" s="1"/>
  <c r="O364" i="4" a="1"/>
  <c r="O364" i="4" s="1"/>
  <c r="O372" i="4" a="1"/>
  <c r="O372" i="4" s="1"/>
  <c r="O373" i="4" a="1"/>
  <c r="O373" i="4" s="1"/>
  <c r="O371" i="4" a="1"/>
  <c r="O371" i="4" s="1"/>
  <c r="O370" i="4" a="1"/>
  <c r="O370" i="4" s="1"/>
  <c r="O376" i="4" a="1"/>
  <c r="O376" i="4" s="1"/>
  <c r="O374" i="4" a="1"/>
  <c r="O374" i="4" s="1"/>
  <c r="O379" i="4" a="1"/>
  <c r="O379" i="4" s="1"/>
  <c r="O375" i="4" a="1"/>
  <c r="O375" i="4" s="1"/>
  <c r="O383" i="4" a="1"/>
  <c r="O383" i="4" s="1"/>
  <c r="O380" i="4" a="1"/>
  <c r="O380" i="4" s="1"/>
  <c r="O385" i="4" a="1"/>
  <c r="O385" i="4" s="1"/>
  <c r="O388" i="4" a="1"/>
  <c r="O388" i="4" s="1"/>
  <c r="O390" i="4" a="1"/>
  <c r="O390" i="4" s="1"/>
  <c r="O389" i="4" a="1"/>
  <c r="O389" i="4" s="1"/>
  <c r="O391" i="4" a="1"/>
  <c r="O391" i="4" s="1"/>
  <c r="O394" i="4" a="1"/>
  <c r="O394" i="4" s="1"/>
  <c r="O392" i="4" a="1"/>
  <c r="O392" i="4" s="1"/>
  <c r="O393" i="4" a="1"/>
  <c r="O393" i="4" s="1"/>
  <c r="O401" i="4" a="1"/>
  <c r="O401" i="4" s="1"/>
  <c r="O397" i="4" a="1"/>
  <c r="O397" i="4" s="1"/>
  <c r="O396" i="4" a="1"/>
  <c r="O396" i="4" s="1"/>
  <c r="O407" i="4" a="1"/>
  <c r="O407" i="4" s="1"/>
  <c r="O405" i="4" a="1"/>
  <c r="O405" i="4" s="1"/>
  <c r="O408" i="4" a="1"/>
  <c r="O408" i="4" s="1"/>
  <c r="O404" i="4" a="1"/>
  <c r="O404" i="4" s="1"/>
  <c r="O410" i="4" a="1"/>
  <c r="O410" i="4" s="1"/>
  <c r="O409" i="4" a="1"/>
  <c r="O409" i="4" s="1"/>
  <c r="O412" i="4" a="1"/>
  <c r="O412" i="4" s="1"/>
  <c r="O411" i="4" a="1"/>
  <c r="O411" i="4" s="1"/>
  <c r="O413" i="4" a="1"/>
  <c r="O413" i="4" s="1"/>
  <c r="O419" i="4" a="1"/>
  <c r="O419" i="4" s="1"/>
  <c r="O414" i="4" a="1"/>
  <c r="O414" i="4" s="1"/>
  <c r="O416" i="4" a="1"/>
  <c r="O416" i="4" s="1"/>
  <c r="O417" i="4" a="1"/>
  <c r="O417" i="4" s="1"/>
  <c r="O420" i="4" a="1"/>
  <c r="O420" i="4" s="1"/>
  <c r="O424" i="4" a="1"/>
  <c r="O424" i="4" s="1"/>
  <c r="O421" i="4" a="1"/>
  <c r="O421" i="4" s="1"/>
  <c r="O425" i="4" a="1"/>
  <c r="O425" i="4" s="1"/>
  <c r="O429" i="4" a="1"/>
  <c r="O429" i="4" s="1"/>
  <c r="O426" i="4" a="1"/>
  <c r="O426" i="4" s="1"/>
  <c r="O427" i="4" a="1"/>
  <c r="O427" i="4" s="1"/>
  <c r="O432" i="4" a="1"/>
  <c r="O432" i="4" s="1"/>
  <c r="O435" i="4" a="1"/>
  <c r="O435" i="4" s="1"/>
  <c r="O437" i="4" a="1"/>
  <c r="O437" i="4" s="1"/>
  <c r="O433" i="4" a="1"/>
  <c r="O433" i="4" s="1"/>
  <c r="O431" i="4" a="1"/>
  <c r="O431" i="4" s="1"/>
  <c r="O430" i="4" a="1"/>
  <c r="O430" i="4" s="1"/>
  <c r="O441" i="4" a="1"/>
  <c r="O441" i="4" s="1"/>
  <c r="O439" i="4" a="1"/>
  <c r="O439" i="4" s="1"/>
  <c r="O434" i="4" a="1"/>
  <c r="O434" i="4" s="1"/>
  <c r="O436" i="4" a="1"/>
  <c r="O436" i="4" s="1"/>
  <c r="O438" i="4" a="1"/>
  <c r="O438" i="4" s="1"/>
  <c r="O440" i="4" a="1"/>
  <c r="O440" i="4" s="1"/>
  <c r="O446" i="4" a="1"/>
  <c r="O446" i="4" s="1"/>
  <c r="O450" i="4" a="1"/>
  <c r="O450" i="4" s="1"/>
  <c r="O447" i="4" a="1"/>
  <c r="O447" i="4" s="1"/>
  <c r="O448" i="4" a="1"/>
  <c r="O448" i="4" s="1"/>
  <c r="O442" i="4" a="1"/>
  <c r="O442" i="4" s="1"/>
  <c r="O443" i="4" a="1"/>
  <c r="O443" i="4" s="1"/>
  <c r="O449" i="4" a="1"/>
  <c r="O449" i="4" s="1"/>
  <c r="O451" i="4" a="1"/>
  <c r="O451" i="4" s="1"/>
  <c r="O445" i="4" a="1"/>
  <c r="O445" i="4" s="1"/>
  <c r="O452" i="4" a="1"/>
  <c r="O452" i="4" s="1"/>
  <c r="O453" i="4" a="1"/>
  <c r="O453" i="4" s="1"/>
  <c r="O457" i="4" a="1"/>
  <c r="O457" i="4" s="1"/>
  <c r="O455" i="4" a="1"/>
  <c r="O455" i="4" s="1"/>
  <c r="O456" i="4" a="1"/>
  <c r="O456" i="4" s="1"/>
  <c r="O454" i="4" a="1"/>
  <c r="O454" i="4" s="1"/>
  <c r="O459" i="4" a="1"/>
  <c r="O459" i="4" s="1"/>
  <c r="O460" i="4" a="1"/>
  <c r="O460" i="4" s="1"/>
  <c r="O463" i="4" a="1"/>
  <c r="O463" i="4" s="1"/>
  <c r="O465" i="4" a="1"/>
  <c r="O465" i="4" s="1"/>
  <c r="O464" i="4" a="1"/>
  <c r="O464" i="4" s="1"/>
  <c r="O466" i="4" a="1"/>
  <c r="O466" i="4" s="1"/>
  <c r="O473" i="4" a="1"/>
  <c r="O473" i="4" s="1"/>
  <c r="O467" i="4" a="1"/>
  <c r="O467" i="4" s="1"/>
  <c r="O474" i="4" a="1"/>
  <c r="O474" i="4" s="1"/>
  <c r="O475" i="4" a="1"/>
  <c r="O475" i="4" s="1"/>
  <c r="O471" i="4" a="1"/>
  <c r="O471" i="4" s="1"/>
  <c r="O472" i="4" a="1"/>
  <c r="O472" i="4" s="1"/>
  <c r="O469" i="4" a="1"/>
  <c r="O469" i="4" s="1"/>
  <c r="O470" i="4" a="1"/>
  <c r="O470" i="4" s="1"/>
  <c r="O468" i="4" a="1"/>
  <c r="O468" i="4" s="1"/>
  <c r="O476" i="4" a="1"/>
  <c r="O476" i="4" s="1"/>
  <c r="O480" i="4" a="1"/>
  <c r="O480" i="4" s="1"/>
  <c r="O479" i="4" a="1"/>
  <c r="O479" i="4" s="1"/>
  <c r="O481" i="4" a="1"/>
  <c r="O481" i="4" s="1"/>
  <c r="O486" i="4" a="1"/>
  <c r="O486" i="4" s="1"/>
  <c r="O485" i="4" a="1"/>
  <c r="O485" i="4" s="1"/>
  <c r="O484" i="4" a="1"/>
  <c r="O484" i="4" s="1"/>
  <c r="O490" i="4" a="1"/>
  <c r="O490" i="4" s="1"/>
  <c r="O489" i="4" a="1"/>
  <c r="O489" i="4" s="1"/>
  <c r="O493" i="4" a="1"/>
  <c r="O493" i="4" s="1"/>
  <c r="O487" i="4" a="1"/>
  <c r="O487" i="4" s="1"/>
  <c r="O492" i="4" a="1"/>
  <c r="O492" i="4" s="1"/>
  <c r="O491" i="4" a="1"/>
  <c r="O491" i="4" s="1"/>
  <c r="O499" i="4" a="1"/>
  <c r="O499" i="4" s="1"/>
  <c r="O495" i="4" a="1"/>
  <c r="O495" i="4" s="1"/>
  <c r="O497" i="4" a="1"/>
  <c r="O497" i="4" s="1"/>
  <c r="O505" i="4" a="1"/>
  <c r="O505" i="4" s="1"/>
  <c r="O506" i="4" a="1"/>
  <c r="O506" i="4" s="1"/>
  <c r="O510" i="4" a="1"/>
  <c r="O510" i="4" s="1"/>
  <c r="O508" i="4" a="1"/>
  <c r="O508" i="4" s="1"/>
  <c r="O509" i="4" a="1"/>
  <c r="O509" i="4" s="1"/>
  <c r="O507" i="4" a="1"/>
  <c r="O507" i="4" s="1"/>
  <c r="O513" i="4" a="1"/>
  <c r="O513" i="4" s="1"/>
  <c r="O516" i="4" a="1"/>
  <c r="O516" i="4" s="1"/>
  <c r="O519" i="4" a="1"/>
  <c r="O519" i="4" s="1"/>
  <c r="O518" i="4" a="1"/>
  <c r="O518" i="4" s="1"/>
  <c r="O520" i="4" a="1"/>
  <c r="O520" i="4" s="1"/>
  <c r="O515" i="4" a="1"/>
  <c r="O515" i="4" s="1"/>
  <c r="O517" i="4" a="1"/>
  <c r="O517" i="4" s="1"/>
  <c r="O514" i="4" a="1"/>
  <c r="O514" i="4" s="1"/>
  <c r="O531" i="4" a="1"/>
  <c r="O531" i="4" s="1"/>
  <c r="O525" i="4" a="1"/>
  <c r="O525" i="4" s="1"/>
  <c r="O528" i="4" a="1"/>
  <c r="O528" i="4" s="1"/>
  <c r="O522" i="4" a="1"/>
  <c r="O522" i="4" s="1"/>
  <c r="O521" i="4" a="1"/>
  <c r="O521" i="4" s="1"/>
  <c r="O524" i="4" a="1"/>
  <c r="O524" i="4" s="1"/>
  <c r="O532" i="4" a="1"/>
  <c r="O532" i="4" s="1"/>
  <c r="O527" i="4" a="1"/>
  <c r="O527" i="4" s="1"/>
  <c r="O533" i="4" a="1"/>
  <c r="O533" i="4" s="1"/>
  <c r="O523" i="4" a="1"/>
  <c r="O523" i="4" s="1"/>
  <c r="O529" i="4" a="1"/>
  <c r="O529" i="4" s="1"/>
  <c r="O526" i="4" a="1"/>
  <c r="O526" i="4" s="1"/>
  <c r="O530" i="4" a="1"/>
  <c r="O530" i="4" s="1"/>
  <c r="O540" i="4" a="1"/>
  <c r="O540" i="4" s="1"/>
  <c r="O537" i="4" a="1"/>
  <c r="O537" i="4" s="1"/>
  <c r="O535" i="4" a="1"/>
  <c r="O535" i="4" s="1"/>
  <c r="O539" i="4" a="1"/>
  <c r="O539" i="4" s="1"/>
  <c r="O536" i="4" a="1"/>
  <c r="O536" i="4" s="1"/>
  <c r="O538" i="4" a="1"/>
  <c r="O538" i="4" s="1"/>
  <c r="O534" i="4" a="1"/>
  <c r="O534" i="4" s="1"/>
  <c r="O545" i="4" a="1"/>
  <c r="O545" i="4" s="1"/>
  <c r="O544" i="4" a="1"/>
  <c r="O544" i="4" s="1"/>
  <c r="O543" i="4" a="1"/>
  <c r="O543" i="4" s="1"/>
  <c r="O542" i="4" a="1"/>
  <c r="O542" i="4" s="1"/>
  <c r="O549" i="4" a="1"/>
  <c r="O549" i="4" s="1"/>
  <c r="O548" i="4" a="1"/>
  <c r="O548" i="4" s="1"/>
  <c r="O547" i="4" a="1"/>
  <c r="O547" i="4" s="1"/>
  <c r="O546" i="4" a="1"/>
  <c r="O546" i="4" s="1"/>
  <c r="O554" i="4" a="1"/>
  <c r="O554" i="4" s="1"/>
  <c r="O555" i="4" a="1"/>
  <c r="O555" i="4" s="1"/>
  <c r="O559" i="4" a="1"/>
  <c r="O559" i="4" s="1"/>
  <c r="O556" i="4" a="1"/>
  <c r="O556" i="4" s="1"/>
  <c r="O553" i="4" a="1"/>
  <c r="O553" i="4" s="1"/>
  <c r="O552" i="4" a="1"/>
  <c r="O552" i="4" s="1"/>
  <c r="O550" i="4" a="1"/>
  <c r="O550" i="4" s="1"/>
  <c r="O557" i="4" a="1"/>
  <c r="O557" i="4" s="1"/>
  <c r="O558" i="4" a="1"/>
  <c r="O558" i="4" s="1"/>
  <c r="O551" i="4" a="1"/>
  <c r="O551" i="4" s="1"/>
  <c r="O562" i="4" a="1"/>
  <c r="O562" i="4" s="1"/>
  <c r="O565" i="4" a="1"/>
  <c r="O565" i="4" s="1"/>
  <c r="O564" i="4" a="1"/>
  <c r="O564" i="4" s="1"/>
  <c r="O563" i="4" a="1"/>
  <c r="O563" i="4" s="1"/>
  <c r="O561" i="4" a="1"/>
  <c r="O561" i="4" s="1"/>
  <c r="O560" i="4" a="1"/>
  <c r="O560" i="4" s="1"/>
  <c r="O567" i="4" a="1"/>
  <c r="O567" i="4" s="1"/>
  <c r="O566" i="4" a="1"/>
  <c r="O566" i="4" s="1"/>
  <c r="O571" i="4" a="1"/>
  <c r="O571" i="4" s="1"/>
  <c r="O568" i="4" a="1"/>
  <c r="O568" i="4" s="1"/>
  <c r="O570" i="4" a="1"/>
  <c r="O570" i="4" s="1"/>
  <c r="O572" i="4" a="1"/>
  <c r="O572" i="4" s="1"/>
  <c r="O575" i="4" a="1"/>
  <c r="O575" i="4" s="1"/>
  <c r="O573" i="4" a="1"/>
  <c r="O573" i="4" s="1"/>
  <c r="O579" i="4" a="1"/>
  <c r="O579" i="4" s="1"/>
  <c r="O574" i="4" a="1"/>
  <c r="O574" i="4" s="1"/>
  <c r="O576" i="4" a="1"/>
  <c r="O576" i="4" s="1"/>
  <c r="O580" i="4" a="1"/>
  <c r="O580" i="4" s="1"/>
  <c r="O582" i="4" a="1"/>
  <c r="O582" i="4" s="1"/>
  <c r="O581" i="4" a="1"/>
  <c r="O581" i="4" s="1"/>
  <c r="O585" i="4" a="1"/>
  <c r="O585" i="4" s="1"/>
  <c r="O584" i="4" a="1"/>
  <c r="O584" i="4" s="1"/>
  <c r="O583" i="4" a="1"/>
  <c r="O583" i="4" s="1"/>
  <c r="O586" i="4" a="1"/>
  <c r="O586" i="4" s="1"/>
  <c r="O590" i="4" a="1"/>
  <c r="O590" i="4" s="1"/>
  <c r="O592" i="4" a="1"/>
  <c r="O592" i="4" s="1"/>
  <c r="O588" i="4" a="1"/>
  <c r="O588" i="4" s="1"/>
  <c r="O591" i="4" a="1"/>
  <c r="O591" i="4" s="1"/>
  <c r="O593" i="4" a="1"/>
  <c r="O593" i="4" s="1"/>
  <c r="O599" i="4" a="1"/>
  <c r="O599" i="4" s="1"/>
  <c r="O595" i="4" a="1"/>
  <c r="O595" i="4" s="1"/>
  <c r="O597" i="4" a="1"/>
  <c r="O597" i="4" s="1"/>
  <c r="O596" i="4" a="1"/>
  <c r="O596" i="4" s="1"/>
  <c r="O598" i="4" a="1"/>
  <c r="O598" i="4" s="1"/>
  <c r="O600" i="4" a="1"/>
  <c r="O600" i="4" s="1"/>
  <c r="O602" i="4" a="1"/>
  <c r="O602" i="4" s="1"/>
  <c r="O601" i="4" a="1"/>
  <c r="O601" i="4" s="1"/>
  <c r="O606" i="4" a="1"/>
  <c r="O606" i="4" s="1"/>
  <c r="O605" i="4" a="1"/>
  <c r="O605" i="4" s="1"/>
  <c r="O607" i="4" a="1"/>
  <c r="O607" i="4" s="1"/>
  <c r="O609" i="4" a="1"/>
  <c r="O609" i="4" s="1"/>
  <c r="O608" i="4" a="1"/>
  <c r="O608" i="4" s="1"/>
  <c r="O610" i="4" a="1"/>
  <c r="O610" i="4" s="1"/>
  <c r="O611" i="4" a="1"/>
  <c r="O611" i="4" s="1"/>
  <c r="O612" i="4" a="1"/>
  <c r="O612" i="4" s="1"/>
  <c r="O613" i="4" a="1"/>
  <c r="O613" i="4" s="1"/>
  <c r="O614" i="4" a="1"/>
  <c r="O614" i="4" s="1"/>
  <c r="O618" i="4" a="1"/>
  <c r="O618" i="4" s="1"/>
  <c r="O617" i="4" a="1"/>
  <c r="O617" i="4" s="1"/>
  <c r="O616" i="4" a="1"/>
  <c r="O616" i="4" s="1"/>
  <c r="O621" i="4" a="1"/>
  <c r="O621" i="4" s="1"/>
  <c r="O619" i="4" a="1"/>
  <c r="O619" i="4" s="1"/>
  <c r="O620" i="4" a="1"/>
  <c r="O620" i="4" s="1"/>
  <c r="O626" i="4" a="1"/>
  <c r="O626" i="4" s="1"/>
  <c r="O623" i="4" a="1"/>
  <c r="O623" i="4" s="1"/>
  <c r="O625" i="4" a="1"/>
  <c r="O625" i="4" s="1"/>
  <c r="O628" i="4" a="1"/>
  <c r="O628" i="4" s="1"/>
  <c r="O629" i="4" a="1"/>
  <c r="O629" i="4" s="1"/>
  <c r="O627" i="4" a="1"/>
  <c r="O627" i="4" s="1"/>
  <c r="O633" i="4" a="1"/>
  <c r="O633" i="4" s="1"/>
  <c r="O632" i="4" a="1"/>
  <c r="O632" i="4" s="1"/>
  <c r="Q22" i="4"/>
  <c r="T22" i="4" s="1"/>
  <c r="Q21" i="4"/>
  <c r="T21" i="4" s="1"/>
  <c r="Q27" i="4"/>
  <c r="T27" i="4" s="1"/>
  <c r="Q28" i="4"/>
  <c r="T28" i="4" s="1"/>
  <c r="Q26" i="4"/>
  <c r="T26" i="4" s="1"/>
  <c r="Q30" i="4"/>
  <c r="T30" i="4" s="1"/>
  <c r="Q31" i="4"/>
  <c r="T31" i="4" s="1"/>
  <c r="Q35" i="4"/>
  <c r="T35" i="4" s="1"/>
  <c r="Q39" i="4"/>
  <c r="T39" i="4" s="1"/>
  <c r="Q40" i="4"/>
  <c r="T40" i="4" s="1"/>
  <c r="Q42" i="4"/>
  <c r="T42" i="4" s="1"/>
  <c r="Q43" i="4"/>
  <c r="T43" i="4" s="1"/>
  <c r="Q44" i="4"/>
  <c r="T44" i="4" s="1"/>
  <c r="Q41" i="4"/>
  <c r="T41" i="4" s="1"/>
  <c r="Q45" i="4"/>
  <c r="T45" i="4" s="1"/>
  <c r="Q46" i="4"/>
  <c r="T46" i="4" s="1"/>
  <c r="Q48" i="4"/>
  <c r="T48" i="4" s="1"/>
  <c r="Q50" i="4"/>
  <c r="T50" i="4" s="1"/>
  <c r="Q49" i="4"/>
  <c r="T49" i="4" s="1"/>
  <c r="Q55" i="4"/>
  <c r="T55" i="4" s="1"/>
  <c r="Q56" i="4"/>
  <c r="T56" i="4" s="1"/>
  <c r="Q57" i="4"/>
  <c r="T57" i="4" s="1"/>
  <c r="Q61" i="4"/>
  <c r="T61" i="4" s="1"/>
  <c r="Q59" i="4"/>
  <c r="T59" i="4" s="1"/>
  <c r="Q65" i="4"/>
  <c r="T65" i="4" s="1"/>
  <c r="Q58" i="4"/>
  <c r="T58" i="4" s="1"/>
  <c r="Q66" i="4"/>
  <c r="T66" i="4" s="1"/>
  <c r="Q68" i="4"/>
  <c r="T68" i="4" s="1"/>
  <c r="Q69" i="4"/>
  <c r="T69" i="4" s="1"/>
  <c r="Q67" i="4"/>
  <c r="T67" i="4" s="1"/>
  <c r="Q74" i="4"/>
  <c r="T74" i="4" s="1"/>
  <c r="Q76" i="4"/>
  <c r="T76" i="4" s="1"/>
  <c r="Q70" i="4"/>
  <c r="T70" i="4" s="1"/>
  <c r="Q72" i="4"/>
  <c r="T72" i="4" s="1"/>
  <c r="Q71" i="4"/>
  <c r="T71" i="4" s="1"/>
  <c r="Q73" i="4"/>
  <c r="T73" i="4" s="1"/>
  <c r="Q75" i="4"/>
  <c r="T75" i="4" s="1"/>
  <c r="Q83" i="4"/>
  <c r="T83" i="4" s="1"/>
  <c r="Q80" i="4"/>
  <c r="T80" i="4" s="1"/>
  <c r="Q84" i="4"/>
  <c r="T84" i="4" s="1"/>
  <c r="Q79" i="4"/>
  <c r="T79" i="4" s="1"/>
  <c r="Q81" i="4"/>
  <c r="T81" i="4" s="1"/>
  <c r="Q77" i="4"/>
  <c r="T77" i="4" s="1"/>
  <c r="Q86" i="4"/>
  <c r="T86" i="4" s="1"/>
  <c r="Q92" i="4"/>
  <c r="T92" i="4" s="1"/>
  <c r="Q89" i="4"/>
  <c r="T89" i="4" s="1"/>
  <c r="Q91" i="4"/>
  <c r="T91" i="4" s="1"/>
  <c r="Q93" i="4"/>
  <c r="T93" i="4" s="1"/>
  <c r="Q88" i="4"/>
  <c r="T88" i="4" s="1"/>
  <c r="Q96" i="4"/>
  <c r="T96" i="4" s="1"/>
  <c r="Q99" i="4"/>
  <c r="T99" i="4" s="1"/>
  <c r="Q102" i="4"/>
  <c r="T102" i="4" s="1"/>
  <c r="Q100" i="4"/>
  <c r="T100" i="4" s="1"/>
  <c r="Q98" i="4"/>
  <c r="T98" i="4" s="1"/>
  <c r="Q103" i="4"/>
  <c r="T103" i="4" s="1"/>
  <c r="Q106" i="4"/>
  <c r="T106" i="4" s="1"/>
  <c r="Q105" i="4"/>
  <c r="T105" i="4" s="1"/>
  <c r="Q107" i="4"/>
  <c r="T107" i="4" s="1"/>
  <c r="Q109" i="4"/>
  <c r="T109" i="4" s="1"/>
  <c r="Q104" i="4"/>
  <c r="T104" i="4" s="1"/>
  <c r="Q108" i="4"/>
  <c r="T108" i="4" s="1"/>
  <c r="Q111" i="4"/>
  <c r="T111" i="4" s="1"/>
  <c r="Q110" i="4"/>
  <c r="T110" i="4" s="1"/>
  <c r="Q116" i="4"/>
  <c r="T116" i="4" s="1"/>
  <c r="Q115" i="4"/>
  <c r="T115" i="4" s="1"/>
  <c r="Q118" i="4"/>
  <c r="T118" i="4" s="1"/>
  <c r="Q119" i="4"/>
  <c r="T119" i="4" s="1"/>
  <c r="Q120" i="4"/>
  <c r="T120" i="4" s="1"/>
  <c r="Q129" i="4"/>
  <c r="T129" i="4" s="1"/>
  <c r="Q130" i="4"/>
  <c r="T130" i="4" s="1"/>
  <c r="Q135" i="4"/>
  <c r="T135" i="4" s="1"/>
  <c r="Q126" i="4"/>
  <c r="T126" i="4" s="1"/>
  <c r="Q136" i="4"/>
  <c r="T136" i="4" s="1"/>
  <c r="Q127" i="4"/>
  <c r="T127" i="4" s="1"/>
  <c r="Q128" i="4"/>
  <c r="T128" i="4" s="1"/>
  <c r="Q132" i="4"/>
  <c r="T132" i="4" s="1"/>
  <c r="Q131" i="4"/>
  <c r="T131" i="4" s="1"/>
  <c r="Q137" i="4"/>
  <c r="T137" i="4" s="1"/>
  <c r="Q140" i="4"/>
  <c r="T140" i="4" s="1"/>
  <c r="Q139" i="4"/>
  <c r="T139" i="4" s="1"/>
  <c r="Q138" i="4"/>
  <c r="T138" i="4" s="1"/>
  <c r="Q144" i="4"/>
  <c r="T144" i="4" s="1"/>
  <c r="Q143" i="4"/>
  <c r="T143" i="4" s="1"/>
  <c r="Q141" i="4"/>
  <c r="T141" i="4" s="1"/>
  <c r="Q149" i="4"/>
  <c r="T149" i="4" s="1"/>
  <c r="Q153" i="4"/>
  <c r="T153" i="4" s="1"/>
  <c r="Q152" i="4"/>
  <c r="T152" i="4" s="1"/>
  <c r="Q154" i="4"/>
  <c r="T154" i="4" s="1"/>
  <c r="Q155" i="4"/>
  <c r="T155" i="4" s="1"/>
  <c r="Q157" i="4"/>
  <c r="T157" i="4" s="1"/>
  <c r="Q159" i="4"/>
  <c r="T159" i="4" s="1"/>
  <c r="Q160" i="4"/>
  <c r="T160" i="4" s="1"/>
  <c r="Q161" i="4"/>
  <c r="T161" i="4" s="1"/>
  <c r="Q162" i="4"/>
  <c r="T162" i="4" s="1"/>
  <c r="Q163" i="4"/>
  <c r="T163" i="4" s="1"/>
  <c r="Q164" i="4"/>
  <c r="T164" i="4" s="1"/>
  <c r="Q165" i="4"/>
  <c r="T165" i="4" s="1"/>
  <c r="Q166" i="4"/>
  <c r="T166" i="4" s="1"/>
  <c r="Q167" i="4"/>
  <c r="T167" i="4" s="1"/>
  <c r="Q168" i="4"/>
  <c r="T168" i="4" s="1"/>
  <c r="Q171" i="4"/>
  <c r="T171" i="4" s="1"/>
  <c r="Q170" i="4"/>
  <c r="T170" i="4" s="1"/>
  <c r="Q172" i="4"/>
  <c r="T172" i="4" s="1"/>
  <c r="Q175" i="4"/>
  <c r="T175" i="4" s="1"/>
  <c r="Q173" i="4"/>
  <c r="T173" i="4" s="1"/>
  <c r="Q174" i="4"/>
  <c r="T174" i="4" s="1"/>
  <c r="Q176" i="4"/>
  <c r="T176" i="4" s="1"/>
  <c r="Q177" i="4"/>
  <c r="T177" i="4" s="1"/>
  <c r="Q180" i="4"/>
  <c r="T180" i="4" s="1"/>
  <c r="Q183" i="4"/>
  <c r="T183" i="4" s="1"/>
  <c r="Q181" i="4"/>
  <c r="T181" i="4" s="1"/>
  <c r="Q179" i="4"/>
  <c r="T179" i="4" s="1"/>
  <c r="Q182" i="4"/>
  <c r="T182" i="4" s="1"/>
  <c r="Q189" i="4"/>
  <c r="T189" i="4" s="1"/>
  <c r="Q191" i="4"/>
  <c r="T191" i="4" s="1"/>
  <c r="Q188" i="4"/>
  <c r="T188" i="4" s="1"/>
  <c r="Q184" i="4"/>
  <c r="T184" i="4" s="1"/>
  <c r="Q186" i="4"/>
  <c r="T186" i="4" s="1"/>
  <c r="Q192" i="4"/>
  <c r="T192" i="4" s="1"/>
  <c r="Q187" i="4"/>
  <c r="T187" i="4" s="1"/>
  <c r="Q185" i="4"/>
  <c r="T185" i="4" s="1"/>
  <c r="Q196" i="4"/>
  <c r="T196" i="4" s="1"/>
  <c r="Q198" i="4"/>
  <c r="T198" i="4" s="1"/>
  <c r="Q199" i="4"/>
  <c r="T199" i="4" s="1"/>
  <c r="Q197" i="4"/>
  <c r="T197" i="4" s="1"/>
  <c r="Q202" i="4"/>
  <c r="T202" i="4" s="1"/>
  <c r="Q203" i="4"/>
  <c r="T203" i="4" s="1"/>
  <c r="Q200" i="4"/>
  <c r="T200" i="4" s="1"/>
  <c r="Q201" i="4"/>
  <c r="T201" i="4" s="1"/>
  <c r="Q204" i="4"/>
  <c r="T204" i="4" s="1"/>
  <c r="Q206" i="4"/>
  <c r="T206" i="4" s="1"/>
  <c r="Q207" i="4"/>
  <c r="T207" i="4" s="1"/>
  <c r="Q213" i="4"/>
  <c r="T213" i="4" s="1"/>
  <c r="Q210" i="4"/>
  <c r="T210" i="4" s="1"/>
  <c r="Q214" i="4"/>
  <c r="T214" i="4" s="1"/>
  <c r="Q216" i="4"/>
  <c r="T216" i="4" s="1"/>
  <c r="Q215" i="4"/>
  <c r="T215" i="4" s="1"/>
  <c r="Q209" i="4"/>
  <c r="T209" i="4" s="1"/>
  <c r="Q211" i="4"/>
  <c r="T211" i="4" s="1"/>
  <c r="Q208" i="4"/>
  <c r="T208" i="4" s="1"/>
  <c r="Q212" i="4"/>
  <c r="T212" i="4" s="1"/>
  <c r="Q217" i="4"/>
  <c r="T217" i="4" s="1"/>
  <c r="Q218" i="4"/>
  <c r="T218" i="4" s="1"/>
  <c r="Q220" i="4"/>
  <c r="T220" i="4" s="1"/>
  <c r="Q222" i="4"/>
  <c r="T222" i="4" s="1"/>
  <c r="Q226" i="4"/>
  <c r="T226" i="4" s="1"/>
  <c r="Q225" i="4"/>
  <c r="T225" i="4" s="1"/>
  <c r="Q223" i="4"/>
  <c r="T223" i="4" s="1"/>
  <c r="Q227" i="4"/>
  <c r="T227" i="4" s="1"/>
  <c r="Q228" i="4"/>
  <c r="T228" i="4" s="1"/>
  <c r="Q229" i="4"/>
  <c r="T229" i="4" s="1"/>
  <c r="Q231" i="4"/>
  <c r="T231" i="4" s="1"/>
  <c r="Q232" i="4"/>
  <c r="T232" i="4" s="1"/>
  <c r="Q236" i="4"/>
  <c r="T236" i="4" s="1"/>
  <c r="Q233" i="4"/>
  <c r="T233" i="4" s="1"/>
  <c r="Q235" i="4"/>
  <c r="T235" i="4" s="1"/>
  <c r="Q234" i="4"/>
  <c r="T234" i="4" s="1"/>
  <c r="Q238" i="4"/>
  <c r="T238" i="4" s="1"/>
  <c r="Q237" i="4"/>
  <c r="T237" i="4" s="1"/>
  <c r="Q239" i="4"/>
  <c r="T239" i="4" s="1"/>
  <c r="Q241" i="4"/>
  <c r="T241" i="4" s="1"/>
  <c r="Q240" i="4"/>
  <c r="T240" i="4" s="1"/>
  <c r="Q247" i="4"/>
  <c r="T247" i="4" s="1"/>
  <c r="Q251" i="4"/>
  <c r="T251" i="4" s="1"/>
  <c r="Q248" i="4"/>
  <c r="T248" i="4" s="1"/>
  <c r="Q245" i="4"/>
  <c r="T245" i="4" s="1"/>
  <c r="Q246" i="4"/>
  <c r="T246" i="4" s="1"/>
  <c r="Q252" i="4"/>
  <c r="T252" i="4" s="1"/>
  <c r="Q255" i="4"/>
  <c r="T255" i="4" s="1"/>
  <c r="Q254" i="4"/>
  <c r="T254" i="4" s="1"/>
  <c r="Q253" i="4"/>
  <c r="T253" i="4" s="1"/>
  <c r="Q258" i="4"/>
  <c r="T258" i="4" s="1"/>
  <c r="Q260" i="4"/>
  <c r="T260" i="4" s="1"/>
  <c r="Q259" i="4"/>
  <c r="T259" i="4" s="1"/>
  <c r="Q257" i="4"/>
  <c r="T257" i="4" s="1"/>
  <c r="Q265" i="4"/>
  <c r="T265" i="4" s="1"/>
  <c r="Q264" i="4"/>
  <c r="T264" i="4" s="1"/>
  <c r="Q261" i="4"/>
  <c r="T261" i="4" s="1"/>
  <c r="Q262" i="4"/>
  <c r="T262" i="4" s="1"/>
  <c r="Q266" i="4"/>
  <c r="T266" i="4" s="1"/>
  <c r="Q268" i="4"/>
  <c r="T268" i="4" s="1"/>
  <c r="Q267" i="4"/>
  <c r="T267" i="4" s="1"/>
  <c r="Q269" i="4"/>
  <c r="T269" i="4" s="1"/>
  <c r="Q270" i="4"/>
  <c r="T270" i="4" s="1"/>
  <c r="Q271" i="4"/>
  <c r="T271" i="4" s="1"/>
  <c r="Q272" i="4"/>
  <c r="T272" i="4" s="1"/>
  <c r="Q276" i="4"/>
  <c r="T276" i="4" s="1"/>
  <c r="Q274" i="4"/>
  <c r="T274" i="4" s="1"/>
  <c r="Q275" i="4"/>
  <c r="T275" i="4" s="1"/>
  <c r="Q277" i="4"/>
  <c r="T277" i="4" s="1"/>
  <c r="Q279" i="4"/>
  <c r="T279" i="4" s="1"/>
  <c r="Q278" i="4"/>
  <c r="T278" i="4" s="1"/>
  <c r="Q280" i="4"/>
  <c r="T280" i="4" s="1"/>
  <c r="Q281" i="4"/>
  <c r="T281" i="4" s="1"/>
  <c r="Q283" i="4"/>
  <c r="T283" i="4" s="1"/>
  <c r="Q286" i="4"/>
  <c r="T286" i="4" s="1"/>
  <c r="Q285" i="4"/>
  <c r="T285" i="4" s="1"/>
  <c r="Q288" i="4"/>
  <c r="T288" i="4" s="1"/>
  <c r="Q292" i="4"/>
  <c r="T292" i="4" s="1"/>
  <c r="Q293" i="4"/>
  <c r="T293" i="4" s="1"/>
  <c r="Q295" i="4"/>
  <c r="T295" i="4" s="1"/>
  <c r="Q294" i="4"/>
  <c r="T294" i="4" s="1"/>
  <c r="Q296" i="4"/>
  <c r="T296" i="4" s="1"/>
  <c r="Q298" i="4"/>
  <c r="T298" i="4" s="1"/>
  <c r="Q301" i="4"/>
  <c r="T301" i="4" s="1"/>
  <c r="Q300" i="4"/>
  <c r="T300" i="4" s="1"/>
  <c r="Q299" i="4"/>
  <c r="T299" i="4" s="1"/>
  <c r="Q302" i="4"/>
  <c r="T302" i="4" s="1"/>
  <c r="Q303" i="4"/>
  <c r="T303" i="4" s="1"/>
  <c r="Q304" i="4"/>
  <c r="T304" i="4" s="1"/>
  <c r="Q305" i="4"/>
  <c r="T305" i="4" s="1"/>
  <c r="Q306" i="4"/>
  <c r="T306" i="4" s="1"/>
  <c r="Q308" i="4"/>
  <c r="T308" i="4" s="1"/>
  <c r="Q309" i="4"/>
  <c r="T309" i="4" s="1"/>
  <c r="Q307" i="4"/>
  <c r="T307" i="4" s="1"/>
  <c r="Q313" i="4"/>
  <c r="T313" i="4" s="1"/>
  <c r="Q310" i="4"/>
  <c r="T310" i="4" s="1"/>
  <c r="Q315" i="4"/>
  <c r="T315" i="4" s="1"/>
  <c r="Q317" i="4"/>
  <c r="T317" i="4" s="1"/>
  <c r="Q316" i="4"/>
  <c r="T316" i="4" s="1"/>
  <c r="Q320" i="4"/>
  <c r="T320" i="4" s="1"/>
  <c r="Q319" i="4"/>
  <c r="T319" i="4" s="1"/>
  <c r="Q318" i="4"/>
  <c r="T318" i="4" s="1"/>
  <c r="Q321" i="4"/>
  <c r="T321" i="4" s="1"/>
  <c r="Q324" i="4"/>
  <c r="T324" i="4" s="1"/>
  <c r="Q325" i="4"/>
  <c r="T325" i="4" s="1"/>
  <c r="Q323" i="4"/>
  <c r="T323" i="4" s="1"/>
  <c r="Q322" i="4"/>
  <c r="T322" i="4" s="1"/>
  <c r="Q328" i="4"/>
  <c r="T328" i="4" s="1"/>
  <c r="Q330" i="4"/>
  <c r="T330" i="4" s="1"/>
  <c r="Q329" i="4"/>
  <c r="T329" i="4" s="1"/>
  <c r="Q335" i="4"/>
  <c r="T335" i="4" s="1"/>
  <c r="Q334" i="4"/>
  <c r="T334" i="4" s="1"/>
  <c r="Q332" i="4"/>
  <c r="T332" i="4" s="1"/>
  <c r="Q337" i="4"/>
  <c r="T337" i="4" s="1"/>
  <c r="Q336" i="4"/>
  <c r="T336" i="4" s="1"/>
  <c r="Q338" i="4"/>
  <c r="T338" i="4" s="1"/>
  <c r="Q345" i="4"/>
  <c r="T345" i="4" s="1"/>
  <c r="Q339" i="4"/>
  <c r="T339" i="4" s="1"/>
  <c r="Q341" i="4"/>
  <c r="T341" i="4" s="1"/>
  <c r="Q340" i="4"/>
  <c r="T340" i="4" s="1"/>
  <c r="Q343" i="4"/>
  <c r="T343" i="4" s="1"/>
  <c r="Q346" i="4"/>
  <c r="T346" i="4" s="1"/>
  <c r="Q347" i="4"/>
  <c r="T347" i="4" s="1"/>
  <c r="Q348" i="4"/>
  <c r="T348" i="4" s="1"/>
  <c r="Q350" i="4"/>
  <c r="T350" i="4" s="1"/>
  <c r="Q351" i="4"/>
  <c r="T351" i="4" s="1"/>
  <c r="Q354" i="4"/>
  <c r="T354" i="4" s="1"/>
  <c r="Q352" i="4"/>
  <c r="T352" i="4" s="1"/>
  <c r="Q353" i="4"/>
  <c r="T353" i="4" s="1"/>
  <c r="Q358" i="4"/>
  <c r="T358" i="4" s="1"/>
  <c r="Q355" i="4"/>
  <c r="T355" i="4" s="1"/>
  <c r="Q359" i="4"/>
  <c r="T359" i="4" s="1"/>
  <c r="Q357" i="4"/>
  <c r="T357" i="4" s="1"/>
  <c r="Q363" i="4"/>
  <c r="T363" i="4" s="1"/>
  <c r="Q361" i="4"/>
  <c r="T361" i="4" s="1"/>
  <c r="Q362" i="4"/>
  <c r="T362" i="4" s="1"/>
  <c r="Q360" i="4"/>
  <c r="T360" i="4" s="1"/>
  <c r="Q366" i="4"/>
  <c r="T366" i="4" s="1"/>
  <c r="Q369" i="4"/>
  <c r="T369" i="4" s="1"/>
  <c r="Q364" i="4"/>
  <c r="T364" i="4" s="1"/>
  <c r="Q372" i="4"/>
  <c r="T372" i="4" s="1"/>
  <c r="Q373" i="4"/>
  <c r="T373" i="4" s="1"/>
  <c r="Q371" i="4"/>
  <c r="T371" i="4" s="1"/>
  <c r="Q370" i="4"/>
  <c r="T370" i="4" s="1"/>
  <c r="Q376" i="4"/>
  <c r="T376" i="4" s="1"/>
  <c r="Q374" i="4"/>
  <c r="T374" i="4" s="1"/>
  <c r="Q379" i="4"/>
  <c r="T379" i="4" s="1"/>
  <c r="Q375" i="4"/>
  <c r="T375" i="4" s="1"/>
  <c r="Q383" i="4"/>
  <c r="T383" i="4" s="1"/>
  <c r="Q380" i="4"/>
  <c r="T380" i="4" s="1"/>
  <c r="Q385" i="4"/>
  <c r="T385" i="4" s="1"/>
  <c r="Q388" i="4"/>
  <c r="T388" i="4" s="1"/>
  <c r="Q390" i="4"/>
  <c r="T390" i="4" s="1"/>
  <c r="Q389" i="4"/>
  <c r="T389" i="4" s="1"/>
  <c r="Q391" i="4"/>
  <c r="T391" i="4" s="1"/>
  <c r="Q394" i="4"/>
  <c r="T394" i="4" s="1"/>
  <c r="Q392" i="4"/>
  <c r="T392" i="4" s="1"/>
  <c r="Q393" i="4"/>
  <c r="T393" i="4" s="1"/>
  <c r="Q401" i="4"/>
  <c r="T401" i="4" s="1"/>
  <c r="Q397" i="4"/>
  <c r="T397" i="4" s="1"/>
  <c r="Q396" i="4"/>
  <c r="T396" i="4" s="1"/>
  <c r="Q407" i="4"/>
  <c r="T407" i="4" s="1"/>
  <c r="Q405" i="4"/>
  <c r="T405" i="4" s="1"/>
  <c r="Q408" i="4"/>
  <c r="T408" i="4" s="1"/>
  <c r="Q404" i="4"/>
  <c r="T404" i="4" s="1"/>
  <c r="Q410" i="4"/>
  <c r="T410" i="4" s="1"/>
  <c r="Q409" i="4"/>
  <c r="T409" i="4" s="1"/>
  <c r="Q412" i="4"/>
  <c r="T412" i="4" s="1"/>
  <c r="Q411" i="4"/>
  <c r="T411" i="4" s="1"/>
  <c r="Q413" i="4"/>
  <c r="T413" i="4" s="1"/>
  <c r="Q419" i="4"/>
  <c r="T419" i="4" s="1"/>
  <c r="Q414" i="4"/>
  <c r="T414" i="4" s="1"/>
  <c r="Q416" i="4"/>
  <c r="T416" i="4" s="1"/>
  <c r="Q417" i="4"/>
  <c r="T417" i="4" s="1"/>
  <c r="Q420" i="4"/>
  <c r="T420" i="4" s="1"/>
  <c r="Q424" i="4"/>
  <c r="T424" i="4" s="1"/>
  <c r="Q421" i="4"/>
  <c r="T421" i="4" s="1"/>
  <c r="Q425" i="4"/>
  <c r="T425" i="4" s="1"/>
  <c r="Q429" i="4"/>
  <c r="T429" i="4" s="1"/>
  <c r="Q426" i="4"/>
  <c r="T426" i="4" s="1"/>
  <c r="Q427" i="4"/>
  <c r="T427" i="4" s="1"/>
  <c r="Q432" i="4"/>
  <c r="T432" i="4" s="1"/>
  <c r="Q435" i="4"/>
  <c r="T435" i="4" s="1"/>
  <c r="Q437" i="4"/>
  <c r="T437" i="4" s="1"/>
  <c r="Q433" i="4"/>
  <c r="T433" i="4" s="1"/>
  <c r="Q431" i="4"/>
  <c r="T431" i="4" s="1"/>
  <c r="Q430" i="4"/>
  <c r="T430" i="4" s="1"/>
  <c r="Q441" i="4"/>
  <c r="T441" i="4" s="1"/>
  <c r="Q439" i="4"/>
  <c r="T439" i="4" s="1"/>
  <c r="Q434" i="4"/>
  <c r="T434" i="4" s="1"/>
  <c r="Q436" i="4"/>
  <c r="T436" i="4" s="1"/>
  <c r="Q438" i="4"/>
  <c r="T438" i="4" s="1"/>
  <c r="Q440" i="4"/>
  <c r="T440" i="4" s="1"/>
  <c r="Q446" i="4"/>
  <c r="T446" i="4" s="1"/>
  <c r="Q450" i="4"/>
  <c r="T450" i="4" s="1"/>
  <c r="Q447" i="4"/>
  <c r="T447" i="4" s="1"/>
  <c r="Q448" i="4"/>
  <c r="T448" i="4" s="1"/>
  <c r="Q442" i="4"/>
  <c r="T442" i="4" s="1"/>
  <c r="Q443" i="4"/>
  <c r="T443" i="4" s="1"/>
  <c r="Q449" i="4"/>
  <c r="T449" i="4" s="1"/>
  <c r="Q451" i="4"/>
  <c r="T451" i="4" s="1"/>
  <c r="Q445" i="4"/>
  <c r="T445" i="4" s="1"/>
  <c r="Q452" i="4"/>
  <c r="T452" i="4" s="1"/>
  <c r="Q453" i="4"/>
  <c r="T453" i="4" s="1"/>
  <c r="Q457" i="4"/>
  <c r="T457" i="4" s="1"/>
  <c r="Q455" i="4"/>
  <c r="T455" i="4" s="1"/>
  <c r="Q456" i="4"/>
  <c r="T456" i="4" s="1"/>
  <c r="Q454" i="4"/>
  <c r="T454" i="4" s="1"/>
  <c r="Q459" i="4"/>
  <c r="T459" i="4" s="1"/>
  <c r="Q460" i="4"/>
  <c r="T460" i="4" s="1"/>
  <c r="Q463" i="4"/>
  <c r="T463" i="4" s="1"/>
  <c r="Q465" i="4"/>
  <c r="T465" i="4" s="1"/>
  <c r="Q464" i="4"/>
  <c r="T464" i="4" s="1"/>
  <c r="Q466" i="4"/>
  <c r="T466" i="4" s="1"/>
  <c r="Q473" i="4"/>
  <c r="T473" i="4" s="1"/>
  <c r="Q467" i="4"/>
  <c r="T467" i="4" s="1"/>
  <c r="Q474" i="4"/>
  <c r="T474" i="4" s="1"/>
  <c r="Q475" i="4"/>
  <c r="T475" i="4" s="1"/>
  <c r="Q471" i="4"/>
  <c r="T471" i="4" s="1"/>
  <c r="Q472" i="4"/>
  <c r="T472" i="4" s="1"/>
  <c r="Q469" i="4"/>
  <c r="T469" i="4" s="1"/>
  <c r="Q470" i="4"/>
  <c r="T470" i="4" s="1"/>
  <c r="Q468" i="4"/>
  <c r="T468" i="4" s="1"/>
  <c r="Q476" i="4"/>
  <c r="T476" i="4" s="1"/>
  <c r="Q480" i="4"/>
  <c r="T480" i="4" s="1"/>
  <c r="Q479" i="4"/>
  <c r="T479" i="4" s="1"/>
  <c r="Q481" i="4"/>
  <c r="T481" i="4" s="1"/>
  <c r="Q486" i="4"/>
  <c r="T486" i="4" s="1"/>
  <c r="Q485" i="4"/>
  <c r="T485" i="4" s="1"/>
  <c r="Q484" i="4"/>
  <c r="T484" i="4" s="1"/>
  <c r="Q490" i="4"/>
  <c r="T490" i="4" s="1"/>
  <c r="Q489" i="4"/>
  <c r="T489" i="4" s="1"/>
  <c r="Q493" i="4"/>
  <c r="T493" i="4" s="1"/>
  <c r="Q487" i="4"/>
  <c r="T487" i="4" s="1"/>
  <c r="Q492" i="4"/>
  <c r="T492" i="4" s="1"/>
  <c r="Q491" i="4"/>
  <c r="T491" i="4" s="1"/>
  <c r="Q499" i="4"/>
  <c r="T499" i="4" s="1"/>
  <c r="Q495" i="4"/>
  <c r="T495" i="4" s="1"/>
  <c r="Q497" i="4"/>
  <c r="T497" i="4" s="1"/>
  <c r="Q505" i="4"/>
  <c r="T505" i="4" s="1"/>
  <c r="Q506" i="4"/>
  <c r="T506" i="4" s="1"/>
  <c r="Q510" i="4"/>
  <c r="T510" i="4" s="1"/>
  <c r="Q508" i="4"/>
  <c r="T508" i="4" s="1"/>
  <c r="Q509" i="4"/>
  <c r="T509" i="4" s="1"/>
  <c r="Q507" i="4"/>
  <c r="T507" i="4" s="1"/>
  <c r="Q513" i="4"/>
  <c r="T513" i="4" s="1"/>
  <c r="Q516" i="4"/>
  <c r="T516" i="4" s="1"/>
  <c r="Q519" i="4"/>
  <c r="T519" i="4" s="1"/>
  <c r="Q518" i="4"/>
  <c r="T518" i="4" s="1"/>
  <c r="Q520" i="4"/>
  <c r="T520" i="4" s="1"/>
  <c r="Q515" i="4"/>
  <c r="T515" i="4" s="1"/>
  <c r="Q517" i="4"/>
  <c r="T517" i="4" s="1"/>
  <c r="Q514" i="4"/>
  <c r="T514" i="4" s="1"/>
  <c r="Q531" i="4"/>
  <c r="T531" i="4" s="1"/>
  <c r="Q525" i="4"/>
  <c r="T525" i="4" s="1"/>
  <c r="Q528" i="4"/>
  <c r="T528" i="4" s="1"/>
  <c r="Q522" i="4"/>
  <c r="T522" i="4" s="1"/>
  <c r="Q521" i="4"/>
  <c r="T521" i="4" s="1"/>
  <c r="Q524" i="4"/>
  <c r="T524" i="4" s="1"/>
  <c r="Q532" i="4"/>
  <c r="T532" i="4" s="1"/>
  <c r="Q527" i="4"/>
  <c r="T527" i="4" s="1"/>
  <c r="Q533" i="4"/>
  <c r="T533" i="4" s="1"/>
  <c r="Q523" i="4"/>
  <c r="T523" i="4" s="1"/>
  <c r="Q529" i="4"/>
  <c r="T529" i="4" s="1"/>
  <c r="Q526" i="4"/>
  <c r="T526" i="4" s="1"/>
  <c r="Q530" i="4"/>
  <c r="T530" i="4" s="1"/>
  <c r="Q540" i="4"/>
  <c r="T540" i="4" s="1"/>
  <c r="Q537" i="4"/>
  <c r="T537" i="4" s="1"/>
  <c r="Q535" i="4"/>
  <c r="T535" i="4" s="1"/>
  <c r="Q539" i="4"/>
  <c r="T539" i="4" s="1"/>
  <c r="Q536" i="4"/>
  <c r="T536" i="4" s="1"/>
  <c r="Q538" i="4"/>
  <c r="T538" i="4" s="1"/>
  <c r="Q534" i="4"/>
  <c r="T534" i="4" s="1"/>
  <c r="Q545" i="4"/>
  <c r="T545" i="4" s="1"/>
  <c r="Q544" i="4"/>
  <c r="T544" i="4" s="1"/>
  <c r="Q543" i="4"/>
  <c r="T543" i="4" s="1"/>
  <c r="Q542" i="4"/>
  <c r="T542" i="4" s="1"/>
  <c r="Q549" i="4"/>
  <c r="T549" i="4" s="1"/>
  <c r="Q548" i="4"/>
  <c r="T548" i="4" s="1"/>
  <c r="Q547" i="4"/>
  <c r="T547" i="4" s="1"/>
  <c r="Q546" i="4"/>
  <c r="T546" i="4" s="1"/>
  <c r="Q554" i="4"/>
  <c r="T554" i="4" s="1"/>
  <c r="Q555" i="4"/>
  <c r="T555" i="4" s="1"/>
  <c r="Q559" i="4"/>
  <c r="T559" i="4" s="1"/>
  <c r="Q556" i="4"/>
  <c r="T556" i="4" s="1"/>
  <c r="Q553" i="4"/>
  <c r="T553" i="4" s="1"/>
  <c r="Q552" i="4"/>
  <c r="T552" i="4" s="1"/>
  <c r="Q550" i="4"/>
  <c r="T550" i="4" s="1"/>
  <c r="Q557" i="4"/>
  <c r="T557" i="4" s="1"/>
  <c r="Q558" i="4"/>
  <c r="T558" i="4" s="1"/>
  <c r="Q551" i="4"/>
  <c r="T551" i="4" s="1"/>
  <c r="Q562" i="4"/>
  <c r="T562" i="4" s="1"/>
  <c r="Q565" i="4"/>
  <c r="T565" i="4" s="1"/>
  <c r="Q564" i="4"/>
  <c r="T564" i="4" s="1"/>
  <c r="Q563" i="4"/>
  <c r="T563" i="4" s="1"/>
  <c r="Q561" i="4"/>
  <c r="T561" i="4" s="1"/>
  <c r="Q560" i="4"/>
  <c r="T560" i="4" s="1"/>
  <c r="Q567" i="4"/>
  <c r="T567" i="4" s="1"/>
  <c r="Q566" i="4"/>
  <c r="T566" i="4" s="1"/>
  <c r="Q571" i="4"/>
  <c r="T571" i="4" s="1"/>
  <c r="Q568" i="4"/>
  <c r="T568" i="4" s="1"/>
  <c r="Q570" i="4"/>
  <c r="T570" i="4" s="1"/>
  <c r="Q572" i="4"/>
  <c r="T572" i="4" s="1"/>
  <c r="Q575" i="4"/>
  <c r="T575" i="4" s="1"/>
  <c r="Q573" i="4"/>
  <c r="T573" i="4" s="1"/>
  <c r="Q579" i="4"/>
  <c r="T579" i="4" s="1"/>
  <c r="Q574" i="4"/>
  <c r="T574" i="4" s="1"/>
  <c r="Q576" i="4"/>
  <c r="T576" i="4" s="1"/>
  <c r="Q580" i="4"/>
  <c r="T580" i="4" s="1"/>
  <c r="Q582" i="4"/>
  <c r="T582" i="4" s="1"/>
  <c r="Q581" i="4"/>
  <c r="T581" i="4" s="1"/>
  <c r="Q585" i="4"/>
  <c r="T585" i="4" s="1"/>
  <c r="Q584" i="4"/>
  <c r="T584" i="4" s="1"/>
  <c r="Q583" i="4"/>
  <c r="T583" i="4" s="1"/>
  <c r="Q586" i="4"/>
  <c r="T586" i="4" s="1"/>
  <c r="Q590" i="4"/>
  <c r="T590" i="4" s="1"/>
  <c r="Q592" i="4"/>
  <c r="T592" i="4" s="1"/>
  <c r="Q588" i="4"/>
  <c r="T588" i="4" s="1"/>
  <c r="Q591" i="4"/>
  <c r="T591" i="4" s="1"/>
  <c r="Q593" i="4"/>
  <c r="T593" i="4" s="1"/>
  <c r="Q599" i="4"/>
  <c r="T599" i="4" s="1"/>
  <c r="Q595" i="4"/>
  <c r="T595" i="4" s="1"/>
  <c r="Q597" i="4"/>
  <c r="T597" i="4" s="1"/>
  <c r="Q596" i="4"/>
  <c r="T596" i="4" s="1"/>
  <c r="Q598" i="4"/>
  <c r="T598" i="4" s="1"/>
  <c r="Q600" i="4"/>
  <c r="T600" i="4" s="1"/>
  <c r="Q602" i="4"/>
  <c r="T602" i="4" s="1"/>
  <c r="Q601" i="4"/>
  <c r="T601" i="4" s="1"/>
  <c r="Q606" i="4"/>
  <c r="T606" i="4" s="1"/>
  <c r="Q605" i="4"/>
  <c r="T605" i="4" s="1"/>
  <c r="Q607" i="4"/>
  <c r="T607" i="4" s="1"/>
  <c r="Q609" i="4"/>
  <c r="T609" i="4" s="1"/>
  <c r="Q608" i="4"/>
  <c r="T608" i="4" s="1"/>
  <c r="Q610" i="4"/>
  <c r="T610" i="4" s="1"/>
  <c r="Q611" i="4"/>
  <c r="T611" i="4" s="1"/>
  <c r="Q612" i="4"/>
  <c r="T612" i="4" s="1"/>
  <c r="Q613" i="4"/>
  <c r="T613" i="4" s="1"/>
  <c r="Q614" i="4"/>
  <c r="T614" i="4" s="1"/>
  <c r="Q618" i="4"/>
  <c r="T618" i="4" s="1"/>
  <c r="Q617" i="4"/>
  <c r="T617" i="4" s="1"/>
  <c r="Q616" i="4"/>
  <c r="T616" i="4" s="1"/>
  <c r="Q621" i="4"/>
  <c r="T621" i="4" s="1"/>
  <c r="Q619" i="4"/>
  <c r="T619" i="4" s="1"/>
  <c r="Q620" i="4"/>
  <c r="T620" i="4" s="1"/>
  <c r="Q626" i="4"/>
  <c r="T626" i="4" s="1"/>
  <c r="Q623" i="4"/>
  <c r="T623" i="4" s="1"/>
  <c r="Q625" i="4"/>
  <c r="T625" i="4" s="1"/>
  <c r="Q628" i="4"/>
  <c r="T628" i="4" s="1"/>
  <c r="Q629" i="4"/>
  <c r="T629" i="4" s="1"/>
  <c r="Q627" i="4"/>
  <c r="T627" i="4" s="1"/>
  <c r="Q633" i="4"/>
  <c r="T633" i="4" s="1"/>
  <c r="Q632" i="4"/>
  <c r="T632" i="4" s="1"/>
  <c r="S22" i="4"/>
  <c r="S21" i="4"/>
  <c r="S27" i="4"/>
  <c r="S28" i="4"/>
  <c r="S26" i="4"/>
  <c r="S30" i="4"/>
  <c r="S31" i="4"/>
  <c r="S35" i="4"/>
  <c r="S39" i="4"/>
  <c r="S40" i="4"/>
  <c r="S42" i="4"/>
  <c r="S43" i="4"/>
  <c r="S44" i="4"/>
  <c r="S41" i="4"/>
  <c r="S45" i="4"/>
  <c r="S46" i="4"/>
  <c r="S48" i="4"/>
  <c r="S50" i="4"/>
  <c r="S49" i="4"/>
  <c r="S55" i="4"/>
  <c r="S56" i="4"/>
  <c r="S57" i="4"/>
  <c r="S61" i="4"/>
  <c r="S59" i="4"/>
  <c r="S65" i="4"/>
  <c r="S58" i="4"/>
  <c r="S66" i="4"/>
  <c r="S68" i="4"/>
  <c r="S69" i="4"/>
  <c r="S67" i="4"/>
  <c r="S74" i="4"/>
  <c r="S76" i="4"/>
  <c r="S70" i="4"/>
  <c r="S72" i="4"/>
  <c r="S71" i="4"/>
  <c r="S73" i="4"/>
  <c r="S75" i="4"/>
  <c r="S83" i="4"/>
  <c r="S80" i="4"/>
  <c r="S84" i="4"/>
  <c r="S79" i="4"/>
  <c r="S81" i="4"/>
  <c r="S77" i="4"/>
  <c r="S86" i="4"/>
  <c r="S92" i="4"/>
  <c r="S89" i="4"/>
  <c r="S91" i="4"/>
  <c r="S93" i="4"/>
  <c r="S88" i="4"/>
  <c r="S96" i="4"/>
  <c r="S99" i="4"/>
  <c r="S102" i="4"/>
  <c r="S100" i="4"/>
  <c r="S98" i="4"/>
  <c r="S103" i="4"/>
  <c r="S106" i="4"/>
  <c r="S105" i="4"/>
  <c r="S107" i="4"/>
  <c r="S109" i="4"/>
  <c r="S104" i="4"/>
  <c r="S108" i="4"/>
  <c r="S111" i="4"/>
  <c r="S110" i="4"/>
  <c r="S116" i="4"/>
  <c r="S115" i="4"/>
  <c r="S118" i="4"/>
  <c r="S119" i="4"/>
  <c r="S120" i="4"/>
  <c r="S129" i="4"/>
  <c r="S130" i="4"/>
  <c r="S135" i="4"/>
  <c r="S126" i="4"/>
  <c r="S136" i="4"/>
  <c r="S127" i="4"/>
  <c r="S128" i="4"/>
  <c r="S132" i="4"/>
  <c r="S131" i="4"/>
  <c r="S137" i="4"/>
  <c r="S140" i="4"/>
  <c r="S139" i="4"/>
  <c r="S138" i="4"/>
  <c r="S144" i="4"/>
  <c r="S143" i="4"/>
  <c r="S141" i="4"/>
  <c r="S149" i="4"/>
  <c r="S153" i="4"/>
  <c r="S152" i="4"/>
  <c r="S154" i="4"/>
  <c r="S155" i="4"/>
  <c r="S157" i="4"/>
  <c r="S159" i="4"/>
  <c r="S160" i="4"/>
  <c r="S161" i="4"/>
  <c r="S162" i="4"/>
  <c r="S163" i="4"/>
  <c r="S164" i="4"/>
  <c r="S165" i="4"/>
  <c r="S166" i="4"/>
  <c r="S167" i="4"/>
  <c r="S168" i="4"/>
  <c r="S171" i="4"/>
  <c r="S170" i="4"/>
  <c r="S172" i="4"/>
  <c r="S175" i="4"/>
  <c r="S173" i="4"/>
  <c r="S174" i="4"/>
  <c r="S176" i="4"/>
  <c r="S177" i="4"/>
  <c r="S180" i="4"/>
  <c r="S183" i="4"/>
  <c r="S181" i="4"/>
  <c r="S179" i="4"/>
  <c r="S182" i="4"/>
  <c r="S189" i="4"/>
  <c r="S191" i="4"/>
  <c r="S188" i="4"/>
  <c r="S184" i="4"/>
  <c r="S186" i="4"/>
  <c r="S192" i="4"/>
  <c r="S187" i="4"/>
  <c r="S185" i="4"/>
  <c r="S196" i="4"/>
  <c r="S198" i="4"/>
  <c r="S199" i="4"/>
  <c r="S197" i="4"/>
  <c r="S202" i="4"/>
  <c r="S203" i="4"/>
  <c r="S200" i="4"/>
  <c r="S201" i="4"/>
  <c r="S204" i="4"/>
  <c r="S206" i="4"/>
  <c r="S207" i="4"/>
  <c r="S213" i="4"/>
  <c r="S210" i="4"/>
  <c r="S214" i="4"/>
  <c r="S216" i="4"/>
  <c r="S215" i="4"/>
  <c r="S209" i="4"/>
  <c r="S211" i="4"/>
  <c r="S208" i="4"/>
  <c r="S212" i="4"/>
  <c r="S217" i="4"/>
  <c r="S218" i="4"/>
  <c r="S220" i="4"/>
  <c r="S222" i="4"/>
  <c r="S226" i="4"/>
  <c r="S225" i="4"/>
  <c r="S223" i="4"/>
  <c r="S227" i="4"/>
  <c r="S228" i="4"/>
  <c r="S229" i="4"/>
  <c r="S231" i="4"/>
  <c r="S232" i="4"/>
  <c r="S236" i="4"/>
  <c r="S233" i="4"/>
  <c r="S235" i="4"/>
  <c r="S234" i="4"/>
  <c r="S238" i="4"/>
  <c r="S237" i="4"/>
  <c r="S239" i="4"/>
  <c r="S241" i="4"/>
  <c r="S240" i="4"/>
  <c r="S247" i="4"/>
  <c r="S251" i="4"/>
  <c r="S248" i="4"/>
  <c r="S245" i="4"/>
  <c r="S246" i="4"/>
  <c r="S252" i="4"/>
  <c r="S255" i="4"/>
  <c r="S254" i="4"/>
  <c r="S253" i="4"/>
  <c r="S258" i="4"/>
  <c r="S260" i="4"/>
  <c r="S259" i="4"/>
  <c r="S257" i="4"/>
  <c r="S265" i="4"/>
  <c r="S264" i="4"/>
  <c r="S261" i="4"/>
  <c r="S262" i="4"/>
  <c r="S266" i="4"/>
  <c r="S268" i="4"/>
  <c r="S267" i="4"/>
  <c r="S269" i="4"/>
  <c r="S270" i="4"/>
  <c r="S271" i="4"/>
  <c r="S272" i="4"/>
  <c r="S276" i="4"/>
  <c r="S274" i="4"/>
  <c r="S275" i="4"/>
  <c r="S277" i="4"/>
  <c r="S279" i="4"/>
  <c r="S278" i="4"/>
  <c r="S280" i="4"/>
  <c r="S281" i="4"/>
  <c r="S283" i="4"/>
  <c r="S286" i="4"/>
  <c r="S285" i="4"/>
  <c r="S288" i="4"/>
  <c r="S292" i="4"/>
  <c r="S293" i="4"/>
  <c r="S295" i="4"/>
  <c r="S294" i="4"/>
  <c r="S296" i="4"/>
  <c r="S298" i="4"/>
  <c r="S301" i="4"/>
  <c r="S300" i="4"/>
  <c r="S299" i="4"/>
  <c r="S302" i="4"/>
  <c r="S303" i="4"/>
  <c r="S304" i="4"/>
  <c r="S305" i="4"/>
  <c r="S306" i="4"/>
  <c r="S308" i="4"/>
  <c r="S309" i="4"/>
  <c r="S307" i="4"/>
  <c r="S313" i="4"/>
  <c r="S310" i="4"/>
  <c r="S315" i="4"/>
  <c r="S317" i="4"/>
  <c r="S316" i="4"/>
  <c r="S320" i="4"/>
  <c r="S319" i="4"/>
  <c r="S318" i="4"/>
  <c r="S321" i="4"/>
  <c r="S324" i="4"/>
  <c r="S325" i="4"/>
  <c r="S323" i="4"/>
  <c r="S322" i="4"/>
  <c r="S328" i="4"/>
  <c r="S330" i="4"/>
  <c r="S329" i="4"/>
  <c r="S335" i="4"/>
  <c r="S334" i="4"/>
  <c r="S332" i="4"/>
  <c r="S337" i="4"/>
  <c r="S336" i="4"/>
  <c r="S338" i="4"/>
  <c r="S345" i="4"/>
  <c r="S339" i="4"/>
  <c r="S341" i="4"/>
  <c r="S340" i="4"/>
  <c r="S343" i="4"/>
  <c r="S346" i="4"/>
  <c r="S347" i="4"/>
  <c r="S348" i="4"/>
  <c r="S350" i="4"/>
  <c r="S351" i="4"/>
  <c r="S354" i="4"/>
  <c r="S352" i="4"/>
  <c r="S353" i="4"/>
  <c r="S358" i="4"/>
  <c r="S355" i="4"/>
  <c r="S359" i="4"/>
  <c r="S357" i="4"/>
  <c r="S363" i="4"/>
  <c r="S361" i="4"/>
  <c r="S362" i="4"/>
  <c r="S360" i="4"/>
  <c r="S366" i="4"/>
  <c r="S369" i="4"/>
  <c r="S364" i="4"/>
  <c r="S372" i="4"/>
  <c r="S373" i="4"/>
  <c r="S371" i="4"/>
  <c r="S370" i="4"/>
  <c r="S376" i="4"/>
  <c r="S374" i="4"/>
  <c r="S379" i="4"/>
  <c r="S375" i="4"/>
  <c r="S383" i="4"/>
  <c r="S380" i="4"/>
  <c r="S385" i="4"/>
  <c r="S388" i="4"/>
  <c r="S390" i="4"/>
  <c r="S389" i="4"/>
  <c r="S391" i="4"/>
  <c r="S394" i="4"/>
  <c r="S392" i="4"/>
  <c r="S393" i="4"/>
  <c r="S401" i="4"/>
  <c r="S397" i="4"/>
  <c r="S396" i="4"/>
  <c r="S407" i="4"/>
  <c r="S405" i="4"/>
  <c r="S408" i="4"/>
  <c r="S404" i="4"/>
  <c r="S410" i="4"/>
  <c r="S409" i="4"/>
  <c r="S412" i="4"/>
  <c r="S411" i="4"/>
  <c r="S413" i="4"/>
  <c r="S419" i="4"/>
  <c r="S414" i="4"/>
  <c r="S416" i="4"/>
  <c r="S417" i="4"/>
  <c r="S420" i="4"/>
  <c r="S424" i="4"/>
  <c r="S421" i="4"/>
  <c r="S425" i="4"/>
  <c r="S429" i="4"/>
  <c r="S426" i="4"/>
  <c r="S427" i="4"/>
  <c r="S432" i="4"/>
  <c r="S435" i="4"/>
  <c r="S437" i="4"/>
  <c r="S433" i="4"/>
  <c r="S431" i="4"/>
  <c r="S430" i="4"/>
  <c r="S441" i="4"/>
  <c r="S439" i="4"/>
  <c r="S434" i="4"/>
  <c r="S436" i="4"/>
  <c r="S438" i="4"/>
  <c r="S440" i="4"/>
  <c r="S446" i="4"/>
  <c r="S450" i="4"/>
  <c r="S447" i="4"/>
  <c r="S448" i="4"/>
  <c r="S442" i="4"/>
  <c r="S443" i="4"/>
  <c r="S449" i="4"/>
  <c r="S451" i="4"/>
  <c r="S445" i="4"/>
  <c r="S452" i="4"/>
  <c r="S453" i="4"/>
  <c r="S457" i="4"/>
  <c r="S455" i="4"/>
  <c r="S456" i="4"/>
  <c r="S454" i="4"/>
  <c r="S459" i="4"/>
  <c r="S460" i="4"/>
  <c r="S463" i="4"/>
  <c r="S465" i="4"/>
  <c r="S464" i="4"/>
  <c r="S466" i="4"/>
  <c r="S473" i="4"/>
  <c r="S467" i="4"/>
  <c r="S474" i="4"/>
  <c r="S475" i="4"/>
  <c r="S471" i="4"/>
  <c r="S472" i="4"/>
  <c r="S469" i="4"/>
  <c r="S470" i="4"/>
  <c r="S468" i="4"/>
  <c r="S476" i="4"/>
  <c r="S480" i="4"/>
  <c r="S479" i="4"/>
  <c r="S481" i="4"/>
  <c r="S486" i="4"/>
  <c r="S485" i="4"/>
  <c r="S484" i="4"/>
  <c r="S490" i="4"/>
  <c r="S489" i="4"/>
  <c r="S493" i="4"/>
  <c r="S487" i="4"/>
  <c r="S492" i="4"/>
  <c r="S491" i="4"/>
  <c r="S499" i="4"/>
  <c r="S495" i="4"/>
  <c r="S497" i="4"/>
  <c r="S505" i="4"/>
  <c r="S506" i="4"/>
  <c r="S510" i="4"/>
  <c r="S508" i="4"/>
  <c r="S509" i="4"/>
  <c r="S507" i="4"/>
  <c r="S513" i="4"/>
  <c r="S516" i="4"/>
  <c r="S519" i="4"/>
  <c r="S518" i="4"/>
  <c r="S520" i="4"/>
  <c r="S515" i="4"/>
  <c r="S517" i="4"/>
  <c r="S514" i="4"/>
  <c r="S531" i="4"/>
  <c r="S525" i="4"/>
  <c r="S528" i="4"/>
  <c r="S522" i="4"/>
  <c r="S521" i="4"/>
  <c r="S524" i="4"/>
  <c r="S532" i="4"/>
  <c r="S527" i="4"/>
  <c r="S533" i="4"/>
  <c r="S523" i="4"/>
  <c r="S529" i="4"/>
  <c r="S526" i="4"/>
  <c r="S530" i="4"/>
  <c r="S540" i="4"/>
  <c r="S537" i="4"/>
  <c r="S535" i="4"/>
  <c r="S539" i="4"/>
  <c r="S536" i="4"/>
  <c r="S538" i="4"/>
  <c r="S534" i="4"/>
  <c r="S545" i="4"/>
  <c r="S544" i="4"/>
  <c r="S543" i="4"/>
  <c r="S542" i="4"/>
  <c r="S549" i="4"/>
  <c r="S548" i="4"/>
  <c r="S547" i="4"/>
  <c r="S546" i="4"/>
  <c r="S554" i="4"/>
  <c r="S555" i="4"/>
  <c r="S559" i="4"/>
  <c r="S556" i="4"/>
  <c r="S553" i="4"/>
  <c r="S552" i="4"/>
  <c r="S550" i="4"/>
  <c r="S557" i="4"/>
  <c r="S558" i="4"/>
  <c r="S551" i="4"/>
  <c r="S562" i="4"/>
  <c r="S565" i="4"/>
  <c r="S564" i="4"/>
  <c r="S563" i="4"/>
  <c r="S561" i="4"/>
  <c r="S560" i="4"/>
  <c r="S567" i="4"/>
  <c r="S566" i="4"/>
  <c r="S571" i="4"/>
  <c r="S568" i="4"/>
  <c r="S570" i="4"/>
  <c r="S572" i="4"/>
  <c r="S575" i="4"/>
  <c r="S573" i="4"/>
  <c r="S579" i="4"/>
  <c r="S574" i="4"/>
  <c r="S576" i="4"/>
  <c r="S580" i="4"/>
  <c r="S582" i="4"/>
  <c r="S581" i="4"/>
  <c r="S585" i="4"/>
  <c r="S584" i="4"/>
  <c r="S583" i="4"/>
  <c r="S586" i="4"/>
  <c r="S590" i="4"/>
  <c r="S592" i="4"/>
  <c r="S588" i="4"/>
  <c r="S591" i="4"/>
  <c r="S593" i="4"/>
  <c r="S599" i="4"/>
  <c r="S595" i="4"/>
  <c r="S597" i="4"/>
  <c r="S596" i="4"/>
  <c r="S598" i="4"/>
  <c r="S600" i="4"/>
  <c r="S602" i="4"/>
  <c r="S601" i="4"/>
  <c r="S606" i="4"/>
  <c r="S605" i="4"/>
  <c r="S607" i="4"/>
  <c r="S609" i="4"/>
  <c r="S608" i="4"/>
  <c r="S610" i="4"/>
  <c r="S611" i="4"/>
  <c r="S612" i="4"/>
  <c r="S613" i="4"/>
  <c r="S614" i="4"/>
  <c r="S618" i="4"/>
  <c r="S617" i="4"/>
  <c r="S616" i="4"/>
  <c r="S621" i="4"/>
  <c r="S619" i="4"/>
  <c r="S620" i="4"/>
  <c r="S626" i="4"/>
  <c r="S623" i="4"/>
  <c r="S625" i="4"/>
  <c r="S628" i="4"/>
  <c r="S629" i="4"/>
  <c r="S627" i="4"/>
  <c r="S633" i="4"/>
  <c r="S632" i="4"/>
  <c r="G1913" i="4"/>
  <c r="I1913" i="4" s="1"/>
  <c r="G1912" i="4"/>
  <c r="I1912" i="4" s="1"/>
  <c r="G1920" i="4"/>
  <c r="I1920" i="4" s="1"/>
  <c r="G1921" i="4"/>
  <c r="I1921" i="4" s="1"/>
  <c r="G1922" i="4"/>
  <c r="I1922" i="4" s="1"/>
  <c r="G1926" i="4"/>
  <c r="I1926" i="4" s="1"/>
  <c r="G1924" i="4"/>
  <c r="I1924" i="4" s="1"/>
  <c r="G1925" i="4"/>
  <c r="I1925" i="4" s="1"/>
  <c r="G1931" i="4"/>
  <c r="I1931" i="4" s="1"/>
  <c r="G1939" i="4"/>
  <c r="I1939" i="4" s="1"/>
  <c r="H1913" i="4"/>
  <c r="H1912" i="4"/>
  <c r="H1920" i="4"/>
  <c r="H1921" i="4"/>
  <c r="H1922" i="4"/>
  <c r="H1926" i="4"/>
  <c r="H1924" i="4"/>
  <c r="H1925" i="4"/>
  <c r="H1931" i="4"/>
  <c r="H1939" i="4"/>
  <c r="M1913" i="4"/>
  <c r="M1912" i="4"/>
  <c r="M1920" i="4"/>
  <c r="M1921" i="4"/>
  <c r="M1922" i="4"/>
  <c r="M1926" i="4"/>
  <c r="M1924" i="4"/>
  <c r="M1925" i="4"/>
  <c r="M1931" i="4"/>
  <c r="M1939" i="4"/>
  <c r="N1913" i="4"/>
  <c r="N1912" i="4"/>
  <c r="N1920" i="4"/>
  <c r="N1921" i="4"/>
  <c r="N1922" i="4"/>
  <c r="N1926" i="4"/>
  <c r="N1924" i="4"/>
  <c r="N1925" i="4"/>
  <c r="N1931" i="4"/>
  <c r="N1939" i="4"/>
  <c r="O1913" i="4" a="1"/>
  <c r="O1913" i="4" s="1"/>
  <c r="O1912" i="4" a="1"/>
  <c r="O1912" i="4" s="1"/>
  <c r="O1920" i="4" a="1"/>
  <c r="O1920" i="4" s="1"/>
  <c r="O1921" i="4" a="1"/>
  <c r="O1921" i="4" s="1"/>
  <c r="O1922" i="4" a="1"/>
  <c r="O1922" i="4" s="1"/>
  <c r="O1926" i="4" a="1"/>
  <c r="O1926" i="4" s="1"/>
  <c r="O1924" i="4" a="1"/>
  <c r="O1924" i="4" s="1"/>
  <c r="O1925" i="4" a="1"/>
  <c r="O1925" i="4" s="1"/>
  <c r="O1931" i="4" a="1"/>
  <c r="O1931" i="4" s="1"/>
  <c r="O1939" i="4" a="1"/>
  <c r="O1939" i="4" s="1"/>
  <c r="Q1913" i="4"/>
  <c r="T1913" i="4" s="1"/>
  <c r="Q1912" i="4"/>
  <c r="T1912" i="4" s="1"/>
  <c r="Q1920" i="4"/>
  <c r="T1920" i="4" s="1"/>
  <c r="Q1921" i="4"/>
  <c r="T1921" i="4" s="1"/>
  <c r="Q1922" i="4"/>
  <c r="T1922" i="4" s="1"/>
  <c r="Q1926" i="4"/>
  <c r="T1926" i="4" s="1"/>
  <c r="Q1924" i="4"/>
  <c r="T1924" i="4" s="1"/>
  <c r="Q1925" i="4"/>
  <c r="T1925" i="4" s="1"/>
  <c r="Q1931" i="4"/>
  <c r="T1931" i="4" s="1"/>
  <c r="Q1939" i="4"/>
  <c r="T1939" i="4" s="1"/>
  <c r="S1913" i="4"/>
  <c r="S1912" i="4"/>
  <c r="S1920" i="4"/>
  <c r="S1921" i="4"/>
  <c r="S1922" i="4"/>
  <c r="S1926" i="4"/>
  <c r="S1924" i="4"/>
  <c r="S1925" i="4"/>
  <c r="S1931" i="4"/>
  <c r="S1939" i="4"/>
  <c r="G36" i="4"/>
  <c r="I36" i="4" s="1"/>
  <c r="G38" i="4"/>
  <c r="I38" i="4" s="1"/>
  <c r="G47" i="4"/>
  <c r="I47" i="4" s="1"/>
  <c r="G53" i="4"/>
  <c r="I53" i="4" s="1"/>
  <c r="G52" i="4"/>
  <c r="I52" i="4" s="1"/>
  <c r="G51" i="4"/>
  <c r="I51" i="4" s="1"/>
  <c r="G54" i="4"/>
  <c r="I54" i="4" s="1"/>
  <c r="G60" i="4"/>
  <c r="I60" i="4" s="1"/>
  <c r="G64" i="4"/>
  <c r="I64" i="4" s="1"/>
  <c r="G82" i="4"/>
  <c r="I82" i="4" s="1"/>
  <c r="G85" i="4"/>
  <c r="I85" i="4" s="1"/>
  <c r="G78" i="4"/>
  <c r="I78" i="4" s="1"/>
  <c r="G90" i="4"/>
  <c r="I90" i="4" s="1"/>
  <c r="G87" i="4"/>
  <c r="I87" i="4" s="1"/>
  <c r="G95" i="4"/>
  <c r="I95" i="4" s="1"/>
  <c r="G97" i="4"/>
  <c r="I97" i="4" s="1"/>
  <c r="G101" i="4"/>
  <c r="I101" i="4" s="1"/>
  <c r="G112" i="4"/>
  <c r="I112" i="4" s="1"/>
  <c r="G113" i="4"/>
  <c r="I113" i="4" s="1"/>
  <c r="G117" i="4"/>
  <c r="I117" i="4" s="1"/>
  <c r="G121" i="4"/>
  <c r="I121" i="4" s="1"/>
  <c r="G122" i="4"/>
  <c r="I122" i="4" s="1"/>
  <c r="G124" i="4"/>
  <c r="I124" i="4" s="1"/>
  <c r="G123" i="4"/>
  <c r="I123" i="4" s="1"/>
  <c r="G133" i="4"/>
  <c r="I133" i="4" s="1"/>
  <c r="G134" i="4"/>
  <c r="I134" i="4" s="1"/>
  <c r="G146" i="4"/>
  <c r="I146" i="4" s="1"/>
  <c r="G145" i="4"/>
  <c r="I145" i="4" s="1"/>
  <c r="G142" i="4"/>
  <c r="I142" i="4" s="1"/>
  <c r="G147" i="4"/>
  <c r="I147" i="4" s="1"/>
  <c r="G148" i="4"/>
  <c r="I148" i="4" s="1"/>
  <c r="G151" i="4"/>
  <c r="I151" i="4" s="1"/>
  <c r="G156" i="4"/>
  <c r="I156" i="4" s="1"/>
  <c r="G158" i="4"/>
  <c r="I158" i="4" s="1"/>
  <c r="G169" i="4"/>
  <c r="I169" i="4" s="1"/>
  <c r="G178" i="4"/>
  <c r="I178" i="4" s="1"/>
  <c r="G194" i="4"/>
  <c r="I194" i="4" s="1"/>
  <c r="G190" i="4"/>
  <c r="I190" i="4" s="1"/>
  <c r="G193" i="4"/>
  <c r="I193" i="4" s="1"/>
  <c r="G195" i="4"/>
  <c r="I195" i="4" s="1"/>
  <c r="G205" i="4"/>
  <c r="I205" i="4" s="1"/>
  <c r="G219" i="4"/>
  <c r="I219" i="4" s="1"/>
  <c r="G221" i="4"/>
  <c r="I221" i="4" s="1"/>
  <c r="G224" i="4"/>
  <c r="I224" i="4" s="1"/>
  <c r="G230" i="4"/>
  <c r="I230" i="4" s="1"/>
  <c r="G242" i="4"/>
  <c r="I242" i="4" s="1"/>
  <c r="G243" i="4"/>
  <c r="I243" i="4" s="1"/>
  <c r="G244" i="4"/>
  <c r="I244" i="4" s="1"/>
  <c r="G249" i="4"/>
  <c r="I249" i="4" s="1"/>
  <c r="G250" i="4"/>
  <c r="I250" i="4" s="1"/>
  <c r="G256" i="4"/>
  <c r="I256" i="4" s="1"/>
  <c r="G263" i="4"/>
  <c r="I263" i="4" s="1"/>
  <c r="G273" i="4"/>
  <c r="I273" i="4" s="1"/>
  <c r="G282" i="4"/>
  <c r="I282" i="4" s="1"/>
  <c r="G284" i="4"/>
  <c r="I284" i="4" s="1"/>
  <c r="G290" i="4"/>
  <c r="I290" i="4" s="1"/>
  <c r="G287" i="4"/>
  <c r="I287" i="4" s="1"/>
  <c r="G297" i="4"/>
  <c r="I297" i="4" s="1"/>
  <c r="G311" i="4"/>
  <c r="I311" i="4" s="1"/>
  <c r="G312" i="4"/>
  <c r="I312" i="4" s="1"/>
  <c r="G314" i="4"/>
  <c r="I314" i="4" s="1"/>
  <c r="G326" i="4"/>
  <c r="I326" i="4" s="1"/>
  <c r="G327" i="4"/>
  <c r="I327" i="4" s="1"/>
  <c r="G333" i="4"/>
  <c r="I333" i="4" s="1"/>
  <c r="G344" i="4"/>
  <c r="I344" i="4" s="1"/>
  <c r="G342" i="4"/>
  <c r="I342" i="4" s="1"/>
  <c r="G349" i="4"/>
  <c r="I349" i="4" s="1"/>
  <c r="G356" i="4"/>
  <c r="I356" i="4" s="1"/>
  <c r="G378" i="4"/>
  <c r="I378" i="4" s="1"/>
  <c r="G377" i="4"/>
  <c r="I377" i="4" s="1"/>
  <c r="G384" i="4"/>
  <c r="I384" i="4" s="1"/>
  <c r="G387" i="4"/>
  <c r="I387" i="4" s="1"/>
  <c r="G382" i="4"/>
  <c r="I382" i="4" s="1"/>
  <c r="G386" i="4"/>
  <c r="I386" i="4" s="1"/>
  <c r="G381" i="4"/>
  <c r="I381" i="4" s="1"/>
  <c r="G400" i="4"/>
  <c r="I400" i="4" s="1"/>
  <c r="G395" i="4"/>
  <c r="I395" i="4" s="1"/>
  <c r="G398" i="4"/>
  <c r="I398" i="4" s="1"/>
  <c r="G406" i="4"/>
  <c r="I406" i="4" s="1"/>
  <c r="G402" i="4"/>
  <c r="I402" i="4" s="1"/>
  <c r="G403" i="4"/>
  <c r="I403" i="4" s="1"/>
  <c r="G415" i="4"/>
  <c r="I415" i="4" s="1"/>
  <c r="G418" i="4"/>
  <c r="I418" i="4" s="1"/>
  <c r="G428" i="4"/>
  <c r="I428" i="4" s="1"/>
  <c r="G444" i="4"/>
  <c r="I444" i="4" s="1"/>
  <c r="G458" i="4"/>
  <c r="I458" i="4" s="1"/>
  <c r="G462" i="4"/>
  <c r="I462" i="4" s="1"/>
  <c r="G461" i="4"/>
  <c r="I461" i="4" s="1"/>
  <c r="G478" i="4"/>
  <c r="I478" i="4" s="1"/>
  <c r="G477" i="4"/>
  <c r="I477" i="4" s="1"/>
  <c r="G483" i="4"/>
  <c r="I483" i="4" s="1"/>
  <c r="G488" i="4"/>
  <c r="I488" i="4" s="1"/>
  <c r="G498" i="4"/>
  <c r="I498" i="4" s="1"/>
  <c r="G503" i="4"/>
  <c r="I503" i="4" s="1"/>
  <c r="G504" i="4"/>
  <c r="I504" i="4" s="1"/>
  <c r="G501" i="4"/>
  <c r="I501" i="4" s="1"/>
  <c r="G496" i="4"/>
  <c r="I496" i="4" s="1"/>
  <c r="G500" i="4"/>
  <c r="I500" i="4" s="1"/>
  <c r="G502" i="4"/>
  <c r="I502" i="4" s="1"/>
  <c r="G494" i="4"/>
  <c r="I494" i="4" s="1"/>
  <c r="G541" i="4"/>
  <c r="I541" i="4" s="1"/>
  <c r="G569" i="4"/>
  <c r="I569" i="4" s="1"/>
  <c r="G578" i="4"/>
  <c r="I578" i="4" s="1"/>
  <c r="G577" i="4"/>
  <c r="I577" i="4" s="1"/>
  <c r="G587" i="4"/>
  <c r="I587" i="4" s="1"/>
  <c r="G589" i="4"/>
  <c r="I589" i="4" s="1"/>
  <c r="G603" i="4"/>
  <c r="I603" i="4" s="1"/>
  <c r="G604" i="4"/>
  <c r="I604" i="4" s="1"/>
  <c r="G615" i="4"/>
  <c r="I615" i="4" s="1"/>
  <c r="G622" i="4"/>
  <c r="I622" i="4" s="1"/>
  <c r="G624" i="4"/>
  <c r="I624" i="4" s="1"/>
  <c r="G631" i="4"/>
  <c r="I631" i="4" s="1"/>
  <c r="G630" i="4"/>
  <c r="I630" i="4" s="1"/>
  <c r="G640" i="4"/>
  <c r="I640" i="4" s="1"/>
  <c r="G645" i="4"/>
  <c r="I645" i="4" s="1"/>
  <c r="G646" i="4"/>
  <c r="I646" i="4" s="1"/>
  <c r="G676" i="4"/>
  <c r="I676" i="4" s="1"/>
  <c r="G678" i="4"/>
  <c r="I678" i="4" s="1"/>
  <c r="G680" i="4"/>
  <c r="I680" i="4" s="1"/>
  <c r="G692" i="4"/>
  <c r="I692" i="4" s="1"/>
  <c r="G688" i="4"/>
  <c r="I688" i="4" s="1"/>
  <c r="G691" i="4"/>
  <c r="I691" i="4" s="1"/>
  <c r="G697" i="4"/>
  <c r="I697" i="4" s="1"/>
  <c r="G695" i="4"/>
  <c r="I695" i="4" s="1"/>
  <c r="G707" i="4"/>
  <c r="I707" i="4" s="1"/>
  <c r="G732" i="4"/>
  <c r="I732" i="4" s="1"/>
  <c r="G737" i="4"/>
  <c r="I737" i="4" s="1"/>
  <c r="G738" i="4"/>
  <c r="I738" i="4" s="1"/>
  <c r="G743" i="4"/>
  <c r="I743" i="4" s="1"/>
  <c r="G740" i="4"/>
  <c r="I740" i="4" s="1"/>
  <c r="G742" i="4"/>
  <c r="I742" i="4" s="1"/>
  <c r="G744" i="4"/>
  <c r="I744" i="4" s="1"/>
  <c r="G747" i="4"/>
  <c r="I747" i="4" s="1"/>
  <c r="G751" i="4"/>
  <c r="I751" i="4" s="1"/>
  <c r="G761" i="4"/>
  <c r="I761" i="4" s="1"/>
  <c r="G771" i="4"/>
  <c r="I771" i="4" s="1"/>
  <c r="G776" i="4"/>
  <c r="I776" i="4" s="1"/>
  <c r="G775" i="4"/>
  <c r="I775" i="4" s="1"/>
  <c r="G774" i="4"/>
  <c r="I774" i="4" s="1"/>
  <c r="G777" i="4"/>
  <c r="I777" i="4" s="1"/>
  <c r="G778" i="4"/>
  <c r="I778" i="4" s="1"/>
  <c r="G780" i="4"/>
  <c r="I780" i="4" s="1"/>
  <c r="G783" i="4"/>
  <c r="I783" i="4" s="1"/>
  <c r="G810" i="4"/>
  <c r="I810" i="4" s="1"/>
  <c r="G814" i="4"/>
  <c r="I814" i="4" s="1"/>
  <c r="G819" i="4"/>
  <c r="I819" i="4" s="1"/>
  <c r="G822" i="4"/>
  <c r="I822" i="4" s="1"/>
  <c r="G849" i="4"/>
  <c r="I849" i="4" s="1"/>
  <c r="G846" i="4"/>
  <c r="I846" i="4" s="1"/>
  <c r="G847" i="4"/>
  <c r="I847" i="4" s="1"/>
  <c r="G852" i="4"/>
  <c r="I852" i="4" s="1"/>
  <c r="G862" i="4"/>
  <c r="I862" i="4" s="1"/>
  <c r="G857" i="4"/>
  <c r="I857" i="4" s="1"/>
  <c r="G870" i="4"/>
  <c r="I870" i="4" s="1"/>
  <c r="G867" i="4"/>
  <c r="I867" i="4" s="1"/>
  <c r="G873" i="4"/>
  <c r="I873" i="4" s="1"/>
  <c r="G874" i="4"/>
  <c r="I874" i="4" s="1"/>
  <c r="G877" i="4"/>
  <c r="I877" i="4" s="1"/>
  <c r="G883" i="4"/>
  <c r="I883" i="4" s="1"/>
  <c r="G894" i="4"/>
  <c r="I894" i="4" s="1"/>
  <c r="G897" i="4"/>
  <c r="I897" i="4" s="1"/>
  <c r="G896" i="4"/>
  <c r="I896" i="4" s="1"/>
  <c r="G900" i="4"/>
  <c r="I900" i="4" s="1"/>
  <c r="G899" i="4"/>
  <c r="I899" i="4" s="1"/>
  <c r="G904" i="4"/>
  <c r="I904" i="4" s="1"/>
  <c r="G902" i="4"/>
  <c r="I902" i="4" s="1"/>
  <c r="G901" i="4"/>
  <c r="I901" i="4" s="1"/>
  <c r="G916" i="4"/>
  <c r="I916" i="4" s="1"/>
  <c r="G915" i="4"/>
  <c r="I915" i="4" s="1"/>
  <c r="G913" i="4"/>
  <c r="I913" i="4" s="1"/>
  <c r="G925" i="4"/>
  <c r="I925" i="4" s="1"/>
  <c r="G945" i="4"/>
  <c r="I945" i="4" s="1"/>
  <c r="G946" i="4"/>
  <c r="I946" i="4" s="1"/>
  <c r="G954" i="4"/>
  <c r="I954" i="4" s="1"/>
  <c r="G958" i="4"/>
  <c r="I958" i="4" s="1"/>
  <c r="G957" i="4"/>
  <c r="I957" i="4" s="1"/>
  <c r="G963" i="4"/>
  <c r="I963" i="4" s="1"/>
  <c r="G968" i="4"/>
  <c r="I968" i="4" s="1"/>
  <c r="G966" i="4"/>
  <c r="I966" i="4" s="1"/>
  <c r="G967" i="4"/>
  <c r="I967" i="4" s="1"/>
  <c r="G970" i="4"/>
  <c r="I970" i="4" s="1"/>
  <c r="G971" i="4"/>
  <c r="I971" i="4" s="1"/>
  <c r="G980" i="4"/>
  <c r="I980" i="4" s="1"/>
  <c r="G985" i="4"/>
  <c r="I985" i="4" s="1"/>
  <c r="G990" i="4"/>
  <c r="I990" i="4" s="1"/>
  <c r="G993" i="4"/>
  <c r="I993" i="4" s="1"/>
  <c r="G995" i="4"/>
  <c r="I995" i="4" s="1"/>
  <c r="G1002" i="4"/>
  <c r="I1002" i="4" s="1"/>
  <c r="G1000" i="4"/>
  <c r="I1000" i="4" s="1"/>
  <c r="G1006" i="4"/>
  <c r="I1006" i="4" s="1"/>
  <c r="G1004" i="4"/>
  <c r="I1004" i="4" s="1"/>
  <c r="G1009" i="4"/>
  <c r="I1009" i="4" s="1"/>
  <c r="G1010" i="4"/>
  <c r="I1010" i="4" s="1"/>
  <c r="G1011" i="4"/>
  <c r="I1011" i="4" s="1"/>
  <c r="G1017" i="4"/>
  <c r="I1017" i="4" s="1"/>
  <c r="G1036" i="4"/>
  <c r="I1036" i="4" s="1"/>
  <c r="G1049" i="4"/>
  <c r="I1049" i="4" s="1"/>
  <c r="G1048" i="4"/>
  <c r="I1048" i="4" s="1"/>
  <c r="G1051" i="4"/>
  <c r="I1051" i="4" s="1"/>
  <c r="G1058" i="4"/>
  <c r="I1058" i="4" s="1"/>
  <c r="G1059" i="4"/>
  <c r="I1059" i="4" s="1"/>
  <c r="G1061" i="4"/>
  <c r="I1061" i="4" s="1"/>
  <c r="G1077" i="4"/>
  <c r="I1077" i="4" s="1"/>
  <c r="G1079" i="4"/>
  <c r="I1079" i="4" s="1"/>
  <c r="G1081" i="4"/>
  <c r="I1081" i="4" s="1"/>
  <c r="G1089" i="4"/>
  <c r="I1089" i="4" s="1"/>
  <c r="G1104" i="4"/>
  <c r="I1104" i="4" s="1"/>
  <c r="G1105" i="4"/>
  <c r="I1105" i="4" s="1"/>
  <c r="G1109" i="4"/>
  <c r="I1109" i="4" s="1"/>
  <c r="G1123" i="4"/>
  <c r="I1123" i="4" s="1"/>
  <c r="G1120" i="4"/>
  <c r="I1120" i="4" s="1"/>
  <c r="G1132" i="4"/>
  <c r="I1132" i="4" s="1"/>
  <c r="G1128" i="4"/>
  <c r="I1128" i="4" s="1"/>
  <c r="G1131" i="4"/>
  <c r="I1131" i="4" s="1"/>
  <c r="G1143" i="4"/>
  <c r="I1143" i="4" s="1"/>
  <c r="G1151" i="4"/>
  <c r="I1151" i="4" s="1"/>
  <c r="G1149" i="4"/>
  <c r="I1149" i="4" s="1"/>
  <c r="G1147" i="4"/>
  <c r="I1147" i="4" s="1"/>
  <c r="G1152" i="4"/>
  <c r="I1152" i="4" s="1"/>
  <c r="G1150" i="4"/>
  <c r="I1150" i="4" s="1"/>
  <c r="G1148" i="4"/>
  <c r="I1148" i="4" s="1"/>
  <c r="G1154" i="4"/>
  <c r="I1154" i="4" s="1"/>
  <c r="G1168" i="4"/>
  <c r="I1168" i="4" s="1"/>
  <c r="G1166" i="4"/>
  <c r="I1166" i="4" s="1"/>
  <c r="G1179" i="4"/>
  <c r="I1179" i="4" s="1"/>
  <c r="G1174" i="4"/>
  <c r="I1174" i="4" s="1"/>
  <c r="G1184" i="4"/>
  <c r="I1184" i="4" s="1"/>
  <c r="G1186" i="4"/>
  <c r="I1186" i="4" s="1"/>
  <c r="G1195" i="4"/>
  <c r="I1195" i="4" s="1"/>
  <c r="G1197" i="4"/>
  <c r="I1197" i="4" s="1"/>
  <c r="G1199" i="4"/>
  <c r="I1199" i="4" s="1"/>
  <c r="G1203" i="4"/>
  <c r="I1203" i="4" s="1"/>
  <c r="G1201" i="4"/>
  <c r="I1201" i="4" s="1"/>
  <c r="G1213" i="4"/>
  <c r="I1213" i="4" s="1"/>
  <c r="G1216" i="4"/>
  <c r="I1216" i="4" s="1"/>
  <c r="G1221" i="4"/>
  <c r="I1221" i="4" s="1"/>
  <c r="G1218" i="4"/>
  <c r="I1218" i="4" s="1"/>
  <c r="G1220" i="4"/>
  <c r="I1220" i="4" s="1"/>
  <c r="G1225" i="4"/>
  <c r="I1225" i="4" s="1"/>
  <c r="G1224" i="4"/>
  <c r="I1224" i="4" s="1"/>
  <c r="G1226" i="4"/>
  <c r="I1226" i="4" s="1"/>
  <c r="G1239" i="4"/>
  <c r="I1239" i="4" s="1"/>
  <c r="G1238" i="4"/>
  <c r="I1238" i="4" s="1"/>
  <c r="G1245" i="4"/>
  <c r="I1245" i="4" s="1"/>
  <c r="G1243" i="4"/>
  <c r="I1243" i="4" s="1"/>
  <c r="G1247" i="4"/>
  <c r="I1247" i="4" s="1"/>
  <c r="G1246" i="4"/>
  <c r="I1246" i="4" s="1"/>
  <c r="G1251" i="4"/>
  <c r="I1251" i="4" s="1"/>
  <c r="G1250" i="4"/>
  <c r="I1250" i="4" s="1"/>
  <c r="G1249" i="4"/>
  <c r="I1249" i="4" s="1"/>
  <c r="G1248" i="4"/>
  <c r="I1248" i="4" s="1"/>
  <c r="G1260" i="4"/>
  <c r="I1260" i="4" s="1"/>
  <c r="G1256" i="4"/>
  <c r="I1256" i="4" s="1"/>
  <c r="G1258" i="4"/>
  <c r="I1258" i="4" s="1"/>
  <c r="G1255" i="4"/>
  <c r="I1255" i="4" s="1"/>
  <c r="G1267" i="4"/>
  <c r="I1267" i="4" s="1"/>
  <c r="G1268" i="4"/>
  <c r="I1268" i="4" s="1"/>
  <c r="G1269" i="4"/>
  <c r="I1269" i="4" s="1"/>
  <c r="G1273" i="4"/>
  <c r="I1273" i="4" s="1"/>
  <c r="G1275" i="4"/>
  <c r="I1275" i="4" s="1"/>
  <c r="G1283" i="4"/>
  <c r="I1283" i="4" s="1"/>
  <c r="G1280" i="4"/>
  <c r="I1280" i="4" s="1"/>
  <c r="G1278" i="4"/>
  <c r="I1278" i="4" s="1"/>
  <c r="G1281" i="4"/>
  <c r="I1281" i="4" s="1"/>
  <c r="G1291" i="4"/>
  <c r="I1291" i="4" s="1"/>
  <c r="G1290" i="4"/>
  <c r="I1290" i="4" s="1"/>
  <c r="G1289" i="4"/>
  <c r="I1289" i="4" s="1"/>
  <c r="G1292" i="4"/>
  <c r="I1292" i="4" s="1"/>
  <c r="G1295" i="4"/>
  <c r="I1295" i="4" s="1"/>
  <c r="G1293" i="4"/>
  <c r="I1293" i="4" s="1"/>
  <c r="G1301" i="4"/>
  <c r="I1301" i="4" s="1"/>
  <c r="G1309" i="4"/>
  <c r="I1309" i="4" s="1"/>
  <c r="G1312" i="4"/>
  <c r="I1312" i="4" s="1"/>
  <c r="G1315" i="4"/>
  <c r="I1315" i="4" s="1"/>
  <c r="G1316" i="4"/>
  <c r="I1316" i="4" s="1"/>
  <c r="G1317" i="4"/>
  <c r="I1317" i="4" s="1"/>
  <c r="G1325" i="4"/>
  <c r="I1325" i="4" s="1"/>
  <c r="G1328" i="4"/>
  <c r="I1328" i="4" s="1"/>
  <c r="G1359" i="4"/>
  <c r="I1359" i="4" s="1"/>
  <c r="G1360" i="4"/>
  <c r="I1360" i="4" s="1"/>
  <c r="G1367" i="4"/>
  <c r="I1367" i="4" s="1"/>
  <c r="G1364" i="4"/>
  <c r="I1364" i="4" s="1"/>
  <c r="G1365" i="4"/>
  <c r="I1365" i="4" s="1"/>
  <c r="G1366" i="4"/>
  <c r="I1366" i="4" s="1"/>
  <c r="G1371" i="4"/>
  <c r="I1371" i="4" s="1"/>
  <c r="G1372" i="4"/>
  <c r="I1372" i="4" s="1"/>
  <c r="G1385" i="4"/>
  <c r="I1385" i="4" s="1"/>
  <c r="G1389" i="4"/>
  <c r="I1389" i="4" s="1"/>
  <c r="G1399" i="4"/>
  <c r="I1399" i="4" s="1"/>
  <c r="G1400" i="4"/>
  <c r="I1400" i="4" s="1"/>
  <c r="G1401" i="4"/>
  <c r="I1401" i="4" s="1"/>
  <c r="G1403" i="4"/>
  <c r="I1403" i="4" s="1"/>
  <c r="G1405" i="4"/>
  <c r="I1405" i="4" s="1"/>
  <c r="G1409" i="4"/>
  <c r="I1409" i="4" s="1"/>
  <c r="G1417" i="4"/>
  <c r="I1417" i="4" s="1"/>
  <c r="G1426" i="4"/>
  <c r="I1426" i="4" s="1"/>
  <c r="G1428" i="4"/>
  <c r="I1428" i="4" s="1"/>
  <c r="G1430" i="4"/>
  <c r="I1430" i="4" s="1"/>
  <c r="G1435" i="4"/>
  <c r="I1435" i="4" s="1"/>
  <c r="G1445" i="4"/>
  <c r="I1445" i="4" s="1"/>
  <c r="G1447" i="4"/>
  <c r="I1447" i="4" s="1"/>
  <c r="G1478" i="4"/>
  <c r="I1478" i="4" s="1"/>
  <c r="G1490" i="4"/>
  <c r="I1490" i="4" s="1"/>
  <c r="G1492" i="4"/>
  <c r="I1492" i="4" s="1"/>
  <c r="G1488" i="4"/>
  <c r="I1488" i="4" s="1"/>
  <c r="G1495" i="4"/>
  <c r="I1495" i="4" s="1"/>
  <c r="G1497" i="4"/>
  <c r="I1497" i="4" s="1"/>
  <c r="G1496" i="4"/>
  <c r="I1496" i="4" s="1"/>
  <c r="G1519" i="4"/>
  <c r="I1519" i="4" s="1"/>
  <c r="G1515" i="4"/>
  <c r="I1515" i="4" s="1"/>
  <c r="G1520" i="4"/>
  <c r="I1520" i="4" s="1"/>
  <c r="G1513" i="4"/>
  <c r="I1513" i="4" s="1"/>
  <c r="G1510" i="4"/>
  <c r="I1510" i="4" s="1"/>
  <c r="G1525" i="4"/>
  <c r="I1525" i="4" s="1"/>
  <c r="G1531" i="4"/>
  <c r="I1531" i="4" s="1"/>
  <c r="G1538" i="4"/>
  <c r="I1538" i="4" s="1"/>
  <c r="G1537" i="4"/>
  <c r="I1537" i="4" s="1"/>
  <c r="G1540" i="4"/>
  <c r="I1540" i="4" s="1"/>
  <c r="G1539" i="4"/>
  <c r="I1539" i="4" s="1"/>
  <c r="G1541" i="4"/>
  <c r="I1541" i="4" s="1"/>
  <c r="G1551" i="4"/>
  <c r="I1551" i="4" s="1"/>
  <c r="G1549" i="4"/>
  <c r="I1549" i="4" s="1"/>
  <c r="G1554" i="4"/>
  <c r="I1554" i="4" s="1"/>
  <c r="G1547" i="4"/>
  <c r="I1547" i="4" s="1"/>
  <c r="G1555" i="4"/>
  <c r="I1555" i="4" s="1"/>
  <c r="G1550" i="4"/>
  <c r="I1550" i="4" s="1"/>
  <c r="G1548" i="4"/>
  <c r="I1548" i="4" s="1"/>
  <c r="G1546" i="4"/>
  <c r="I1546" i="4" s="1"/>
  <c r="G1552" i="4"/>
  <c r="I1552" i="4" s="1"/>
  <c r="G1560" i="4"/>
  <c r="I1560" i="4" s="1"/>
  <c r="G1556" i="4"/>
  <c r="I1556" i="4" s="1"/>
  <c r="G1574" i="4"/>
  <c r="I1574" i="4" s="1"/>
  <c r="G1580" i="4"/>
  <c r="I1580" i="4" s="1"/>
  <c r="G1581" i="4"/>
  <c r="I1581" i="4" s="1"/>
  <c r="G1583" i="4"/>
  <c r="I1583" i="4" s="1"/>
  <c r="G1591" i="4"/>
  <c r="I1591" i="4" s="1"/>
  <c r="G1588" i="4"/>
  <c r="I1588" i="4" s="1"/>
  <c r="G1594" i="4"/>
  <c r="I1594" i="4" s="1"/>
  <c r="G1602" i="4"/>
  <c r="I1602" i="4" s="1"/>
  <c r="G1608" i="4"/>
  <c r="I1608" i="4" s="1"/>
  <c r="G1603" i="4"/>
  <c r="I1603" i="4" s="1"/>
  <c r="G1617" i="4"/>
  <c r="I1617" i="4" s="1"/>
  <c r="G1624" i="4"/>
  <c r="I1624" i="4" s="1"/>
  <c r="G1629" i="4"/>
  <c r="I1629" i="4" s="1"/>
  <c r="G1644" i="4"/>
  <c r="I1644" i="4" s="1"/>
  <c r="G1639" i="4"/>
  <c r="I1639" i="4" s="1"/>
  <c r="G1638" i="4"/>
  <c r="I1638" i="4" s="1"/>
  <c r="G1649" i="4"/>
  <c r="I1649" i="4" s="1"/>
  <c r="G1653" i="4"/>
  <c r="I1653" i="4" s="1"/>
  <c r="G1657" i="4"/>
  <c r="I1657" i="4" s="1"/>
  <c r="G1663" i="4"/>
  <c r="I1663" i="4" s="1"/>
  <c r="G1662" i="4"/>
  <c r="I1662" i="4" s="1"/>
  <c r="G1658" i="4"/>
  <c r="I1658" i="4" s="1"/>
  <c r="G1667" i="4"/>
  <c r="I1667" i="4" s="1"/>
  <c r="G1670" i="4"/>
  <c r="I1670" i="4" s="1"/>
  <c r="G1671" i="4"/>
  <c r="I1671" i="4" s="1"/>
  <c r="G1685" i="4"/>
  <c r="I1685" i="4" s="1"/>
  <c r="G1682" i="4"/>
  <c r="I1682" i="4" s="1"/>
  <c r="G1684" i="4"/>
  <c r="I1684" i="4" s="1"/>
  <c r="G1692" i="4"/>
  <c r="I1692" i="4" s="1"/>
  <c r="G1695" i="4"/>
  <c r="I1695" i="4" s="1"/>
  <c r="G1696" i="4"/>
  <c r="I1696" i="4" s="1"/>
  <c r="G1699" i="4"/>
  <c r="I1699" i="4" s="1"/>
  <c r="G1691" i="4"/>
  <c r="I1691" i="4" s="1"/>
  <c r="G1698" i="4"/>
  <c r="I1698" i="4" s="1"/>
  <c r="G1701" i="4"/>
  <c r="I1701" i="4" s="1"/>
  <c r="G1703" i="4"/>
  <c r="I1703" i="4" s="1"/>
  <c r="G1721" i="4"/>
  <c r="I1721" i="4" s="1"/>
  <c r="G1718" i="4"/>
  <c r="I1718" i="4" s="1"/>
  <c r="G1727" i="4"/>
  <c r="I1727" i="4" s="1"/>
  <c r="G1736" i="4"/>
  <c r="I1736" i="4" s="1"/>
  <c r="G1743" i="4"/>
  <c r="I1743" i="4" s="1"/>
  <c r="G1746" i="4"/>
  <c r="I1746" i="4" s="1"/>
  <c r="G1768" i="4"/>
  <c r="I1768" i="4" s="1"/>
  <c r="G1770" i="4"/>
  <c r="I1770" i="4" s="1"/>
  <c r="G1773" i="4"/>
  <c r="I1773" i="4" s="1"/>
  <c r="G1777" i="4"/>
  <c r="I1777" i="4" s="1"/>
  <c r="G1778" i="4"/>
  <c r="I1778" i="4" s="1"/>
  <c r="G1776" i="4"/>
  <c r="I1776" i="4" s="1"/>
  <c r="G1791" i="4"/>
  <c r="I1791" i="4" s="1"/>
  <c r="G1786" i="4"/>
  <c r="I1786" i="4" s="1"/>
  <c r="G1782" i="4"/>
  <c r="I1782" i="4" s="1"/>
  <c r="G1792" i="4"/>
  <c r="I1792" i="4" s="1"/>
  <c r="G1785" i="4"/>
  <c r="I1785" i="4" s="1"/>
  <c r="G1802" i="4"/>
  <c r="I1802" i="4" s="1"/>
  <c r="G1803" i="4"/>
  <c r="I1803" i="4" s="1"/>
  <c r="G1809" i="4"/>
  <c r="I1809" i="4" s="1"/>
  <c r="G1833" i="4"/>
  <c r="I1833" i="4" s="1"/>
  <c r="G1844" i="4"/>
  <c r="I1844" i="4" s="1"/>
  <c r="G1845" i="4"/>
  <c r="I1845" i="4" s="1"/>
  <c r="G1843" i="4"/>
  <c r="I1843" i="4" s="1"/>
  <c r="G1850" i="4"/>
  <c r="I1850" i="4" s="1"/>
  <c r="G1849" i="4"/>
  <c r="I1849" i="4" s="1"/>
  <c r="G1847" i="4"/>
  <c r="I1847" i="4" s="1"/>
  <c r="G1853" i="4"/>
  <c r="I1853" i="4" s="1"/>
  <c r="G1852" i="4"/>
  <c r="I1852" i="4" s="1"/>
  <c r="G1859" i="4"/>
  <c r="I1859" i="4" s="1"/>
  <c r="G1857" i="4"/>
  <c r="I1857" i="4" s="1"/>
  <c r="G1856" i="4"/>
  <c r="I1856" i="4" s="1"/>
  <c r="G1861" i="4"/>
  <c r="I1861" i="4" s="1"/>
  <c r="G1862" i="4"/>
  <c r="I1862" i="4" s="1"/>
  <c r="G1879" i="4"/>
  <c r="I1879" i="4" s="1"/>
  <c r="G1886" i="4"/>
  <c r="I1886" i="4" s="1"/>
  <c r="G1888" i="4"/>
  <c r="I1888" i="4" s="1"/>
  <c r="G1890" i="4"/>
  <c r="I1890" i="4" s="1"/>
  <c r="G1892" i="4"/>
  <c r="I1892" i="4" s="1"/>
  <c r="G1894" i="4"/>
  <c r="I1894" i="4" s="1"/>
  <c r="G1900" i="4"/>
  <c r="I1900" i="4" s="1"/>
  <c r="G1898" i="4"/>
  <c r="I1898" i="4" s="1"/>
  <c r="G1899" i="4"/>
  <c r="I1899" i="4" s="1"/>
  <c r="G1901" i="4"/>
  <c r="I1901" i="4" s="1"/>
  <c r="G1905" i="4"/>
  <c r="I1905" i="4" s="1"/>
  <c r="G1904" i="4"/>
  <c r="I1904" i="4" s="1"/>
  <c r="G1906" i="4"/>
  <c r="I1906" i="4" s="1"/>
  <c r="G1909" i="4"/>
  <c r="I1909" i="4" s="1"/>
  <c r="G1908" i="4"/>
  <c r="I1908" i="4" s="1"/>
  <c r="H36" i="4"/>
  <c r="H38" i="4"/>
  <c r="H47" i="4"/>
  <c r="H53" i="4"/>
  <c r="H52" i="4"/>
  <c r="H51" i="4"/>
  <c r="H54" i="4"/>
  <c r="H60" i="4"/>
  <c r="H64" i="4"/>
  <c r="H82" i="4"/>
  <c r="H85" i="4"/>
  <c r="H78" i="4"/>
  <c r="H90" i="4"/>
  <c r="H87" i="4"/>
  <c r="H95" i="4"/>
  <c r="H97" i="4"/>
  <c r="H101" i="4"/>
  <c r="H112" i="4"/>
  <c r="H113" i="4"/>
  <c r="H117" i="4"/>
  <c r="H121" i="4"/>
  <c r="H122" i="4"/>
  <c r="H124" i="4"/>
  <c r="H123" i="4"/>
  <c r="H133" i="4"/>
  <c r="H134" i="4"/>
  <c r="H146" i="4"/>
  <c r="H145" i="4"/>
  <c r="H142" i="4"/>
  <c r="H147" i="4"/>
  <c r="H148" i="4"/>
  <c r="H151" i="4"/>
  <c r="H156" i="4"/>
  <c r="H158" i="4"/>
  <c r="H169" i="4"/>
  <c r="H178" i="4"/>
  <c r="H194" i="4"/>
  <c r="H190" i="4"/>
  <c r="H193" i="4"/>
  <c r="H195" i="4"/>
  <c r="H205" i="4"/>
  <c r="H219" i="4"/>
  <c r="H221" i="4"/>
  <c r="H224" i="4"/>
  <c r="H230" i="4"/>
  <c r="H242" i="4"/>
  <c r="H243" i="4"/>
  <c r="H244" i="4"/>
  <c r="H249" i="4"/>
  <c r="H250" i="4"/>
  <c r="H256" i="4"/>
  <c r="H263" i="4"/>
  <c r="H273" i="4"/>
  <c r="H282" i="4"/>
  <c r="H284" i="4"/>
  <c r="H290" i="4"/>
  <c r="H287" i="4"/>
  <c r="H297" i="4"/>
  <c r="H311" i="4"/>
  <c r="H312" i="4"/>
  <c r="H314" i="4"/>
  <c r="H326" i="4"/>
  <c r="H327" i="4"/>
  <c r="H333" i="4"/>
  <c r="H344" i="4"/>
  <c r="H342" i="4"/>
  <c r="H349" i="4"/>
  <c r="H356" i="4"/>
  <c r="H378" i="4"/>
  <c r="H377" i="4"/>
  <c r="H384" i="4"/>
  <c r="H387" i="4"/>
  <c r="H382" i="4"/>
  <c r="H386" i="4"/>
  <c r="H381" i="4"/>
  <c r="H400" i="4"/>
  <c r="H395" i="4"/>
  <c r="H398" i="4"/>
  <c r="H406" i="4"/>
  <c r="H402" i="4"/>
  <c r="H403" i="4"/>
  <c r="H415" i="4"/>
  <c r="H418" i="4"/>
  <c r="H428" i="4"/>
  <c r="H444" i="4"/>
  <c r="H458" i="4"/>
  <c r="H462" i="4"/>
  <c r="H461" i="4"/>
  <c r="H478" i="4"/>
  <c r="H477" i="4"/>
  <c r="H483" i="4"/>
  <c r="H488" i="4"/>
  <c r="H498" i="4"/>
  <c r="H503" i="4"/>
  <c r="H504" i="4"/>
  <c r="H501" i="4"/>
  <c r="H496" i="4"/>
  <c r="H500" i="4"/>
  <c r="H502" i="4"/>
  <c r="H494" i="4"/>
  <c r="H541" i="4"/>
  <c r="H569" i="4"/>
  <c r="H578" i="4"/>
  <c r="H577" i="4"/>
  <c r="H587" i="4"/>
  <c r="H589" i="4"/>
  <c r="H603" i="4"/>
  <c r="H604" i="4"/>
  <c r="H615" i="4"/>
  <c r="H622" i="4"/>
  <c r="H624" i="4"/>
  <c r="H631" i="4"/>
  <c r="H630" i="4"/>
  <c r="H640" i="4"/>
  <c r="H645" i="4"/>
  <c r="H646" i="4"/>
  <c r="H676" i="4"/>
  <c r="H678" i="4"/>
  <c r="H680" i="4"/>
  <c r="H692" i="4"/>
  <c r="H688" i="4"/>
  <c r="H691" i="4"/>
  <c r="H697" i="4"/>
  <c r="H695" i="4"/>
  <c r="H707" i="4"/>
  <c r="H732" i="4"/>
  <c r="H737" i="4"/>
  <c r="H738" i="4"/>
  <c r="H743" i="4"/>
  <c r="H740" i="4"/>
  <c r="H742" i="4"/>
  <c r="H744" i="4"/>
  <c r="H747" i="4"/>
  <c r="H751" i="4"/>
  <c r="H761" i="4"/>
  <c r="H771" i="4"/>
  <c r="H776" i="4"/>
  <c r="H775" i="4"/>
  <c r="H774" i="4"/>
  <c r="H777" i="4"/>
  <c r="H778" i="4"/>
  <c r="H780" i="4"/>
  <c r="H783" i="4"/>
  <c r="H810" i="4"/>
  <c r="H814" i="4"/>
  <c r="H819" i="4"/>
  <c r="H822" i="4"/>
  <c r="H849" i="4"/>
  <c r="H846" i="4"/>
  <c r="H847" i="4"/>
  <c r="H852" i="4"/>
  <c r="H862" i="4"/>
  <c r="H857" i="4"/>
  <c r="H870" i="4"/>
  <c r="H867" i="4"/>
  <c r="H873" i="4"/>
  <c r="H874" i="4"/>
  <c r="H877" i="4"/>
  <c r="H883" i="4"/>
  <c r="H894" i="4"/>
  <c r="H897" i="4"/>
  <c r="H896" i="4"/>
  <c r="H900" i="4"/>
  <c r="H899" i="4"/>
  <c r="H904" i="4"/>
  <c r="H902" i="4"/>
  <c r="H901" i="4"/>
  <c r="H916" i="4"/>
  <c r="H915" i="4"/>
  <c r="H913" i="4"/>
  <c r="H925" i="4"/>
  <c r="H945" i="4"/>
  <c r="H946" i="4"/>
  <c r="H954" i="4"/>
  <c r="H958" i="4"/>
  <c r="H957" i="4"/>
  <c r="H963" i="4"/>
  <c r="H968" i="4"/>
  <c r="H966" i="4"/>
  <c r="H967" i="4"/>
  <c r="H970" i="4"/>
  <c r="H971" i="4"/>
  <c r="H980" i="4"/>
  <c r="H985" i="4"/>
  <c r="H990" i="4"/>
  <c r="H993" i="4"/>
  <c r="H995" i="4"/>
  <c r="H1002" i="4"/>
  <c r="H1000" i="4"/>
  <c r="H1006" i="4"/>
  <c r="H1004" i="4"/>
  <c r="H1009" i="4"/>
  <c r="H1010" i="4"/>
  <c r="H1011" i="4"/>
  <c r="H1017" i="4"/>
  <c r="H1036" i="4"/>
  <c r="H1049" i="4"/>
  <c r="H1048" i="4"/>
  <c r="H1051" i="4"/>
  <c r="H1058" i="4"/>
  <c r="H1059" i="4"/>
  <c r="H1061" i="4"/>
  <c r="H1077" i="4"/>
  <c r="H1079" i="4"/>
  <c r="H1081" i="4"/>
  <c r="H1089" i="4"/>
  <c r="H1104" i="4"/>
  <c r="H1105" i="4"/>
  <c r="H1109" i="4"/>
  <c r="H1123" i="4"/>
  <c r="H1120" i="4"/>
  <c r="H1132" i="4"/>
  <c r="H1128" i="4"/>
  <c r="H1131" i="4"/>
  <c r="H1143" i="4"/>
  <c r="H1151" i="4"/>
  <c r="H1149" i="4"/>
  <c r="H1147" i="4"/>
  <c r="H1152" i="4"/>
  <c r="H1150" i="4"/>
  <c r="H1148" i="4"/>
  <c r="H1154" i="4"/>
  <c r="H1168" i="4"/>
  <c r="H1166" i="4"/>
  <c r="H1179" i="4"/>
  <c r="H1174" i="4"/>
  <c r="H1184" i="4"/>
  <c r="H1186" i="4"/>
  <c r="H1195" i="4"/>
  <c r="H1197" i="4"/>
  <c r="H1199" i="4"/>
  <c r="H1203" i="4"/>
  <c r="H1201" i="4"/>
  <c r="H1213" i="4"/>
  <c r="H1216" i="4"/>
  <c r="H1221" i="4"/>
  <c r="H1218" i="4"/>
  <c r="H1220" i="4"/>
  <c r="H1225" i="4"/>
  <c r="H1224" i="4"/>
  <c r="H1226" i="4"/>
  <c r="H1239" i="4"/>
  <c r="H1238" i="4"/>
  <c r="H1245" i="4"/>
  <c r="H1243" i="4"/>
  <c r="H1247" i="4"/>
  <c r="H1246" i="4"/>
  <c r="H1251" i="4"/>
  <c r="H1250" i="4"/>
  <c r="H1249" i="4"/>
  <c r="H1248" i="4"/>
  <c r="H1260" i="4"/>
  <c r="H1256" i="4"/>
  <c r="H1258" i="4"/>
  <c r="H1255" i="4"/>
  <c r="H1267" i="4"/>
  <c r="H1268" i="4"/>
  <c r="H1269" i="4"/>
  <c r="H1273" i="4"/>
  <c r="H1275" i="4"/>
  <c r="H1283" i="4"/>
  <c r="H1280" i="4"/>
  <c r="H1278" i="4"/>
  <c r="H1281" i="4"/>
  <c r="H1291" i="4"/>
  <c r="H1290" i="4"/>
  <c r="H1289" i="4"/>
  <c r="H1292" i="4"/>
  <c r="H1295" i="4"/>
  <c r="H1293" i="4"/>
  <c r="H1301" i="4"/>
  <c r="H1309" i="4"/>
  <c r="H1312" i="4"/>
  <c r="H1315" i="4"/>
  <c r="H1316" i="4"/>
  <c r="H1317" i="4"/>
  <c r="H1325" i="4"/>
  <c r="H1328" i="4"/>
  <c r="H1359" i="4"/>
  <c r="H1360" i="4"/>
  <c r="H1367" i="4"/>
  <c r="H1364" i="4"/>
  <c r="H1365" i="4"/>
  <c r="H1366" i="4"/>
  <c r="H1371" i="4"/>
  <c r="H1372" i="4"/>
  <c r="H1385" i="4"/>
  <c r="H1389" i="4"/>
  <c r="H1399" i="4"/>
  <c r="H1400" i="4"/>
  <c r="H1401" i="4"/>
  <c r="H1403" i="4"/>
  <c r="H1405" i="4"/>
  <c r="H1409" i="4"/>
  <c r="H1417" i="4"/>
  <c r="H1426" i="4"/>
  <c r="H1428" i="4"/>
  <c r="H1430" i="4"/>
  <c r="H1435" i="4"/>
  <c r="H1445" i="4"/>
  <c r="H1447" i="4"/>
  <c r="H1478" i="4"/>
  <c r="H1490" i="4"/>
  <c r="H1492" i="4"/>
  <c r="H1488" i="4"/>
  <c r="H1495" i="4"/>
  <c r="H1497" i="4"/>
  <c r="H1496" i="4"/>
  <c r="H1519" i="4"/>
  <c r="H1515" i="4"/>
  <c r="H1520" i="4"/>
  <c r="H1513" i="4"/>
  <c r="H1510" i="4"/>
  <c r="H1525" i="4"/>
  <c r="H1531" i="4"/>
  <c r="H1538" i="4"/>
  <c r="H1537" i="4"/>
  <c r="H1540" i="4"/>
  <c r="H1539" i="4"/>
  <c r="H1541" i="4"/>
  <c r="H1551" i="4"/>
  <c r="H1549" i="4"/>
  <c r="H1554" i="4"/>
  <c r="H1547" i="4"/>
  <c r="H1555" i="4"/>
  <c r="H1550" i="4"/>
  <c r="H1548" i="4"/>
  <c r="H1546" i="4"/>
  <c r="H1552" i="4"/>
  <c r="H1560" i="4"/>
  <c r="H1556" i="4"/>
  <c r="H1574" i="4"/>
  <c r="H1580" i="4"/>
  <c r="H1581" i="4"/>
  <c r="H1583" i="4"/>
  <c r="H1591" i="4"/>
  <c r="H1588" i="4"/>
  <c r="H1594" i="4"/>
  <c r="H1602" i="4"/>
  <c r="H1608" i="4"/>
  <c r="H1603" i="4"/>
  <c r="H1617" i="4"/>
  <c r="H1624" i="4"/>
  <c r="H1629" i="4"/>
  <c r="H1644" i="4"/>
  <c r="H1639" i="4"/>
  <c r="H1638" i="4"/>
  <c r="H1649" i="4"/>
  <c r="H1653" i="4"/>
  <c r="H1657" i="4"/>
  <c r="H1663" i="4"/>
  <c r="H1662" i="4"/>
  <c r="H1658" i="4"/>
  <c r="H1667" i="4"/>
  <c r="H1670" i="4"/>
  <c r="H1671" i="4"/>
  <c r="H1685" i="4"/>
  <c r="H1682" i="4"/>
  <c r="H1684" i="4"/>
  <c r="H1692" i="4"/>
  <c r="H1695" i="4"/>
  <c r="H1696" i="4"/>
  <c r="H1699" i="4"/>
  <c r="H1691" i="4"/>
  <c r="H1698" i="4"/>
  <c r="H1701" i="4"/>
  <c r="H1703" i="4"/>
  <c r="H1721" i="4"/>
  <c r="H1718" i="4"/>
  <c r="H1727" i="4"/>
  <c r="H1736" i="4"/>
  <c r="H1743" i="4"/>
  <c r="H1746" i="4"/>
  <c r="H1768" i="4"/>
  <c r="H1770" i="4"/>
  <c r="H1773" i="4"/>
  <c r="H1777" i="4"/>
  <c r="H1778" i="4"/>
  <c r="H1776" i="4"/>
  <c r="H1791" i="4"/>
  <c r="H1786" i="4"/>
  <c r="H1782" i="4"/>
  <c r="H1792" i="4"/>
  <c r="H1785" i="4"/>
  <c r="H1802" i="4"/>
  <c r="H1803" i="4"/>
  <c r="H1809" i="4"/>
  <c r="H1833" i="4"/>
  <c r="H1844" i="4"/>
  <c r="H1845" i="4"/>
  <c r="H1843" i="4"/>
  <c r="H1850" i="4"/>
  <c r="H1849" i="4"/>
  <c r="H1847" i="4"/>
  <c r="H1853" i="4"/>
  <c r="H1852" i="4"/>
  <c r="H1859" i="4"/>
  <c r="H1857" i="4"/>
  <c r="H1856" i="4"/>
  <c r="H1861" i="4"/>
  <c r="H1862" i="4"/>
  <c r="H1879" i="4"/>
  <c r="H1886" i="4"/>
  <c r="H1888" i="4"/>
  <c r="H1890" i="4"/>
  <c r="H1892" i="4"/>
  <c r="H1894" i="4"/>
  <c r="H1900" i="4"/>
  <c r="H1898" i="4"/>
  <c r="H1899" i="4"/>
  <c r="H1901" i="4"/>
  <c r="H1905" i="4"/>
  <c r="H1904" i="4"/>
  <c r="H1906" i="4"/>
  <c r="H1909" i="4"/>
  <c r="H1908" i="4"/>
  <c r="M36" i="4"/>
  <c r="M38" i="4"/>
  <c r="M47" i="4"/>
  <c r="M53" i="4"/>
  <c r="M52" i="4"/>
  <c r="M51" i="4"/>
  <c r="M54" i="4"/>
  <c r="M60" i="4"/>
  <c r="M64" i="4"/>
  <c r="M82" i="4"/>
  <c r="M85" i="4"/>
  <c r="M78" i="4"/>
  <c r="M90" i="4"/>
  <c r="M87" i="4"/>
  <c r="M95" i="4"/>
  <c r="M97" i="4"/>
  <c r="M101" i="4"/>
  <c r="M112" i="4"/>
  <c r="M113" i="4"/>
  <c r="M117" i="4"/>
  <c r="M121" i="4"/>
  <c r="M122" i="4"/>
  <c r="M124" i="4"/>
  <c r="M123" i="4"/>
  <c r="M133" i="4"/>
  <c r="M134" i="4"/>
  <c r="M146" i="4"/>
  <c r="M145" i="4"/>
  <c r="M142" i="4"/>
  <c r="M147" i="4"/>
  <c r="M148" i="4"/>
  <c r="M151" i="4"/>
  <c r="M156" i="4"/>
  <c r="M158" i="4"/>
  <c r="M169" i="4"/>
  <c r="M178" i="4"/>
  <c r="M194" i="4"/>
  <c r="M190" i="4"/>
  <c r="M193" i="4"/>
  <c r="M195" i="4"/>
  <c r="M205" i="4"/>
  <c r="M219" i="4"/>
  <c r="M221" i="4"/>
  <c r="M224" i="4"/>
  <c r="M230" i="4"/>
  <c r="M242" i="4"/>
  <c r="M243" i="4"/>
  <c r="M244" i="4"/>
  <c r="M249" i="4"/>
  <c r="M250" i="4"/>
  <c r="M256" i="4"/>
  <c r="M263" i="4"/>
  <c r="M273" i="4"/>
  <c r="M282" i="4"/>
  <c r="M284" i="4"/>
  <c r="M290" i="4"/>
  <c r="M287" i="4"/>
  <c r="M297" i="4"/>
  <c r="M311" i="4"/>
  <c r="M312" i="4"/>
  <c r="M314" i="4"/>
  <c r="M326" i="4"/>
  <c r="M327" i="4"/>
  <c r="M333" i="4"/>
  <c r="M344" i="4"/>
  <c r="M342" i="4"/>
  <c r="M349" i="4"/>
  <c r="M356" i="4"/>
  <c r="M378" i="4"/>
  <c r="M377" i="4"/>
  <c r="M384" i="4"/>
  <c r="M387" i="4"/>
  <c r="M382" i="4"/>
  <c r="M386" i="4"/>
  <c r="M381" i="4"/>
  <c r="M400" i="4"/>
  <c r="M395" i="4"/>
  <c r="M398" i="4"/>
  <c r="M406" i="4"/>
  <c r="M402" i="4"/>
  <c r="M403" i="4"/>
  <c r="M415" i="4"/>
  <c r="M418" i="4"/>
  <c r="M428" i="4"/>
  <c r="M444" i="4"/>
  <c r="M458" i="4"/>
  <c r="M462" i="4"/>
  <c r="M461" i="4"/>
  <c r="M478" i="4"/>
  <c r="M477" i="4"/>
  <c r="M483" i="4"/>
  <c r="M488" i="4"/>
  <c r="M498" i="4"/>
  <c r="M503" i="4"/>
  <c r="M504" i="4"/>
  <c r="M501" i="4"/>
  <c r="M496" i="4"/>
  <c r="M500" i="4"/>
  <c r="M502" i="4"/>
  <c r="M494" i="4"/>
  <c r="M541" i="4"/>
  <c r="M569" i="4"/>
  <c r="M578" i="4"/>
  <c r="M577" i="4"/>
  <c r="M587" i="4"/>
  <c r="M589" i="4"/>
  <c r="M603" i="4"/>
  <c r="M604" i="4"/>
  <c r="M615" i="4"/>
  <c r="M622" i="4"/>
  <c r="M624" i="4"/>
  <c r="M631" i="4"/>
  <c r="M630" i="4"/>
  <c r="M640" i="4"/>
  <c r="M645" i="4"/>
  <c r="M646" i="4"/>
  <c r="M676" i="4"/>
  <c r="M678" i="4"/>
  <c r="M680" i="4"/>
  <c r="M692" i="4"/>
  <c r="M688" i="4"/>
  <c r="M691" i="4"/>
  <c r="M697" i="4"/>
  <c r="M695" i="4"/>
  <c r="M707" i="4"/>
  <c r="M732" i="4"/>
  <c r="M737" i="4"/>
  <c r="M738" i="4"/>
  <c r="M743" i="4"/>
  <c r="M740" i="4"/>
  <c r="M742" i="4"/>
  <c r="M744" i="4"/>
  <c r="M747" i="4"/>
  <c r="M751" i="4"/>
  <c r="M761" i="4"/>
  <c r="M771" i="4"/>
  <c r="M776" i="4"/>
  <c r="M775" i="4"/>
  <c r="M774" i="4"/>
  <c r="M777" i="4"/>
  <c r="M778" i="4"/>
  <c r="M780" i="4"/>
  <c r="M783" i="4"/>
  <c r="M810" i="4"/>
  <c r="M814" i="4"/>
  <c r="M819" i="4"/>
  <c r="M822" i="4"/>
  <c r="M849" i="4"/>
  <c r="M846" i="4"/>
  <c r="M847" i="4"/>
  <c r="M852" i="4"/>
  <c r="M862" i="4"/>
  <c r="M857" i="4"/>
  <c r="M870" i="4"/>
  <c r="M867" i="4"/>
  <c r="M873" i="4"/>
  <c r="M874" i="4"/>
  <c r="M877" i="4"/>
  <c r="M883" i="4"/>
  <c r="M894" i="4"/>
  <c r="M897" i="4"/>
  <c r="M896" i="4"/>
  <c r="M900" i="4"/>
  <c r="M899" i="4"/>
  <c r="M904" i="4"/>
  <c r="M902" i="4"/>
  <c r="M901" i="4"/>
  <c r="M916" i="4"/>
  <c r="M915" i="4"/>
  <c r="M913" i="4"/>
  <c r="M925" i="4"/>
  <c r="M945" i="4"/>
  <c r="M946" i="4"/>
  <c r="M954" i="4"/>
  <c r="M958" i="4"/>
  <c r="M957" i="4"/>
  <c r="M963" i="4"/>
  <c r="M968" i="4"/>
  <c r="M966" i="4"/>
  <c r="M967" i="4"/>
  <c r="M970" i="4"/>
  <c r="M971" i="4"/>
  <c r="M980" i="4"/>
  <c r="M985" i="4"/>
  <c r="M990" i="4"/>
  <c r="M993" i="4"/>
  <c r="M995" i="4"/>
  <c r="M1002" i="4"/>
  <c r="M1000" i="4"/>
  <c r="M1006" i="4"/>
  <c r="M1004" i="4"/>
  <c r="M1009" i="4"/>
  <c r="M1010" i="4"/>
  <c r="M1011" i="4"/>
  <c r="M1017" i="4"/>
  <c r="M1036" i="4"/>
  <c r="M1049" i="4"/>
  <c r="M1048" i="4"/>
  <c r="M1051" i="4"/>
  <c r="M1058" i="4"/>
  <c r="M1059" i="4"/>
  <c r="M1061" i="4"/>
  <c r="M1077" i="4"/>
  <c r="M1079" i="4"/>
  <c r="M1081" i="4"/>
  <c r="M1089" i="4"/>
  <c r="M1104" i="4"/>
  <c r="M1105" i="4"/>
  <c r="M1109" i="4"/>
  <c r="M1123" i="4"/>
  <c r="M1120" i="4"/>
  <c r="M1132" i="4"/>
  <c r="M1128" i="4"/>
  <c r="M1131" i="4"/>
  <c r="M1143" i="4"/>
  <c r="M1151" i="4"/>
  <c r="M1149" i="4"/>
  <c r="M1147" i="4"/>
  <c r="M1152" i="4"/>
  <c r="M1150" i="4"/>
  <c r="M1148" i="4"/>
  <c r="M1154" i="4"/>
  <c r="M1168" i="4"/>
  <c r="M1166" i="4"/>
  <c r="M1179" i="4"/>
  <c r="M1174" i="4"/>
  <c r="M1184" i="4"/>
  <c r="M1186" i="4"/>
  <c r="M1195" i="4"/>
  <c r="M1197" i="4"/>
  <c r="M1199" i="4"/>
  <c r="M1203" i="4"/>
  <c r="M1201" i="4"/>
  <c r="M1213" i="4"/>
  <c r="M1216" i="4"/>
  <c r="M1221" i="4"/>
  <c r="M1218" i="4"/>
  <c r="M1220" i="4"/>
  <c r="M1225" i="4"/>
  <c r="M1224" i="4"/>
  <c r="M1226" i="4"/>
  <c r="M1239" i="4"/>
  <c r="M1238" i="4"/>
  <c r="M1245" i="4"/>
  <c r="M1243" i="4"/>
  <c r="M1247" i="4"/>
  <c r="M1246" i="4"/>
  <c r="M1251" i="4"/>
  <c r="M1250" i="4"/>
  <c r="M1249" i="4"/>
  <c r="M1248" i="4"/>
  <c r="M1260" i="4"/>
  <c r="M1256" i="4"/>
  <c r="M1258" i="4"/>
  <c r="M1255" i="4"/>
  <c r="M1267" i="4"/>
  <c r="M1268" i="4"/>
  <c r="M1269" i="4"/>
  <c r="M1273" i="4"/>
  <c r="M1275" i="4"/>
  <c r="M1283" i="4"/>
  <c r="M1280" i="4"/>
  <c r="M1278" i="4"/>
  <c r="M1281" i="4"/>
  <c r="M1291" i="4"/>
  <c r="M1290" i="4"/>
  <c r="M1289" i="4"/>
  <c r="M1292" i="4"/>
  <c r="M1295" i="4"/>
  <c r="M1293" i="4"/>
  <c r="M1301" i="4"/>
  <c r="M1309" i="4"/>
  <c r="M1312" i="4"/>
  <c r="M1315" i="4"/>
  <c r="M1316" i="4"/>
  <c r="M1317" i="4"/>
  <c r="M1325" i="4"/>
  <c r="M1328" i="4"/>
  <c r="M1359" i="4"/>
  <c r="M1360" i="4"/>
  <c r="M1367" i="4"/>
  <c r="M1364" i="4"/>
  <c r="M1365" i="4"/>
  <c r="M1366" i="4"/>
  <c r="M1371" i="4"/>
  <c r="M1372" i="4"/>
  <c r="M1385" i="4"/>
  <c r="M1389" i="4"/>
  <c r="M1399" i="4"/>
  <c r="M1400" i="4"/>
  <c r="M1401" i="4"/>
  <c r="M1403" i="4"/>
  <c r="M1405" i="4"/>
  <c r="M1409" i="4"/>
  <c r="M1417" i="4"/>
  <c r="M1426" i="4"/>
  <c r="M1428" i="4"/>
  <c r="M1430" i="4"/>
  <c r="M1435" i="4"/>
  <c r="M1445" i="4"/>
  <c r="M1447" i="4"/>
  <c r="M1478" i="4"/>
  <c r="M1490" i="4"/>
  <c r="M1492" i="4"/>
  <c r="M1488" i="4"/>
  <c r="M1495" i="4"/>
  <c r="M1497" i="4"/>
  <c r="M1496" i="4"/>
  <c r="M1519" i="4"/>
  <c r="M1515" i="4"/>
  <c r="M1520" i="4"/>
  <c r="M1513" i="4"/>
  <c r="M1510" i="4"/>
  <c r="M1525" i="4"/>
  <c r="M1531" i="4"/>
  <c r="M1538" i="4"/>
  <c r="M1537" i="4"/>
  <c r="M1540" i="4"/>
  <c r="M1539" i="4"/>
  <c r="M1541" i="4"/>
  <c r="M1551" i="4"/>
  <c r="M1549" i="4"/>
  <c r="M1554" i="4"/>
  <c r="M1547" i="4"/>
  <c r="M1555" i="4"/>
  <c r="M1550" i="4"/>
  <c r="M1548" i="4"/>
  <c r="M1546" i="4"/>
  <c r="M1552" i="4"/>
  <c r="M1560" i="4"/>
  <c r="M1556" i="4"/>
  <c r="M1574" i="4"/>
  <c r="M1580" i="4"/>
  <c r="M1581" i="4"/>
  <c r="M1583" i="4"/>
  <c r="M1591" i="4"/>
  <c r="M1588" i="4"/>
  <c r="M1594" i="4"/>
  <c r="M1602" i="4"/>
  <c r="M1608" i="4"/>
  <c r="M1603" i="4"/>
  <c r="M1617" i="4"/>
  <c r="M1624" i="4"/>
  <c r="M1629" i="4"/>
  <c r="M1644" i="4"/>
  <c r="M1639" i="4"/>
  <c r="M1638" i="4"/>
  <c r="M1649" i="4"/>
  <c r="M1653" i="4"/>
  <c r="M1657" i="4"/>
  <c r="M1663" i="4"/>
  <c r="M1662" i="4"/>
  <c r="M1658" i="4"/>
  <c r="M1667" i="4"/>
  <c r="M1670" i="4"/>
  <c r="M1671" i="4"/>
  <c r="M1685" i="4"/>
  <c r="M1682" i="4"/>
  <c r="M1684" i="4"/>
  <c r="M1692" i="4"/>
  <c r="M1695" i="4"/>
  <c r="M1696" i="4"/>
  <c r="M1699" i="4"/>
  <c r="M1691" i="4"/>
  <c r="M1698" i="4"/>
  <c r="M1701" i="4"/>
  <c r="M1703" i="4"/>
  <c r="M1721" i="4"/>
  <c r="M1718" i="4"/>
  <c r="M1727" i="4"/>
  <c r="M1736" i="4"/>
  <c r="M1743" i="4"/>
  <c r="M1746" i="4"/>
  <c r="M1768" i="4"/>
  <c r="M1770" i="4"/>
  <c r="M1773" i="4"/>
  <c r="M1777" i="4"/>
  <c r="M1778" i="4"/>
  <c r="M1776" i="4"/>
  <c r="M1791" i="4"/>
  <c r="M1786" i="4"/>
  <c r="M1782" i="4"/>
  <c r="M1792" i="4"/>
  <c r="M1785" i="4"/>
  <c r="M1802" i="4"/>
  <c r="M1803" i="4"/>
  <c r="M1809" i="4"/>
  <c r="M1833" i="4"/>
  <c r="M1844" i="4"/>
  <c r="M1845" i="4"/>
  <c r="M1843" i="4"/>
  <c r="M1850" i="4"/>
  <c r="M1849" i="4"/>
  <c r="M1847" i="4"/>
  <c r="M1853" i="4"/>
  <c r="M1852" i="4"/>
  <c r="M1859" i="4"/>
  <c r="M1857" i="4"/>
  <c r="M1856" i="4"/>
  <c r="M1861" i="4"/>
  <c r="M1862" i="4"/>
  <c r="M1879" i="4"/>
  <c r="M1886" i="4"/>
  <c r="M1888" i="4"/>
  <c r="M1890" i="4"/>
  <c r="M1892" i="4"/>
  <c r="M1894" i="4"/>
  <c r="M1900" i="4"/>
  <c r="M1898" i="4"/>
  <c r="M1899" i="4"/>
  <c r="M1901" i="4"/>
  <c r="M1905" i="4"/>
  <c r="M1904" i="4"/>
  <c r="M1906" i="4"/>
  <c r="M1909" i="4"/>
  <c r="M1908" i="4"/>
  <c r="N36" i="4"/>
  <c r="N38" i="4"/>
  <c r="N47" i="4"/>
  <c r="N53" i="4"/>
  <c r="N52" i="4"/>
  <c r="N51" i="4"/>
  <c r="N54" i="4"/>
  <c r="N60" i="4"/>
  <c r="N64" i="4"/>
  <c r="N82" i="4"/>
  <c r="N85" i="4"/>
  <c r="N78" i="4"/>
  <c r="N90" i="4"/>
  <c r="N87" i="4"/>
  <c r="N95" i="4"/>
  <c r="N97" i="4"/>
  <c r="N101" i="4"/>
  <c r="N112" i="4"/>
  <c r="N113" i="4"/>
  <c r="N117" i="4"/>
  <c r="N121" i="4"/>
  <c r="N122" i="4"/>
  <c r="N124" i="4"/>
  <c r="N123" i="4"/>
  <c r="N133" i="4"/>
  <c r="N134" i="4"/>
  <c r="N146" i="4"/>
  <c r="N145" i="4"/>
  <c r="N142" i="4"/>
  <c r="N147" i="4"/>
  <c r="N148" i="4"/>
  <c r="N151" i="4"/>
  <c r="N156" i="4"/>
  <c r="N158" i="4"/>
  <c r="N169" i="4"/>
  <c r="N178" i="4"/>
  <c r="N194" i="4"/>
  <c r="N190" i="4"/>
  <c r="N193" i="4"/>
  <c r="N195" i="4"/>
  <c r="N205" i="4"/>
  <c r="N219" i="4"/>
  <c r="N221" i="4"/>
  <c r="N224" i="4"/>
  <c r="N230" i="4"/>
  <c r="N242" i="4"/>
  <c r="N243" i="4"/>
  <c r="N244" i="4"/>
  <c r="N249" i="4"/>
  <c r="N250" i="4"/>
  <c r="N256" i="4"/>
  <c r="N263" i="4"/>
  <c r="N273" i="4"/>
  <c r="N282" i="4"/>
  <c r="N284" i="4"/>
  <c r="N290" i="4"/>
  <c r="N287" i="4"/>
  <c r="N297" i="4"/>
  <c r="N311" i="4"/>
  <c r="N312" i="4"/>
  <c r="N314" i="4"/>
  <c r="N326" i="4"/>
  <c r="N327" i="4"/>
  <c r="N333" i="4"/>
  <c r="N344" i="4"/>
  <c r="N342" i="4"/>
  <c r="N349" i="4"/>
  <c r="N356" i="4"/>
  <c r="N378" i="4"/>
  <c r="N377" i="4"/>
  <c r="N384" i="4"/>
  <c r="N387" i="4"/>
  <c r="N382" i="4"/>
  <c r="N386" i="4"/>
  <c r="N381" i="4"/>
  <c r="N400" i="4"/>
  <c r="N395" i="4"/>
  <c r="N398" i="4"/>
  <c r="N406" i="4"/>
  <c r="N402" i="4"/>
  <c r="N403" i="4"/>
  <c r="N415" i="4"/>
  <c r="N418" i="4"/>
  <c r="N428" i="4"/>
  <c r="N444" i="4"/>
  <c r="N458" i="4"/>
  <c r="N462" i="4"/>
  <c r="N461" i="4"/>
  <c r="N478" i="4"/>
  <c r="N477" i="4"/>
  <c r="N483" i="4"/>
  <c r="N488" i="4"/>
  <c r="N498" i="4"/>
  <c r="N503" i="4"/>
  <c r="N504" i="4"/>
  <c r="N501" i="4"/>
  <c r="N496" i="4"/>
  <c r="N500" i="4"/>
  <c r="N502" i="4"/>
  <c r="N494" i="4"/>
  <c r="N541" i="4"/>
  <c r="N569" i="4"/>
  <c r="N578" i="4"/>
  <c r="N577" i="4"/>
  <c r="N587" i="4"/>
  <c r="N589" i="4"/>
  <c r="N603" i="4"/>
  <c r="N604" i="4"/>
  <c r="N615" i="4"/>
  <c r="N622" i="4"/>
  <c r="N624" i="4"/>
  <c r="N631" i="4"/>
  <c r="N630" i="4"/>
  <c r="N640" i="4"/>
  <c r="N645" i="4"/>
  <c r="N646" i="4"/>
  <c r="N676" i="4"/>
  <c r="N678" i="4"/>
  <c r="N680" i="4"/>
  <c r="N692" i="4"/>
  <c r="N688" i="4"/>
  <c r="N691" i="4"/>
  <c r="N697" i="4"/>
  <c r="N695" i="4"/>
  <c r="N707" i="4"/>
  <c r="N732" i="4"/>
  <c r="N737" i="4"/>
  <c r="N738" i="4"/>
  <c r="N743" i="4"/>
  <c r="N740" i="4"/>
  <c r="N742" i="4"/>
  <c r="N744" i="4"/>
  <c r="N747" i="4"/>
  <c r="N751" i="4"/>
  <c r="N761" i="4"/>
  <c r="N771" i="4"/>
  <c r="N776" i="4"/>
  <c r="N775" i="4"/>
  <c r="N774" i="4"/>
  <c r="N777" i="4"/>
  <c r="N778" i="4"/>
  <c r="N780" i="4"/>
  <c r="N783" i="4"/>
  <c r="N810" i="4"/>
  <c r="N814" i="4"/>
  <c r="N819" i="4"/>
  <c r="N822" i="4"/>
  <c r="N849" i="4"/>
  <c r="N846" i="4"/>
  <c r="N847" i="4"/>
  <c r="N852" i="4"/>
  <c r="N862" i="4"/>
  <c r="N857" i="4"/>
  <c r="N870" i="4"/>
  <c r="N867" i="4"/>
  <c r="N873" i="4"/>
  <c r="N874" i="4"/>
  <c r="N877" i="4"/>
  <c r="N883" i="4"/>
  <c r="N894" i="4"/>
  <c r="N897" i="4"/>
  <c r="N896" i="4"/>
  <c r="N900" i="4"/>
  <c r="N899" i="4"/>
  <c r="N904" i="4"/>
  <c r="N902" i="4"/>
  <c r="N901" i="4"/>
  <c r="N916" i="4"/>
  <c r="N915" i="4"/>
  <c r="N913" i="4"/>
  <c r="N925" i="4"/>
  <c r="N945" i="4"/>
  <c r="N946" i="4"/>
  <c r="N954" i="4"/>
  <c r="N958" i="4"/>
  <c r="N957" i="4"/>
  <c r="N963" i="4"/>
  <c r="N968" i="4"/>
  <c r="N966" i="4"/>
  <c r="N967" i="4"/>
  <c r="N970" i="4"/>
  <c r="N971" i="4"/>
  <c r="N980" i="4"/>
  <c r="N985" i="4"/>
  <c r="N990" i="4"/>
  <c r="N993" i="4"/>
  <c r="N995" i="4"/>
  <c r="N1002" i="4"/>
  <c r="N1000" i="4"/>
  <c r="N1006" i="4"/>
  <c r="N1004" i="4"/>
  <c r="N1009" i="4"/>
  <c r="N1010" i="4"/>
  <c r="N1011" i="4"/>
  <c r="N1017" i="4"/>
  <c r="N1036" i="4"/>
  <c r="N1049" i="4"/>
  <c r="N1048" i="4"/>
  <c r="N1051" i="4"/>
  <c r="N1058" i="4"/>
  <c r="N1059" i="4"/>
  <c r="N1061" i="4"/>
  <c r="N1077" i="4"/>
  <c r="N1079" i="4"/>
  <c r="N1081" i="4"/>
  <c r="N1089" i="4"/>
  <c r="N1104" i="4"/>
  <c r="N1105" i="4"/>
  <c r="N1109" i="4"/>
  <c r="N1123" i="4"/>
  <c r="N1120" i="4"/>
  <c r="N1132" i="4"/>
  <c r="N1128" i="4"/>
  <c r="N1131" i="4"/>
  <c r="N1143" i="4"/>
  <c r="N1151" i="4"/>
  <c r="N1149" i="4"/>
  <c r="N1147" i="4"/>
  <c r="N1152" i="4"/>
  <c r="N1150" i="4"/>
  <c r="N1148" i="4"/>
  <c r="N1154" i="4"/>
  <c r="N1168" i="4"/>
  <c r="N1166" i="4"/>
  <c r="N1179" i="4"/>
  <c r="N1174" i="4"/>
  <c r="N1184" i="4"/>
  <c r="N1186" i="4"/>
  <c r="N1195" i="4"/>
  <c r="N1197" i="4"/>
  <c r="N1199" i="4"/>
  <c r="N1203" i="4"/>
  <c r="N1201" i="4"/>
  <c r="N1213" i="4"/>
  <c r="N1216" i="4"/>
  <c r="N1221" i="4"/>
  <c r="N1218" i="4"/>
  <c r="N1220" i="4"/>
  <c r="N1225" i="4"/>
  <c r="N1224" i="4"/>
  <c r="N1226" i="4"/>
  <c r="N1239" i="4"/>
  <c r="N1238" i="4"/>
  <c r="N1245" i="4"/>
  <c r="N1243" i="4"/>
  <c r="N1247" i="4"/>
  <c r="N1246" i="4"/>
  <c r="N1251" i="4"/>
  <c r="N1250" i="4"/>
  <c r="N1249" i="4"/>
  <c r="N1248" i="4"/>
  <c r="N1260" i="4"/>
  <c r="N1256" i="4"/>
  <c r="N1258" i="4"/>
  <c r="N1255" i="4"/>
  <c r="N1267" i="4"/>
  <c r="N1268" i="4"/>
  <c r="N1269" i="4"/>
  <c r="N1273" i="4"/>
  <c r="N1275" i="4"/>
  <c r="N1283" i="4"/>
  <c r="N1280" i="4"/>
  <c r="N1278" i="4"/>
  <c r="N1281" i="4"/>
  <c r="N1291" i="4"/>
  <c r="N1290" i="4"/>
  <c r="N1289" i="4"/>
  <c r="N1292" i="4"/>
  <c r="N1295" i="4"/>
  <c r="N1293" i="4"/>
  <c r="N1301" i="4"/>
  <c r="N1309" i="4"/>
  <c r="N1312" i="4"/>
  <c r="N1315" i="4"/>
  <c r="N1316" i="4"/>
  <c r="N1317" i="4"/>
  <c r="N1325" i="4"/>
  <c r="N1328" i="4"/>
  <c r="N1359" i="4"/>
  <c r="N1360" i="4"/>
  <c r="N1367" i="4"/>
  <c r="N1364" i="4"/>
  <c r="N1365" i="4"/>
  <c r="N1366" i="4"/>
  <c r="N1371" i="4"/>
  <c r="N1372" i="4"/>
  <c r="N1385" i="4"/>
  <c r="N1389" i="4"/>
  <c r="N1399" i="4"/>
  <c r="N1400" i="4"/>
  <c r="N1401" i="4"/>
  <c r="N1403" i="4"/>
  <c r="N1405" i="4"/>
  <c r="N1409" i="4"/>
  <c r="N1417" i="4"/>
  <c r="N1426" i="4"/>
  <c r="N1428" i="4"/>
  <c r="N1430" i="4"/>
  <c r="N1435" i="4"/>
  <c r="N1445" i="4"/>
  <c r="N1447" i="4"/>
  <c r="N1478" i="4"/>
  <c r="N1490" i="4"/>
  <c r="N1492" i="4"/>
  <c r="N1488" i="4"/>
  <c r="N1495" i="4"/>
  <c r="N1497" i="4"/>
  <c r="N1496" i="4"/>
  <c r="N1519" i="4"/>
  <c r="N1515" i="4"/>
  <c r="N1520" i="4"/>
  <c r="N1513" i="4"/>
  <c r="N1510" i="4"/>
  <c r="N1525" i="4"/>
  <c r="N1531" i="4"/>
  <c r="N1538" i="4"/>
  <c r="N1537" i="4"/>
  <c r="N1540" i="4"/>
  <c r="N1539" i="4"/>
  <c r="N1541" i="4"/>
  <c r="N1551" i="4"/>
  <c r="N1549" i="4"/>
  <c r="N1554" i="4"/>
  <c r="N1547" i="4"/>
  <c r="N1555" i="4"/>
  <c r="N1550" i="4"/>
  <c r="N1548" i="4"/>
  <c r="N1546" i="4"/>
  <c r="N1552" i="4"/>
  <c r="N1560" i="4"/>
  <c r="N1556" i="4"/>
  <c r="N1574" i="4"/>
  <c r="N1580" i="4"/>
  <c r="N1581" i="4"/>
  <c r="N1583" i="4"/>
  <c r="N1591" i="4"/>
  <c r="N1588" i="4"/>
  <c r="N1594" i="4"/>
  <c r="N1602" i="4"/>
  <c r="N1608" i="4"/>
  <c r="N1603" i="4"/>
  <c r="N1617" i="4"/>
  <c r="N1624" i="4"/>
  <c r="N1629" i="4"/>
  <c r="N1644" i="4"/>
  <c r="N1639" i="4"/>
  <c r="N1638" i="4"/>
  <c r="N1649" i="4"/>
  <c r="N1653" i="4"/>
  <c r="N1657" i="4"/>
  <c r="N1663" i="4"/>
  <c r="N1662" i="4"/>
  <c r="N1658" i="4"/>
  <c r="N1667" i="4"/>
  <c r="N1670" i="4"/>
  <c r="N1671" i="4"/>
  <c r="N1685" i="4"/>
  <c r="N1682" i="4"/>
  <c r="N1684" i="4"/>
  <c r="N1692" i="4"/>
  <c r="N1695" i="4"/>
  <c r="N1696" i="4"/>
  <c r="N1699" i="4"/>
  <c r="N1691" i="4"/>
  <c r="N1698" i="4"/>
  <c r="N1701" i="4"/>
  <c r="N1703" i="4"/>
  <c r="N1721" i="4"/>
  <c r="N1718" i="4"/>
  <c r="N1727" i="4"/>
  <c r="N1736" i="4"/>
  <c r="N1743" i="4"/>
  <c r="N1746" i="4"/>
  <c r="N1768" i="4"/>
  <c r="N1770" i="4"/>
  <c r="N1773" i="4"/>
  <c r="N1777" i="4"/>
  <c r="N1778" i="4"/>
  <c r="N1776" i="4"/>
  <c r="N1791" i="4"/>
  <c r="N1786" i="4"/>
  <c r="N1782" i="4"/>
  <c r="N1792" i="4"/>
  <c r="N1785" i="4"/>
  <c r="N1802" i="4"/>
  <c r="N1803" i="4"/>
  <c r="N1809" i="4"/>
  <c r="N1833" i="4"/>
  <c r="N1844" i="4"/>
  <c r="N1845" i="4"/>
  <c r="N1843" i="4"/>
  <c r="N1850" i="4"/>
  <c r="N1849" i="4"/>
  <c r="N1847" i="4"/>
  <c r="N1853" i="4"/>
  <c r="N1852" i="4"/>
  <c r="N1859" i="4"/>
  <c r="N1857" i="4"/>
  <c r="N1856" i="4"/>
  <c r="N1861" i="4"/>
  <c r="N1862" i="4"/>
  <c r="N1879" i="4"/>
  <c r="N1886" i="4"/>
  <c r="N1888" i="4"/>
  <c r="N1890" i="4"/>
  <c r="N1892" i="4"/>
  <c r="N1894" i="4"/>
  <c r="N1900" i="4"/>
  <c r="N1898" i="4"/>
  <c r="N1899" i="4"/>
  <c r="N1901" i="4"/>
  <c r="N1905" i="4"/>
  <c r="N1904" i="4"/>
  <c r="N1906" i="4"/>
  <c r="N1909" i="4"/>
  <c r="N1908" i="4"/>
  <c r="O36" i="4" a="1"/>
  <c r="O36" i="4" s="1"/>
  <c r="O38" i="4" a="1"/>
  <c r="O38" i="4" s="1"/>
  <c r="O47" i="4" a="1"/>
  <c r="O47" i="4" s="1"/>
  <c r="O53" i="4" a="1"/>
  <c r="O53" i="4" s="1"/>
  <c r="O52" i="4" a="1"/>
  <c r="O52" i="4" s="1"/>
  <c r="O51" i="4" a="1"/>
  <c r="O51" i="4" s="1"/>
  <c r="O54" i="4" a="1"/>
  <c r="O54" i="4" s="1"/>
  <c r="O60" i="4" a="1"/>
  <c r="O60" i="4" s="1"/>
  <c r="O64" i="4" a="1"/>
  <c r="O64" i="4" s="1"/>
  <c r="O82" i="4" a="1"/>
  <c r="O82" i="4" s="1"/>
  <c r="O85" i="4" a="1"/>
  <c r="O85" i="4" s="1"/>
  <c r="O78" i="4" a="1"/>
  <c r="O78" i="4" s="1"/>
  <c r="O90" i="4" a="1"/>
  <c r="O90" i="4" s="1"/>
  <c r="O87" i="4" a="1"/>
  <c r="O87" i="4" s="1"/>
  <c r="O95" i="4" a="1"/>
  <c r="O95" i="4" s="1"/>
  <c r="O97" i="4" a="1"/>
  <c r="O97" i="4" s="1"/>
  <c r="O101" i="4" a="1"/>
  <c r="O101" i="4" s="1"/>
  <c r="O112" i="4" a="1"/>
  <c r="O112" i="4" s="1"/>
  <c r="O113" i="4" a="1"/>
  <c r="O113" i="4" s="1"/>
  <c r="O117" i="4" a="1"/>
  <c r="O117" i="4" s="1"/>
  <c r="O121" i="4" a="1"/>
  <c r="O121" i="4" s="1"/>
  <c r="O122" i="4" a="1"/>
  <c r="O122" i="4" s="1"/>
  <c r="O124" i="4" a="1"/>
  <c r="O124" i="4" s="1"/>
  <c r="O123" i="4" a="1"/>
  <c r="O123" i="4" s="1"/>
  <c r="O133" i="4" a="1"/>
  <c r="O133" i="4" s="1"/>
  <c r="O134" i="4" a="1"/>
  <c r="O134" i="4" s="1"/>
  <c r="O146" i="4" a="1"/>
  <c r="O146" i="4" s="1"/>
  <c r="O145" i="4" a="1"/>
  <c r="O145" i="4" s="1"/>
  <c r="O142" i="4" a="1"/>
  <c r="O142" i="4" s="1"/>
  <c r="O147" i="4" a="1"/>
  <c r="O147" i="4" s="1"/>
  <c r="O148" i="4" a="1"/>
  <c r="O148" i="4" s="1"/>
  <c r="O151" i="4" a="1"/>
  <c r="O151" i="4" s="1"/>
  <c r="O156" i="4" a="1"/>
  <c r="O156" i="4" s="1"/>
  <c r="O158" i="4" a="1"/>
  <c r="O158" i="4" s="1"/>
  <c r="O169" i="4" a="1"/>
  <c r="O169" i="4" s="1"/>
  <c r="O178" i="4" a="1"/>
  <c r="O178" i="4" s="1"/>
  <c r="O194" i="4" a="1"/>
  <c r="O194" i="4" s="1"/>
  <c r="O190" i="4" a="1"/>
  <c r="O190" i="4" s="1"/>
  <c r="O193" i="4" a="1"/>
  <c r="O193" i="4" s="1"/>
  <c r="O195" i="4" a="1"/>
  <c r="O195" i="4" s="1"/>
  <c r="O205" i="4" a="1"/>
  <c r="O205" i="4" s="1"/>
  <c r="O219" i="4" a="1"/>
  <c r="O219" i="4" s="1"/>
  <c r="O221" i="4" a="1"/>
  <c r="O221" i="4" s="1"/>
  <c r="O224" i="4" a="1"/>
  <c r="O224" i="4" s="1"/>
  <c r="O230" i="4" a="1"/>
  <c r="O230" i="4" s="1"/>
  <c r="O242" i="4" a="1"/>
  <c r="O242" i="4" s="1"/>
  <c r="O243" i="4" a="1"/>
  <c r="O243" i="4" s="1"/>
  <c r="O244" i="4" a="1"/>
  <c r="O244" i="4" s="1"/>
  <c r="O249" i="4" a="1"/>
  <c r="O249" i="4" s="1"/>
  <c r="O250" i="4" a="1"/>
  <c r="O250" i="4" s="1"/>
  <c r="O256" i="4" a="1"/>
  <c r="O256" i="4" s="1"/>
  <c r="O263" i="4" a="1"/>
  <c r="O263" i="4" s="1"/>
  <c r="O273" i="4" a="1"/>
  <c r="O273" i="4" s="1"/>
  <c r="O282" i="4" a="1"/>
  <c r="O282" i="4" s="1"/>
  <c r="O284" i="4" a="1"/>
  <c r="O284" i="4" s="1"/>
  <c r="O290" i="4" a="1"/>
  <c r="O290" i="4" s="1"/>
  <c r="O287" i="4" a="1"/>
  <c r="O287" i="4" s="1"/>
  <c r="O297" i="4" a="1"/>
  <c r="O297" i="4" s="1"/>
  <c r="O311" i="4" a="1"/>
  <c r="O311" i="4" s="1"/>
  <c r="O312" i="4" a="1"/>
  <c r="O312" i="4" s="1"/>
  <c r="O314" i="4" a="1"/>
  <c r="O314" i="4" s="1"/>
  <c r="O326" i="4" a="1"/>
  <c r="O326" i="4" s="1"/>
  <c r="O327" i="4" a="1"/>
  <c r="O327" i="4" s="1"/>
  <c r="O333" i="4" a="1"/>
  <c r="O333" i="4" s="1"/>
  <c r="O344" i="4" a="1"/>
  <c r="O344" i="4" s="1"/>
  <c r="O342" i="4" a="1"/>
  <c r="O342" i="4" s="1"/>
  <c r="O349" i="4" a="1"/>
  <c r="O349" i="4" s="1"/>
  <c r="O356" i="4" a="1"/>
  <c r="O356" i="4" s="1"/>
  <c r="O378" i="4" a="1"/>
  <c r="O378" i="4" s="1"/>
  <c r="O377" i="4" a="1"/>
  <c r="O377" i="4" s="1"/>
  <c r="O384" i="4" a="1"/>
  <c r="O384" i="4" s="1"/>
  <c r="O387" i="4" a="1"/>
  <c r="O387" i="4" s="1"/>
  <c r="O382" i="4" a="1"/>
  <c r="O382" i="4" s="1"/>
  <c r="O386" i="4" a="1"/>
  <c r="O386" i="4" s="1"/>
  <c r="O381" i="4" a="1"/>
  <c r="O381" i="4" s="1"/>
  <c r="O400" i="4" a="1"/>
  <c r="O400" i="4" s="1"/>
  <c r="O395" i="4" a="1"/>
  <c r="O395" i="4" s="1"/>
  <c r="O398" i="4" a="1"/>
  <c r="O398" i="4" s="1"/>
  <c r="O406" i="4" a="1"/>
  <c r="O406" i="4" s="1"/>
  <c r="O402" i="4" a="1"/>
  <c r="O402" i="4" s="1"/>
  <c r="O403" i="4" a="1"/>
  <c r="O403" i="4" s="1"/>
  <c r="O415" i="4" a="1"/>
  <c r="O415" i="4" s="1"/>
  <c r="O418" i="4" a="1"/>
  <c r="O418" i="4" s="1"/>
  <c r="O428" i="4" a="1"/>
  <c r="O428" i="4" s="1"/>
  <c r="O444" i="4" a="1"/>
  <c r="O444" i="4" s="1"/>
  <c r="O458" i="4" a="1"/>
  <c r="O458" i="4" s="1"/>
  <c r="O462" i="4" a="1"/>
  <c r="O462" i="4" s="1"/>
  <c r="O461" i="4" a="1"/>
  <c r="O461" i="4" s="1"/>
  <c r="O478" i="4" a="1"/>
  <c r="O478" i="4" s="1"/>
  <c r="O477" i="4" a="1"/>
  <c r="O477" i="4" s="1"/>
  <c r="O483" i="4" a="1"/>
  <c r="O483" i="4" s="1"/>
  <c r="O488" i="4" a="1"/>
  <c r="O488" i="4" s="1"/>
  <c r="O498" i="4" a="1"/>
  <c r="O498" i="4" s="1"/>
  <c r="O503" i="4" a="1"/>
  <c r="O503" i="4" s="1"/>
  <c r="O504" i="4" a="1"/>
  <c r="O504" i="4" s="1"/>
  <c r="O501" i="4" a="1"/>
  <c r="O501" i="4" s="1"/>
  <c r="O496" i="4" a="1"/>
  <c r="O496" i="4" s="1"/>
  <c r="O500" i="4" a="1"/>
  <c r="O500" i="4" s="1"/>
  <c r="O502" i="4" a="1"/>
  <c r="O502" i="4" s="1"/>
  <c r="O494" i="4" a="1"/>
  <c r="O494" i="4" s="1"/>
  <c r="O541" i="4" a="1"/>
  <c r="O541" i="4" s="1"/>
  <c r="O569" i="4" a="1"/>
  <c r="O569" i="4" s="1"/>
  <c r="O578" i="4" a="1"/>
  <c r="O578" i="4" s="1"/>
  <c r="O577" i="4" a="1"/>
  <c r="O577" i="4" s="1"/>
  <c r="O587" i="4" a="1"/>
  <c r="O587" i="4" s="1"/>
  <c r="O589" i="4" a="1"/>
  <c r="O589" i="4" s="1"/>
  <c r="O603" i="4" a="1"/>
  <c r="O603" i="4" s="1"/>
  <c r="O604" i="4" a="1"/>
  <c r="O604" i="4" s="1"/>
  <c r="O615" i="4" a="1"/>
  <c r="O615" i="4" s="1"/>
  <c r="O622" i="4" a="1"/>
  <c r="O622" i="4" s="1"/>
  <c r="O624" i="4" a="1"/>
  <c r="O624" i="4" s="1"/>
  <c r="O631" i="4" a="1"/>
  <c r="O631" i="4" s="1"/>
  <c r="O630" i="4" a="1"/>
  <c r="O630" i="4" s="1"/>
  <c r="O640" i="4" a="1"/>
  <c r="O640" i="4" s="1"/>
  <c r="O645" i="4" a="1"/>
  <c r="O645" i="4" s="1"/>
  <c r="O646" i="4" a="1"/>
  <c r="O646" i="4" s="1"/>
  <c r="O676" i="4" a="1"/>
  <c r="O676" i="4" s="1"/>
  <c r="O678" i="4" a="1"/>
  <c r="O678" i="4" s="1"/>
  <c r="O680" i="4" a="1"/>
  <c r="O680" i="4" s="1"/>
  <c r="O692" i="4" a="1"/>
  <c r="O692" i="4" s="1"/>
  <c r="O688" i="4" a="1"/>
  <c r="O688" i="4" s="1"/>
  <c r="O691" i="4" a="1"/>
  <c r="O691" i="4" s="1"/>
  <c r="O697" i="4" a="1"/>
  <c r="O697" i="4" s="1"/>
  <c r="O695" i="4" a="1"/>
  <c r="O695" i="4" s="1"/>
  <c r="O707" i="4" a="1"/>
  <c r="O707" i="4" s="1"/>
  <c r="O732" i="4" a="1"/>
  <c r="O732" i="4" s="1"/>
  <c r="O737" i="4" a="1"/>
  <c r="O737" i="4" s="1"/>
  <c r="O738" i="4" a="1"/>
  <c r="O738" i="4" s="1"/>
  <c r="O743" i="4" a="1"/>
  <c r="O743" i="4" s="1"/>
  <c r="O740" i="4" a="1"/>
  <c r="O740" i="4" s="1"/>
  <c r="O742" i="4" a="1"/>
  <c r="O742" i="4" s="1"/>
  <c r="O744" i="4" a="1"/>
  <c r="O744" i="4" s="1"/>
  <c r="O747" i="4" a="1"/>
  <c r="O747" i="4" s="1"/>
  <c r="O751" i="4" a="1"/>
  <c r="O751" i="4" s="1"/>
  <c r="O761" i="4" a="1"/>
  <c r="O761" i="4" s="1"/>
  <c r="O771" i="4" a="1"/>
  <c r="O771" i="4" s="1"/>
  <c r="O776" i="4" a="1"/>
  <c r="O776" i="4" s="1"/>
  <c r="O775" i="4" a="1"/>
  <c r="O775" i="4" s="1"/>
  <c r="O774" i="4" a="1"/>
  <c r="O774" i="4" s="1"/>
  <c r="O777" i="4" a="1"/>
  <c r="O777" i="4" s="1"/>
  <c r="O778" i="4" a="1"/>
  <c r="O778" i="4" s="1"/>
  <c r="O780" i="4" a="1"/>
  <c r="O780" i="4" s="1"/>
  <c r="O783" i="4" a="1"/>
  <c r="O783" i="4" s="1"/>
  <c r="O810" i="4" a="1"/>
  <c r="O810" i="4" s="1"/>
  <c r="O814" i="4" a="1"/>
  <c r="O814" i="4" s="1"/>
  <c r="O819" i="4" a="1"/>
  <c r="O819" i="4" s="1"/>
  <c r="O822" i="4" a="1"/>
  <c r="O822" i="4" s="1"/>
  <c r="O849" i="4" a="1"/>
  <c r="O849" i="4" s="1"/>
  <c r="O846" i="4" a="1"/>
  <c r="O846" i="4" s="1"/>
  <c r="O847" i="4" a="1"/>
  <c r="O847" i="4" s="1"/>
  <c r="O852" i="4" a="1"/>
  <c r="O852" i="4" s="1"/>
  <c r="O862" i="4" a="1"/>
  <c r="O862" i="4" s="1"/>
  <c r="O857" i="4" a="1"/>
  <c r="O857" i="4" s="1"/>
  <c r="O870" i="4" a="1"/>
  <c r="O870" i="4" s="1"/>
  <c r="O867" i="4" a="1"/>
  <c r="O867" i="4" s="1"/>
  <c r="O873" i="4" a="1"/>
  <c r="O873" i="4" s="1"/>
  <c r="O874" i="4" a="1"/>
  <c r="O874" i="4" s="1"/>
  <c r="O877" i="4" a="1"/>
  <c r="O877" i="4" s="1"/>
  <c r="O883" i="4" a="1"/>
  <c r="O883" i="4" s="1"/>
  <c r="O894" i="4" a="1"/>
  <c r="O894" i="4" s="1"/>
  <c r="O897" i="4" a="1"/>
  <c r="O897" i="4" s="1"/>
  <c r="O896" i="4" a="1"/>
  <c r="O896" i="4" s="1"/>
  <c r="O900" i="4" a="1"/>
  <c r="O900" i="4" s="1"/>
  <c r="O899" i="4" a="1"/>
  <c r="O899" i="4" s="1"/>
  <c r="O904" i="4" a="1"/>
  <c r="O904" i="4" s="1"/>
  <c r="O902" i="4" a="1"/>
  <c r="O902" i="4" s="1"/>
  <c r="O901" i="4" a="1"/>
  <c r="O901" i="4" s="1"/>
  <c r="O916" i="4" a="1"/>
  <c r="O916" i="4" s="1"/>
  <c r="O915" i="4" a="1"/>
  <c r="O915" i="4" s="1"/>
  <c r="O913" i="4" a="1"/>
  <c r="O913" i="4" s="1"/>
  <c r="O925" i="4" a="1"/>
  <c r="O925" i="4" s="1"/>
  <c r="O945" i="4" a="1"/>
  <c r="O945" i="4" s="1"/>
  <c r="O946" i="4" a="1"/>
  <c r="O946" i="4" s="1"/>
  <c r="O954" i="4" a="1"/>
  <c r="O954" i="4" s="1"/>
  <c r="O958" i="4" a="1"/>
  <c r="O958" i="4" s="1"/>
  <c r="O957" i="4" a="1"/>
  <c r="O957" i="4" s="1"/>
  <c r="O963" i="4" a="1"/>
  <c r="O963" i="4" s="1"/>
  <c r="O968" i="4" a="1"/>
  <c r="O968" i="4" s="1"/>
  <c r="O966" i="4" a="1"/>
  <c r="O966" i="4" s="1"/>
  <c r="O967" i="4" a="1"/>
  <c r="O967" i="4" s="1"/>
  <c r="O970" i="4" a="1"/>
  <c r="O970" i="4" s="1"/>
  <c r="O971" i="4" a="1"/>
  <c r="O971" i="4" s="1"/>
  <c r="O980" i="4" a="1"/>
  <c r="O980" i="4" s="1"/>
  <c r="O985" i="4" a="1"/>
  <c r="O985" i="4" s="1"/>
  <c r="O990" i="4" a="1"/>
  <c r="O990" i="4" s="1"/>
  <c r="O993" i="4" a="1"/>
  <c r="O993" i="4" s="1"/>
  <c r="O995" i="4" a="1"/>
  <c r="O995" i="4" s="1"/>
  <c r="O1002" i="4" a="1"/>
  <c r="O1002" i="4" s="1"/>
  <c r="O1000" i="4" a="1"/>
  <c r="O1000" i="4" s="1"/>
  <c r="O1006" i="4" a="1"/>
  <c r="O1006" i="4" s="1"/>
  <c r="O1004" i="4" a="1"/>
  <c r="O1004" i="4" s="1"/>
  <c r="O1009" i="4" a="1"/>
  <c r="O1009" i="4" s="1"/>
  <c r="O1010" i="4" a="1"/>
  <c r="O1010" i="4" s="1"/>
  <c r="O1011" i="4" a="1"/>
  <c r="O1011" i="4" s="1"/>
  <c r="O1017" i="4" a="1"/>
  <c r="O1017" i="4" s="1"/>
  <c r="O1036" i="4" a="1"/>
  <c r="O1036" i="4" s="1"/>
  <c r="O1049" i="4" a="1"/>
  <c r="O1049" i="4" s="1"/>
  <c r="O1048" i="4" a="1"/>
  <c r="O1048" i="4" s="1"/>
  <c r="O1051" i="4" a="1"/>
  <c r="O1051" i="4" s="1"/>
  <c r="O1058" i="4" a="1"/>
  <c r="O1058" i="4" s="1"/>
  <c r="O1059" i="4" a="1"/>
  <c r="O1059" i="4" s="1"/>
  <c r="O1061" i="4" a="1"/>
  <c r="O1061" i="4" s="1"/>
  <c r="O1077" i="4" a="1"/>
  <c r="O1077" i="4" s="1"/>
  <c r="O1079" i="4" a="1"/>
  <c r="O1079" i="4" s="1"/>
  <c r="O1081" i="4" a="1"/>
  <c r="O1081" i="4" s="1"/>
  <c r="O1089" i="4" a="1"/>
  <c r="O1089" i="4" s="1"/>
  <c r="O1104" i="4" a="1"/>
  <c r="O1104" i="4" s="1"/>
  <c r="O1105" i="4" a="1"/>
  <c r="O1105" i="4" s="1"/>
  <c r="O1109" i="4" a="1"/>
  <c r="O1109" i="4" s="1"/>
  <c r="O1123" i="4" a="1"/>
  <c r="O1123" i="4" s="1"/>
  <c r="O1120" i="4" a="1"/>
  <c r="O1120" i="4" s="1"/>
  <c r="O1132" i="4" a="1"/>
  <c r="O1132" i="4" s="1"/>
  <c r="O1128" i="4" a="1"/>
  <c r="O1128" i="4" s="1"/>
  <c r="O1131" i="4" a="1"/>
  <c r="O1131" i="4" s="1"/>
  <c r="O1143" i="4" a="1"/>
  <c r="O1143" i="4" s="1"/>
  <c r="O1151" i="4" a="1"/>
  <c r="O1151" i="4" s="1"/>
  <c r="O1149" i="4" a="1"/>
  <c r="O1149" i="4" s="1"/>
  <c r="O1147" i="4" a="1"/>
  <c r="O1147" i="4" s="1"/>
  <c r="O1152" i="4" a="1"/>
  <c r="O1152" i="4" s="1"/>
  <c r="O1150" i="4" a="1"/>
  <c r="O1150" i="4" s="1"/>
  <c r="O1148" i="4" a="1"/>
  <c r="O1148" i="4" s="1"/>
  <c r="O1154" i="4" a="1"/>
  <c r="O1154" i="4" s="1"/>
  <c r="O1168" i="4" a="1"/>
  <c r="O1168" i="4" s="1"/>
  <c r="O1166" i="4" a="1"/>
  <c r="O1166" i="4" s="1"/>
  <c r="O1179" i="4" a="1"/>
  <c r="O1179" i="4" s="1"/>
  <c r="O1174" i="4" a="1"/>
  <c r="O1174" i="4" s="1"/>
  <c r="O1184" i="4" a="1"/>
  <c r="O1184" i="4" s="1"/>
  <c r="O1186" i="4" a="1"/>
  <c r="O1186" i="4" s="1"/>
  <c r="O1195" i="4" a="1"/>
  <c r="O1195" i="4" s="1"/>
  <c r="O1197" i="4" a="1"/>
  <c r="O1197" i="4" s="1"/>
  <c r="O1199" i="4" a="1"/>
  <c r="O1199" i="4" s="1"/>
  <c r="O1203" i="4" a="1"/>
  <c r="O1203" i="4" s="1"/>
  <c r="O1201" i="4" a="1"/>
  <c r="O1201" i="4" s="1"/>
  <c r="O1213" i="4" a="1"/>
  <c r="O1213" i="4" s="1"/>
  <c r="O1216" i="4" a="1"/>
  <c r="O1216" i="4" s="1"/>
  <c r="O1221" i="4" a="1"/>
  <c r="O1221" i="4" s="1"/>
  <c r="O1218" i="4" a="1"/>
  <c r="O1218" i="4" s="1"/>
  <c r="O1220" i="4" a="1"/>
  <c r="O1220" i="4" s="1"/>
  <c r="O1225" i="4" a="1"/>
  <c r="O1225" i="4" s="1"/>
  <c r="O1224" i="4" a="1"/>
  <c r="O1224" i="4" s="1"/>
  <c r="O1226" i="4" a="1"/>
  <c r="O1226" i="4" s="1"/>
  <c r="O1239" i="4" a="1"/>
  <c r="O1239" i="4" s="1"/>
  <c r="O1238" i="4" a="1"/>
  <c r="O1238" i="4" s="1"/>
  <c r="O1245" i="4" a="1"/>
  <c r="O1245" i="4" s="1"/>
  <c r="O1243" i="4" a="1"/>
  <c r="O1243" i="4" s="1"/>
  <c r="O1247" i="4" a="1"/>
  <c r="O1247" i="4" s="1"/>
  <c r="O1246" i="4" a="1"/>
  <c r="O1246" i="4" s="1"/>
  <c r="O1251" i="4" a="1"/>
  <c r="O1251" i="4" s="1"/>
  <c r="O1250" i="4" a="1"/>
  <c r="O1250" i="4" s="1"/>
  <c r="O1249" i="4" a="1"/>
  <c r="O1249" i="4" s="1"/>
  <c r="O1248" i="4" a="1"/>
  <c r="O1248" i="4" s="1"/>
  <c r="O1260" i="4" a="1"/>
  <c r="O1260" i="4" s="1"/>
  <c r="O1256" i="4" a="1"/>
  <c r="O1256" i="4" s="1"/>
  <c r="O1258" i="4" a="1"/>
  <c r="O1258" i="4" s="1"/>
  <c r="O1255" i="4" a="1"/>
  <c r="O1255" i="4" s="1"/>
  <c r="O1267" i="4" a="1"/>
  <c r="O1267" i="4" s="1"/>
  <c r="O1268" i="4" a="1"/>
  <c r="O1268" i="4" s="1"/>
  <c r="O1269" i="4" a="1"/>
  <c r="O1269" i="4" s="1"/>
  <c r="O1273" i="4" a="1"/>
  <c r="O1273" i="4" s="1"/>
  <c r="O1275" i="4" a="1"/>
  <c r="O1275" i="4" s="1"/>
  <c r="O1283" i="4" a="1"/>
  <c r="O1283" i="4" s="1"/>
  <c r="O1280" i="4" a="1"/>
  <c r="O1280" i="4" s="1"/>
  <c r="O1278" i="4" a="1"/>
  <c r="O1278" i="4" s="1"/>
  <c r="O1281" i="4" a="1"/>
  <c r="O1281" i="4" s="1"/>
  <c r="O1291" i="4" a="1"/>
  <c r="O1291" i="4" s="1"/>
  <c r="O1290" i="4" a="1"/>
  <c r="O1290" i="4" s="1"/>
  <c r="O1289" i="4" a="1"/>
  <c r="O1289" i="4" s="1"/>
  <c r="O1292" i="4" a="1"/>
  <c r="O1292" i="4" s="1"/>
  <c r="O1295" i="4" a="1"/>
  <c r="O1295" i="4" s="1"/>
  <c r="O1293" i="4" a="1"/>
  <c r="O1293" i="4" s="1"/>
  <c r="O1301" i="4" a="1"/>
  <c r="O1301" i="4" s="1"/>
  <c r="O1309" i="4" a="1"/>
  <c r="O1309" i="4" s="1"/>
  <c r="O1312" i="4" a="1"/>
  <c r="O1312" i="4" s="1"/>
  <c r="O1315" i="4" a="1"/>
  <c r="O1315" i="4" s="1"/>
  <c r="O1316" i="4" a="1"/>
  <c r="O1316" i="4" s="1"/>
  <c r="O1317" i="4" a="1"/>
  <c r="O1317" i="4" s="1"/>
  <c r="O1325" i="4" a="1"/>
  <c r="O1325" i="4" s="1"/>
  <c r="O1328" i="4" a="1"/>
  <c r="O1328" i="4" s="1"/>
  <c r="O1359" i="4" a="1"/>
  <c r="O1359" i="4" s="1"/>
  <c r="O1360" i="4" a="1"/>
  <c r="O1360" i="4" s="1"/>
  <c r="O1367" i="4" a="1"/>
  <c r="O1367" i="4" s="1"/>
  <c r="O1364" i="4" a="1"/>
  <c r="O1364" i="4" s="1"/>
  <c r="O1365" i="4" a="1"/>
  <c r="O1365" i="4" s="1"/>
  <c r="O1366" i="4" a="1"/>
  <c r="O1366" i="4" s="1"/>
  <c r="O1371" i="4" a="1"/>
  <c r="O1371" i="4" s="1"/>
  <c r="O1372" i="4" a="1"/>
  <c r="O1372" i="4" s="1"/>
  <c r="O1385" i="4" a="1"/>
  <c r="O1385" i="4" s="1"/>
  <c r="O1389" i="4" a="1"/>
  <c r="O1389" i="4" s="1"/>
  <c r="O1399" i="4" a="1"/>
  <c r="O1399" i="4" s="1"/>
  <c r="O1400" i="4" a="1"/>
  <c r="O1400" i="4" s="1"/>
  <c r="O1401" i="4" a="1"/>
  <c r="O1401" i="4" s="1"/>
  <c r="O1403" i="4" a="1"/>
  <c r="O1403" i="4" s="1"/>
  <c r="O1405" i="4" a="1"/>
  <c r="O1405" i="4" s="1"/>
  <c r="O1409" i="4" a="1"/>
  <c r="O1409" i="4" s="1"/>
  <c r="O1417" i="4" a="1"/>
  <c r="O1417" i="4" s="1"/>
  <c r="O1426" i="4" a="1"/>
  <c r="O1426" i="4" s="1"/>
  <c r="O1428" i="4" a="1"/>
  <c r="O1428" i="4" s="1"/>
  <c r="O1430" i="4" a="1"/>
  <c r="O1430" i="4" s="1"/>
  <c r="O1435" i="4" a="1"/>
  <c r="O1435" i="4" s="1"/>
  <c r="O1445" i="4" a="1"/>
  <c r="O1445" i="4" s="1"/>
  <c r="O1447" i="4" a="1"/>
  <c r="O1447" i="4" s="1"/>
  <c r="O1478" i="4" a="1"/>
  <c r="O1478" i="4" s="1"/>
  <c r="O1490" i="4" a="1"/>
  <c r="O1490" i="4" s="1"/>
  <c r="O1492" i="4" a="1"/>
  <c r="O1492" i="4" s="1"/>
  <c r="O1488" i="4" a="1"/>
  <c r="O1488" i="4" s="1"/>
  <c r="O1495" i="4" a="1"/>
  <c r="O1495" i="4" s="1"/>
  <c r="O1497" i="4" a="1"/>
  <c r="O1497" i="4" s="1"/>
  <c r="O1496" i="4" a="1"/>
  <c r="O1496" i="4" s="1"/>
  <c r="O1519" i="4" a="1"/>
  <c r="O1519" i="4" s="1"/>
  <c r="O1515" i="4" a="1"/>
  <c r="O1515" i="4" s="1"/>
  <c r="O1520" i="4" a="1"/>
  <c r="O1520" i="4" s="1"/>
  <c r="O1513" i="4" a="1"/>
  <c r="O1513" i="4" s="1"/>
  <c r="O1510" i="4" a="1"/>
  <c r="O1510" i="4" s="1"/>
  <c r="O1525" i="4" a="1"/>
  <c r="O1525" i="4" s="1"/>
  <c r="O1531" i="4" a="1"/>
  <c r="O1531" i="4" s="1"/>
  <c r="O1538" i="4" a="1"/>
  <c r="O1538" i="4" s="1"/>
  <c r="O1537" i="4" a="1"/>
  <c r="O1537" i="4" s="1"/>
  <c r="O1540" i="4" a="1"/>
  <c r="O1540" i="4" s="1"/>
  <c r="O1539" i="4" a="1"/>
  <c r="O1539" i="4" s="1"/>
  <c r="O1541" i="4" a="1"/>
  <c r="O1541" i="4" s="1"/>
  <c r="O1551" i="4" a="1"/>
  <c r="O1551" i="4" s="1"/>
  <c r="O1549" i="4" a="1"/>
  <c r="O1549" i="4" s="1"/>
  <c r="O1554" i="4" a="1"/>
  <c r="O1554" i="4" s="1"/>
  <c r="O1547" i="4" a="1"/>
  <c r="O1547" i="4" s="1"/>
  <c r="O1555" i="4" a="1"/>
  <c r="O1555" i="4" s="1"/>
  <c r="O1550" i="4" a="1"/>
  <c r="O1550" i="4" s="1"/>
  <c r="O1548" i="4" a="1"/>
  <c r="O1548" i="4" s="1"/>
  <c r="O1546" i="4" a="1"/>
  <c r="O1546" i="4" s="1"/>
  <c r="O1552" i="4" a="1"/>
  <c r="O1552" i="4" s="1"/>
  <c r="O1560" i="4" a="1"/>
  <c r="O1560" i="4" s="1"/>
  <c r="O1556" i="4" a="1"/>
  <c r="O1556" i="4" s="1"/>
  <c r="O1574" i="4" a="1"/>
  <c r="O1574" i="4" s="1"/>
  <c r="O1580" i="4" a="1"/>
  <c r="O1580" i="4" s="1"/>
  <c r="O1581" i="4" a="1"/>
  <c r="O1581" i="4" s="1"/>
  <c r="O1583" i="4" a="1"/>
  <c r="O1583" i="4" s="1"/>
  <c r="O1591" i="4" a="1"/>
  <c r="O1591" i="4" s="1"/>
  <c r="O1588" i="4" a="1"/>
  <c r="O1588" i="4" s="1"/>
  <c r="O1594" i="4" a="1"/>
  <c r="O1594" i="4" s="1"/>
  <c r="O1602" i="4" a="1"/>
  <c r="O1602" i="4" s="1"/>
  <c r="O1608" i="4" a="1"/>
  <c r="O1608" i="4" s="1"/>
  <c r="O1603" i="4" a="1"/>
  <c r="O1603" i="4" s="1"/>
  <c r="O1617" i="4" a="1"/>
  <c r="O1617" i="4" s="1"/>
  <c r="O1624" i="4" a="1"/>
  <c r="O1624" i="4" s="1"/>
  <c r="O1629" i="4" a="1"/>
  <c r="O1629" i="4" s="1"/>
  <c r="O1644" i="4" a="1"/>
  <c r="O1644" i="4" s="1"/>
  <c r="O1639" i="4" a="1"/>
  <c r="O1639" i="4" s="1"/>
  <c r="O1638" i="4" a="1"/>
  <c r="O1638" i="4" s="1"/>
  <c r="O1649" i="4" a="1"/>
  <c r="O1649" i="4" s="1"/>
  <c r="O1653" i="4" a="1"/>
  <c r="O1653" i="4" s="1"/>
  <c r="O1657" i="4" a="1"/>
  <c r="O1657" i="4" s="1"/>
  <c r="O1663" i="4" a="1"/>
  <c r="O1663" i="4" s="1"/>
  <c r="O1662" i="4" a="1"/>
  <c r="O1662" i="4" s="1"/>
  <c r="O1658" i="4" a="1"/>
  <c r="O1658" i="4" s="1"/>
  <c r="O1667" i="4" a="1"/>
  <c r="O1667" i="4" s="1"/>
  <c r="O1670" i="4" a="1"/>
  <c r="O1670" i="4" s="1"/>
  <c r="O1671" i="4" a="1"/>
  <c r="O1671" i="4" s="1"/>
  <c r="O1685" i="4" a="1"/>
  <c r="O1685" i="4" s="1"/>
  <c r="O1682" i="4" a="1"/>
  <c r="O1682" i="4" s="1"/>
  <c r="O1684" i="4" a="1"/>
  <c r="O1684" i="4" s="1"/>
  <c r="O1692" i="4" a="1"/>
  <c r="O1692" i="4" s="1"/>
  <c r="O1695" i="4" a="1"/>
  <c r="O1695" i="4" s="1"/>
  <c r="O1696" i="4" a="1"/>
  <c r="O1696" i="4" s="1"/>
  <c r="O1699" i="4" a="1"/>
  <c r="O1699" i="4" s="1"/>
  <c r="O1691" i="4" a="1"/>
  <c r="O1691" i="4" s="1"/>
  <c r="O1698" i="4" a="1"/>
  <c r="O1698" i="4" s="1"/>
  <c r="O1701" i="4" a="1"/>
  <c r="O1701" i="4" s="1"/>
  <c r="O1703" i="4" a="1"/>
  <c r="O1703" i="4" s="1"/>
  <c r="O1721" i="4" a="1"/>
  <c r="O1721" i="4" s="1"/>
  <c r="O1718" i="4" a="1"/>
  <c r="O1718" i="4" s="1"/>
  <c r="O1727" i="4" a="1"/>
  <c r="O1727" i="4" s="1"/>
  <c r="O1736" i="4" a="1"/>
  <c r="O1736" i="4" s="1"/>
  <c r="O1743" i="4" a="1"/>
  <c r="O1743" i="4" s="1"/>
  <c r="O1746" i="4" a="1"/>
  <c r="O1746" i="4" s="1"/>
  <c r="O1768" i="4" a="1"/>
  <c r="O1768" i="4" s="1"/>
  <c r="O1770" i="4" a="1"/>
  <c r="O1770" i="4" s="1"/>
  <c r="O1773" i="4" a="1"/>
  <c r="O1773" i="4" s="1"/>
  <c r="O1777" i="4" a="1"/>
  <c r="O1777" i="4" s="1"/>
  <c r="O1778" i="4" a="1"/>
  <c r="O1778" i="4" s="1"/>
  <c r="O1776" i="4" a="1"/>
  <c r="O1776" i="4" s="1"/>
  <c r="O1791" i="4" a="1"/>
  <c r="O1791" i="4" s="1"/>
  <c r="O1786" i="4" a="1"/>
  <c r="O1786" i="4" s="1"/>
  <c r="O1782" i="4" a="1"/>
  <c r="O1782" i="4" s="1"/>
  <c r="O1792" i="4" a="1"/>
  <c r="O1792" i="4" s="1"/>
  <c r="O1785" i="4" a="1"/>
  <c r="O1785" i="4" s="1"/>
  <c r="O1802" i="4" a="1"/>
  <c r="O1802" i="4" s="1"/>
  <c r="O1803" i="4" a="1"/>
  <c r="O1803" i="4" s="1"/>
  <c r="O1809" i="4" a="1"/>
  <c r="O1809" i="4" s="1"/>
  <c r="O1833" i="4" a="1"/>
  <c r="O1833" i="4" s="1"/>
  <c r="O1844" i="4" a="1"/>
  <c r="O1844" i="4" s="1"/>
  <c r="O1845" i="4" a="1"/>
  <c r="O1845" i="4" s="1"/>
  <c r="O1843" i="4" a="1"/>
  <c r="O1843" i="4" s="1"/>
  <c r="O1850" i="4" a="1"/>
  <c r="O1850" i="4" s="1"/>
  <c r="O1849" i="4" a="1"/>
  <c r="O1849" i="4" s="1"/>
  <c r="O1847" i="4" a="1"/>
  <c r="O1847" i="4" s="1"/>
  <c r="O1853" i="4" a="1"/>
  <c r="O1853" i="4" s="1"/>
  <c r="O1852" i="4" a="1"/>
  <c r="O1852" i="4" s="1"/>
  <c r="O1859" i="4" a="1"/>
  <c r="O1859" i="4" s="1"/>
  <c r="O1857" i="4" a="1"/>
  <c r="O1857" i="4" s="1"/>
  <c r="O1856" i="4" a="1"/>
  <c r="O1856" i="4" s="1"/>
  <c r="O1861" i="4" a="1"/>
  <c r="O1861" i="4" s="1"/>
  <c r="O1862" i="4" a="1"/>
  <c r="O1862" i="4" s="1"/>
  <c r="O1879" i="4" a="1"/>
  <c r="O1879" i="4" s="1"/>
  <c r="O1886" i="4" a="1"/>
  <c r="O1886" i="4" s="1"/>
  <c r="O1888" i="4" a="1"/>
  <c r="O1888" i="4" s="1"/>
  <c r="O1890" i="4" a="1"/>
  <c r="O1890" i="4" s="1"/>
  <c r="O1892" i="4" a="1"/>
  <c r="O1892" i="4" s="1"/>
  <c r="O1894" i="4" a="1"/>
  <c r="O1894" i="4" s="1"/>
  <c r="O1900" i="4" a="1"/>
  <c r="O1900" i="4" s="1"/>
  <c r="O1898" i="4" a="1"/>
  <c r="O1898" i="4" s="1"/>
  <c r="O1899" i="4" a="1"/>
  <c r="O1899" i="4" s="1"/>
  <c r="O1901" i="4" a="1"/>
  <c r="O1901" i="4" s="1"/>
  <c r="O1905" i="4" a="1"/>
  <c r="O1905" i="4" s="1"/>
  <c r="O1904" i="4" a="1"/>
  <c r="O1904" i="4" s="1"/>
  <c r="O1906" i="4" a="1"/>
  <c r="O1906" i="4" s="1"/>
  <c r="O1909" i="4" a="1"/>
  <c r="O1909" i="4" s="1"/>
  <c r="O1908" i="4" a="1"/>
  <c r="O1908" i="4" s="1"/>
  <c r="Q36" i="4"/>
  <c r="T36" i="4" s="1"/>
  <c r="Q38" i="4"/>
  <c r="T38" i="4" s="1"/>
  <c r="Q47" i="4"/>
  <c r="T47" i="4" s="1"/>
  <c r="Q53" i="4"/>
  <c r="T53" i="4" s="1"/>
  <c r="Q52" i="4"/>
  <c r="T52" i="4" s="1"/>
  <c r="Q51" i="4"/>
  <c r="T51" i="4" s="1"/>
  <c r="Q54" i="4"/>
  <c r="T54" i="4" s="1"/>
  <c r="Q60" i="4"/>
  <c r="T60" i="4" s="1"/>
  <c r="Q64" i="4"/>
  <c r="T64" i="4" s="1"/>
  <c r="Q82" i="4"/>
  <c r="T82" i="4" s="1"/>
  <c r="Q85" i="4"/>
  <c r="T85" i="4" s="1"/>
  <c r="Q78" i="4"/>
  <c r="T78" i="4" s="1"/>
  <c r="Q90" i="4"/>
  <c r="T90" i="4" s="1"/>
  <c r="Q87" i="4"/>
  <c r="T87" i="4" s="1"/>
  <c r="Q95" i="4"/>
  <c r="T95" i="4" s="1"/>
  <c r="Q97" i="4"/>
  <c r="T97" i="4" s="1"/>
  <c r="Q101" i="4"/>
  <c r="T101" i="4" s="1"/>
  <c r="Q112" i="4"/>
  <c r="T112" i="4" s="1"/>
  <c r="Q113" i="4"/>
  <c r="T113" i="4" s="1"/>
  <c r="Q117" i="4"/>
  <c r="T117" i="4" s="1"/>
  <c r="Q121" i="4"/>
  <c r="T121" i="4" s="1"/>
  <c r="Q122" i="4"/>
  <c r="T122" i="4" s="1"/>
  <c r="Q124" i="4"/>
  <c r="T124" i="4" s="1"/>
  <c r="Q123" i="4"/>
  <c r="T123" i="4" s="1"/>
  <c r="Q133" i="4"/>
  <c r="T133" i="4" s="1"/>
  <c r="Q134" i="4"/>
  <c r="T134" i="4" s="1"/>
  <c r="Q146" i="4"/>
  <c r="T146" i="4" s="1"/>
  <c r="Q145" i="4"/>
  <c r="T145" i="4" s="1"/>
  <c r="Q142" i="4"/>
  <c r="T142" i="4" s="1"/>
  <c r="Q147" i="4"/>
  <c r="T147" i="4" s="1"/>
  <c r="Q148" i="4"/>
  <c r="T148" i="4" s="1"/>
  <c r="Q151" i="4"/>
  <c r="T151" i="4" s="1"/>
  <c r="Q156" i="4"/>
  <c r="T156" i="4" s="1"/>
  <c r="Q158" i="4"/>
  <c r="T158" i="4" s="1"/>
  <c r="Q169" i="4"/>
  <c r="T169" i="4" s="1"/>
  <c r="Q178" i="4"/>
  <c r="T178" i="4" s="1"/>
  <c r="Q194" i="4"/>
  <c r="T194" i="4" s="1"/>
  <c r="Q190" i="4"/>
  <c r="T190" i="4" s="1"/>
  <c r="Q193" i="4"/>
  <c r="T193" i="4" s="1"/>
  <c r="Q195" i="4"/>
  <c r="T195" i="4" s="1"/>
  <c r="Q205" i="4"/>
  <c r="T205" i="4" s="1"/>
  <c r="Q219" i="4"/>
  <c r="T219" i="4" s="1"/>
  <c r="Q221" i="4"/>
  <c r="T221" i="4" s="1"/>
  <c r="Q224" i="4"/>
  <c r="T224" i="4" s="1"/>
  <c r="Q230" i="4"/>
  <c r="T230" i="4" s="1"/>
  <c r="Q242" i="4"/>
  <c r="T242" i="4" s="1"/>
  <c r="Q243" i="4"/>
  <c r="T243" i="4" s="1"/>
  <c r="Q244" i="4"/>
  <c r="T244" i="4" s="1"/>
  <c r="Q249" i="4"/>
  <c r="T249" i="4" s="1"/>
  <c r="Q250" i="4"/>
  <c r="T250" i="4" s="1"/>
  <c r="Q256" i="4"/>
  <c r="T256" i="4" s="1"/>
  <c r="Q263" i="4"/>
  <c r="T263" i="4" s="1"/>
  <c r="Q273" i="4"/>
  <c r="T273" i="4" s="1"/>
  <c r="Q282" i="4"/>
  <c r="T282" i="4" s="1"/>
  <c r="Q284" i="4"/>
  <c r="T284" i="4" s="1"/>
  <c r="Q290" i="4"/>
  <c r="T290" i="4" s="1"/>
  <c r="Q287" i="4"/>
  <c r="T287" i="4" s="1"/>
  <c r="Q297" i="4"/>
  <c r="T297" i="4" s="1"/>
  <c r="Q311" i="4"/>
  <c r="T311" i="4" s="1"/>
  <c r="Q312" i="4"/>
  <c r="T312" i="4" s="1"/>
  <c r="Q314" i="4"/>
  <c r="T314" i="4" s="1"/>
  <c r="Q326" i="4"/>
  <c r="T326" i="4" s="1"/>
  <c r="Q327" i="4"/>
  <c r="T327" i="4" s="1"/>
  <c r="Q333" i="4"/>
  <c r="T333" i="4" s="1"/>
  <c r="Q344" i="4"/>
  <c r="T344" i="4" s="1"/>
  <c r="Q342" i="4"/>
  <c r="T342" i="4" s="1"/>
  <c r="Q349" i="4"/>
  <c r="T349" i="4" s="1"/>
  <c r="Q356" i="4"/>
  <c r="T356" i="4" s="1"/>
  <c r="Q378" i="4"/>
  <c r="T378" i="4" s="1"/>
  <c r="Q377" i="4"/>
  <c r="T377" i="4" s="1"/>
  <c r="Q384" i="4"/>
  <c r="T384" i="4" s="1"/>
  <c r="Q387" i="4"/>
  <c r="T387" i="4" s="1"/>
  <c r="Q382" i="4"/>
  <c r="T382" i="4" s="1"/>
  <c r="Q386" i="4"/>
  <c r="T386" i="4" s="1"/>
  <c r="Q381" i="4"/>
  <c r="T381" i="4" s="1"/>
  <c r="Q400" i="4"/>
  <c r="T400" i="4" s="1"/>
  <c r="Q395" i="4"/>
  <c r="T395" i="4" s="1"/>
  <c r="Q398" i="4"/>
  <c r="T398" i="4" s="1"/>
  <c r="Q406" i="4"/>
  <c r="T406" i="4" s="1"/>
  <c r="Q402" i="4"/>
  <c r="T402" i="4" s="1"/>
  <c r="Q403" i="4"/>
  <c r="T403" i="4" s="1"/>
  <c r="Q415" i="4"/>
  <c r="T415" i="4" s="1"/>
  <c r="Q418" i="4"/>
  <c r="T418" i="4" s="1"/>
  <c r="Q428" i="4"/>
  <c r="T428" i="4" s="1"/>
  <c r="Q444" i="4"/>
  <c r="T444" i="4" s="1"/>
  <c r="Q458" i="4"/>
  <c r="T458" i="4" s="1"/>
  <c r="Q462" i="4"/>
  <c r="T462" i="4" s="1"/>
  <c r="Q461" i="4"/>
  <c r="T461" i="4" s="1"/>
  <c r="Q478" i="4"/>
  <c r="T478" i="4" s="1"/>
  <c r="Q477" i="4"/>
  <c r="T477" i="4" s="1"/>
  <c r="Q483" i="4"/>
  <c r="T483" i="4" s="1"/>
  <c r="Q488" i="4"/>
  <c r="T488" i="4" s="1"/>
  <c r="Q498" i="4"/>
  <c r="T498" i="4" s="1"/>
  <c r="Q503" i="4"/>
  <c r="T503" i="4" s="1"/>
  <c r="Q504" i="4"/>
  <c r="T504" i="4" s="1"/>
  <c r="Q501" i="4"/>
  <c r="T501" i="4" s="1"/>
  <c r="Q496" i="4"/>
  <c r="T496" i="4" s="1"/>
  <c r="Q500" i="4"/>
  <c r="T500" i="4" s="1"/>
  <c r="Q502" i="4"/>
  <c r="T502" i="4" s="1"/>
  <c r="Q494" i="4"/>
  <c r="T494" i="4" s="1"/>
  <c r="Q541" i="4"/>
  <c r="T541" i="4" s="1"/>
  <c r="Q569" i="4"/>
  <c r="T569" i="4" s="1"/>
  <c r="Q578" i="4"/>
  <c r="T578" i="4" s="1"/>
  <c r="Q577" i="4"/>
  <c r="T577" i="4" s="1"/>
  <c r="Q587" i="4"/>
  <c r="T587" i="4" s="1"/>
  <c r="Q589" i="4"/>
  <c r="T589" i="4" s="1"/>
  <c r="Q603" i="4"/>
  <c r="T603" i="4" s="1"/>
  <c r="Q604" i="4"/>
  <c r="T604" i="4" s="1"/>
  <c r="Q615" i="4"/>
  <c r="T615" i="4" s="1"/>
  <c r="Q622" i="4"/>
  <c r="T622" i="4" s="1"/>
  <c r="Q624" i="4"/>
  <c r="T624" i="4" s="1"/>
  <c r="Q631" i="4"/>
  <c r="T631" i="4" s="1"/>
  <c r="Q630" i="4"/>
  <c r="T630" i="4" s="1"/>
  <c r="Q640" i="4"/>
  <c r="T640" i="4" s="1"/>
  <c r="Q645" i="4"/>
  <c r="T645" i="4" s="1"/>
  <c r="Q646" i="4"/>
  <c r="T646" i="4" s="1"/>
  <c r="Q676" i="4"/>
  <c r="T676" i="4" s="1"/>
  <c r="Q678" i="4"/>
  <c r="T678" i="4" s="1"/>
  <c r="Q680" i="4"/>
  <c r="T680" i="4" s="1"/>
  <c r="Q692" i="4"/>
  <c r="T692" i="4" s="1"/>
  <c r="Q688" i="4"/>
  <c r="T688" i="4" s="1"/>
  <c r="Q691" i="4"/>
  <c r="T691" i="4" s="1"/>
  <c r="Q697" i="4"/>
  <c r="T697" i="4" s="1"/>
  <c r="Q695" i="4"/>
  <c r="T695" i="4" s="1"/>
  <c r="Q707" i="4"/>
  <c r="T707" i="4" s="1"/>
  <c r="Q732" i="4"/>
  <c r="T732" i="4" s="1"/>
  <c r="Q737" i="4"/>
  <c r="T737" i="4" s="1"/>
  <c r="Q738" i="4"/>
  <c r="T738" i="4" s="1"/>
  <c r="Q743" i="4"/>
  <c r="T743" i="4" s="1"/>
  <c r="Q740" i="4"/>
  <c r="T740" i="4" s="1"/>
  <c r="Q742" i="4"/>
  <c r="T742" i="4" s="1"/>
  <c r="Q744" i="4"/>
  <c r="T744" i="4" s="1"/>
  <c r="Q747" i="4"/>
  <c r="T747" i="4" s="1"/>
  <c r="Q751" i="4"/>
  <c r="T751" i="4" s="1"/>
  <c r="Q761" i="4"/>
  <c r="T761" i="4" s="1"/>
  <c r="Q771" i="4"/>
  <c r="T771" i="4" s="1"/>
  <c r="Q776" i="4"/>
  <c r="T776" i="4" s="1"/>
  <c r="Q775" i="4"/>
  <c r="T775" i="4" s="1"/>
  <c r="Q774" i="4"/>
  <c r="T774" i="4" s="1"/>
  <c r="Q777" i="4"/>
  <c r="T777" i="4" s="1"/>
  <c r="Q778" i="4"/>
  <c r="T778" i="4" s="1"/>
  <c r="Q780" i="4"/>
  <c r="T780" i="4" s="1"/>
  <c r="Q783" i="4"/>
  <c r="T783" i="4" s="1"/>
  <c r="Q810" i="4"/>
  <c r="T810" i="4" s="1"/>
  <c r="Q814" i="4"/>
  <c r="T814" i="4" s="1"/>
  <c r="Q819" i="4"/>
  <c r="T819" i="4" s="1"/>
  <c r="Q822" i="4"/>
  <c r="T822" i="4" s="1"/>
  <c r="Q849" i="4"/>
  <c r="T849" i="4" s="1"/>
  <c r="Q846" i="4"/>
  <c r="T846" i="4" s="1"/>
  <c r="Q847" i="4"/>
  <c r="T847" i="4" s="1"/>
  <c r="Q852" i="4"/>
  <c r="T852" i="4" s="1"/>
  <c r="Q862" i="4"/>
  <c r="T862" i="4" s="1"/>
  <c r="Q857" i="4"/>
  <c r="T857" i="4" s="1"/>
  <c r="Q870" i="4"/>
  <c r="T870" i="4" s="1"/>
  <c r="Q867" i="4"/>
  <c r="T867" i="4" s="1"/>
  <c r="Q873" i="4"/>
  <c r="T873" i="4" s="1"/>
  <c r="Q874" i="4"/>
  <c r="T874" i="4" s="1"/>
  <c r="Q877" i="4"/>
  <c r="T877" i="4" s="1"/>
  <c r="Q883" i="4"/>
  <c r="T883" i="4" s="1"/>
  <c r="Q894" i="4"/>
  <c r="T894" i="4" s="1"/>
  <c r="Q897" i="4"/>
  <c r="T897" i="4" s="1"/>
  <c r="Q896" i="4"/>
  <c r="T896" i="4" s="1"/>
  <c r="Q900" i="4"/>
  <c r="T900" i="4" s="1"/>
  <c r="Q899" i="4"/>
  <c r="T899" i="4" s="1"/>
  <c r="Q904" i="4"/>
  <c r="T904" i="4" s="1"/>
  <c r="Q902" i="4"/>
  <c r="T902" i="4" s="1"/>
  <c r="Q901" i="4"/>
  <c r="T901" i="4" s="1"/>
  <c r="Q916" i="4"/>
  <c r="T916" i="4" s="1"/>
  <c r="Q915" i="4"/>
  <c r="T915" i="4" s="1"/>
  <c r="Q913" i="4"/>
  <c r="T913" i="4" s="1"/>
  <c r="Q925" i="4"/>
  <c r="T925" i="4" s="1"/>
  <c r="Q945" i="4"/>
  <c r="T945" i="4" s="1"/>
  <c r="Q946" i="4"/>
  <c r="T946" i="4" s="1"/>
  <c r="Q954" i="4"/>
  <c r="T954" i="4" s="1"/>
  <c r="Q958" i="4"/>
  <c r="T958" i="4" s="1"/>
  <c r="Q957" i="4"/>
  <c r="T957" i="4" s="1"/>
  <c r="Q963" i="4"/>
  <c r="T963" i="4" s="1"/>
  <c r="Q968" i="4"/>
  <c r="T968" i="4" s="1"/>
  <c r="Q966" i="4"/>
  <c r="T966" i="4" s="1"/>
  <c r="Q967" i="4"/>
  <c r="T967" i="4" s="1"/>
  <c r="Q970" i="4"/>
  <c r="T970" i="4" s="1"/>
  <c r="Q971" i="4"/>
  <c r="T971" i="4" s="1"/>
  <c r="Q980" i="4"/>
  <c r="T980" i="4" s="1"/>
  <c r="Q985" i="4"/>
  <c r="T985" i="4" s="1"/>
  <c r="Q990" i="4"/>
  <c r="T990" i="4" s="1"/>
  <c r="Q993" i="4"/>
  <c r="T993" i="4" s="1"/>
  <c r="Q995" i="4"/>
  <c r="T995" i="4" s="1"/>
  <c r="Q1002" i="4"/>
  <c r="T1002" i="4" s="1"/>
  <c r="Q1000" i="4"/>
  <c r="T1000" i="4" s="1"/>
  <c r="Q1006" i="4"/>
  <c r="T1006" i="4" s="1"/>
  <c r="Q1004" i="4"/>
  <c r="T1004" i="4" s="1"/>
  <c r="Q1009" i="4"/>
  <c r="T1009" i="4" s="1"/>
  <c r="Q1010" i="4"/>
  <c r="T1010" i="4" s="1"/>
  <c r="Q1011" i="4"/>
  <c r="T1011" i="4" s="1"/>
  <c r="Q1017" i="4"/>
  <c r="T1017" i="4" s="1"/>
  <c r="Q1036" i="4"/>
  <c r="T1036" i="4" s="1"/>
  <c r="Q1049" i="4"/>
  <c r="T1049" i="4" s="1"/>
  <c r="Q1048" i="4"/>
  <c r="T1048" i="4" s="1"/>
  <c r="Q1051" i="4"/>
  <c r="T1051" i="4" s="1"/>
  <c r="Q1058" i="4"/>
  <c r="T1058" i="4" s="1"/>
  <c r="Q1059" i="4"/>
  <c r="T1059" i="4" s="1"/>
  <c r="Q1061" i="4"/>
  <c r="T1061" i="4" s="1"/>
  <c r="Q1077" i="4"/>
  <c r="T1077" i="4" s="1"/>
  <c r="Q1079" i="4"/>
  <c r="T1079" i="4" s="1"/>
  <c r="Q1081" i="4"/>
  <c r="T1081" i="4" s="1"/>
  <c r="Q1089" i="4"/>
  <c r="T1089" i="4" s="1"/>
  <c r="Q1104" i="4"/>
  <c r="T1104" i="4" s="1"/>
  <c r="Q1105" i="4"/>
  <c r="T1105" i="4" s="1"/>
  <c r="Q1109" i="4"/>
  <c r="T1109" i="4" s="1"/>
  <c r="Q1123" i="4"/>
  <c r="T1123" i="4" s="1"/>
  <c r="Q1120" i="4"/>
  <c r="T1120" i="4" s="1"/>
  <c r="Q1132" i="4"/>
  <c r="T1132" i="4" s="1"/>
  <c r="Q1128" i="4"/>
  <c r="T1128" i="4" s="1"/>
  <c r="Q1131" i="4"/>
  <c r="T1131" i="4" s="1"/>
  <c r="Q1143" i="4"/>
  <c r="T1143" i="4" s="1"/>
  <c r="Q1151" i="4"/>
  <c r="T1151" i="4" s="1"/>
  <c r="Q1149" i="4"/>
  <c r="T1149" i="4" s="1"/>
  <c r="Q1147" i="4"/>
  <c r="T1147" i="4" s="1"/>
  <c r="Q1152" i="4"/>
  <c r="T1152" i="4" s="1"/>
  <c r="Q1150" i="4"/>
  <c r="T1150" i="4" s="1"/>
  <c r="Q1148" i="4"/>
  <c r="T1148" i="4" s="1"/>
  <c r="Q1154" i="4"/>
  <c r="T1154" i="4" s="1"/>
  <c r="Q1168" i="4"/>
  <c r="T1168" i="4" s="1"/>
  <c r="Q1166" i="4"/>
  <c r="T1166" i="4" s="1"/>
  <c r="Q1179" i="4"/>
  <c r="T1179" i="4" s="1"/>
  <c r="Q1174" i="4"/>
  <c r="T1174" i="4" s="1"/>
  <c r="Q1184" i="4"/>
  <c r="T1184" i="4" s="1"/>
  <c r="Q1186" i="4"/>
  <c r="T1186" i="4" s="1"/>
  <c r="Q1195" i="4"/>
  <c r="T1195" i="4" s="1"/>
  <c r="Q1197" i="4"/>
  <c r="T1197" i="4" s="1"/>
  <c r="Q1199" i="4"/>
  <c r="T1199" i="4" s="1"/>
  <c r="Q1203" i="4"/>
  <c r="T1203" i="4" s="1"/>
  <c r="Q1201" i="4"/>
  <c r="T1201" i="4" s="1"/>
  <c r="Q1213" i="4"/>
  <c r="T1213" i="4" s="1"/>
  <c r="Q1216" i="4"/>
  <c r="T1216" i="4" s="1"/>
  <c r="Q1221" i="4"/>
  <c r="T1221" i="4" s="1"/>
  <c r="Q1218" i="4"/>
  <c r="T1218" i="4" s="1"/>
  <c r="Q1220" i="4"/>
  <c r="T1220" i="4" s="1"/>
  <c r="Q1225" i="4"/>
  <c r="T1225" i="4" s="1"/>
  <c r="Q1224" i="4"/>
  <c r="T1224" i="4" s="1"/>
  <c r="Q1226" i="4"/>
  <c r="T1226" i="4" s="1"/>
  <c r="Q1239" i="4"/>
  <c r="T1239" i="4" s="1"/>
  <c r="Q1238" i="4"/>
  <c r="T1238" i="4" s="1"/>
  <c r="Q1245" i="4"/>
  <c r="T1245" i="4" s="1"/>
  <c r="Q1243" i="4"/>
  <c r="T1243" i="4" s="1"/>
  <c r="Q1247" i="4"/>
  <c r="T1247" i="4" s="1"/>
  <c r="Q1246" i="4"/>
  <c r="T1246" i="4" s="1"/>
  <c r="Q1251" i="4"/>
  <c r="T1251" i="4" s="1"/>
  <c r="Q1250" i="4"/>
  <c r="T1250" i="4" s="1"/>
  <c r="Q1249" i="4"/>
  <c r="T1249" i="4" s="1"/>
  <c r="Q1248" i="4"/>
  <c r="T1248" i="4" s="1"/>
  <c r="Q1260" i="4"/>
  <c r="T1260" i="4" s="1"/>
  <c r="Q1256" i="4"/>
  <c r="T1256" i="4" s="1"/>
  <c r="Q1258" i="4"/>
  <c r="T1258" i="4" s="1"/>
  <c r="Q1255" i="4"/>
  <c r="T1255" i="4" s="1"/>
  <c r="Q1267" i="4"/>
  <c r="T1267" i="4" s="1"/>
  <c r="Q1268" i="4"/>
  <c r="T1268" i="4" s="1"/>
  <c r="Q1269" i="4"/>
  <c r="T1269" i="4" s="1"/>
  <c r="Q1273" i="4"/>
  <c r="T1273" i="4" s="1"/>
  <c r="Q1275" i="4"/>
  <c r="T1275" i="4" s="1"/>
  <c r="Q1283" i="4"/>
  <c r="T1283" i="4" s="1"/>
  <c r="Q1280" i="4"/>
  <c r="T1280" i="4" s="1"/>
  <c r="Q1278" i="4"/>
  <c r="T1278" i="4" s="1"/>
  <c r="Q1281" i="4"/>
  <c r="T1281" i="4" s="1"/>
  <c r="Q1291" i="4"/>
  <c r="T1291" i="4" s="1"/>
  <c r="Q1290" i="4"/>
  <c r="T1290" i="4" s="1"/>
  <c r="Q1289" i="4"/>
  <c r="T1289" i="4" s="1"/>
  <c r="Q1292" i="4"/>
  <c r="T1292" i="4" s="1"/>
  <c r="Q1295" i="4"/>
  <c r="T1295" i="4" s="1"/>
  <c r="Q1293" i="4"/>
  <c r="T1293" i="4" s="1"/>
  <c r="Q1301" i="4"/>
  <c r="T1301" i="4" s="1"/>
  <c r="Q1309" i="4"/>
  <c r="T1309" i="4" s="1"/>
  <c r="Q1312" i="4"/>
  <c r="T1312" i="4" s="1"/>
  <c r="Q1315" i="4"/>
  <c r="T1315" i="4" s="1"/>
  <c r="Q1316" i="4"/>
  <c r="T1316" i="4" s="1"/>
  <c r="Q1317" i="4"/>
  <c r="T1317" i="4" s="1"/>
  <c r="Q1325" i="4"/>
  <c r="T1325" i="4" s="1"/>
  <c r="Q1328" i="4"/>
  <c r="T1328" i="4" s="1"/>
  <c r="Q1359" i="4"/>
  <c r="T1359" i="4" s="1"/>
  <c r="Q1360" i="4"/>
  <c r="T1360" i="4" s="1"/>
  <c r="Q1367" i="4"/>
  <c r="T1367" i="4" s="1"/>
  <c r="Q1364" i="4"/>
  <c r="T1364" i="4" s="1"/>
  <c r="Q1365" i="4"/>
  <c r="T1365" i="4" s="1"/>
  <c r="Q1366" i="4"/>
  <c r="T1366" i="4" s="1"/>
  <c r="Q1371" i="4"/>
  <c r="T1371" i="4" s="1"/>
  <c r="Q1372" i="4"/>
  <c r="T1372" i="4" s="1"/>
  <c r="Q1385" i="4"/>
  <c r="T1385" i="4" s="1"/>
  <c r="Q1389" i="4"/>
  <c r="T1389" i="4" s="1"/>
  <c r="Q1399" i="4"/>
  <c r="T1399" i="4" s="1"/>
  <c r="Q1400" i="4"/>
  <c r="T1400" i="4" s="1"/>
  <c r="Q1401" i="4"/>
  <c r="T1401" i="4" s="1"/>
  <c r="Q1403" i="4"/>
  <c r="T1403" i="4" s="1"/>
  <c r="Q1405" i="4"/>
  <c r="T1405" i="4" s="1"/>
  <c r="Q1409" i="4"/>
  <c r="T1409" i="4" s="1"/>
  <c r="Q1417" i="4"/>
  <c r="T1417" i="4" s="1"/>
  <c r="Q1426" i="4"/>
  <c r="T1426" i="4" s="1"/>
  <c r="Q1428" i="4"/>
  <c r="T1428" i="4" s="1"/>
  <c r="Q1430" i="4"/>
  <c r="T1430" i="4" s="1"/>
  <c r="Q1435" i="4"/>
  <c r="T1435" i="4" s="1"/>
  <c r="Q1445" i="4"/>
  <c r="T1445" i="4" s="1"/>
  <c r="Q1447" i="4"/>
  <c r="T1447" i="4" s="1"/>
  <c r="Q1478" i="4"/>
  <c r="T1478" i="4" s="1"/>
  <c r="Q1490" i="4"/>
  <c r="T1490" i="4" s="1"/>
  <c r="Q1492" i="4"/>
  <c r="T1492" i="4" s="1"/>
  <c r="Q1488" i="4"/>
  <c r="T1488" i="4" s="1"/>
  <c r="Q1495" i="4"/>
  <c r="T1495" i="4" s="1"/>
  <c r="Q1497" i="4"/>
  <c r="T1497" i="4" s="1"/>
  <c r="Q1496" i="4"/>
  <c r="T1496" i="4" s="1"/>
  <c r="Q1519" i="4"/>
  <c r="T1519" i="4" s="1"/>
  <c r="Q1515" i="4"/>
  <c r="T1515" i="4" s="1"/>
  <c r="Q1520" i="4"/>
  <c r="T1520" i="4" s="1"/>
  <c r="Q1513" i="4"/>
  <c r="T1513" i="4" s="1"/>
  <c r="Q1510" i="4"/>
  <c r="T1510" i="4" s="1"/>
  <c r="Q1525" i="4"/>
  <c r="T1525" i="4" s="1"/>
  <c r="Q1531" i="4"/>
  <c r="T1531" i="4" s="1"/>
  <c r="Q1538" i="4"/>
  <c r="T1538" i="4" s="1"/>
  <c r="Q1537" i="4"/>
  <c r="T1537" i="4" s="1"/>
  <c r="Q1540" i="4"/>
  <c r="T1540" i="4" s="1"/>
  <c r="Q1539" i="4"/>
  <c r="T1539" i="4" s="1"/>
  <c r="Q1541" i="4"/>
  <c r="T1541" i="4" s="1"/>
  <c r="Q1551" i="4"/>
  <c r="T1551" i="4" s="1"/>
  <c r="Q1549" i="4"/>
  <c r="T1549" i="4" s="1"/>
  <c r="Q1554" i="4"/>
  <c r="T1554" i="4" s="1"/>
  <c r="Q1547" i="4"/>
  <c r="T1547" i="4" s="1"/>
  <c r="Q1555" i="4"/>
  <c r="T1555" i="4" s="1"/>
  <c r="Q1550" i="4"/>
  <c r="T1550" i="4" s="1"/>
  <c r="Q1548" i="4"/>
  <c r="T1548" i="4" s="1"/>
  <c r="Q1546" i="4"/>
  <c r="T1546" i="4" s="1"/>
  <c r="Q1552" i="4"/>
  <c r="T1552" i="4" s="1"/>
  <c r="Q1560" i="4"/>
  <c r="T1560" i="4" s="1"/>
  <c r="Q1556" i="4"/>
  <c r="T1556" i="4" s="1"/>
  <c r="Q1574" i="4"/>
  <c r="T1574" i="4" s="1"/>
  <c r="Q1580" i="4"/>
  <c r="T1580" i="4" s="1"/>
  <c r="Q1581" i="4"/>
  <c r="T1581" i="4" s="1"/>
  <c r="Q1583" i="4"/>
  <c r="T1583" i="4" s="1"/>
  <c r="Q1591" i="4"/>
  <c r="T1591" i="4" s="1"/>
  <c r="Q1588" i="4"/>
  <c r="T1588" i="4" s="1"/>
  <c r="Q1594" i="4"/>
  <c r="T1594" i="4" s="1"/>
  <c r="Q1602" i="4"/>
  <c r="T1602" i="4" s="1"/>
  <c r="Q1608" i="4"/>
  <c r="T1608" i="4" s="1"/>
  <c r="Q1603" i="4"/>
  <c r="T1603" i="4" s="1"/>
  <c r="Q1617" i="4"/>
  <c r="T1617" i="4" s="1"/>
  <c r="Q1624" i="4"/>
  <c r="T1624" i="4" s="1"/>
  <c r="Q1629" i="4"/>
  <c r="T1629" i="4" s="1"/>
  <c r="Q1644" i="4"/>
  <c r="T1644" i="4" s="1"/>
  <c r="Q1639" i="4"/>
  <c r="T1639" i="4" s="1"/>
  <c r="Q1638" i="4"/>
  <c r="T1638" i="4" s="1"/>
  <c r="Q1649" i="4"/>
  <c r="T1649" i="4" s="1"/>
  <c r="Q1653" i="4"/>
  <c r="T1653" i="4" s="1"/>
  <c r="Q1657" i="4"/>
  <c r="T1657" i="4" s="1"/>
  <c r="Q1663" i="4"/>
  <c r="T1663" i="4" s="1"/>
  <c r="Q1662" i="4"/>
  <c r="T1662" i="4" s="1"/>
  <c r="Q1658" i="4"/>
  <c r="T1658" i="4" s="1"/>
  <c r="Q1667" i="4"/>
  <c r="T1667" i="4" s="1"/>
  <c r="Q1670" i="4"/>
  <c r="T1670" i="4" s="1"/>
  <c r="Q1671" i="4"/>
  <c r="T1671" i="4" s="1"/>
  <c r="Q1685" i="4"/>
  <c r="T1685" i="4" s="1"/>
  <c r="Q1682" i="4"/>
  <c r="T1682" i="4" s="1"/>
  <c r="Q1684" i="4"/>
  <c r="T1684" i="4" s="1"/>
  <c r="Q1692" i="4"/>
  <c r="T1692" i="4" s="1"/>
  <c r="Q1695" i="4"/>
  <c r="T1695" i="4" s="1"/>
  <c r="Q1696" i="4"/>
  <c r="T1696" i="4" s="1"/>
  <c r="Q1699" i="4"/>
  <c r="T1699" i="4" s="1"/>
  <c r="Q1691" i="4"/>
  <c r="T1691" i="4" s="1"/>
  <c r="Q1698" i="4"/>
  <c r="T1698" i="4" s="1"/>
  <c r="Q1701" i="4"/>
  <c r="T1701" i="4" s="1"/>
  <c r="Q1703" i="4"/>
  <c r="T1703" i="4" s="1"/>
  <c r="Q1721" i="4"/>
  <c r="T1721" i="4" s="1"/>
  <c r="Q1718" i="4"/>
  <c r="T1718" i="4" s="1"/>
  <c r="Q1727" i="4"/>
  <c r="T1727" i="4" s="1"/>
  <c r="Q1736" i="4"/>
  <c r="T1736" i="4" s="1"/>
  <c r="Q1743" i="4"/>
  <c r="T1743" i="4" s="1"/>
  <c r="Q1746" i="4"/>
  <c r="T1746" i="4" s="1"/>
  <c r="Q1768" i="4"/>
  <c r="T1768" i="4" s="1"/>
  <c r="Q1770" i="4"/>
  <c r="T1770" i="4" s="1"/>
  <c r="Q1773" i="4"/>
  <c r="T1773" i="4" s="1"/>
  <c r="Q1777" i="4"/>
  <c r="T1777" i="4" s="1"/>
  <c r="Q1778" i="4"/>
  <c r="T1778" i="4" s="1"/>
  <c r="Q1776" i="4"/>
  <c r="T1776" i="4" s="1"/>
  <c r="Q1791" i="4"/>
  <c r="T1791" i="4" s="1"/>
  <c r="Q1786" i="4"/>
  <c r="T1786" i="4" s="1"/>
  <c r="Q1782" i="4"/>
  <c r="T1782" i="4" s="1"/>
  <c r="Q1792" i="4"/>
  <c r="T1792" i="4" s="1"/>
  <c r="Q1785" i="4"/>
  <c r="T1785" i="4" s="1"/>
  <c r="Q1802" i="4"/>
  <c r="T1802" i="4" s="1"/>
  <c r="Q1803" i="4"/>
  <c r="T1803" i="4" s="1"/>
  <c r="Q1809" i="4"/>
  <c r="T1809" i="4" s="1"/>
  <c r="Q1833" i="4"/>
  <c r="T1833" i="4" s="1"/>
  <c r="Q1844" i="4"/>
  <c r="T1844" i="4" s="1"/>
  <c r="Q1845" i="4"/>
  <c r="T1845" i="4" s="1"/>
  <c r="Q1843" i="4"/>
  <c r="T1843" i="4" s="1"/>
  <c r="Q1850" i="4"/>
  <c r="T1850" i="4" s="1"/>
  <c r="Q1849" i="4"/>
  <c r="T1849" i="4" s="1"/>
  <c r="Q1847" i="4"/>
  <c r="T1847" i="4" s="1"/>
  <c r="Q1853" i="4"/>
  <c r="T1853" i="4" s="1"/>
  <c r="Q1852" i="4"/>
  <c r="T1852" i="4" s="1"/>
  <c r="Q1859" i="4"/>
  <c r="T1859" i="4" s="1"/>
  <c r="Q1857" i="4"/>
  <c r="T1857" i="4" s="1"/>
  <c r="Q1856" i="4"/>
  <c r="T1856" i="4" s="1"/>
  <c r="Q1861" i="4"/>
  <c r="T1861" i="4" s="1"/>
  <c r="Q1862" i="4"/>
  <c r="T1862" i="4" s="1"/>
  <c r="Q1879" i="4"/>
  <c r="T1879" i="4" s="1"/>
  <c r="Q1886" i="4"/>
  <c r="T1886" i="4" s="1"/>
  <c r="Q1888" i="4"/>
  <c r="T1888" i="4" s="1"/>
  <c r="Q1890" i="4"/>
  <c r="T1890" i="4" s="1"/>
  <c r="Q1892" i="4"/>
  <c r="T1892" i="4" s="1"/>
  <c r="Q1894" i="4"/>
  <c r="T1894" i="4" s="1"/>
  <c r="Q1900" i="4"/>
  <c r="T1900" i="4" s="1"/>
  <c r="Q1898" i="4"/>
  <c r="T1898" i="4" s="1"/>
  <c r="Q1899" i="4"/>
  <c r="T1899" i="4" s="1"/>
  <c r="Q1901" i="4"/>
  <c r="T1901" i="4" s="1"/>
  <c r="Q1905" i="4"/>
  <c r="T1905" i="4" s="1"/>
  <c r="Q1904" i="4"/>
  <c r="T1904" i="4" s="1"/>
  <c r="Q1906" i="4"/>
  <c r="T1906" i="4" s="1"/>
  <c r="Q1909" i="4"/>
  <c r="T1909" i="4" s="1"/>
  <c r="Q1908" i="4"/>
  <c r="T1908" i="4" s="1"/>
  <c r="S36" i="4"/>
  <c r="S38" i="4"/>
  <c r="S47" i="4"/>
  <c r="S53" i="4"/>
  <c r="S52" i="4"/>
  <c r="S51" i="4"/>
  <c r="S54" i="4"/>
  <c r="S60" i="4"/>
  <c r="S64" i="4"/>
  <c r="S82" i="4"/>
  <c r="S85" i="4"/>
  <c r="S78" i="4"/>
  <c r="S90" i="4"/>
  <c r="S87" i="4"/>
  <c r="S95" i="4"/>
  <c r="S97" i="4"/>
  <c r="S101" i="4"/>
  <c r="S112" i="4"/>
  <c r="S113" i="4"/>
  <c r="S117" i="4"/>
  <c r="S121" i="4"/>
  <c r="S122" i="4"/>
  <c r="S124" i="4"/>
  <c r="S123" i="4"/>
  <c r="S133" i="4"/>
  <c r="S134" i="4"/>
  <c r="S146" i="4"/>
  <c r="S145" i="4"/>
  <c r="S142" i="4"/>
  <c r="S147" i="4"/>
  <c r="S148" i="4"/>
  <c r="S151" i="4"/>
  <c r="S156" i="4"/>
  <c r="S158" i="4"/>
  <c r="S169" i="4"/>
  <c r="S178" i="4"/>
  <c r="S194" i="4"/>
  <c r="S190" i="4"/>
  <c r="S193" i="4"/>
  <c r="S195" i="4"/>
  <c r="S205" i="4"/>
  <c r="S219" i="4"/>
  <c r="S221" i="4"/>
  <c r="S224" i="4"/>
  <c r="S230" i="4"/>
  <c r="S242" i="4"/>
  <c r="S243" i="4"/>
  <c r="S244" i="4"/>
  <c r="S249" i="4"/>
  <c r="S250" i="4"/>
  <c r="S256" i="4"/>
  <c r="S263" i="4"/>
  <c r="S273" i="4"/>
  <c r="S282" i="4"/>
  <c r="S284" i="4"/>
  <c r="S290" i="4"/>
  <c r="S287" i="4"/>
  <c r="S297" i="4"/>
  <c r="S311" i="4"/>
  <c r="S312" i="4"/>
  <c r="S314" i="4"/>
  <c r="S326" i="4"/>
  <c r="S327" i="4"/>
  <c r="S333" i="4"/>
  <c r="S344" i="4"/>
  <c r="S342" i="4"/>
  <c r="S349" i="4"/>
  <c r="S356" i="4"/>
  <c r="S378" i="4"/>
  <c r="S377" i="4"/>
  <c r="S384" i="4"/>
  <c r="S387" i="4"/>
  <c r="S382" i="4"/>
  <c r="S386" i="4"/>
  <c r="S381" i="4"/>
  <c r="S400" i="4"/>
  <c r="S395" i="4"/>
  <c r="S398" i="4"/>
  <c r="S406" i="4"/>
  <c r="S402" i="4"/>
  <c r="S403" i="4"/>
  <c r="S415" i="4"/>
  <c r="S418" i="4"/>
  <c r="S428" i="4"/>
  <c r="S444" i="4"/>
  <c r="S458" i="4"/>
  <c r="S462" i="4"/>
  <c r="S461" i="4"/>
  <c r="S478" i="4"/>
  <c r="S477" i="4"/>
  <c r="S483" i="4"/>
  <c r="S488" i="4"/>
  <c r="S498" i="4"/>
  <c r="S503" i="4"/>
  <c r="S504" i="4"/>
  <c r="S501" i="4"/>
  <c r="S496" i="4"/>
  <c r="S500" i="4"/>
  <c r="S502" i="4"/>
  <c r="S494" i="4"/>
  <c r="S541" i="4"/>
  <c r="S569" i="4"/>
  <c r="S578" i="4"/>
  <c r="S577" i="4"/>
  <c r="S587" i="4"/>
  <c r="S589" i="4"/>
  <c r="S603" i="4"/>
  <c r="S604" i="4"/>
  <c r="S615" i="4"/>
  <c r="S622" i="4"/>
  <c r="S624" i="4"/>
  <c r="S631" i="4"/>
  <c r="S630" i="4"/>
  <c r="S640" i="4"/>
  <c r="S645" i="4"/>
  <c r="S646" i="4"/>
  <c r="S676" i="4"/>
  <c r="S678" i="4"/>
  <c r="S680" i="4"/>
  <c r="S692" i="4"/>
  <c r="S688" i="4"/>
  <c r="S691" i="4"/>
  <c r="S697" i="4"/>
  <c r="S695" i="4"/>
  <c r="S707" i="4"/>
  <c r="S732" i="4"/>
  <c r="S737" i="4"/>
  <c r="S738" i="4"/>
  <c r="S743" i="4"/>
  <c r="S740" i="4"/>
  <c r="S742" i="4"/>
  <c r="S744" i="4"/>
  <c r="S747" i="4"/>
  <c r="S751" i="4"/>
  <c r="S761" i="4"/>
  <c r="S771" i="4"/>
  <c r="S776" i="4"/>
  <c r="S775" i="4"/>
  <c r="S774" i="4"/>
  <c r="S777" i="4"/>
  <c r="S778" i="4"/>
  <c r="S780" i="4"/>
  <c r="S783" i="4"/>
  <c r="S810" i="4"/>
  <c r="S814" i="4"/>
  <c r="S819" i="4"/>
  <c r="S822" i="4"/>
  <c r="S849" i="4"/>
  <c r="S846" i="4"/>
  <c r="S847" i="4"/>
  <c r="S852" i="4"/>
  <c r="S862" i="4"/>
  <c r="S857" i="4"/>
  <c r="S870" i="4"/>
  <c r="S867" i="4"/>
  <c r="S873" i="4"/>
  <c r="S874" i="4"/>
  <c r="S877" i="4"/>
  <c r="S883" i="4"/>
  <c r="S894" i="4"/>
  <c r="S897" i="4"/>
  <c r="S896" i="4"/>
  <c r="S900" i="4"/>
  <c r="S899" i="4"/>
  <c r="S904" i="4"/>
  <c r="S902" i="4"/>
  <c r="S901" i="4"/>
  <c r="S916" i="4"/>
  <c r="S915" i="4"/>
  <c r="S913" i="4"/>
  <c r="S925" i="4"/>
  <c r="S945" i="4"/>
  <c r="S946" i="4"/>
  <c r="S954" i="4"/>
  <c r="S958" i="4"/>
  <c r="S957" i="4"/>
  <c r="S963" i="4"/>
  <c r="S968" i="4"/>
  <c r="S966" i="4"/>
  <c r="S967" i="4"/>
  <c r="S970" i="4"/>
  <c r="S971" i="4"/>
  <c r="S980" i="4"/>
  <c r="S985" i="4"/>
  <c r="S990" i="4"/>
  <c r="S993" i="4"/>
  <c r="S995" i="4"/>
  <c r="S1002" i="4"/>
  <c r="S1000" i="4"/>
  <c r="S1006" i="4"/>
  <c r="S1004" i="4"/>
  <c r="S1009" i="4"/>
  <c r="S1010" i="4"/>
  <c r="S1011" i="4"/>
  <c r="S1017" i="4"/>
  <c r="S1036" i="4"/>
  <c r="S1049" i="4"/>
  <c r="S1048" i="4"/>
  <c r="S1051" i="4"/>
  <c r="S1058" i="4"/>
  <c r="S1059" i="4"/>
  <c r="S1061" i="4"/>
  <c r="S1077" i="4"/>
  <c r="S1079" i="4"/>
  <c r="S1081" i="4"/>
  <c r="S1089" i="4"/>
  <c r="S1104" i="4"/>
  <c r="S1105" i="4"/>
  <c r="S1109" i="4"/>
  <c r="S1123" i="4"/>
  <c r="S1120" i="4"/>
  <c r="S1132" i="4"/>
  <c r="S1128" i="4"/>
  <c r="S1131" i="4"/>
  <c r="S1143" i="4"/>
  <c r="S1151" i="4"/>
  <c r="S1149" i="4"/>
  <c r="S1147" i="4"/>
  <c r="S1152" i="4"/>
  <c r="S1150" i="4"/>
  <c r="S1148" i="4"/>
  <c r="S1154" i="4"/>
  <c r="S1168" i="4"/>
  <c r="S1166" i="4"/>
  <c r="S1179" i="4"/>
  <c r="S1174" i="4"/>
  <c r="S1184" i="4"/>
  <c r="S1186" i="4"/>
  <c r="S1195" i="4"/>
  <c r="S1197" i="4"/>
  <c r="S1199" i="4"/>
  <c r="S1203" i="4"/>
  <c r="S1201" i="4"/>
  <c r="S1213" i="4"/>
  <c r="S1216" i="4"/>
  <c r="S1221" i="4"/>
  <c r="S1218" i="4"/>
  <c r="S1220" i="4"/>
  <c r="S1225" i="4"/>
  <c r="S1224" i="4"/>
  <c r="S1226" i="4"/>
  <c r="S1239" i="4"/>
  <c r="S1238" i="4"/>
  <c r="S1245" i="4"/>
  <c r="S1243" i="4"/>
  <c r="S1247" i="4"/>
  <c r="S1246" i="4"/>
  <c r="S1251" i="4"/>
  <c r="S1250" i="4"/>
  <c r="S1249" i="4"/>
  <c r="S1248" i="4"/>
  <c r="S1260" i="4"/>
  <c r="S1256" i="4"/>
  <c r="S1258" i="4"/>
  <c r="S1255" i="4"/>
  <c r="S1267" i="4"/>
  <c r="S1268" i="4"/>
  <c r="S1269" i="4"/>
  <c r="S1273" i="4"/>
  <c r="S1275" i="4"/>
  <c r="S1283" i="4"/>
  <c r="S1280" i="4"/>
  <c r="S1278" i="4"/>
  <c r="S1281" i="4"/>
  <c r="S1291" i="4"/>
  <c r="S1290" i="4"/>
  <c r="S1289" i="4"/>
  <c r="S1292" i="4"/>
  <c r="S1295" i="4"/>
  <c r="S1293" i="4"/>
  <c r="S1301" i="4"/>
  <c r="S1309" i="4"/>
  <c r="S1312" i="4"/>
  <c r="S1315" i="4"/>
  <c r="S1316" i="4"/>
  <c r="S1317" i="4"/>
  <c r="S1325" i="4"/>
  <c r="S1328" i="4"/>
  <c r="S1359" i="4"/>
  <c r="S1360" i="4"/>
  <c r="S1367" i="4"/>
  <c r="S1364" i="4"/>
  <c r="S1365" i="4"/>
  <c r="S1366" i="4"/>
  <c r="S1371" i="4"/>
  <c r="S1372" i="4"/>
  <c r="S1385" i="4"/>
  <c r="S1389" i="4"/>
  <c r="S1399" i="4"/>
  <c r="S1400" i="4"/>
  <c r="S1401" i="4"/>
  <c r="S1403" i="4"/>
  <c r="S1405" i="4"/>
  <c r="S1409" i="4"/>
  <c r="S1417" i="4"/>
  <c r="S1426" i="4"/>
  <c r="S1428" i="4"/>
  <c r="S1430" i="4"/>
  <c r="S1435" i="4"/>
  <c r="S1445" i="4"/>
  <c r="S1447" i="4"/>
  <c r="S1478" i="4"/>
  <c r="S1490" i="4"/>
  <c r="S1492" i="4"/>
  <c r="S1488" i="4"/>
  <c r="S1495" i="4"/>
  <c r="S1497" i="4"/>
  <c r="S1496" i="4"/>
  <c r="S1519" i="4"/>
  <c r="S1515" i="4"/>
  <c r="S1520" i="4"/>
  <c r="S1513" i="4"/>
  <c r="S1510" i="4"/>
  <c r="S1525" i="4"/>
  <c r="S1531" i="4"/>
  <c r="S1538" i="4"/>
  <c r="S1537" i="4"/>
  <c r="S1540" i="4"/>
  <c r="S1539" i="4"/>
  <c r="S1541" i="4"/>
  <c r="S1551" i="4"/>
  <c r="S1549" i="4"/>
  <c r="S1554" i="4"/>
  <c r="S1547" i="4"/>
  <c r="S1555" i="4"/>
  <c r="S1550" i="4"/>
  <c r="S1548" i="4"/>
  <c r="S1546" i="4"/>
  <c r="S1552" i="4"/>
  <c r="S1560" i="4"/>
  <c r="S1556" i="4"/>
  <c r="S1574" i="4"/>
  <c r="S1580" i="4"/>
  <c r="S1581" i="4"/>
  <c r="S1583" i="4"/>
  <c r="S1591" i="4"/>
  <c r="S1588" i="4"/>
  <c r="S1594" i="4"/>
  <c r="S1602" i="4"/>
  <c r="S1608" i="4"/>
  <c r="S1603" i="4"/>
  <c r="S1617" i="4"/>
  <c r="S1624" i="4"/>
  <c r="S1629" i="4"/>
  <c r="S1644" i="4"/>
  <c r="S1639" i="4"/>
  <c r="S1638" i="4"/>
  <c r="S1649" i="4"/>
  <c r="S1653" i="4"/>
  <c r="S1657" i="4"/>
  <c r="S1663" i="4"/>
  <c r="S1662" i="4"/>
  <c r="S1658" i="4"/>
  <c r="S1667" i="4"/>
  <c r="S1670" i="4"/>
  <c r="S1671" i="4"/>
  <c r="S1685" i="4"/>
  <c r="S1682" i="4"/>
  <c r="S1684" i="4"/>
  <c r="S1692" i="4"/>
  <c r="S1695" i="4"/>
  <c r="S1696" i="4"/>
  <c r="S1699" i="4"/>
  <c r="S1691" i="4"/>
  <c r="S1698" i="4"/>
  <c r="S1701" i="4"/>
  <c r="S1703" i="4"/>
  <c r="S1721" i="4"/>
  <c r="S1718" i="4"/>
  <c r="S1727" i="4"/>
  <c r="S1736" i="4"/>
  <c r="S1743" i="4"/>
  <c r="S1746" i="4"/>
  <c r="S1768" i="4"/>
  <c r="S1770" i="4"/>
  <c r="S1773" i="4"/>
  <c r="S1777" i="4"/>
  <c r="S1778" i="4"/>
  <c r="S1776" i="4"/>
  <c r="S1791" i="4"/>
  <c r="S1786" i="4"/>
  <c r="S1782" i="4"/>
  <c r="S1792" i="4"/>
  <c r="S1785" i="4"/>
  <c r="S1802" i="4"/>
  <c r="S1803" i="4"/>
  <c r="S1809" i="4"/>
  <c r="S1833" i="4"/>
  <c r="S1844" i="4"/>
  <c r="S1845" i="4"/>
  <c r="S1843" i="4"/>
  <c r="S1850" i="4"/>
  <c r="S1849" i="4"/>
  <c r="S1847" i="4"/>
  <c r="S1853" i="4"/>
  <c r="S1852" i="4"/>
  <c r="S1859" i="4"/>
  <c r="S1857" i="4"/>
  <c r="S1856" i="4"/>
  <c r="S1861" i="4"/>
  <c r="S1862" i="4"/>
  <c r="S1879" i="4"/>
  <c r="S1886" i="4"/>
  <c r="S1888" i="4"/>
  <c r="S1890" i="4"/>
  <c r="S1892" i="4"/>
  <c r="S1894" i="4"/>
  <c r="S1900" i="4"/>
  <c r="S1898" i="4"/>
  <c r="S1899" i="4"/>
  <c r="S1901" i="4"/>
  <c r="S1905" i="4"/>
  <c r="S1904" i="4"/>
  <c r="S1906" i="4"/>
  <c r="S1909" i="4"/>
  <c r="S1908" i="4"/>
  <c r="G2066" i="4"/>
  <c r="I2066" i="4" s="1"/>
  <c r="H2066" i="4"/>
  <c r="M2066" i="4"/>
  <c r="N2066" i="4"/>
  <c r="O2066" i="4" a="1"/>
  <c r="O2066" i="4" s="1"/>
  <c r="Q2066" i="4"/>
  <c r="S2066" i="4"/>
  <c r="T2066" i="4"/>
  <c r="J147" i="30"/>
  <c r="J140" i="30"/>
  <c r="J86" i="30"/>
  <c r="J184" i="30"/>
  <c r="J232" i="30"/>
  <c r="J250" i="30"/>
  <c r="J146" i="30"/>
  <c r="J197" i="30"/>
  <c r="J132" i="30"/>
  <c r="J110" i="30"/>
  <c r="J247" i="30"/>
  <c r="J171" i="30"/>
  <c r="J235" i="30"/>
  <c r="J73" i="30"/>
  <c r="J170" i="30"/>
  <c r="J199" i="30"/>
  <c r="J210" i="30"/>
  <c r="J81" i="30"/>
  <c r="J188" i="30"/>
  <c r="J74" i="30"/>
  <c r="J175" i="30"/>
  <c r="J113" i="30"/>
  <c r="J237" i="30"/>
  <c r="J143" i="30"/>
  <c r="J128" i="30"/>
  <c r="J136" i="30"/>
  <c r="J87" i="30"/>
  <c r="J178" i="30"/>
  <c r="J211" i="30"/>
  <c r="J221" i="30"/>
  <c r="J246" i="30"/>
  <c r="J200" i="30"/>
  <c r="J168" i="30"/>
  <c r="J172" i="30"/>
  <c r="J226" i="30"/>
  <c r="J208" i="30"/>
  <c r="J251" i="30"/>
  <c r="J228" i="30"/>
  <c r="J72" i="30"/>
  <c r="J224" i="30"/>
  <c r="J165" i="30"/>
  <c r="J122" i="30"/>
  <c r="J102" i="30"/>
  <c r="J242" i="30"/>
  <c r="J195" i="30"/>
  <c r="J115" i="30"/>
  <c r="J166" i="30"/>
  <c r="J191" i="30"/>
  <c r="J109" i="30"/>
  <c r="J133" i="30"/>
  <c r="J111" i="30"/>
  <c r="J186" i="30"/>
  <c r="J94" i="30"/>
  <c r="J201" i="30"/>
  <c r="J185" i="30"/>
  <c r="J79" i="30"/>
  <c r="J106" i="30"/>
  <c r="J160" i="30"/>
  <c r="J227" i="30"/>
  <c r="J142" i="30"/>
  <c r="J90" i="30"/>
  <c r="J83" i="30"/>
  <c r="J236" i="30"/>
  <c r="J119" i="30"/>
  <c r="J80" i="30"/>
  <c r="J141" i="30"/>
  <c r="J120" i="30"/>
  <c r="J117" i="30"/>
  <c r="J77" i="30"/>
  <c r="J98" i="30"/>
  <c r="J144" i="30"/>
  <c r="J103" i="30"/>
  <c r="J107" i="30"/>
  <c r="J89" i="30"/>
  <c r="J249" i="30"/>
  <c r="J181" i="30"/>
  <c r="J218" i="30"/>
  <c r="J241" i="30"/>
  <c r="J219" i="30"/>
  <c r="J196" i="30"/>
  <c r="J76" i="30"/>
  <c r="J180" i="30"/>
  <c r="J167" i="30"/>
  <c r="J243" i="30"/>
  <c r="J88" i="30"/>
  <c r="J153" i="30"/>
  <c r="J179" i="30"/>
  <c r="J151" i="30"/>
  <c r="J100" i="30"/>
  <c r="J159" i="30"/>
  <c r="J233" i="30"/>
  <c r="J190" i="30"/>
  <c r="J135" i="30"/>
  <c r="J223" i="30"/>
  <c r="J216" i="30"/>
  <c r="J174" i="30"/>
  <c r="J108" i="30"/>
  <c r="J234" i="30"/>
  <c r="J173" i="30"/>
  <c r="J177" i="30"/>
  <c r="J215" i="30"/>
  <c r="J213" i="30"/>
  <c r="J130" i="30"/>
  <c r="J225" i="30"/>
  <c r="J183" i="30"/>
  <c r="J206" i="30"/>
  <c r="J176" i="30"/>
  <c r="J121" i="30"/>
  <c r="J138" i="30"/>
  <c r="J238" i="30"/>
  <c r="J92" i="30"/>
  <c r="J198" i="30"/>
  <c r="J163" i="30"/>
  <c r="J114" i="30"/>
  <c r="J240" i="30"/>
  <c r="J217" i="30"/>
  <c r="J125" i="30"/>
  <c r="J124" i="30"/>
  <c r="J91" i="30"/>
  <c r="J205" i="30"/>
  <c r="J150" i="30"/>
  <c r="J203" i="30"/>
  <c r="J134" i="30"/>
  <c r="J204" i="30"/>
  <c r="J85" i="30"/>
  <c r="J207" i="30"/>
  <c r="J129" i="30"/>
  <c r="J145" i="30"/>
  <c r="J123" i="30"/>
  <c r="J161" i="30"/>
  <c r="J112" i="30"/>
  <c r="J230" i="30"/>
  <c r="J104" i="30"/>
  <c r="J209" i="30"/>
  <c r="J158" i="30"/>
  <c r="J96" i="30"/>
  <c r="J194" i="30"/>
  <c r="J239" i="30"/>
  <c r="J131" i="30"/>
  <c r="J127" i="30"/>
  <c r="J157" i="30"/>
  <c r="J154" i="30"/>
  <c r="J93" i="30"/>
  <c r="J192" i="30"/>
  <c r="J82" i="30"/>
  <c r="J248" i="30"/>
  <c r="J182" i="30"/>
  <c r="J231" i="30"/>
  <c r="J245" i="30"/>
  <c r="J212" i="30"/>
  <c r="J164" i="30"/>
  <c r="J152" i="30"/>
  <c r="J220" i="30"/>
  <c r="J244" i="30"/>
  <c r="J187" i="30"/>
  <c r="J78" i="30"/>
  <c r="J139" i="30"/>
  <c r="J95" i="30"/>
  <c r="J169" i="30"/>
  <c r="J202" i="30"/>
  <c r="J162" i="30"/>
  <c r="J148" i="30"/>
  <c r="J75" i="30"/>
  <c r="J214" i="30"/>
  <c r="J222" i="30"/>
  <c r="J149" i="30"/>
  <c r="J155" i="30"/>
  <c r="J97" i="30"/>
  <c r="J193" i="30"/>
  <c r="J118" i="30"/>
  <c r="J189" i="30"/>
  <c r="J137" i="30"/>
  <c r="J116" i="30"/>
  <c r="J156" i="30"/>
  <c r="J84" i="30"/>
  <c r="J105" i="30"/>
  <c r="J99" i="30"/>
  <c r="J101" i="30"/>
  <c r="J229" i="30"/>
  <c r="J126" i="30"/>
  <c r="AC6" i="13" a="1"/>
  <c r="AC6" i="13" s="1"/>
  <c r="AU200" i="13"/>
  <c r="AU199" i="13"/>
  <c r="AU198" i="13"/>
  <c r="AU197" i="13"/>
  <c r="AU196" i="13"/>
  <c r="AU195" i="13"/>
  <c r="AU194" i="13"/>
  <c r="AU193" i="13"/>
  <c r="AU192" i="13"/>
  <c r="AU191" i="13"/>
  <c r="AU190" i="13"/>
  <c r="AU189" i="13"/>
  <c r="AU188" i="13"/>
  <c r="AU187" i="13"/>
  <c r="AU186" i="13"/>
  <c r="AU185" i="13"/>
  <c r="AU184" i="13"/>
  <c r="AU183" i="13"/>
  <c r="AU182" i="13"/>
  <c r="AU181" i="13"/>
  <c r="AU180" i="13"/>
  <c r="AU179" i="13"/>
  <c r="AU178" i="13"/>
  <c r="AU177" i="13"/>
  <c r="AU176" i="13"/>
  <c r="AU175" i="13"/>
  <c r="AU174" i="13"/>
  <c r="AU173" i="13"/>
  <c r="AU172" i="13"/>
  <c r="AU171" i="13"/>
  <c r="AU170" i="13"/>
  <c r="AU169" i="13"/>
  <c r="AU168" i="13"/>
  <c r="AU167" i="13"/>
  <c r="AU166" i="13"/>
  <c r="AU165" i="13"/>
  <c r="AU164" i="13"/>
  <c r="AU163" i="13"/>
  <c r="AU162" i="13"/>
  <c r="AU161" i="13"/>
  <c r="AU160" i="13"/>
  <c r="AU159" i="13"/>
  <c r="AU158" i="13"/>
  <c r="AU157" i="13"/>
  <c r="AU156" i="13"/>
  <c r="AU155" i="13"/>
  <c r="AU154" i="13"/>
  <c r="AU153" i="13"/>
  <c r="AU152" i="13"/>
  <c r="AU151" i="13"/>
  <c r="AU150" i="13"/>
  <c r="AU149" i="13"/>
  <c r="AU148" i="13"/>
  <c r="AU147" i="13"/>
  <c r="AU146" i="13"/>
  <c r="AU145" i="13"/>
  <c r="AU144" i="13"/>
  <c r="AU143" i="13"/>
  <c r="AU142" i="13"/>
  <c r="AU141" i="13"/>
  <c r="AU140" i="13"/>
  <c r="AU139" i="13"/>
  <c r="AU138" i="13"/>
  <c r="AU137" i="13"/>
  <c r="AU136" i="13"/>
  <c r="AU135" i="13"/>
  <c r="AU134" i="13"/>
  <c r="AU133" i="13"/>
  <c r="AU132" i="13"/>
  <c r="AU131" i="13"/>
  <c r="AU130" i="13"/>
  <c r="AU129" i="13"/>
  <c r="AU128" i="13"/>
  <c r="AU127" i="13"/>
  <c r="AU126" i="13"/>
  <c r="AU125" i="13"/>
  <c r="AU124" i="13"/>
  <c r="AU123" i="13"/>
  <c r="AU122" i="13"/>
  <c r="AU121" i="13"/>
  <c r="AU120" i="13"/>
  <c r="AU119" i="13"/>
  <c r="AU118" i="13"/>
  <c r="AU117" i="13"/>
  <c r="AU116" i="13"/>
  <c r="AU115" i="13"/>
  <c r="AU114" i="13"/>
  <c r="AU113" i="13"/>
  <c r="AU112" i="13"/>
  <c r="AU111" i="13"/>
  <c r="AU110" i="13"/>
  <c r="AU109" i="13"/>
  <c r="AU108" i="13"/>
  <c r="AU107" i="13"/>
  <c r="AU106" i="13"/>
  <c r="AU105" i="13"/>
  <c r="AU104" i="13"/>
  <c r="AU103" i="13"/>
  <c r="AU102" i="13"/>
  <c r="AU101" i="13"/>
  <c r="AU100" i="13"/>
  <c r="AU99" i="13"/>
  <c r="AU98" i="13"/>
  <c r="AU97" i="13"/>
  <c r="AU96" i="13"/>
  <c r="AU95" i="13"/>
  <c r="AU94" i="13"/>
  <c r="AU93" i="13"/>
  <c r="AU92" i="13"/>
  <c r="AU91" i="13"/>
  <c r="AU90" i="13"/>
  <c r="AU89" i="13"/>
  <c r="AU88" i="13"/>
  <c r="AU87" i="13"/>
  <c r="AU86" i="13"/>
  <c r="AU85" i="13"/>
  <c r="AU84" i="13"/>
  <c r="AU83" i="13"/>
  <c r="AU82" i="13"/>
  <c r="AU81" i="13"/>
  <c r="AU80" i="13"/>
  <c r="AU79" i="13"/>
  <c r="AU78" i="13"/>
  <c r="AU77" i="13"/>
  <c r="AU76" i="13"/>
  <c r="AU75" i="13"/>
  <c r="AU74" i="13"/>
  <c r="AU73" i="13"/>
  <c r="AU72" i="13"/>
  <c r="AU71" i="13"/>
  <c r="AU70" i="13"/>
  <c r="AU69" i="13"/>
  <c r="AU68" i="13"/>
  <c r="AU67" i="13"/>
  <c r="AU66" i="13"/>
  <c r="AU65" i="13"/>
  <c r="AU64" i="13"/>
  <c r="AU63" i="13"/>
  <c r="AU62" i="13"/>
  <c r="AU61" i="13"/>
  <c r="AU60" i="13"/>
  <c r="AU59" i="13"/>
  <c r="AU58" i="13"/>
  <c r="AU57" i="13"/>
  <c r="AU56" i="13"/>
  <c r="B2" i="31" a="1"/>
  <c r="B2" i="31" s="1"/>
  <c r="V200" i="13"/>
  <c r="V106" i="13"/>
  <c r="V107" i="13"/>
  <c r="V108" i="13"/>
  <c r="V109" i="13"/>
  <c r="V110" i="13"/>
  <c r="V111" i="13"/>
  <c r="V112" i="13"/>
  <c r="V113" i="13"/>
  <c r="V114" i="13"/>
  <c r="V115" i="13"/>
  <c r="V116" i="13"/>
  <c r="V117" i="13"/>
  <c r="V118" i="13"/>
  <c r="V119" i="13"/>
  <c r="V120" i="13"/>
  <c r="V121" i="13"/>
  <c r="V122" i="13"/>
  <c r="V123" i="13"/>
  <c r="V124" i="13"/>
  <c r="V125" i="13"/>
  <c r="V126" i="13"/>
  <c r="V127" i="13"/>
  <c r="V128" i="13"/>
  <c r="V129" i="13"/>
  <c r="V130" i="13"/>
  <c r="V131" i="13"/>
  <c r="V132" i="13"/>
  <c r="V133" i="13"/>
  <c r="V134" i="13"/>
  <c r="V135" i="13"/>
  <c r="V136" i="13"/>
  <c r="V137" i="13"/>
  <c r="V138" i="13"/>
  <c r="V139" i="13"/>
  <c r="V140" i="13"/>
  <c r="V141" i="13"/>
  <c r="V142" i="13"/>
  <c r="V143" i="13"/>
  <c r="V144" i="13"/>
  <c r="V145" i="13"/>
  <c r="V146" i="13"/>
  <c r="V147" i="13"/>
  <c r="V148" i="13"/>
  <c r="V149" i="13"/>
  <c r="V150" i="13"/>
  <c r="V151" i="13"/>
  <c r="V152" i="13"/>
  <c r="V153" i="13"/>
  <c r="V154" i="13"/>
  <c r="V155" i="13"/>
  <c r="V156" i="13"/>
  <c r="V157" i="13"/>
  <c r="V158" i="13"/>
  <c r="V159" i="13"/>
  <c r="V160" i="13"/>
  <c r="V161" i="13"/>
  <c r="V162" i="13"/>
  <c r="V163" i="13"/>
  <c r="V164" i="13"/>
  <c r="V165" i="13"/>
  <c r="V166" i="13"/>
  <c r="V167" i="13"/>
  <c r="V168" i="13"/>
  <c r="V169" i="13"/>
  <c r="V170" i="13"/>
  <c r="V171" i="13"/>
  <c r="V172" i="13"/>
  <c r="V173" i="13"/>
  <c r="V174" i="13"/>
  <c r="V175" i="13"/>
  <c r="V176" i="13"/>
  <c r="V177" i="13"/>
  <c r="V178" i="13"/>
  <c r="V179" i="13"/>
  <c r="V180" i="13"/>
  <c r="V181" i="13"/>
  <c r="V182" i="13"/>
  <c r="V183" i="13"/>
  <c r="V184" i="13"/>
  <c r="V185" i="13"/>
  <c r="V186" i="13"/>
  <c r="V187" i="13"/>
  <c r="V188" i="13"/>
  <c r="V189" i="13"/>
  <c r="V190" i="13"/>
  <c r="V191" i="13"/>
  <c r="V192" i="13"/>
  <c r="V193" i="13"/>
  <c r="V194" i="13"/>
  <c r="V195" i="13"/>
  <c r="V196" i="13"/>
  <c r="V197" i="13"/>
  <c r="V198" i="13"/>
  <c r="V199" i="13"/>
  <c r="V100" i="13"/>
  <c r="V101" i="13"/>
  <c r="V102" i="13"/>
  <c r="V103" i="13"/>
  <c r="V104" i="13"/>
  <c r="V105" i="13"/>
  <c r="V65" i="13"/>
  <c r="V66" i="13"/>
  <c r="V67" i="13"/>
  <c r="V68" i="13"/>
  <c r="V69" i="13"/>
  <c r="V70" i="13"/>
  <c r="V71" i="13"/>
  <c r="V72" i="13"/>
  <c r="V73" i="13"/>
  <c r="V74" i="13"/>
  <c r="V75" i="13"/>
  <c r="V76" i="13"/>
  <c r="V77" i="13"/>
  <c r="V78" i="13"/>
  <c r="V79" i="13"/>
  <c r="V80" i="13"/>
  <c r="V81" i="13"/>
  <c r="V82" i="13"/>
  <c r="V83" i="13"/>
  <c r="V84" i="13"/>
  <c r="V85" i="13"/>
  <c r="V86" i="13"/>
  <c r="V87" i="13"/>
  <c r="V88" i="13"/>
  <c r="V89" i="13"/>
  <c r="V90" i="13"/>
  <c r="V91" i="13"/>
  <c r="V92" i="13"/>
  <c r="V93" i="13"/>
  <c r="V94" i="13"/>
  <c r="V95" i="13"/>
  <c r="V96" i="13"/>
  <c r="V97" i="13"/>
  <c r="V98" i="13"/>
  <c r="V99" i="13"/>
  <c r="V43" i="13"/>
  <c r="V44" i="13"/>
  <c r="V45" i="13"/>
  <c r="V46" i="13"/>
  <c r="V47" i="13"/>
  <c r="V48" i="13"/>
  <c r="V49" i="13"/>
  <c r="V50" i="13"/>
  <c r="V51" i="13"/>
  <c r="V52" i="13"/>
  <c r="V53" i="13"/>
  <c r="V54" i="13"/>
  <c r="V55" i="13"/>
  <c r="V56" i="13"/>
  <c r="V57" i="13"/>
  <c r="V58" i="13"/>
  <c r="V59" i="13"/>
  <c r="V60" i="13"/>
  <c r="V61" i="13"/>
  <c r="V62" i="13"/>
  <c r="V63" i="13"/>
  <c r="V64" i="13"/>
  <c r="F1542" i="34" a="1"/>
  <c r="F1670" i="34" a="1"/>
  <c r="F1798" i="34" a="1"/>
  <c r="F1926" i="34" a="1"/>
  <c r="F1935" i="34" a="1"/>
  <c r="F1551" i="34" a="1"/>
  <c r="F1679" i="34" a="1"/>
  <c r="F1807" i="34" a="1"/>
  <c r="F1999" i="34" a="1"/>
  <c r="F1929" i="34" a="1"/>
  <c r="F1592" i="34" a="1"/>
  <c r="F1720" i="34" a="1"/>
  <c r="F1856" i="34" a="1"/>
  <c r="F1521" i="34" a="1"/>
  <c r="F1649" i="34" a="1"/>
  <c r="F1777" i="34" a="1"/>
  <c r="F1905" i="34" a="1"/>
  <c r="F1562" i="34" a="1"/>
  <c r="F1690" i="34" a="1"/>
  <c r="F1818" i="34" a="1"/>
  <c r="F1962" i="34" a="1"/>
  <c r="F1531" i="34" a="1"/>
  <c r="F1659" i="34" a="1"/>
  <c r="F1787" i="34" a="1"/>
  <c r="F1955" i="34" a="1"/>
  <c r="F1516" i="34" a="1"/>
  <c r="F1644" i="34" a="1"/>
  <c r="F1780" i="34" a="1"/>
  <c r="F1533" i="34" a="1"/>
  <c r="F1661" i="34" a="1"/>
  <c r="F1789" i="34" a="1"/>
  <c r="F18" i="34" a="1"/>
  <c r="F146" i="34" a="1"/>
  <c r="F274" i="34" a="1"/>
  <c r="F402" i="34" a="1"/>
  <c r="F27" i="34" a="1"/>
  <c r="F155" i="34" a="1"/>
  <c r="F283" i="34" a="1"/>
  <c r="F411" i="34" a="1"/>
  <c r="F60" i="34" a="1"/>
  <c r="F188" i="34" a="1"/>
  <c r="F316" i="34" a="1"/>
  <c r="F444" i="34" a="1"/>
  <c r="F125" i="34" a="1"/>
  <c r="F253" i="34" a="1"/>
  <c r="F381" i="34" a="1"/>
  <c r="F94" i="34" a="1"/>
  <c r="F222" i="34" a="1"/>
  <c r="F350" i="34" a="1"/>
  <c r="F39" i="34" a="1"/>
  <c r="F167" i="34" a="1"/>
  <c r="F295" i="34" a="1"/>
  <c r="F8" i="34" a="1"/>
  <c r="F136" i="34" a="1"/>
  <c r="F264" i="34" a="1"/>
  <c r="F49" i="34" a="1"/>
  <c r="F177" i="34" a="1"/>
  <c r="F305" i="34" a="1"/>
  <c r="F690" i="34" a="1"/>
  <c r="F818" i="34" a="1"/>
  <c r="F946" i="34" a="1"/>
  <c r="F1074" i="34" a="1"/>
  <c r="F552" i="34" a="1"/>
  <c r="F531" i="34" a="1"/>
  <c r="F747" i="34" a="1"/>
  <c r="F875" i="34" a="1"/>
  <c r="F1003" i="34" a="1"/>
  <c r="F553" i="34" a="1"/>
  <c r="F543" i="34" a="1"/>
  <c r="F748" i="34" a="1"/>
  <c r="F500" i="34" a="1"/>
  <c r="F421" i="34" a="1"/>
  <c r="F717" i="34" a="1"/>
  <c r="F361" i="34" a="1"/>
  <c r="F629" i="34" a="1"/>
  <c r="F659" i="34" a="1"/>
  <c r="F806" i="34" a="1"/>
  <c r="F934" i="34" a="1"/>
  <c r="F557" i="34" a="1"/>
  <c r="F515" i="34" a="1"/>
  <c r="F767" i="34" a="1"/>
  <c r="F895" i="34" a="1"/>
  <c r="F548" i="34" a="1"/>
  <c r="F491" i="34" a="1"/>
  <c r="F752" i="34" a="1"/>
  <c r="F528" i="34" a="1"/>
  <c r="F507" i="34" a="1"/>
  <c r="F737" i="34" a="1"/>
  <c r="F518" i="34" a="1"/>
  <c r="F1550" i="34" a="1"/>
  <c r="F1558" i="34" a="1"/>
  <c r="F1686" i="34" a="1"/>
  <c r="F1814" i="34" a="1"/>
  <c r="F1942" i="34" a="1"/>
  <c r="F1959" i="34" a="1"/>
  <c r="F1567" i="34" a="1"/>
  <c r="F1695" i="34" a="1"/>
  <c r="F1823" i="34" a="1"/>
  <c r="F1986" i="34" a="1"/>
  <c r="F1978" i="34" a="1"/>
  <c r="F1608" i="34" a="1"/>
  <c r="F1736" i="34" a="1"/>
  <c r="F1872" i="34" a="1"/>
  <c r="F1537" i="34" a="1"/>
  <c r="F1665" i="34" a="1"/>
  <c r="F1793" i="34" a="1"/>
  <c r="F1921" i="34" a="1"/>
  <c r="F1578" i="34" a="1"/>
  <c r="F1706" i="34" a="1"/>
  <c r="F1834" i="34" a="1"/>
  <c r="F1867" i="34" a="1"/>
  <c r="F1547" i="34" a="1"/>
  <c r="F1675" i="34" a="1"/>
  <c r="F1803" i="34" a="1"/>
  <c r="F1987" i="34" a="1"/>
  <c r="F1532" i="34" a="1"/>
  <c r="F1660" i="34" a="1"/>
  <c r="F1796" i="34" a="1"/>
  <c r="F1549" i="34" a="1"/>
  <c r="F1677" i="34" a="1"/>
  <c r="F1805" i="34" a="1"/>
  <c r="F34" i="34" a="1"/>
  <c r="F162" i="34" a="1"/>
  <c r="F290" i="34" a="1"/>
  <c r="F418" i="34" a="1"/>
  <c r="F43" i="34" a="1"/>
  <c r="F171" i="34" a="1"/>
  <c r="F299" i="34" a="1"/>
  <c r="F427" i="34" a="1"/>
  <c r="F76" i="34" a="1"/>
  <c r="F204" i="34" a="1"/>
  <c r="F332" i="34" a="1"/>
  <c r="F13" i="34" a="1"/>
  <c r="F141" i="34" a="1"/>
  <c r="F269" i="34" a="1"/>
  <c r="F397" i="34" a="1"/>
  <c r="F110" i="34" a="1"/>
  <c r="F238" i="34" a="1"/>
  <c r="F366" i="34" a="1"/>
  <c r="F55" i="34" a="1"/>
  <c r="F183" i="34" a="1"/>
  <c r="F311" i="34" a="1"/>
  <c r="F24" i="34" a="1"/>
  <c r="F152" i="34" a="1"/>
  <c r="F280" i="34" a="1"/>
  <c r="F65" i="34" a="1"/>
  <c r="F193" i="34" a="1"/>
  <c r="F321" i="34" a="1"/>
  <c r="F706" i="34" a="1"/>
  <c r="F834" i="34" a="1"/>
  <c r="F962" i="34" a="1"/>
  <c r="F1090" i="34" a="1"/>
  <c r="F573" i="34" a="1"/>
  <c r="F595" i="34" a="1"/>
  <c r="F763" i="34" a="1"/>
  <c r="F891" i="34" a="1"/>
  <c r="F1019" i="34" a="1"/>
  <c r="F574" i="34" a="1"/>
  <c r="F607" i="34" a="1"/>
  <c r="F764" i="34" a="1"/>
  <c r="F522" i="34" a="1"/>
  <c r="F468" i="34" a="1"/>
  <c r="F733" i="34" a="1"/>
  <c r="F469" i="34" a="1"/>
  <c r="F668" i="34" a="1"/>
  <c r="F694" i="34" a="1"/>
  <c r="F822" i="34" a="1"/>
  <c r="F950" i="34" a="1"/>
  <c r="F578" i="34" a="1"/>
  <c r="F579" i="34" a="1"/>
  <c r="F783" i="34" a="1"/>
  <c r="F911" i="34" a="1"/>
  <c r="F569" i="34" a="1"/>
  <c r="F559" i="34" a="1"/>
  <c r="F768" i="34" a="1"/>
  <c r="F549" i="34" a="1"/>
  <c r="F571" i="34" a="1"/>
  <c r="F753" i="34" a="1"/>
  <c r="F540" i="34" a="1"/>
  <c r="F1045" i="34" a="1"/>
  <c r="F1249" i="34" a="1"/>
  <c r="F1377" i="34" a="1"/>
  <c r="F1339" i="34" a="1"/>
  <c r="F988" i="34" a="1"/>
  <c r="F1482" i="34" a="1"/>
  <c r="F1012" i="34" a="1"/>
  <c r="F1242" i="34" a="1"/>
  <c r="F1370" i="34" a="1"/>
  <c r="F1420" i="34" a="1"/>
  <c r="F1036" i="34" a="1"/>
  <c r="F1435" i="34" a="1"/>
  <c r="F1121" i="34" a="1"/>
  <c r="F1291" i="34" a="1"/>
  <c r="F1071" i="34" a="1"/>
  <c r="F1103" i="34" a="1"/>
  <c r="F1276" i="34" a="1"/>
  <c r="F1468" i="34" a="1"/>
  <c r="F1177" i="34" a="1"/>
  <c r="F1142" i="34" a="1"/>
  <c r="F1301" i="34" a="1"/>
  <c r="F1429" i="34" a="1"/>
  <c r="F892" i="34" a="1"/>
  <c r="F1398" i="34" a="1"/>
  <c r="F1105" i="34" a="1"/>
  <c r="F1270" i="34" a="1"/>
  <c r="F1406" i="34" a="1"/>
  <c r="F957" i="34" a="1"/>
  <c r="F845" i="34" a="1"/>
  <c r="F1197" i="34" a="1"/>
  <c r="F1343" i="34" a="1"/>
  <c r="F1054" i="34" a="1"/>
  <c r="F1077" i="34" a="1"/>
  <c r="F1280" i="34" a="1"/>
  <c r="F1408" i="34" a="1"/>
  <c r="F1088" i="34" a="1"/>
  <c r="B1566" i="34" a="1"/>
  <c r="F1566" i="34" a="1"/>
  <c r="F1694" i="34" a="1"/>
  <c r="F1822" i="34" a="1"/>
  <c r="F1950" i="34" a="1"/>
  <c r="F1975" i="34" a="1"/>
  <c r="F1575" i="34" a="1"/>
  <c r="F1703" i="34" a="1"/>
  <c r="F1831" i="34" a="1"/>
  <c r="F1980" i="34" a="1"/>
  <c r="F1972" i="34" a="1"/>
  <c r="F1616" i="34" a="1"/>
  <c r="F1744" i="34" a="1"/>
  <c r="F1880" i="34" a="1"/>
  <c r="F1545" i="34" a="1"/>
  <c r="F1673" i="34" a="1"/>
  <c r="F1801" i="34" a="1"/>
  <c r="F1937" i="34" a="1"/>
  <c r="F1586" i="34" a="1"/>
  <c r="F1714" i="34" a="1"/>
  <c r="F1842" i="34" a="1"/>
  <c r="F1907" i="34" a="1"/>
  <c r="F1555" i="34" a="1"/>
  <c r="F1683" i="34" a="1"/>
  <c r="F1811" i="34" a="1"/>
  <c r="F1924" i="34" a="1"/>
  <c r="F1540" i="34" a="1"/>
  <c r="F1668" i="34" a="1"/>
  <c r="F1804" i="34" a="1"/>
  <c r="F1557" i="34" a="1"/>
  <c r="F1685" i="34" a="1"/>
  <c r="F1813" i="34" a="1"/>
  <c r="F42" i="34" a="1"/>
  <c r="F170" i="34" a="1"/>
  <c r="F298" i="34" a="1"/>
  <c r="F426" i="34" a="1"/>
  <c r="F51" i="34" a="1"/>
  <c r="F179" i="34" a="1"/>
  <c r="F307" i="34" a="1"/>
  <c r="F435" i="34" a="1"/>
  <c r="F84" i="34" a="1"/>
  <c r="F212" i="34" a="1"/>
  <c r="F340" i="34" a="1"/>
  <c r="F21" i="34" a="1"/>
  <c r="F149" i="34" a="1"/>
  <c r="F277" i="34" a="1"/>
  <c r="F405" i="34" a="1"/>
  <c r="F118" i="34" a="1"/>
  <c r="F246" i="34" a="1"/>
  <c r="F374" i="34" a="1"/>
  <c r="F63" i="34" a="1"/>
  <c r="F191" i="34" a="1"/>
  <c r="F319" i="34" a="1"/>
  <c r="F32" i="34" a="1"/>
  <c r="F160" i="34" a="1"/>
  <c r="F288" i="34" a="1"/>
  <c r="F73" i="34" a="1"/>
  <c r="F201" i="34" a="1"/>
  <c r="F400" i="34" a="1"/>
  <c r="F714" i="34" a="1"/>
  <c r="F842" i="34" a="1"/>
  <c r="F970" i="34" a="1"/>
  <c r="F1098" i="34" a="1"/>
  <c r="F584" i="34" a="1"/>
  <c r="F616" i="34" a="1"/>
  <c r="F771" i="34" a="1"/>
  <c r="F899" i="34" a="1"/>
  <c r="F1027" i="34" a="1"/>
  <c r="F585" i="34" a="1"/>
  <c r="F617" i="34" a="1"/>
  <c r="F772" i="34" a="1"/>
  <c r="F533" i="34" a="1"/>
  <c r="F485" i="34" a="1"/>
  <c r="F741" i="34" a="1"/>
  <c r="F486" i="34" a="1"/>
  <c r="F677" i="34" a="1"/>
  <c r="F702" i="34" a="1"/>
  <c r="F830" i="34" a="1"/>
  <c r="F958" i="34" a="1"/>
  <c r="F589" i="34" a="1"/>
  <c r="F611" i="34" a="1"/>
  <c r="F791" i="34" a="1"/>
  <c r="F919" i="34" a="1"/>
  <c r="F580" i="34" a="1"/>
  <c r="F591" i="34" a="1"/>
  <c r="F776" i="34" a="1"/>
  <c r="F560" i="34" a="1"/>
  <c r="F603" i="34" a="1"/>
  <c r="F761" i="34" a="1"/>
  <c r="F550" i="34" a="1"/>
  <c r="F1056" i="34" a="1"/>
  <c r="F1257" i="34" a="1"/>
  <c r="F1385" i="34" a="1"/>
  <c r="F1403" i="34" a="1"/>
  <c r="F999" i="34" a="1"/>
  <c r="F1490" i="34" a="1"/>
  <c r="F1023" i="34" a="1"/>
  <c r="F1250" i="34" a="1"/>
  <c r="F1378" i="34" a="1"/>
  <c r="F1452" i="34" a="1"/>
  <c r="F1047" i="34" a="1"/>
  <c r="F1459" i="34" a="1"/>
  <c r="F1130" i="34" a="1"/>
  <c r="F1315" i="34" a="1"/>
  <c r="F1081" i="34" a="1"/>
  <c r="F1122" i="34" a="1"/>
  <c r="F1284" i="34" a="1"/>
  <c r="F857" i="34" a="1"/>
  <c r="F1194" i="34" a="1"/>
  <c r="F1151" i="34" a="1"/>
  <c r="F1309" i="34" a="1"/>
  <c r="F1437" i="34" a="1"/>
  <c r="F908" i="34" a="1"/>
  <c r="F1422" i="34" a="1"/>
  <c r="F1116" i="34" a="1"/>
  <c r="F1278" i="34" a="1"/>
  <c r="F1414" i="34" a="1"/>
  <c r="F983" i="34" a="1"/>
  <c r="F972" i="34" a="1"/>
  <c r="F1214" i="34" a="1"/>
  <c r="F1375" i="34" a="1"/>
  <c r="F1065" i="34" a="1"/>
  <c r="F1118" i="34" a="1"/>
  <c r="F1288" i="34" a="1"/>
  <c r="F1416" i="34" a="1"/>
  <c r="F1099" i="34" a="1"/>
  <c r="B1574" i="34" a="1"/>
  <c r="M12" i="35" a="1"/>
  <c r="F1582" i="34" a="1"/>
  <c r="F1710" i="34" a="1"/>
  <c r="F1838" i="34" a="1"/>
  <c r="F1966" i="34" a="1"/>
  <c r="F1945" i="34" a="1"/>
  <c r="F1591" i="34" a="1"/>
  <c r="F1719" i="34" a="1"/>
  <c r="F1855" i="34" a="1"/>
  <c r="F1848" i="34" a="1"/>
  <c r="F1504" i="34" a="1"/>
  <c r="F1632" i="34" a="1"/>
  <c r="F1760" i="34" a="1"/>
  <c r="F1912" i="34" a="1"/>
  <c r="F1561" i="34" a="1"/>
  <c r="F1689" i="34" a="1"/>
  <c r="F1817" i="34" a="1"/>
  <c r="F1988" i="34" a="1"/>
  <c r="F1602" i="34" a="1"/>
  <c r="F1730" i="34" a="1"/>
  <c r="F1858" i="34" a="1"/>
  <c r="F1939" i="34" a="1"/>
  <c r="F1571" i="34" a="1"/>
  <c r="F1699" i="34" a="1"/>
  <c r="F1827" i="34" a="1"/>
  <c r="F1772" i="34" a="1"/>
  <c r="F1556" i="34" a="1"/>
  <c r="F1684" i="34" a="1"/>
  <c r="F1820" i="34" a="1"/>
  <c r="F1573" i="34" a="1"/>
  <c r="F1701" i="34" a="1"/>
  <c r="F1829" i="34" a="1"/>
  <c r="F58" i="34" a="1"/>
  <c r="F186" i="34" a="1"/>
  <c r="F314" i="34" a="1"/>
  <c r="F442" i="34" a="1"/>
  <c r="F67" i="34" a="1"/>
  <c r="F195" i="34" a="1"/>
  <c r="F323" i="34" a="1"/>
  <c r="F451" i="34" a="1"/>
  <c r="F100" i="34" a="1"/>
  <c r="F228" i="34" a="1"/>
  <c r="F356" i="34" a="1"/>
  <c r="F37" i="34" a="1"/>
  <c r="F165" i="34" a="1"/>
  <c r="F293" i="34" a="1"/>
  <c r="F6" i="34" a="1"/>
  <c r="F134" i="34" a="1"/>
  <c r="F262" i="34" a="1"/>
  <c r="F390" i="34" a="1"/>
  <c r="F79" i="34" a="1"/>
  <c r="F207" i="34" a="1"/>
  <c r="F335" i="34" a="1"/>
  <c r="F48" i="34" a="1"/>
  <c r="F176" i="34" a="1"/>
  <c r="F304" i="34" a="1"/>
  <c r="F89" i="34" a="1"/>
  <c r="F217" i="34" a="1"/>
  <c r="F461" i="34" a="1"/>
  <c r="F730" i="34" a="1"/>
  <c r="F858" i="34" a="1"/>
  <c r="F986" i="34" a="1"/>
  <c r="F1114" i="34" a="1"/>
  <c r="F605" i="34" a="1"/>
  <c r="F655" i="34" a="1"/>
  <c r="F787" i="34" a="1"/>
  <c r="F915" i="34" a="1"/>
  <c r="F1043" i="34" a="1"/>
  <c r="F606" i="34" a="1"/>
  <c r="F637" i="34" a="1"/>
  <c r="F788" i="34" a="1"/>
  <c r="F554" i="34" a="1"/>
  <c r="F523" i="34" a="1"/>
  <c r="F757" i="34" a="1"/>
  <c r="F513" i="34" a="1"/>
  <c r="F424" i="34" a="1"/>
  <c r="F718" i="34" a="1"/>
  <c r="F846" i="34" a="1"/>
  <c r="F974" i="34" a="1"/>
  <c r="F610" i="34" a="1"/>
  <c r="F650" i="34" a="1"/>
  <c r="F807" i="34" a="1"/>
  <c r="F935" i="34" a="1"/>
  <c r="F601" i="34" a="1"/>
  <c r="F632" i="34" a="1"/>
  <c r="F792" i="34" a="1"/>
  <c r="F581" i="34" a="1"/>
  <c r="F633" i="34" a="1"/>
  <c r="F777" i="34" a="1"/>
  <c r="F572" i="34" a="1"/>
  <c r="L12" i="35" a="1"/>
  <c r="F1590" i="34" a="1"/>
  <c r="F1718" i="34" a="1"/>
  <c r="F1846" i="34" a="1"/>
  <c r="F1974" i="34" a="1"/>
  <c r="F1977" i="34" a="1"/>
  <c r="F1599" i="34" a="1"/>
  <c r="F1727" i="34" a="1"/>
  <c r="F1863" i="34" a="1"/>
  <c r="F1888" i="34" a="1"/>
  <c r="F1512" i="34" a="1"/>
  <c r="F1640" i="34" a="1"/>
  <c r="F1768" i="34" a="1"/>
  <c r="F1928" i="34" a="1"/>
  <c r="F1569" i="34" a="1"/>
  <c r="F1697" i="34" a="1"/>
  <c r="F1825" i="34" a="1"/>
  <c r="F1909" i="34" a="1"/>
  <c r="F1610" i="34" a="1"/>
  <c r="F1738" i="34" a="1"/>
  <c r="F1866" i="34" a="1"/>
  <c r="F1947" i="34" a="1"/>
  <c r="F1579" i="34" a="1"/>
  <c r="F1707" i="34" a="1"/>
  <c r="F1835" i="34" a="1"/>
  <c r="F1828" i="34" a="1"/>
  <c r="F1564" i="34" a="1"/>
  <c r="F1692" i="34" a="1"/>
  <c r="F1836" i="34" a="1"/>
  <c r="F1581" i="34" a="1"/>
  <c r="F1709" i="34" a="1"/>
  <c r="F1837" i="34" a="1"/>
  <c r="F66" i="34" a="1"/>
  <c r="F194" i="34" a="1"/>
  <c r="F322" i="34" a="1"/>
  <c r="F450" i="34" a="1"/>
  <c r="F75" i="34" a="1"/>
  <c r="F203" i="34" a="1"/>
  <c r="F331" i="34" a="1"/>
  <c r="F459" i="34" a="1"/>
  <c r="F108" i="34" a="1"/>
  <c r="F236" i="34" a="1"/>
  <c r="F364" i="34" a="1"/>
  <c r="F45" i="34" a="1"/>
  <c r="F173" i="34" a="1"/>
  <c r="F301" i="34" a="1"/>
  <c r="F14" i="34" a="1"/>
  <c r="F142" i="34" a="1"/>
  <c r="F270" i="34" a="1"/>
  <c r="F398" i="34" a="1"/>
  <c r="F87" i="34" a="1"/>
  <c r="F215" i="34" a="1"/>
  <c r="F343" i="34" a="1"/>
  <c r="F56" i="34" a="1"/>
  <c r="F184" i="34" a="1"/>
  <c r="F312" i="34" a="1"/>
  <c r="F97" i="34" a="1"/>
  <c r="F225" i="34" a="1"/>
  <c r="F479" i="34" a="1"/>
  <c r="F738" i="34" a="1"/>
  <c r="F866" i="34" a="1"/>
  <c r="F994" i="34" a="1"/>
  <c r="F329" i="34" a="1"/>
  <c r="F615" i="34" a="1"/>
  <c r="F665" i="34" a="1"/>
  <c r="F795" i="34" a="1"/>
  <c r="F923" i="34" a="1"/>
  <c r="F1051" i="34" a="1"/>
  <c r="F626" i="34" a="1"/>
  <c r="F666" i="34" a="1"/>
  <c r="F796" i="34" a="1"/>
  <c r="F565" i="34" a="1"/>
  <c r="F555" i="34" a="1"/>
  <c r="F765" i="34" a="1"/>
  <c r="F524" i="34" a="1"/>
  <c r="F452" i="34" a="1"/>
  <c r="F726" i="34" a="1"/>
  <c r="F854" i="34" a="1"/>
  <c r="F369" i="34" a="1"/>
  <c r="F630" i="34" a="1"/>
  <c r="F687" i="34" a="1"/>
  <c r="F815" i="34" a="1"/>
  <c r="F943" i="34" a="1"/>
  <c r="F612" i="34" a="1"/>
  <c r="F652" i="34" a="1"/>
  <c r="F800" i="34" a="1"/>
  <c r="F592" i="34" a="1"/>
  <c r="F643" i="34" a="1"/>
  <c r="F785" i="34" a="1"/>
  <c r="F582" i="34" a="1"/>
  <c r="J13" i="35"/>
  <c r="F1598" i="34" a="1"/>
  <c r="F1726" i="34" a="1"/>
  <c r="F1854" i="34" a="1"/>
  <c r="F1982" i="34" a="1"/>
  <c r="F1970" i="34" a="1"/>
  <c r="F1607" i="34" a="1"/>
  <c r="F1735" i="34" a="1"/>
  <c r="F1871" i="34" a="1"/>
  <c r="F1904" i="34" a="1"/>
  <c r="F1520" i="34" a="1"/>
  <c r="F1648" i="34" a="1"/>
  <c r="F1776" i="34" a="1"/>
  <c r="F1952" i="34" a="1"/>
  <c r="F1577" i="34" a="1"/>
  <c r="F1705" i="34" a="1"/>
  <c r="F1833" i="34" a="1"/>
  <c r="F1930" i="34" a="1"/>
  <c r="F1618" i="34" a="1"/>
  <c r="F1746" i="34" a="1"/>
  <c r="F1874" i="34" a="1"/>
  <c r="F1963" i="34" a="1"/>
  <c r="F1587" i="34" a="1"/>
  <c r="F1715" i="34" a="1"/>
  <c r="F1843" i="34" a="1"/>
  <c r="F1844" i="34" a="1"/>
  <c r="F1572" i="34" a="1"/>
  <c r="F1700" i="34" a="1"/>
  <c r="F1852" i="34" a="1"/>
  <c r="F1589" i="34" a="1"/>
  <c r="F1717" i="34" a="1"/>
  <c r="F1845" i="34" a="1"/>
  <c r="F74" i="34" a="1"/>
  <c r="F202" i="34" a="1"/>
  <c r="F330" i="34" a="1"/>
  <c r="F458" i="34" a="1"/>
  <c r="F83" i="34" a="1"/>
  <c r="F211" i="34" a="1"/>
  <c r="F339" i="34" a="1"/>
  <c r="F467" i="34" a="1"/>
  <c r="F116" i="34" a="1"/>
  <c r="F244" i="34" a="1"/>
  <c r="F372" i="34" a="1"/>
  <c r="F53" i="34" a="1"/>
  <c r="F181" i="34" a="1"/>
  <c r="F309" i="34" a="1"/>
  <c r="F22" i="34" a="1"/>
  <c r="F150" i="34" a="1"/>
  <c r="F278" i="34" a="1"/>
  <c r="F406" i="34" a="1"/>
  <c r="F95" i="34" a="1"/>
  <c r="F223" i="34" a="1"/>
  <c r="F351" i="34" a="1"/>
  <c r="F64" i="34" a="1"/>
  <c r="F192" i="34" a="1"/>
  <c r="F320" i="34" a="1"/>
  <c r="F105" i="34" a="1"/>
  <c r="F233" i="34" a="1"/>
  <c r="F495" i="34" a="1"/>
  <c r="F746" i="34" a="1"/>
  <c r="F874" i="34" a="1"/>
  <c r="F1002" i="34" a="1"/>
  <c r="F401" i="34" a="1"/>
  <c r="F625" i="34" a="1"/>
  <c r="F674" i="34" a="1"/>
  <c r="F803" i="34" a="1"/>
  <c r="F931" i="34" a="1"/>
  <c r="F1059" i="34" a="1"/>
  <c r="F646" i="34" a="1"/>
  <c r="F675" i="34" a="1"/>
  <c r="F804" i="34" a="1"/>
  <c r="F576" i="34" a="1"/>
  <c r="F587" i="34" a="1"/>
  <c r="F773" i="34" a="1"/>
  <c r="F534" i="34" a="1"/>
  <c r="F470" i="34" a="1"/>
  <c r="F734" i="34" a="1"/>
  <c r="F862" i="34" a="1"/>
  <c r="F425" i="34" a="1"/>
  <c r="F640" i="34" a="1"/>
  <c r="F695" i="34" a="1"/>
  <c r="F823" i="34" a="1"/>
  <c r="F951" i="34" a="1"/>
  <c r="F631" i="34" a="1"/>
  <c r="F680" i="34" a="1"/>
  <c r="F808" i="34" a="1"/>
  <c r="F602" i="34" a="1"/>
  <c r="F653" i="34" a="1"/>
  <c r="F793" i="34" a="1"/>
  <c r="F593" i="34" a="1"/>
  <c r="F1119" i="34" a="1"/>
  <c r="F1289" i="34" a="1"/>
  <c r="F1417" i="34" a="1"/>
  <c r="F1436" i="34" a="1"/>
  <c r="F1089" i="34" a="1"/>
  <c r="F1419" i="34" a="1"/>
  <c r="F1101" i="34" a="1"/>
  <c r="F1282" i="34" a="1"/>
  <c r="F1410" i="34" a="1"/>
  <c r="F1488" i="34" a="1"/>
  <c r="F1139" i="34" a="1"/>
  <c r="F1500" i="34" a="1"/>
  <c r="F1167" i="34" a="1"/>
  <c r="F856" i="34" a="1"/>
  <c r="F1193" i="34" a="1"/>
  <c r="F1159" i="34" a="1"/>
  <c r="F1316" i="34" a="1"/>
  <c r="F921" i="34" a="1"/>
  <c r="F968" i="34" a="1"/>
  <c r="F1195" i="34" a="1"/>
  <c r="F1341" i="34" a="1"/>
  <c r="F1469" i="34" a="1"/>
  <c r="F1005" i="34" a="1"/>
  <c r="F1486" i="34" a="1"/>
  <c r="F1152" i="34" a="1"/>
  <c r="F1310" i="34" a="1"/>
  <c r="F1478" i="34" a="1"/>
  <c r="F1064" i="34" a="1"/>
  <c r="F1041" i="34" a="1"/>
  <c r="F1255" i="34" a="1"/>
  <c r="F848" i="34" a="1"/>
  <c r="F1163" i="34" a="1"/>
  <c r="F1154" i="34" a="1"/>
  <c r="F1320" i="34" a="1"/>
  <c r="F849" i="34" a="1"/>
  <c r="F1190" i="34" a="1"/>
  <c r="B1606" i="34" a="1"/>
  <c r="J14" i="35"/>
  <c r="F1606" i="34" a="1"/>
  <c r="F1734" i="34" a="1"/>
  <c r="F1862" i="34" a="1"/>
  <c r="F1990" i="34" a="1"/>
  <c r="F1948" i="34" a="1"/>
  <c r="F1615" i="34" a="1"/>
  <c r="F1743" i="34" a="1"/>
  <c r="F1879" i="34" a="1"/>
  <c r="F1920" i="34" a="1"/>
  <c r="F1528" i="34" a="1"/>
  <c r="F1656" i="34" a="1"/>
  <c r="F1784" i="34" a="1"/>
  <c r="F1976" i="34" a="1"/>
  <c r="F1585" i="34" a="1"/>
  <c r="F1713" i="34" a="1"/>
  <c r="F1841" i="34" a="1"/>
  <c r="F1901" i="34" a="1"/>
  <c r="F1626" i="34" a="1"/>
  <c r="F1754" i="34" a="1"/>
  <c r="F1882" i="34" a="1"/>
  <c r="F1979" i="34" a="1"/>
  <c r="F1595" i="34" a="1"/>
  <c r="F1723" i="34" a="1"/>
  <c r="F1851" i="34" a="1"/>
  <c r="F1860" i="34" a="1"/>
  <c r="F1580" i="34" a="1"/>
  <c r="F1708" i="34" a="1"/>
  <c r="F1868" i="34" a="1"/>
  <c r="F1597" i="34" a="1"/>
  <c r="F1725" i="34" a="1"/>
  <c r="F1853" i="34" a="1"/>
  <c r="F82" i="34" a="1"/>
  <c r="F210" i="34" a="1"/>
  <c r="F338" i="34" a="1"/>
  <c r="F466" i="34" a="1"/>
  <c r="F91" i="34" a="1"/>
  <c r="F219" i="34" a="1"/>
  <c r="F347" i="34" a="1"/>
  <c r="F475" i="34" a="1"/>
  <c r="F124" i="34" a="1"/>
  <c r="F252" i="34" a="1"/>
  <c r="F380" i="34" a="1"/>
  <c r="F61" i="34" a="1"/>
  <c r="F189" i="34" a="1"/>
  <c r="F317" i="34" a="1"/>
  <c r="F30" i="34" a="1"/>
  <c r="F158" i="34" a="1"/>
  <c r="F286" i="34" a="1"/>
  <c r="F414" i="34" a="1"/>
  <c r="F103" i="34" a="1"/>
  <c r="F231" i="34" a="1"/>
  <c r="F359" i="34" a="1"/>
  <c r="F72" i="34" a="1"/>
  <c r="F200" i="34" a="1"/>
  <c r="F328" i="34" a="1"/>
  <c r="F113" i="34" a="1"/>
  <c r="F241" i="34" a="1"/>
  <c r="F519" i="34" a="1"/>
  <c r="F754" i="34" a="1"/>
  <c r="F882" i="34" a="1"/>
  <c r="F1010" i="34" a="1"/>
  <c r="F441" i="34" a="1"/>
  <c r="F635" i="34" a="1"/>
  <c r="F683" i="34" a="1"/>
  <c r="F811" i="34" a="1"/>
  <c r="F939" i="34" a="1"/>
  <c r="F345" i="34" a="1"/>
  <c r="F656" i="34" a="1"/>
  <c r="F684" i="34" a="1"/>
  <c r="F812" i="34" a="1"/>
  <c r="F586" i="34" a="1"/>
  <c r="F618" i="34" a="1"/>
  <c r="F781" i="34" a="1"/>
  <c r="F545" i="34" a="1"/>
  <c r="F487" i="34" a="1"/>
  <c r="F742" i="34" a="1"/>
  <c r="F870" i="34" a="1"/>
  <c r="F453" i="34" a="1"/>
  <c r="F660" i="34" a="1"/>
  <c r="F703" i="34" a="1"/>
  <c r="F831" i="34" a="1"/>
  <c r="F377" i="34" a="1"/>
  <c r="F641" i="34" a="1"/>
  <c r="F688" i="34" a="1"/>
  <c r="F816" i="34" a="1"/>
  <c r="F613" i="34" a="1"/>
  <c r="F672" i="34" a="1"/>
  <c r="F801" i="34" a="1"/>
  <c r="J15" i="35"/>
  <c r="F1614" i="34" a="1"/>
  <c r="F1742" i="34" a="1"/>
  <c r="F1870" i="34" a="1"/>
  <c r="F1998" i="34" a="1"/>
  <c r="F1973" i="34" a="1"/>
  <c r="F1623" i="34" a="1"/>
  <c r="F1751" i="34" a="1"/>
  <c r="F1887" i="34" a="1"/>
  <c r="F1936" i="34" a="1"/>
  <c r="F1536" i="34" a="1"/>
  <c r="F1664" i="34" a="1"/>
  <c r="F1792" i="34" a="1"/>
  <c r="F1993" i="34" a="1"/>
  <c r="F1593" i="34" a="1"/>
  <c r="F1721" i="34" a="1"/>
  <c r="F1849" i="34" a="1"/>
  <c r="F1506" i="34" a="1"/>
  <c r="F1634" i="34" a="1"/>
  <c r="F1762" i="34" a="1"/>
  <c r="F1890" i="34" a="1"/>
  <c r="F1995" i="34" a="1"/>
  <c r="F1603" i="34" a="1"/>
  <c r="F1731" i="34" a="1"/>
  <c r="F1859" i="34" a="1"/>
  <c r="F1876" i="34" a="1"/>
  <c r="F1588" i="34" a="1"/>
  <c r="F1716" i="34" a="1"/>
  <c r="F1884" i="34" a="1"/>
  <c r="F1605" i="34" a="1"/>
  <c r="F1733" i="34" a="1"/>
  <c r="F1861" i="34" a="1"/>
  <c r="F90" i="34" a="1"/>
  <c r="F218" i="34" a="1"/>
  <c r="F346" i="34" a="1"/>
  <c r="F474" i="34" a="1"/>
  <c r="F99" i="34" a="1"/>
  <c r="F227" i="34" a="1"/>
  <c r="F355" i="34" a="1"/>
  <c r="F4" i="34" a="1"/>
  <c r="F132" i="34" a="1"/>
  <c r="F260" i="34" a="1"/>
  <c r="F388" i="34" a="1"/>
  <c r="F69" i="34" a="1"/>
  <c r="F197" i="34" a="1"/>
  <c r="F325" i="34" a="1"/>
  <c r="F38" i="34" a="1"/>
  <c r="F166" i="34" a="1"/>
  <c r="F294" i="34" a="1"/>
  <c r="F422" i="34" a="1"/>
  <c r="F111" i="34" a="1"/>
  <c r="F239" i="34" a="1"/>
  <c r="F367" i="34" a="1"/>
  <c r="F80" i="34" a="1"/>
  <c r="F208" i="34" a="1"/>
  <c r="F336" i="34" a="1"/>
  <c r="F121" i="34" a="1"/>
  <c r="F249" i="34" a="1"/>
  <c r="F551" i="34" a="1"/>
  <c r="F762" i="34" a="1"/>
  <c r="F890" i="34" a="1"/>
  <c r="F1018" i="34" a="1"/>
  <c r="F462" i="34" a="1"/>
  <c r="F645" i="34" a="1"/>
  <c r="F691" i="34" a="1"/>
  <c r="F819" i="34" a="1"/>
  <c r="F947" i="34" a="1"/>
  <c r="F409" i="34" a="1"/>
  <c r="F352" i="34" a="1"/>
  <c r="F692" i="34" a="1"/>
  <c r="F820" i="34" a="1"/>
  <c r="F597" i="34" a="1"/>
  <c r="F638" i="34" a="1"/>
  <c r="F789" i="34" a="1"/>
  <c r="F556" i="34" a="1"/>
  <c r="F503" i="34" a="1"/>
  <c r="F750" i="34" a="1"/>
  <c r="F878" i="34" a="1"/>
  <c r="F471" i="34" a="1"/>
  <c r="F669" i="34" a="1"/>
  <c r="F711" i="34" a="1"/>
  <c r="F839" i="34" a="1"/>
  <c r="F431" i="34" a="1"/>
  <c r="F651" i="34" a="1"/>
  <c r="F696" i="34" a="1"/>
  <c r="F385" i="34" a="1"/>
  <c r="F642" i="34" a="1"/>
  <c r="F681" i="34" a="1"/>
  <c r="F809" i="34" a="1"/>
  <c r="J16" i="35"/>
  <c r="F1622" i="34" a="1"/>
  <c r="F1750" i="34" a="1"/>
  <c r="F1878" i="34" a="1"/>
  <c r="F1994" i="34" a="1"/>
  <c r="F1503" i="34" a="1"/>
  <c r="F1631" i="34" a="1"/>
  <c r="F1759" i="34" a="1"/>
  <c r="F1903" i="34" a="1"/>
  <c r="F1944" i="34" a="1"/>
  <c r="F1544" i="34" a="1"/>
  <c r="F1672" i="34" a="1"/>
  <c r="F1800" i="34" a="1"/>
  <c r="F1954" i="34" a="1"/>
  <c r="F1601" i="34" a="1"/>
  <c r="F1729" i="34" a="1"/>
  <c r="F1857" i="34" a="1"/>
  <c r="F1514" i="34" a="1"/>
  <c r="F1642" i="34" a="1"/>
  <c r="F1770" i="34" a="1"/>
  <c r="F1898" i="34" a="1"/>
  <c r="F1932" i="34" a="1"/>
  <c r="F1611" i="34" a="1"/>
  <c r="F1739" i="34" a="1"/>
  <c r="F1875" i="34" a="1"/>
  <c r="F1892" i="34" a="1"/>
  <c r="F1596" i="34" a="1"/>
  <c r="F1724" i="34" a="1"/>
  <c r="F1908" i="34" a="1"/>
  <c r="F1613" i="34" a="1"/>
  <c r="F1741" i="34" a="1"/>
  <c r="F1877" i="34" a="1"/>
  <c r="F98" i="34" a="1"/>
  <c r="F226" i="34" a="1"/>
  <c r="F354" i="34" a="1"/>
  <c r="F482" i="34" a="1"/>
  <c r="F107" i="34" a="1"/>
  <c r="F235" i="34" a="1"/>
  <c r="F363" i="34" a="1"/>
  <c r="F12" i="34" a="1"/>
  <c r="F140" i="34" a="1"/>
  <c r="F268" i="34" a="1"/>
  <c r="F396" i="34" a="1"/>
  <c r="F77" i="34" a="1"/>
  <c r="F205" i="34" a="1"/>
  <c r="F333" i="34" a="1"/>
  <c r="F46" i="34" a="1"/>
  <c r="F174" i="34" a="1"/>
  <c r="F302" i="34" a="1"/>
  <c r="F430" i="34" a="1"/>
  <c r="F119" i="34" a="1"/>
  <c r="F247" i="34" a="1"/>
  <c r="F375" i="34" a="1"/>
  <c r="F88" i="34" a="1"/>
  <c r="F216" i="34" a="1"/>
  <c r="F344" i="34" a="1"/>
  <c r="F129" i="34" a="1"/>
  <c r="F257" i="34" a="1"/>
  <c r="F583" i="34" a="1"/>
  <c r="F770" i="34" a="1"/>
  <c r="F898" i="34" a="1"/>
  <c r="F1026" i="34" a="1"/>
  <c r="F480" i="34" a="1"/>
  <c r="F337" i="34" a="1"/>
  <c r="F699" i="34" a="1"/>
  <c r="F827" i="34" a="1"/>
  <c r="F955" i="34" a="1"/>
  <c r="F446" i="34" a="1"/>
  <c r="F416" i="34" a="1"/>
  <c r="F700" i="34" a="1"/>
  <c r="F828" i="34" a="1"/>
  <c r="F608" i="34" a="1"/>
  <c r="F648" i="34" a="1"/>
  <c r="F797" i="34" a="1"/>
  <c r="F566" i="34" a="1"/>
  <c r="F535" i="34" a="1"/>
  <c r="F758" i="34" a="1"/>
  <c r="F886" i="34" a="1"/>
  <c r="F488" i="34" a="1"/>
  <c r="F678" i="34" a="1"/>
  <c r="F719" i="34" a="1"/>
  <c r="F847" i="34" a="1"/>
  <c r="F455" i="34" a="1"/>
  <c r="F661" i="34" a="1"/>
  <c r="F704" i="34" a="1"/>
  <c r="F433" i="34" a="1"/>
  <c r="F662" i="34" a="1"/>
  <c r="F689" i="34" a="1"/>
  <c r="F393" i="34" a="1"/>
  <c r="F1502" i="34" a="1"/>
  <c r="F1630" i="34" a="1"/>
  <c r="F1758" i="34" a="1"/>
  <c r="F1886" i="34" a="1"/>
  <c r="F1964" i="34" a="1"/>
  <c r="F1511" i="34" a="1"/>
  <c r="F1639" i="34" a="1"/>
  <c r="F1767" i="34" a="1"/>
  <c r="F1911" i="34" a="1"/>
  <c r="F1960" i="34" a="1"/>
  <c r="F1552" i="34" a="1"/>
  <c r="F1680" i="34" a="1"/>
  <c r="F1808" i="34" a="1"/>
  <c r="F1996" i="34" a="1"/>
  <c r="F1609" i="34" a="1"/>
  <c r="F1737" i="34" a="1"/>
  <c r="F1865" i="34" a="1"/>
  <c r="F1522" i="34" a="1"/>
  <c r="F1650" i="34" a="1"/>
  <c r="F1778" i="34" a="1"/>
  <c r="F1906" i="34" a="1"/>
  <c r="F1933" i="34" a="1"/>
  <c r="F1619" i="34" a="1"/>
  <c r="F1747" i="34" a="1"/>
  <c r="F1883" i="34" a="1"/>
  <c r="F1900" i="34" a="1"/>
  <c r="F1604" i="34" a="1"/>
  <c r="F1732" i="34" a="1"/>
  <c r="F1940" i="34" a="1"/>
  <c r="F1621" i="34" a="1"/>
  <c r="F1749" i="34" a="1"/>
  <c r="F1893" i="34" a="1"/>
  <c r="F106" i="34" a="1"/>
  <c r="F234" i="34" a="1"/>
  <c r="F362" i="34" a="1"/>
  <c r="F490" i="34" a="1"/>
  <c r="F115" i="34" a="1"/>
  <c r="F243" i="34" a="1"/>
  <c r="F371" i="34" a="1"/>
  <c r="F20" i="34" a="1"/>
  <c r="F148" i="34" a="1"/>
  <c r="F276" i="34" a="1"/>
  <c r="F404" i="34" a="1"/>
  <c r="F85" i="34" a="1"/>
  <c r="F213" i="34" a="1"/>
  <c r="F341" i="34" a="1"/>
  <c r="F54" i="34" a="1"/>
  <c r="F182" i="34" a="1"/>
  <c r="F310" i="34" a="1"/>
  <c r="F438" i="34" a="1"/>
  <c r="F127" i="34" a="1"/>
  <c r="F255" i="34" a="1"/>
  <c r="F383" i="34" a="1"/>
  <c r="F96" i="34" a="1"/>
  <c r="F224" i="34" a="1"/>
  <c r="F9" i="34" a="1"/>
  <c r="F137" i="34" a="1"/>
  <c r="F265" i="34" a="1"/>
  <c r="F634" i="34" a="1"/>
  <c r="F778" i="34" a="1"/>
  <c r="F906" i="34" a="1"/>
  <c r="F1034" i="34" a="1"/>
  <c r="F496" i="34" a="1"/>
  <c r="F408" i="34" a="1"/>
  <c r="F707" i="34" a="1"/>
  <c r="F835" i="34" a="1"/>
  <c r="F963" i="34" a="1"/>
  <c r="F464" i="34" a="1"/>
  <c r="F447" i="34" a="1"/>
  <c r="F708" i="34" a="1"/>
  <c r="F836" i="34" a="1"/>
  <c r="F628" i="34" a="1"/>
  <c r="F667" i="34" a="1"/>
  <c r="F805" i="34" a="1"/>
  <c r="F577" i="34" a="1"/>
  <c r="F567" i="34" a="1"/>
  <c r="F766" i="34" a="1"/>
  <c r="F894" i="34" a="1"/>
  <c r="F504" i="34" a="1"/>
  <c r="F376" i="34" a="1"/>
  <c r="F727" i="34" a="1"/>
  <c r="F855" i="34" a="1"/>
  <c r="F473" i="34" a="1"/>
  <c r="F670" i="34" a="1"/>
  <c r="F712" i="34" a="1"/>
  <c r="F457" i="34" a="1"/>
  <c r="F671" i="34" a="1"/>
  <c r="F697" i="34" a="1"/>
  <c r="F439" i="34" a="1"/>
  <c r="F644" i="34" a="1"/>
  <c r="F1156" i="34" a="1"/>
  <c r="F1321" i="34" a="1"/>
  <c r="F1449" i="34" a="1"/>
  <c r="F852" i="34" a="1"/>
  <c r="F1191" i="34" a="1"/>
  <c r="F1444" i="34" a="1"/>
  <c r="F1148" i="34" a="1"/>
  <c r="F1314" i="34" a="1"/>
  <c r="F1474" i="34" a="1"/>
  <c r="F885" i="34" a="1"/>
  <c r="F1226" i="34" a="1"/>
  <c r="F977" i="34" a="1"/>
  <c r="F1227" i="34" a="1"/>
  <c r="F920" i="34" a="1"/>
  <c r="F967" i="34" a="1"/>
  <c r="F1211" i="34" a="1"/>
  <c r="F1348" i="34" a="1"/>
  <c r="F1015" i="34" a="1"/>
  <c r="F1039" i="34" a="1"/>
  <c r="F1245" i="34" a="1"/>
  <c r="F1373" i="34" a="1"/>
  <c r="F1501" i="34" a="1"/>
  <c r="F1073" i="34" a="1"/>
  <c r="F1496" i="34" a="1"/>
  <c r="F1196" i="34" a="1"/>
  <c r="F1342" i="34" a="1"/>
  <c r="F844" i="34" a="1"/>
  <c r="F1188" i="34" a="1"/>
  <c r="F1117" i="34" a="1"/>
  <c r="F1287" i="34" a="1"/>
  <c r="F912" i="34" a="1"/>
  <c r="F1223" i="34" a="1"/>
  <c r="F1215" i="34" a="1"/>
  <c r="F1352" i="34" a="1"/>
  <c r="F913" i="34" a="1"/>
  <c r="B1510" i="34" a="1"/>
  <c r="B1638" i="34" a="1"/>
  <c r="F1510" i="34" a="1"/>
  <c r="F1638" i="34" a="1"/>
  <c r="F1766" i="34" a="1"/>
  <c r="F1894" i="34" a="1"/>
  <c r="F1965" i="34" a="1"/>
  <c r="F1519" i="34" a="1"/>
  <c r="F1647" i="34" a="1"/>
  <c r="F1775" i="34" a="1"/>
  <c r="F1927" i="34" a="1"/>
  <c r="F1968" i="34" a="1"/>
  <c r="F1560" i="34" a="1"/>
  <c r="F1688" i="34" a="1"/>
  <c r="F1816" i="34" a="1"/>
  <c r="F1949" i="34" a="1"/>
  <c r="F1617" i="34" a="1"/>
  <c r="F1745" i="34" a="1"/>
  <c r="F1873" i="34" a="1"/>
  <c r="F1530" i="34" a="1"/>
  <c r="F1658" i="34" a="1"/>
  <c r="F1786" i="34" a="1"/>
  <c r="F1914" i="34" a="1"/>
  <c r="F1997" i="34" a="1"/>
  <c r="F1627" i="34" a="1"/>
  <c r="F1755" i="34" a="1"/>
  <c r="F1891" i="34" a="1"/>
  <c r="F1916" i="34" a="1"/>
  <c r="F1612" i="34" a="1"/>
  <c r="F1740" i="34" a="1"/>
  <c r="F1869" i="34" a="1"/>
  <c r="F1629" i="34" a="1"/>
  <c r="F1757" i="34" a="1"/>
  <c r="F1957" i="34" a="1"/>
  <c r="F114" i="34" a="1"/>
  <c r="F242" i="34" a="1"/>
  <c r="F370" i="34" a="1"/>
  <c r="F498" i="34" a="1"/>
  <c r="F123" i="34" a="1"/>
  <c r="F251" i="34" a="1"/>
  <c r="F379" i="34" a="1"/>
  <c r="F28" i="34" a="1"/>
  <c r="F156" i="34" a="1"/>
  <c r="F284" i="34" a="1"/>
  <c r="F412" i="34" a="1"/>
  <c r="F93" i="34" a="1"/>
  <c r="F221" i="34" a="1"/>
  <c r="F349" i="34" a="1"/>
  <c r="F62" i="34" a="1"/>
  <c r="F190" i="34" a="1"/>
  <c r="F318" i="34" a="1"/>
  <c r="F7" i="34" a="1"/>
  <c r="F135" i="34" a="1"/>
  <c r="F263" i="34" a="1"/>
  <c r="F391" i="34" a="1"/>
  <c r="F104" i="34" a="1"/>
  <c r="F232" i="34" a="1"/>
  <c r="F17" i="34" a="1"/>
  <c r="F145" i="34" a="1"/>
  <c r="F273" i="34" a="1"/>
  <c r="F654" i="34" a="1"/>
  <c r="F786" i="34" a="1"/>
  <c r="F914" i="34" a="1"/>
  <c r="F1042" i="34" a="1"/>
  <c r="F509" i="34" a="1"/>
  <c r="F445" i="34" a="1"/>
  <c r="F715" i="34" a="1"/>
  <c r="F843" i="34" a="1"/>
  <c r="F971" i="34" a="1"/>
  <c r="F510" i="34" a="1"/>
  <c r="F465" i="34" a="1"/>
  <c r="F716" i="34" a="1"/>
  <c r="F353" i="34" a="1"/>
  <c r="F647" i="34" a="1"/>
  <c r="F685" i="34" a="1"/>
  <c r="F813" i="34" a="1"/>
  <c r="F588" i="34" a="1"/>
  <c r="F599" i="34" a="1"/>
  <c r="F774" i="34" a="1"/>
  <c r="F902" i="34" a="1"/>
  <c r="F514" i="34" a="1"/>
  <c r="F429" i="34" a="1"/>
  <c r="F735" i="34" a="1"/>
  <c r="F863" i="34" a="1"/>
  <c r="F505" i="34" a="1"/>
  <c r="F679" i="34" a="1"/>
  <c r="F720" i="34" a="1"/>
  <c r="F476" i="34" a="1"/>
  <c r="F392" i="34" a="1"/>
  <c r="F705" i="34" a="1"/>
  <c r="F460" i="34" a="1"/>
  <c r="F663" i="34" a="1"/>
  <c r="F1165" i="34" a="1"/>
  <c r="F1329" i="34" a="1"/>
  <c r="F1457" i="34" a="1"/>
  <c r="F868" i="34" a="1"/>
  <c r="F1208" i="34" a="1"/>
  <c r="F1484" i="34" a="1"/>
  <c r="F1157" i="34" a="1"/>
  <c r="F1322" i="34" a="1"/>
  <c r="F1498" i="34" a="1"/>
  <c r="F901" i="34" a="1"/>
  <c r="F1267" i="34" a="1"/>
  <c r="F1013" i="34" a="1"/>
  <c r="F1235" i="34" a="1"/>
  <c r="F936" i="34" a="1"/>
  <c r="F980" i="34" a="1"/>
  <c r="F1228" i="34" a="1"/>
  <c r="F1356" i="34" a="1"/>
  <c r="F1038" i="34" a="1"/>
  <c r="F1062" i="34" a="1"/>
  <c r="F1253" i="34" a="1"/>
  <c r="F1381" i="34" a="1"/>
  <c r="F1415" i="34" a="1"/>
  <c r="F1095" i="34" a="1"/>
  <c r="F969" i="34" a="1"/>
  <c r="F1213" i="34" a="1"/>
  <c r="F1350" i="34" a="1"/>
  <c r="F861" i="34" a="1"/>
  <c r="F1205" i="34" a="1"/>
  <c r="F1126" i="34" a="1"/>
  <c r="F1295" i="34" a="1"/>
  <c r="F928" i="34" a="1"/>
  <c r="F960" i="34" a="1"/>
  <c r="F1232" i="34" a="1"/>
  <c r="F1360" i="34" a="1"/>
  <c r="F929" i="34" a="1"/>
  <c r="B1518" i="34" a="1"/>
  <c r="B1646" i="34" a="1"/>
  <c r="F1518" i="34" a="1"/>
  <c r="F1646" i="34" a="1"/>
  <c r="F1774" i="34" a="1"/>
  <c r="F1902" i="34" a="1"/>
  <c r="F1839" i="34" a="1"/>
  <c r="F1527" i="34" a="1"/>
  <c r="F1655" i="34" a="1"/>
  <c r="F1783" i="34" a="1"/>
  <c r="F1943" i="34" a="1"/>
  <c r="F1984" i="34" a="1"/>
  <c r="F1568" i="34" a="1"/>
  <c r="F1696" i="34" a="1"/>
  <c r="F1824" i="34" a="1"/>
  <c r="F1985" i="34" a="1"/>
  <c r="F1625" i="34" a="1"/>
  <c r="F1753" i="34" a="1"/>
  <c r="F1881" i="34" a="1"/>
  <c r="F1538" i="34" a="1"/>
  <c r="F1666" i="34" a="1"/>
  <c r="F1794" i="34" a="1"/>
  <c r="F1922" i="34" a="1"/>
  <c r="F1507" i="34" a="1"/>
  <c r="F1635" i="34" a="1"/>
  <c r="F1763" i="34" a="1"/>
  <c r="F1899" i="34" a="1"/>
  <c r="F1956" i="34" a="1"/>
  <c r="F1620" i="34" a="1"/>
  <c r="F1748" i="34" a="1"/>
  <c r="F1509" i="34" a="1"/>
  <c r="F1637" i="34" a="1"/>
  <c r="F1765" i="34" a="1"/>
  <c r="F1989" i="34" a="1"/>
  <c r="F122" i="34" a="1"/>
  <c r="F250" i="34" a="1"/>
  <c r="F378" i="34" a="1"/>
  <c r="F3" i="34" a="1"/>
  <c r="F131" i="34" a="1"/>
  <c r="F259" i="34" a="1"/>
  <c r="F387" i="34" a="1"/>
  <c r="F36" i="34" a="1"/>
  <c r="F164" i="34" a="1"/>
  <c r="F292" i="34" a="1"/>
  <c r="F420" i="34" a="1"/>
  <c r="F101" i="34" a="1"/>
  <c r="F229" i="34" a="1"/>
  <c r="F357" i="34" a="1"/>
  <c r="F70" i="34" a="1"/>
  <c r="F198" i="34" a="1"/>
  <c r="F326" i="34" a="1"/>
  <c r="F15" i="34" a="1"/>
  <c r="F143" i="34" a="1"/>
  <c r="F271" i="34" a="1"/>
  <c r="F399" i="34" a="1"/>
  <c r="F112" i="34" a="1"/>
  <c r="F240" i="34" a="1"/>
  <c r="F25" i="34" a="1"/>
  <c r="F153" i="34" a="1"/>
  <c r="F281" i="34" a="1"/>
  <c r="F664" i="34" a="1"/>
  <c r="F794" i="34" a="1"/>
  <c r="F922" i="34" a="1"/>
  <c r="F1050" i="34" a="1"/>
  <c r="F520" i="34" a="1"/>
  <c r="F463" i="34" a="1"/>
  <c r="F723" i="34" a="1"/>
  <c r="F851" i="34" a="1"/>
  <c r="F979" i="34" a="1"/>
  <c r="F521" i="34" a="1"/>
  <c r="F483" i="34" a="1"/>
  <c r="F724" i="34" a="1"/>
  <c r="F417" i="34" a="1"/>
  <c r="F657" i="34" a="1"/>
  <c r="F693" i="34" a="1"/>
  <c r="F821" i="34" a="1"/>
  <c r="F598" i="34" a="1"/>
  <c r="F620" i="34" a="1"/>
  <c r="F782" i="34" a="1"/>
  <c r="F910" i="34" a="1"/>
  <c r="F525" i="34" a="1"/>
  <c r="F454" i="34" a="1"/>
  <c r="F743" i="34" a="1"/>
  <c r="F871" i="34" a="1"/>
  <c r="F516" i="34" a="1"/>
  <c r="F384" i="34" a="1"/>
  <c r="F728" i="34" a="1"/>
  <c r="F492" i="34" a="1"/>
  <c r="F437" i="34" a="1"/>
  <c r="F713" i="34" a="1"/>
  <c r="F478" i="34" a="1"/>
  <c r="F817" i="34" a="1"/>
  <c r="F1182" i="34" a="1"/>
  <c r="F1337" i="34" a="1"/>
  <c r="F1465" i="34" a="1"/>
  <c r="F884" i="34" a="1"/>
  <c r="F1225" i="34" a="1"/>
  <c r="F1463" i="34" a="1"/>
  <c r="F1166" i="34" a="1"/>
  <c r="F1330" i="34" a="1"/>
  <c r="F1323" i="34" a="1"/>
  <c r="F917" i="34" a="1"/>
  <c r="F1307" i="34" a="1"/>
  <c r="F1024" i="34" a="1"/>
  <c r="F1243" i="34" a="1"/>
  <c r="F952" i="34" a="1"/>
  <c r="F991" i="34" a="1"/>
  <c r="F1236" i="34" a="1"/>
  <c r="F1364" i="34" a="1"/>
  <c r="F1049" i="34" a="1"/>
  <c r="F1084" i="34" a="1"/>
  <c r="F1261" i="34" a="1"/>
  <c r="F1389" i="34" a="1"/>
  <c r="F1487" i="34" a="1"/>
  <c r="F1115" i="34" a="1"/>
  <c r="F982" i="34" a="1"/>
  <c r="F1230" i="34" a="1"/>
  <c r="F1358" i="34" a="1"/>
  <c r="F877" i="34" a="1"/>
  <c r="F1222" i="34" a="1"/>
  <c r="F1135" i="34" a="1"/>
  <c r="F1303" i="34" a="1"/>
  <c r="F944" i="34" a="1"/>
  <c r="F973" i="34" a="1"/>
  <c r="F1240" i="34" a="1"/>
  <c r="F1368" i="34" a="1"/>
  <c r="F945" i="34" a="1"/>
  <c r="B1526" i="34" a="1"/>
  <c r="B1654" i="34" a="1"/>
  <c r="F1526" i="34" a="1"/>
  <c r="F1654" i="34" a="1"/>
  <c r="F1782" i="34" a="1"/>
  <c r="F1910" i="34" a="1"/>
  <c r="F1895" i="34" a="1"/>
  <c r="F1535" i="34" a="1"/>
  <c r="F1663" i="34" a="1"/>
  <c r="F1791" i="34" a="1"/>
  <c r="F1967" i="34" a="1"/>
  <c r="F1992" i="34" a="1"/>
  <c r="F1576" i="34" a="1"/>
  <c r="F1704" i="34" a="1"/>
  <c r="F1832" i="34" a="1"/>
  <c r="F1505" i="34" a="1"/>
  <c r="F1633" i="34" a="1"/>
  <c r="F1761" i="34" a="1"/>
  <c r="F1889" i="34" a="1"/>
  <c r="F1546" i="34" a="1"/>
  <c r="F1674" i="34" a="1"/>
  <c r="F1802" i="34" a="1"/>
  <c r="F1938" i="34" a="1"/>
  <c r="F1515" i="34" a="1"/>
  <c r="F1643" i="34" a="1"/>
  <c r="F1771" i="34" a="1"/>
  <c r="F1915" i="34" a="1"/>
  <c r="F1981" i="34" a="1"/>
  <c r="F1628" i="34" a="1"/>
  <c r="F1756" i="34" a="1"/>
  <c r="F1517" i="34" a="1"/>
  <c r="F1645" i="34" a="1"/>
  <c r="F1773" i="34" a="1"/>
  <c r="F2" i="34" a="1"/>
  <c r="F130" i="34" a="1"/>
  <c r="F258" i="34" a="1"/>
  <c r="F386" i="34" a="1"/>
  <c r="F11" i="34" a="1"/>
  <c r="F139" i="34" a="1"/>
  <c r="F267" i="34" a="1"/>
  <c r="F395" i="34" a="1"/>
  <c r="F44" i="34" a="1"/>
  <c r="F172" i="34" a="1"/>
  <c r="F300" i="34" a="1"/>
  <c r="F428" i="34" a="1"/>
  <c r="F109" i="34" a="1"/>
  <c r="F237" i="34" a="1"/>
  <c r="F365" i="34" a="1"/>
  <c r="F78" i="34" a="1"/>
  <c r="F206" i="34" a="1"/>
  <c r="F334" i="34" a="1"/>
  <c r="F23" i="34" a="1"/>
  <c r="F151" i="34" a="1"/>
  <c r="F279" i="34" a="1"/>
  <c r="F407" i="34" a="1"/>
  <c r="F120" i="34" a="1"/>
  <c r="F248" i="34" a="1"/>
  <c r="F33" i="34" a="1"/>
  <c r="F161" i="34" a="1"/>
  <c r="F289" i="34" a="1"/>
  <c r="F673" i="34" a="1"/>
  <c r="F802" i="34" a="1"/>
  <c r="F930" i="34" a="1"/>
  <c r="F1058" i="34" a="1"/>
  <c r="F530" i="34" a="1"/>
  <c r="F481" i="34" a="1"/>
  <c r="F731" i="34" a="1"/>
  <c r="F859" i="34" a="1"/>
  <c r="F987" i="34" a="1"/>
  <c r="F532" i="34" a="1"/>
  <c r="F499" i="34" a="1"/>
  <c r="F732" i="34" a="1"/>
  <c r="F448" i="34" a="1"/>
  <c r="F676" i="34" a="1"/>
  <c r="F701" i="34" a="1"/>
  <c r="F829" i="34" a="1"/>
  <c r="F609" i="34" a="1"/>
  <c r="F639" i="34" a="1"/>
  <c r="F790" i="34" a="1"/>
  <c r="F918" i="34" a="1"/>
  <c r="F536" i="34" a="1"/>
  <c r="F472" i="34" a="1"/>
  <c r="F751" i="34" a="1"/>
  <c r="F879" i="34" a="1"/>
  <c r="F526" i="34" a="1"/>
  <c r="F432" i="34" a="1"/>
  <c r="F736" i="34" a="1"/>
  <c r="F506" i="34" a="1"/>
  <c r="F477" i="34" a="1"/>
  <c r="F721" i="34" a="1"/>
  <c r="F494" i="34" a="1"/>
  <c r="F961" i="34" a="1"/>
  <c r="F1199" i="34" a="1"/>
  <c r="F1345" i="34" a="1"/>
  <c r="F1473" i="34" a="1"/>
  <c r="F900" i="34" a="1"/>
  <c r="F1426" i="34" a="1"/>
  <c r="F1464" i="34" a="1"/>
  <c r="F1183" i="34" a="1"/>
  <c r="F1338" i="34" a="1"/>
  <c r="F1363" i="34" a="1"/>
  <c r="F933" i="34" a="1"/>
  <c r="F1331" i="34" a="1"/>
  <c r="F1060" i="34" a="1"/>
  <c r="F1251" i="34" a="1"/>
  <c r="F990" i="34" a="1"/>
  <c r="F1014" i="34" a="1"/>
  <c r="F1244" i="34" a="1"/>
  <c r="F1372" i="34" a="1"/>
  <c r="F1072" i="34" a="1"/>
  <c r="F1094" i="34" a="1"/>
  <c r="F1269" i="34" a="1"/>
  <c r="F1397" i="34" a="1"/>
  <c r="F1480" i="34" a="1"/>
  <c r="F1178" i="34" a="1"/>
  <c r="F993" i="34" a="1"/>
  <c r="F1238" i="34" a="1"/>
  <c r="F1366" i="34" a="1"/>
  <c r="F893" i="34" a="1"/>
  <c r="F1367" i="34" a="1"/>
  <c r="F1144" i="34" a="1"/>
  <c r="F1311" i="34" a="1"/>
  <c r="F959" i="34" a="1"/>
  <c r="F997" i="34" a="1"/>
  <c r="F1248" i="34" a="1"/>
  <c r="F1376" i="34" a="1"/>
  <c r="F985" i="34" a="1"/>
  <c r="B1534" i="34" a="1"/>
  <c r="F1534" i="34" a="1"/>
  <c r="F1662" i="34" a="1"/>
  <c r="F1790" i="34" a="1"/>
  <c r="F1918" i="34" a="1"/>
  <c r="F1919" i="34" a="1"/>
  <c r="F1543" i="34" a="1"/>
  <c r="F1671" i="34" a="1"/>
  <c r="F1799" i="34" a="1"/>
  <c r="F1983" i="34" a="1"/>
  <c r="F2000" i="34" a="1"/>
  <c r="F1584" i="34" a="1"/>
  <c r="F1712" i="34" a="1"/>
  <c r="F1840" i="34" a="1"/>
  <c r="F1513" i="34" a="1"/>
  <c r="F1641" i="34" a="1"/>
  <c r="F1769" i="34" a="1"/>
  <c r="F1897" i="34" a="1"/>
  <c r="F1554" i="34" a="1"/>
  <c r="F1682" i="34" a="1"/>
  <c r="F1810" i="34" a="1"/>
  <c r="F1946" i="34" a="1"/>
  <c r="F1523" i="34" a="1"/>
  <c r="F1651" i="34" a="1"/>
  <c r="F1779" i="34" a="1"/>
  <c r="F1931" i="34" a="1"/>
  <c r="F1508" i="34" a="1"/>
  <c r="F1636" i="34" a="1"/>
  <c r="F1764" i="34" a="1"/>
  <c r="F1525" i="34" a="1"/>
  <c r="F1653" i="34" a="1"/>
  <c r="F1781" i="34" a="1"/>
  <c r="F10" i="34" a="1"/>
  <c r="F138" i="34" a="1"/>
  <c r="F266" i="34" a="1"/>
  <c r="F394" i="34" a="1"/>
  <c r="F19" i="34" a="1"/>
  <c r="F147" i="34" a="1"/>
  <c r="F275" i="34" a="1"/>
  <c r="F403" i="34" a="1"/>
  <c r="F52" i="34" a="1"/>
  <c r="F180" i="34" a="1"/>
  <c r="F308" i="34" a="1"/>
  <c r="F436" i="34" a="1"/>
  <c r="F117" i="34" a="1"/>
  <c r="F245" i="34" a="1"/>
  <c r="F373" i="34" a="1"/>
  <c r="F86" i="34" a="1"/>
  <c r="F214" i="34" a="1"/>
  <c r="F342" i="34" a="1"/>
  <c r="F31" i="34" a="1"/>
  <c r="F159" i="34" a="1"/>
  <c r="F287" i="34" a="1"/>
  <c r="F415" i="34" a="1"/>
  <c r="F128" i="34" a="1"/>
  <c r="F256" i="34" a="1"/>
  <c r="F41" i="34" a="1"/>
  <c r="F169" i="34" a="1"/>
  <c r="F297" i="34" a="1"/>
  <c r="F682" i="34" a="1"/>
  <c r="F810" i="34" a="1"/>
  <c r="F938" i="34" a="1"/>
  <c r="F1066" i="34" a="1"/>
  <c r="F541" i="34" a="1"/>
  <c r="F497" i="34" a="1"/>
  <c r="F739" i="34" a="1"/>
  <c r="F867" i="34" a="1"/>
  <c r="F995" i="34" a="1"/>
  <c r="F542" i="34" a="1"/>
  <c r="F511" i="34" a="1"/>
  <c r="F740" i="34" a="1"/>
  <c r="F484" i="34" a="1"/>
  <c r="F360" i="34" a="1"/>
  <c r="F709" i="34" a="1"/>
  <c r="F837" i="34" a="1"/>
  <c r="F619" i="34" a="1"/>
  <c r="F649" i="34" a="1"/>
  <c r="F798" i="34" a="1"/>
  <c r="F926" i="34" a="1"/>
  <c r="F546" i="34" a="1"/>
  <c r="F489" i="34" a="1"/>
  <c r="F759" i="34" a="1"/>
  <c r="F887" i="34" a="1"/>
  <c r="F537" i="34" a="1"/>
  <c r="F456" i="34" a="1"/>
  <c r="F744" i="34" a="1"/>
  <c r="F517" i="34" a="1"/>
  <c r="F493" i="34" a="1"/>
  <c r="F729" i="34" a="1"/>
  <c r="F508" i="34" a="1"/>
  <c r="F1574" i="34" a="1"/>
  <c r="F1925" i="34" a="1"/>
  <c r="F1969" i="34" a="1"/>
  <c r="F1917" i="34" a="1"/>
  <c r="F178" i="34" a="1"/>
  <c r="F220" i="34" a="1"/>
  <c r="F382" i="34" a="1"/>
  <c r="F209" i="34" a="1"/>
  <c r="F779" i="34" a="1"/>
  <c r="F749" i="34" a="1"/>
  <c r="F799" i="34" a="1"/>
  <c r="F561" i="34" a="1"/>
  <c r="F1265" i="34" a="1"/>
  <c r="F1489" i="34" a="1"/>
  <c r="F1174" i="34" a="1"/>
  <c r="F1120" i="34" a="1"/>
  <c r="F1394" i="34" a="1"/>
  <c r="F1000" i="34" a="1"/>
  <c r="F1070" i="34" a="1"/>
  <c r="F888" i="34" a="1"/>
  <c r="F1150" i="34" a="1"/>
  <c r="F873" i="34" a="1"/>
  <c r="F1124" i="34" a="1"/>
  <c r="F1365" i="34" a="1"/>
  <c r="F1016" i="34" a="1"/>
  <c r="F1134" i="34" a="1"/>
  <c r="F1390" i="34" a="1"/>
  <c r="F1399" i="34" a="1"/>
  <c r="F1271" i="34" a="1"/>
  <c r="F1108" i="34" a="1"/>
  <c r="F1296" i="34" a="1"/>
  <c r="F1032" i="34" a="1"/>
  <c r="B1630" i="34" a="1"/>
  <c r="B1782" i="34" a="1"/>
  <c r="B1910" i="34" a="1"/>
  <c r="B1919" i="34" a="1"/>
  <c r="B1519" i="34" a="1"/>
  <c r="B1647" i="34" a="1"/>
  <c r="B1775" i="34" a="1"/>
  <c r="B1933" i="34" a="1"/>
  <c r="B1866" i="34" a="1"/>
  <c r="B1576" i="34" a="1"/>
  <c r="B1704" i="34" a="1"/>
  <c r="B1832" i="34" a="1"/>
  <c r="B1977" i="34" a="1"/>
  <c r="B1985" i="34" a="1"/>
  <c r="B1561" i="34" a="1"/>
  <c r="B1689" i="34" a="1"/>
  <c r="B1833" i="34" a="1"/>
  <c r="B1530" i="34" a="1"/>
  <c r="B1658" i="34" a="1"/>
  <c r="B1786" i="34" a="1"/>
  <c r="B1923" i="34" a="1"/>
  <c r="B1595" i="34" a="1"/>
  <c r="B1723" i="34" a="1"/>
  <c r="B1859" i="34" a="1"/>
  <c r="B1508" i="34" a="1"/>
  <c r="B1636" i="34" a="1"/>
  <c r="B1764" i="34" a="1"/>
  <c r="B1964" i="34" a="1"/>
  <c r="B1597" i="34" a="1"/>
  <c r="B1725" i="34" a="1"/>
  <c r="B2" i="34" a="1"/>
  <c r="B130" i="34" a="1"/>
  <c r="B258" i="34" a="1"/>
  <c r="B386" i="34" a="1"/>
  <c r="B514" i="34" a="1"/>
  <c r="B99" i="34" a="1"/>
  <c r="B227" i="34" a="1"/>
  <c r="B355" i="34" a="1"/>
  <c r="B483" i="34" a="1"/>
  <c r="B76" i="34" a="1"/>
  <c r="B204" i="34" a="1"/>
  <c r="B332" i="34" a="1"/>
  <c r="B460" i="34" a="1"/>
  <c r="B101" i="34" a="1"/>
  <c r="B229" i="34" a="1"/>
  <c r="B357" i="34" a="1"/>
  <c r="B30" i="34" a="1"/>
  <c r="B158" i="34" a="1"/>
  <c r="B286" i="34" a="1"/>
  <c r="B414" i="34" a="1"/>
  <c r="B79" i="34" a="1"/>
  <c r="B207" i="34" a="1"/>
  <c r="B335" i="34" a="1"/>
  <c r="B24" i="34" a="1"/>
  <c r="B152" i="34" a="1"/>
  <c r="B280" i="34" a="1"/>
  <c r="B25" i="34" a="1"/>
  <c r="B153" i="34" a="1"/>
  <c r="B281" i="34" a="1"/>
  <c r="B501" i="34" a="1"/>
  <c r="B392" i="34" a="1"/>
  <c r="B725" i="34" a="1"/>
  <c r="B853" i="34" a="1"/>
  <c r="B981" i="34" a="1"/>
  <c r="B1109" i="34" a="1"/>
  <c r="B645" i="34" a="1"/>
  <c r="B702" i="34" a="1"/>
  <c r="B830" i="34" a="1"/>
  <c r="B958" i="34" a="1"/>
  <c r="B1086" i="34" a="1"/>
  <c r="B625" i="34" a="1"/>
  <c r="B687" i="34" a="1"/>
  <c r="B815" i="34" a="1"/>
  <c r="B943" i="34" a="1"/>
  <c r="B1071" i="34" a="1"/>
  <c r="B562" i="34" a="1"/>
  <c r="B526" i="34" a="1"/>
  <c r="B760" i="34" a="1"/>
  <c r="B888" i="34" a="1"/>
  <c r="B1016" i="34" a="1"/>
  <c r="B1144" i="34" a="1"/>
  <c r="B617" i="34" a="1"/>
  <c r="B681" i="34" a="1"/>
  <c r="B809" i="34" a="1"/>
  <c r="F1678" i="34" a="1"/>
  <c r="F1953" i="34" a="1"/>
  <c r="F1570" i="34" a="1"/>
  <c r="F1524" i="34" a="1"/>
  <c r="F282" i="34" a="1"/>
  <c r="F324" i="34" a="1"/>
  <c r="F47" i="34" a="1"/>
  <c r="F313" i="34" a="1"/>
  <c r="F883" i="34" a="1"/>
  <c r="F423" i="34" a="1"/>
  <c r="F903" i="34" a="1"/>
  <c r="F604" i="34" a="1"/>
  <c r="F1273" i="34" a="1"/>
  <c r="F1497" i="34" a="1"/>
  <c r="F1442" i="34" a="1"/>
  <c r="F1129" i="34" a="1"/>
  <c r="F1402" i="34" a="1"/>
  <c r="F1080" i="34" a="1"/>
  <c r="F1092" i="34" a="1"/>
  <c r="F904" i="34" a="1"/>
  <c r="F1168" i="34" a="1"/>
  <c r="F889" i="34" a="1"/>
  <c r="F1133" i="34" a="1"/>
  <c r="F1405" i="34" a="1"/>
  <c r="F1052" i="34" a="1"/>
  <c r="F1143" i="34" a="1"/>
  <c r="F1430" i="34" a="1"/>
  <c r="F1471" i="34" a="1"/>
  <c r="F1279" i="34" a="1"/>
  <c r="F1172" i="34" a="1"/>
  <c r="F1304" i="34" a="1"/>
  <c r="F1067" i="34" a="1"/>
  <c r="B1662" i="34" a="1"/>
  <c r="B1790" i="34" a="1"/>
  <c r="B1918" i="34" a="1"/>
  <c r="B1943" i="34" a="1"/>
  <c r="B1527" i="34" a="1"/>
  <c r="B1655" i="34" a="1"/>
  <c r="B1783" i="34" a="1"/>
  <c r="B1864" i="34" a="1"/>
  <c r="B1914" i="34" a="1"/>
  <c r="B1584" i="34" a="1"/>
  <c r="B1712" i="34" a="1"/>
  <c r="B1840" i="34" a="1"/>
  <c r="B1826" i="34" a="1"/>
  <c r="B1818" i="34" a="1"/>
  <c r="B1569" i="34" a="1"/>
  <c r="B1697" i="34" a="1"/>
  <c r="B1841" i="34" a="1"/>
  <c r="B1538" i="34" a="1"/>
  <c r="B1666" i="34" a="1"/>
  <c r="B1794" i="34" a="1"/>
  <c r="B1971" i="34" a="1"/>
  <c r="B1603" i="34" a="1"/>
  <c r="B1731" i="34" a="1"/>
  <c r="B1867" i="34" a="1"/>
  <c r="B1516" i="34" a="1"/>
  <c r="B1644" i="34" a="1"/>
  <c r="B1772" i="34" a="1"/>
  <c r="B1949" i="34" a="1"/>
  <c r="B1605" i="34" a="1"/>
  <c r="B1733" i="34" a="1"/>
  <c r="B10" i="34" a="1"/>
  <c r="B138" i="34" a="1"/>
  <c r="B266" i="34" a="1"/>
  <c r="B394" i="34" a="1"/>
  <c r="B522" i="34" a="1"/>
  <c r="B107" i="34" a="1"/>
  <c r="B235" i="34" a="1"/>
  <c r="B363" i="34" a="1"/>
  <c r="B491" i="34" a="1"/>
  <c r="B84" i="34" a="1"/>
  <c r="B212" i="34" a="1"/>
  <c r="B340" i="34" a="1"/>
  <c r="B468" i="34" a="1"/>
  <c r="B109" i="34" a="1"/>
  <c r="B237" i="34" a="1"/>
  <c r="B365" i="34" a="1"/>
  <c r="B38" i="34" a="1"/>
  <c r="B166" i="34" a="1"/>
  <c r="B294" i="34" a="1"/>
  <c r="B422" i="34" a="1"/>
  <c r="B87" i="34" a="1"/>
  <c r="B215" i="34" a="1"/>
  <c r="B343" i="34" a="1"/>
  <c r="B32" i="34" a="1"/>
  <c r="B160" i="34" a="1"/>
  <c r="F1702" i="34" a="1"/>
  <c r="F1941" i="34" a="1"/>
  <c r="F1594" i="34" a="1"/>
  <c r="F1548" i="34" a="1"/>
  <c r="F306" i="34" a="1"/>
  <c r="F348" i="34" a="1"/>
  <c r="F71" i="34" a="1"/>
  <c r="F440" i="34" a="1"/>
  <c r="F907" i="34" a="1"/>
  <c r="F502" i="34" a="1"/>
  <c r="F927" i="34" a="1"/>
  <c r="F614" i="34" a="1"/>
  <c r="F1281" i="34" a="1"/>
  <c r="F1451" i="34" a="1"/>
  <c r="F1458" i="34" a="1"/>
  <c r="F1138" i="34" a="1"/>
  <c r="F1418" i="34" a="1"/>
  <c r="F1091" i="34" a="1"/>
  <c r="F1102" i="34" a="1"/>
  <c r="F1001" i="34" a="1"/>
  <c r="F1185" i="34" a="1"/>
  <c r="F905" i="34" a="1"/>
  <c r="F1160" i="34" a="1"/>
  <c r="F1413" i="34" a="1"/>
  <c r="F1063" i="34" a="1"/>
  <c r="F1161" i="34" a="1"/>
  <c r="F1446" i="34" a="1"/>
  <c r="F1472" i="34" a="1"/>
  <c r="F1319" i="34" a="1"/>
  <c r="F1189" i="34" a="1"/>
  <c r="F1312" i="34" a="1"/>
  <c r="F1109" i="34" a="1"/>
  <c r="B1670" i="34" a="1"/>
  <c r="B1798" i="34" a="1"/>
  <c r="B1926" i="34" a="1"/>
  <c r="B1959" i="34" a="1"/>
  <c r="B1535" i="34" a="1"/>
  <c r="B1663" i="34" a="1"/>
  <c r="B1791" i="34" a="1"/>
  <c r="B1904" i="34" a="1"/>
  <c r="B1946" i="34" a="1"/>
  <c r="B1592" i="34" a="1"/>
  <c r="B1720" i="34" a="1"/>
  <c r="B1848" i="34" a="1"/>
  <c r="B1850" i="34" a="1"/>
  <c r="B1858" i="34" a="1"/>
  <c r="B1577" i="34" a="1"/>
  <c r="B1705" i="34" a="1"/>
  <c r="B1857" i="34" a="1"/>
  <c r="B1546" i="34" a="1"/>
  <c r="B1674" i="34" a="1"/>
  <c r="B1802" i="34" a="1"/>
  <c r="B1996" i="34" a="1"/>
  <c r="B1611" i="34" a="1"/>
  <c r="B1739" i="34" a="1"/>
  <c r="B1883" i="34" a="1"/>
  <c r="B1524" i="34" a="1"/>
  <c r="B1652" i="34" a="1"/>
  <c r="B1780" i="34" a="1"/>
  <c r="B1789" i="34" a="1"/>
  <c r="B1613" i="34" a="1"/>
  <c r="B1741" i="34" a="1"/>
  <c r="B18" i="34" a="1"/>
  <c r="B146" i="34" a="1"/>
  <c r="B274" i="34" a="1"/>
  <c r="B402" i="34" a="1"/>
  <c r="B530" i="34" a="1"/>
  <c r="B115" i="34" a="1"/>
  <c r="B243" i="34" a="1"/>
  <c r="B371" i="34" a="1"/>
  <c r="B499" i="34" a="1"/>
  <c r="B92" i="34" a="1"/>
  <c r="B220" i="34" a="1"/>
  <c r="B348" i="34" a="1"/>
  <c r="B476" i="34" a="1"/>
  <c r="B117" i="34" a="1"/>
  <c r="B245" i="34" a="1"/>
  <c r="B373" i="34" a="1"/>
  <c r="B46" i="34" a="1"/>
  <c r="B174" i="34" a="1"/>
  <c r="B302" i="34" a="1"/>
  <c r="B430" i="34" a="1"/>
  <c r="B95" i="34" a="1"/>
  <c r="B223" i="34" a="1"/>
  <c r="B351" i="34" a="1"/>
  <c r="B40" i="34" a="1"/>
  <c r="B168" i="34" a="1"/>
  <c r="B296" i="34" a="1"/>
  <c r="B41" i="34" a="1"/>
  <c r="B169" i="34" a="1"/>
  <c r="B297" i="34" a="1"/>
  <c r="B535" i="34" a="1"/>
  <c r="B480" i="34" a="1"/>
  <c r="B741" i="34" a="1"/>
  <c r="B869" i="34" a="1"/>
  <c r="B997" i="34" a="1"/>
  <c r="B1125" i="34" a="1"/>
  <c r="B666" i="34" a="1"/>
  <c r="B718" i="34" a="1"/>
  <c r="B846" i="34" a="1"/>
  <c r="B974" i="34" a="1"/>
  <c r="B1102" i="34" a="1"/>
  <c r="B646" i="34" a="1"/>
  <c r="B703" i="34" a="1"/>
  <c r="B831" i="34" a="1"/>
  <c r="B959" i="34" a="1"/>
  <c r="B1087" i="34" a="1"/>
  <c r="B584" i="34" a="1"/>
  <c r="B563" i="34" a="1"/>
  <c r="B776" i="34" a="1"/>
  <c r="B904" i="34" a="1"/>
  <c r="B1032" i="34" a="1"/>
  <c r="B1160" i="34" a="1"/>
  <c r="B638" i="34" a="1"/>
  <c r="B697" i="34" a="1"/>
  <c r="B825" i="34" a="1"/>
  <c r="B953" i="34" a="1"/>
  <c r="B1081" i="34" a="1"/>
  <c r="B608" i="34" a="1"/>
  <c r="B690" i="34" a="1"/>
  <c r="B818" i="34" a="1"/>
  <c r="F1806" i="34" a="1"/>
  <c r="F1600" i="34" a="1"/>
  <c r="F1698" i="34" a="1"/>
  <c r="F1652" i="34" a="1"/>
  <c r="F410" i="34" a="1"/>
  <c r="F5" i="34" a="1"/>
  <c r="F175" i="34" a="1"/>
  <c r="F698" i="34" a="1"/>
  <c r="F1011" i="34" a="1"/>
  <c r="F658" i="34" a="1"/>
  <c r="F558" i="34" a="1"/>
  <c r="F624" i="34" a="1"/>
  <c r="F1297" i="34" a="1"/>
  <c r="F1499" i="34" a="1"/>
  <c r="F1466" i="34" a="1"/>
  <c r="F1200" i="34" a="1"/>
  <c r="F1434" i="34" a="1"/>
  <c r="F1111" i="34" a="1"/>
  <c r="F1140" i="34" a="1"/>
  <c r="F1037" i="34" a="1"/>
  <c r="F1202" i="34" a="1"/>
  <c r="F937" i="34" a="1"/>
  <c r="F1169" i="34" a="1"/>
  <c r="F1421" i="34" a="1"/>
  <c r="F1187" i="34" a="1"/>
  <c r="F1170" i="34" a="1"/>
  <c r="F1462" i="34" a="1"/>
  <c r="F996" i="34" a="1"/>
  <c r="F1327" i="34" a="1"/>
  <c r="F1206" i="34" a="1"/>
  <c r="F1328" i="34" a="1"/>
  <c r="F1155" i="34" a="1"/>
  <c r="B1678" i="34" a="1"/>
  <c r="B1806" i="34" a="1"/>
  <c r="B1934" i="34" a="1"/>
  <c r="B1983" i="34" a="1"/>
  <c r="B1543" i="34" a="1"/>
  <c r="B1671" i="34" a="1"/>
  <c r="B1799" i="34" a="1"/>
  <c r="B1920" i="34" a="1"/>
  <c r="B1994" i="34" a="1"/>
  <c r="B1600" i="34" a="1"/>
  <c r="B1728" i="34" a="1"/>
  <c r="B1856" i="34" a="1"/>
  <c r="B1890" i="34" a="1"/>
  <c r="B1898" i="34" a="1"/>
  <c r="B1585" i="34" a="1"/>
  <c r="B1713" i="34" a="1"/>
  <c r="B1873" i="34" a="1"/>
  <c r="B1554" i="34" a="1"/>
  <c r="B1682" i="34" a="1"/>
  <c r="B1834" i="34" a="1"/>
  <c r="B1901" i="34" a="1"/>
  <c r="B1619" i="34" a="1"/>
  <c r="B1747" i="34" a="1"/>
  <c r="B1891" i="34" a="1"/>
  <c r="B1532" i="34" a="1"/>
  <c r="B1660" i="34" a="1"/>
  <c r="B1788" i="34" a="1"/>
  <c r="B1869" i="34" a="1"/>
  <c r="B1621" i="34" a="1"/>
  <c r="B1749" i="34" a="1"/>
  <c r="B26" i="34" a="1"/>
  <c r="B154" i="34" a="1"/>
  <c r="B282" i="34" a="1"/>
  <c r="B410" i="34" a="1"/>
  <c r="B538" i="34" a="1"/>
  <c r="B123" i="34" a="1"/>
  <c r="B251" i="34" a="1"/>
  <c r="B379" i="34" a="1"/>
  <c r="B507" i="34" a="1"/>
  <c r="B100" i="34" a="1"/>
  <c r="B228" i="34" a="1"/>
  <c r="B356" i="34" a="1"/>
  <c r="B484" i="34" a="1"/>
  <c r="B125" i="34" a="1"/>
  <c r="B253" i="34" a="1"/>
  <c r="B381" i="34" a="1"/>
  <c r="B54" i="34" a="1"/>
  <c r="B182" i="34" a="1"/>
  <c r="B310" i="34" a="1"/>
  <c r="B438" i="34" a="1"/>
  <c r="B103" i="34" a="1"/>
  <c r="B231" i="34" a="1"/>
  <c r="B359" i="34" a="1"/>
  <c r="B48" i="34" a="1"/>
  <c r="B176" i="34" a="1"/>
  <c r="B304" i="34" a="1"/>
  <c r="B49" i="34" a="1"/>
  <c r="B177" i="34" a="1"/>
  <c r="B305" i="34" a="1"/>
  <c r="B548" i="34" a="1"/>
  <c r="B502" i="34" a="1"/>
  <c r="B749" i="34" a="1"/>
  <c r="B877" i="34" a="1"/>
  <c r="B1005" i="34" a="1"/>
  <c r="B393" i="34" a="1"/>
  <c r="B400" i="34" a="1"/>
  <c r="B726" i="34" a="1"/>
  <c r="B854" i="34" a="1"/>
  <c r="B982" i="34" a="1"/>
  <c r="B1110" i="34" a="1"/>
  <c r="B657" i="34" a="1"/>
  <c r="B711" i="34" a="1"/>
  <c r="B839" i="34" a="1"/>
  <c r="B967" i="34" a="1"/>
  <c r="B1095" i="34" a="1"/>
  <c r="B594" i="34" a="1"/>
  <c r="B595" i="34" a="1"/>
  <c r="B784" i="34" a="1"/>
  <c r="B912" i="34" a="1"/>
  <c r="B1040" i="34" a="1"/>
  <c r="B1168" i="34" a="1"/>
  <c r="B649" i="34" a="1"/>
  <c r="B705" i="34" a="1"/>
  <c r="B833" i="34" a="1"/>
  <c r="B961" i="34" a="1"/>
  <c r="B1089" i="34" a="1"/>
  <c r="B618" i="34" a="1"/>
  <c r="B698" i="34" a="1"/>
  <c r="B826" i="34" a="1"/>
  <c r="B954" i="34" a="1"/>
  <c r="B1082" i="34" a="1"/>
  <c r="B598" i="34" a="1"/>
  <c r="B683" i="34" a="1"/>
  <c r="B811" i="34" a="1"/>
  <c r="B939" i="34" a="1"/>
  <c r="F1830" i="34" a="1"/>
  <c r="F1624" i="34" a="1"/>
  <c r="F1722" i="34" a="1"/>
  <c r="F1676" i="34" a="1"/>
  <c r="F434" i="34" a="1"/>
  <c r="F29" i="34" a="1"/>
  <c r="F199" i="34" a="1"/>
  <c r="F722" i="34" a="1"/>
  <c r="F1035" i="34" a="1"/>
  <c r="F368" i="34" a="1"/>
  <c r="F590" i="34" a="1"/>
  <c r="F975" i="34" a="1"/>
  <c r="F1305" i="34" a="1"/>
  <c r="F1396" i="34" a="1"/>
  <c r="F1299" i="34" a="1"/>
  <c r="F1217" i="34" a="1"/>
  <c r="F1450" i="34" a="1"/>
  <c r="F1175" i="34" a="1"/>
  <c r="F1149" i="34" a="1"/>
  <c r="F1048" i="34" a="1"/>
  <c r="F1252" i="34" a="1"/>
  <c r="F953" i="34" a="1"/>
  <c r="F1186" i="34" a="1"/>
  <c r="F1445" i="34" a="1"/>
  <c r="F1204" i="34" a="1"/>
  <c r="F1179" i="34" a="1"/>
  <c r="F1494" i="34" a="1"/>
  <c r="F1007" i="34" a="1"/>
  <c r="F1335" i="34" a="1"/>
  <c r="F1008" i="34" a="1"/>
  <c r="F1336" i="34" a="1"/>
  <c r="F1173" i="34" a="1"/>
  <c r="B1686" i="34" a="1"/>
  <c r="B1814" i="34" a="1"/>
  <c r="B1942" i="34" a="1"/>
  <c r="B1999" i="34" a="1"/>
  <c r="B1551" i="34" a="1"/>
  <c r="B1679" i="34" a="1"/>
  <c r="B1807" i="34" a="1"/>
  <c r="B1936" i="34" a="1"/>
  <c r="B1979" i="34" a="1"/>
  <c r="B1608" i="34" a="1"/>
  <c r="B1736" i="34" a="1"/>
  <c r="B1872" i="34" a="1"/>
  <c r="B1906" i="34" a="1"/>
  <c r="B1930" i="34" a="1"/>
  <c r="B1593" i="34" a="1"/>
  <c r="B1721" i="34" a="1"/>
  <c r="B1905" i="34" a="1"/>
  <c r="B1562" i="34" a="1"/>
  <c r="B1690" i="34" a="1"/>
  <c r="B1842" i="34" a="1"/>
  <c r="B1989" i="34" a="1"/>
  <c r="B1627" i="34" a="1"/>
  <c r="B1755" i="34" a="1"/>
  <c r="B1907" i="34" a="1"/>
  <c r="B1540" i="34" a="1"/>
  <c r="B1668" i="34" a="1"/>
  <c r="B1796" i="34" a="1"/>
  <c r="B1965" i="34" a="1"/>
  <c r="B1629" i="34" a="1"/>
  <c r="B1757" i="34" a="1"/>
  <c r="B34" i="34" a="1"/>
  <c r="B162" i="34" a="1"/>
  <c r="B290" i="34" a="1"/>
  <c r="B418" i="34" a="1"/>
  <c r="B3" i="34" a="1"/>
  <c r="B131" i="34" a="1"/>
  <c r="B259" i="34" a="1"/>
  <c r="B387" i="34" a="1"/>
  <c r="B515" i="34" a="1"/>
  <c r="B108" i="34" a="1"/>
  <c r="B236" i="34" a="1"/>
  <c r="B364" i="34" a="1"/>
  <c r="B5" i="34" a="1"/>
  <c r="B133" i="34" a="1"/>
  <c r="B261" i="34" a="1"/>
  <c r="B389" i="34" a="1"/>
  <c r="B62" i="34" a="1"/>
  <c r="B190" i="34" a="1"/>
  <c r="B318" i="34" a="1"/>
  <c r="B446" i="34" a="1"/>
  <c r="B111" i="34" a="1"/>
  <c r="B239" i="34" a="1"/>
  <c r="B367" i="34" a="1"/>
  <c r="B56" i="34" a="1"/>
  <c r="B184" i="34" a="1"/>
  <c r="B312" i="34" a="1"/>
  <c r="B57" i="34" a="1"/>
  <c r="B185" i="34" a="1"/>
  <c r="B313" i="34" a="1"/>
  <c r="B558" i="34" a="1"/>
  <c r="B520" i="34" a="1"/>
  <c r="B757" i="34" a="1"/>
  <c r="B885" i="34" a="1"/>
  <c r="B1013" i="34" a="1"/>
  <c r="B455" i="34" a="1"/>
  <c r="B456" i="34" a="1"/>
  <c r="B734" i="34" a="1"/>
  <c r="B862" i="34" a="1"/>
  <c r="B990" i="34" a="1"/>
  <c r="B1118" i="34" a="1"/>
  <c r="B668" i="34" a="1"/>
  <c r="B719" i="34" a="1"/>
  <c r="B847" i="34" a="1"/>
  <c r="B975" i="34" a="1"/>
  <c r="B1103" i="34" a="1"/>
  <c r="B605" i="34" a="1"/>
  <c r="B627" i="34" a="1"/>
  <c r="B792" i="34" a="1"/>
  <c r="B920" i="34" a="1"/>
  <c r="B1048" i="34" a="1"/>
  <c r="B417" i="34" a="1"/>
  <c r="B660" i="34" a="1"/>
  <c r="B713" i="34" a="1"/>
  <c r="B841" i="34" a="1"/>
  <c r="B969" i="34" a="1"/>
  <c r="B1097" i="34" a="1"/>
  <c r="B629" i="34" a="1"/>
  <c r="B706" i="34" a="1"/>
  <c r="B834" i="34" a="1"/>
  <c r="B962" i="34" a="1"/>
  <c r="B1090" i="34" a="1"/>
  <c r="B609" i="34" a="1"/>
  <c r="F1934" i="34" a="1"/>
  <c r="F1728" i="34" a="1"/>
  <c r="F1826" i="34" a="1"/>
  <c r="F1788" i="34" a="1"/>
  <c r="F35" i="34" a="1"/>
  <c r="F133" i="34" a="1"/>
  <c r="F303" i="34" a="1"/>
  <c r="F826" i="34" a="1"/>
  <c r="F564" i="34" a="1"/>
  <c r="F686" i="34" a="1"/>
  <c r="F527" i="34" a="1"/>
  <c r="F998" i="34" a="1"/>
  <c r="F1313" i="34" a="1"/>
  <c r="F1476" i="34" a="1"/>
  <c r="F1355" i="34" a="1"/>
  <c r="F1234" i="34" a="1"/>
  <c r="F1395" i="34" a="1"/>
  <c r="F1192" i="34" a="1"/>
  <c r="F1158" i="34" a="1"/>
  <c r="F1112" i="34" a="1"/>
  <c r="F1260" i="34" a="1"/>
  <c r="F1004" i="34" a="1"/>
  <c r="F1212" i="34" a="1"/>
  <c r="F1453" i="34" a="1"/>
  <c r="F1221" i="34" a="1"/>
  <c r="F1246" i="34" a="1"/>
  <c r="F1351" i="34" a="1"/>
  <c r="F1030" i="34" a="1"/>
  <c r="F1383" i="34" a="1"/>
  <c r="F1044" i="34" a="1"/>
  <c r="F1344" i="34" a="1"/>
  <c r="F1207" i="34" a="1"/>
  <c r="B1694" i="34" a="1"/>
  <c r="B1822" i="34" a="1"/>
  <c r="B1950" i="34" a="1"/>
  <c r="B1995" i="34" a="1"/>
  <c r="B1559" i="34" a="1"/>
  <c r="B1687" i="34" a="1"/>
  <c r="B1815" i="34" a="1"/>
  <c r="B1952" i="34" a="1"/>
  <c r="B1853" i="34" a="1"/>
  <c r="B1616" i="34" a="1"/>
  <c r="B1744" i="34" a="1"/>
  <c r="B1880" i="34" a="1"/>
  <c r="B1938" i="34" a="1"/>
  <c r="B1962" i="34" a="1"/>
  <c r="B1601" i="34" a="1"/>
  <c r="B1729" i="34" a="1"/>
  <c r="B1937" i="34" a="1"/>
  <c r="B1570" i="34" a="1"/>
  <c r="B1698" i="34" a="1"/>
  <c r="B1874" i="34" a="1"/>
  <c r="B1507" i="34" a="1"/>
  <c r="B1635" i="34" a="1"/>
  <c r="B1763" i="34" a="1"/>
  <c r="B1939" i="34" a="1"/>
  <c r="B1548" i="34" a="1"/>
  <c r="B1676" i="34" a="1"/>
  <c r="B1804" i="34" a="1"/>
  <c r="B1509" i="34" a="1"/>
  <c r="B1637" i="34" a="1"/>
  <c r="B1765" i="34" a="1"/>
  <c r="B42" i="34" a="1"/>
  <c r="B170" i="34" a="1"/>
  <c r="B298" i="34" a="1"/>
  <c r="B426" i="34" a="1"/>
  <c r="B11" i="34" a="1"/>
  <c r="B139" i="34" a="1"/>
  <c r="B267" i="34" a="1"/>
  <c r="B395" i="34" a="1"/>
  <c r="B523" i="34" a="1"/>
  <c r="B116" i="34" a="1"/>
  <c r="B244" i="34" a="1"/>
  <c r="B372" i="34" a="1"/>
  <c r="B13" i="34" a="1"/>
  <c r="B141" i="34" a="1"/>
  <c r="B269" i="34" a="1"/>
  <c r="B397" i="34" a="1"/>
  <c r="B70" i="34" a="1"/>
  <c r="B198" i="34" a="1"/>
  <c r="B326" i="34" a="1"/>
  <c r="B454" i="34" a="1"/>
  <c r="B119" i="34" a="1"/>
  <c r="B247" i="34" a="1"/>
  <c r="B375" i="34" a="1"/>
  <c r="B64" i="34" a="1"/>
  <c r="B192" i="34" a="1"/>
  <c r="F1958" i="34" a="1"/>
  <c r="F1752" i="34" a="1"/>
  <c r="F1850" i="34" a="1"/>
  <c r="F1812" i="34" a="1"/>
  <c r="F59" i="34" a="1"/>
  <c r="F157" i="34" a="1"/>
  <c r="F327" i="34" a="1"/>
  <c r="F850" i="34" a="1"/>
  <c r="F596" i="34" a="1"/>
  <c r="F710" i="34" a="1"/>
  <c r="F622" i="34" a="1"/>
  <c r="F1009" i="34" a="1"/>
  <c r="F1353" i="34" a="1"/>
  <c r="F1447" i="34" a="1"/>
  <c r="F1387" i="34" a="1"/>
  <c r="F1258" i="34" a="1"/>
  <c r="F1427" i="34" a="1"/>
  <c r="F1209" i="34" a="1"/>
  <c r="F1184" i="34" a="1"/>
  <c r="F1131" i="34" a="1"/>
  <c r="F1268" i="34" a="1"/>
  <c r="F1083" i="34" a="1"/>
  <c r="F1229" i="34" a="1"/>
  <c r="F1461" i="34" a="1"/>
  <c r="F1438" i="34" a="1"/>
  <c r="F1254" i="34" a="1"/>
  <c r="F1423" i="34" a="1"/>
  <c r="F1076" i="34" a="1"/>
  <c r="F1391" i="34" a="1"/>
  <c r="F1055" i="34" a="1"/>
  <c r="F1384" i="34" a="1"/>
  <c r="F1224" i="34" a="1"/>
  <c r="B1702" i="34" a="1"/>
  <c r="B1830" i="34" a="1"/>
  <c r="B1958" i="34" a="1"/>
  <c r="B1877" i="34" a="1"/>
  <c r="B1567" i="34" a="1"/>
  <c r="B1695" i="34" a="1"/>
  <c r="B1823" i="34" a="1"/>
  <c r="B1960" i="34" a="1"/>
  <c r="B1973" i="34" a="1"/>
  <c r="B1624" i="34" a="1"/>
  <c r="B1752" i="34" a="1"/>
  <c r="B1888" i="34" a="1"/>
  <c r="B1986" i="34" a="1"/>
  <c r="B1931" i="34" a="1"/>
  <c r="B1609" i="34" a="1"/>
  <c r="B1737" i="34" a="1"/>
  <c r="B1969" i="34" a="1"/>
  <c r="B1578" i="34" a="1"/>
  <c r="B1706" i="34" a="1"/>
  <c r="B1922" i="34" a="1"/>
  <c r="B1515" i="34" a="1"/>
  <c r="B1643" i="34" a="1"/>
  <c r="B1771" i="34" a="1"/>
  <c r="B1893" i="34" a="1"/>
  <c r="B1556" i="34" a="1"/>
  <c r="B1684" i="34" a="1"/>
  <c r="B1820" i="34" a="1"/>
  <c r="B1517" i="34" a="1"/>
  <c r="B1645" i="34" a="1"/>
  <c r="B1773" i="34" a="1"/>
  <c r="B50" i="34" a="1"/>
  <c r="B178" i="34" a="1"/>
  <c r="B306" i="34" a="1"/>
  <c r="B434" i="34" a="1"/>
  <c r="B19" i="34" a="1"/>
  <c r="B147" i="34" a="1"/>
  <c r="B275" i="34" a="1"/>
  <c r="B403" i="34" a="1"/>
  <c r="B531" i="34" a="1"/>
  <c r="B124" i="34" a="1"/>
  <c r="B252" i="34" a="1"/>
  <c r="B380" i="34" a="1"/>
  <c r="B21" i="34" a="1"/>
  <c r="B149" i="34" a="1"/>
  <c r="B277" i="34" a="1"/>
  <c r="B405" i="34" a="1"/>
  <c r="B78" i="34" a="1"/>
  <c r="B206" i="34" a="1"/>
  <c r="B334" i="34" a="1"/>
  <c r="B462" i="34" a="1"/>
  <c r="B127" i="34" a="1"/>
  <c r="B255" i="34" a="1"/>
  <c r="B383" i="34" a="1"/>
  <c r="B72" i="34" a="1"/>
  <c r="B200" i="34" a="1"/>
  <c r="F1951" i="34" a="1"/>
  <c r="F1864" i="34" a="1"/>
  <c r="F1885" i="34" a="1"/>
  <c r="F1541" i="34" a="1"/>
  <c r="F163" i="34" a="1"/>
  <c r="F261" i="34" a="1"/>
  <c r="F16" i="34" a="1"/>
  <c r="F954" i="34" a="1"/>
  <c r="F575" i="34" a="1"/>
  <c r="F814" i="34" a="1"/>
  <c r="F760" i="34" a="1"/>
  <c r="F1068" i="34" a="1"/>
  <c r="F1361" i="34" a="1"/>
  <c r="F1448" i="34" a="1"/>
  <c r="F1443" i="34" a="1"/>
  <c r="F1266" i="34" a="1"/>
  <c r="F1467" i="34" a="1"/>
  <c r="F1347" i="34" a="1"/>
  <c r="F1201" i="34" a="1"/>
  <c r="F1176" i="34" a="1"/>
  <c r="F1292" i="34" a="1"/>
  <c r="F1113" i="34" a="1"/>
  <c r="F1237" i="34" a="1"/>
  <c r="F1477" i="34" a="1"/>
  <c r="F1454" i="34" a="1"/>
  <c r="F1262" i="34" a="1"/>
  <c r="F909" i="34" a="1"/>
  <c r="F1086" i="34" a="1"/>
  <c r="F1431" i="34" a="1"/>
  <c r="F1127" i="34" a="1"/>
  <c r="F1392" i="34" a="1"/>
  <c r="B1502" i="34" a="1"/>
  <c r="B1710" i="34" a="1"/>
  <c r="B1838" i="34" a="1"/>
  <c r="B1966" i="34" a="1"/>
  <c r="B1895" i="34" a="1"/>
  <c r="B1575" i="34" a="1"/>
  <c r="B1703" i="34" a="1"/>
  <c r="B1831" i="34" a="1"/>
  <c r="B1976" i="34" a="1"/>
  <c r="B1504" i="34" a="1"/>
  <c r="B1632" i="34" a="1"/>
  <c r="B1760" i="34" a="1"/>
  <c r="B1896" i="34" a="1"/>
  <c r="B1955" i="34" a="1"/>
  <c r="B1987" i="34" a="1"/>
  <c r="B1617" i="34" a="1"/>
  <c r="B1745" i="34" a="1"/>
  <c r="B1882" i="34" a="1"/>
  <c r="B1586" i="34" a="1"/>
  <c r="B1714" i="34" a="1"/>
  <c r="B1954" i="34" a="1"/>
  <c r="B1523" i="34" a="1"/>
  <c r="B1651" i="34" a="1"/>
  <c r="B1779" i="34" a="1"/>
  <c r="B1812" i="34" a="1"/>
  <c r="B1564" i="34" a="1"/>
  <c r="B1692" i="34" a="1"/>
  <c r="B1828" i="34" a="1"/>
  <c r="B1525" i="34" a="1"/>
  <c r="B1653" i="34" a="1"/>
  <c r="B1781" i="34" a="1"/>
  <c r="B58" i="34" a="1"/>
  <c r="B186" i="34" a="1"/>
  <c r="B314" i="34" a="1"/>
  <c r="B442" i="34" a="1"/>
  <c r="B27" i="34" a="1"/>
  <c r="B155" i="34" a="1"/>
  <c r="B283" i="34" a="1"/>
  <c r="B411" i="34" a="1"/>
  <c r="B4" i="34" a="1"/>
  <c r="B132" i="34" a="1"/>
  <c r="B260" i="34" a="1"/>
  <c r="B388" i="34" a="1"/>
  <c r="B29" i="34" a="1"/>
  <c r="B157" i="34" a="1"/>
  <c r="B285" i="34" a="1"/>
  <c r="B413" i="34" a="1"/>
  <c r="B86" i="34" a="1"/>
  <c r="B214" i="34" a="1"/>
  <c r="B342" i="34" a="1"/>
  <c r="B7" i="34" a="1"/>
  <c r="B135" i="34" a="1"/>
  <c r="B263" i="34" a="1"/>
  <c r="B391" i="34" a="1"/>
  <c r="B80" i="34" a="1"/>
  <c r="B208" i="34" a="1"/>
  <c r="F1991" i="34" a="1"/>
  <c r="F1896" i="34" a="1"/>
  <c r="F1923" i="34" a="1"/>
  <c r="F1565" i="34" a="1"/>
  <c r="F187" i="34" a="1"/>
  <c r="F285" i="34" a="1"/>
  <c r="F40" i="34" a="1"/>
  <c r="F978" i="34" a="1"/>
  <c r="F627" i="34" a="1"/>
  <c r="F838" i="34" a="1"/>
  <c r="F784" i="34" a="1"/>
  <c r="F1078" i="34" a="1"/>
  <c r="F1369" i="34" a="1"/>
  <c r="F916" i="34" a="1"/>
  <c r="F1475" i="34" a="1"/>
  <c r="F1274" i="34" a="1"/>
  <c r="F1492" i="34" a="1"/>
  <c r="F1371" i="34" a="1"/>
  <c r="F1218" i="34" a="1"/>
  <c r="F1210" i="34" a="1"/>
  <c r="F1300" i="34" a="1"/>
  <c r="F1123" i="34" a="1"/>
  <c r="F1277" i="34" a="1"/>
  <c r="F1485" i="34" a="1"/>
  <c r="F1470" i="34" a="1"/>
  <c r="F1286" i="34" a="1"/>
  <c r="F925" i="34" a="1"/>
  <c r="F1107" i="34" a="1"/>
  <c r="F864" i="34" a="1"/>
  <c r="F1136" i="34" a="1"/>
  <c r="F1400" i="34" a="1"/>
  <c r="B1542" i="34" a="1"/>
  <c r="B1718" i="34" a="1"/>
  <c r="B1846" i="34" a="1"/>
  <c r="B1974" i="34" a="1"/>
  <c r="B1927" i="34" a="1"/>
  <c r="B1583" i="34" a="1"/>
  <c r="B1711" i="34" a="1"/>
  <c r="B1839" i="34" a="1"/>
  <c r="B1992" i="34" a="1"/>
  <c r="B1512" i="34" a="1"/>
  <c r="B1640" i="34" a="1"/>
  <c r="B1768" i="34" a="1"/>
  <c r="B1912" i="34" a="1"/>
  <c r="B1845" i="34" a="1"/>
  <c r="B1861" i="34" a="1"/>
  <c r="B1625" i="34" a="1"/>
  <c r="B1753" i="34" a="1"/>
  <c r="B1970" i="34" a="1"/>
  <c r="B1594" i="34" a="1"/>
  <c r="B1722" i="34" a="1"/>
  <c r="B1978" i="34" a="1"/>
  <c r="B1531" i="34" a="1"/>
  <c r="B1659" i="34" a="1"/>
  <c r="B1787" i="34" a="1"/>
  <c r="B1844" i="34" a="1"/>
  <c r="B1572" i="34" a="1"/>
  <c r="B1700" i="34" a="1"/>
  <c r="B1836" i="34" a="1"/>
  <c r="B1533" i="34" a="1"/>
  <c r="B1661" i="34" a="1"/>
  <c r="B1797" i="34" a="1"/>
  <c r="B66" i="34" a="1"/>
  <c r="B194" i="34" a="1"/>
  <c r="B322" i="34" a="1"/>
  <c r="B450" i="34" a="1"/>
  <c r="B35" i="34" a="1"/>
  <c r="B163" i="34" a="1"/>
  <c r="B291" i="34" a="1"/>
  <c r="B419" i="34" a="1"/>
  <c r="B12" i="34" a="1"/>
  <c r="B140" i="34" a="1"/>
  <c r="B268" i="34" a="1"/>
  <c r="B396" i="34" a="1"/>
  <c r="B37" i="34" a="1"/>
  <c r="B165" i="34" a="1"/>
  <c r="B293" i="34" a="1"/>
  <c r="B421" i="34" a="1"/>
  <c r="B94" i="34" a="1"/>
  <c r="B222" i="34" a="1"/>
  <c r="B350" i="34" a="1"/>
  <c r="B15" i="34" a="1"/>
  <c r="B143" i="34" a="1"/>
  <c r="B271" i="34" a="1"/>
  <c r="B399" i="34" a="1"/>
  <c r="B88" i="34" a="1"/>
  <c r="B216" i="34" a="1"/>
  <c r="B344" i="34" a="1"/>
  <c r="B89" i="34" a="1"/>
  <c r="B217" i="34" a="1"/>
  <c r="B345" i="34" a="1"/>
  <c r="B601" i="34" a="1"/>
  <c r="B623" i="34" a="1"/>
  <c r="B789" i="34" a="1"/>
  <c r="B917" i="34" a="1"/>
  <c r="B1045" i="34" a="1"/>
  <c r="B560" i="34" a="1"/>
  <c r="B537" i="34" a="1"/>
  <c r="B766" i="34" a="1"/>
  <c r="B894" i="34" a="1"/>
  <c r="B1022" i="34" a="1"/>
  <c r="B486" i="34" a="1"/>
  <c r="B505" i="34" a="1"/>
  <c r="B751" i="34" a="1"/>
  <c r="B879" i="34" a="1"/>
  <c r="B1007" i="34" a="1"/>
  <c r="B1135" i="34" a="1"/>
  <c r="B648" i="34" a="1"/>
  <c r="B696" i="34" a="1"/>
  <c r="B824" i="34" a="1"/>
  <c r="B952" i="34" a="1"/>
  <c r="B1080" i="34" a="1"/>
  <c r="B527" i="34" a="1"/>
  <c r="B493" i="34" a="1"/>
  <c r="B745" i="34" a="1"/>
  <c r="B873" i="34" a="1"/>
  <c r="B1001" i="34" a="1"/>
  <c r="B425" i="34" a="1"/>
  <c r="F1559" i="34" a="1"/>
  <c r="F1529" i="34" a="1"/>
  <c r="F1539" i="34" a="1"/>
  <c r="F1669" i="34" a="1"/>
  <c r="F291" i="34" a="1"/>
  <c r="F389" i="34" a="1"/>
  <c r="F144" i="34" a="1"/>
  <c r="F1082" i="34" a="1"/>
  <c r="F756" i="34" a="1"/>
  <c r="F942" i="34" a="1"/>
  <c r="F538" i="34" a="1"/>
  <c r="F1100" i="34" a="1"/>
  <c r="F1393" i="34" a="1"/>
  <c r="F932" i="34" a="1"/>
  <c r="F1404" i="34" a="1"/>
  <c r="F1290" i="34" a="1"/>
  <c r="F1439" i="34" a="1"/>
  <c r="F1411" i="34" a="1"/>
  <c r="F1259" i="34" a="1"/>
  <c r="F1219" i="34" a="1"/>
  <c r="F1308" i="34" a="1"/>
  <c r="F1203" i="34" a="1"/>
  <c r="F1285" i="34" a="1"/>
  <c r="F1493" i="34" a="1"/>
  <c r="F1359" i="34" a="1"/>
  <c r="F1294" i="34" a="1"/>
  <c r="F941" i="34" a="1"/>
  <c r="F1153" i="34" a="1"/>
  <c r="F880" i="34" a="1"/>
  <c r="F1145" i="34" a="1"/>
  <c r="F1424" i="34" a="1"/>
  <c r="B1550" i="34" a="1"/>
  <c r="B1726" i="34" a="1"/>
  <c r="B1854" i="34" a="1"/>
  <c r="B1982" i="34" a="1"/>
  <c r="B1951" i="34" a="1"/>
  <c r="B1591" i="34" a="1"/>
  <c r="B1719" i="34" a="1"/>
  <c r="B1847" i="34" a="1"/>
  <c r="B1865" i="34" a="1"/>
  <c r="B1520" i="34" a="1"/>
  <c r="B1648" i="34" a="1"/>
  <c r="B1776" i="34" a="1"/>
  <c r="B1928" i="34" a="1"/>
  <c r="B1981" i="34" a="1"/>
  <c r="B1505" i="34" a="1"/>
  <c r="B1633" i="34" a="1"/>
  <c r="B1761" i="34" a="1"/>
  <c r="B1947" i="34" a="1"/>
  <c r="B1602" i="34" a="1"/>
  <c r="B1730" i="34" a="1"/>
  <c r="B1963" i="34" a="1"/>
  <c r="B1539" i="34" a="1"/>
  <c r="B1667" i="34" a="1"/>
  <c r="B1795" i="34" a="1"/>
  <c r="B1860" i="34" a="1"/>
  <c r="B1580" i="34" a="1"/>
  <c r="B1708" i="34" a="1"/>
  <c r="B1852" i="34" a="1"/>
  <c r="B1541" i="34" a="1"/>
  <c r="B1669" i="34" a="1"/>
  <c r="B1805" i="34" a="1"/>
  <c r="B74" i="34" a="1"/>
  <c r="B202" i="34" a="1"/>
  <c r="B330" i="34" a="1"/>
  <c r="B458" i="34" a="1"/>
  <c r="B43" i="34" a="1"/>
  <c r="B171" i="34" a="1"/>
  <c r="B299" i="34" a="1"/>
  <c r="B427" i="34" a="1"/>
  <c r="B20" i="34" a="1"/>
  <c r="B148" i="34" a="1"/>
  <c r="B276" i="34" a="1"/>
  <c r="B404" i="34" a="1"/>
  <c r="B45" i="34" a="1"/>
  <c r="B173" i="34" a="1"/>
  <c r="B301" i="34" a="1"/>
  <c r="B429" i="34" a="1"/>
  <c r="B102" i="34" a="1"/>
  <c r="B230" i="34" a="1"/>
  <c r="B358" i="34" a="1"/>
  <c r="B23" i="34" a="1"/>
  <c r="B151" i="34" a="1"/>
  <c r="B279" i="34" a="1"/>
  <c r="B407" i="34" a="1"/>
  <c r="B96" i="34" a="1"/>
  <c r="B224" i="34" a="1"/>
  <c r="F1583" i="34" a="1"/>
  <c r="F1553" i="34" a="1"/>
  <c r="F1563" i="34" a="1"/>
  <c r="F1693" i="34" a="1"/>
  <c r="F315" i="34" a="1"/>
  <c r="F413" i="34" a="1"/>
  <c r="F168" i="34" a="1"/>
  <c r="F1106" i="34" a="1"/>
  <c r="F780" i="34" a="1"/>
  <c r="F966" i="34" a="1"/>
  <c r="F570" i="34" a="1"/>
  <c r="F1128" i="34" a="1"/>
  <c r="F1401" i="34" a="1"/>
  <c r="F948" i="34" a="1"/>
  <c r="F824" i="34" a="1"/>
  <c r="F1298" i="34" a="1"/>
  <c r="F1495" i="34" a="1"/>
  <c r="F1491" i="34" a="1"/>
  <c r="F1275" i="34" a="1"/>
  <c r="F833" i="34" a="1"/>
  <c r="F1324" i="34" a="1"/>
  <c r="F1220" i="34" a="1"/>
  <c r="F1293" i="34" a="1"/>
  <c r="F841" i="34" a="1"/>
  <c r="F1407" i="34" a="1"/>
  <c r="F1302" i="34" a="1"/>
  <c r="F1006" i="34" a="1"/>
  <c r="F1162" i="34" a="1"/>
  <c r="F896" i="34" a="1"/>
  <c r="F1164" i="34" a="1"/>
  <c r="F1432" i="34" a="1"/>
  <c r="B1558" i="34" a="1"/>
  <c r="B1734" i="34" a="1"/>
  <c r="B1862" i="34" a="1"/>
  <c r="B1990" i="34" a="1"/>
  <c r="B1967" i="34" a="1"/>
  <c r="B1599" i="34" a="1"/>
  <c r="B1727" i="34" a="1"/>
  <c r="B1855" i="34" a="1"/>
  <c r="B1897" i="34" a="1"/>
  <c r="B1528" i="34" a="1"/>
  <c r="B1656" i="34" a="1"/>
  <c r="B1784" i="34" a="1"/>
  <c r="B1944" i="34" a="1"/>
  <c r="B1769" i="34" a="1"/>
  <c r="B1513" i="34" a="1"/>
  <c r="B1641" i="34" a="1"/>
  <c r="B1777" i="34" a="1"/>
  <c r="B1988" i="34" a="1"/>
  <c r="B1610" i="34" a="1"/>
  <c r="B1738" i="34" a="1"/>
  <c r="B1980" i="34" a="1"/>
  <c r="B1547" i="34" a="1"/>
  <c r="B1675" i="34" a="1"/>
  <c r="B1803" i="34" a="1"/>
  <c r="B1876" i="34" a="1"/>
  <c r="B1588" i="34" a="1"/>
  <c r="B1716" i="34" a="1"/>
  <c r="B1868" i="34" a="1"/>
  <c r="B1549" i="34" a="1"/>
  <c r="B1677" i="34" a="1"/>
  <c r="B1813" i="34" a="1"/>
  <c r="B82" i="34" a="1"/>
  <c r="B210" i="34" a="1"/>
  <c r="B338" i="34" a="1"/>
  <c r="B466" i="34" a="1"/>
  <c r="B51" i="34" a="1"/>
  <c r="B179" i="34" a="1"/>
  <c r="B307" i="34" a="1"/>
  <c r="B435" i="34" a="1"/>
  <c r="B28" i="34" a="1"/>
  <c r="B156" i="34" a="1"/>
  <c r="B284" i="34" a="1"/>
  <c r="B412" i="34" a="1"/>
  <c r="B53" i="34" a="1"/>
  <c r="B181" i="34" a="1"/>
  <c r="B309" i="34" a="1"/>
  <c r="B437" i="34" a="1"/>
  <c r="B110" i="34" a="1"/>
  <c r="B238" i="34" a="1"/>
  <c r="B366" i="34" a="1"/>
  <c r="B31" i="34" a="1"/>
  <c r="B159" i="34" a="1"/>
  <c r="B287" i="34" a="1"/>
  <c r="B415" i="34" a="1"/>
  <c r="B104" i="34" a="1"/>
  <c r="B232" i="34" a="1"/>
  <c r="B360" i="34" a="1"/>
  <c r="B105" i="34" a="1"/>
  <c r="B233" i="34" a="1"/>
  <c r="B361" i="34" a="1"/>
  <c r="B622" i="34" a="1"/>
  <c r="B676" i="34" a="1"/>
  <c r="B805" i="34" a="1"/>
  <c r="B933" i="34" a="1"/>
  <c r="B1061" i="34" a="1"/>
  <c r="B581" i="34" a="1"/>
  <c r="B603" i="34" a="1"/>
  <c r="B782" i="34" a="1"/>
  <c r="B910" i="34" a="1"/>
  <c r="B1038" i="34" a="1"/>
  <c r="B561" i="34" a="1"/>
  <c r="B539" i="34" a="1"/>
  <c r="B767" i="34" a="1"/>
  <c r="B895" i="34" a="1"/>
  <c r="B1023" i="34" a="1"/>
  <c r="B463" i="34" a="1"/>
  <c r="B669" i="34" a="1"/>
  <c r="B712" i="34" a="1"/>
  <c r="B840" i="34" a="1"/>
  <c r="B968" i="34" a="1"/>
  <c r="B1096" i="34" a="1"/>
  <c r="B553" i="34" a="1"/>
  <c r="B528" i="34" a="1"/>
  <c r="B761" i="34" a="1"/>
  <c r="B889" i="34" a="1"/>
  <c r="B1017" i="34" a="1"/>
  <c r="B494" i="34" a="1"/>
  <c r="B471" i="34" a="1"/>
  <c r="B754" i="34" a="1"/>
  <c r="B882" i="34" a="1"/>
  <c r="B1010" i="34" a="1"/>
  <c r="B433" i="34" a="1"/>
  <c r="B673" i="34" a="1"/>
  <c r="F1687" i="34" a="1"/>
  <c r="F1657" i="34" a="1"/>
  <c r="F1667" i="34" a="1"/>
  <c r="F1797" i="34" a="1"/>
  <c r="F419" i="34" a="1"/>
  <c r="F102" i="34" a="1"/>
  <c r="F272" i="34" a="1"/>
  <c r="F562" i="34" a="1"/>
  <c r="F512" i="34" a="1"/>
  <c r="F568" i="34" a="1"/>
  <c r="F539" i="34" a="1"/>
  <c r="F1137" i="34" a="1"/>
  <c r="F1409" i="34" a="1"/>
  <c r="F1022" i="34" a="1"/>
  <c r="F964" i="34" a="1"/>
  <c r="F1306" i="34" a="1"/>
  <c r="F825" i="34" a="1"/>
  <c r="F1428" i="34" a="1"/>
  <c r="F1283" i="34" a="1"/>
  <c r="F1025" i="34" a="1"/>
  <c r="F1332" i="34" a="1"/>
  <c r="F840" i="34" a="1"/>
  <c r="F1317" i="34" a="1"/>
  <c r="F860" i="34" a="1"/>
  <c r="F1479" i="34" a="1"/>
  <c r="F1318" i="34" a="1"/>
  <c r="F1017" i="34" a="1"/>
  <c r="F1180" i="34" a="1"/>
  <c r="F984" i="34" a="1"/>
  <c r="F1181" i="34" a="1"/>
  <c r="F1456" i="34" a="1"/>
  <c r="B1582" i="34" a="1"/>
  <c r="B1742" i="34" a="1"/>
  <c r="B1870" i="34" a="1"/>
  <c r="B1998" i="34" a="1"/>
  <c r="B1991" i="34" a="1"/>
  <c r="B1607" i="34" a="1"/>
  <c r="B1735" i="34" a="1"/>
  <c r="B1871" i="34" a="1"/>
  <c r="B1913" i="34" a="1"/>
  <c r="B1536" i="34" a="1"/>
  <c r="B1664" i="34" a="1"/>
  <c r="B1792" i="34" a="1"/>
  <c r="B1968" i="34" a="1"/>
  <c r="B1825" i="34" a="1"/>
  <c r="B1521" i="34" a="1"/>
  <c r="B1649" i="34" a="1"/>
  <c r="B1785" i="34" a="1"/>
  <c r="B1925" i="34" a="1"/>
  <c r="B1618" i="34" a="1"/>
  <c r="B1746" i="34" a="1"/>
  <c r="B1909" i="34" a="1"/>
  <c r="B1555" i="34" a="1"/>
  <c r="B1683" i="34" a="1"/>
  <c r="B1811" i="34" a="1"/>
  <c r="B1892" i="34" a="1"/>
  <c r="B1596" i="34" a="1"/>
  <c r="B1724" i="34" a="1"/>
  <c r="B1884" i="34" a="1"/>
  <c r="B1557" i="34" a="1"/>
  <c r="B1685" i="34" a="1"/>
  <c r="B1821" i="34" a="1"/>
  <c r="B90" i="34" a="1"/>
  <c r="B218" i="34" a="1"/>
  <c r="B346" i="34" a="1"/>
  <c r="B474" i="34" a="1"/>
  <c r="B59" i="34" a="1"/>
  <c r="B187" i="34" a="1"/>
  <c r="B315" i="34" a="1"/>
  <c r="B443" i="34" a="1"/>
  <c r="B36" i="34" a="1"/>
  <c r="B164" i="34" a="1"/>
  <c r="B292" i="34" a="1"/>
  <c r="B420" i="34" a="1"/>
  <c r="B61" i="34" a="1"/>
  <c r="B189" i="34" a="1"/>
  <c r="B317" i="34" a="1"/>
  <c r="B445" i="34" a="1"/>
  <c r="B118" i="34" a="1"/>
  <c r="B246" i="34" a="1"/>
  <c r="B374" i="34" a="1"/>
  <c r="B39" i="34" a="1"/>
  <c r="B167" i="34" a="1"/>
  <c r="B295" i="34" a="1"/>
  <c r="B423" i="34" a="1"/>
  <c r="B112" i="34" a="1"/>
  <c r="B240" i="34" a="1"/>
  <c r="B368" i="34" a="1"/>
  <c r="B113" i="34" a="1"/>
  <c r="B241" i="34" a="1"/>
  <c r="B369" i="34" a="1"/>
  <c r="B633" i="34" a="1"/>
  <c r="B685" i="34" a="1"/>
  <c r="B813" i="34" a="1"/>
  <c r="B941" i="34" a="1"/>
  <c r="B1069" i="34" a="1"/>
  <c r="B592" i="34" a="1"/>
  <c r="B635" i="34" a="1"/>
  <c r="B790" i="34" a="1"/>
  <c r="B918" i="34" a="1"/>
  <c r="B1046" i="34" a="1"/>
  <c r="B572" i="34" a="1"/>
  <c r="B551" i="34" a="1"/>
  <c r="B775" i="34" a="1"/>
  <c r="B903" i="34" a="1"/>
  <c r="B1031" i="34" a="1"/>
  <c r="B488" i="34" a="1"/>
  <c r="B679" i="34" a="1"/>
  <c r="B720" i="34" a="1"/>
  <c r="B848" i="34" a="1"/>
  <c r="B976" i="34" a="1"/>
  <c r="B1104" i="34" a="1"/>
  <c r="B564" i="34" a="1"/>
  <c r="B543" i="34" a="1"/>
  <c r="F1711" i="34" a="1"/>
  <c r="F1681" i="34" a="1"/>
  <c r="F1691" i="34" a="1"/>
  <c r="F1821" i="34" a="1"/>
  <c r="F443" i="34" a="1"/>
  <c r="F126" i="34" a="1"/>
  <c r="F296" i="34" a="1"/>
  <c r="F594" i="34" a="1"/>
  <c r="F544" i="34" a="1"/>
  <c r="F600" i="34" a="1"/>
  <c r="F623" i="34" a="1"/>
  <c r="F1146" i="34" a="1"/>
  <c r="F1425" i="34" a="1"/>
  <c r="F1033" i="34" a="1"/>
  <c r="F976" i="34" a="1"/>
  <c r="F1346" i="34" a="1"/>
  <c r="F853" i="34" a="1"/>
  <c r="F1460" i="34" a="1"/>
  <c r="F1379" i="34" a="1"/>
  <c r="F1061" i="34" a="1"/>
  <c r="F1340" i="34" a="1"/>
  <c r="F981" i="34" a="1"/>
  <c r="F1325" i="34" a="1"/>
  <c r="F876" i="34" a="1"/>
  <c r="F1029" i="34" a="1"/>
  <c r="F1326" i="34" a="1"/>
  <c r="F1053" i="34" a="1"/>
  <c r="F1231" i="34" a="1"/>
  <c r="F1020" i="34" a="1"/>
  <c r="F1198" i="34" a="1"/>
  <c r="F865" i="34" a="1"/>
  <c r="B1590" i="34" a="1"/>
  <c r="B1750" i="34" a="1"/>
  <c r="B1878" i="34" a="1"/>
  <c r="B1863" i="34" a="1"/>
  <c r="B1956" i="34" a="1"/>
  <c r="B1615" i="34" a="1"/>
  <c r="B1743" i="34" a="1"/>
  <c r="B1903" i="34" a="1"/>
  <c r="B1945" i="34" a="1"/>
  <c r="B1544" i="34" a="1"/>
  <c r="B1672" i="34" a="1"/>
  <c r="B1800" i="34" a="1"/>
  <c r="B1984" i="34" a="1"/>
  <c r="B1849" i="34" a="1"/>
  <c r="B1529" i="34" a="1"/>
  <c r="B1657" i="34" a="1"/>
  <c r="B1793" i="34" a="1"/>
  <c r="B1997" i="34" a="1"/>
  <c r="B1626" i="34" a="1"/>
  <c r="B1754" i="34" a="1"/>
  <c r="B1851" i="34" a="1"/>
  <c r="B1563" i="34" a="1"/>
  <c r="B1691" i="34" a="1"/>
  <c r="B1819" i="34" a="1"/>
  <c r="B1908" i="34" a="1"/>
  <c r="B1604" i="34" a="1"/>
  <c r="B1732" i="34" a="1"/>
  <c r="B1900" i="34" a="1"/>
  <c r="B1565" i="34" a="1"/>
  <c r="B1693" i="34" a="1"/>
  <c r="B1829" i="34" a="1"/>
  <c r="B98" i="34" a="1"/>
  <c r="B226" i="34" a="1"/>
  <c r="B354" i="34" a="1"/>
  <c r="B482" i="34" a="1"/>
  <c r="B67" i="34" a="1"/>
  <c r="B195" i="34" a="1"/>
  <c r="B323" i="34" a="1"/>
  <c r="B451" i="34" a="1"/>
  <c r="B44" i="34" a="1"/>
  <c r="B172" i="34" a="1"/>
  <c r="B300" i="34" a="1"/>
  <c r="B428" i="34" a="1"/>
  <c r="B69" i="34" a="1"/>
  <c r="B197" i="34" a="1"/>
  <c r="B325" i="34" a="1"/>
  <c r="B453" i="34" a="1"/>
  <c r="B126" i="34" a="1"/>
  <c r="B254" i="34" a="1"/>
  <c r="B382" i="34" a="1"/>
  <c r="B47" i="34" a="1"/>
  <c r="B175" i="34" a="1"/>
  <c r="B303" i="34" a="1"/>
  <c r="B431" i="34" a="1"/>
  <c r="B120" i="34" a="1"/>
  <c r="B248" i="34" a="1"/>
  <c r="F1815" i="34" a="1"/>
  <c r="F1785" i="34" a="1"/>
  <c r="F1795" i="34" a="1"/>
  <c r="F26" i="34" a="1"/>
  <c r="F68" i="34" a="1"/>
  <c r="F230" i="34" a="1"/>
  <c r="F57" i="34" a="1"/>
  <c r="F563" i="34" a="1"/>
  <c r="F449" i="34" a="1"/>
  <c r="F547" i="34" a="1"/>
  <c r="F745" i="34" a="1"/>
  <c r="F1216" i="34" a="1"/>
  <c r="F1433" i="34" a="1"/>
  <c r="F1079" i="34" a="1"/>
  <c r="F1046" i="34" a="1"/>
  <c r="F1354" i="34" a="1"/>
  <c r="F869" i="34" a="1"/>
  <c r="F1455" i="34" a="1"/>
  <c r="F1483" i="34" a="1"/>
  <c r="F1093" i="34" a="1"/>
  <c r="F1380" i="34" a="1"/>
  <c r="F992" i="34" a="1"/>
  <c r="F1333" i="34" a="1"/>
  <c r="F924" i="34" a="1"/>
  <c r="F1040" i="34" a="1"/>
  <c r="F1334" i="34" a="1"/>
  <c r="F1075" i="34" a="1"/>
  <c r="F1239" i="34" a="1"/>
  <c r="F1031" i="34" a="1"/>
  <c r="F1256" i="34" a="1"/>
  <c r="F881" i="34" a="1"/>
  <c r="B1598" i="34" a="1"/>
  <c r="B1758" i="34" a="1"/>
  <c r="B1886" i="34" a="1"/>
  <c r="B1879" i="34" a="1"/>
  <c r="B1917" i="34" a="1"/>
  <c r="B1623" i="34" a="1"/>
  <c r="B1751" i="34" a="1"/>
  <c r="B1935" i="34" a="1"/>
  <c r="B1961" i="34" a="1"/>
  <c r="B1552" i="34" a="1"/>
  <c r="B1680" i="34" a="1"/>
  <c r="B1808" i="34" a="1"/>
  <c r="B2000" i="34" a="1"/>
  <c r="B1889" i="34" a="1"/>
  <c r="B1537" i="34" a="1"/>
  <c r="B1665" i="34" a="1"/>
  <c r="B1801" i="34" a="1"/>
  <c r="B1506" i="34" a="1"/>
  <c r="B1634" i="34" a="1"/>
  <c r="B1762" i="34" a="1"/>
  <c r="B1875" i="34" a="1"/>
  <c r="B1571" i="34" a="1"/>
  <c r="B1699" i="34" a="1"/>
  <c r="B1827" i="34" a="1"/>
  <c r="B1924" i="34" a="1"/>
  <c r="B1612" i="34" a="1"/>
  <c r="B1740" i="34" a="1"/>
  <c r="B1916" i="34" a="1"/>
  <c r="B1573" i="34" a="1"/>
  <c r="B1701" i="34" a="1"/>
  <c r="B1837" i="34" a="1"/>
  <c r="B106" i="34" a="1"/>
  <c r="B234" i="34" a="1"/>
  <c r="B362" i="34" a="1"/>
  <c r="B490" i="34" a="1"/>
  <c r="B75" i="34" a="1"/>
  <c r="B203" i="34" a="1"/>
  <c r="B331" i="34" a="1"/>
  <c r="B459" i="34" a="1"/>
  <c r="B52" i="34" a="1"/>
  <c r="B180" i="34" a="1"/>
  <c r="B308" i="34" a="1"/>
  <c r="B436" i="34" a="1"/>
  <c r="B77" i="34" a="1"/>
  <c r="B205" i="34" a="1"/>
  <c r="B333" i="34" a="1"/>
  <c r="B6" i="34" a="1"/>
  <c r="B134" i="34" a="1"/>
  <c r="B262" i="34" a="1"/>
  <c r="B390" i="34" a="1"/>
  <c r="B55" i="34" a="1"/>
  <c r="B183" i="34" a="1"/>
  <c r="B311" i="34" a="1"/>
  <c r="B439" i="34" a="1"/>
  <c r="B128" i="34" a="1"/>
  <c r="B256" i="34" a="1"/>
  <c r="B384" i="34" a="1"/>
  <c r="B129" i="34" a="1"/>
  <c r="B257" i="34" a="1"/>
  <c r="B385" i="34" a="1"/>
  <c r="B654" i="34" a="1"/>
  <c r="B701" i="34" a="1"/>
  <c r="B829" i="34" a="1"/>
  <c r="B957" i="34" a="1"/>
  <c r="B1085" i="34" a="1"/>
  <c r="B613" i="34" a="1"/>
  <c r="B677" i="34" a="1"/>
  <c r="B806" i="34" a="1"/>
  <c r="B934" i="34" a="1"/>
  <c r="B1062" i="34" a="1"/>
  <c r="B593" i="34" a="1"/>
  <c r="B615" i="34" a="1"/>
  <c r="B791" i="34" a="1"/>
  <c r="B919" i="34" a="1"/>
  <c r="B1047" i="34" a="1"/>
  <c r="B525" i="34" a="1"/>
  <c r="B464" i="34" a="1"/>
  <c r="B736" i="34" a="1"/>
  <c r="B864" i="34" a="1"/>
  <c r="B992" i="34" a="1"/>
  <c r="B1120" i="34" a="1"/>
  <c r="B585" i="34" a="1"/>
  <c r="B607" i="34" a="1"/>
  <c r="B785" i="34" a="1"/>
  <c r="B913" i="34" a="1"/>
  <c r="F1961" i="34" a="1"/>
  <c r="F1913" i="34" a="1"/>
  <c r="F1971" i="34" a="1"/>
  <c r="F154" i="34" a="1"/>
  <c r="F196" i="34" a="1"/>
  <c r="F358" i="34" a="1"/>
  <c r="F185" i="34" a="1"/>
  <c r="F755" i="34" a="1"/>
  <c r="F725" i="34" a="1"/>
  <c r="F775" i="34" a="1"/>
  <c r="F529" i="34" a="1"/>
  <c r="F1241" i="34" a="1"/>
  <c r="F1481" i="34" a="1"/>
  <c r="F1147" i="34" a="1"/>
  <c r="F1069" i="34" a="1"/>
  <c r="F1386" i="34" a="1"/>
  <c r="F989" i="34" a="1"/>
  <c r="F965" i="34" a="1"/>
  <c r="F872" i="34" a="1"/>
  <c r="F1141" i="34" a="1"/>
  <c r="F1412" i="34" a="1"/>
  <c r="F1104" i="34" a="1"/>
  <c r="F1357" i="34" a="1"/>
  <c r="F956" i="34" a="1"/>
  <c r="F1125" i="34" a="1"/>
  <c r="F1382" i="34" a="1"/>
  <c r="F1171" i="34" a="1"/>
  <c r="F1263" i="34" a="1"/>
  <c r="F1097" i="34" a="1"/>
  <c r="F1272" i="34" a="1"/>
  <c r="F1021" i="34" a="1"/>
  <c r="B1622" i="34" a="1"/>
  <c r="B1774" i="34" a="1"/>
  <c r="B1902" i="34" a="1"/>
  <c r="B1911" i="34" a="1"/>
  <c r="B1511" i="34" a="1"/>
  <c r="B1639" i="34" a="1"/>
  <c r="B1767" i="34" a="1"/>
  <c r="B1972" i="34" a="1"/>
  <c r="B1810" i="34" a="1"/>
  <c r="B1568" i="34" a="1"/>
  <c r="B1696" i="34" a="1"/>
  <c r="B1824" i="34" a="1"/>
  <c r="B1929" i="34" a="1"/>
  <c r="B1953" i="34" a="1"/>
  <c r="B1553" i="34" a="1"/>
  <c r="B1681" i="34" a="1"/>
  <c r="B1817" i="34" a="1"/>
  <c r="B1522" i="34" a="1"/>
  <c r="B1650" i="34" a="1"/>
  <c r="B1778" i="34" a="1"/>
  <c r="B1915" i="34" a="1"/>
  <c r="B1587" i="34" a="1"/>
  <c r="B1715" i="34" a="1"/>
  <c r="B1843" i="34" a="1"/>
  <c r="B1941" i="34" a="1"/>
  <c r="B1628" i="34" a="1"/>
  <c r="B1756" i="34" a="1"/>
  <c r="B1940" i="34" a="1"/>
  <c r="B1589" i="34" a="1"/>
  <c r="B1717" i="34" a="1"/>
  <c r="B1957" i="34" a="1"/>
  <c r="B122" i="34" a="1"/>
  <c r="B250" i="34" a="1"/>
  <c r="B378" i="34" a="1"/>
  <c r="B506" i="34" a="1"/>
  <c r="B91" i="34" a="1"/>
  <c r="B219" i="34" a="1"/>
  <c r="B347" i="34" a="1"/>
  <c r="B475" i="34" a="1"/>
  <c r="B68" i="34" a="1"/>
  <c r="B196" i="34" a="1"/>
  <c r="B324" i="34" a="1"/>
  <c r="B452" i="34" a="1"/>
  <c r="B93" i="34" a="1"/>
  <c r="B221" i="34" a="1"/>
  <c r="B349" i="34" a="1"/>
  <c r="B22" i="34" a="1"/>
  <c r="B150" i="34" a="1"/>
  <c r="B278" i="34" a="1"/>
  <c r="B406" i="34" a="1"/>
  <c r="B71" i="34" a="1"/>
  <c r="B199" i="34" a="1"/>
  <c r="B327" i="34" a="1"/>
  <c r="B16" i="34" a="1"/>
  <c r="B144" i="34" a="1"/>
  <c r="F1847" i="34" a="1"/>
  <c r="F949" i="34" a="1"/>
  <c r="B1766" i="34" a="1"/>
  <c r="B1514" i="34" a="1"/>
  <c r="B370" i="34" a="1"/>
  <c r="B398" i="34" a="1"/>
  <c r="B33" i="34" a="1"/>
  <c r="B289" i="34" a="1"/>
  <c r="B449" i="34" a="1"/>
  <c r="B861" i="34" a="1"/>
  <c r="B1117" i="34" a="1"/>
  <c r="B710" i="34" a="1"/>
  <c r="B966" i="34" a="1"/>
  <c r="B636" i="34" a="1"/>
  <c r="B823" i="34" a="1"/>
  <c r="B1079" i="34" a="1"/>
  <c r="B541" i="34" a="1"/>
  <c r="B896" i="34" a="1"/>
  <c r="B1152" i="34" a="1"/>
  <c r="B689" i="34" a="1"/>
  <c r="B921" i="34" a="1"/>
  <c r="B1113" i="34" a="1"/>
  <c r="B529" i="34" a="1"/>
  <c r="B802" i="34" a="1"/>
  <c r="B978" i="34" a="1"/>
  <c r="B1130" i="34" a="1"/>
  <c r="B516" i="34" a="1"/>
  <c r="B771" i="34" a="1"/>
  <c r="B907" i="34" a="1"/>
  <c r="B497" i="34" a="1"/>
  <c r="B447" i="34" a="1"/>
  <c r="B740" i="34" a="1"/>
  <c r="B868" i="34" a="1"/>
  <c r="B996" i="34" a="1"/>
  <c r="B1124" i="34" a="1"/>
  <c r="B1350" i="34" a="1"/>
  <c r="B1478" i="34" a="1"/>
  <c r="B1254" i="34" a="1"/>
  <c r="B1335" i="34" a="1"/>
  <c r="B1463" i="34" a="1"/>
  <c r="B1433" i="34" a="1"/>
  <c r="B1247" i="34" a="1"/>
  <c r="B1384" i="34" a="1"/>
  <c r="B1465" i="34" a="1"/>
  <c r="B1229" i="34" a="1"/>
  <c r="B1281" i="34" a="1"/>
  <c r="B1409" i="34" a="1"/>
  <c r="B1230" i="34" a="1"/>
  <c r="B1298" i="34" a="1"/>
  <c r="B1426" i="34" a="1"/>
  <c r="B1250" i="34" a="1"/>
  <c r="B1307" i="34" a="1"/>
  <c r="B1435" i="34" a="1"/>
  <c r="B1251" i="34" a="1"/>
  <c r="B1324" i="34" a="1"/>
  <c r="B1225" i="34" a="1"/>
  <c r="B1301" i="34" a="1"/>
  <c r="B1129" i="34" a="1"/>
  <c r="M14" i="35" a="1"/>
  <c r="B1392" i="34" a="1"/>
  <c r="B1238" i="34" a="1"/>
  <c r="B1249" i="34" a="1"/>
  <c r="B1491" i="34" a="1"/>
  <c r="B1443" i="34" a="1"/>
  <c r="B1388" i="34" a="1"/>
  <c r="B1234" i="34" a="1"/>
  <c r="B1309" i="34" a="1"/>
  <c r="L14" i="35" a="1"/>
  <c r="B1157" i="34" a="1"/>
  <c r="B1185" i="34" a="1"/>
  <c r="B1206" i="34" a="1"/>
  <c r="B845" i="34" a="1"/>
  <c r="B495" i="34" a="1"/>
  <c r="B1220" i="34" a="1"/>
  <c r="F1809" i="34" a="1"/>
  <c r="F1440" i="34" a="1"/>
  <c r="B1894" i="34" a="1"/>
  <c r="B1642" i="34" a="1"/>
  <c r="B498" i="34" a="1"/>
  <c r="B63" i="34" a="1"/>
  <c r="B65" i="34" a="1"/>
  <c r="B321" i="34" a="1"/>
  <c r="B536" i="34" a="1"/>
  <c r="B893" i="34" a="1"/>
  <c r="B481" i="34" a="1"/>
  <c r="B742" i="34" a="1"/>
  <c r="B998" i="34" a="1"/>
  <c r="B408" i="34" a="1"/>
  <c r="B855" i="34" a="1"/>
  <c r="B1111" i="34" a="1"/>
  <c r="B659" i="34" a="1"/>
  <c r="B928" i="34" a="1"/>
  <c r="B465" i="34" a="1"/>
  <c r="B721" i="34" a="1"/>
  <c r="B929" i="34" a="1"/>
  <c r="B1121" i="34" a="1"/>
  <c r="B555" i="34" a="1"/>
  <c r="B810" i="34" a="1"/>
  <c r="B986" i="34" a="1"/>
  <c r="B472" i="34" a="1"/>
  <c r="B532" i="34" a="1"/>
  <c r="B779" i="34" a="1"/>
  <c r="B915" i="34" a="1"/>
  <c r="B517" i="34" a="1"/>
  <c r="B478" i="34" a="1"/>
  <c r="B748" i="34" a="1"/>
  <c r="B876" i="34" a="1"/>
  <c r="B1004" i="34" a="1"/>
  <c r="B1027" i="34" a="1"/>
  <c r="B1358" i="34" a="1"/>
  <c r="B1486" i="34" a="1"/>
  <c r="B1043" i="34" a="1"/>
  <c r="B1343" i="34" a="1"/>
  <c r="B1471" i="34" a="1"/>
  <c r="B1457" i="34" a="1"/>
  <c r="B1264" i="34" a="1"/>
  <c r="B1473" i="34" a="1"/>
  <c r="B1289" i="34" a="1"/>
  <c r="B1417" i="34" a="1"/>
  <c r="B1306" i="34" a="1"/>
  <c r="B1434" i="34" a="1"/>
  <c r="B1315" i="34" a="1"/>
  <c r="B1332" i="34" a="1"/>
  <c r="B1145" i="34" a="1"/>
  <c r="B1063" i="34" a="1"/>
  <c r="B1122" i="34" a="1"/>
  <c r="B1455" i="34" a="1"/>
  <c r="B1196" i="34" a="1"/>
  <c r="F1819" i="34" a="1"/>
  <c r="F832" i="34" a="1"/>
  <c r="B1887" i="34" a="1"/>
  <c r="B1770" i="34" a="1"/>
  <c r="B83" i="34" a="1"/>
  <c r="B191" i="34" a="1"/>
  <c r="B73" i="34" a="1"/>
  <c r="B329" i="34" a="1"/>
  <c r="B559" i="34" a="1"/>
  <c r="B901" i="34" a="1"/>
  <c r="B503" i="34" a="1"/>
  <c r="B750" i="34" a="1"/>
  <c r="B1006" i="34" a="1"/>
  <c r="B461" i="34" a="1"/>
  <c r="B863" i="34" a="1"/>
  <c r="B1119" i="34" a="1"/>
  <c r="B680" i="34" a="1"/>
  <c r="B936" i="34" a="1"/>
  <c r="B492" i="34" a="1"/>
  <c r="B729" i="34" a="1"/>
  <c r="B937" i="34" a="1"/>
  <c r="B470" i="34" a="1"/>
  <c r="B587" i="34" a="1"/>
  <c r="B842" i="34" a="1"/>
  <c r="B994" i="34" a="1"/>
  <c r="B496" i="34" a="1"/>
  <c r="B567" i="34" a="1"/>
  <c r="B787" i="34" a="1"/>
  <c r="B923" i="34" a="1"/>
  <c r="B533" i="34" a="1"/>
  <c r="B500" i="34" a="1"/>
  <c r="B756" i="34" a="1"/>
  <c r="B884" i="34" a="1"/>
  <c r="B1012" i="34" a="1"/>
  <c r="B1146" i="34" a="1"/>
  <c r="B1366" i="34" a="1"/>
  <c r="B1494" i="34" a="1"/>
  <c r="B1147" i="34" a="1"/>
  <c r="B1351" i="34" a="1"/>
  <c r="B1479" i="34" a="1"/>
  <c r="B1497" i="34" a="1"/>
  <c r="B1272" i="34" a="1"/>
  <c r="B1400" i="34" a="1"/>
  <c r="B1489" i="34" a="1"/>
  <c r="B1256" i="34" a="1"/>
  <c r="B1297" i="34" a="1"/>
  <c r="B1425" i="34" a="1"/>
  <c r="B1498" i="34" a="1"/>
  <c r="B1314" i="34" a="1"/>
  <c r="B1442" i="34" a="1"/>
  <c r="B1444" i="34" a="1"/>
  <c r="B1323" i="34" a="1"/>
  <c r="B1451" i="34" a="1"/>
  <c r="B1500" i="34" a="1"/>
  <c r="B1340" i="34" a="1"/>
  <c r="B1243" i="34" a="1"/>
  <c r="B1317" i="34" a="1"/>
  <c r="B1158" i="34" a="1"/>
  <c r="M15" i="35" a="1"/>
  <c r="B1280" i="34" a="1"/>
  <c r="B1475" i="34" a="1"/>
  <c r="B1412" i="34" a="1"/>
  <c r="B1501" i="34" a="1"/>
  <c r="B1459" i="34" a="1"/>
  <c r="B1141" i="34" a="1"/>
  <c r="B1252" i="34" a="1"/>
  <c r="B1325" i="34" a="1"/>
  <c r="L15" i="35" a="1"/>
  <c r="B1420" i="34" a="1"/>
  <c r="B273" i="34" a="1"/>
  <c r="B880" i="34" a="1"/>
  <c r="B970" i="34" a="1"/>
  <c r="B1342" i="34" a="1"/>
  <c r="B1221" i="34" a="1"/>
  <c r="F50" i="34" a="1"/>
  <c r="F1132" i="34" a="1"/>
  <c r="B1503" i="34" a="1"/>
  <c r="B1899" i="34" a="1"/>
  <c r="B211" i="34" a="1"/>
  <c r="B319" i="34" a="1"/>
  <c r="B81" i="34" a="1"/>
  <c r="B337" i="34" a="1"/>
  <c r="B591" i="34" a="1"/>
  <c r="B909" i="34" a="1"/>
  <c r="B549" i="34" a="1"/>
  <c r="B758" i="34" a="1"/>
  <c r="B1014" i="34" a="1"/>
  <c r="B487" i="34" a="1"/>
  <c r="B871" i="34" a="1"/>
  <c r="B1127" i="34" a="1"/>
  <c r="B688" i="34" a="1"/>
  <c r="B944" i="34" a="1"/>
  <c r="B510" i="34" a="1"/>
  <c r="B737" i="34" a="1"/>
  <c r="B945" i="34" a="1"/>
  <c r="B512" i="34" a="1"/>
  <c r="B619" i="34" a="1"/>
  <c r="B850" i="34" a="1"/>
  <c r="B1002" i="34" a="1"/>
  <c r="B513" i="34" a="1"/>
  <c r="B599" i="34" a="1"/>
  <c r="B795" i="34" a="1"/>
  <c r="B931" i="34" a="1"/>
  <c r="B546" i="34" a="1"/>
  <c r="B518" i="34" a="1"/>
  <c r="B764" i="34" a="1"/>
  <c r="B892" i="34" a="1"/>
  <c r="B1020" i="34" a="1"/>
  <c r="B1159" i="34" a="1"/>
  <c r="B1374" i="34" a="1"/>
  <c r="B1421" i="34" a="1"/>
  <c r="B1162" i="34" a="1"/>
  <c r="B1359" i="34" a="1"/>
  <c r="B1487" i="34" a="1"/>
  <c r="B1466" i="34" a="1"/>
  <c r="B1408" i="34" a="1"/>
  <c r="B1450" i="34" a="1"/>
  <c r="B1305" i="34" a="1"/>
  <c r="B1449" i="34" a="1"/>
  <c r="B1322" i="34" a="1"/>
  <c r="B1458" i="34" a="1"/>
  <c r="B1331" i="34" a="1"/>
  <c r="B1348" i="34" a="1"/>
  <c r="B1172" i="34" a="1"/>
  <c r="B614" i="34" a="1"/>
  <c r="B763" i="34" a="1"/>
  <c r="B1255" i="34" a="1"/>
  <c r="B1316" i="34" a="1"/>
  <c r="F92" i="34" a="1"/>
  <c r="F1388" i="34" a="1"/>
  <c r="B1631" i="34" a="1"/>
  <c r="B1579" i="34" a="1"/>
  <c r="B339" i="34" a="1"/>
  <c r="B8" i="34" a="1"/>
  <c r="B97" i="34" a="1"/>
  <c r="B353" i="34" a="1"/>
  <c r="B655" i="34" a="1"/>
  <c r="B925" i="34" a="1"/>
  <c r="B570" i="34" a="1"/>
  <c r="B774" i="34" a="1"/>
  <c r="B1030" i="34" a="1"/>
  <c r="B524" i="34" a="1"/>
  <c r="B887" i="34" a="1"/>
  <c r="B409" i="34" a="1"/>
  <c r="B704" i="34" a="1"/>
  <c r="B960" i="34" a="1"/>
  <c r="B542" i="34" a="1"/>
  <c r="B753" i="34" a="1"/>
  <c r="B977" i="34" a="1"/>
  <c r="B544" i="34" a="1"/>
  <c r="B651" i="34" a="1"/>
  <c r="B858" i="34" a="1"/>
  <c r="B1018" i="34" a="1"/>
  <c r="B545" i="34" a="1"/>
  <c r="B631" i="34" a="1"/>
  <c r="B803" i="34" a="1"/>
  <c r="B947" i="34" a="1"/>
  <c r="B557" i="34" a="1"/>
  <c r="B534" i="34" a="1"/>
  <c r="B772" i="34" a="1"/>
  <c r="B900" i="34" a="1"/>
  <c r="B1028" i="34" a="1"/>
  <c r="B1173" i="34" a="1"/>
  <c r="B1382" i="34" a="1"/>
  <c r="B1035" i="34" a="1"/>
  <c r="B1175" i="34" a="1"/>
  <c r="B1367" i="34" a="1"/>
  <c r="B1495" i="34" a="1"/>
  <c r="B1490" i="34" a="1"/>
  <c r="B1288" i="34" a="1"/>
  <c r="B1416" i="34" a="1"/>
  <c r="B1482" i="34" a="1"/>
  <c r="B1484" i="34" a="1"/>
  <c r="B1313" i="34" a="1"/>
  <c r="B1481" i="34" a="1"/>
  <c r="B1067" i="34" a="1"/>
  <c r="B1330" i="34" a="1"/>
  <c r="B1474" i="34" a="1"/>
  <c r="B1115" i="34" a="1"/>
  <c r="B1339" i="34" a="1"/>
  <c r="B1483" i="34" a="1"/>
  <c r="B1183" i="34" a="1"/>
  <c r="B1356" i="34" a="1"/>
  <c r="B1469" i="34" a="1"/>
  <c r="B1333" i="34" a="1"/>
  <c r="B1186" i="34" a="1"/>
  <c r="B1476" i="34" a="1"/>
  <c r="B1346" i="34" a="1"/>
  <c r="B1355" i="34" a="1"/>
  <c r="B1215" i="34" a="1"/>
  <c r="B1207" i="34" a="1"/>
  <c r="B1224" i="34" a="1"/>
  <c r="B1217" i="34" a="1"/>
  <c r="B1226" i="34" a="1"/>
  <c r="B1373" i="34" a="1"/>
  <c r="B17" i="34" a="1"/>
  <c r="B671" i="34" a="1"/>
  <c r="B732" i="34" a="1"/>
  <c r="B1273" i="34" a="1"/>
  <c r="B1242" i="34" a="1"/>
  <c r="F254" i="34" a="1"/>
  <c r="F1028" i="34" a="1"/>
  <c r="B1759" i="34" a="1"/>
  <c r="B1707" i="34" a="1"/>
  <c r="B467" i="34" a="1"/>
  <c r="B136" i="34" a="1"/>
  <c r="B121" i="34" a="1"/>
  <c r="B377" i="34" a="1"/>
  <c r="B693" i="34" a="1"/>
  <c r="B949" i="34" a="1"/>
  <c r="B602" i="34" a="1"/>
  <c r="B798" i="34" a="1"/>
  <c r="B1054" i="34" a="1"/>
  <c r="B583" i="34" a="1"/>
  <c r="B911" i="34" a="1"/>
  <c r="B508" i="34" a="1"/>
  <c r="B728" i="34" a="1"/>
  <c r="B984" i="34" a="1"/>
  <c r="B574" i="34" a="1"/>
  <c r="B769" i="34" a="1"/>
  <c r="B985" i="34" a="1"/>
  <c r="B554" i="34" a="1"/>
  <c r="B682" i="34" a="1"/>
  <c r="B866" i="34" a="1"/>
  <c r="B1026" i="34" a="1"/>
  <c r="B556" i="34" a="1"/>
  <c r="B663" i="34" a="1"/>
  <c r="B819" i="34" a="1"/>
  <c r="B955" i="34" a="1"/>
  <c r="B568" i="34" a="1"/>
  <c r="B547" i="34" a="1"/>
  <c r="B780" i="34" a="1"/>
  <c r="B908" i="34" a="1"/>
  <c r="B1036" i="34" a="1"/>
  <c r="B1262" i="34" a="1"/>
  <c r="B1390" i="34" a="1"/>
  <c r="B1091" i="34" a="1"/>
  <c r="B1199" i="34" a="1"/>
  <c r="B1375" i="34" a="1"/>
  <c r="B1453" i="34" a="1"/>
  <c r="B1499" i="34" a="1"/>
  <c r="B1296" i="34" a="1"/>
  <c r="B1424" i="34" a="1"/>
  <c r="B1396" i="34" a="1"/>
  <c r="B1437" i="34" a="1"/>
  <c r="B1321" i="34" a="1"/>
  <c r="B1467" i="34" a="1"/>
  <c r="B1153" i="34" a="1"/>
  <c r="B1338" i="34" a="1"/>
  <c r="B1404" i="34" a="1"/>
  <c r="B1169" i="34" a="1"/>
  <c r="B1347" i="34" a="1"/>
  <c r="B1436" i="34" a="1"/>
  <c r="B1205" i="34" a="1"/>
  <c r="B1364" i="34" a="1"/>
  <c r="B1083" i="34" a="1"/>
  <c r="B1341" i="34" a="1"/>
  <c r="B1197" i="34" a="1"/>
  <c r="B1304" i="34" a="1"/>
  <c r="B1137" i="34" a="1"/>
  <c r="B1166" i="34" a="1"/>
  <c r="B1181" i="34" a="1"/>
  <c r="B1493" i="34" a="1"/>
  <c r="B1372" i="34" a="1"/>
  <c r="B1349" i="34" a="1"/>
  <c r="B1075" i="34" a="1"/>
  <c r="B1357" i="34" a="1"/>
  <c r="B1365" i="34" a="1"/>
  <c r="B1235" i="34" a="1"/>
  <c r="B807" i="34" a="1"/>
  <c r="B1105" i="34" a="1"/>
  <c r="B674" i="34" a="1"/>
  <c r="B1441" i="34" a="1"/>
  <c r="B1299" i="34" a="1"/>
  <c r="F81" i="34" a="1"/>
  <c r="F1349" i="34" a="1"/>
  <c r="B1975" i="34" a="1"/>
  <c r="B1835" i="34" a="1"/>
  <c r="B60" i="34" a="1"/>
  <c r="B264" i="34" a="1"/>
  <c r="B137" i="34" a="1"/>
  <c r="B448" i="34" a="1"/>
  <c r="B709" i="34" a="1"/>
  <c r="B965" i="34" a="1"/>
  <c r="B624" i="34" a="1"/>
  <c r="B814" i="34" a="1"/>
  <c r="B1070" i="34" a="1"/>
  <c r="B647" i="34" a="1"/>
  <c r="B927" i="34" a="1"/>
  <c r="B540" i="34" a="1"/>
  <c r="B744" i="34" a="1"/>
  <c r="B1000" i="34" a="1"/>
  <c r="B596" i="34" a="1"/>
  <c r="B777" i="34" a="1"/>
  <c r="B993" i="34" a="1"/>
  <c r="B565" i="34" a="1"/>
  <c r="B714" i="34" a="1"/>
  <c r="B874" i="34" a="1"/>
  <c r="B1034" i="34" a="1"/>
  <c r="B566" i="34" a="1"/>
  <c r="B691" i="34" a="1"/>
  <c r="B827" i="34" a="1"/>
  <c r="B963" i="34" a="1"/>
  <c r="B578" i="34" a="1"/>
  <c r="B579" i="34" a="1"/>
  <c r="B788" i="34" a="1"/>
  <c r="B916" i="34" a="1"/>
  <c r="B1044" i="34" a="1"/>
  <c r="B1270" i="34" a="1"/>
  <c r="B1398" i="34" a="1"/>
  <c r="B1131" i="34" a="1"/>
  <c r="B1209" i="34" a="1"/>
  <c r="B1383" i="34" a="1"/>
  <c r="B1051" i="34" a="1"/>
  <c r="B1428" i="34" a="1"/>
  <c r="B1432" i="34" a="1"/>
  <c r="B1460" i="34" a="1"/>
  <c r="B1329" i="34" a="1"/>
  <c r="B1452" i="34" a="1"/>
  <c r="B1143" i="34" a="1"/>
  <c r="B694" i="34" a="1"/>
  <c r="B1470" i="34" a="1"/>
  <c r="B1445" i="34" a="1"/>
  <c r="F636" i="34" a="1"/>
  <c r="F940" i="34" a="1"/>
  <c r="B1993" i="34" a="1"/>
  <c r="B1948" i="34" a="1"/>
  <c r="B188" i="34" a="1"/>
  <c r="B272" i="34" a="1"/>
  <c r="B145" i="34" a="1"/>
  <c r="B479" i="34" a="1"/>
  <c r="B717" i="34" a="1"/>
  <c r="B973" i="34" a="1"/>
  <c r="B634" i="34" a="1"/>
  <c r="B822" i="34" a="1"/>
  <c r="B1078" i="34" a="1"/>
  <c r="B678" i="34" a="1"/>
  <c r="B935" i="34" a="1"/>
  <c r="B552" i="34" a="1"/>
  <c r="B752" i="34" a="1"/>
  <c r="B1008" i="34" a="1"/>
  <c r="B606" i="34" a="1"/>
  <c r="B793" i="34" a="1"/>
  <c r="B1009" i="34" a="1"/>
  <c r="B576" i="34" a="1"/>
  <c r="B722" i="34" a="1"/>
  <c r="B890" i="34" a="1"/>
  <c r="B1042" i="34" a="1"/>
  <c r="B577" i="34" a="1"/>
  <c r="B699" i="34" a="1"/>
  <c r="B835" i="34" a="1"/>
  <c r="B971" i="34" a="1"/>
  <c r="B589" i="34" a="1"/>
  <c r="B611" i="34" a="1"/>
  <c r="B796" i="34" a="1"/>
  <c r="B924" i="34" a="1"/>
  <c r="B1052" i="34" a="1"/>
  <c r="B1278" i="34" a="1"/>
  <c r="B1406" i="34" a="1"/>
  <c r="B1161" i="34" a="1"/>
  <c r="B1263" i="34" a="1"/>
  <c r="B1391" i="34" a="1"/>
  <c r="B1132" i="34" a="1"/>
  <c r="B1492" i="34" a="1"/>
  <c r="B1312" i="34" a="1"/>
  <c r="B1440" i="34" a="1"/>
  <c r="B1477" i="34" a="1"/>
  <c r="B1150" i="34" a="1"/>
  <c r="B1337" i="34" a="1"/>
  <c r="B1461" i="34" a="1"/>
  <c r="B1193" i="34" a="1"/>
  <c r="B1354" i="34" a="1"/>
  <c r="B1429" i="34" a="1"/>
  <c r="B1204" i="34" a="1"/>
  <c r="B1363" i="34" a="1"/>
  <c r="B1380" i="34" a="1"/>
  <c r="B950" i="34" a="1"/>
  <c r="B473" i="34" a="1"/>
  <c r="B1200" i="34" a="1"/>
  <c r="B1293" i="34" a="1"/>
  <c r="F501" i="34" a="1"/>
  <c r="F1085" i="34" a="1"/>
  <c r="B1560" i="34" a="1"/>
  <c r="B1620" i="34" a="1"/>
  <c r="B316" i="34" a="1"/>
  <c r="B288" i="34" a="1"/>
  <c r="B161" i="34" a="1"/>
  <c r="B519" i="34" a="1"/>
  <c r="B733" i="34" a="1"/>
  <c r="B989" i="34" a="1"/>
  <c r="B656" i="34" a="1"/>
  <c r="B838" i="34" a="1"/>
  <c r="B1094" i="34" a="1"/>
  <c r="B695" i="34" a="1"/>
  <c r="B951" i="34" a="1"/>
  <c r="B573" i="34" a="1"/>
  <c r="B768" i="34" a="1"/>
  <c r="B1024" i="34" a="1"/>
  <c r="B628" i="34" a="1"/>
  <c r="B801" i="34" a="1"/>
  <c r="B1025" i="34" a="1"/>
  <c r="B586" i="34" a="1"/>
  <c r="B730" i="34" a="1"/>
  <c r="B898" i="34" a="1"/>
  <c r="B1050" i="34" a="1"/>
  <c r="B588" i="34" a="1"/>
  <c r="B707" i="34" a="1"/>
  <c r="B843" i="34" a="1"/>
  <c r="B979" i="34" a="1"/>
  <c r="B600" i="34" a="1"/>
  <c r="B643" i="34" a="1"/>
  <c r="B804" i="34" a="1"/>
  <c r="B932" i="34" a="1"/>
  <c r="B1060" i="34" a="1"/>
  <c r="B1286" i="34" a="1"/>
  <c r="B1414" i="34" a="1"/>
  <c r="B1174" i="34" a="1"/>
  <c r="B1271" i="34" a="1"/>
  <c r="B1399" i="34" a="1"/>
  <c r="B1176" i="34" a="1"/>
  <c r="B1485" i="34" a="1"/>
  <c r="B1320" i="34" a="1"/>
  <c r="B1448" i="34" a="1"/>
  <c r="B1059" i="34" a="1"/>
  <c r="B1164" i="34" a="1"/>
  <c r="B1345" i="34" a="1"/>
  <c r="B1107" i="34" a="1"/>
  <c r="B1203" i="34" a="1"/>
  <c r="B1362" i="34" a="1"/>
  <c r="B1139" i="34" a="1"/>
  <c r="B1223" i="34" a="1"/>
  <c r="B1371" i="34" a="1"/>
  <c r="B1140" i="34" a="1"/>
  <c r="B1260" i="34" a="1"/>
  <c r="B1101" i="34" a="1"/>
  <c r="B899" i="34" a="1"/>
  <c r="B1401" i="34" a="1"/>
  <c r="F621" i="34" a="1"/>
  <c r="F1374" i="34" a="1"/>
  <c r="B1688" i="34" a="1"/>
  <c r="B1748" i="34" a="1"/>
  <c r="B444" i="34" a="1"/>
  <c r="B320" i="34" a="1"/>
  <c r="B193" i="34" a="1"/>
  <c r="B569" i="34" a="1"/>
  <c r="B765" i="34" a="1"/>
  <c r="B1021" i="34" a="1"/>
  <c r="B485" i="34" a="1"/>
  <c r="B870" i="34" a="1"/>
  <c r="B1126" i="34" a="1"/>
  <c r="B727" i="34" a="1"/>
  <c r="B983" i="34" a="1"/>
  <c r="B616" i="34" a="1"/>
  <c r="B800" i="34" a="1"/>
  <c r="B1056" i="34" a="1"/>
  <c r="B670" i="34" a="1"/>
  <c r="B817" i="34" a="1"/>
  <c r="B1033" i="34" a="1"/>
  <c r="B597" i="34" a="1"/>
  <c r="B738" i="34" a="1"/>
  <c r="B906" i="34" a="1"/>
  <c r="B1058" i="34" a="1"/>
  <c r="B620" i="34" a="1"/>
  <c r="B715" i="34" a="1"/>
  <c r="B851" i="34" a="1"/>
  <c r="B987" i="34" a="1"/>
  <c r="B610" i="34" a="1"/>
  <c r="B684" i="34" a="1"/>
  <c r="B812" i="34" a="1"/>
  <c r="B940" i="34" a="1"/>
  <c r="B1068" i="34" a="1"/>
  <c r="B1294" i="34" a="1"/>
  <c r="B1422" i="34" a="1"/>
  <c r="B1187" i="34" a="1"/>
  <c r="B1279" i="34" a="1"/>
  <c r="B1407" i="34" a="1"/>
  <c r="B1188" i="34" a="1"/>
  <c r="B1099" i="34" a="1"/>
  <c r="B1328" i="34" a="1"/>
  <c r="B1456" i="34" a="1"/>
  <c r="B1134" i="34" a="1"/>
  <c r="B1191" i="34" a="1"/>
  <c r="B1353" i="34" a="1"/>
  <c r="B1138" i="34" a="1"/>
  <c r="B1231" i="34" a="1"/>
  <c r="B1370" i="34" a="1"/>
  <c r="B1154" i="34" a="1"/>
  <c r="B1232" i="34" a="1"/>
  <c r="B1379" i="34" a="1"/>
  <c r="B1155" i="34" a="1"/>
  <c r="B1268" i="34" a="1"/>
  <c r="B1468" i="34" a="1"/>
  <c r="B675" i="34" a="1"/>
  <c r="B988" i="34" a="1"/>
  <c r="B1418" i="34" a="1"/>
  <c r="F769" i="34" a="1"/>
  <c r="F1096" i="34" a="1"/>
  <c r="B1816" i="34" a="1"/>
  <c r="B1932" i="34" a="1"/>
  <c r="B85" i="34" a="1"/>
  <c r="B328" i="34" a="1"/>
  <c r="B201" i="34" a="1"/>
  <c r="B580" i="34" a="1"/>
  <c r="B773" i="34" a="1"/>
  <c r="B1029" i="34" a="1"/>
  <c r="B504" i="34" a="1"/>
  <c r="B878" i="34" a="1"/>
  <c r="B401" i="34" a="1"/>
  <c r="B735" i="34" a="1"/>
  <c r="B991" i="34" a="1"/>
  <c r="B626" i="34" a="1"/>
  <c r="B808" i="34" a="1"/>
  <c r="B1064" i="34" a="1"/>
  <c r="B424" i="34" a="1"/>
  <c r="B849" i="34" a="1"/>
  <c r="B1041" i="34" a="1"/>
  <c r="B640" i="34" a="1"/>
  <c r="B746" i="34" a="1"/>
  <c r="B914" i="34" a="1"/>
  <c r="B1066" i="34" a="1"/>
  <c r="B630" i="34" a="1"/>
  <c r="B723" i="34" a="1"/>
  <c r="B859" i="34" a="1"/>
  <c r="B995" i="34" a="1"/>
  <c r="B621" i="34" a="1"/>
  <c r="B692" i="34" a="1"/>
  <c r="B820" i="34" a="1"/>
  <c r="B948" i="34" a="1"/>
  <c r="B1076" i="34" a="1"/>
  <c r="B1302" i="34" a="1"/>
  <c r="B1430" i="34" a="1"/>
  <c r="B1198" i="34" a="1"/>
  <c r="B1287" i="34" a="1"/>
  <c r="B1415" i="34" a="1"/>
  <c r="B1210" i="34" a="1"/>
  <c r="B1133" i="34" a="1"/>
  <c r="B1336" i="34" a="1"/>
  <c r="B1464" i="34" a="1"/>
  <c r="B1149" i="34" a="1"/>
  <c r="B1202" i="34" a="1"/>
  <c r="B1361" i="34" a="1"/>
  <c r="B1151" i="34" a="1"/>
  <c r="B1240" i="34" a="1"/>
  <c r="B1378" i="34" a="1"/>
  <c r="B1167" i="34" a="1"/>
  <c r="B1259" i="34" a="1"/>
  <c r="B1387" i="34" a="1"/>
  <c r="B1170" i="34" a="1"/>
  <c r="B1276" i="34" a="1"/>
  <c r="B1123" i="34" a="1"/>
  <c r="B1216" i="34" a="1"/>
  <c r="B1381" i="34" a="1"/>
  <c r="B1244" i="34" a="1"/>
  <c r="B1237" i="34" a="1"/>
  <c r="B1201" i="34" a="1"/>
  <c r="B1274" i="34" a="1"/>
  <c r="B1171" i="34" a="1"/>
  <c r="B1291" i="34" a="1"/>
  <c r="B1184" i="34" a="1"/>
  <c r="F1362" i="34" a="1"/>
  <c r="B1116" i="34" a="1"/>
  <c r="L13" i="35" a="1"/>
  <c r="F1233" i="34" a="1"/>
  <c r="F1247" i="34" a="1"/>
  <c r="B1881" i="34" a="1"/>
  <c r="B1581" i="34" a="1"/>
  <c r="B213" i="34" a="1"/>
  <c r="B336" i="34" a="1"/>
  <c r="B209" i="34" a="1"/>
  <c r="B590" i="34" a="1"/>
  <c r="B781" i="34" a="1"/>
  <c r="B1037" i="34" a="1"/>
  <c r="B521" i="34" a="1"/>
  <c r="B886" i="34" a="1"/>
  <c r="B457" i="34" a="1"/>
  <c r="B743" i="34" a="1"/>
  <c r="B999" i="34" a="1"/>
  <c r="B637" i="34" a="1"/>
  <c r="B816" i="34" a="1"/>
  <c r="B1072" i="34" a="1"/>
  <c r="B469" i="34" a="1"/>
  <c r="B857" i="34" a="1"/>
  <c r="B1049" i="34" a="1"/>
  <c r="B650" i="34" a="1"/>
  <c r="B762" i="34" a="1"/>
  <c r="B922" i="34" a="1"/>
  <c r="B1074" i="34" a="1"/>
  <c r="B641" i="34" a="1"/>
  <c r="B731" i="34" a="1"/>
  <c r="B867" i="34" a="1"/>
  <c r="B1003" i="34" a="1"/>
  <c r="B632" i="34" a="1"/>
  <c r="B700" i="34" a="1"/>
  <c r="B828" i="34" a="1"/>
  <c r="B956" i="34" a="1"/>
  <c r="B1084" i="34" a="1"/>
  <c r="B1310" i="34" a="1"/>
  <c r="B1438" i="34" a="1"/>
  <c r="B1208" i="34" a="1"/>
  <c r="B1295" i="34" a="1"/>
  <c r="B1423" i="34" a="1"/>
  <c r="B1219" i="34" a="1"/>
  <c r="B1148" i="34" a="1"/>
  <c r="B1344" i="34" a="1"/>
  <c r="B1472" i="34" a="1"/>
  <c r="B1178" i="34" a="1"/>
  <c r="B1239" i="34" a="1"/>
  <c r="B1369" i="34" a="1"/>
  <c r="B1165" i="34" a="1"/>
  <c r="B1258" i="34" a="1"/>
  <c r="B1386" i="34" a="1"/>
  <c r="B1180" i="34" a="1"/>
  <c r="B1267" i="34" a="1"/>
  <c r="B1395" i="34" a="1"/>
  <c r="B1182" i="34" a="1"/>
  <c r="B1284" i="34" a="1"/>
  <c r="B1142" i="34" a="1"/>
  <c r="B1261" i="34" a="1"/>
  <c r="B1389" i="34" a="1"/>
  <c r="B1253" i="34" a="1"/>
  <c r="B1177" i="34" a="1"/>
  <c r="B1385" i="34" a="1"/>
  <c r="B1213" i="34" a="1"/>
  <c r="B1300" i="34" a="1"/>
  <c r="J17" i="35"/>
  <c r="B1233" i="34" a="1"/>
  <c r="B1413" i="34" a="1"/>
  <c r="B1614" i="34" a="1"/>
  <c r="B477" i="34" a="1"/>
  <c r="B1241" i="34" a="1"/>
  <c r="F1441" i="34" a="1"/>
  <c r="F1087" i="34" a="1"/>
  <c r="B1921" i="34" a="1"/>
  <c r="B1709" i="34" a="1"/>
  <c r="B341" i="34" a="1"/>
  <c r="B352" i="34" a="1"/>
  <c r="B225" i="34" a="1"/>
  <c r="B612" i="34" a="1"/>
  <c r="B797" i="34" a="1"/>
  <c r="B1053" i="34" a="1"/>
  <c r="B571" i="34" a="1"/>
  <c r="B902" i="34" a="1"/>
  <c r="B550" i="34" a="1"/>
  <c r="B759" i="34" a="1"/>
  <c r="B1015" i="34" a="1"/>
  <c r="B658" i="34" a="1"/>
  <c r="B832" i="34" a="1"/>
  <c r="B1088" i="34" a="1"/>
  <c r="B511" i="34" a="1"/>
  <c r="B865" i="34" a="1"/>
  <c r="B1057" i="34" a="1"/>
  <c r="B661" i="34" a="1"/>
  <c r="B770" i="34" a="1"/>
  <c r="B930" i="34" a="1"/>
  <c r="B1098" i="34" a="1"/>
  <c r="B652" i="34" a="1"/>
  <c r="B739" i="34" a="1"/>
  <c r="B875" i="34" a="1"/>
  <c r="B1011" i="34" a="1"/>
  <c r="B642" i="34" a="1"/>
  <c r="B708" i="34" a="1"/>
  <c r="B836" i="34" a="1"/>
  <c r="B964" i="34" a="1"/>
  <c r="B1092" i="34" a="1"/>
  <c r="B1318" i="34" a="1"/>
  <c r="B1446" i="34" a="1"/>
  <c r="B1218" i="34" a="1"/>
  <c r="B1303" i="34" a="1"/>
  <c r="B1431" i="34" a="1"/>
  <c r="B1228" i="34" a="1"/>
  <c r="B1163" i="34" a="1"/>
  <c r="B1352" i="34" a="1"/>
  <c r="B1480" i="34" a="1"/>
  <c r="B1190" i="34" a="1"/>
  <c r="B1248" i="34" a="1"/>
  <c r="B1377" i="34" a="1"/>
  <c r="B1179" i="34" a="1"/>
  <c r="B1266" i="34" a="1"/>
  <c r="B1394" i="34" a="1"/>
  <c r="B1194" i="34" a="1"/>
  <c r="B1275" i="34" a="1"/>
  <c r="B1403" i="34" a="1"/>
  <c r="B1195" i="34" a="1"/>
  <c r="B1292" i="34" a="1"/>
  <c r="B1156" i="34" a="1"/>
  <c r="B1269" i="34" a="1"/>
  <c r="B1397" i="34" a="1"/>
  <c r="L16" i="35" a="1"/>
  <c r="B1311" i="34" a="1"/>
  <c r="B1488" i="34" a="1"/>
  <c r="B1192" i="34" a="1"/>
  <c r="B1283" i="34" a="1"/>
  <c r="B1411" i="34" a="1"/>
  <c r="B1214" i="34" a="1"/>
  <c r="B1405" i="34" a="1"/>
  <c r="B1222" i="34" a="1"/>
  <c r="B1285" i="34" a="1"/>
  <c r="B1809" i="34" a="1"/>
  <c r="B905" i="34" a="1"/>
  <c r="B1327" i="34" a="1"/>
  <c r="B1427" i="34" a="1"/>
  <c r="F1110" i="34" a="1"/>
  <c r="F1264" i="34" a="1"/>
  <c r="B1545" i="34" a="1"/>
  <c r="B1885" i="34" a="1"/>
  <c r="B14" i="34" a="1"/>
  <c r="B376" i="34" a="1"/>
  <c r="B249" i="34" a="1"/>
  <c r="B644" i="34" a="1"/>
  <c r="B821" i="34" a="1"/>
  <c r="B1077" i="34" a="1"/>
  <c r="B667" i="34" a="1"/>
  <c r="B926" i="34" a="1"/>
  <c r="B582" i="34" a="1"/>
  <c r="B783" i="34" a="1"/>
  <c r="B1039" i="34" a="1"/>
  <c r="B416" i="34" a="1"/>
  <c r="B856" i="34" a="1"/>
  <c r="B1112" i="34" a="1"/>
  <c r="B575" i="34" a="1"/>
  <c r="B881" i="34" a="1"/>
  <c r="B1065" i="34" a="1"/>
  <c r="B672" i="34" a="1"/>
  <c r="B778" i="34" a="1"/>
  <c r="B938" i="34" a="1"/>
  <c r="B1106" i="34" a="1"/>
  <c r="B662" i="34" a="1"/>
  <c r="B747" i="34" a="1"/>
  <c r="B883" i="34" a="1"/>
  <c r="B1019" i="34" a="1"/>
  <c r="B653" i="34" a="1"/>
  <c r="B716" i="34" a="1"/>
  <c r="B844" i="34" a="1"/>
  <c r="B972" i="34" a="1"/>
  <c r="B1100" i="34" a="1"/>
  <c r="B1326" i="34" a="1"/>
  <c r="B1454" i="34" a="1"/>
  <c r="B1227" i="34" a="1"/>
  <c r="B1439" i="34" a="1"/>
  <c r="B1360" i="34" a="1"/>
  <c r="B1257" i="34" a="1"/>
  <c r="B1402" i="34" a="1"/>
  <c r="B1277" i="34" a="1"/>
  <c r="B1419" i="34" a="1"/>
  <c r="M13" i="35" a="1"/>
  <c r="B242" i="34" a="1"/>
  <c r="B509" i="34" a="1"/>
  <c r="B1136" i="34" a="1"/>
  <c r="B794" i="34" a="1"/>
  <c r="B860" i="34" a="1"/>
  <c r="B1376" i="34" a="1"/>
  <c r="B1290" i="34" a="1"/>
  <c r="F1057" i="34" a="1"/>
  <c r="F897" i="34" a="1"/>
  <c r="B1673" i="34" a="1"/>
  <c r="B114" i="34" a="1"/>
  <c r="B142" i="34" a="1"/>
  <c r="B9" i="34" a="1"/>
  <c r="B265" i="34" a="1"/>
  <c r="B665" i="34" a="1"/>
  <c r="B837" i="34" a="1"/>
  <c r="B1093" i="34" a="1"/>
  <c r="B686" i="34" a="1"/>
  <c r="B942" i="34" a="1"/>
  <c r="B604" i="34" a="1"/>
  <c r="B799" i="34" a="1"/>
  <c r="B1055" i="34" a="1"/>
  <c r="B489" i="34" a="1"/>
  <c r="B872" i="34" a="1"/>
  <c r="B1128" i="34" a="1"/>
  <c r="B639" i="34" a="1"/>
  <c r="B897" i="34" a="1"/>
  <c r="B1073" i="34" a="1"/>
  <c r="B432" i="34" a="1"/>
  <c r="B786" i="34" a="1"/>
  <c r="B946" i="34" a="1"/>
  <c r="B1114" i="34" a="1"/>
  <c r="B440" i="34" a="1"/>
  <c r="B755" i="34" a="1"/>
  <c r="B891" i="34" a="1"/>
  <c r="B441" i="34" a="1"/>
  <c r="B664" i="34" a="1"/>
  <c r="B724" i="34" a="1"/>
  <c r="B852" i="34" a="1"/>
  <c r="B980" i="34" a="1"/>
  <c r="B1108" i="34" a="1"/>
  <c r="B1334" i="34" a="1"/>
  <c r="B1462" i="34" a="1"/>
  <c r="B1236" i="34" a="1"/>
  <c r="B1319" i="34" a="1"/>
  <c r="B1447" i="34" a="1"/>
  <c r="B1246" i="34" a="1"/>
  <c r="B1189" i="34" a="1"/>
  <c r="B1368" i="34" a="1"/>
  <c r="B1496" i="34" a="1"/>
  <c r="B1211" i="34" a="1"/>
  <c r="B1265" i="34" a="1"/>
  <c r="B1393" i="34" a="1"/>
  <c r="B1212" i="34" a="1"/>
  <c r="B1282" i="34" a="1"/>
  <c r="B1410" i="34" a="1"/>
  <c r="B1308" i="34" a="1"/>
  <c r="B270" i="34" a="1"/>
  <c r="B1245" i="34" a="1"/>
  <c r="C28" i="31" a="1"/>
  <c r="C29" i="31" a="1"/>
  <c r="C92" i="31" a="1"/>
  <c r="C54" i="31" a="1"/>
  <c r="C88" i="31" a="1"/>
  <c r="C81" i="31" a="1"/>
  <c r="C74" i="31" a="1"/>
  <c r="C62" i="31" a="1"/>
  <c r="C53" i="31" a="1"/>
  <c r="C44" i="31" a="1"/>
  <c r="C78" i="31" a="1"/>
  <c r="C89" i="31" a="1"/>
  <c r="C36" i="31" a="1"/>
  <c r="C18" i="31" a="1"/>
  <c r="C72" i="31" a="1"/>
  <c r="C26" i="31" a="1"/>
  <c r="C80" i="31" a="1"/>
  <c r="C11" i="31" a="1"/>
  <c r="C61" i="31" a="1"/>
  <c r="C9" i="31" a="1"/>
  <c r="C100" i="31" a="1"/>
  <c r="C69" i="31" a="1"/>
  <c r="C39" i="31" a="1"/>
  <c r="C33" i="31" a="1"/>
  <c r="C85" i="31" a="1"/>
  <c r="C97" i="31" a="1"/>
  <c r="C82" i="31" a="1"/>
  <c r="C60" i="31" a="1"/>
  <c r="C77" i="31" a="1"/>
  <c r="C8" i="31" a="1"/>
  <c r="C50" i="31" a="1"/>
  <c r="C90" i="31" a="1"/>
  <c r="C42" i="31" a="1"/>
  <c r="C87" i="31" a="1"/>
  <c r="C52" i="31" a="1"/>
  <c r="C24" i="31" a="1"/>
  <c r="C76" i="31" a="1"/>
  <c r="C40" i="31" a="1"/>
  <c r="C59" i="31" a="1"/>
  <c r="C58" i="31" a="1"/>
  <c r="C20" i="31" a="1"/>
  <c r="C17" i="31" a="1"/>
  <c r="C19" i="31" a="1"/>
  <c r="C43" i="31" a="1"/>
  <c r="C49" i="31" a="1"/>
  <c r="C12" i="31" a="1"/>
  <c r="C2" i="31" a="1"/>
  <c r="C65" i="31" a="1"/>
  <c r="C41" i="31" a="1"/>
  <c r="C35" i="31" a="1"/>
  <c r="C57" i="31" a="1"/>
  <c r="C96" i="31" a="1"/>
  <c r="C79" i="31" a="1"/>
  <c r="C95" i="31" a="1"/>
  <c r="C5" i="31" a="1"/>
  <c r="C71" i="31" a="1"/>
  <c r="C3" i="31" a="1"/>
  <c r="C34" i="31" a="1"/>
  <c r="C37" i="31" a="1"/>
  <c r="C15" i="31" a="1"/>
  <c r="C70" i="31" a="1"/>
  <c r="C93" i="31" a="1"/>
  <c r="C14" i="31" a="1"/>
  <c r="C27" i="31" a="1"/>
  <c r="C13" i="31" a="1"/>
  <c r="C84" i="31" a="1"/>
  <c r="C86" i="31" a="1"/>
  <c r="C32" i="31" a="1"/>
  <c r="C38" i="31" a="1"/>
  <c r="C4" i="31" a="1"/>
  <c r="C99" i="31" a="1"/>
  <c r="C47" i="31" a="1"/>
  <c r="C48" i="31" a="1"/>
  <c r="C64" i="31" a="1"/>
  <c r="C46" i="31" a="1"/>
  <c r="C55" i="31" a="1"/>
  <c r="C83" i="31" a="1"/>
  <c r="C68" i="31" a="1"/>
  <c r="C91" i="31" a="1"/>
  <c r="C63" i="31" a="1"/>
  <c r="C98" i="31" a="1"/>
  <c r="C6" i="31" a="1"/>
  <c r="C25" i="31" a="1"/>
  <c r="C67" i="31" a="1"/>
  <c r="C56" i="31" a="1"/>
  <c r="C10" i="31" a="1"/>
  <c r="C31" i="31" a="1"/>
  <c r="C45" i="31" a="1"/>
  <c r="C73" i="31" a="1"/>
  <c r="C16" i="31" a="1"/>
  <c r="C7" i="31" a="1"/>
  <c r="C51" i="31" a="1"/>
  <c r="C23" i="31" a="1"/>
  <c r="C22" i="31" a="1"/>
  <c r="C21" i="31" a="1"/>
  <c r="C30" i="31" a="1"/>
  <c r="C94" i="31" a="1"/>
  <c r="C75" i="31" a="1"/>
  <c r="C66" i="31" a="1"/>
  <c r="L17" i="35" a="1"/>
  <c r="M17" i="35" a="1"/>
  <c r="F43" i="35" l="1"/>
  <c r="L43" i="35" s="1"/>
  <c r="F41" i="35"/>
  <c r="L41" i="35" s="1"/>
  <c r="F53" i="35"/>
  <c r="L53" i="35" s="1"/>
  <c r="F49" i="35"/>
  <c r="L49" i="35" s="1"/>
  <c r="M17" i="35"/>
  <c r="L17" i="35"/>
  <c r="B1245" i="34"/>
  <c r="B270" i="34"/>
  <c r="B1308" i="34"/>
  <c r="B1410" i="34"/>
  <c r="B1282" i="34"/>
  <c r="B1212" i="34"/>
  <c r="B1393" i="34"/>
  <c r="B1265" i="34"/>
  <c r="B1211" i="34"/>
  <c r="B1496" i="34"/>
  <c r="B1368" i="34"/>
  <c r="B1189" i="34"/>
  <c r="B1246" i="34"/>
  <c r="B1447" i="34"/>
  <c r="B1319" i="34"/>
  <c r="B1236" i="34"/>
  <c r="B1462" i="34"/>
  <c r="B1334" i="34"/>
  <c r="B1108" i="34"/>
  <c r="B980" i="34"/>
  <c r="B852" i="34"/>
  <c r="B724" i="34"/>
  <c r="B664" i="34"/>
  <c r="B441" i="34"/>
  <c r="B891" i="34"/>
  <c r="B755" i="34"/>
  <c r="B440" i="34"/>
  <c r="B1114" i="34"/>
  <c r="B946" i="34"/>
  <c r="B786" i="34"/>
  <c r="B432" i="34"/>
  <c r="B1073" i="34"/>
  <c r="B897" i="34"/>
  <c r="B639" i="34"/>
  <c r="B1128" i="34"/>
  <c r="B872" i="34"/>
  <c r="B489" i="34"/>
  <c r="B1055" i="34"/>
  <c r="B799" i="34"/>
  <c r="B604" i="34"/>
  <c r="B942" i="34"/>
  <c r="B686" i="34"/>
  <c r="B1093" i="34"/>
  <c r="B837" i="34"/>
  <c r="B665" i="34"/>
  <c r="B265" i="34"/>
  <c r="B9" i="34"/>
  <c r="B142" i="34"/>
  <c r="B114" i="34"/>
  <c r="B1673" i="34"/>
  <c r="F897" i="34"/>
  <c r="F1057" i="34"/>
  <c r="B1290" i="34"/>
  <c r="B1376" i="34"/>
  <c r="B860" i="34"/>
  <c r="B794" i="34"/>
  <c r="B1136" i="34"/>
  <c r="B509" i="34"/>
  <c r="B242" i="34"/>
  <c r="M13" i="35"/>
  <c r="B1419" i="34"/>
  <c r="B1277" i="34"/>
  <c r="B1402" i="34"/>
  <c r="B1257" i="34"/>
  <c r="B1360" i="34"/>
  <c r="B1439" i="34"/>
  <c r="B1227" i="34"/>
  <c r="B1454" i="34"/>
  <c r="B1326" i="34"/>
  <c r="B1100" i="34"/>
  <c r="B972" i="34"/>
  <c r="B844" i="34"/>
  <c r="B716" i="34"/>
  <c r="B653" i="34"/>
  <c r="B1019" i="34"/>
  <c r="B883" i="34"/>
  <c r="B747" i="34"/>
  <c r="B662" i="34"/>
  <c r="B1106" i="34"/>
  <c r="B938" i="34"/>
  <c r="B778" i="34"/>
  <c r="B672" i="34"/>
  <c r="B1065" i="34"/>
  <c r="B881" i="34"/>
  <c r="B575" i="34"/>
  <c r="B1112" i="34"/>
  <c r="B856" i="34"/>
  <c r="B416" i="34"/>
  <c r="B1039" i="34"/>
  <c r="B783" i="34"/>
  <c r="B582" i="34"/>
  <c r="B926" i="34"/>
  <c r="B667" i="34"/>
  <c r="B1077" i="34"/>
  <c r="B821" i="34"/>
  <c r="B644" i="34"/>
  <c r="B249" i="34"/>
  <c r="B376" i="34"/>
  <c r="B14" i="34"/>
  <c r="B1885" i="34"/>
  <c r="B1545" i="34"/>
  <c r="F1264" i="34"/>
  <c r="F1110" i="34"/>
  <c r="B1427" i="34"/>
  <c r="B1327" i="34"/>
  <c r="B905" i="34"/>
  <c r="B1809" i="34"/>
  <c r="B1285" i="34"/>
  <c r="B1222" i="34"/>
  <c r="B1405" i="34"/>
  <c r="B1214" i="34"/>
  <c r="B1411" i="34"/>
  <c r="B1283" i="34"/>
  <c r="B1192" i="34"/>
  <c r="B1488" i="34"/>
  <c r="B1311" i="34"/>
  <c r="L16" i="35"/>
  <c r="B1397" i="34"/>
  <c r="B1269" i="34"/>
  <c r="B1156" i="34"/>
  <c r="B1292" i="34"/>
  <c r="B1195" i="34"/>
  <c r="B1403" i="34"/>
  <c r="B1275" i="34"/>
  <c r="B1194" i="34"/>
  <c r="B1394" i="34"/>
  <c r="B1266" i="34"/>
  <c r="B1179" i="34"/>
  <c r="B1377" i="34"/>
  <c r="B1248" i="34"/>
  <c r="B1190" i="34"/>
  <c r="B1480" i="34"/>
  <c r="B1352" i="34"/>
  <c r="B1163" i="34"/>
  <c r="B1228" i="34"/>
  <c r="B1431" i="34"/>
  <c r="B1303" i="34"/>
  <c r="B1218" i="34"/>
  <c r="B1446" i="34"/>
  <c r="B1318" i="34"/>
  <c r="B1092" i="34"/>
  <c r="B964" i="34"/>
  <c r="B836" i="34"/>
  <c r="B708" i="34"/>
  <c r="B642" i="34"/>
  <c r="B1011" i="34"/>
  <c r="B875" i="34"/>
  <c r="B739" i="34"/>
  <c r="B652" i="34"/>
  <c r="B1098" i="34"/>
  <c r="B930" i="34"/>
  <c r="B770" i="34"/>
  <c r="B661" i="34"/>
  <c r="B1057" i="34"/>
  <c r="B865" i="34"/>
  <c r="B511" i="34"/>
  <c r="B1088" i="34"/>
  <c r="B832" i="34"/>
  <c r="B658" i="34"/>
  <c r="B1015" i="34"/>
  <c r="B759" i="34"/>
  <c r="B550" i="34"/>
  <c r="B902" i="34"/>
  <c r="B571" i="34"/>
  <c r="B1053" i="34"/>
  <c r="B797" i="34"/>
  <c r="B612" i="34"/>
  <c r="B225" i="34"/>
  <c r="B352" i="34"/>
  <c r="B341" i="34"/>
  <c r="B1709" i="34"/>
  <c r="B1921" i="34"/>
  <c r="F1087" i="34"/>
  <c r="F1441" i="34"/>
  <c r="B1241" i="34"/>
  <c r="B477" i="34"/>
  <c r="B1614" i="34"/>
  <c r="B1413" i="34"/>
  <c r="B1233" i="34"/>
  <c r="B1300" i="34"/>
  <c r="B1213" i="34"/>
  <c r="B1385" i="34"/>
  <c r="B1177" i="34"/>
  <c r="B1253" i="34"/>
  <c r="B1389" i="34"/>
  <c r="B1261" i="34"/>
  <c r="B1142" i="34"/>
  <c r="B1284" i="34"/>
  <c r="B1182" i="34"/>
  <c r="B1395" i="34"/>
  <c r="B1267" i="34"/>
  <c r="B1180" i="34"/>
  <c r="B1386" i="34"/>
  <c r="B1258" i="34"/>
  <c r="B1165" i="34"/>
  <c r="B1369" i="34"/>
  <c r="B1239" i="34"/>
  <c r="B1178" i="34"/>
  <c r="B1472" i="34"/>
  <c r="B1344" i="34"/>
  <c r="B1148" i="34"/>
  <c r="B1219" i="34"/>
  <c r="B1423" i="34"/>
  <c r="B1295" i="34"/>
  <c r="B1208" i="34"/>
  <c r="B1438" i="34"/>
  <c r="B1310" i="34"/>
  <c r="B1084" i="34"/>
  <c r="B956" i="34"/>
  <c r="B828" i="34"/>
  <c r="B700" i="34"/>
  <c r="B632" i="34"/>
  <c r="B1003" i="34"/>
  <c r="B867" i="34"/>
  <c r="B731" i="34"/>
  <c r="B641" i="34"/>
  <c r="B1074" i="34"/>
  <c r="B922" i="34"/>
  <c r="B762" i="34"/>
  <c r="B650" i="34"/>
  <c r="B1049" i="34"/>
  <c r="B857" i="34"/>
  <c r="B469" i="34"/>
  <c r="B1072" i="34"/>
  <c r="B816" i="34"/>
  <c r="B637" i="34"/>
  <c r="B999" i="34"/>
  <c r="B743" i="34"/>
  <c r="B457" i="34"/>
  <c r="B886" i="34"/>
  <c r="B521" i="34"/>
  <c r="B1037" i="34"/>
  <c r="B781" i="34"/>
  <c r="B590" i="34"/>
  <c r="B209" i="34"/>
  <c r="B336" i="34"/>
  <c r="B213" i="34"/>
  <c r="B1581" i="34"/>
  <c r="B1881" i="34"/>
  <c r="F1247" i="34"/>
  <c r="F1233" i="34"/>
  <c r="L13" i="35"/>
  <c r="B1116" i="34"/>
  <c r="F1362" i="34"/>
  <c r="B1184" i="34"/>
  <c r="B1291" i="34"/>
  <c r="B1171" i="34"/>
  <c r="B1274" i="34"/>
  <c r="B1201" i="34"/>
  <c r="B1237" i="34"/>
  <c r="B1244" i="34"/>
  <c r="B1381" i="34"/>
  <c r="B1216" i="34"/>
  <c r="B1123" i="34"/>
  <c r="B1276" i="34"/>
  <c r="B1170" i="34"/>
  <c r="B1387" i="34"/>
  <c r="B1259" i="34"/>
  <c r="B1167" i="34"/>
  <c r="B1378" i="34"/>
  <c r="B1240" i="34"/>
  <c r="B1151" i="34"/>
  <c r="B1361" i="34"/>
  <c r="B1202" i="34"/>
  <c r="B1149" i="34"/>
  <c r="B1464" i="34"/>
  <c r="B1336" i="34"/>
  <c r="B1133" i="34"/>
  <c r="B1210" i="34"/>
  <c r="B1415" i="34"/>
  <c r="B1287" i="34"/>
  <c r="B1198" i="34"/>
  <c r="B1430" i="34"/>
  <c r="B1302" i="34"/>
  <c r="B1076" i="34"/>
  <c r="B948" i="34"/>
  <c r="B820" i="34"/>
  <c r="B692" i="34"/>
  <c r="B621" i="34"/>
  <c r="B995" i="34"/>
  <c r="B859" i="34"/>
  <c r="B723" i="34"/>
  <c r="B630" i="34"/>
  <c r="B1066" i="34"/>
  <c r="B914" i="34"/>
  <c r="B746" i="34"/>
  <c r="B640" i="34"/>
  <c r="B1041" i="34"/>
  <c r="B849" i="34"/>
  <c r="B424" i="34"/>
  <c r="B1064" i="34"/>
  <c r="B808" i="34"/>
  <c r="B626" i="34"/>
  <c r="B991" i="34"/>
  <c r="B735" i="34"/>
  <c r="B401" i="34"/>
  <c r="B878" i="34"/>
  <c r="B504" i="34"/>
  <c r="B1029" i="34"/>
  <c r="B773" i="34"/>
  <c r="B580" i="34"/>
  <c r="B201" i="34"/>
  <c r="B328" i="34"/>
  <c r="B85" i="34"/>
  <c r="B1932" i="34"/>
  <c r="B1816" i="34"/>
  <c r="F1096" i="34"/>
  <c r="F769" i="34"/>
  <c r="B1418" i="34"/>
  <c r="B988" i="34"/>
  <c r="B675" i="34"/>
  <c r="B1468" i="34"/>
  <c r="B1268" i="34"/>
  <c r="B1155" i="34"/>
  <c r="B1379" i="34"/>
  <c r="B1232" i="34"/>
  <c r="B1154" i="34"/>
  <c r="B1370" i="34"/>
  <c r="B1231" i="34"/>
  <c r="B1138" i="34"/>
  <c r="B1353" i="34"/>
  <c r="B1191" i="34"/>
  <c r="B1134" i="34"/>
  <c r="B1456" i="34"/>
  <c r="B1328" i="34"/>
  <c r="B1099" i="34"/>
  <c r="B1188" i="34"/>
  <c r="B1407" i="34"/>
  <c r="B1279" i="34"/>
  <c r="B1187" i="34"/>
  <c r="B1422" i="34"/>
  <c r="B1294" i="34"/>
  <c r="B1068" i="34"/>
  <c r="B940" i="34"/>
  <c r="B812" i="34"/>
  <c r="B684" i="34"/>
  <c r="B610" i="34"/>
  <c r="B987" i="34"/>
  <c r="B851" i="34"/>
  <c r="B715" i="34"/>
  <c r="B620" i="34"/>
  <c r="B1058" i="34"/>
  <c r="B906" i="34"/>
  <c r="B738" i="34"/>
  <c r="B597" i="34"/>
  <c r="B1033" i="34"/>
  <c r="B817" i="34"/>
  <c r="B670" i="34"/>
  <c r="B1056" i="34"/>
  <c r="B800" i="34"/>
  <c r="B616" i="34"/>
  <c r="B983" i="34"/>
  <c r="B727" i="34"/>
  <c r="B1126" i="34"/>
  <c r="B870" i="34"/>
  <c r="B485" i="34"/>
  <c r="B1021" i="34"/>
  <c r="B765" i="34"/>
  <c r="B569" i="34"/>
  <c r="B193" i="34"/>
  <c r="B320" i="34"/>
  <c r="B444" i="34"/>
  <c r="B1748" i="34"/>
  <c r="B1688" i="34"/>
  <c r="F1374" i="34"/>
  <c r="F621" i="34"/>
  <c r="B1401" i="34"/>
  <c r="B899" i="34"/>
  <c r="B1101" i="34"/>
  <c r="B1260" i="34"/>
  <c r="B1140" i="34"/>
  <c r="B1371" i="34"/>
  <c r="B1223" i="34"/>
  <c r="B1139" i="34"/>
  <c r="B1362" i="34"/>
  <c r="B1203" i="34"/>
  <c r="B1107" i="34"/>
  <c r="B1345" i="34"/>
  <c r="B1164" i="34"/>
  <c r="B1059" i="34"/>
  <c r="B1448" i="34"/>
  <c r="B1320" i="34"/>
  <c r="B1485" i="34"/>
  <c r="B1176" i="34"/>
  <c r="B1399" i="34"/>
  <c r="B1271" i="34"/>
  <c r="B1174" i="34"/>
  <c r="B1414" i="34"/>
  <c r="B1286" i="34"/>
  <c r="B1060" i="34"/>
  <c r="B932" i="34"/>
  <c r="B804" i="34"/>
  <c r="B643" i="34"/>
  <c r="B600" i="34"/>
  <c r="B979" i="34"/>
  <c r="B843" i="34"/>
  <c r="B707" i="34"/>
  <c r="B588" i="34"/>
  <c r="B1050" i="34"/>
  <c r="B898" i="34"/>
  <c r="B730" i="34"/>
  <c r="B586" i="34"/>
  <c r="B1025" i="34"/>
  <c r="B801" i="34"/>
  <c r="B628" i="34"/>
  <c r="B1024" i="34"/>
  <c r="B768" i="34"/>
  <c r="B573" i="34"/>
  <c r="B951" i="34"/>
  <c r="B695" i="34"/>
  <c r="B1094" i="34"/>
  <c r="B838" i="34"/>
  <c r="B656" i="34"/>
  <c r="B989" i="34"/>
  <c r="B733" i="34"/>
  <c r="B519" i="34"/>
  <c r="B161" i="34"/>
  <c r="B288" i="34"/>
  <c r="B316" i="34"/>
  <c r="B1620" i="34"/>
  <c r="B1560" i="34"/>
  <c r="F1085" i="34"/>
  <c r="F501" i="34"/>
  <c r="B1293" i="34"/>
  <c r="B1200" i="34"/>
  <c r="B473" i="34"/>
  <c r="B950" i="34"/>
  <c r="B1380" i="34"/>
  <c r="B1363" i="34"/>
  <c r="B1204" i="34"/>
  <c r="B1429" i="34"/>
  <c r="B1354" i="34"/>
  <c r="B1193" i="34"/>
  <c r="B1461" i="34"/>
  <c r="B1337" i="34"/>
  <c r="B1150" i="34"/>
  <c r="B1477" i="34"/>
  <c r="B1440" i="34"/>
  <c r="B1312" i="34"/>
  <c r="B1492" i="34"/>
  <c r="B1132" i="34"/>
  <c r="B1391" i="34"/>
  <c r="B1263" i="34"/>
  <c r="B1161" i="34"/>
  <c r="B1406" i="34"/>
  <c r="B1278" i="34"/>
  <c r="B1052" i="34"/>
  <c r="B924" i="34"/>
  <c r="B796" i="34"/>
  <c r="B611" i="34"/>
  <c r="B589" i="34"/>
  <c r="B971" i="34"/>
  <c r="B835" i="34"/>
  <c r="B699" i="34"/>
  <c r="B577" i="34"/>
  <c r="B1042" i="34"/>
  <c r="B890" i="34"/>
  <c r="B722" i="34"/>
  <c r="B576" i="34"/>
  <c r="B1009" i="34"/>
  <c r="B793" i="34"/>
  <c r="B606" i="34"/>
  <c r="B1008" i="34"/>
  <c r="B752" i="34"/>
  <c r="B552" i="34"/>
  <c r="B935" i="34"/>
  <c r="B678" i="34"/>
  <c r="B1078" i="34"/>
  <c r="B822" i="34"/>
  <c r="B634" i="34"/>
  <c r="B973" i="34"/>
  <c r="B717" i="34"/>
  <c r="B479" i="34"/>
  <c r="B145" i="34"/>
  <c r="B272" i="34"/>
  <c r="B188" i="34"/>
  <c r="B1948" i="34"/>
  <c r="B1993" i="34"/>
  <c r="F940" i="34"/>
  <c r="F636" i="34"/>
  <c r="B1445" i="34"/>
  <c r="B1470" i="34"/>
  <c r="B694" i="34"/>
  <c r="B1143" i="34"/>
  <c r="B1452" i="34"/>
  <c r="B1329" i="34"/>
  <c r="B1460" i="34"/>
  <c r="B1432" i="34"/>
  <c r="B1428" i="34"/>
  <c r="B1051" i="34"/>
  <c r="B1383" i="34"/>
  <c r="B1209" i="34"/>
  <c r="B1131" i="34"/>
  <c r="B1398" i="34"/>
  <c r="B1270" i="34"/>
  <c r="B1044" i="34"/>
  <c r="B916" i="34"/>
  <c r="B788" i="34"/>
  <c r="B579" i="34"/>
  <c r="B578" i="34"/>
  <c r="B963" i="34"/>
  <c r="B827" i="34"/>
  <c r="B691" i="34"/>
  <c r="B566" i="34"/>
  <c r="B1034" i="34"/>
  <c r="B874" i="34"/>
  <c r="B714" i="34"/>
  <c r="B565" i="34"/>
  <c r="B993" i="34"/>
  <c r="B777" i="34"/>
  <c r="B596" i="34"/>
  <c r="B1000" i="34"/>
  <c r="B744" i="34"/>
  <c r="B540" i="34"/>
  <c r="B927" i="34"/>
  <c r="B647" i="34"/>
  <c r="B1070" i="34"/>
  <c r="B814" i="34"/>
  <c r="B624" i="34"/>
  <c r="B965" i="34"/>
  <c r="B709" i="34"/>
  <c r="B448" i="34"/>
  <c r="B137" i="34"/>
  <c r="B264" i="34"/>
  <c r="B60" i="34"/>
  <c r="B1835" i="34"/>
  <c r="B1975" i="34"/>
  <c r="F1349" i="34"/>
  <c r="F81" i="34"/>
  <c r="B1299" i="34"/>
  <c r="B1441" i="34"/>
  <c r="B674" i="34"/>
  <c r="B1105" i="34"/>
  <c r="B807" i="34"/>
  <c r="B1235" i="34"/>
  <c r="B1365" i="34"/>
  <c r="B1357" i="34"/>
  <c r="B1075" i="34"/>
  <c r="B1349" i="34"/>
  <c r="B1372" i="34"/>
  <c r="B1493" i="34"/>
  <c r="B1181" i="34"/>
  <c r="B1166" i="34"/>
  <c r="B1137" i="34"/>
  <c r="B1304" i="34"/>
  <c r="B1197" i="34"/>
  <c r="B1341" i="34"/>
  <c r="B1083" i="34"/>
  <c r="B1364" i="34"/>
  <c r="B1205" i="34"/>
  <c r="B1436" i="34"/>
  <c r="B1347" i="34"/>
  <c r="B1169" i="34"/>
  <c r="B1404" i="34"/>
  <c r="B1338" i="34"/>
  <c r="B1153" i="34"/>
  <c r="B1467" i="34"/>
  <c r="B1321" i="34"/>
  <c r="B1437" i="34"/>
  <c r="B1396" i="34"/>
  <c r="B1424" i="34"/>
  <c r="B1296" i="34"/>
  <c r="B1499" i="34"/>
  <c r="B1453" i="34"/>
  <c r="B1375" i="34"/>
  <c r="B1199" i="34"/>
  <c r="B1091" i="34"/>
  <c r="B1390" i="34"/>
  <c r="B1262" i="34"/>
  <c r="B1036" i="34"/>
  <c r="B908" i="34"/>
  <c r="B780" i="34"/>
  <c r="B547" i="34"/>
  <c r="B568" i="34"/>
  <c r="B955" i="34"/>
  <c r="B819" i="34"/>
  <c r="B663" i="34"/>
  <c r="B556" i="34"/>
  <c r="B1026" i="34"/>
  <c r="B866" i="34"/>
  <c r="B682" i="34"/>
  <c r="B554" i="34"/>
  <c r="B985" i="34"/>
  <c r="B769" i="34"/>
  <c r="B574" i="34"/>
  <c r="B984" i="34"/>
  <c r="B728" i="34"/>
  <c r="B508" i="34"/>
  <c r="B911" i="34"/>
  <c r="B583" i="34"/>
  <c r="B1054" i="34"/>
  <c r="B798" i="34"/>
  <c r="B602" i="34"/>
  <c r="B949" i="34"/>
  <c r="B693" i="34"/>
  <c r="B377" i="34"/>
  <c r="B121" i="34"/>
  <c r="B136" i="34"/>
  <c r="B467" i="34"/>
  <c r="B1707" i="34"/>
  <c r="B1759" i="34"/>
  <c r="F1028" i="34"/>
  <c r="F254" i="34"/>
  <c r="B1242" i="34"/>
  <c r="B1273" i="34"/>
  <c r="B732" i="34"/>
  <c r="B671" i="34"/>
  <c r="B17" i="34"/>
  <c r="B1373" i="34"/>
  <c r="B1226" i="34"/>
  <c r="B1217" i="34"/>
  <c r="B1224" i="34"/>
  <c r="B1207" i="34"/>
  <c r="B1215" i="34"/>
  <c r="B1355" i="34"/>
  <c r="B1346" i="34"/>
  <c r="B1476" i="34"/>
  <c r="B1186" i="34"/>
  <c r="B1333" i="34"/>
  <c r="B1469" i="34"/>
  <c r="B1356" i="34"/>
  <c r="B1183" i="34"/>
  <c r="B1483" i="34"/>
  <c r="B1339" i="34"/>
  <c r="B1115" i="34"/>
  <c r="B1474" i="34"/>
  <c r="B1330" i="34"/>
  <c r="B1067" i="34"/>
  <c r="B1481" i="34"/>
  <c r="B1313" i="34"/>
  <c r="B1484" i="34"/>
  <c r="B1482" i="34"/>
  <c r="B1416" i="34"/>
  <c r="B1288" i="34"/>
  <c r="B1490" i="34"/>
  <c r="B1495" i="34"/>
  <c r="B1367" i="34"/>
  <c r="B1175" i="34"/>
  <c r="B1035" i="34"/>
  <c r="B1382" i="34"/>
  <c r="B1173" i="34"/>
  <c r="B1028" i="34"/>
  <c r="B900" i="34"/>
  <c r="B772" i="34"/>
  <c r="B534" i="34"/>
  <c r="B557" i="34"/>
  <c r="B947" i="34"/>
  <c r="B803" i="34"/>
  <c r="B631" i="34"/>
  <c r="B545" i="34"/>
  <c r="B1018" i="34"/>
  <c r="B858" i="34"/>
  <c r="B651" i="34"/>
  <c r="B544" i="34"/>
  <c r="B977" i="34"/>
  <c r="B753" i="34"/>
  <c r="B542" i="34"/>
  <c r="B960" i="34"/>
  <c r="B704" i="34"/>
  <c r="B409" i="34"/>
  <c r="B887" i="34"/>
  <c r="B524" i="34"/>
  <c r="B1030" i="34"/>
  <c r="B774" i="34"/>
  <c r="B570" i="34"/>
  <c r="B925" i="34"/>
  <c r="B655" i="34"/>
  <c r="B353" i="34"/>
  <c r="B97" i="34"/>
  <c r="B8" i="34"/>
  <c r="B339" i="34"/>
  <c r="B1579" i="34"/>
  <c r="B1631" i="34"/>
  <c r="F1388" i="34"/>
  <c r="F92" i="34"/>
  <c r="B1316" i="34"/>
  <c r="B1255" i="34"/>
  <c r="B763" i="34"/>
  <c r="B614" i="34"/>
  <c r="B1172" i="34"/>
  <c r="B1348" i="34"/>
  <c r="B1331" i="34"/>
  <c r="B1458" i="34"/>
  <c r="B1322" i="34"/>
  <c r="B1449" i="34"/>
  <c r="B1305" i="34"/>
  <c r="B1450" i="34"/>
  <c r="B1408" i="34"/>
  <c r="B1466" i="34"/>
  <c r="B1487" i="34"/>
  <c r="B1359" i="34"/>
  <c r="B1162" i="34"/>
  <c r="B1421" i="34"/>
  <c r="B1374" i="34"/>
  <c r="B1159" i="34"/>
  <c r="B1020" i="34"/>
  <c r="B892" i="34"/>
  <c r="B764" i="34"/>
  <c r="B518" i="34"/>
  <c r="B546" i="34"/>
  <c r="B931" i="34"/>
  <c r="B795" i="34"/>
  <c r="B599" i="34"/>
  <c r="B513" i="34"/>
  <c r="B1002" i="34"/>
  <c r="B850" i="34"/>
  <c r="B619" i="34"/>
  <c r="B512" i="34"/>
  <c r="B945" i="34"/>
  <c r="B737" i="34"/>
  <c r="B510" i="34"/>
  <c r="B944" i="34"/>
  <c r="B688" i="34"/>
  <c r="B1127" i="34"/>
  <c r="B871" i="34"/>
  <c r="B487" i="34"/>
  <c r="B1014" i="34"/>
  <c r="B758" i="34"/>
  <c r="B549" i="34"/>
  <c r="B909" i="34"/>
  <c r="B591" i="34"/>
  <c r="B337" i="34"/>
  <c r="B81" i="34"/>
  <c r="B319" i="34"/>
  <c r="B211" i="34"/>
  <c r="B1899" i="34"/>
  <c r="B1503" i="34"/>
  <c r="F1132" i="34"/>
  <c r="F50" i="34"/>
  <c r="B1221" i="34"/>
  <c r="B1342" i="34"/>
  <c r="B970" i="34"/>
  <c r="B880" i="34"/>
  <c r="B273" i="34"/>
  <c r="B1420" i="34"/>
  <c r="L15" i="35"/>
  <c r="B1325" i="34"/>
  <c r="B1252" i="34"/>
  <c r="B1141" i="34"/>
  <c r="B1459" i="34"/>
  <c r="B1501" i="34"/>
  <c r="B1412" i="34"/>
  <c r="B1475" i="34"/>
  <c r="B1280" i="34"/>
  <c r="M15" i="35"/>
  <c r="B1158" i="34"/>
  <c r="B1317" i="34"/>
  <c r="B1243" i="34"/>
  <c r="B1340" i="34"/>
  <c r="B1500" i="34"/>
  <c r="B1451" i="34"/>
  <c r="B1323" i="34"/>
  <c r="B1444" i="34"/>
  <c r="B1442" i="34"/>
  <c r="B1314" i="34"/>
  <c r="B1498" i="34"/>
  <c r="B1425" i="34"/>
  <c r="B1297" i="34"/>
  <c r="B1256" i="34"/>
  <c r="B1489" i="34"/>
  <c r="B1400" i="34"/>
  <c r="B1272" i="34"/>
  <c r="B1497" i="34"/>
  <c r="B1479" i="34"/>
  <c r="B1351" i="34"/>
  <c r="B1147" i="34"/>
  <c r="B1494" i="34"/>
  <c r="B1366" i="34"/>
  <c r="B1146" i="34"/>
  <c r="B1012" i="34"/>
  <c r="B884" i="34"/>
  <c r="B756" i="34"/>
  <c r="B500" i="34"/>
  <c r="B533" i="34"/>
  <c r="B923" i="34"/>
  <c r="B787" i="34"/>
  <c r="B567" i="34"/>
  <c r="B496" i="34"/>
  <c r="B994" i="34"/>
  <c r="B842" i="34"/>
  <c r="B587" i="34"/>
  <c r="B470" i="34"/>
  <c r="B937" i="34"/>
  <c r="B729" i="34"/>
  <c r="B492" i="34"/>
  <c r="B936" i="34"/>
  <c r="B680" i="34"/>
  <c r="B1119" i="34"/>
  <c r="B863" i="34"/>
  <c r="B461" i="34"/>
  <c r="B1006" i="34"/>
  <c r="B750" i="34"/>
  <c r="B503" i="34"/>
  <c r="B901" i="34"/>
  <c r="B559" i="34"/>
  <c r="B329" i="34"/>
  <c r="B73" i="34"/>
  <c r="B191" i="34"/>
  <c r="B83" i="34"/>
  <c r="B1770" i="34"/>
  <c r="B1887" i="34"/>
  <c r="F832" i="34"/>
  <c r="F1819" i="34"/>
  <c r="B1196" i="34"/>
  <c r="B1455" i="34"/>
  <c r="B1122" i="34"/>
  <c r="B1063" i="34"/>
  <c r="B1145" i="34"/>
  <c r="B1332" i="34"/>
  <c r="B1315" i="34"/>
  <c r="B1434" i="34"/>
  <c r="B1306" i="34"/>
  <c r="B1417" i="34"/>
  <c r="B1289" i="34"/>
  <c r="B1473" i="34"/>
  <c r="B1264" i="34"/>
  <c r="B1457" i="34"/>
  <c r="B1471" i="34"/>
  <c r="B1343" i="34"/>
  <c r="B1043" i="34"/>
  <c r="B1486" i="34"/>
  <c r="B1358" i="34"/>
  <c r="B1027" i="34"/>
  <c r="B1004" i="34"/>
  <c r="B876" i="34"/>
  <c r="B748" i="34"/>
  <c r="B478" i="34"/>
  <c r="B517" i="34"/>
  <c r="B915" i="34"/>
  <c r="B779" i="34"/>
  <c r="B532" i="34"/>
  <c r="B472" i="34"/>
  <c r="B986" i="34"/>
  <c r="B810" i="34"/>
  <c r="B555" i="34"/>
  <c r="B1121" i="34"/>
  <c r="B929" i="34"/>
  <c r="B721" i="34"/>
  <c r="B465" i="34"/>
  <c r="B928" i="34"/>
  <c r="B659" i="34"/>
  <c r="B1111" i="34"/>
  <c r="B855" i="34"/>
  <c r="B408" i="34"/>
  <c r="B998" i="34"/>
  <c r="B742" i="34"/>
  <c r="B481" i="34"/>
  <c r="B893" i="34"/>
  <c r="B536" i="34"/>
  <c r="B321" i="34"/>
  <c r="B65" i="34"/>
  <c r="B63" i="34"/>
  <c r="B498" i="34"/>
  <c r="B1642" i="34"/>
  <c r="B1894" i="34"/>
  <c r="F1440" i="34"/>
  <c r="F1809" i="34"/>
  <c r="B1220" i="34"/>
  <c r="B495" i="34"/>
  <c r="B845" i="34"/>
  <c r="B1206" i="34"/>
  <c r="B1185" i="34"/>
  <c r="B1157" i="34"/>
  <c r="L14" i="35"/>
  <c r="B1309" i="34"/>
  <c r="B1234" i="34"/>
  <c r="B1388" i="34"/>
  <c r="B1443" i="34"/>
  <c r="B1491" i="34"/>
  <c r="B1249" i="34"/>
  <c r="B1238" i="34"/>
  <c r="B1392" i="34"/>
  <c r="M14" i="35"/>
  <c r="B1129" i="34"/>
  <c r="B1301" i="34"/>
  <c r="B1225" i="34"/>
  <c r="B1324" i="34"/>
  <c r="B1251" i="34"/>
  <c r="B1435" i="34"/>
  <c r="B1307" i="34"/>
  <c r="B1250" i="34"/>
  <c r="B1426" i="34"/>
  <c r="B1298" i="34"/>
  <c r="B1230" i="34"/>
  <c r="B1409" i="34"/>
  <c r="B1281" i="34"/>
  <c r="B1229" i="34"/>
  <c r="B1465" i="34"/>
  <c r="B1384" i="34"/>
  <c r="B1247" i="34"/>
  <c r="B1433" i="34"/>
  <c r="B1463" i="34"/>
  <c r="B1335" i="34"/>
  <c r="B1254" i="34"/>
  <c r="B1478" i="34"/>
  <c r="B1350" i="34"/>
  <c r="B1124" i="34"/>
  <c r="B996" i="34"/>
  <c r="B868" i="34"/>
  <c r="B740" i="34"/>
  <c r="B447" i="34"/>
  <c r="B497" i="34"/>
  <c r="B907" i="34"/>
  <c r="B771" i="34"/>
  <c r="B516" i="34"/>
  <c r="B1130" i="34"/>
  <c r="B978" i="34"/>
  <c r="B802" i="34"/>
  <c r="B529" i="34"/>
  <c r="B1113" i="34"/>
  <c r="B921" i="34"/>
  <c r="B689" i="34"/>
  <c r="B1152" i="34"/>
  <c r="B896" i="34"/>
  <c r="B541" i="34"/>
  <c r="B1079" i="34"/>
  <c r="B823" i="34"/>
  <c r="B636" i="34"/>
  <c r="B966" i="34"/>
  <c r="B710" i="34"/>
  <c r="B1117" i="34"/>
  <c r="B861" i="34"/>
  <c r="B449" i="34"/>
  <c r="B289" i="34"/>
  <c r="B33" i="34"/>
  <c r="B398" i="34"/>
  <c r="B370" i="34"/>
  <c r="B1514" i="34"/>
  <c r="B1766" i="34"/>
  <c r="F949" i="34"/>
  <c r="F1847" i="34"/>
  <c r="B144" i="34"/>
  <c r="B16" i="34"/>
  <c r="B327" i="34"/>
  <c r="B199" i="34"/>
  <c r="B71" i="34"/>
  <c r="B406" i="34"/>
  <c r="B278" i="34"/>
  <c r="B150" i="34"/>
  <c r="B22" i="34"/>
  <c r="B349" i="34"/>
  <c r="B221" i="34"/>
  <c r="B93" i="34"/>
  <c r="B452" i="34"/>
  <c r="B324" i="34"/>
  <c r="B196" i="34"/>
  <c r="B68" i="34"/>
  <c r="B475" i="34"/>
  <c r="B347" i="34"/>
  <c r="B219" i="34"/>
  <c r="B91" i="34"/>
  <c r="B506" i="34"/>
  <c r="B378" i="34"/>
  <c r="B250" i="34"/>
  <c r="B122" i="34"/>
  <c r="B1957" i="34"/>
  <c r="B1717" i="34"/>
  <c r="B1589" i="34"/>
  <c r="B1940" i="34"/>
  <c r="B1756" i="34"/>
  <c r="B1628" i="34"/>
  <c r="B1941" i="34"/>
  <c r="B1843" i="34"/>
  <c r="B1715" i="34"/>
  <c r="B1587" i="34"/>
  <c r="B1915" i="34"/>
  <c r="B1778" i="34"/>
  <c r="B1650" i="34"/>
  <c r="B1522" i="34"/>
  <c r="B1817" i="34"/>
  <c r="B1681" i="34"/>
  <c r="B1553" i="34"/>
  <c r="B1953" i="34"/>
  <c r="B1929" i="34"/>
  <c r="B1824" i="34"/>
  <c r="B1696" i="34"/>
  <c r="B1568" i="34"/>
  <c r="B1810" i="34"/>
  <c r="B1972" i="34"/>
  <c r="B1767" i="34"/>
  <c r="B1639" i="34"/>
  <c r="B1511" i="34"/>
  <c r="B1911" i="34"/>
  <c r="B1902" i="34"/>
  <c r="B1774" i="34"/>
  <c r="B1622" i="34"/>
  <c r="F1021" i="34"/>
  <c r="F1272" i="34"/>
  <c r="F1097" i="34"/>
  <c r="F1263" i="34"/>
  <c r="F1171" i="34"/>
  <c r="F1382" i="34"/>
  <c r="F1125" i="34"/>
  <c r="F956" i="34"/>
  <c r="F1357" i="34"/>
  <c r="F1104" i="34"/>
  <c r="F1412" i="34"/>
  <c r="F1141" i="34"/>
  <c r="F872" i="34"/>
  <c r="F965" i="34"/>
  <c r="F989" i="34"/>
  <c r="F1386" i="34"/>
  <c r="F1069" i="34"/>
  <c r="F1147" i="34"/>
  <c r="F1481" i="34"/>
  <c r="F1241" i="34"/>
  <c r="F529" i="34"/>
  <c r="F775" i="34"/>
  <c r="F725" i="34"/>
  <c r="F755" i="34"/>
  <c r="F185" i="34"/>
  <c r="F358" i="34"/>
  <c r="F196" i="34"/>
  <c r="F154" i="34"/>
  <c r="F1971" i="34"/>
  <c r="F1913" i="34"/>
  <c r="F1961" i="34"/>
  <c r="B913" i="34"/>
  <c r="B785" i="34"/>
  <c r="B607" i="34"/>
  <c r="B585" i="34"/>
  <c r="B1120" i="34"/>
  <c r="B992" i="34"/>
  <c r="B864" i="34"/>
  <c r="B736" i="34"/>
  <c r="B464" i="34"/>
  <c r="B525" i="34"/>
  <c r="B1047" i="34"/>
  <c r="B919" i="34"/>
  <c r="B791" i="34"/>
  <c r="B615" i="34"/>
  <c r="B593" i="34"/>
  <c r="B1062" i="34"/>
  <c r="B934" i="34"/>
  <c r="B806" i="34"/>
  <c r="B677" i="34"/>
  <c r="B613" i="34"/>
  <c r="B1085" i="34"/>
  <c r="B957" i="34"/>
  <c r="B829" i="34"/>
  <c r="B701" i="34"/>
  <c r="B654" i="34"/>
  <c r="B385" i="34"/>
  <c r="B257" i="34"/>
  <c r="B129" i="34"/>
  <c r="B384" i="34"/>
  <c r="B256" i="34"/>
  <c r="B128" i="34"/>
  <c r="B439" i="34"/>
  <c r="B311" i="34"/>
  <c r="B183" i="34"/>
  <c r="B55" i="34"/>
  <c r="B390" i="34"/>
  <c r="B262" i="34"/>
  <c r="B134" i="34"/>
  <c r="B6" i="34"/>
  <c r="B333" i="34"/>
  <c r="B205" i="34"/>
  <c r="B77" i="34"/>
  <c r="B436" i="34"/>
  <c r="B308" i="34"/>
  <c r="B180" i="34"/>
  <c r="B52" i="34"/>
  <c r="B459" i="34"/>
  <c r="B331" i="34"/>
  <c r="B203" i="34"/>
  <c r="B75" i="34"/>
  <c r="B490" i="34"/>
  <c r="B362" i="34"/>
  <c r="B234" i="34"/>
  <c r="B106" i="34"/>
  <c r="B1837" i="34"/>
  <c r="B1701" i="34"/>
  <c r="B1573" i="34"/>
  <c r="B1916" i="34"/>
  <c r="B1740" i="34"/>
  <c r="B1612" i="34"/>
  <c r="B1924" i="34"/>
  <c r="B1827" i="34"/>
  <c r="B1699" i="34"/>
  <c r="B1571" i="34"/>
  <c r="B1875" i="34"/>
  <c r="B1762" i="34"/>
  <c r="B1634" i="34"/>
  <c r="B1506" i="34"/>
  <c r="B1801" i="34"/>
  <c r="B1665" i="34"/>
  <c r="B1537" i="34"/>
  <c r="B1889" i="34"/>
  <c r="B2000" i="34"/>
  <c r="B1808" i="34"/>
  <c r="B1680" i="34"/>
  <c r="B1552" i="34"/>
  <c r="B1961" i="34"/>
  <c r="B1935" i="34"/>
  <c r="B1751" i="34"/>
  <c r="B1623" i="34"/>
  <c r="B1917" i="34"/>
  <c r="B1879" i="34"/>
  <c r="B1886" i="34"/>
  <c r="B1758" i="34"/>
  <c r="B1598" i="34"/>
  <c r="F881" i="34"/>
  <c r="F1256" i="34"/>
  <c r="F1031" i="34"/>
  <c r="F1239" i="34"/>
  <c r="F1075" i="34"/>
  <c r="F1334" i="34"/>
  <c r="F1040" i="34"/>
  <c r="F924" i="34"/>
  <c r="F1333" i="34"/>
  <c r="F992" i="34"/>
  <c r="F1380" i="34"/>
  <c r="F1093" i="34"/>
  <c r="F1483" i="34"/>
  <c r="F1455" i="34"/>
  <c r="F869" i="34"/>
  <c r="F1354" i="34"/>
  <c r="F1046" i="34"/>
  <c r="F1079" i="34"/>
  <c r="F1433" i="34"/>
  <c r="F1216" i="34"/>
  <c r="F745" i="34"/>
  <c r="F547" i="34"/>
  <c r="F449" i="34"/>
  <c r="F563" i="34"/>
  <c r="F57" i="34"/>
  <c r="F230" i="34"/>
  <c r="F68" i="34"/>
  <c r="F26" i="34"/>
  <c r="F1795" i="34"/>
  <c r="F1785" i="34"/>
  <c r="F1815" i="34"/>
  <c r="B248" i="34"/>
  <c r="B120" i="34"/>
  <c r="B431" i="34"/>
  <c r="B303" i="34"/>
  <c r="B175" i="34"/>
  <c r="B47" i="34"/>
  <c r="B382" i="34"/>
  <c r="B254" i="34"/>
  <c r="B126" i="34"/>
  <c r="B453" i="34"/>
  <c r="B325" i="34"/>
  <c r="B197" i="34"/>
  <c r="B69" i="34"/>
  <c r="B428" i="34"/>
  <c r="B300" i="34"/>
  <c r="B172" i="34"/>
  <c r="B44" i="34"/>
  <c r="B451" i="34"/>
  <c r="B323" i="34"/>
  <c r="B195" i="34"/>
  <c r="B67" i="34"/>
  <c r="B482" i="34"/>
  <c r="B354" i="34"/>
  <c r="B226" i="34"/>
  <c r="B98" i="34"/>
  <c r="B1829" i="34"/>
  <c r="B1693" i="34"/>
  <c r="B1565" i="34"/>
  <c r="B1900" i="34"/>
  <c r="B1732" i="34"/>
  <c r="B1604" i="34"/>
  <c r="B1908" i="34"/>
  <c r="B1819" i="34"/>
  <c r="B1691" i="34"/>
  <c r="B1563" i="34"/>
  <c r="B1851" i="34"/>
  <c r="B1754" i="34"/>
  <c r="B1626" i="34"/>
  <c r="B1997" i="34"/>
  <c r="B1793" i="34"/>
  <c r="B1657" i="34"/>
  <c r="B1529" i="34"/>
  <c r="B1849" i="34"/>
  <c r="B1984" i="34"/>
  <c r="B1800" i="34"/>
  <c r="B1672" i="34"/>
  <c r="B1544" i="34"/>
  <c r="B1945" i="34"/>
  <c r="B1903" i="34"/>
  <c r="B1743" i="34"/>
  <c r="B1615" i="34"/>
  <c r="B1956" i="34"/>
  <c r="B1863" i="34"/>
  <c r="B1878" i="34"/>
  <c r="B1750" i="34"/>
  <c r="B1590" i="34"/>
  <c r="F865" i="34"/>
  <c r="F1198" i="34"/>
  <c r="F1020" i="34"/>
  <c r="F1231" i="34"/>
  <c r="F1053" i="34"/>
  <c r="F1326" i="34"/>
  <c r="F1029" i="34"/>
  <c r="F876" i="34"/>
  <c r="F1325" i="34"/>
  <c r="F981" i="34"/>
  <c r="F1340" i="34"/>
  <c r="F1061" i="34"/>
  <c r="F1379" i="34"/>
  <c r="F1460" i="34"/>
  <c r="F853" i="34"/>
  <c r="F1346" i="34"/>
  <c r="F976" i="34"/>
  <c r="F1033" i="34"/>
  <c r="F1425" i="34"/>
  <c r="F1146" i="34"/>
  <c r="F623" i="34"/>
  <c r="F600" i="34"/>
  <c r="F544" i="34"/>
  <c r="F594" i="34"/>
  <c r="F296" i="34"/>
  <c r="F126" i="34"/>
  <c r="F443" i="34"/>
  <c r="F1821" i="34"/>
  <c r="F1691" i="34"/>
  <c r="F1681" i="34"/>
  <c r="F1711" i="34"/>
  <c r="B543" i="34"/>
  <c r="B564" i="34"/>
  <c r="B1104" i="34"/>
  <c r="B976" i="34"/>
  <c r="B848" i="34"/>
  <c r="B720" i="34"/>
  <c r="B679" i="34"/>
  <c r="B488" i="34"/>
  <c r="B1031" i="34"/>
  <c r="B903" i="34"/>
  <c r="B775" i="34"/>
  <c r="B551" i="34"/>
  <c r="B572" i="34"/>
  <c r="B1046" i="34"/>
  <c r="B918" i="34"/>
  <c r="B790" i="34"/>
  <c r="B635" i="34"/>
  <c r="B592" i="34"/>
  <c r="B1069" i="34"/>
  <c r="B941" i="34"/>
  <c r="B813" i="34"/>
  <c r="B685" i="34"/>
  <c r="B633" i="34"/>
  <c r="B369" i="34"/>
  <c r="B241" i="34"/>
  <c r="B113" i="34"/>
  <c r="B368" i="34"/>
  <c r="B240" i="34"/>
  <c r="B112" i="34"/>
  <c r="B423" i="34"/>
  <c r="B295" i="34"/>
  <c r="B167" i="34"/>
  <c r="B39" i="34"/>
  <c r="B374" i="34"/>
  <c r="B246" i="34"/>
  <c r="B118" i="34"/>
  <c r="B445" i="34"/>
  <c r="B317" i="34"/>
  <c r="B189" i="34"/>
  <c r="B61" i="34"/>
  <c r="B420" i="34"/>
  <c r="B292" i="34"/>
  <c r="B164" i="34"/>
  <c r="B36" i="34"/>
  <c r="B443" i="34"/>
  <c r="B315" i="34"/>
  <c r="B187" i="34"/>
  <c r="B59" i="34"/>
  <c r="B474" i="34"/>
  <c r="B346" i="34"/>
  <c r="B218" i="34"/>
  <c r="B90" i="34"/>
  <c r="B1821" i="34"/>
  <c r="B1685" i="34"/>
  <c r="B1557" i="34"/>
  <c r="B1884" i="34"/>
  <c r="B1724" i="34"/>
  <c r="B1596" i="34"/>
  <c r="B1892" i="34"/>
  <c r="B1811" i="34"/>
  <c r="B1683" i="34"/>
  <c r="B1555" i="34"/>
  <c r="B1909" i="34"/>
  <c r="B1746" i="34"/>
  <c r="B1618" i="34"/>
  <c r="B1925" i="34"/>
  <c r="B1785" i="34"/>
  <c r="B1649" i="34"/>
  <c r="B1521" i="34"/>
  <c r="B1825" i="34"/>
  <c r="B1968" i="34"/>
  <c r="B1792" i="34"/>
  <c r="B1664" i="34"/>
  <c r="B1536" i="34"/>
  <c r="B1913" i="34"/>
  <c r="B1871" i="34"/>
  <c r="B1735" i="34"/>
  <c r="B1607" i="34"/>
  <c r="B1991" i="34"/>
  <c r="B1998" i="34"/>
  <c r="B1870" i="34"/>
  <c r="B1742" i="34"/>
  <c r="B1582" i="34"/>
  <c r="F1456" i="34"/>
  <c r="F1181" i="34"/>
  <c r="F984" i="34"/>
  <c r="F1180" i="34"/>
  <c r="F1017" i="34"/>
  <c r="F1318" i="34"/>
  <c r="F1479" i="34"/>
  <c r="F860" i="34"/>
  <c r="F1317" i="34"/>
  <c r="F840" i="34"/>
  <c r="F1332" i="34"/>
  <c r="F1025" i="34"/>
  <c r="F1283" i="34"/>
  <c r="F1428" i="34"/>
  <c r="F825" i="34"/>
  <c r="F1306" i="34"/>
  <c r="F964" i="34"/>
  <c r="F1022" i="34"/>
  <c r="F1409" i="34"/>
  <c r="F1137" i="34"/>
  <c r="F539" i="34"/>
  <c r="F568" i="34"/>
  <c r="F512" i="34"/>
  <c r="F562" i="34"/>
  <c r="F272" i="34"/>
  <c r="F102" i="34"/>
  <c r="F419" i="34"/>
  <c r="F1797" i="34"/>
  <c r="F1667" i="34"/>
  <c r="F1657" i="34"/>
  <c r="F1687" i="34"/>
  <c r="B673" i="34"/>
  <c r="B433" i="34"/>
  <c r="B1010" i="34"/>
  <c r="B882" i="34"/>
  <c r="B754" i="34"/>
  <c r="B471" i="34"/>
  <c r="B494" i="34"/>
  <c r="B1017" i="34"/>
  <c r="B889" i="34"/>
  <c r="B761" i="34"/>
  <c r="B528" i="34"/>
  <c r="B553" i="34"/>
  <c r="B1096" i="34"/>
  <c r="B968" i="34"/>
  <c r="B840" i="34"/>
  <c r="B712" i="34"/>
  <c r="B669" i="34"/>
  <c r="B463" i="34"/>
  <c r="B1023" i="34"/>
  <c r="B895" i="34"/>
  <c r="B767" i="34"/>
  <c r="B539" i="34"/>
  <c r="B561" i="34"/>
  <c r="B1038" i="34"/>
  <c r="B910" i="34"/>
  <c r="B782" i="34"/>
  <c r="B603" i="34"/>
  <c r="B581" i="34"/>
  <c r="B1061" i="34"/>
  <c r="B933" i="34"/>
  <c r="B805" i="34"/>
  <c r="B676" i="34"/>
  <c r="B622" i="34"/>
  <c r="B361" i="34"/>
  <c r="B233" i="34"/>
  <c r="B105" i="34"/>
  <c r="B360" i="34"/>
  <c r="B232" i="34"/>
  <c r="B104" i="34"/>
  <c r="B415" i="34"/>
  <c r="B287" i="34"/>
  <c r="B159" i="34"/>
  <c r="B31" i="34"/>
  <c r="B366" i="34"/>
  <c r="B238" i="34"/>
  <c r="B110" i="34"/>
  <c r="B437" i="34"/>
  <c r="B309" i="34"/>
  <c r="B181" i="34"/>
  <c r="B53" i="34"/>
  <c r="B412" i="34"/>
  <c r="B284" i="34"/>
  <c r="B156" i="34"/>
  <c r="B28" i="34"/>
  <c r="B435" i="34"/>
  <c r="B307" i="34"/>
  <c r="B179" i="34"/>
  <c r="B51" i="34"/>
  <c r="B466" i="34"/>
  <c r="B338" i="34"/>
  <c r="B210" i="34"/>
  <c r="B82" i="34"/>
  <c r="B1813" i="34"/>
  <c r="B1677" i="34"/>
  <c r="B1549" i="34"/>
  <c r="B1868" i="34"/>
  <c r="B1716" i="34"/>
  <c r="B1588" i="34"/>
  <c r="B1876" i="34"/>
  <c r="B1803" i="34"/>
  <c r="B1675" i="34"/>
  <c r="B1547" i="34"/>
  <c r="B1980" i="34"/>
  <c r="B1738" i="34"/>
  <c r="B1610" i="34"/>
  <c r="B1988" i="34"/>
  <c r="B1777" i="34"/>
  <c r="B1641" i="34"/>
  <c r="B1513" i="34"/>
  <c r="B1769" i="34"/>
  <c r="B1944" i="34"/>
  <c r="B1784" i="34"/>
  <c r="B1656" i="34"/>
  <c r="B1528" i="34"/>
  <c r="B1897" i="34"/>
  <c r="B1855" i="34"/>
  <c r="B1727" i="34"/>
  <c r="B1599" i="34"/>
  <c r="B1967" i="34"/>
  <c r="B1990" i="34"/>
  <c r="B1862" i="34"/>
  <c r="B1734" i="34"/>
  <c r="B1558" i="34"/>
  <c r="F1432" i="34"/>
  <c r="F1164" i="34"/>
  <c r="F896" i="34"/>
  <c r="F1162" i="34"/>
  <c r="F1006" i="34"/>
  <c r="F1302" i="34"/>
  <c r="F1407" i="34"/>
  <c r="F841" i="34"/>
  <c r="F1293" i="34"/>
  <c r="F1220" i="34"/>
  <c r="F1324" i="34"/>
  <c r="F833" i="34"/>
  <c r="F1275" i="34"/>
  <c r="F1491" i="34"/>
  <c r="F1495" i="34"/>
  <c r="F1298" i="34"/>
  <c r="F824" i="34"/>
  <c r="F948" i="34"/>
  <c r="F1401" i="34"/>
  <c r="F1128" i="34"/>
  <c r="F570" i="34"/>
  <c r="F966" i="34"/>
  <c r="F780" i="34"/>
  <c r="F1106" i="34"/>
  <c r="F168" i="34"/>
  <c r="F413" i="34"/>
  <c r="F315" i="34"/>
  <c r="F1693" i="34"/>
  <c r="F1563" i="34"/>
  <c r="F1553" i="34"/>
  <c r="F1583" i="34"/>
  <c r="B224" i="34"/>
  <c r="B96" i="34"/>
  <c r="B407" i="34"/>
  <c r="B279" i="34"/>
  <c r="B151" i="34"/>
  <c r="B23" i="34"/>
  <c r="B358" i="34"/>
  <c r="B230" i="34"/>
  <c r="B102" i="34"/>
  <c r="B429" i="34"/>
  <c r="B301" i="34"/>
  <c r="B173" i="34"/>
  <c r="B45" i="34"/>
  <c r="B404" i="34"/>
  <c r="B276" i="34"/>
  <c r="B148" i="34"/>
  <c r="B20" i="34"/>
  <c r="B427" i="34"/>
  <c r="B299" i="34"/>
  <c r="B171" i="34"/>
  <c r="B43" i="34"/>
  <c r="B458" i="34"/>
  <c r="B330" i="34"/>
  <c r="B202" i="34"/>
  <c r="B74" i="34"/>
  <c r="B1805" i="34"/>
  <c r="B1669" i="34"/>
  <c r="B1541" i="34"/>
  <c r="B1852" i="34"/>
  <c r="B1708" i="34"/>
  <c r="B1580" i="34"/>
  <c r="B1860" i="34"/>
  <c r="B1795" i="34"/>
  <c r="B1667" i="34"/>
  <c r="B1539" i="34"/>
  <c r="B1963" i="34"/>
  <c r="B1730" i="34"/>
  <c r="B1602" i="34"/>
  <c r="B1947" i="34"/>
  <c r="B1761" i="34"/>
  <c r="B1633" i="34"/>
  <c r="B1505" i="34"/>
  <c r="B1981" i="34"/>
  <c r="B1928" i="34"/>
  <c r="B1776" i="34"/>
  <c r="B1648" i="34"/>
  <c r="B1520" i="34"/>
  <c r="B1865" i="34"/>
  <c r="B1847" i="34"/>
  <c r="B1719" i="34"/>
  <c r="B1591" i="34"/>
  <c r="B1951" i="34"/>
  <c r="B1982" i="34"/>
  <c r="B1854" i="34"/>
  <c r="B1726" i="34"/>
  <c r="B1550" i="34"/>
  <c r="F1424" i="34"/>
  <c r="F1145" i="34"/>
  <c r="F880" i="34"/>
  <c r="F1153" i="34"/>
  <c r="F941" i="34"/>
  <c r="F1294" i="34"/>
  <c r="F1359" i="34"/>
  <c r="F1493" i="34"/>
  <c r="F1285" i="34"/>
  <c r="F1203" i="34"/>
  <c r="F1308" i="34"/>
  <c r="F1219" i="34"/>
  <c r="F1259" i="34"/>
  <c r="F1411" i="34"/>
  <c r="F1439" i="34"/>
  <c r="F1290" i="34"/>
  <c r="F1404" i="34"/>
  <c r="F932" i="34"/>
  <c r="F1393" i="34"/>
  <c r="F1100" i="34"/>
  <c r="F538" i="34"/>
  <c r="F942" i="34"/>
  <c r="F756" i="34"/>
  <c r="F1082" i="34"/>
  <c r="F144" i="34"/>
  <c r="F389" i="34"/>
  <c r="F291" i="34"/>
  <c r="F1669" i="34"/>
  <c r="F1539" i="34"/>
  <c r="F1529" i="34"/>
  <c r="F1559" i="34"/>
  <c r="B425" i="34"/>
  <c r="B1001" i="34"/>
  <c r="B873" i="34"/>
  <c r="B745" i="34"/>
  <c r="B493" i="34"/>
  <c r="B527" i="34"/>
  <c r="B1080" i="34"/>
  <c r="B952" i="34"/>
  <c r="B824" i="34"/>
  <c r="B696" i="34"/>
  <c r="B648" i="34"/>
  <c r="B1135" i="34"/>
  <c r="B1007" i="34"/>
  <c r="B879" i="34"/>
  <c r="B751" i="34"/>
  <c r="B505" i="34"/>
  <c r="B486" i="34"/>
  <c r="B1022" i="34"/>
  <c r="B894" i="34"/>
  <c r="B766" i="34"/>
  <c r="B537" i="34"/>
  <c r="B560" i="34"/>
  <c r="B1045" i="34"/>
  <c r="B917" i="34"/>
  <c r="B789" i="34"/>
  <c r="B623" i="34"/>
  <c r="B601" i="34"/>
  <c r="B345" i="34"/>
  <c r="B217" i="34"/>
  <c r="B89" i="34"/>
  <c r="B344" i="34"/>
  <c r="B216" i="34"/>
  <c r="B88" i="34"/>
  <c r="B399" i="34"/>
  <c r="B271" i="34"/>
  <c r="B143" i="34"/>
  <c r="B15" i="34"/>
  <c r="B350" i="34"/>
  <c r="B222" i="34"/>
  <c r="B94" i="34"/>
  <c r="B421" i="34"/>
  <c r="B293" i="34"/>
  <c r="B165" i="34"/>
  <c r="B37" i="34"/>
  <c r="B396" i="34"/>
  <c r="B268" i="34"/>
  <c r="B140" i="34"/>
  <c r="B12" i="34"/>
  <c r="B419" i="34"/>
  <c r="B291" i="34"/>
  <c r="B163" i="34"/>
  <c r="B35" i="34"/>
  <c r="B450" i="34"/>
  <c r="B322" i="34"/>
  <c r="B194" i="34"/>
  <c r="B66" i="34"/>
  <c r="B1797" i="34"/>
  <c r="B1661" i="34"/>
  <c r="B1533" i="34"/>
  <c r="B1836" i="34"/>
  <c r="B1700" i="34"/>
  <c r="B1572" i="34"/>
  <c r="B1844" i="34"/>
  <c r="B1787" i="34"/>
  <c r="B1659" i="34"/>
  <c r="B1531" i="34"/>
  <c r="B1978" i="34"/>
  <c r="B1722" i="34"/>
  <c r="B1594" i="34"/>
  <c r="B1970" i="34"/>
  <c r="B1753" i="34"/>
  <c r="B1625" i="34"/>
  <c r="B1861" i="34"/>
  <c r="B1845" i="34"/>
  <c r="B1912" i="34"/>
  <c r="B1768" i="34"/>
  <c r="B1640" i="34"/>
  <c r="B1512" i="34"/>
  <c r="B1992" i="34"/>
  <c r="B1839" i="34"/>
  <c r="B1711" i="34"/>
  <c r="B1583" i="34"/>
  <c r="B1927" i="34"/>
  <c r="B1974" i="34"/>
  <c r="B1846" i="34"/>
  <c r="B1718" i="34"/>
  <c r="B1542" i="34"/>
  <c r="F1400" i="34"/>
  <c r="F1136" i="34"/>
  <c r="F864" i="34"/>
  <c r="F1107" i="34"/>
  <c r="F925" i="34"/>
  <c r="F1286" i="34"/>
  <c r="F1470" i="34"/>
  <c r="F1485" i="34"/>
  <c r="F1277" i="34"/>
  <c r="F1123" i="34"/>
  <c r="F1300" i="34"/>
  <c r="F1210" i="34"/>
  <c r="F1218" i="34"/>
  <c r="F1371" i="34"/>
  <c r="F1492" i="34"/>
  <c r="F1274" i="34"/>
  <c r="F1475" i="34"/>
  <c r="F916" i="34"/>
  <c r="F1369" i="34"/>
  <c r="F1078" i="34"/>
  <c r="F784" i="34"/>
  <c r="F838" i="34"/>
  <c r="F627" i="34"/>
  <c r="F978" i="34"/>
  <c r="F40" i="34"/>
  <c r="F285" i="34"/>
  <c r="F187" i="34"/>
  <c r="F1565" i="34"/>
  <c r="F1923" i="34"/>
  <c r="F1896" i="34"/>
  <c r="F1991" i="34"/>
  <c r="B208" i="34"/>
  <c r="B80" i="34"/>
  <c r="B391" i="34"/>
  <c r="B263" i="34"/>
  <c r="B135" i="34"/>
  <c r="B7" i="34"/>
  <c r="B342" i="34"/>
  <c r="B214" i="34"/>
  <c r="B86" i="34"/>
  <c r="B413" i="34"/>
  <c r="B285" i="34"/>
  <c r="B157" i="34"/>
  <c r="B29" i="34"/>
  <c r="B388" i="34"/>
  <c r="B260" i="34"/>
  <c r="B132" i="34"/>
  <c r="B4" i="34"/>
  <c r="B411" i="34"/>
  <c r="B283" i="34"/>
  <c r="B155" i="34"/>
  <c r="B27" i="34"/>
  <c r="B442" i="34"/>
  <c r="B314" i="34"/>
  <c r="B186" i="34"/>
  <c r="B58" i="34"/>
  <c r="B1781" i="34"/>
  <c r="B1653" i="34"/>
  <c r="B1525" i="34"/>
  <c r="B1828" i="34"/>
  <c r="B1692" i="34"/>
  <c r="B1564" i="34"/>
  <c r="B1812" i="34"/>
  <c r="B1779" i="34"/>
  <c r="B1651" i="34"/>
  <c r="B1523" i="34"/>
  <c r="B1954" i="34"/>
  <c r="B1714" i="34"/>
  <c r="B1586" i="34"/>
  <c r="B1882" i="34"/>
  <c r="B1745" i="34"/>
  <c r="B1617" i="34"/>
  <c r="B1987" i="34"/>
  <c r="B1955" i="34"/>
  <c r="B1896" i="34"/>
  <c r="B1760" i="34"/>
  <c r="B1632" i="34"/>
  <c r="B1504" i="34"/>
  <c r="B1976" i="34"/>
  <c r="B1831" i="34"/>
  <c r="B1703" i="34"/>
  <c r="B1575" i="34"/>
  <c r="B1895" i="34"/>
  <c r="B1966" i="34"/>
  <c r="B1838" i="34"/>
  <c r="B1710" i="34"/>
  <c r="B1502" i="34"/>
  <c r="F1392" i="34"/>
  <c r="F1127" i="34"/>
  <c r="F1431" i="34"/>
  <c r="F1086" i="34"/>
  <c r="F909" i="34"/>
  <c r="F1262" i="34"/>
  <c r="F1454" i="34"/>
  <c r="F1477" i="34"/>
  <c r="F1237" i="34"/>
  <c r="F1113" i="34"/>
  <c r="F1292" i="34"/>
  <c r="F1176" i="34"/>
  <c r="F1201" i="34"/>
  <c r="F1347" i="34"/>
  <c r="F1467" i="34"/>
  <c r="F1266" i="34"/>
  <c r="F1443" i="34"/>
  <c r="F1448" i="34"/>
  <c r="F1361" i="34"/>
  <c r="F1068" i="34"/>
  <c r="F760" i="34"/>
  <c r="F814" i="34"/>
  <c r="F575" i="34"/>
  <c r="F954" i="34"/>
  <c r="F16" i="34"/>
  <c r="F261" i="34"/>
  <c r="F163" i="34"/>
  <c r="F1541" i="34"/>
  <c r="F1885" i="34"/>
  <c r="F1864" i="34"/>
  <c r="F1951" i="34"/>
  <c r="B200" i="34"/>
  <c r="B72" i="34"/>
  <c r="B383" i="34"/>
  <c r="B255" i="34"/>
  <c r="B127" i="34"/>
  <c r="B462" i="34"/>
  <c r="B334" i="34"/>
  <c r="B206" i="34"/>
  <c r="B78" i="34"/>
  <c r="B405" i="34"/>
  <c r="B277" i="34"/>
  <c r="B149" i="34"/>
  <c r="B21" i="34"/>
  <c r="B380" i="34"/>
  <c r="B252" i="34"/>
  <c r="B124" i="34"/>
  <c r="B531" i="34"/>
  <c r="B403" i="34"/>
  <c r="B275" i="34"/>
  <c r="B147" i="34"/>
  <c r="B19" i="34"/>
  <c r="B434" i="34"/>
  <c r="B306" i="34"/>
  <c r="B178" i="34"/>
  <c r="B50" i="34"/>
  <c r="B1773" i="34"/>
  <c r="B1645" i="34"/>
  <c r="B1517" i="34"/>
  <c r="B1820" i="34"/>
  <c r="B1684" i="34"/>
  <c r="B1556" i="34"/>
  <c r="B1893" i="34"/>
  <c r="B1771" i="34"/>
  <c r="B1643" i="34"/>
  <c r="B1515" i="34"/>
  <c r="B1922" i="34"/>
  <c r="B1706" i="34"/>
  <c r="B1578" i="34"/>
  <c r="B1969" i="34"/>
  <c r="B1737" i="34"/>
  <c r="B1609" i="34"/>
  <c r="B1931" i="34"/>
  <c r="B1986" i="34"/>
  <c r="B1888" i="34"/>
  <c r="B1752" i="34"/>
  <c r="B1624" i="34"/>
  <c r="B1973" i="34"/>
  <c r="B1960" i="34"/>
  <c r="B1823" i="34"/>
  <c r="B1695" i="34"/>
  <c r="B1567" i="34"/>
  <c r="B1877" i="34"/>
  <c r="B1958" i="34"/>
  <c r="B1830" i="34"/>
  <c r="B1702" i="34"/>
  <c r="F1224" i="34"/>
  <c r="F1384" i="34"/>
  <c r="F1055" i="34"/>
  <c r="F1391" i="34"/>
  <c r="F1076" i="34"/>
  <c r="F1423" i="34"/>
  <c r="F1254" i="34"/>
  <c r="F1438" i="34"/>
  <c r="F1461" i="34"/>
  <c r="F1229" i="34"/>
  <c r="F1083" i="34"/>
  <c r="F1268" i="34"/>
  <c r="F1131" i="34"/>
  <c r="F1184" i="34"/>
  <c r="F1209" i="34"/>
  <c r="F1427" i="34"/>
  <c r="F1258" i="34"/>
  <c r="F1387" i="34"/>
  <c r="F1447" i="34"/>
  <c r="F1353" i="34"/>
  <c r="F1009" i="34"/>
  <c r="F622" i="34"/>
  <c r="F710" i="34"/>
  <c r="F596" i="34"/>
  <c r="F850" i="34"/>
  <c r="F327" i="34"/>
  <c r="F157" i="34"/>
  <c r="F59" i="34"/>
  <c r="F1812" i="34"/>
  <c r="F1850" i="34"/>
  <c r="F1752" i="34"/>
  <c r="F1958" i="34"/>
  <c r="B192" i="34"/>
  <c r="B64" i="34"/>
  <c r="B375" i="34"/>
  <c r="B247" i="34"/>
  <c r="B119" i="34"/>
  <c r="B454" i="34"/>
  <c r="B326" i="34"/>
  <c r="B198" i="34"/>
  <c r="B70" i="34"/>
  <c r="B397" i="34"/>
  <c r="B269" i="34"/>
  <c r="B141" i="34"/>
  <c r="B13" i="34"/>
  <c r="B372" i="34"/>
  <c r="B244" i="34"/>
  <c r="B116" i="34"/>
  <c r="B523" i="34"/>
  <c r="B395" i="34"/>
  <c r="B267" i="34"/>
  <c r="B139" i="34"/>
  <c r="B11" i="34"/>
  <c r="B426" i="34"/>
  <c r="B298" i="34"/>
  <c r="B170" i="34"/>
  <c r="B42" i="34"/>
  <c r="B1765" i="34"/>
  <c r="B1637" i="34"/>
  <c r="B1509" i="34"/>
  <c r="B1804" i="34"/>
  <c r="B1676" i="34"/>
  <c r="B1548" i="34"/>
  <c r="B1939" i="34"/>
  <c r="B1763" i="34"/>
  <c r="B1635" i="34"/>
  <c r="B1507" i="34"/>
  <c r="B1874" i="34"/>
  <c r="B1698" i="34"/>
  <c r="B1570" i="34"/>
  <c r="B1937" i="34"/>
  <c r="B1729" i="34"/>
  <c r="B1601" i="34"/>
  <c r="B1962" i="34"/>
  <c r="B1938" i="34"/>
  <c r="B1880" i="34"/>
  <c r="B1744" i="34"/>
  <c r="B1616" i="34"/>
  <c r="B1853" i="34"/>
  <c r="B1952" i="34"/>
  <c r="B1815" i="34"/>
  <c r="B1687" i="34"/>
  <c r="B1559" i="34"/>
  <c r="B1995" i="34"/>
  <c r="B1950" i="34"/>
  <c r="B1822" i="34"/>
  <c r="B1694" i="34"/>
  <c r="F1207" i="34"/>
  <c r="F1344" i="34"/>
  <c r="F1044" i="34"/>
  <c r="F1383" i="34"/>
  <c r="F1030" i="34"/>
  <c r="F1351" i="34"/>
  <c r="F1246" i="34"/>
  <c r="F1221" i="34"/>
  <c r="F1453" i="34"/>
  <c r="F1212" i="34"/>
  <c r="F1004" i="34"/>
  <c r="F1260" i="34"/>
  <c r="F1112" i="34"/>
  <c r="F1158" i="34"/>
  <c r="F1192" i="34"/>
  <c r="F1395" i="34"/>
  <c r="F1234" i="34"/>
  <c r="F1355" i="34"/>
  <c r="F1476" i="34"/>
  <c r="F1313" i="34"/>
  <c r="F998" i="34"/>
  <c r="F527" i="34"/>
  <c r="F686" i="34"/>
  <c r="F564" i="34"/>
  <c r="F826" i="34"/>
  <c r="F303" i="34"/>
  <c r="F133" i="34"/>
  <c r="F35" i="34"/>
  <c r="F1788" i="34"/>
  <c r="F1826" i="34"/>
  <c r="F1728" i="34"/>
  <c r="F1934" i="34"/>
  <c r="B609" i="34"/>
  <c r="B1090" i="34"/>
  <c r="B962" i="34"/>
  <c r="B834" i="34"/>
  <c r="B706" i="34"/>
  <c r="B629" i="34"/>
  <c r="B1097" i="34"/>
  <c r="B969" i="34"/>
  <c r="B841" i="34"/>
  <c r="B713" i="34"/>
  <c r="B660" i="34"/>
  <c r="B417" i="34"/>
  <c r="B1048" i="34"/>
  <c r="B920" i="34"/>
  <c r="B792" i="34"/>
  <c r="B627" i="34"/>
  <c r="B605" i="34"/>
  <c r="B1103" i="34"/>
  <c r="B975" i="34"/>
  <c r="B847" i="34"/>
  <c r="B719" i="34"/>
  <c r="B668" i="34"/>
  <c r="B1118" i="34"/>
  <c r="B990" i="34"/>
  <c r="B862" i="34"/>
  <c r="B734" i="34"/>
  <c r="B456" i="34"/>
  <c r="B455" i="34"/>
  <c r="B1013" i="34"/>
  <c r="B885" i="34"/>
  <c r="B757" i="34"/>
  <c r="B520" i="34"/>
  <c r="B558" i="34"/>
  <c r="B313" i="34"/>
  <c r="B185" i="34"/>
  <c r="B57" i="34"/>
  <c r="B312" i="34"/>
  <c r="B184" i="34"/>
  <c r="B56" i="34"/>
  <c r="B367" i="34"/>
  <c r="B239" i="34"/>
  <c r="B111" i="34"/>
  <c r="B446" i="34"/>
  <c r="B318" i="34"/>
  <c r="B190" i="34"/>
  <c r="B62" i="34"/>
  <c r="B389" i="34"/>
  <c r="B261" i="34"/>
  <c r="B133" i="34"/>
  <c r="B5" i="34"/>
  <c r="B364" i="34"/>
  <c r="B236" i="34"/>
  <c r="B108" i="34"/>
  <c r="B515" i="34"/>
  <c r="B387" i="34"/>
  <c r="B259" i="34"/>
  <c r="B131" i="34"/>
  <c r="B3" i="34"/>
  <c r="B418" i="34"/>
  <c r="B290" i="34"/>
  <c r="B162" i="34"/>
  <c r="B34" i="34"/>
  <c r="B1757" i="34"/>
  <c r="B1629" i="34"/>
  <c r="B1965" i="34"/>
  <c r="B1796" i="34"/>
  <c r="B1668" i="34"/>
  <c r="B1540" i="34"/>
  <c r="B1907" i="34"/>
  <c r="B1755" i="34"/>
  <c r="B1627" i="34"/>
  <c r="B1989" i="34"/>
  <c r="B1842" i="34"/>
  <c r="B1690" i="34"/>
  <c r="B1562" i="34"/>
  <c r="B1905" i="34"/>
  <c r="B1721" i="34"/>
  <c r="B1593" i="34"/>
  <c r="B1930" i="34"/>
  <c r="B1906" i="34"/>
  <c r="B1872" i="34"/>
  <c r="B1736" i="34"/>
  <c r="B1608" i="34"/>
  <c r="B1979" i="34"/>
  <c r="B1936" i="34"/>
  <c r="B1807" i="34"/>
  <c r="B1679" i="34"/>
  <c r="B1551" i="34"/>
  <c r="B1999" i="34"/>
  <c r="B1942" i="34"/>
  <c r="B1814" i="34"/>
  <c r="B1686" i="34"/>
  <c r="F1173" i="34"/>
  <c r="F1336" i="34"/>
  <c r="F1008" i="34"/>
  <c r="F1335" i="34"/>
  <c r="F1007" i="34"/>
  <c r="F1494" i="34"/>
  <c r="F1179" i="34"/>
  <c r="F1204" i="34"/>
  <c r="F1445" i="34"/>
  <c r="F1186" i="34"/>
  <c r="F953" i="34"/>
  <c r="F1252" i="34"/>
  <c r="F1048" i="34"/>
  <c r="F1149" i="34"/>
  <c r="F1175" i="34"/>
  <c r="F1450" i="34"/>
  <c r="F1217" i="34"/>
  <c r="F1299" i="34"/>
  <c r="F1396" i="34"/>
  <c r="F1305" i="34"/>
  <c r="F975" i="34"/>
  <c r="F590" i="34"/>
  <c r="F368" i="34"/>
  <c r="F1035" i="34"/>
  <c r="F722" i="34"/>
  <c r="F199" i="34"/>
  <c r="F29" i="34"/>
  <c r="F434" i="34"/>
  <c r="F1676" i="34"/>
  <c r="F1722" i="34"/>
  <c r="F1624" i="34"/>
  <c r="F1830" i="34"/>
  <c r="B939" i="34"/>
  <c r="B811" i="34"/>
  <c r="B683" i="34"/>
  <c r="B598" i="34"/>
  <c r="B1082" i="34"/>
  <c r="B954" i="34"/>
  <c r="B826" i="34"/>
  <c r="B698" i="34"/>
  <c r="B618" i="34"/>
  <c r="B1089" i="34"/>
  <c r="B961" i="34"/>
  <c r="B833" i="34"/>
  <c r="B705" i="34"/>
  <c r="B649" i="34"/>
  <c r="B1168" i="34"/>
  <c r="B1040" i="34"/>
  <c r="B912" i="34"/>
  <c r="B784" i="34"/>
  <c r="B595" i="34"/>
  <c r="B594" i="34"/>
  <c r="B1095" i="34"/>
  <c r="B967" i="34"/>
  <c r="B839" i="34"/>
  <c r="B711" i="34"/>
  <c r="B657" i="34"/>
  <c r="B1110" i="34"/>
  <c r="B982" i="34"/>
  <c r="B854" i="34"/>
  <c r="B726" i="34"/>
  <c r="B400" i="34"/>
  <c r="B393" i="34"/>
  <c r="B1005" i="34"/>
  <c r="B877" i="34"/>
  <c r="B749" i="34"/>
  <c r="B502" i="34"/>
  <c r="B548" i="34"/>
  <c r="B305" i="34"/>
  <c r="B177" i="34"/>
  <c r="B49" i="34"/>
  <c r="B304" i="34"/>
  <c r="B176" i="34"/>
  <c r="B48" i="34"/>
  <c r="B359" i="34"/>
  <c r="B231" i="34"/>
  <c r="B103" i="34"/>
  <c r="B438" i="34"/>
  <c r="B310" i="34"/>
  <c r="B182" i="34"/>
  <c r="B54" i="34"/>
  <c r="B381" i="34"/>
  <c r="B253" i="34"/>
  <c r="B125" i="34"/>
  <c r="B484" i="34"/>
  <c r="B356" i="34"/>
  <c r="B228" i="34"/>
  <c r="B100" i="34"/>
  <c r="B507" i="34"/>
  <c r="B379" i="34"/>
  <c r="B251" i="34"/>
  <c r="B123" i="34"/>
  <c r="B538" i="34"/>
  <c r="B410" i="34"/>
  <c r="B282" i="34"/>
  <c r="B154" i="34"/>
  <c r="B26" i="34"/>
  <c r="B1749" i="34"/>
  <c r="B1621" i="34"/>
  <c r="B1869" i="34"/>
  <c r="B1788" i="34"/>
  <c r="B1660" i="34"/>
  <c r="B1532" i="34"/>
  <c r="B1891" i="34"/>
  <c r="B1747" i="34"/>
  <c r="B1619" i="34"/>
  <c r="B1901" i="34"/>
  <c r="B1834" i="34"/>
  <c r="B1682" i="34"/>
  <c r="B1554" i="34"/>
  <c r="B1873" i="34"/>
  <c r="B1713" i="34"/>
  <c r="B1585" i="34"/>
  <c r="B1898" i="34"/>
  <c r="B1890" i="34"/>
  <c r="B1856" i="34"/>
  <c r="B1728" i="34"/>
  <c r="B1600" i="34"/>
  <c r="B1994" i="34"/>
  <c r="B1920" i="34"/>
  <c r="B1799" i="34"/>
  <c r="B1671" i="34"/>
  <c r="B1543" i="34"/>
  <c r="B1983" i="34"/>
  <c r="B1934" i="34"/>
  <c r="B1806" i="34"/>
  <c r="B1678" i="34"/>
  <c r="F1155" i="34"/>
  <c r="F1328" i="34"/>
  <c r="F1206" i="34"/>
  <c r="F1327" i="34"/>
  <c r="F996" i="34"/>
  <c r="F1462" i="34"/>
  <c r="F1170" i="34"/>
  <c r="F1187" i="34"/>
  <c r="F1421" i="34"/>
  <c r="F1169" i="34"/>
  <c r="F937" i="34"/>
  <c r="F1202" i="34"/>
  <c r="F1037" i="34"/>
  <c r="F1140" i="34"/>
  <c r="F1111" i="34"/>
  <c r="F1434" i="34"/>
  <c r="F1200" i="34"/>
  <c r="F1466" i="34"/>
  <c r="F1499" i="34"/>
  <c r="F1297" i="34"/>
  <c r="F624" i="34"/>
  <c r="F558" i="34"/>
  <c r="F658" i="34"/>
  <c r="F1011" i="34"/>
  <c r="F698" i="34"/>
  <c r="F175" i="34"/>
  <c r="F5" i="34"/>
  <c r="F410" i="34"/>
  <c r="F1652" i="34"/>
  <c r="F1698" i="34"/>
  <c r="F1600" i="34"/>
  <c r="F1806" i="34"/>
  <c r="B818" i="34"/>
  <c r="B690" i="34"/>
  <c r="B608" i="34"/>
  <c r="B1081" i="34"/>
  <c r="B953" i="34"/>
  <c r="B825" i="34"/>
  <c r="B697" i="34"/>
  <c r="B638" i="34"/>
  <c r="B1160" i="34"/>
  <c r="B1032" i="34"/>
  <c r="B904" i="34"/>
  <c r="B776" i="34"/>
  <c r="B563" i="34"/>
  <c r="B584" i="34"/>
  <c r="B1087" i="34"/>
  <c r="B959" i="34"/>
  <c r="B831" i="34"/>
  <c r="B703" i="34"/>
  <c r="B646" i="34"/>
  <c r="B1102" i="34"/>
  <c r="B974" i="34"/>
  <c r="B846" i="34"/>
  <c r="B718" i="34"/>
  <c r="B666" i="34"/>
  <c r="B1125" i="34"/>
  <c r="B997" i="34"/>
  <c r="B869" i="34"/>
  <c r="B741" i="34"/>
  <c r="B480" i="34"/>
  <c r="B535" i="34"/>
  <c r="B297" i="34"/>
  <c r="B169" i="34"/>
  <c r="B41" i="34"/>
  <c r="B296" i="34"/>
  <c r="B168" i="34"/>
  <c r="B40" i="34"/>
  <c r="B351" i="34"/>
  <c r="B223" i="34"/>
  <c r="B95" i="34"/>
  <c r="B430" i="34"/>
  <c r="B302" i="34"/>
  <c r="B174" i="34"/>
  <c r="B46" i="34"/>
  <c r="B373" i="34"/>
  <c r="B245" i="34"/>
  <c r="B117" i="34"/>
  <c r="B476" i="34"/>
  <c r="B348" i="34"/>
  <c r="B220" i="34"/>
  <c r="B92" i="34"/>
  <c r="B499" i="34"/>
  <c r="B371" i="34"/>
  <c r="B243" i="34"/>
  <c r="B115" i="34"/>
  <c r="B530" i="34"/>
  <c r="B402" i="34"/>
  <c r="B274" i="34"/>
  <c r="B146" i="34"/>
  <c r="B18" i="34"/>
  <c r="B1741" i="34"/>
  <c r="B1613" i="34"/>
  <c r="B1789" i="34"/>
  <c r="B1780" i="34"/>
  <c r="B1652" i="34"/>
  <c r="B1524" i="34"/>
  <c r="B1883" i="34"/>
  <c r="B1739" i="34"/>
  <c r="B1611" i="34"/>
  <c r="B1996" i="34"/>
  <c r="B1802" i="34"/>
  <c r="B1674" i="34"/>
  <c r="B1546" i="34"/>
  <c r="B1857" i="34"/>
  <c r="B1705" i="34"/>
  <c r="B1577" i="34"/>
  <c r="B1858" i="34"/>
  <c r="B1850" i="34"/>
  <c r="B1848" i="34"/>
  <c r="B1720" i="34"/>
  <c r="B1592" i="34"/>
  <c r="B1946" i="34"/>
  <c r="B1904" i="34"/>
  <c r="B1791" i="34"/>
  <c r="B1663" i="34"/>
  <c r="B1535" i="34"/>
  <c r="B1959" i="34"/>
  <c r="B1926" i="34"/>
  <c r="B1798" i="34"/>
  <c r="B1670" i="34"/>
  <c r="F1109" i="34"/>
  <c r="F1312" i="34"/>
  <c r="F1189" i="34"/>
  <c r="F1319" i="34"/>
  <c r="F1472" i="34"/>
  <c r="F1446" i="34"/>
  <c r="F1161" i="34"/>
  <c r="F1063" i="34"/>
  <c r="F1413" i="34"/>
  <c r="F1160" i="34"/>
  <c r="F905" i="34"/>
  <c r="F1185" i="34"/>
  <c r="F1001" i="34"/>
  <c r="F1102" i="34"/>
  <c r="F1091" i="34"/>
  <c r="F1418" i="34"/>
  <c r="F1138" i="34"/>
  <c r="F1458" i="34"/>
  <c r="F1451" i="34"/>
  <c r="F1281" i="34"/>
  <c r="F614" i="34"/>
  <c r="F927" i="34"/>
  <c r="F502" i="34"/>
  <c r="F907" i="34"/>
  <c r="F440" i="34"/>
  <c r="F71" i="34"/>
  <c r="F348" i="34"/>
  <c r="F306" i="34"/>
  <c r="F1548" i="34"/>
  <c r="F1594" i="34"/>
  <c r="F1941" i="34"/>
  <c r="F1702" i="34"/>
  <c r="B160" i="34"/>
  <c r="B32" i="34"/>
  <c r="B343" i="34"/>
  <c r="B215" i="34"/>
  <c r="B87" i="34"/>
  <c r="B422" i="34"/>
  <c r="B294" i="34"/>
  <c r="B166" i="34"/>
  <c r="B38" i="34"/>
  <c r="B365" i="34"/>
  <c r="B237" i="34"/>
  <c r="B109" i="34"/>
  <c r="B468" i="34"/>
  <c r="B340" i="34"/>
  <c r="B212" i="34"/>
  <c r="B84" i="34"/>
  <c r="B491" i="34"/>
  <c r="B363" i="34"/>
  <c r="B235" i="34"/>
  <c r="B107" i="34"/>
  <c r="B522" i="34"/>
  <c r="B394" i="34"/>
  <c r="B266" i="34"/>
  <c r="B138" i="34"/>
  <c r="B10" i="34"/>
  <c r="B1733" i="34"/>
  <c r="B1605" i="34"/>
  <c r="B1949" i="34"/>
  <c r="B1772" i="34"/>
  <c r="B1644" i="34"/>
  <c r="B1516" i="34"/>
  <c r="B1867" i="34"/>
  <c r="B1731" i="34"/>
  <c r="B1603" i="34"/>
  <c r="B1971" i="34"/>
  <c r="B1794" i="34"/>
  <c r="B1666" i="34"/>
  <c r="B1538" i="34"/>
  <c r="B1841" i="34"/>
  <c r="B1697" i="34"/>
  <c r="B1569" i="34"/>
  <c r="B1818" i="34"/>
  <c r="B1826" i="34"/>
  <c r="B1840" i="34"/>
  <c r="B1712" i="34"/>
  <c r="B1584" i="34"/>
  <c r="B1914" i="34"/>
  <c r="B1864" i="34"/>
  <c r="B1783" i="34"/>
  <c r="B1655" i="34"/>
  <c r="B1527" i="34"/>
  <c r="B1943" i="34"/>
  <c r="B1918" i="34"/>
  <c r="B1790" i="34"/>
  <c r="B1662" i="34"/>
  <c r="F1067" i="34"/>
  <c r="F1304" i="34"/>
  <c r="F1172" i="34"/>
  <c r="F1279" i="34"/>
  <c r="F1471" i="34"/>
  <c r="F1430" i="34"/>
  <c r="F1143" i="34"/>
  <c r="F1052" i="34"/>
  <c r="F1405" i="34"/>
  <c r="F1133" i="34"/>
  <c r="F889" i="34"/>
  <c r="F1168" i="34"/>
  <c r="F904" i="34"/>
  <c r="F1092" i="34"/>
  <c r="F1080" i="34"/>
  <c r="F1402" i="34"/>
  <c r="F1129" i="34"/>
  <c r="F1442" i="34"/>
  <c r="F1497" i="34"/>
  <c r="F1273" i="34"/>
  <c r="F604" i="34"/>
  <c r="F903" i="34"/>
  <c r="F423" i="34"/>
  <c r="F883" i="34"/>
  <c r="F313" i="34"/>
  <c r="F47" i="34"/>
  <c r="F324" i="34"/>
  <c r="F282" i="34"/>
  <c r="F1524" i="34"/>
  <c r="F1570" i="34"/>
  <c r="F1953" i="34"/>
  <c r="F1678" i="34"/>
  <c r="B809" i="34"/>
  <c r="B681" i="34"/>
  <c r="B617" i="34"/>
  <c r="B1144" i="34"/>
  <c r="B1016" i="34"/>
  <c r="B888" i="34"/>
  <c r="B760" i="34"/>
  <c r="B526" i="34"/>
  <c r="B562" i="34"/>
  <c r="B1071" i="34"/>
  <c r="B943" i="34"/>
  <c r="B815" i="34"/>
  <c r="B687" i="34"/>
  <c r="B625" i="34"/>
  <c r="B1086" i="34"/>
  <c r="B958" i="34"/>
  <c r="B830" i="34"/>
  <c r="B702" i="34"/>
  <c r="B645" i="34"/>
  <c r="B1109" i="34"/>
  <c r="B981" i="34"/>
  <c r="B853" i="34"/>
  <c r="B725" i="34"/>
  <c r="B392" i="34"/>
  <c r="B501" i="34"/>
  <c r="B281" i="34"/>
  <c r="B153" i="34"/>
  <c r="B25" i="34"/>
  <c r="B280" i="34"/>
  <c r="B152" i="34"/>
  <c r="B24" i="34"/>
  <c r="B335" i="34"/>
  <c r="B207" i="34"/>
  <c r="B79" i="34"/>
  <c r="B414" i="34"/>
  <c r="B286" i="34"/>
  <c r="B158" i="34"/>
  <c r="B30" i="34"/>
  <c r="B357" i="34"/>
  <c r="B229" i="34"/>
  <c r="B101" i="34"/>
  <c r="B460" i="34"/>
  <c r="B332" i="34"/>
  <c r="B204" i="34"/>
  <c r="B76" i="34"/>
  <c r="B483" i="34"/>
  <c r="B355" i="34"/>
  <c r="B227" i="34"/>
  <c r="B99" i="34"/>
  <c r="B514" i="34"/>
  <c r="B386" i="34"/>
  <c r="B258" i="34"/>
  <c r="B130" i="34"/>
  <c r="B2" i="34"/>
  <c r="B1725" i="34"/>
  <c r="B1597" i="34"/>
  <c r="B1964" i="34"/>
  <c r="B1764" i="34"/>
  <c r="B1636" i="34"/>
  <c r="B1508" i="34"/>
  <c r="B1859" i="34"/>
  <c r="B1723" i="34"/>
  <c r="B1595" i="34"/>
  <c r="B1923" i="34"/>
  <c r="B1786" i="34"/>
  <c r="B1658" i="34"/>
  <c r="B1530" i="34"/>
  <c r="B1833" i="34"/>
  <c r="B1689" i="34"/>
  <c r="B1561" i="34"/>
  <c r="B1985" i="34"/>
  <c r="B1977" i="34"/>
  <c r="B1832" i="34"/>
  <c r="B1704" i="34"/>
  <c r="B1576" i="34"/>
  <c r="B1866" i="34"/>
  <c r="B1933" i="34"/>
  <c r="B1775" i="34"/>
  <c r="B1647" i="34"/>
  <c r="B1519" i="34"/>
  <c r="B1919" i="34"/>
  <c r="B1910" i="34"/>
  <c r="B1782" i="34"/>
  <c r="B1630" i="34"/>
  <c r="F1032" i="34"/>
  <c r="F1296" i="34"/>
  <c r="F1108" i="34"/>
  <c r="F1271" i="34"/>
  <c r="F1399" i="34"/>
  <c r="F1390" i="34"/>
  <c r="F1134" i="34"/>
  <c r="F1016" i="34"/>
  <c r="F1365" i="34"/>
  <c r="F1124" i="34"/>
  <c r="F873" i="34"/>
  <c r="F1150" i="34"/>
  <c r="F888" i="34"/>
  <c r="F1070" i="34"/>
  <c r="F1000" i="34"/>
  <c r="F1394" i="34"/>
  <c r="F1120" i="34"/>
  <c r="F1174" i="34"/>
  <c r="F1489" i="34"/>
  <c r="F1265" i="34"/>
  <c r="F561" i="34"/>
  <c r="F799" i="34"/>
  <c r="F749" i="34"/>
  <c r="F779" i="34"/>
  <c r="F209" i="34"/>
  <c r="F382" i="34"/>
  <c r="F220" i="34"/>
  <c r="F178" i="34"/>
  <c r="F1917" i="34"/>
  <c r="F1969" i="34"/>
  <c r="F1925" i="34"/>
  <c r="F1574" i="34"/>
  <c r="F508" i="34"/>
  <c r="F729" i="34"/>
  <c r="F493" i="34"/>
  <c r="F517" i="34"/>
  <c r="F744" i="34"/>
  <c r="F456" i="34"/>
  <c r="F537" i="34"/>
  <c r="F887" i="34"/>
  <c r="F759" i="34"/>
  <c r="F489" i="34"/>
  <c r="F546" i="34"/>
  <c r="F926" i="34"/>
  <c r="F798" i="34"/>
  <c r="F649" i="34"/>
  <c r="F619" i="34"/>
  <c r="F837" i="34"/>
  <c r="F709" i="34"/>
  <c r="F360" i="34"/>
  <c r="F484" i="34"/>
  <c r="F740" i="34"/>
  <c r="F511" i="34"/>
  <c r="F542" i="34"/>
  <c r="F995" i="34"/>
  <c r="F867" i="34"/>
  <c r="F739" i="34"/>
  <c r="F497" i="34"/>
  <c r="F541" i="34"/>
  <c r="F1066" i="34"/>
  <c r="F938" i="34"/>
  <c r="F810" i="34"/>
  <c r="F682" i="34"/>
  <c r="F297" i="34"/>
  <c r="F169" i="34"/>
  <c r="F41" i="34"/>
  <c r="F256" i="34"/>
  <c r="F128" i="34"/>
  <c r="F415" i="34"/>
  <c r="F287" i="34"/>
  <c r="F159" i="34"/>
  <c r="F31" i="34"/>
  <c r="F342" i="34"/>
  <c r="F214" i="34"/>
  <c r="F86" i="34"/>
  <c r="F373" i="34"/>
  <c r="F245" i="34"/>
  <c r="F117" i="34"/>
  <c r="F436" i="34"/>
  <c r="F308" i="34"/>
  <c r="F180" i="34"/>
  <c r="F52" i="34"/>
  <c r="F403" i="34"/>
  <c r="F275" i="34"/>
  <c r="F147" i="34"/>
  <c r="F19" i="34"/>
  <c r="F394" i="34"/>
  <c r="F266" i="34"/>
  <c r="F138" i="34"/>
  <c r="F10" i="34"/>
  <c r="F1781" i="34"/>
  <c r="F1653" i="34"/>
  <c r="F1525" i="34"/>
  <c r="F1764" i="34"/>
  <c r="F1636" i="34"/>
  <c r="F1508" i="34"/>
  <c r="F1931" i="34"/>
  <c r="F1779" i="34"/>
  <c r="F1651" i="34"/>
  <c r="F1523" i="34"/>
  <c r="F1946" i="34"/>
  <c r="F1810" i="34"/>
  <c r="F1682" i="34"/>
  <c r="F1554" i="34"/>
  <c r="F1897" i="34"/>
  <c r="F1769" i="34"/>
  <c r="F1641" i="34"/>
  <c r="F1513" i="34"/>
  <c r="F1840" i="34"/>
  <c r="F1712" i="34"/>
  <c r="F1584" i="34"/>
  <c r="F2000" i="34"/>
  <c r="F1983" i="34"/>
  <c r="F1799" i="34"/>
  <c r="F1671" i="34"/>
  <c r="F1543" i="34"/>
  <c r="F1919" i="34"/>
  <c r="F1918" i="34"/>
  <c r="F1790" i="34"/>
  <c r="F1662" i="34"/>
  <c r="F1534" i="34"/>
  <c r="B1534" i="34"/>
  <c r="F985" i="34"/>
  <c r="F1376" i="34"/>
  <c r="F1248" i="34"/>
  <c r="F997" i="34"/>
  <c r="F959" i="34"/>
  <c r="F1311" i="34"/>
  <c r="F1144" i="34"/>
  <c r="F1367" i="34"/>
  <c r="F893" i="34"/>
  <c r="F1366" i="34"/>
  <c r="F1238" i="34"/>
  <c r="F993" i="34"/>
  <c r="F1178" i="34"/>
  <c r="F1480" i="34"/>
  <c r="F1397" i="34"/>
  <c r="F1269" i="34"/>
  <c r="F1094" i="34"/>
  <c r="F1072" i="34"/>
  <c r="F1372" i="34"/>
  <c r="F1244" i="34"/>
  <c r="F1014" i="34"/>
  <c r="F990" i="34"/>
  <c r="F1251" i="34"/>
  <c r="F1060" i="34"/>
  <c r="F1331" i="34"/>
  <c r="F933" i="34"/>
  <c r="F1363" i="34"/>
  <c r="F1338" i="34"/>
  <c r="F1183" i="34"/>
  <c r="F1464" i="34"/>
  <c r="F1426" i="34"/>
  <c r="F900" i="34"/>
  <c r="F1473" i="34"/>
  <c r="F1345" i="34"/>
  <c r="F1199" i="34"/>
  <c r="F961" i="34"/>
  <c r="F494" i="34"/>
  <c r="F721" i="34"/>
  <c r="F477" i="34"/>
  <c r="F506" i="34"/>
  <c r="F736" i="34"/>
  <c r="F432" i="34"/>
  <c r="F526" i="34"/>
  <c r="F879" i="34"/>
  <c r="F751" i="34"/>
  <c r="F472" i="34"/>
  <c r="F536" i="34"/>
  <c r="F918" i="34"/>
  <c r="F790" i="34"/>
  <c r="F639" i="34"/>
  <c r="F609" i="34"/>
  <c r="F829" i="34"/>
  <c r="F701" i="34"/>
  <c r="F676" i="34"/>
  <c r="F448" i="34"/>
  <c r="F732" i="34"/>
  <c r="F499" i="34"/>
  <c r="F532" i="34"/>
  <c r="F987" i="34"/>
  <c r="F859" i="34"/>
  <c r="F731" i="34"/>
  <c r="F481" i="34"/>
  <c r="F530" i="34"/>
  <c r="F1058" i="34"/>
  <c r="F930" i="34"/>
  <c r="F802" i="34"/>
  <c r="F673" i="34"/>
  <c r="F289" i="34"/>
  <c r="F161" i="34"/>
  <c r="F33" i="34"/>
  <c r="F248" i="34"/>
  <c r="F120" i="34"/>
  <c r="F407" i="34"/>
  <c r="F279" i="34"/>
  <c r="F151" i="34"/>
  <c r="F23" i="34"/>
  <c r="F334" i="34"/>
  <c r="F206" i="34"/>
  <c r="F78" i="34"/>
  <c r="F365" i="34"/>
  <c r="F237" i="34"/>
  <c r="F109" i="34"/>
  <c r="F428" i="34"/>
  <c r="F300" i="34"/>
  <c r="F172" i="34"/>
  <c r="F44" i="34"/>
  <c r="F395" i="34"/>
  <c r="F267" i="34"/>
  <c r="F139" i="34"/>
  <c r="F11" i="34"/>
  <c r="F386" i="34"/>
  <c r="F258" i="34"/>
  <c r="F130" i="34"/>
  <c r="F2" i="34"/>
  <c r="F1773" i="34"/>
  <c r="F1645" i="34"/>
  <c r="F1517" i="34"/>
  <c r="F1756" i="34"/>
  <c r="F1628" i="34"/>
  <c r="F1981" i="34"/>
  <c r="F1915" i="34"/>
  <c r="F1771" i="34"/>
  <c r="F1643" i="34"/>
  <c r="F1515" i="34"/>
  <c r="F1938" i="34"/>
  <c r="F1802" i="34"/>
  <c r="F1674" i="34"/>
  <c r="F1546" i="34"/>
  <c r="F1889" i="34"/>
  <c r="F1761" i="34"/>
  <c r="F1633" i="34"/>
  <c r="F1505" i="34"/>
  <c r="F1832" i="34"/>
  <c r="F1704" i="34"/>
  <c r="F1576" i="34"/>
  <c r="F1992" i="34"/>
  <c r="F1967" i="34"/>
  <c r="F1791" i="34"/>
  <c r="F1663" i="34"/>
  <c r="F1535" i="34"/>
  <c r="F1895" i="34"/>
  <c r="F1910" i="34"/>
  <c r="F1782" i="34"/>
  <c r="F1654" i="34"/>
  <c r="F1526" i="34"/>
  <c r="B1654" i="34"/>
  <c r="B1526" i="34"/>
  <c r="F945" i="34"/>
  <c r="F1368" i="34"/>
  <c r="F1240" i="34"/>
  <c r="F973" i="34"/>
  <c r="F944" i="34"/>
  <c r="F1303" i="34"/>
  <c r="F1135" i="34"/>
  <c r="F1222" i="34"/>
  <c r="F877" i="34"/>
  <c r="F1358" i="34"/>
  <c r="F1230" i="34"/>
  <c r="F982" i="34"/>
  <c r="F1115" i="34"/>
  <c r="F1487" i="34"/>
  <c r="F1389" i="34"/>
  <c r="F1261" i="34"/>
  <c r="F1084" i="34"/>
  <c r="F1049" i="34"/>
  <c r="F1364" i="34"/>
  <c r="F1236" i="34"/>
  <c r="F991" i="34"/>
  <c r="F952" i="34"/>
  <c r="F1243" i="34"/>
  <c r="F1024" i="34"/>
  <c r="F1307" i="34"/>
  <c r="F917" i="34"/>
  <c r="F1323" i="34"/>
  <c r="F1330" i="34"/>
  <c r="F1166" i="34"/>
  <c r="F1463" i="34"/>
  <c r="F1225" i="34"/>
  <c r="F884" i="34"/>
  <c r="F1465" i="34"/>
  <c r="F1337" i="34"/>
  <c r="F1182" i="34"/>
  <c r="F817" i="34"/>
  <c r="F478" i="34"/>
  <c r="F713" i="34"/>
  <c r="F437" i="34"/>
  <c r="F492" i="34"/>
  <c r="F728" i="34"/>
  <c r="F384" i="34"/>
  <c r="F516" i="34"/>
  <c r="F871" i="34"/>
  <c r="F743" i="34"/>
  <c r="F454" i="34"/>
  <c r="F525" i="34"/>
  <c r="F910" i="34"/>
  <c r="F782" i="34"/>
  <c r="F620" i="34"/>
  <c r="F598" i="34"/>
  <c r="F821" i="34"/>
  <c r="F693" i="34"/>
  <c r="F657" i="34"/>
  <c r="F417" i="34"/>
  <c r="F724" i="34"/>
  <c r="F483" i="34"/>
  <c r="F521" i="34"/>
  <c r="F979" i="34"/>
  <c r="F851" i="34"/>
  <c r="F723" i="34"/>
  <c r="F463" i="34"/>
  <c r="F520" i="34"/>
  <c r="F1050" i="34"/>
  <c r="F922" i="34"/>
  <c r="F794" i="34"/>
  <c r="F664" i="34"/>
  <c r="F281" i="34"/>
  <c r="F153" i="34"/>
  <c r="F25" i="34"/>
  <c r="F240" i="34"/>
  <c r="F112" i="34"/>
  <c r="F399" i="34"/>
  <c r="F271" i="34"/>
  <c r="F143" i="34"/>
  <c r="F15" i="34"/>
  <c r="F326" i="34"/>
  <c r="F198" i="34"/>
  <c r="F70" i="34"/>
  <c r="F357" i="34"/>
  <c r="F229" i="34"/>
  <c r="F101" i="34"/>
  <c r="F420" i="34"/>
  <c r="F292" i="34"/>
  <c r="F164" i="34"/>
  <c r="F36" i="34"/>
  <c r="F387" i="34"/>
  <c r="F259" i="34"/>
  <c r="F131" i="34"/>
  <c r="F3" i="34"/>
  <c r="F378" i="34"/>
  <c r="F250" i="34"/>
  <c r="F122" i="34"/>
  <c r="F1989" i="34"/>
  <c r="F1765" i="34"/>
  <c r="F1637" i="34"/>
  <c r="F1509" i="34"/>
  <c r="F1748" i="34"/>
  <c r="F1620" i="34"/>
  <c r="F1956" i="34"/>
  <c r="F1899" i="34"/>
  <c r="F1763" i="34"/>
  <c r="F1635" i="34"/>
  <c r="F1507" i="34"/>
  <c r="F1922" i="34"/>
  <c r="F1794" i="34"/>
  <c r="F1666" i="34"/>
  <c r="F1538" i="34"/>
  <c r="F1881" i="34"/>
  <c r="F1753" i="34"/>
  <c r="F1625" i="34"/>
  <c r="F1985" i="34"/>
  <c r="F1824" i="34"/>
  <c r="F1696" i="34"/>
  <c r="F1568" i="34"/>
  <c r="F1984" i="34"/>
  <c r="F1943" i="34"/>
  <c r="F1783" i="34"/>
  <c r="F1655" i="34"/>
  <c r="F1527" i="34"/>
  <c r="F1839" i="34"/>
  <c r="F1902" i="34"/>
  <c r="F1774" i="34"/>
  <c r="F1646" i="34"/>
  <c r="F1518" i="34"/>
  <c r="B1646" i="34"/>
  <c r="B1518" i="34"/>
  <c r="F929" i="34"/>
  <c r="F1360" i="34"/>
  <c r="F1232" i="34"/>
  <c r="F960" i="34"/>
  <c r="F928" i="34"/>
  <c r="F1295" i="34"/>
  <c r="F1126" i="34"/>
  <c r="F1205" i="34"/>
  <c r="F861" i="34"/>
  <c r="F1350" i="34"/>
  <c r="F1213" i="34"/>
  <c r="F969" i="34"/>
  <c r="F1095" i="34"/>
  <c r="F1415" i="34"/>
  <c r="F1381" i="34"/>
  <c r="F1253" i="34"/>
  <c r="F1062" i="34"/>
  <c r="F1038" i="34"/>
  <c r="F1356" i="34"/>
  <c r="F1228" i="34"/>
  <c r="F980" i="34"/>
  <c r="F936" i="34"/>
  <c r="F1235" i="34"/>
  <c r="F1013" i="34"/>
  <c r="F1267" i="34"/>
  <c r="F901" i="34"/>
  <c r="F1498" i="34"/>
  <c r="F1322" i="34"/>
  <c r="F1157" i="34"/>
  <c r="F1484" i="34"/>
  <c r="F1208" i="34"/>
  <c r="F868" i="34"/>
  <c r="F1457" i="34"/>
  <c r="F1329" i="34"/>
  <c r="F1165" i="34"/>
  <c r="F663" i="34"/>
  <c r="F460" i="34"/>
  <c r="F705" i="34"/>
  <c r="F392" i="34"/>
  <c r="F476" i="34"/>
  <c r="F720" i="34"/>
  <c r="F679" i="34"/>
  <c r="F505" i="34"/>
  <c r="F863" i="34"/>
  <c r="F735" i="34"/>
  <c r="F429" i="34"/>
  <c r="F514" i="34"/>
  <c r="F902" i="34"/>
  <c r="F774" i="34"/>
  <c r="F599" i="34"/>
  <c r="F588" i="34"/>
  <c r="F813" i="34"/>
  <c r="F685" i="34"/>
  <c r="F647" i="34"/>
  <c r="F353" i="34"/>
  <c r="F716" i="34"/>
  <c r="F465" i="34"/>
  <c r="F510" i="34"/>
  <c r="F971" i="34"/>
  <c r="F843" i="34"/>
  <c r="F715" i="34"/>
  <c r="F445" i="34"/>
  <c r="F509" i="34"/>
  <c r="F1042" i="34"/>
  <c r="F914" i="34"/>
  <c r="F786" i="34"/>
  <c r="F654" i="34"/>
  <c r="F273" i="34"/>
  <c r="F145" i="34"/>
  <c r="F17" i="34"/>
  <c r="F232" i="34"/>
  <c r="F104" i="34"/>
  <c r="F391" i="34"/>
  <c r="F263" i="34"/>
  <c r="F135" i="34"/>
  <c r="F7" i="34"/>
  <c r="F318" i="34"/>
  <c r="F190" i="34"/>
  <c r="F62" i="34"/>
  <c r="F349" i="34"/>
  <c r="F221" i="34"/>
  <c r="F93" i="34"/>
  <c r="F412" i="34"/>
  <c r="F284" i="34"/>
  <c r="F156" i="34"/>
  <c r="F28" i="34"/>
  <c r="F379" i="34"/>
  <c r="F251" i="34"/>
  <c r="F123" i="34"/>
  <c r="F498" i="34"/>
  <c r="F370" i="34"/>
  <c r="F242" i="34"/>
  <c r="F114" i="34"/>
  <c r="F1957" i="34"/>
  <c r="F1757" i="34"/>
  <c r="F1629" i="34"/>
  <c r="F1869" i="34"/>
  <c r="F1740" i="34"/>
  <c r="F1612" i="34"/>
  <c r="F1916" i="34"/>
  <c r="F1891" i="34"/>
  <c r="F1755" i="34"/>
  <c r="F1627" i="34"/>
  <c r="F1997" i="34"/>
  <c r="F1914" i="34"/>
  <c r="F1786" i="34"/>
  <c r="F1658" i="34"/>
  <c r="F1530" i="34"/>
  <c r="F1873" i="34"/>
  <c r="F1745" i="34"/>
  <c r="F1617" i="34"/>
  <c r="F1949" i="34"/>
  <c r="F1816" i="34"/>
  <c r="F1688" i="34"/>
  <c r="F1560" i="34"/>
  <c r="F1968" i="34"/>
  <c r="F1927" i="34"/>
  <c r="F1775" i="34"/>
  <c r="F1647" i="34"/>
  <c r="F1519" i="34"/>
  <c r="F1965" i="34"/>
  <c r="F1894" i="34"/>
  <c r="F1766" i="34"/>
  <c r="F1638" i="34"/>
  <c r="F1510" i="34"/>
  <c r="B1638" i="34"/>
  <c r="B1510" i="34"/>
  <c r="F913" i="34"/>
  <c r="F1352" i="34"/>
  <c r="F1215" i="34"/>
  <c r="F1223" i="34"/>
  <c r="F912" i="34"/>
  <c r="F1287" i="34"/>
  <c r="F1117" i="34"/>
  <c r="F1188" i="34"/>
  <c r="F844" i="34"/>
  <c r="F1342" i="34"/>
  <c r="F1196" i="34"/>
  <c r="F1496" i="34"/>
  <c r="F1073" i="34"/>
  <c r="F1501" i="34"/>
  <c r="F1373" i="34"/>
  <c r="F1245" i="34"/>
  <c r="F1039" i="34"/>
  <c r="F1015" i="34"/>
  <c r="F1348" i="34"/>
  <c r="F1211" i="34"/>
  <c r="F967" i="34"/>
  <c r="F920" i="34"/>
  <c r="F1227" i="34"/>
  <c r="F977" i="34"/>
  <c r="F1226" i="34"/>
  <c r="F885" i="34"/>
  <c r="F1474" i="34"/>
  <c r="F1314" i="34"/>
  <c r="F1148" i="34"/>
  <c r="F1444" i="34"/>
  <c r="F1191" i="34"/>
  <c r="F852" i="34"/>
  <c r="F1449" i="34"/>
  <c r="F1321" i="34"/>
  <c r="F1156" i="34"/>
  <c r="F644" i="34"/>
  <c r="F439" i="34"/>
  <c r="F697" i="34"/>
  <c r="F671" i="34"/>
  <c r="F457" i="34"/>
  <c r="F712" i="34"/>
  <c r="F670" i="34"/>
  <c r="F473" i="34"/>
  <c r="F855" i="34"/>
  <c r="F727" i="34"/>
  <c r="F376" i="34"/>
  <c r="F504" i="34"/>
  <c r="F894" i="34"/>
  <c r="F766" i="34"/>
  <c r="F567" i="34"/>
  <c r="F577" i="34"/>
  <c r="F805" i="34"/>
  <c r="F667" i="34"/>
  <c r="F628" i="34"/>
  <c r="F836" i="34"/>
  <c r="F708" i="34"/>
  <c r="F447" i="34"/>
  <c r="F464" i="34"/>
  <c r="F963" i="34"/>
  <c r="F835" i="34"/>
  <c r="F707" i="34"/>
  <c r="F408" i="34"/>
  <c r="F496" i="34"/>
  <c r="F1034" i="34"/>
  <c r="F906" i="34"/>
  <c r="F778" i="34"/>
  <c r="F634" i="34"/>
  <c r="F265" i="34"/>
  <c r="F137" i="34"/>
  <c r="F9" i="34"/>
  <c r="F224" i="34"/>
  <c r="F96" i="34"/>
  <c r="F383" i="34"/>
  <c r="F255" i="34"/>
  <c r="F127" i="34"/>
  <c r="F438" i="34"/>
  <c r="F310" i="34"/>
  <c r="F182" i="34"/>
  <c r="F54" i="34"/>
  <c r="F341" i="34"/>
  <c r="F213" i="34"/>
  <c r="F85" i="34"/>
  <c r="F404" i="34"/>
  <c r="F276" i="34"/>
  <c r="F148" i="34"/>
  <c r="F20" i="34"/>
  <c r="F371" i="34"/>
  <c r="F243" i="34"/>
  <c r="F115" i="34"/>
  <c r="F490" i="34"/>
  <c r="F362" i="34"/>
  <c r="F234" i="34"/>
  <c r="F106" i="34"/>
  <c r="F1893" i="34"/>
  <c r="F1749" i="34"/>
  <c r="F1621" i="34"/>
  <c r="F1940" i="34"/>
  <c r="F1732" i="34"/>
  <c r="F1604" i="34"/>
  <c r="F1900" i="34"/>
  <c r="F1883" i="34"/>
  <c r="F1747" i="34"/>
  <c r="F1619" i="34"/>
  <c r="F1933" i="34"/>
  <c r="F1906" i="34"/>
  <c r="F1778" i="34"/>
  <c r="F1650" i="34"/>
  <c r="F1522" i="34"/>
  <c r="F1865" i="34"/>
  <c r="F1737" i="34"/>
  <c r="F1609" i="34"/>
  <c r="F1996" i="34"/>
  <c r="F1808" i="34"/>
  <c r="F1680" i="34"/>
  <c r="F1552" i="34"/>
  <c r="F1960" i="34"/>
  <c r="F1911" i="34"/>
  <c r="F1767" i="34"/>
  <c r="F1639" i="34"/>
  <c r="F1511" i="34"/>
  <c r="F1964" i="34"/>
  <c r="F1886" i="34"/>
  <c r="F1758" i="34"/>
  <c r="F1630" i="34"/>
  <c r="F1502" i="34"/>
  <c r="F393" i="34"/>
  <c r="F689" i="34"/>
  <c r="F662" i="34"/>
  <c r="F433" i="34"/>
  <c r="F704" i="34"/>
  <c r="F661" i="34"/>
  <c r="F455" i="34"/>
  <c r="F847" i="34"/>
  <c r="F719" i="34"/>
  <c r="F678" i="34"/>
  <c r="F488" i="34"/>
  <c r="F886" i="34"/>
  <c r="F758" i="34"/>
  <c r="F535" i="34"/>
  <c r="F566" i="34"/>
  <c r="F797" i="34"/>
  <c r="F648" i="34"/>
  <c r="F608" i="34"/>
  <c r="F828" i="34"/>
  <c r="F700" i="34"/>
  <c r="F416" i="34"/>
  <c r="F446" i="34"/>
  <c r="F955" i="34"/>
  <c r="F827" i="34"/>
  <c r="F699" i="34"/>
  <c r="F337" i="34"/>
  <c r="F480" i="34"/>
  <c r="F1026" i="34"/>
  <c r="F898" i="34"/>
  <c r="F770" i="34"/>
  <c r="F583" i="34"/>
  <c r="F257" i="34"/>
  <c r="F129" i="34"/>
  <c r="F344" i="34"/>
  <c r="F216" i="34"/>
  <c r="F88" i="34"/>
  <c r="F375" i="34"/>
  <c r="F247" i="34"/>
  <c r="F119" i="34"/>
  <c r="F430" i="34"/>
  <c r="F302" i="34"/>
  <c r="F174" i="34"/>
  <c r="F46" i="34"/>
  <c r="F333" i="34"/>
  <c r="F205" i="34"/>
  <c r="F77" i="34"/>
  <c r="F396" i="34"/>
  <c r="F268" i="34"/>
  <c r="F140" i="34"/>
  <c r="F12" i="34"/>
  <c r="F363" i="34"/>
  <c r="F235" i="34"/>
  <c r="F107" i="34"/>
  <c r="F482" i="34"/>
  <c r="F354" i="34"/>
  <c r="F226" i="34"/>
  <c r="F98" i="34"/>
  <c r="F1877" i="34"/>
  <c r="F1741" i="34"/>
  <c r="F1613" i="34"/>
  <c r="F1908" i="34"/>
  <c r="F1724" i="34"/>
  <c r="F1596" i="34"/>
  <c r="F1892" i="34"/>
  <c r="F1875" i="34"/>
  <c r="F1739" i="34"/>
  <c r="F1611" i="34"/>
  <c r="F1932" i="34"/>
  <c r="F1898" i="34"/>
  <c r="F1770" i="34"/>
  <c r="F1642" i="34"/>
  <c r="F1514" i="34"/>
  <c r="F1857" i="34"/>
  <c r="F1729" i="34"/>
  <c r="F1601" i="34"/>
  <c r="F1954" i="34"/>
  <c r="F1800" i="34"/>
  <c r="F1672" i="34"/>
  <c r="F1544" i="34"/>
  <c r="F1944" i="34"/>
  <c r="F1903" i="34"/>
  <c r="F1759" i="34"/>
  <c r="F1631" i="34"/>
  <c r="F1503" i="34"/>
  <c r="F1994" i="34"/>
  <c r="F1878" i="34"/>
  <c r="F1750" i="34"/>
  <c r="F1622" i="34"/>
  <c r="F809" i="34"/>
  <c r="F681" i="34"/>
  <c r="F642" i="34"/>
  <c r="F385" i="34"/>
  <c r="F696" i="34"/>
  <c r="F651" i="34"/>
  <c r="F431" i="34"/>
  <c r="F839" i="34"/>
  <c r="F711" i="34"/>
  <c r="F669" i="34"/>
  <c r="F471" i="34"/>
  <c r="F878" i="34"/>
  <c r="F750" i="34"/>
  <c r="F503" i="34"/>
  <c r="F556" i="34"/>
  <c r="F789" i="34"/>
  <c r="F638" i="34"/>
  <c r="F597" i="34"/>
  <c r="F820" i="34"/>
  <c r="F692" i="34"/>
  <c r="F352" i="34"/>
  <c r="F409" i="34"/>
  <c r="F947" i="34"/>
  <c r="F819" i="34"/>
  <c r="F691" i="34"/>
  <c r="F645" i="34"/>
  <c r="F462" i="34"/>
  <c r="F1018" i="34"/>
  <c r="F890" i="34"/>
  <c r="F762" i="34"/>
  <c r="F551" i="34"/>
  <c r="F249" i="34"/>
  <c r="F121" i="34"/>
  <c r="F336" i="34"/>
  <c r="F208" i="34"/>
  <c r="F80" i="34"/>
  <c r="F367" i="34"/>
  <c r="F239" i="34"/>
  <c r="F111" i="34"/>
  <c r="F422" i="34"/>
  <c r="F294" i="34"/>
  <c r="F166" i="34"/>
  <c r="F38" i="34"/>
  <c r="F325" i="34"/>
  <c r="F197" i="34"/>
  <c r="F69" i="34"/>
  <c r="F388" i="34"/>
  <c r="F260" i="34"/>
  <c r="F132" i="34"/>
  <c r="F4" i="34"/>
  <c r="F355" i="34"/>
  <c r="F227" i="34"/>
  <c r="F99" i="34"/>
  <c r="F474" i="34"/>
  <c r="F346" i="34"/>
  <c r="F218" i="34"/>
  <c r="F90" i="34"/>
  <c r="F1861" i="34"/>
  <c r="F1733" i="34"/>
  <c r="F1605" i="34"/>
  <c r="F1884" i="34"/>
  <c r="F1716" i="34"/>
  <c r="F1588" i="34"/>
  <c r="F1876" i="34"/>
  <c r="F1859" i="34"/>
  <c r="F1731" i="34"/>
  <c r="F1603" i="34"/>
  <c r="F1995" i="34"/>
  <c r="F1890" i="34"/>
  <c r="F1762" i="34"/>
  <c r="F1634" i="34"/>
  <c r="F1506" i="34"/>
  <c r="F1849" i="34"/>
  <c r="F1721" i="34"/>
  <c r="F1593" i="34"/>
  <c r="F1993" i="34"/>
  <c r="F1792" i="34"/>
  <c r="F1664" i="34"/>
  <c r="F1536" i="34"/>
  <c r="F1936" i="34"/>
  <c r="F1887" i="34"/>
  <c r="F1751" i="34"/>
  <c r="F1623" i="34"/>
  <c r="F1973" i="34"/>
  <c r="F1998" i="34"/>
  <c r="F1870" i="34"/>
  <c r="F1742" i="34"/>
  <c r="F1614" i="34"/>
  <c r="F801" i="34"/>
  <c r="F672" i="34"/>
  <c r="F613" i="34"/>
  <c r="F816" i="34"/>
  <c r="F688" i="34"/>
  <c r="F641" i="34"/>
  <c r="F377" i="34"/>
  <c r="F831" i="34"/>
  <c r="F703" i="34"/>
  <c r="F660" i="34"/>
  <c r="F453" i="34"/>
  <c r="F870" i="34"/>
  <c r="F742" i="34"/>
  <c r="F487" i="34"/>
  <c r="F545" i="34"/>
  <c r="F781" i="34"/>
  <c r="F618" i="34"/>
  <c r="F586" i="34"/>
  <c r="F812" i="34"/>
  <c r="F684" i="34"/>
  <c r="F656" i="34"/>
  <c r="F345" i="34"/>
  <c r="F939" i="34"/>
  <c r="F811" i="34"/>
  <c r="F683" i="34"/>
  <c r="F635" i="34"/>
  <c r="F441" i="34"/>
  <c r="F1010" i="34"/>
  <c r="F882" i="34"/>
  <c r="F754" i="34"/>
  <c r="F519" i="34"/>
  <c r="F241" i="34"/>
  <c r="F113" i="34"/>
  <c r="F328" i="34"/>
  <c r="F200" i="34"/>
  <c r="F72" i="34"/>
  <c r="F359" i="34"/>
  <c r="F231" i="34"/>
  <c r="F103" i="34"/>
  <c r="F414" i="34"/>
  <c r="F286" i="34"/>
  <c r="F158" i="34"/>
  <c r="F30" i="34"/>
  <c r="F317" i="34"/>
  <c r="F189" i="34"/>
  <c r="F61" i="34"/>
  <c r="F380" i="34"/>
  <c r="F252" i="34"/>
  <c r="F124" i="34"/>
  <c r="F475" i="34"/>
  <c r="F347" i="34"/>
  <c r="F219" i="34"/>
  <c r="F91" i="34"/>
  <c r="F466" i="34"/>
  <c r="F338" i="34"/>
  <c r="F210" i="34"/>
  <c r="F82" i="34"/>
  <c r="F1853" i="34"/>
  <c r="F1725" i="34"/>
  <c r="F1597" i="34"/>
  <c r="F1868" i="34"/>
  <c r="F1708" i="34"/>
  <c r="F1580" i="34"/>
  <c r="F1860" i="34"/>
  <c r="F1851" i="34"/>
  <c r="F1723" i="34"/>
  <c r="F1595" i="34"/>
  <c r="F1979" i="34"/>
  <c r="F1882" i="34"/>
  <c r="F1754" i="34"/>
  <c r="F1626" i="34"/>
  <c r="F1901" i="34"/>
  <c r="F1841" i="34"/>
  <c r="F1713" i="34"/>
  <c r="F1585" i="34"/>
  <c r="F1976" i="34"/>
  <c r="F1784" i="34"/>
  <c r="F1656" i="34"/>
  <c r="F1528" i="34"/>
  <c r="F1920" i="34"/>
  <c r="F1879" i="34"/>
  <c r="F1743" i="34"/>
  <c r="F1615" i="34"/>
  <c r="F1948" i="34"/>
  <c r="F1990" i="34"/>
  <c r="F1862" i="34"/>
  <c r="F1734" i="34"/>
  <c r="F1606" i="34"/>
  <c r="B1606" i="34"/>
  <c r="F1190" i="34"/>
  <c r="F849" i="34"/>
  <c r="F1320" i="34"/>
  <c r="F1154" i="34"/>
  <c r="F1163" i="34"/>
  <c r="F848" i="34"/>
  <c r="F1255" i="34"/>
  <c r="F1041" i="34"/>
  <c r="F1064" i="34"/>
  <c r="F1478" i="34"/>
  <c r="F1310" i="34"/>
  <c r="F1152" i="34"/>
  <c r="F1486" i="34"/>
  <c r="F1005" i="34"/>
  <c r="F1469" i="34"/>
  <c r="F1341" i="34"/>
  <c r="F1195" i="34"/>
  <c r="F968" i="34"/>
  <c r="F921" i="34"/>
  <c r="F1316" i="34"/>
  <c r="F1159" i="34"/>
  <c r="F1193" i="34"/>
  <c r="F856" i="34"/>
  <c r="F1167" i="34"/>
  <c r="F1500" i="34"/>
  <c r="F1139" i="34"/>
  <c r="F1488" i="34"/>
  <c r="F1410" i="34"/>
  <c r="F1282" i="34"/>
  <c r="F1101" i="34"/>
  <c r="F1419" i="34"/>
  <c r="F1089" i="34"/>
  <c r="F1436" i="34"/>
  <c r="F1417" i="34"/>
  <c r="F1289" i="34"/>
  <c r="F1119" i="34"/>
  <c r="F593" i="34"/>
  <c r="F793" i="34"/>
  <c r="F653" i="34"/>
  <c r="F602" i="34"/>
  <c r="F808" i="34"/>
  <c r="F680" i="34"/>
  <c r="F631" i="34"/>
  <c r="F951" i="34"/>
  <c r="F823" i="34"/>
  <c r="F695" i="34"/>
  <c r="F640" i="34"/>
  <c r="F425" i="34"/>
  <c r="F862" i="34"/>
  <c r="F734" i="34"/>
  <c r="F470" i="34"/>
  <c r="F534" i="34"/>
  <c r="F773" i="34"/>
  <c r="F587" i="34"/>
  <c r="F576" i="34"/>
  <c r="F804" i="34"/>
  <c r="F675" i="34"/>
  <c r="F646" i="34"/>
  <c r="F1059" i="34"/>
  <c r="F931" i="34"/>
  <c r="F803" i="34"/>
  <c r="F674" i="34"/>
  <c r="F625" i="34"/>
  <c r="F401" i="34"/>
  <c r="F1002" i="34"/>
  <c r="F874" i="34"/>
  <c r="F746" i="34"/>
  <c r="F495" i="34"/>
  <c r="F233" i="34"/>
  <c r="F105" i="34"/>
  <c r="F320" i="34"/>
  <c r="F192" i="34"/>
  <c r="F64" i="34"/>
  <c r="F351" i="34"/>
  <c r="F223" i="34"/>
  <c r="F95" i="34"/>
  <c r="F406" i="34"/>
  <c r="F278" i="34"/>
  <c r="F150" i="34"/>
  <c r="F22" i="34"/>
  <c r="F309" i="34"/>
  <c r="F181" i="34"/>
  <c r="F53" i="34"/>
  <c r="F372" i="34"/>
  <c r="F244" i="34"/>
  <c r="F116" i="34"/>
  <c r="F467" i="34"/>
  <c r="F339" i="34"/>
  <c r="F211" i="34"/>
  <c r="F83" i="34"/>
  <c r="F458" i="34"/>
  <c r="F330" i="34"/>
  <c r="F202" i="34"/>
  <c r="F74" i="34"/>
  <c r="F1845" i="34"/>
  <c r="F1717" i="34"/>
  <c r="F1589" i="34"/>
  <c r="F1852" i="34"/>
  <c r="F1700" i="34"/>
  <c r="F1572" i="34"/>
  <c r="F1844" i="34"/>
  <c r="F1843" i="34"/>
  <c r="F1715" i="34"/>
  <c r="F1587" i="34"/>
  <c r="F1963" i="34"/>
  <c r="F1874" i="34"/>
  <c r="F1746" i="34"/>
  <c r="F1618" i="34"/>
  <c r="F1930" i="34"/>
  <c r="F1833" i="34"/>
  <c r="F1705" i="34"/>
  <c r="F1577" i="34"/>
  <c r="F1952" i="34"/>
  <c r="F1776" i="34"/>
  <c r="F1648" i="34"/>
  <c r="F1520" i="34"/>
  <c r="F1904" i="34"/>
  <c r="F1871" i="34"/>
  <c r="F1735" i="34"/>
  <c r="F1607" i="34"/>
  <c r="F1970" i="34"/>
  <c r="F1982" i="34"/>
  <c r="F1854" i="34"/>
  <c r="F1726" i="34"/>
  <c r="F1598" i="34"/>
  <c r="F582" i="34"/>
  <c r="F785" i="34"/>
  <c r="F643" i="34"/>
  <c r="F592" i="34"/>
  <c r="F800" i="34"/>
  <c r="F652" i="34"/>
  <c r="F612" i="34"/>
  <c r="F943" i="34"/>
  <c r="F815" i="34"/>
  <c r="F687" i="34"/>
  <c r="F630" i="34"/>
  <c r="F369" i="34"/>
  <c r="F854" i="34"/>
  <c r="F726" i="34"/>
  <c r="F452" i="34"/>
  <c r="F524" i="34"/>
  <c r="F765" i="34"/>
  <c r="F555" i="34"/>
  <c r="F565" i="34"/>
  <c r="F796" i="34"/>
  <c r="F666" i="34"/>
  <c r="F626" i="34"/>
  <c r="F1051" i="34"/>
  <c r="F923" i="34"/>
  <c r="F795" i="34"/>
  <c r="F665" i="34"/>
  <c r="F615" i="34"/>
  <c r="F329" i="34"/>
  <c r="F994" i="34"/>
  <c r="F866" i="34"/>
  <c r="F738" i="34"/>
  <c r="F479" i="34"/>
  <c r="F225" i="34"/>
  <c r="F97" i="34"/>
  <c r="F312" i="34"/>
  <c r="F184" i="34"/>
  <c r="F56" i="34"/>
  <c r="F343" i="34"/>
  <c r="F215" i="34"/>
  <c r="F87" i="34"/>
  <c r="F398" i="34"/>
  <c r="F270" i="34"/>
  <c r="F142" i="34"/>
  <c r="F14" i="34"/>
  <c r="F301" i="34"/>
  <c r="F173" i="34"/>
  <c r="F45" i="34"/>
  <c r="F364" i="34"/>
  <c r="F236" i="34"/>
  <c r="F108" i="34"/>
  <c r="F459" i="34"/>
  <c r="F331" i="34"/>
  <c r="F203" i="34"/>
  <c r="F75" i="34"/>
  <c r="F450" i="34"/>
  <c r="F322" i="34"/>
  <c r="F194" i="34"/>
  <c r="F66" i="34"/>
  <c r="F1837" i="34"/>
  <c r="F1709" i="34"/>
  <c r="F1581" i="34"/>
  <c r="F1836" i="34"/>
  <c r="F1692" i="34"/>
  <c r="F1564" i="34"/>
  <c r="F1828" i="34"/>
  <c r="F1835" i="34"/>
  <c r="F1707" i="34"/>
  <c r="F1579" i="34"/>
  <c r="F1947" i="34"/>
  <c r="F1866" i="34"/>
  <c r="F1738" i="34"/>
  <c r="F1610" i="34"/>
  <c r="F1909" i="34"/>
  <c r="F1825" i="34"/>
  <c r="F1697" i="34"/>
  <c r="F1569" i="34"/>
  <c r="F1928" i="34"/>
  <c r="F1768" i="34"/>
  <c r="F1640" i="34"/>
  <c r="F1512" i="34"/>
  <c r="F1888" i="34"/>
  <c r="F1863" i="34"/>
  <c r="F1727" i="34"/>
  <c r="F1599" i="34"/>
  <c r="F1977" i="34"/>
  <c r="F1974" i="34"/>
  <c r="F1846" i="34"/>
  <c r="F1718" i="34"/>
  <c r="F1590" i="34"/>
  <c r="L12" i="35"/>
  <c r="F572" i="34"/>
  <c r="F777" i="34"/>
  <c r="F633" i="34"/>
  <c r="F581" i="34"/>
  <c r="F792" i="34"/>
  <c r="F632" i="34"/>
  <c r="F601" i="34"/>
  <c r="F935" i="34"/>
  <c r="F807" i="34"/>
  <c r="F650" i="34"/>
  <c r="F610" i="34"/>
  <c r="F974" i="34"/>
  <c r="F846" i="34"/>
  <c r="F718" i="34"/>
  <c r="F424" i="34"/>
  <c r="F513" i="34"/>
  <c r="F757" i="34"/>
  <c r="F523" i="34"/>
  <c r="F554" i="34"/>
  <c r="F788" i="34"/>
  <c r="F637" i="34"/>
  <c r="F606" i="34"/>
  <c r="F1043" i="34"/>
  <c r="F915" i="34"/>
  <c r="F787" i="34"/>
  <c r="F655" i="34"/>
  <c r="F605" i="34"/>
  <c r="F1114" i="34"/>
  <c r="F986" i="34"/>
  <c r="F858" i="34"/>
  <c r="F730" i="34"/>
  <c r="F461" i="34"/>
  <c r="F217" i="34"/>
  <c r="F89" i="34"/>
  <c r="F304" i="34"/>
  <c r="F176" i="34"/>
  <c r="F48" i="34"/>
  <c r="F335" i="34"/>
  <c r="F207" i="34"/>
  <c r="F79" i="34"/>
  <c r="F390" i="34"/>
  <c r="F262" i="34"/>
  <c r="F134" i="34"/>
  <c r="F6" i="34"/>
  <c r="F293" i="34"/>
  <c r="F165" i="34"/>
  <c r="F37" i="34"/>
  <c r="F356" i="34"/>
  <c r="F228" i="34"/>
  <c r="F100" i="34"/>
  <c r="F451" i="34"/>
  <c r="F323" i="34"/>
  <c r="F195" i="34"/>
  <c r="F67" i="34"/>
  <c r="F442" i="34"/>
  <c r="F314" i="34"/>
  <c r="F186" i="34"/>
  <c r="F58" i="34"/>
  <c r="F1829" i="34"/>
  <c r="F1701" i="34"/>
  <c r="F1573" i="34"/>
  <c r="F1820" i="34"/>
  <c r="F1684" i="34"/>
  <c r="F1556" i="34"/>
  <c r="F1772" i="34"/>
  <c r="F1827" i="34"/>
  <c r="F1699" i="34"/>
  <c r="F1571" i="34"/>
  <c r="F1939" i="34"/>
  <c r="F1858" i="34"/>
  <c r="F1730" i="34"/>
  <c r="F1602" i="34"/>
  <c r="F1988" i="34"/>
  <c r="F1817" i="34"/>
  <c r="F1689" i="34"/>
  <c r="F1561" i="34"/>
  <c r="F1912" i="34"/>
  <c r="F1760" i="34"/>
  <c r="F1632" i="34"/>
  <c r="F1504" i="34"/>
  <c r="F1848" i="34"/>
  <c r="F1855" i="34"/>
  <c r="F1719" i="34"/>
  <c r="F1591" i="34"/>
  <c r="F1945" i="34"/>
  <c r="F1966" i="34"/>
  <c r="F1838" i="34"/>
  <c r="F1710" i="34"/>
  <c r="F1582" i="34"/>
  <c r="M12" i="35"/>
  <c r="B1574" i="34"/>
  <c r="F1099" i="34"/>
  <c r="F1416" i="34"/>
  <c r="F1288" i="34"/>
  <c r="F1118" i="34"/>
  <c r="F1065" i="34"/>
  <c r="F1375" i="34"/>
  <c r="F1214" i="34"/>
  <c r="F972" i="34"/>
  <c r="F983" i="34"/>
  <c r="F1414" i="34"/>
  <c r="F1278" i="34"/>
  <c r="F1116" i="34"/>
  <c r="F1422" i="34"/>
  <c r="F908" i="34"/>
  <c r="F1437" i="34"/>
  <c r="F1309" i="34"/>
  <c r="F1151" i="34"/>
  <c r="F1194" i="34"/>
  <c r="F857" i="34"/>
  <c r="F1284" i="34"/>
  <c r="F1122" i="34"/>
  <c r="F1081" i="34"/>
  <c r="F1315" i="34"/>
  <c r="F1130" i="34"/>
  <c r="F1459" i="34"/>
  <c r="F1047" i="34"/>
  <c r="F1452" i="34"/>
  <c r="F1378" i="34"/>
  <c r="F1250" i="34"/>
  <c r="F1023" i="34"/>
  <c r="F1490" i="34"/>
  <c r="F999" i="34"/>
  <c r="F1403" i="34"/>
  <c r="F1385" i="34"/>
  <c r="F1257" i="34"/>
  <c r="F1056" i="34"/>
  <c r="F550" i="34"/>
  <c r="F761" i="34"/>
  <c r="F603" i="34"/>
  <c r="F560" i="34"/>
  <c r="F776" i="34"/>
  <c r="F591" i="34"/>
  <c r="F580" i="34"/>
  <c r="F919" i="34"/>
  <c r="F791" i="34"/>
  <c r="F611" i="34"/>
  <c r="F589" i="34"/>
  <c r="F958" i="34"/>
  <c r="F830" i="34"/>
  <c r="F702" i="34"/>
  <c r="F677" i="34"/>
  <c r="F486" i="34"/>
  <c r="F741" i="34"/>
  <c r="F485" i="34"/>
  <c r="F533" i="34"/>
  <c r="F772" i="34"/>
  <c r="F617" i="34"/>
  <c r="F585" i="34"/>
  <c r="F1027" i="34"/>
  <c r="F899" i="34"/>
  <c r="F771" i="34"/>
  <c r="F616" i="34"/>
  <c r="F584" i="34"/>
  <c r="F1098" i="34"/>
  <c r="F970" i="34"/>
  <c r="F842" i="34"/>
  <c r="F714" i="34"/>
  <c r="F400" i="34"/>
  <c r="F201" i="34"/>
  <c r="F73" i="34"/>
  <c r="F288" i="34"/>
  <c r="F160" i="34"/>
  <c r="F32" i="34"/>
  <c r="F319" i="34"/>
  <c r="F191" i="34"/>
  <c r="F63" i="34"/>
  <c r="F374" i="34"/>
  <c r="F246" i="34"/>
  <c r="F118" i="34"/>
  <c r="F405" i="34"/>
  <c r="F277" i="34"/>
  <c r="F149" i="34"/>
  <c r="F21" i="34"/>
  <c r="F340" i="34"/>
  <c r="F212" i="34"/>
  <c r="F84" i="34"/>
  <c r="F435" i="34"/>
  <c r="F307" i="34"/>
  <c r="F179" i="34"/>
  <c r="F51" i="34"/>
  <c r="F426" i="34"/>
  <c r="F298" i="34"/>
  <c r="F170" i="34"/>
  <c r="F42" i="34"/>
  <c r="F1813" i="34"/>
  <c r="F1685" i="34"/>
  <c r="F1557" i="34"/>
  <c r="F1804" i="34"/>
  <c r="F1668" i="34"/>
  <c r="F1540" i="34"/>
  <c r="F1924" i="34"/>
  <c r="F1811" i="34"/>
  <c r="F1683" i="34"/>
  <c r="F1555" i="34"/>
  <c r="F1907" i="34"/>
  <c r="F1842" i="34"/>
  <c r="F1714" i="34"/>
  <c r="F1586" i="34"/>
  <c r="F1937" i="34"/>
  <c r="F1801" i="34"/>
  <c r="F1673" i="34"/>
  <c r="F1545" i="34"/>
  <c r="F1880" i="34"/>
  <c r="F1744" i="34"/>
  <c r="F1616" i="34"/>
  <c r="F1972" i="34"/>
  <c r="F1980" i="34"/>
  <c r="F1831" i="34"/>
  <c r="F1703" i="34"/>
  <c r="F1575" i="34"/>
  <c r="F1975" i="34"/>
  <c r="F1950" i="34"/>
  <c r="F1822" i="34"/>
  <c r="F1694" i="34"/>
  <c r="F1566" i="34"/>
  <c r="B1566" i="34"/>
  <c r="F1088" i="34"/>
  <c r="F1408" i="34"/>
  <c r="F1280" i="34"/>
  <c r="F1077" i="34"/>
  <c r="F1054" i="34"/>
  <c r="F1343" i="34"/>
  <c r="F1197" i="34"/>
  <c r="F845" i="34"/>
  <c r="F957" i="34"/>
  <c r="F1406" i="34"/>
  <c r="F1270" i="34"/>
  <c r="F1105" i="34"/>
  <c r="F1398" i="34"/>
  <c r="F892" i="34"/>
  <c r="F1429" i="34"/>
  <c r="F1301" i="34"/>
  <c r="F1142" i="34"/>
  <c r="F1177" i="34"/>
  <c r="F1468" i="34"/>
  <c r="F1276" i="34"/>
  <c r="F1103" i="34"/>
  <c r="F1071" i="34"/>
  <c r="F1291" i="34"/>
  <c r="F1121" i="34"/>
  <c r="F1435" i="34"/>
  <c r="F1036" i="34"/>
  <c r="F1420" i="34"/>
  <c r="F1370" i="34"/>
  <c r="F1242" i="34"/>
  <c r="F1012" i="34"/>
  <c r="F1482" i="34"/>
  <c r="F988" i="34"/>
  <c r="F1339" i="34"/>
  <c r="F1377" i="34"/>
  <c r="F1249" i="34"/>
  <c r="F1045" i="34"/>
  <c r="F540" i="34"/>
  <c r="F753" i="34"/>
  <c r="F571" i="34"/>
  <c r="F549" i="34"/>
  <c r="F768" i="34"/>
  <c r="F559" i="34"/>
  <c r="F569" i="34"/>
  <c r="F911" i="34"/>
  <c r="F783" i="34"/>
  <c r="F579" i="34"/>
  <c r="F578" i="34"/>
  <c r="F950" i="34"/>
  <c r="F822" i="34"/>
  <c r="F694" i="34"/>
  <c r="F668" i="34"/>
  <c r="F469" i="34"/>
  <c r="F733" i="34"/>
  <c r="F468" i="34"/>
  <c r="F522" i="34"/>
  <c r="F764" i="34"/>
  <c r="F607" i="34"/>
  <c r="F574" i="34"/>
  <c r="F1019" i="34"/>
  <c r="F891" i="34"/>
  <c r="F763" i="34"/>
  <c r="F595" i="34"/>
  <c r="F573" i="34"/>
  <c r="F1090" i="34"/>
  <c r="F962" i="34"/>
  <c r="F834" i="34"/>
  <c r="F706" i="34"/>
  <c r="F321" i="34"/>
  <c r="F193" i="34"/>
  <c r="F65" i="34"/>
  <c r="F280" i="34"/>
  <c r="F152" i="34"/>
  <c r="F24" i="34"/>
  <c r="F311" i="34"/>
  <c r="F183" i="34"/>
  <c r="F55" i="34"/>
  <c r="F366" i="34"/>
  <c r="F238" i="34"/>
  <c r="F110" i="34"/>
  <c r="F397" i="34"/>
  <c r="F269" i="34"/>
  <c r="F141" i="34"/>
  <c r="F13" i="34"/>
  <c r="F332" i="34"/>
  <c r="F204" i="34"/>
  <c r="F76" i="34"/>
  <c r="F427" i="34"/>
  <c r="F299" i="34"/>
  <c r="F171" i="34"/>
  <c r="F43" i="34"/>
  <c r="F418" i="34"/>
  <c r="F290" i="34"/>
  <c r="F162" i="34"/>
  <c r="F34" i="34"/>
  <c r="F1805" i="34"/>
  <c r="F1677" i="34"/>
  <c r="F1549" i="34"/>
  <c r="F1796" i="34"/>
  <c r="F1660" i="34"/>
  <c r="F1532" i="34"/>
  <c r="F1987" i="34"/>
  <c r="F1803" i="34"/>
  <c r="F1675" i="34"/>
  <c r="F1547" i="34"/>
  <c r="F1867" i="34"/>
  <c r="F1834" i="34"/>
  <c r="F1706" i="34"/>
  <c r="F1578" i="34"/>
  <c r="F1921" i="34"/>
  <c r="F1793" i="34"/>
  <c r="F1665" i="34"/>
  <c r="F1537" i="34"/>
  <c r="F1872" i="34"/>
  <c r="F1736" i="34"/>
  <c r="F1608" i="34"/>
  <c r="F1978" i="34"/>
  <c r="F1986" i="34"/>
  <c r="F1823" i="34"/>
  <c r="F1695" i="34"/>
  <c r="F1567" i="34"/>
  <c r="F1959" i="34"/>
  <c r="F1942" i="34"/>
  <c r="F1814" i="34"/>
  <c r="F1686" i="34"/>
  <c r="F1558" i="34"/>
  <c r="F1550" i="34"/>
  <c r="F518" i="34"/>
  <c r="F737" i="34"/>
  <c r="F507" i="34"/>
  <c r="F528" i="34"/>
  <c r="F752" i="34"/>
  <c r="F491" i="34"/>
  <c r="F548" i="34"/>
  <c r="F895" i="34"/>
  <c r="F767" i="34"/>
  <c r="F515" i="34"/>
  <c r="F557" i="34"/>
  <c r="F934" i="34"/>
  <c r="F806" i="34"/>
  <c r="F659" i="34"/>
  <c r="F629" i="34"/>
  <c r="F361" i="34"/>
  <c r="F717" i="34"/>
  <c r="F421" i="34"/>
  <c r="F500" i="34"/>
  <c r="F748" i="34"/>
  <c r="F543" i="34"/>
  <c r="F553" i="34"/>
  <c r="F1003" i="34"/>
  <c r="F875" i="34"/>
  <c r="F747" i="34"/>
  <c r="F531" i="34"/>
  <c r="F552" i="34"/>
  <c r="F1074" i="34"/>
  <c r="F946" i="34"/>
  <c r="F818" i="34"/>
  <c r="F690" i="34"/>
  <c r="F305" i="34"/>
  <c r="F177" i="34"/>
  <c r="F49" i="34"/>
  <c r="F264" i="34"/>
  <c r="F136" i="34"/>
  <c r="F8" i="34"/>
  <c r="F295" i="34"/>
  <c r="F167" i="34"/>
  <c r="F39" i="34"/>
  <c r="F350" i="34"/>
  <c r="F222" i="34"/>
  <c r="F94" i="34"/>
  <c r="F381" i="34"/>
  <c r="F253" i="34"/>
  <c r="F125" i="34"/>
  <c r="F444" i="34"/>
  <c r="F316" i="34"/>
  <c r="F188" i="34"/>
  <c r="F60" i="34"/>
  <c r="F411" i="34"/>
  <c r="F283" i="34"/>
  <c r="F155" i="34"/>
  <c r="F27" i="34"/>
  <c r="F402" i="34"/>
  <c r="F274" i="34"/>
  <c r="F146" i="34"/>
  <c r="F18" i="34"/>
  <c r="F1789" i="34"/>
  <c r="F1661" i="34"/>
  <c r="F1533" i="34"/>
  <c r="F1780" i="34"/>
  <c r="F1644" i="34"/>
  <c r="F1516" i="34"/>
  <c r="F1955" i="34"/>
  <c r="F1787" i="34"/>
  <c r="F1659" i="34"/>
  <c r="F1531" i="34"/>
  <c r="F1962" i="34"/>
  <c r="F1818" i="34"/>
  <c r="F1690" i="34"/>
  <c r="F1562" i="34"/>
  <c r="F1905" i="34"/>
  <c r="F1777" i="34"/>
  <c r="F1649" i="34"/>
  <c r="F1521" i="34"/>
  <c r="F1856" i="34"/>
  <c r="F1720" i="34"/>
  <c r="F1592" i="34"/>
  <c r="F1929" i="34"/>
  <c r="F1999" i="34"/>
  <c r="F1807" i="34"/>
  <c r="F1679" i="34"/>
  <c r="F1551" i="34"/>
  <c r="F1935" i="34"/>
  <c r="F1926" i="34"/>
  <c r="F1798" i="34"/>
  <c r="F1670" i="34"/>
  <c r="F1542" i="34"/>
  <c r="F47" i="35"/>
  <c r="F42" i="35"/>
  <c r="F16" i="35"/>
  <c r="F48" i="35"/>
  <c r="F52" i="35"/>
  <c r="F13" i="35"/>
  <c r="D10" i="35" s="1"/>
  <c r="C7" i="31"/>
  <c r="C13" i="31"/>
  <c r="C19" i="31"/>
  <c r="C23" i="31"/>
  <c r="C29" i="31"/>
  <c r="C35" i="31"/>
  <c r="C39" i="31"/>
  <c r="C45" i="31"/>
  <c r="C51" i="31"/>
  <c r="C57" i="31"/>
  <c r="C63" i="31"/>
  <c r="C65" i="31"/>
  <c r="C71" i="31"/>
  <c r="C77" i="31"/>
  <c r="C81" i="31"/>
  <c r="C87" i="31"/>
  <c r="C91" i="31"/>
  <c r="C95" i="31"/>
  <c r="C5" i="31"/>
  <c r="C11" i="31"/>
  <c r="C15" i="31"/>
  <c r="C21" i="31"/>
  <c r="C27" i="31"/>
  <c r="C31" i="31"/>
  <c r="C37" i="31"/>
  <c r="C43" i="31"/>
  <c r="C49" i="31"/>
  <c r="C55" i="31"/>
  <c r="C61" i="31"/>
  <c r="C69" i="31"/>
  <c r="C73" i="31"/>
  <c r="C79" i="31"/>
  <c r="C85" i="31"/>
  <c r="C89" i="31"/>
  <c r="C93" i="31"/>
  <c r="C97" i="31"/>
  <c r="C6" i="31"/>
  <c r="C12" i="31"/>
  <c r="C16" i="31"/>
  <c r="C20" i="31"/>
  <c r="C22" i="31"/>
  <c r="C24" i="31"/>
  <c r="C26" i="31"/>
  <c r="C30" i="31"/>
  <c r="C32" i="31"/>
  <c r="C34" i="31"/>
  <c r="C36" i="31"/>
  <c r="C38" i="31"/>
  <c r="C40" i="31"/>
  <c r="C42" i="31"/>
  <c r="C44" i="31"/>
  <c r="C46" i="31"/>
  <c r="C48" i="31"/>
  <c r="C50" i="31"/>
  <c r="C52" i="31"/>
  <c r="C54" i="31"/>
  <c r="C56" i="31"/>
  <c r="C58" i="31"/>
  <c r="C60" i="31"/>
  <c r="C62" i="31"/>
  <c r="C64" i="31"/>
  <c r="C66" i="31"/>
  <c r="C68" i="31"/>
  <c r="C70" i="31"/>
  <c r="C72" i="31"/>
  <c r="C74" i="31"/>
  <c r="C76" i="31"/>
  <c r="C78" i="31"/>
  <c r="C80" i="31"/>
  <c r="C82" i="31"/>
  <c r="C84" i="31"/>
  <c r="C86" i="31"/>
  <c r="C88" i="31"/>
  <c r="C90" i="31"/>
  <c r="C92" i="31"/>
  <c r="C94" i="31"/>
  <c r="C96" i="31"/>
  <c r="C98" i="31"/>
  <c r="C100" i="31"/>
  <c r="C3" i="31"/>
  <c r="C9" i="31"/>
  <c r="C17" i="31"/>
  <c r="C25" i="31"/>
  <c r="C33" i="31"/>
  <c r="C41" i="31"/>
  <c r="C47" i="31"/>
  <c r="C53" i="31"/>
  <c r="C59" i="31"/>
  <c r="C67" i="31"/>
  <c r="C75" i="31"/>
  <c r="C83" i="31"/>
  <c r="C99" i="31"/>
  <c r="C4" i="31"/>
  <c r="C8" i="31"/>
  <c r="C10" i="31"/>
  <c r="C14" i="31"/>
  <c r="C18" i="31"/>
  <c r="C28" i="31"/>
  <c r="C2" i="31"/>
  <c r="M16" i="35" a="1"/>
  <c r="K17" i="35" a="1"/>
  <c r="K15" i="35" a="1"/>
  <c r="K14" i="35" a="1"/>
  <c r="K13" i="35" a="1"/>
  <c r="K12" i="35" a="1"/>
  <c r="C2" i="34" l="1" a="1"/>
  <c r="C2" i="34" s="1"/>
  <c r="G2" i="34" a="1"/>
  <c r="G2" i="34" s="1"/>
  <c r="K12" i="35"/>
  <c r="K13" i="35"/>
  <c r="K14" i="35"/>
  <c r="K15" i="35"/>
  <c r="K17" i="35"/>
  <c r="M16" i="35"/>
  <c r="F33" i="35"/>
  <c r="D11" i="35"/>
  <c r="C8" i="35"/>
  <c r="L2067" i="4" a="1"/>
  <c r="L2067" i="4" s="1"/>
  <c r="K16" i="35" a="1"/>
  <c r="T38" i="35" l="1"/>
  <c r="T39" i="35"/>
  <c r="U54" i="35"/>
  <c r="U40" i="35"/>
  <c r="S54" i="35"/>
  <c r="T46" i="35"/>
  <c r="T54" i="35"/>
  <c r="S38" i="35"/>
  <c r="T40" i="35"/>
  <c r="U46" i="35"/>
  <c r="S39" i="35"/>
  <c r="S46" i="35"/>
  <c r="S40" i="35"/>
  <c r="T36" i="35"/>
  <c r="U36" i="35"/>
  <c r="U37" i="35"/>
  <c r="S36" i="35"/>
  <c r="U38" i="35"/>
  <c r="S37" i="35"/>
  <c r="U39" i="35"/>
  <c r="T37" i="35"/>
  <c r="U50" i="35"/>
  <c r="S45" i="35"/>
  <c r="T47" i="35"/>
  <c r="S52" i="35"/>
  <c r="S42" i="35"/>
  <c r="T41" i="35"/>
  <c r="U48" i="35"/>
  <c r="S44" i="35"/>
  <c r="S51" i="35"/>
  <c r="U43" i="35"/>
  <c r="U47" i="35"/>
  <c r="T45" i="35"/>
  <c r="T42" i="35"/>
  <c r="S49" i="35"/>
  <c r="T49" i="35"/>
  <c r="U53" i="35"/>
  <c r="S50" i="35"/>
  <c r="T53" i="35"/>
  <c r="T44" i="35"/>
  <c r="S53" i="35"/>
  <c r="T43" i="35"/>
  <c r="T51" i="35"/>
  <c r="U45" i="35"/>
  <c r="U41" i="35"/>
  <c r="U42" i="35"/>
  <c r="U52" i="35"/>
  <c r="S48" i="35"/>
  <c r="T50" i="35"/>
  <c r="U44" i="35"/>
  <c r="S43" i="35"/>
  <c r="T52" i="35"/>
  <c r="U51" i="35"/>
  <c r="S41" i="35"/>
  <c r="S47" i="35"/>
  <c r="T48" i="35"/>
  <c r="U49" i="35"/>
  <c r="K16" i="35"/>
  <c r="J8" i="35" s="1"/>
  <c r="J28" i="35"/>
  <c r="O28" i="35"/>
  <c r="W7" i="13" a="1"/>
  <c r="W7" i="13" s="1"/>
  <c r="AV200" i="13"/>
  <c r="AV199" i="13"/>
  <c r="AV198" i="13"/>
  <c r="AV197" i="13"/>
  <c r="AV196" i="13"/>
  <c r="AV195" i="13"/>
  <c r="AV194" i="13"/>
  <c r="AV193" i="13"/>
  <c r="AV192" i="13"/>
  <c r="AV191" i="13"/>
  <c r="AV190" i="13"/>
  <c r="AV189" i="13"/>
  <c r="AV188" i="13"/>
  <c r="AV187" i="13"/>
  <c r="AV186" i="13"/>
  <c r="AV185" i="13"/>
  <c r="AV184" i="13"/>
  <c r="AV183" i="13"/>
  <c r="AV182" i="13"/>
  <c r="AV181" i="13"/>
  <c r="AV180" i="13"/>
  <c r="AV179" i="13"/>
  <c r="AV178" i="13"/>
  <c r="AV177" i="13"/>
  <c r="AV176" i="13"/>
  <c r="AV175" i="13"/>
  <c r="AV174" i="13"/>
  <c r="AV173" i="13"/>
  <c r="AV172" i="13"/>
  <c r="AV171" i="13"/>
  <c r="AV170" i="13"/>
  <c r="AV169" i="13"/>
  <c r="AV168" i="13"/>
  <c r="AV167" i="13"/>
  <c r="AV166" i="13"/>
  <c r="AV165" i="13"/>
  <c r="AV164" i="13"/>
  <c r="AV163" i="13"/>
  <c r="AV162" i="13"/>
  <c r="AV161" i="13"/>
  <c r="AV160" i="13"/>
  <c r="AV159" i="13"/>
  <c r="AV158" i="13"/>
  <c r="AV157" i="13"/>
  <c r="AV156" i="13"/>
  <c r="AV155" i="13"/>
  <c r="AV154" i="13"/>
  <c r="AV153" i="13"/>
  <c r="AV152" i="13"/>
  <c r="AV151" i="13"/>
  <c r="AV150" i="13"/>
  <c r="AV149" i="13"/>
  <c r="AV148" i="13"/>
  <c r="AV147" i="13"/>
  <c r="AV146" i="13"/>
  <c r="AV145" i="13"/>
  <c r="AV144" i="13"/>
  <c r="AV143" i="13"/>
  <c r="AV142" i="13"/>
  <c r="AV141" i="13"/>
  <c r="AV140" i="13"/>
  <c r="AV139" i="13"/>
  <c r="AV138" i="13"/>
  <c r="AV137" i="13"/>
  <c r="AV136" i="13"/>
  <c r="AV135" i="13"/>
  <c r="AV134" i="13"/>
  <c r="AV133" i="13"/>
  <c r="AV132" i="13"/>
  <c r="AV131" i="13"/>
  <c r="AV130" i="13"/>
  <c r="AV129" i="13"/>
  <c r="AV128" i="13"/>
  <c r="AV127" i="13"/>
  <c r="AV126" i="13"/>
  <c r="AV125" i="13"/>
  <c r="AV124" i="13"/>
  <c r="AV123" i="13"/>
  <c r="AV122" i="13"/>
  <c r="AV121" i="13"/>
  <c r="AV120" i="13"/>
  <c r="AV119" i="13"/>
  <c r="AV118" i="13"/>
  <c r="AV117" i="13"/>
  <c r="AV116" i="13"/>
  <c r="AV115" i="13"/>
  <c r="AV114" i="13"/>
  <c r="AV113" i="13"/>
  <c r="AV112" i="13"/>
  <c r="AV111" i="13"/>
  <c r="AV110" i="13"/>
  <c r="AV109" i="13"/>
  <c r="AV108" i="13"/>
  <c r="AV107" i="13"/>
  <c r="AV106" i="13"/>
  <c r="AV105" i="13"/>
  <c r="AV104" i="13"/>
  <c r="AV103" i="13"/>
  <c r="AV102" i="13"/>
  <c r="AV101" i="13"/>
  <c r="AV100" i="13"/>
  <c r="AV99" i="13"/>
  <c r="AV98" i="13"/>
  <c r="AV97" i="13"/>
  <c r="AV96" i="13"/>
  <c r="AV95" i="13"/>
  <c r="AV94" i="13"/>
  <c r="AV93" i="13"/>
  <c r="AV92" i="13"/>
  <c r="AV91" i="13"/>
  <c r="AV90" i="13"/>
  <c r="AV89" i="13"/>
  <c r="AV88" i="13"/>
  <c r="AV87" i="13"/>
  <c r="AV86" i="13"/>
  <c r="AV85" i="13"/>
  <c r="AV84" i="13"/>
  <c r="AV83" i="13"/>
  <c r="AV82" i="13"/>
  <c r="AV81" i="13"/>
  <c r="AV80" i="13"/>
  <c r="AV79" i="13"/>
  <c r="AV78" i="13"/>
  <c r="AV77" i="13"/>
  <c r="AV76" i="13"/>
  <c r="AV75" i="13"/>
  <c r="AV74" i="13"/>
  <c r="AV73" i="13"/>
  <c r="AV72" i="13"/>
  <c r="AV71" i="13"/>
  <c r="AV70" i="13"/>
  <c r="AV69" i="13"/>
  <c r="AV68" i="13"/>
  <c r="AV67" i="13"/>
  <c r="AV66" i="13"/>
  <c r="AV65" i="13"/>
  <c r="AV64" i="13"/>
  <c r="V46" i="35" l="1"/>
  <c r="V40" i="35"/>
  <c r="V39" i="35"/>
  <c r="V38" i="35"/>
  <c r="V54" i="35"/>
  <c r="V37" i="35"/>
  <c r="V36" i="35"/>
  <c r="V45" i="35"/>
  <c r="V52" i="35"/>
  <c r="L52" i="35" s="1"/>
  <c r="V53" i="35"/>
  <c r="V49" i="35"/>
  <c r="V48" i="35"/>
  <c r="L48" i="35" s="1"/>
  <c r="V42" i="35"/>
  <c r="L42" i="35" s="1"/>
  <c r="V44" i="35"/>
  <c r="V41" i="35"/>
  <c r="V51" i="35"/>
  <c r="V43" i="35"/>
  <c r="V47" i="35"/>
  <c r="L47" i="35" s="1"/>
  <c r="V50" i="35"/>
  <c r="K27" i="35"/>
  <c r="J27" i="35" s="1"/>
  <c r="L25" i="35"/>
  <c r="L27" i="35"/>
  <c r="J33" i="35"/>
  <c r="C28" i="35" s="1"/>
  <c r="Q27" i="35"/>
  <c r="Q25" i="35"/>
  <c r="P27" i="35"/>
  <c r="O27" i="35" s="1"/>
  <c r="V42" i="13"/>
  <c r="V41" i="13"/>
  <c r="V40" i="13"/>
  <c r="V39" i="13"/>
  <c r="V38" i="13"/>
  <c r="V37" i="13"/>
  <c r="L33" i="35" l="1"/>
  <c r="C23" i="35" s="1"/>
  <c r="AJ6" i="13"/>
  <c r="AJ7" i="13" s="1"/>
  <c r="AJ8" i="13" s="1"/>
  <c r="AJ9" i="13" s="1"/>
  <c r="AJ10" i="13" s="1"/>
  <c r="AJ11" i="13" s="1"/>
  <c r="AJ12" i="13" s="1"/>
  <c r="AJ13" i="13" s="1"/>
  <c r="AJ14" i="13" s="1"/>
  <c r="AJ15" i="13" s="1"/>
  <c r="AJ16" i="13" s="1"/>
  <c r="AJ17" i="13" s="1"/>
  <c r="AJ18" i="13" s="1"/>
  <c r="AJ19" i="13" s="1"/>
  <c r="AJ20" i="13" s="1"/>
  <c r="AJ21" i="13" s="1"/>
  <c r="AJ22" i="13" s="1"/>
  <c r="AJ23" i="13" s="1"/>
  <c r="AJ24" i="13" s="1"/>
  <c r="AJ25" i="13" s="1"/>
  <c r="AJ26" i="13" s="1"/>
  <c r="AJ27" i="13" s="1"/>
  <c r="AJ28" i="13" s="1"/>
  <c r="AJ29" i="13" s="1"/>
  <c r="AJ30" i="13" s="1"/>
  <c r="AJ31" i="13" s="1"/>
  <c r="AJ32" i="13" s="1"/>
  <c r="AJ33" i="13" s="1"/>
  <c r="AJ34" i="13" s="1"/>
  <c r="AJ35" i="13" s="1"/>
  <c r="AJ36" i="13" s="1"/>
  <c r="AK38" i="13"/>
  <c r="AO38" i="13" s="1"/>
  <c r="E27" i="35" l="1"/>
  <c r="D27" i="35"/>
  <c r="C27" i="35" s="1" a="1"/>
  <c r="C27" i="35" s="1"/>
  <c r="F25" i="35"/>
  <c r="B48" i="13"/>
  <c r="B49" i="13" l="1"/>
  <c r="B50" i="13" l="1"/>
  <c r="V36" i="13"/>
  <c r="V10" i="13" l="1"/>
  <c r="V34" i="13"/>
  <c r="V30" i="13"/>
  <c r="V26" i="13"/>
  <c r="V22" i="13"/>
  <c r="V18" i="13"/>
  <c r="V14" i="13"/>
  <c r="V33" i="13"/>
  <c r="V29" i="13"/>
  <c r="V25" i="13"/>
  <c r="V21" i="13"/>
  <c r="V17" i="13"/>
  <c r="V13" i="13"/>
  <c r="V32" i="13"/>
  <c r="V28" i="13"/>
  <c r="V24" i="13"/>
  <c r="V20" i="13"/>
  <c r="V16" i="13"/>
  <c r="V12" i="13"/>
  <c r="V35" i="13"/>
  <c r="V31" i="13"/>
  <c r="V27" i="13"/>
  <c r="V23" i="13"/>
  <c r="V19" i="13"/>
  <c r="V15" i="13"/>
  <c r="V11" i="13"/>
  <c r="V8" i="13"/>
  <c r="V9" i="13"/>
  <c r="V7" i="13"/>
  <c r="B51" i="13"/>
  <c r="W4" i="13" l="1"/>
  <c r="B52" i="13"/>
  <c r="Z8" i="13" l="1"/>
  <c r="AD7" i="13"/>
  <c r="AD96" i="13"/>
  <c r="AD94" i="13"/>
  <c r="AD90" i="13"/>
  <c r="AD84" i="13"/>
  <c r="AD80" i="13"/>
  <c r="AD76" i="13"/>
  <c r="AD72" i="13"/>
  <c r="AD68" i="13"/>
  <c r="AD64" i="13"/>
  <c r="AD58" i="13"/>
  <c r="AD54" i="13"/>
  <c r="AD50" i="13"/>
  <c r="AD46" i="13"/>
  <c r="AD42" i="13"/>
  <c r="AD38" i="13"/>
  <c r="Z7" i="13"/>
  <c r="AD95" i="13"/>
  <c r="AD93" i="13"/>
  <c r="AD89" i="13"/>
  <c r="AD85" i="13"/>
  <c r="AD81" i="13"/>
  <c r="AD77" i="13"/>
  <c r="AD73" i="13"/>
  <c r="AD69" i="13"/>
  <c r="AD65" i="13"/>
  <c r="AD61" i="13"/>
  <c r="AD57" i="13"/>
  <c r="AD53" i="13"/>
  <c r="AD49" i="13"/>
  <c r="AD45" i="13"/>
  <c r="AD41" i="13"/>
  <c r="AD37" i="13"/>
  <c r="AD35" i="13"/>
  <c r="AD33" i="13"/>
  <c r="AD31" i="13"/>
  <c r="AD29" i="13"/>
  <c r="AD27" i="13"/>
  <c r="AD25" i="13"/>
  <c r="AD23" i="13"/>
  <c r="AD21" i="13"/>
  <c r="AD19" i="13"/>
  <c r="AD17" i="13"/>
  <c r="AD15" i="13"/>
  <c r="AD13" i="13"/>
  <c r="AD11" i="13"/>
  <c r="AD9" i="13"/>
  <c r="AD98" i="13"/>
  <c r="AD92" i="13"/>
  <c r="AD88" i="13"/>
  <c r="AD86" i="13"/>
  <c r="AD82" i="13"/>
  <c r="AD78" i="13"/>
  <c r="AD74" i="13"/>
  <c r="AD70" i="13"/>
  <c r="AD66" i="13"/>
  <c r="AD62" i="13"/>
  <c r="AD60" i="13"/>
  <c r="AD56" i="13"/>
  <c r="AD52" i="13"/>
  <c r="AD48" i="13"/>
  <c r="AD44" i="13"/>
  <c r="AD40" i="13"/>
  <c r="AD6" i="13"/>
  <c r="AD97" i="13"/>
  <c r="AD91" i="13"/>
  <c r="AD87" i="13"/>
  <c r="AD83" i="13"/>
  <c r="AD79" i="13"/>
  <c r="AD75" i="13"/>
  <c r="AD71" i="13"/>
  <c r="AD67" i="13"/>
  <c r="AD63" i="13"/>
  <c r="AD59" i="13"/>
  <c r="AD55" i="13"/>
  <c r="AD51" i="13"/>
  <c r="AD47" i="13"/>
  <c r="AD43" i="13"/>
  <c r="AD39" i="13"/>
  <c r="AD36" i="13"/>
  <c r="AD34" i="13"/>
  <c r="AD32" i="13"/>
  <c r="AD30" i="13"/>
  <c r="AD28" i="13"/>
  <c r="AD26" i="13"/>
  <c r="AD24" i="13"/>
  <c r="AD22" i="13"/>
  <c r="AD20" i="13"/>
  <c r="AD18" i="13"/>
  <c r="AD16" i="13"/>
  <c r="AD14" i="13"/>
  <c r="AD12" i="13"/>
  <c r="AD10" i="13"/>
  <c r="AD8" i="13"/>
  <c r="AT6" i="13" a="1"/>
  <c r="AK6" i="13"/>
  <c r="AV60" i="13"/>
  <c r="AV56" i="13"/>
  <c r="AV61" i="13"/>
  <c r="AV63" i="13"/>
  <c r="AV59" i="13"/>
  <c r="AV57" i="13"/>
  <c r="AV62" i="13"/>
  <c r="AV58" i="13"/>
  <c r="B53" i="13"/>
  <c r="AT6" i="13" l="1"/>
  <c r="AU6" i="13" s="1"/>
  <c r="AU53" i="13"/>
  <c r="AU49" i="13"/>
  <c r="AU45" i="13"/>
  <c r="AU41" i="13"/>
  <c r="AU37" i="13"/>
  <c r="AU33" i="13"/>
  <c r="AU29" i="13"/>
  <c r="AU25" i="13"/>
  <c r="AU21" i="13"/>
  <c r="AU17" i="13"/>
  <c r="AU13" i="13"/>
  <c r="AU9" i="13"/>
  <c r="AU52" i="13"/>
  <c r="AU48" i="13"/>
  <c r="AU44" i="13"/>
  <c r="AU40" i="13"/>
  <c r="AU36" i="13"/>
  <c r="AU32" i="13"/>
  <c r="AU28" i="13"/>
  <c r="AU24" i="13"/>
  <c r="AU20" i="13"/>
  <c r="AU16" i="13"/>
  <c r="AU12" i="13"/>
  <c r="AU8" i="13"/>
  <c r="AU55" i="13"/>
  <c r="AU51" i="13"/>
  <c r="AU47" i="13"/>
  <c r="AU43" i="13"/>
  <c r="AU39" i="13"/>
  <c r="AU35" i="13"/>
  <c r="AU31" i="13"/>
  <c r="AU27" i="13"/>
  <c r="AU23" i="13"/>
  <c r="AU19" i="13"/>
  <c r="AU15" i="13"/>
  <c r="AU11" i="13"/>
  <c r="AU7" i="13"/>
  <c r="AU54" i="13"/>
  <c r="AU50" i="13"/>
  <c r="AU46" i="13"/>
  <c r="AU42" i="13"/>
  <c r="AU38" i="13"/>
  <c r="AU34" i="13"/>
  <c r="AU30" i="13"/>
  <c r="AU26" i="13"/>
  <c r="AU22" i="13"/>
  <c r="AU18" i="13"/>
  <c r="AU14" i="13"/>
  <c r="AU10" i="13"/>
  <c r="AV34" i="13"/>
  <c r="AV43" i="13"/>
  <c r="AV16" i="13"/>
  <c r="AV22" i="13"/>
  <c r="AV41" i="13"/>
  <c r="AV28" i="13"/>
  <c r="AV36" i="13"/>
  <c r="AV9" i="13"/>
  <c r="AV38" i="13"/>
  <c r="AV37" i="13"/>
  <c r="AV48" i="13"/>
  <c r="AV51" i="13"/>
  <c r="AV39" i="13"/>
  <c r="AV33" i="13"/>
  <c r="AV10" i="13"/>
  <c r="AV21" i="13"/>
  <c r="AV20" i="13"/>
  <c r="AV7" i="13"/>
  <c r="AV14" i="13"/>
  <c r="AV26" i="13"/>
  <c r="AV27" i="13"/>
  <c r="AV46" i="13"/>
  <c r="AV53" i="13"/>
  <c r="AV55" i="13"/>
  <c r="AV42" i="13"/>
  <c r="AV18" i="13"/>
  <c r="AV15" i="13"/>
  <c r="AV25" i="13"/>
  <c r="AV40" i="13"/>
  <c r="AV32" i="13"/>
  <c r="AV19" i="13"/>
  <c r="AV23" i="13"/>
  <c r="AV17" i="13"/>
  <c r="AV47" i="13"/>
  <c r="AV50" i="13"/>
  <c r="AV49" i="13"/>
  <c r="AV35" i="13"/>
  <c r="AV29" i="13"/>
  <c r="AV24" i="13"/>
  <c r="AV31" i="13"/>
  <c r="AV12" i="13"/>
  <c r="AV30" i="13"/>
  <c r="AV11" i="13"/>
  <c r="AV44" i="13"/>
  <c r="AV13" i="13"/>
  <c r="AV8" i="13"/>
  <c r="AV45" i="13"/>
  <c r="AV54" i="13"/>
  <c r="AV52" i="13"/>
  <c r="Y8" i="13"/>
  <c r="AL6" i="13"/>
  <c r="AM6" i="13" s="1"/>
  <c r="AN6" i="13" s="1"/>
  <c r="AE53" i="13"/>
  <c r="AE87" i="13"/>
  <c r="AE50" i="13"/>
  <c r="AE82" i="13"/>
  <c r="AE79" i="13"/>
  <c r="AE36" i="13"/>
  <c r="AE68" i="13"/>
  <c r="AE49" i="13"/>
  <c r="AE81" i="13"/>
  <c r="AE38" i="13"/>
  <c r="AE70" i="13"/>
  <c r="AE85" i="13"/>
  <c r="AE43" i="13"/>
  <c r="AE75" i="13"/>
  <c r="AE40" i="13"/>
  <c r="AE72" i="13"/>
  <c r="AE66" i="13"/>
  <c r="AE97" i="13"/>
  <c r="AE86" i="13"/>
  <c r="AE65" i="13"/>
  <c r="AE54" i="13"/>
  <c r="AE39" i="13"/>
  <c r="AE93" i="13"/>
  <c r="AE90" i="13"/>
  <c r="AE77" i="13"/>
  <c r="AE74" i="13"/>
  <c r="AE84" i="13"/>
  <c r="AE94" i="13"/>
  <c r="AE73" i="13"/>
  <c r="AE62" i="13"/>
  <c r="AE63" i="13"/>
  <c r="AE61" i="13"/>
  <c r="AE95" i="13"/>
  <c r="AE58" i="13"/>
  <c r="AE92" i="13"/>
  <c r="AE89" i="13"/>
  <c r="AE44" i="13"/>
  <c r="AE76" i="13"/>
  <c r="AE47" i="13"/>
  <c r="AE57" i="13"/>
  <c r="AE91" i="13"/>
  <c r="AE46" i="13"/>
  <c r="AE78" i="13"/>
  <c r="AE37" i="13"/>
  <c r="AE51" i="13"/>
  <c r="AE83" i="13"/>
  <c r="AE48" i="13"/>
  <c r="AE80" i="13"/>
  <c r="AE69" i="13"/>
  <c r="AE52" i="13"/>
  <c r="AE71" i="13"/>
  <c r="AE88" i="13"/>
  <c r="AE59" i="13"/>
  <c r="AE56" i="13"/>
  <c r="AE45" i="13"/>
  <c r="AE42" i="13"/>
  <c r="AE55" i="13"/>
  <c r="AE60" i="13"/>
  <c r="AE41" i="13"/>
  <c r="AE98" i="13"/>
  <c r="AE96" i="13"/>
  <c r="AE67" i="13"/>
  <c r="AE64" i="13"/>
  <c r="AM4" i="13"/>
  <c r="AK7" i="13"/>
  <c r="AO6" i="13"/>
  <c r="AQ4" i="13" s="1"/>
  <c r="AE13" i="13"/>
  <c r="AE23" i="13"/>
  <c r="AE19" i="13"/>
  <c r="AE7" i="13"/>
  <c r="AE30" i="13"/>
  <c r="AE9" i="13"/>
  <c r="AE26" i="13"/>
  <c r="AE18" i="13"/>
  <c r="Z9" i="13"/>
  <c r="Y6" i="13" s="1"/>
  <c r="AE21" i="13"/>
  <c r="AE22" i="13"/>
  <c r="AE34" i="13"/>
  <c r="AE16" i="13"/>
  <c r="AE31" i="13"/>
  <c r="AE14" i="13"/>
  <c r="AE17" i="13"/>
  <c r="AE20" i="13"/>
  <c r="AE10" i="13"/>
  <c r="AE33" i="13"/>
  <c r="AE29" i="13"/>
  <c r="AE24" i="13"/>
  <c r="AE32" i="13"/>
  <c r="AE27" i="13"/>
  <c r="AE28" i="13"/>
  <c r="AE15" i="13"/>
  <c r="AE12" i="13"/>
  <c r="AE11" i="13"/>
  <c r="AE8" i="13"/>
  <c r="AE25" i="13"/>
  <c r="AE6" i="13"/>
  <c r="AE35" i="13"/>
  <c r="AV6" i="13"/>
  <c r="B54" i="13"/>
  <c r="AX23" i="13" l="1"/>
  <c r="AX30" i="13"/>
  <c r="AX46" i="13"/>
  <c r="AX11" i="13"/>
  <c r="AX27" i="13"/>
  <c r="AX43" i="13"/>
  <c r="AX26" i="13"/>
  <c r="AX195" i="13"/>
  <c r="AX49" i="13"/>
  <c r="AX75" i="13"/>
  <c r="AX149" i="13"/>
  <c r="AX63" i="13"/>
  <c r="AX199" i="13"/>
  <c r="AX9" i="13"/>
  <c r="AX169" i="13"/>
  <c r="AX133" i="13"/>
  <c r="AX191" i="13"/>
  <c r="AX57" i="13"/>
  <c r="AX118" i="13"/>
  <c r="AX44" i="13"/>
  <c r="AX59" i="13"/>
  <c r="AX120" i="13"/>
  <c r="AX122" i="13"/>
  <c r="AX45" i="13"/>
  <c r="AX141" i="13"/>
  <c r="AX128" i="13"/>
  <c r="AX53" i="13"/>
  <c r="AX85" i="13"/>
  <c r="AX157" i="13"/>
  <c r="AX18" i="13"/>
  <c r="AX66" i="13"/>
  <c r="AX105" i="13"/>
  <c r="AX70" i="13"/>
  <c r="AX108" i="13"/>
  <c r="AX72" i="13"/>
  <c r="AX184" i="13"/>
  <c r="AX93" i="13"/>
  <c r="AX50" i="13"/>
  <c r="AX137" i="13"/>
  <c r="AX22" i="13"/>
  <c r="AX34" i="13"/>
  <c r="AX77" i="13"/>
  <c r="AX6" i="13"/>
  <c r="AX67" i="13"/>
  <c r="AX163" i="13"/>
  <c r="AX188" i="13"/>
  <c r="AX111" i="13"/>
  <c r="AX178" i="13"/>
  <c r="AX147" i="13"/>
  <c r="AX80" i="13"/>
  <c r="AX135" i="13"/>
  <c r="AX194" i="13"/>
  <c r="AX14" i="13"/>
  <c r="AX25" i="13"/>
  <c r="AX152" i="13"/>
  <c r="AX112" i="13"/>
  <c r="AX21" i="13"/>
  <c r="AX198" i="13"/>
  <c r="AX173" i="13"/>
  <c r="AX104" i="13"/>
  <c r="AX110" i="13"/>
  <c r="AX60" i="13"/>
  <c r="AX136" i="13"/>
  <c r="AX159" i="13"/>
  <c r="AX58" i="13"/>
  <c r="AX33" i="13"/>
  <c r="AX134" i="13"/>
  <c r="AX129" i="13"/>
  <c r="AX65" i="13"/>
  <c r="AX29" i="13"/>
  <c r="AX160" i="13"/>
  <c r="AX15" i="13"/>
  <c r="AX37" i="13"/>
  <c r="AX40" i="13"/>
  <c r="AX81" i="13"/>
  <c r="AX164" i="13"/>
  <c r="AX56" i="13"/>
  <c r="AX180" i="13"/>
  <c r="AX12" i="13"/>
  <c r="AX189" i="13"/>
  <c r="AX51" i="13"/>
  <c r="AX94" i="13"/>
  <c r="AX47" i="13"/>
  <c r="AX125" i="13"/>
  <c r="AX10" i="13"/>
  <c r="AX98" i="13"/>
  <c r="AX62" i="13"/>
  <c r="AX177" i="13"/>
  <c r="AX88" i="13"/>
  <c r="AX176" i="13"/>
  <c r="AX192" i="13"/>
  <c r="AX119" i="13"/>
  <c r="AX13" i="13"/>
  <c r="AX96" i="13"/>
  <c r="AX197" i="13"/>
  <c r="AX48" i="13"/>
  <c r="AX92" i="13"/>
  <c r="AX161" i="13"/>
  <c r="AX183" i="13"/>
  <c r="AX172" i="13"/>
  <c r="AX42" i="13"/>
  <c r="AX31" i="13"/>
  <c r="AX68" i="13"/>
  <c r="AX84" i="13"/>
  <c r="AX144" i="13"/>
  <c r="AX54" i="13"/>
  <c r="AX139" i="13"/>
  <c r="AX153" i="13"/>
  <c r="AX175" i="13"/>
  <c r="AX19" i="13"/>
  <c r="AX52" i="13"/>
  <c r="AX38" i="13"/>
  <c r="AX155" i="13"/>
  <c r="AX32" i="13"/>
  <c r="AX8" i="13"/>
  <c r="AX181" i="13"/>
  <c r="AX79" i="13"/>
  <c r="AX107" i="13"/>
  <c r="AX103" i="13"/>
  <c r="AX82" i="13"/>
  <c r="AX106" i="13"/>
  <c r="AX95" i="13"/>
  <c r="AX97" i="13"/>
  <c r="AX41" i="13"/>
  <c r="AX138" i="13"/>
  <c r="AW58" i="13"/>
  <c r="AX187" i="13"/>
  <c r="AX179" i="13"/>
  <c r="AX145" i="13"/>
  <c r="AX86" i="13"/>
  <c r="AX143" i="13"/>
  <c r="AX166" i="13"/>
  <c r="AX76" i="13"/>
  <c r="AX20" i="13"/>
  <c r="AX83" i="13"/>
  <c r="AX190" i="13"/>
  <c r="AX114" i="13"/>
  <c r="AX109" i="13"/>
  <c r="AX146" i="13"/>
  <c r="AX162" i="13"/>
  <c r="AX168" i="13"/>
  <c r="AX174" i="13"/>
  <c r="AX89" i="13"/>
  <c r="AX130" i="13"/>
  <c r="AX165" i="13"/>
  <c r="AX200" i="13"/>
  <c r="AX124" i="13"/>
  <c r="AX151" i="13"/>
  <c r="AX156" i="13"/>
  <c r="AX36" i="13"/>
  <c r="AX127" i="13"/>
  <c r="AX148" i="13"/>
  <c r="AX121" i="13"/>
  <c r="AX102" i="13"/>
  <c r="AX71" i="13"/>
  <c r="AX16" i="13"/>
  <c r="AX196" i="13"/>
  <c r="AX55" i="13"/>
  <c r="AX90" i="13"/>
  <c r="AX142" i="13"/>
  <c r="AX73" i="13"/>
  <c r="AX100" i="13"/>
  <c r="AX126" i="13"/>
  <c r="AX150" i="13"/>
  <c r="AX35" i="13"/>
  <c r="AX132" i="13"/>
  <c r="AX123" i="13"/>
  <c r="AX186" i="13"/>
  <c r="AX113" i="13"/>
  <c r="AX87" i="13"/>
  <c r="AX158" i="13"/>
  <c r="AX171" i="13"/>
  <c r="AX154" i="13"/>
  <c r="AX170" i="13"/>
  <c r="AX39" i="13"/>
  <c r="AX193" i="13"/>
  <c r="AX69" i="13"/>
  <c r="AX117" i="13"/>
  <c r="AX185" i="13"/>
  <c r="AX140" i="13"/>
  <c r="AX24" i="13"/>
  <c r="AX61" i="13"/>
  <c r="AX182" i="13"/>
  <c r="AX116" i="13"/>
  <c r="AX17" i="13"/>
  <c r="AX28" i="13"/>
  <c r="AX115" i="13"/>
  <c r="AX91" i="13"/>
  <c r="AX167" i="13"/>
  <c r="AX64" i="13"/>
  <c r="AX101" i="13"/>
  <c r="AX74" i="13"/>
  <c r="AX78" i="13"/>
  <c r="AX99" i="13"/>
  <c r="AX131" i="13"/>
  <c r="AX7" i="13"/>
  <c r="AK8" i="13"/>
  <c r="AL8" i="13" s="1"/>
  <c r="AL7" i="13"/>
  <c r="AM7" i="13" s="1"/>
  <c r="AN7" i="13" s="1"/>
  <c r="Y7" i="13"/>
  <c r="AP6" i="13"/>
  <c r="AQ6" i="13" s="1"/>
  <c r="D8" i="13"/>
  <c r="AO7" i="13"/>
  <c r="AR6" i="13"/>
  <c r="AG10" i="13" a="1"/>
  <c r="AG10" i="13" s="1"/>
  <c r="Q18" i="13" s="1" a="1"/>
  <c r="Q18" i="13" s="1"/>
  <c r="AH10" i="13" a="1"/>
  <c r="AH10" i="13" s="1"/>
  <c r="S18" i="13" s="1" a="1"/>
  <c r="S18" i="13" s="1"/>
  <c r="AG7" i="13" a="1"/>
  <c r="AG7" i="13" s="1"/>
  <c r="Q12" i="13" s="1" a="1"/>
  <c r="Q12" i="13" s="1"/>
  <c r="AH7" i="13" a="1"/>
  <c r="AH7" i="13" s="1"/>
  <c r="S12" i="13" s="1" a="1"/>
  <c r="S12" i="13" s="1"/>
  <c r="AG6" i="13" a="1"/>
  <c r="AG6" i="13" s="1"/>
  <c r="Q10" i="13" s="1" a="1"/>
  <c r="Q10" i="13" s="1"/>
  <c r="AH6" i="13" a="1"/>
  <c r="AH6" i="13" s="1"/>
  <c r="S10" i="13" s="1" a="1"/>
  <c r="S10" i="13" s="1"/>
  <c r="AG8" i="13" a="1"/>
  <c r="AG8" i="13" s="1"/>
  <c r="Q14" i="13" s="1" a="1"/>
  <c r="Q14" i="13" s="1"/>
  <c r="AH9" i="13" a="1"/>
  <c r="AH9" i="13" s="1"/>
  <c r="S16" i="13" s="1" a="1"/>
  <c r="S16" i="13" s="1"/>
  <c r="AH8" i="13" a="1"/>
  <c r="AH8" i="13" s="1"/>
  <c r="S14" i="13" s="1" a="1"/>
  <c r="S14" i="13" s="1"/>
  <c r="AG9" i="13" a="1"/>
  <c r="AG9" i="13" s="1"/>
  <c r="Q16" i="13" s="1" a="1"/>
  <c r="Q16" i="13" s="1"/>
  <c r="AW69" i="13"/>
  <c r="AW83" i="13"/>
  <c r="AW148" i="13"/>
  <c r="AW158" i="13"/>
  <c r="AW94" i="13"/>
  <c r="AW135" i="13"/>
  <c r="AW150" i="13"/>
  <c r="AW46" i="13"/>
  <c r="AW59" i="13"/>
  <c r="AW27" i="13"/>
  <c r="AW106" i="13"/>
  <c r="AW121" i="13"/>
  <c r="AW78" i="13"/>
  <c r="AW165" i="13"/>
  <c r="AW95" i="13"/>
  <c r="AW151" i="13"/>
  <c r="AW104" i="13"/>
  <c r="AW196" i="13"/>
  <c r="AW110" i="13"/>
  <c r="AW13" i="13"/>
  <c r="AW200" i="13"/>
  <c r="AW184" i="13"/>
  <c r="AW137" i="13"/>
  <c r="AW79" i="13"/>
  <c r="AW15" i="13"/>
  <c r="AW188" i="13"/>
  <c r="AW36" i="13"/>
  <c r="AW37" i="13"/>
  <c r="AW29" i="13"/>
  <c r="AW55" i="13"/>
  <c r="AW16" i="13"/>
  <c r="AW101" i="13"/>
  <c r="AW195" i="13"/>
  <c r="AW72" i="13"/>
  <c r="AW134" i="13"/>
  <c r="AW155" i="13"/>
  <c r="AW44" i="13"/>
  <c r="AW169" i="13"/>
  <c r="AW14" i="13"/>
  <c r="AW171" i="13"/>
  <c r="AW24" i="13"/>
  <c r="AW90" i="13"/>
  <c r="AW139" i="13"/>
  <c r="AW111" i="13"/>
  <c r="AW11" i="13"/>
  <c r="AW123" i="13"/>
  <c r="AW182" i="13"/>
  <c r="AW136" i="13"/>
  <c r="AW100" i="13"/>
  <c r="AW142" i="13"/>
  <c r="AW23" i="13"/>
  <c r="AW39" i="13"/>
  <c r="AW34" i="13"/>
  <c r="AW115" i="13"/>
  <c r="AW65" i="13"/>
  <c r="AW154" i="13"/>
  <c r="AW88" i="13"/>
  <c r="AW17" i="13"/>
  <c r="AW31" i="13"/>
  <c r="AW166" i="13"/>
  <c r="AW75" i="13"/>
  <c r="AW45" i="13"/>
  <c r="AW47" i="13"/>
  <c r="AW89" i="13"/>
  <c r="AW97" i="13"/>
  <c r="AW186" i="13"/>
  <c r="AW82" i="13"/>
  <c r="AW156" i="13"/>
  <c r="AW162" i="13"/>
  <c r="AW120" i="13"/>
  <c r="AW181" i="13"/>
  <c r="AW113" i="13"/>
  <c r="AW99" i="13"/>
  <c r="AW48" i="13"/>
  <c r="AW35" i="13"/>
  <c r="AW87" i="13"/>
  <c r="AW38" i="13"/>
  <c r="AW76" i="13"/>
  <c r="AW128" i="13"/>
  <c r="AW21" i="13"/>
  <c r="AW177" i="13"/>
  <c r="AW190" i="13"/>
  <c r="AW32" i="13"/>
  <c r="AW180" i="13"/>
  <c r="AW81" i="13"/>
  <c r="AW147" i="13"/>
  <c r="AW189" i="13"/>
  <c r="AW91" i="13"/>
  <c r="AW126" i="13"/>
  <c r="AW122" i="13"/>
  <c r="AW145" i="13"/>
  <c r="AW163" i="13"/>
  <c r="AW193" i="13"/>
  <c r="AW164" i="13"/>
  <c r="AW28" i="13"/>
  <c r="AW124" i="13"/>
  <c r="AW173" i="13"/>
  <c r="AW85" i="13"/>
  <c r="AW67" i="13"/>
  <c r="AW84" i="13"/>
  <c r="AW53" i="13"/>
  <c r="AW157" i="13"/>
  <c r="AW62" i="13"/>
  <c r="AW74" i="13"/>
  <c r="AW57" i="13"/>
  <c r="AW119" i="13"/>
  <c r="AW51" i="13"/>
  <c r="AW132" i="13"/>
  <c r="AW49" i="13"/>
  <c r="AW112" i="13"/>
  <c r="AW168" i="13"/>
  <c r="AW108" i="13"/>
  <c r="AW73" i="13"/>
  <c r="AW130" i="13"/>
  <c r="AW149" i="13"/>
  <c r="AW172" i="13"/>
  <c r="AW152" i="13"/>
  <c r="AW114" i="13"/>
  <c r="AW77" i="13"/>
  <c r="AW10" i="13"/>
  <c r="AW146" i="13"/>
  <c r="AW8" i="13"/>
  <c r="AW118" i="13"/>
  <c r="AW160" i="13"/>
  <c r="AW129" i="13"/>
  <c r="AW6" i="13"/>
  <c r="AW116" i="13"/>
  <c r="AW66" i="13"/>
  <c r="AW167" i="13"/>
  <c r="AW170" i="13"/>
  <c r="AW174" i="13"/>
  <c r="AW54" i="13"/>
  <c r="AW109" i="13"/>
  <c r="AW43" i="13"/>
  <c r="AW30" i="13"/>
  <c r="AW20" i="13"/>
  <c r="AW102" i="13"/>
  <c r="AW60" i="13"/>
  <c r="AW42" i="13"/>
  <c r="AW138" i="13"/>
  <c r="AW140" i="13"/>
  <c r="AW107" i="13"/>
  <c r="AW161" i="13"/>
  <c r="AW192" i="13"/>
  <c r="AW22" i="13"/>
  <c r="AW41" i="13"/>
  <c r="AW191" i="13"/>
  <c r="AW197" i="13"/>
  <c r="AW98" i="13"/>
  <c r="AW26" i="13"/>
  <c r="AW61" i="13"/>
  <c r="AW198" i="13"/>
  <c r="AW93" i="13"/>
  <c r="AW117" i="13"/>
  <c r="AW56" i="13"/>
  <c r="AW179" i="13"/>
  <c r="AW183" i="13"/>
  <c r="AW7" i="13"/>
  <c r="AW12" i="13"/>
  <c r="AW33" i="13"/>
  <c r="AW9" i="13"/>
  <c r="AW144" i="13"/>
  <c r="AW52" i="13"/>
  <c r="AW86" i="13"/>
  <c r="AW64" i="13"/>
  <c r="AW176" i="13"/>
  <c r="AW80" i="13"/>
  <c r="AW159" i="13"/>
  <c r="AW71" i="13"/>
  <c r="AW194" i="13"/>
  <c r="AW25" i="13"/>
  <c r="AW185" i="13"/>
  <c r="AW92" i="13"/>
  <c r="AW68" i="13"/>
  <c r="AW50" i="13"/>
  <c r="AW70" i="13"/>
  <c r="AW125" i="13"/>
  <c r="AW18" i="13"/>
  <c r="AW105" i="13"/>
  <c r="AW153" i="13"/>
  <c r="AW127" i="13"/>
  <c r="AW96" i="13"/>
  <c r="AW19" i="13"/>
  <c r="AW40" i="13"/>
  <c r="AW141" i="13"/>
  <c r="AW187" i="13"/>
  <c r="AW131" i="13"/>
  <c r="AW103" i="13"/>
  <c r="AW178" i="13"/>
  <c r="AW175" i="13"/>
  <c r="AW63" i="13"/>
  <c r="AW133" i="13"/>
  <c r="AW199" i="13"/>
  <c r="AW143" i="13"/>
  <c r="B55" i="13"/>
  <c r="M53" i="13" l="1" a="1"/>
  <c r="M53" i="13" s="1"/>
  <c r="Q53" i="13" s="1" a="1"/>
  <c r="Q53" i="13" s="1"/>
  <c r="AK9" i="13"/>
  <c r="AL9" i="13" s="1"/>
  <c r="AM9" i="13" s="1"/>
  <c r="M51" i="13" a="1"/>
  <c r="M51" i="13" s="1"/>
  <c r="Q51" i="13" s="1" a="1"/>
  <c r="Q51" i="13" s="1"/>
  <c r="M50" i="13" a="1"/>
  <c r="M50" i="13" s="1"/>
  <c r="Q50" i="13" s="1" a="1"/>
  <c r="Q50" i="13" s="1"/>
  <c r="M49" i="13" a="1"/>
  <c r="M49" i="13" s="1"/>
  <c r="Q49" i="13" s="1" a="1"/>
  <c r="Q49" i="13" s="1"/>
  <c r="M54" i="13" a="1"/>
  <c r="M54" i="13" s="1"/>
  <c r="Q54" i="13" s="1" a="1"/>
  <c r="Q54" i="13" s="1"/>
  <c r="S49" i="13" a="1"/>
  <c r="S49" i="13" s="1"/>
  <c r="S53" i="13" a="1"/>
  <c r="S53" i="13" s="1"/>
  <c r="M48" i="13" a="1"/>
  <c r="M48" i="13" s="1"/>
  <c r="Q48" i="13" s="1" a="1"/>
  <c r="Q48" i="13" s="1"/>
  <c r="S52" i="13" a="1"/>
  <c r="S52" i="13" s="1"/>
  <c r="S50" i="13" a="1"/>
  <c r="S50" i="13" s="1"/>
  <c r="M47" i="13" a="1"/>
  <c r="M47" i="13" s="1"/>
  <c r="Q47" i="13" s="1" a="1"/>
  <c r="Q47" i="13" s="1"/>
  <c r="S47" i="13" a="1"/>
  <c r="S47" i="13" s="1"/>
  <c r="S51" i="13" a="1"/>
  <c r="S51" i="13" s="1"/>
  <c r="S54" i="13" a="1"/>
  <c r="S54" i="13" s="1"/>
  <c r="S48" i="13" a="1"/>
  <c r="S48" i="13" s="1"/>
  <c r="M52" i="13" a="1"/>
  <c r="M52" i="13" s="1"/>
  <c r="Q52" i="13" s="1" a="1"/>
  <c r="Q52" i="13" s="1"/>
  <c r="AR7" i="13"/>
  <c r="AP7" i="13"/>
  <c r="AQ7" i="13" s="1"/>
  <c r="AM8" i="13"/>
  <c r="AN8" i="13" s="1"/>
  <c r="AO8" i="13"/>
  <c r="AG11" i="13"/>
  <c r="Q20" i="13" s="1" a="1"/>
  <c r="Q20" i="13" s="1"/>
  <c r="AH11" i="13"/>
  <c r="AH12" i="13" s="1"/>
  <c r="G47" i="13" a="1"/>
  <c r="G47" i="13" s="1"/>
  <c r="D50" i="13" a="1"/>
  <c r="D50" i="13" s="1"/>
  <c r="D49" i="13" a="1"/>
  <c r="D49" i="13" s="1"/>
  <c r="I49" i="13" a="1"/>
  <c r="I49" i="13" s="1"/>
  <c r="G54" i="13" a="1"/>
  <c r="G54" i="13" s="1"/>
  <c r="D51" i="13" a="1"/>
  <c r="D51" i="13" s="1"/>
  <c r="D53" i="13" a="1"/>
  <c r="D53" i="13" s="1"/>
  <c r="I54" i="13" a="1"/>
  <c r="I54" i="13" s="1"/>
  <c r="G49" i="13" a="1"/>
  <c r="G49" i="13" s="1"/>
  <c r="D48" i="13" a="1"/>
  <c r="D48" i="13" s="1"/>
  <c r="I48" i="13" a="1"/>
  <c r="I48" i="13" s="1"/>
  <c r="D54" i="13" a="1"/>
  <c r="D54" i="13" s="1"/>
  <c r="G51" i="13" a="1"/>
  <c r="G51" i="13" s="1"/>
  <c r="G48" i="13" a="1"/>
  <c r="G48" i="13" s="1"/>
  <c r="G52" i="13" a="1"/>
  <c r="G52" i="13" s="1"/>
  <c r="I53" i="13" a="1"/>
  <c r="I53" i="13" s="1"/>
  <c r="G50" i="13" a="1"/>
  <c r="G50" i="13" s="1"/>
  <c r="I52" i="13" a="1"/>
  <c r="I52" i="13" s="1"/>
  <c r="I51" i="13" a="1"/>
  <c r="I51" i="13" s="1"/>
  <c r="D52" i="13" a="1"/>
  <c r="D52" i="13" s="1"/>
  <c r="G53" i="13" a="1"/>
  <c r="G53" i="13" s="1"/>
  <c r="I50" i="13" a="1"/>
  <c r="I50" i="13" s="1"/>
  <c r="D47" i="13" a="1"/>
  <c r="D47" i="13" s="1"/>
  <c r="I47" i="13" a="1"/>
  <c r="I47" i="13" s="1"/>
  <c r="AK10" i="13"/>
  <c r="AL10" i="13" s="1"/>
  <c r="AN9" i="13"/>
  <c r="M55" i="13" a="1"/>
  <c r="M55" i="13" s="1"/>
  <c r="Q55" i="13" s="1" a="1"/>
  <c r="Q55" i="13" s="1"/>
  <c r="S55" i="13" a="1"/>
  <c r="S55" i="13" s="1"/>
  <c r="I55" i="13" a="1"/>
  <c r="I55" i="13" s="1"/>
  <c r="G55" i="13" a="1"/>
  <c r="G55" i="13" s="1"/>
  <c r="D55" i="13" a="1"/>
  <c r="D55" i="13" s="1"/>
  <c r="B56" i="13"/>
  <c r="AR8" i="13" l="1"/>
  <c r="AP8" i="13"/>
  <c r="AQ8" i="13" s="1"/>
  <c r="S20" i="13" a="1"/>
  <c r="S20" i="13" s="1"/>
  <c r="S22" i="13" s="1"/>
  <c r="M8" i="13" s="1"/>
  <c r="AO9" i="13"/>
  <c r="AP9" i="13" s="1"/>
  <c r="AN10" i="13"/>
  <c r="AK11" i="13"/>
  <c r="AL11" i="13" s="1"/>
  <c r="AM10" i="13"/>
  <c r="S56" i="13" a="1"/>
  <c r="S56" i="13" s="1"/>
  <c r="M56" i="13" a="1"/>
  <c r="M56" i="13" s="1"/>
  <c r="Q56" i="13" s="1" a="1"/>
  <c r="Q56" i="13" s="1"/>
  <c r="D56" i="13" a="1"/>
  <c r="D56" i="13" s="1"/>
  <c r="I56" i="13" a="1"/>
  <c r="I56" i="13" s="1"/>
  <c r="G56" i="13" a="1"/>
  <c r="G56" i="13" s="1"/>
  <c r="AQ9" i="13" l="1"/>
  <c r="AR9" i="13"/>
  <c r="AO10" i="13"/>
  <c r="AK12" i="13"/>
  <c r="AL12" i="13" s="1"/>
  <c r="AM11" i="13"/>
  <c r="AN11" i="13" s="1"/>
  <c r="AP10" i="13" l="1"/>
  <c r="AQ10" i="13" s="1"/>
  <c r="AO11" i="13"/>
  <c r="AR10" i="13"/>
  <c r="AK13" i="13"/>
  <c r="AL13" i="13" s="1"/>
  <c r="AM12" i="13"/>
  <c r="AN12" i="13" s="1"/>
  <c r="AR11" i="13" l="1"/>
  <c r="AP11" i="13"/>
  <c r="AQ11" i="13" s="1"/>
  <c r="AO12" i="13"/>
  <c r="AK14" i="13"/>
  <c r="AL14" i="13" s="1"/>
  <c r="AN13" i="13"/>
  <c r="AM13" i="13"/>
  <c r="AR12" i="13" l="1"/>
  <c r="AP12" i="13"/>
  <c r="AQ12" i="13" s="1"/>
  <c r="AO13" i="13"/>
  <c r="AK15" i="13"/>
  <c r="AL15" i="13" s="1"/>
  <c r="AN14" i="13"/>
  <c r="AM14" i="13"/>
  <c r="AR13" i="13" l="1"/>
  <c r="AP13" i="13"/>
  <c r="AQ13" i="13" s="1"/>
  <c r="AO14" i="13"/>
  <c r="AK16" i="13"/>
  <c r="AL16" i="13" s="1"/>
  <c r="AN15" i="13"/>
  <c r="AM15" i="13"/>
  <c r="AR14" i="13" l="1"/>
  <c r="AP14" i="13"/>
  <c r="AQ14" i="13" s="1"/>
  <c r="AO15" i="13"/>
  <c r="AK17" i="13"/>
  <c r="AL17" i="13" s="1"/>
  <c r="AN16" i="13"/>
  <c r="AM16" i="13"/>
  <c r="AR15" i="13" l="1"/>
  <c r="AP15" i="13"/>
  <c r="AQ15" i="13" s="1"/>
  <c r="AO16" i="13"/>
  <c r="AK18" i="13"/>
  <c r="AL18" i="13" s="1"/>
  <c r="AN17" i="13"/>
  <c r="AM17" i="13"/>
  <c r="AR16" i="13" l="1"/>
  <c r="AP16" i="13"/>
  <c r="AQ16" i="13" s="1"/>
  <c r="AO17" i="13"/>
  <c r="AK19" i="13"/>
  <c r="AL19" i="13" s="1"/>
  <c r="AN18" i="13"/>
  <c r="AM18" i="13"/>
  <c r="AR17" i="13" l="1"/>
  <c r="AP17" i="13"/>
  <c r="AQ17" i="13" s="1"/>
  <c r="AO18" i="13"/>
  <c r="AN19" i="13"/>
  <c r="AK20" i="13"/>
  <c r="AL20" i="13" s="1"/>
  <c r="AM19" i="13"/>
  <c r="AO19" i="13" l="1"/>
  <c r="AP19" i="13" s="1"/>
  <c r="AP18" i="13"/>
  <c r="AQ18" i="13" s="1"/>
  <c r="AR18" i="13"/>
  <c r="AK21" i="13"/>
  <c r="AL21" i="13" s="1"/>
  <c r="AN20" i="13"/>
  <c r="AM20" i="13"/>
  <c r="AQ19" i="13" l="1"/>
  <c r="AR19" i="13"/>
  <c r="AO20" i="13"/>
  <c r="AP20" i="13" s="1"/>
  <c r="AQ20" i="13" s="1"/>
  <c r="AK22" i="13"/>
  <c r="AL22" i="13" s="1"/>
  <c r="AN21" i="13"/>
  <c r="AM21" i="13"/>
  <c r="AR20" i="13" l="1"/>
  <c r="AO21" i="13"/>
  <c r="AP21" i="13" s="1"/>
  <c r="AQ21" i="13" s="1"/>
  <c r="AN22" i="13"/>
  <c r="AK23" i="13"/>
  <c r="AL23" i="13" s="1"/>
  <c r="AM22" i="13"/>
  <c r="AO22" i="13" l="1"/>
  <c r="AP22" i="13" s="1"/>
  <c r="AQ22" i="13" s="1"/>
  <c r="AR21" i="13"/>
  <c r="AK24" i="13"/>
  <c r="AL24" i="13" s="1"/>
  <c r="AN23" i="13"/>
  <c r="AM23" i="13"/>
  <c r="AO23" i="13" l="1"/>
  <c r="AP23" i="13" s="1"/>
  <c r="AQ23" i="13" s="1"/>
  <c r="AR22" i="13"/>
  <c r="AK25" i="13"/>
  <c r="AL25" i="13" s="1"/>
  <c r="AN24" i="13"/>
  <c r="AM24" i="13"/>
  <c r="AO24" i="13" l="1"/>
  <c r="AP24" i="13" s="1"/>
  <c r="AQ24" i="13" s="1"/>
  <c r="AR23" i="13"/>
  <c r="AK26" i="13"/>
  <c r="AL26" i="13" s="1"/>
  <c r="AM25" i="13"/>
  <c r="AN25" i="13" s="1"/>
  <c r="AO25" i="13" l="1"/>
  <c r="AP25" i="13" s="1"/>
  <c r="AQ25" i="13" s="1"/>
  <c r="AR24" i="13"/>
  <c r="AK27" i="13"/>
  <c r="AL27" i="13" s="1"/>
  <c r="AN26" i="13"/>
  <c r="AM26" i="13"/>
  <c r="AR25" i="13" l="1"/>
  <c r="AO26" i="13"/>
  <c r="AP26" i="13" s="1"/>
  <c r="AQ26" i="13" s="1"/>
  <c r="AK28" i="13"/>
  <c r="AL28" i="13" s="1"/>
  <c r="AN27" i="13"/>
  <c r="AM27" i="13"/>
  <c r="AO27" i="13" l="1"/>
  <c r="AP27" i="13" s="1"/>
  <c r="AR26" i="13"/>
  <c r="AK29" i="13"/>
  <c r="AL29" i="13" s="1"/>
  <c r="AN28" i="13"/>
  <c r="AM28" i="13"/>
  <c r="AR27" i="13" l="1"/>
  <c r="AQ27" i="13"/>
  <c r="AO28" i="13"/>
  <c r="AP28" i="13" s="1"/>
  <c r="AK30" i="13"/>
  <c r="AL30" i="13" s="1"/>
  <c r="AM29" i="13"/>
  <c r="AN29" i="13" s="1"/>
  <c r="AO29" i="13" l="1"/>
  <c r="AP29" i="13" s="1"/>
  <c r="AR28" i="13"/>
  <c r="AQ28" i="13"/>
  <c r="AK31" i="13"/>
  <c r="AL31" i="13" s="1"/>
  <c r="AN30" i="13"/>
  <c r="AM30" i="13"/>
  <c r="AR29" i="13" l="1"/>
  <c r="AQ29" i="13"/>
  <c r="AO30" i="13"/>
  <c r="AP30" i="13" s="1"/>
  <c r="AN31" i="13"/>
  <c r="AK32" i="13"/>
  <c r="AL32" i="13" s="1"/>
  <c r="AM31" i="13"/>
  <c r="AR30" i="13" l="1"/>
  <c r="AO31" i="13"/>
  <c r="AP31" i="13" s="1"/>
  <c r="AQ31" i="13" s="1"/>
  <c r="AQ30" i="13"/>
  <c r="AK33" i="13"/>
  <c r="AL33" i="13" s="1"/>
  <c r="AN32" i="13"/>
  <c r="AM32" i="13"/>
  <c r="AO32" i="13" l="1"/>
  <c r="AP32" i="13" s="1"/>
  <c r="AR31" i="13"/>
  <c r="AN33" i="13"/>
  <c r="AK34" i="13"/>
  <c r="AL34" i="13" s="1"/>
  <c r="AM33" i="13"/>
  <c r="AR32" i="13" l="1"/>
  <c r="AO33" i="13"/>
  <c r="AP33" i="13" s="1"/>
  <c r="AQ33" i="13" s="1"/>
  <c r="AR33" i="13" s="1"/>
  <c r="AQ32" i="13"/>
  <c r="AK35" i="13"/>
  <c r="AL35" i="13" s="1"/>
  <c r="AM34" i="13"/>
  <c r="AN34" i="13" s="1"/>
  <c r="AO34" i="13" l="1"/>
  <c r="AP34" i="13" s="1"/>
  <c r="AK36" i="13"/>
  <c r="AL36" i="13" s="1"/>
  <c r="AM35" i="13"/>
  <c r="AN35" i="13" s="1"/>
  <c r="AO35" i="13" l="1"/>
  <c r="AP35" i="13" s="1"/>
  <c r="AQ35" i="13" s="1"/>
  <c r="AR35" i="13" s="1"/>
  <c r="AQ34" i="13"/>
  <c r="AR34" i="13" s="1"/>
  <c r="AM38" i="13" a="1"/>
  <c r="AM38" i="13" s="1"/>
  <c r="AK41" i="13"/>
  <c r="AM36" i="13"/>
  <c r="AN36" i="13" s="1"/>
  <c r="AO36" i="13" l="1"/>
  <c r="AP36" i="13" s="1"/>
  <c r="AQ38" i="13" a="1"/>
  <c r="AQ38" i="13" s="1"/>
  <c r="AK39" i="13" s="1"/>
  <c r="AM41" i="13" a="1"/>
  <c r="AM41" i="13" s="1"/>
  <c r="AQ36" i="13" l="1"/>
  <c r="AR36" i="13" s="1"/>
  <c r="AO41" i="13"/>
  <c r="AQ41" i="13" l="1" a="1"/>
  <c r="AQ41" i="13" s="1"/>
  <c r="AK42" i="13" s="1"/>
  <c r="D28" i="1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<sst xmlns="http://schemas.openxmlformats.org/spreadsheetml/2006/main" count="9512" uniqueCount="3505">
  <si>
    <t>Snapshot</t>
  </si>
  <si>
    <t>Choose month below</t>
  </si>
  <si>
    <t>See your spending trends month over month with easy to read graphs. To switch months, click on the blue date box to the right.</t>
  </si>
  <si>
    <t>Monthly Summary</t>
  </si>
  <si>
    <t>Category</t>
  </si>
  <si>
    <t>Count</t>
  </si>
  <si>
    <t>Rank</t>
  </si>
  <si>
    <t>Order</t>
  </si>
  <si>
    <t>$</t>
  </si>
  <si>
    <t>Display Axis</t>
  </si>
  <si>
    <t>Current Mon.</t>
  </si>
  <si>
    <t>Max Date</t>
  </si>
  <si>
    <t>Last Mon.</t>
  </si>
  <si>
    <t>Merchants</t>
  </si>
  <si>
    <t>Trans Count</t>
  </si>
  <si>
    <t>Trans Rank</t>
  </si>
  <si>
    <t>$ Rank</t>
  </si>
  <si>
    <t>Input</t>
  </si>
  <si>
    <t>Month Filter</t>
  </si>
  <si>
    <t>Current vs. previous month spending</t>
  </si>
  <si>
    <t>This month's top spending categories</t>
  </si>
  <si>
    <t>Difference</t>
  </si>
  <si>
    <t>Total</t>
  </si>
  <si>
    <t>Total spending</t>
  </si>
  <si>
    <t>Cumulative spending throughout month</t>
  </si>
  <si>
    <t>Frequented merchants</t>
  </si>
  <si>
    <t>Merchants where the most was spent</t>
  </si>
  <si>
    <t>Merchant</t>
  </si>
  <si>
    <t>Total cost</t>
  </si>
  <si>
    <t>Transactions</t>
  </si>
  <si>
    <r>
      <t xml:space="preserve">Transactions from your added accounts are automatically imported here. Click </t>
    </r>
    <r>
      <rPr>
        <b/>
        <sz val="12"/>
        <color theme="1" tint="0.249977111117893"/>
        <rFont val="Calibri"/>
        <family val="2"/>
        <scheme val="minor"/>
      </rPr>
      <t>Sync</t>
    </r>
    <r>
      <rPr>
        <sz val="12"/>
        <color theme="1" tint="0.249977111117893"/>
        <rFont val="Calibri"/>
        <family val="2"/>
        <scheme val="minor"/>
      </rPr>
      <t xml:space="preserve"> in the task pane to import more transactions. Edit the </t>
    </r>
    <r>
      <rPr>
        <b/>
        <sz val="12"/>
        <color theme="1" tint="0.249977111117893"/>
        <rFont val="Calibri"/>
        <family val="2"/>
        <scheme val="minor"/>
      </rPr>
      <t>Merchant</t>
    </r>
    <r>
      <rPr>
        <sz val="12"/>
        <color theme="1" tint="0.249977111117893"/>
        <rFont val="Calibri"/>
        <family val="2"/>
        <scheme val="minor"/>
      </rPr>
      <t xml:space="preserve"> and </t>
    </r>
    <r>
      <rPr>
        <b/>
        <sz val="12"/>
        <color theme="1" tint="0.249977111117893"/>
        <rFont val="Calibri"/>
        <family val="2"/>
        <scheme val="minor"/>
      </rPr>
      <t>Category</t>
    </r>
    <r>
      <rPr>
        <sz val="12"/>
        <color theme="1" tint="0.249977111117893"/>
        <rFont val="Calibri"/>
        <family val="2"/>
        <scheme val="minor"/>
      </rPr>
      <t xml:space="preserve"> columns to better reflect where and how you spend your money.</t>
    </r>
  </si>
  <si>
    <t>Date</t>
  </si>
  <si>
    <t>Subcategory</t>
  </si>
  <si>
    <t>Amount $</t>
  </si>
  <si>
    <t>Account</t>
  </si>
  <si>
    <t>Account Number</t>
  </si>
  <si>
    <t>Institution</t>
  </si>
  <si>
    <t>Transaction_ID</t>
  </si>
  <si>
    <t>Account_ID</t>
  </si>
  <si>
    <t>Institution_ID</t>
  </si>
  <si>
    <t>Category_ID</t>
  </si>
  <si>
    <t>Subcategory_ID</t>
  </si>
  <si>
    <t>Category Type</t>
  </si>
  <si>
    <t>Date_Day</t>
  </si>
  <si>
    <t>Date_Month</t>
  </si>
  <si>
    <t>Date_Year</t>
  </si>
  <si>
    <t>Beginning of Week</t>
  </si>
  <si>
    <t>Month</t>
  </si>
  <si>
    <t>Categories</t>
  </si>
  <si>
    <t>Add custom categories and subcategories below, then assign them to your transactions in the transactions sheet. You can only edit or delete the categories and subcategories you've added.</t>
  </si>
  <si>
    <t>Subcategories</t>
  </si>
  <si>
    <t>Add custom categories in the empty rows below the default categories.
Make sure to select expenses, income, or transfers under category type.</t>
  </si>
  <si>
    <t>To add custom subcategories in the table below, select a category from the
dropdown menu and add the related subcategory in the next column.</t>
  </si>
  <si>
    <t>ID</t>
  </si>
  <si>
    <t>Category name</t>
  </si>
  <si>
    <t>Category type</t>
  </si>
  <si>
    <t>Default</t>
  </si>
  <si>
    <t>Subcategory name</t>
  </si>
  <si>
    <t>Category ID</t>
  </si>
  <si>
    <t>Institution name</t>
  </si>
  <si>
    <t>Institution status</t>
  </si>
  <si>
    <t>Institution logo</t>
  </si>
  <si>
    <t>Needs reauth</t>
  </si>
  <si>
    <t>Institution nickname</t>
  </si>
  <si>
    <t>Institution ID</t>
  </si>
  <si>
    <t>Account#</t>
  </si>
  <si>
    <t>Account name</t>
  </si>
  <si>
    <t>Account nickname</t>
  </si>
  <si>
    <t>Account balance</t>
  </si>
  <si>
    <t>Account type</t>
  </si>
  <si>
    <t>Account enabled</t>
  </si>
  <si>
    <t>Is manual</t>
  </si>
  <si>
    <t>c0719b622f4546f1b497c50df9768cb0</t>
  </si>
  <si>
    <t>Expense</t>
  </si>
  <si>
    <t>89f91b72f72a4dd68a16b583d4720595</t>
  </si>
  <si>
    <t>Auto/Transport</t>
  </si>
  <si>
    <t>4144f48502914015b998277a326fcedc</t>
  </si>
  <si>
    <t>Bills/Utilities</t>
  </si>
  <si>
    <t>176bb18879794c26920d3f8de43e9847</t>
  </si>
  <si>
    <t>ca8ac7c19b84437194c3fe5508eb8bda</t>
  </si>
  <si>
    <t>Entertainment</t>
  </si>
  <si>
    <t>de9b1d2511bc45a9bb2d484aa9e33b31</t>
  </si>
  <si>
    <t>Fees/Charges</t>
  </si>
  <si>
    <t>75e762f3a92a4fdc84f7e263d1d6f29a</t>
  </si>
  <si>
    <t>9fa283df10474311b55af8d4cf39d146</t>
  </si>
  <si>
    <t>Groceries</t>
  </si>
  <si>
    <t>1c7ed344fd3c47f1b0c4926eb05c305c</t>
  </si>
  <si>
    <t>Health/Fitness</t>
  </si>
  <si>
    <t>cc336735a5324e28bf4f3414f7548cf1</t>
  </si>
  <si>
    <t>Home</t>
  </si>
  <si>
    <t>fabfe582932d48b78ac2846c1ec3d43f</t>
  </si>
  <si>
    <t>Income</t>
  </si>
  <si>
    <t>63ce88a532384b29bb84b6dda00d978b</t>
  </si>
  <si>
    <t>7376689a73f04ecd8b60a33ff72eca9f</t>
  </si>
  <si>
    <t>013119218f2e4bdd86aa9097992873f8</t>
  </si>
  <si>
    <t>Misc</t>
  </si>
  <si>
    <t>0c9f3488736a4d97bd78b9c29fbb29fb</t>
  </si>
  <si>
    <t>Mortgage/Rent</t>
  </si>
  <si>
    <t>0613345f0a8b4edfb294d0fdc6fe7382</t>
  </si>
  <si>
    <t>Payment</t>
  </si>
  <si>
    <t>31cc220e25c84daf9b641cfb0e376681</t>
  </si>
  <si>
    <t>Professional Services</t>
  </si>
  <si>
    <t>23fe5da83519415dae0687f037d51b09</t>
  </si>
  <si>
    <t>Refund</t>
  </si>
  <si>
    <t>Transfer</t>
  </si>
  <si>
    <t>6385c1768b814d3d89087c436c9cab15</t>
  </si>
  <si>
    <t>Restaurants/Dining</t>
  </si>
  <si>
    <t>fca5dd8329b743f7b77704e23a1e63ad</t>
  </si>
  <si>
    <t>Shopping</t>
  </si>
  <si>
    <t>3dafc6bd8d7c45ae9840ff09e01567d1</t>
  </si>
  <si>
    <t>1c99e2ba30f14dbfb79dfa7d009e0924</t>
  </si>
  <si>
    <t>Travel</t>
  </si>
  <si>
    <t>e428eb09b5454450b5ffff66b9b935be</t>
  </si>
  <si>
    <t>Uncategorized</t>
  </si>
  <si>
    <t>01a08ee0780d41da979351ef7694e331</t>
  </si>
  <si>
    <t>Gas</t>
  </si>
  <si>
    <t>Transportation</t>
  </si>
  <si>
    <t>Food</t>
  </si>
  <si>
    <t>Utilities</t>
  </si>
  <si>
    <t>Insurance</t>
  </si>
  <si>
    <t>Medical &amp; Healthcare</t>
  </si>
  <si>
    <t>Savings, Investing, &amp;Debt</t>
  </si>
  <si>
    <t>Personal Spending</t>
  </si>
  <si>
    <t>Recreational &amp; Entertainment</t>
  </si>
  <si>
    <t>Rent</t>
  </si>
  <si>
    <t>Taxes</t>
  </si>
  <si>
    <t>Home Maintenance</t>
  </si>
  <si>
    <t>Personal Care</t>
  </si>
  <si>
    <t>Office Supplies</t>
  </si>
  <si>
    <t>Home Supplies</t>
  </si>
  <si>
    <t>Study Material (Pre Nationwide)</t>
  </si>
  <si>
    <t>Registration</t>
  </si>
  <si>
    <t>DMV Fees</t>
  </si>
  <si>
    <t>Maintenance</t>
  </si>
  <si>
    <t>Parking</t>
  </si>
  <si>
    <t>Tolls</t>
  </si>
  <si>
    <t>Public Transit</t>
  </si>
  <si>
    <t>Rideshare</t>
  </si>
  <si>
    <t>Work Lunches</t>
  </si>
  <si>
    <t>Food Delivery</t>
  </si>
  <si>
    <t>Water</t>
  </si>
  <si>
    <t>Electricity</t>
  </si>
  <si>
    <t>Internet</t>
  </si>
  <si>
    <t>Phone</t>
  </si>
  <si>
    <t>Storage</t>
  </si>
  <si>
    <t>PO Boxes</t>
  </si>
  <si>
    <t>Government Services</t>
  </si>
  <si>
    <t>Auto Insurance</t>
  </si>
  <si>
    <t>Out-of-Pocket Costs</t>
  </si>
  <si>
    <t>Specialty Care</t>
  </si>
  <si>
    <t>Dental Care</t>
  </si>
  <si>
    <t>Urgent Care</t>
  </si>
  <si>
    <t>Prescriptions</t>
  </si>
  <si>
    <t>Medical Devices &amp; Supplies</t>
  </si>
  <si>
    <t>Eye Care</t>
  </si>
  <si>
    <t>Emergency Fund</t>
  </si>
  <si>
    <t>Retirement Account</t>
  </si>
  <si>
    <t>401 K</t>
  </si>
  <si>
    <t>Securities</t>
  </si>
  <si>
    <t>Savings Account</t>
  </si>
  <si>
    <t>Student Loan</t>
  </si>
  <si>
    <t>Credit</t>
  </si>
  <si>
    <t>Personal Debt</t>
  </si>
  <si>
    <t>Gym</t>
  </si>
  <si>
    <t>Clothes</t>
  </si>
  <si>
    <t>Home Décor</t>
  </si>
  <si>
    <t>Gifts/Donations</t>
  </si>
  <si>
    <t>Subscription</t>
  </si>
  <si>
    <t>Health (Experimental)</t>
  </si>
  <si>
    <t>Pay Walls</t>
  </si>
  <si>
    <t>Walmart/Target Run</t>
  </si>
  <si>
    <t>Self Care</t>
  </si>
  <si>
    <t>Conveinence Store</t>
  </si>
  <si>
    <t>Merchandise</t>
  </si>
  <si>
    <t>Concerts</t>
  </si>
  <si>
    <t>Sporting Events</t>
  </si>
  <si>
    <t>Family Activities</t>
  </si>
  <si>
    <t>Streaming Services</t>
  </si>
  <si>
    <t>Resteraunts</t>
  </si>
  <si>
    <t>Video Games</t>
  </si>
  <si>
    <t>Hobbies</t>
  </si>
  <si>
    <t>Family</t>
  </si>
  <si>
    <t>dfb83736abfed696d6bd6ac8c733eeda</t>
  </si>
  <si>
    <t>4568e4f719c15930583619a2a2d39ef6</t>
  </si>
  <si>
    <t>f59903268bc5a7b5382a7eb44e1c5e95</t>
  </si>
  <si>
    <t>5736df66acdce9561ddb879c0613dd98</t>
  </si>
  <si>
    <t>d5676d097011f3e6a0424a1f41d436f3</t>
  </si>
  <si>
    <t>b61a0a2ffdd2081ae40c0021e038bbb2</t>
  </si>
  <si>
    <t>3f7049d13ea3770cd20886d16392b43a</t>
  </si>
  <si>
    <t>08ab0f988dbb47735e6f7e445188412f</t>
  </si>
  <si>
    <t>bec5308ee6e4fc96e26541c14b3a10c7</t>
  </si>
  <si>
    <t>33a7d72567b419d3369caae834516eb1</t>
  </si>
  <si>
    <t>e652020e73ca21c507fb0132026987b5</t>
  </si>
  <si>
    <t>de0e2c203fbd884d097db4a54fe5acd7</t>
  </si>
  <si>
    <t>59a9d23c12859854ac5b0bbd458d4d7b</t>
  </si>
  <si>
    <t>18991f6c7d819c410006e5f53be5a50e</t>
  </si>
  <si>
    <t>3ef666cfab22f0c7d74e4f5fc008e39a</t>
  </si>
  <si>
    <t>d844791819db601519872778991c4f9c</t>
  </si>
  <si>
    <t>1ea57b4b8c7a0dfd9ce7296a4b83abcc</t>
  </si>
  <si>
    <t>1d4479d13eb593a056ef05e94f8bc715</t>
  </si>
  <si>
    <t>1da80f4129a53e0b2022c6e61d59ce22</t>
  </si>
  <si>
    <t>fb81ce070826aab24513c89fbfe939e9</t>
  </si>
  <si>
    <t>b14fc6d0c74c34bbecc9f474288efcc3</t>
  </si>
  <si>
    <t>7f9ad6078d044687b4e346435c03c397</t>
  </si>
  <si>
    <t>f9fd776a16da81a948d166fcd5952d14</t>
  </si>
  <si>
    <t>23ac36b27460488659da9bf28a9e106b</t>
  </si>
  <si>
    <t>8d9a56bc60fdeadccfbfc86cd4c589b1</t>
  </si>
  <si>
    <t>fa8b5d98bc93b00cd8fc9897f00a1b52</t>
  </si>
  <si>
    <t>187eb8cc64b29a1bef44d9a42e76ae2c</t>
  </si>
  <si>
    <t>2dcd6ee699ce26fcddc19251d9772237</t>
  </si>
  <si>
    <t>267c5d04a264c077f4568023653f4edc</t>
  </si>
  <si>
    <t>ad2386f3eb42915fec931ff740e6ace0</t>
  </si>
  <si>
    <t>81524f662598baa37c2b9767802089ca</t>
  </si>
  <si>
    <t>4ddb742dba41c598e0fe786ef3789c95</t>
  </si>
  <si>
    <t>7b8f75b000c9e1324838dc6b35cc8c04</t>
  </si>
  <si>
    <t>a1a5d77312a22fe9ef6720caa13ab334</t>
  </si>
  <si>
    <t>a2a7c3462e23b35efd5644a1c4a58efb</t>
  </si>
  <si>
    <t>c548699496a405bdb836e3e96430330d</t>
  </si>
  <si>
    <t>3b5314e3ee6e51858fd2aaf4dd0a9394</t>
  </si>
  <si>
    <t>a3881a76a0c0a129d46c3d4c1e39da5b</t>
  </si>
  <si>
    <t>3985374bf32573ace6a5ce15474e3d93</t>
  </si>
  <si>
    <t>bf7e9b348cc43633c723f79978f1183f</t>
  </si>
  <si>
    <t>6e4a436858e666d0bee1f2fc35902bbe</t>
  </si>
  <si>
    <t>44b98b4dab98b8fcde042a6a1517ede2</t>
  </si>
  <si>
    <t>1a017543f522207ce0a1eec495bd04c5</t>
  </si>
  <si>
    <t>83f5d2f41ee3861d76f707f2e6a3ee39</t>
  </si>
  <si>
    <t>85057c46a30000f7ef6a33f1b2be8d57</t>
  </si>
  <si>
    <t>9bf7f57db95eeaa90ad44e692667a63c</t>
  </si>
  <si>
    <t>bd4bd8d44de8cab1784a30aaf439459a</t>
  </si>
  <si>
    <t>1053184ec4086dd4e7bb05e7467b550e</t>
  </si>
  <si>
    <t>e0bb920d647a52cd84280e8c3044ff66</t>
  </si>
  <si>
    <t>841ef3c7d0b75b5801a2510563cd5273</t>
  </si>
  <si>
    <t>60123d83fb9ca0a39504bd2e8a1427e3</t>
  </si>
  <si>
    <t>935d542cc30feade932e28d4ac07bafc</t>
  </si>
  <si>
    <t>fc644bd9ea3a9fa6cdcd5fd08cd93f11</t>
  </si>
  <si>
    <t>97a3f92abcb5a219e0a9f1241001bb0e</t>
  </si>
  <si>
    <t>01bcde8b95390389d3f0c31d834d22e7</t>
  </si>
  <si>
    <t>b33fb22c7523b62d3e8f966bc9339d5e</t>
  </si>
  <si>
    <t>8008f8e91e6dc2953045384240cc4c30</t>
  </si>
  <si>
    <t>e6c07c144d52704210419358ba4a8d2e</t>
  </si>
  <si>
    <t>74165f2cc61bd3159dd2ac068097094c</t>
  </si>
  <si>
    <t>f870f35280fadaf3c3539ad54e3062cd</t>
  </si>
  <si>
    <t>cdf52de3d0576d4cbbd7e4dd119de151</t>
  </si>
  <si>
    <t>89107c5e31048dbb400e4e85b2ff1b45</t>
  </si>
  <si>
    <t>d400271556862ef9754f37a16f5af3f3</t>
  </si>
  <si>
    <t>9b9db5e90674f8f116c7016039cd0bab</t>
  </si>
  <si>
    <t>1e2e42f7a6566720c854adfe0132bc7d</t>
  </si>
  <si>
    <t>ce8b8ce3b27fa7a3d6a59cca66d27bc5</t>
  </si>
  <si>
    <t>cf2a6b2b5a640d6759aef117a024fb2e</t>
  </si>
  <si>
    <t>46e718bdde0b9e2147860ec6c9628d87</t>
  </si>
  <si>
    <t>c52657cf84852dde2fea27809d7ee8cb</t>
  </si>
  <si>
    <t>fec746a44521f2118fef19237dbf4f91</t>
  </si>
  <si>
    <t>2a19642d64298ced9ed7fa040f6e409f</t>
  </si>
  <si>
    <t>40a1d17af9efce98e8399eb030ac303f</t>
  </si>
  <si>
    <t>c7ac47f8a4b335350ca95fba936f62e0</t>
  </si>
  <si>
    <t>70a1408536b042e7b7e041204b76dc1f</t>
  </si>
  <si>
    <t>c4ce84e74f1136d14ee7da2e323ecf63</t>
  </si>
  <si>
    <t>a2a61a805b38657107d62b8ad54a20b2</t>
  </si>
  <si>
    <t>2fae37b3458114e87f0834d655ca35b6</t>
  </si>
  <si>
    <t>6acc6c85230f9420a7ebfd53c773e3c7</t>
  </si>
  <si>
    <t>300ebb317aee1942684db3687883f9ae</t>
  </si>
  <si>
    <t>a589970003940561c5a9c90f63463f94</t>
  </si>
  <si>
    <t>e140c81bb6bbc43021b9e7b1e502094b</t>
  </si>
  <si>
    <t>e82d36de8f598cf8a082a273b027ae97</t>
  </si>
  <si>
    <t>f3f1d0cf6ca6043cf4bc134986bf397d</t>
  </si>
  <si>
    <t>b3e8243adb3d05b7d21780299473a3f3</t>
  </si>
  <si>
    <t>84287652b4761030df934ead388c3ae9</t>
  </si>
  <si>
    <t>4e61b12c00395f2075b4244fd4bad24b</t>
  </si>
  <si>
    <t>0d3a0c97b460425857ef40c54bde6bfc</t>
  </si>
  <si>
    <t>bba5eb5dbf96c47662c4412145881404</t>
  </si>
  <si>
    <t>315bd09e027fbf77969b6190bedd6bd4</t>
  </si>
  <si>
    <t>2a81bdc51976c5bb916b2335c7627d74</t>
  </si>
  <si>
    <t>82662fe95a4d76816d1052b7bc4cf8be</t>
  </si>
  <si>
    <t>7f3423bcf774e948887e32cf85cf0e44</t>
  </si>
  <si>
    <t>2171057766f39dcd56621550bf985482</t>
  </si>
  <si>
    <t>ea56678f6f3525b03707a879f2326cd4</t>
  </si>
  <si>
    <t>3a56ac77db59ee13d32c127a1d018a72</t>
  </si>
  <si>
    <t>53b07d930802b009a461b2c23069f28d</t>
  </si>
  <si>
    <t>07cd7f0073c9637caccf384c39a3ae2f</t>
  </si>
  <si>
    <t>350672cc6a0c430e0c68007a6e9fcf92</t>
  </si>
  <si>
    <t>ffc59024ccaae5266a82b8a30fd5b102</t>
  </si>
  <si>
    <t>8b2aa8345d23e6106711f8735aef4735</t>
  </si>
  <si>
    <t>90c9506ced84a399ab691e84dcd19e65</t>
  </si>
  <si>
    <t>935620ca2069901f652c558ff3a959e6</t>
  </si>
  <si>
    <t>00bd4a903092e20b03063f29626ede82</t>
  </si>
  <si>
    <t>1287cd111b5aa57c4397d3ea4f68ad49</t>
  </si>
  <si>
    <t>95c9e35f50e28bc70f58d07373e33a64</t>
  </si>
  <si>
    <t>6a6fbc5c67e7e60901bedfcfcd54f2cd</t>
  </si>
  <si>
    <t>c53aba76e64e8ead6c92d05a803cae95</t>
  </si>
  <si>
    <t>cea8ae0005a1febf06046d962343189e</t>
  </si>
  <si>
    <t>44a820df9eb896c7cf32de090b6afd5d</t>
  </si>
  <si>
    <t>2e345f7e50ca87d48f013c2a3a42159f</t>
  </si>
  <si>
    <t>510712761cb4dd79a8d61ce4e609fd27</t>
  </si>
  <si>
    <t>a7fabb47b6613e500ba138ea9cffe6a7</t>
  </si>
  <si>
    <t>648ace7db377b0a95e9d1e9c748686e9</t>
  </si>
  <si>
    <t>117d0e61216b91acc36811258e431578</t>
  </si>
  <si>
    <t>5de490f265f7ab8d5acceba37986b865</t>
  </si>
  <si>
    <t>678abeaf5fa4c2cdfea9200b199d2cce</t>
  </si>
  <si>
    <t>a30aa4564d499a1ff7b8181dccf1353f</t>
  </si>
  <si>
    <t>dfc9fe1c6e67077d7325bdb159de4084</t>
  </si>
  <si>
    <t>7aaa1620138593bf8a9618cef595c14c</t>
  </si>
  <si>
    <t>55ba30867adbba185f089130cb6c8f14</t>
  </si>
  <si>
    <t>b676c4db9e539ee5cc141795752846db</t>
  </si>
  <si>
    <t>805a3026a360bcd040dc18665190b583</t>
  </si>
  <si>
    <t>5d5c1deacb1c3cfc7ee5e7e74e1bba4e</t>
  </si>
  <si>
    <t>452c0244cf0faeaee7c13e12b8d0656d</t>
  </si>
  <si>
    <t>3cc1b93a3a3a65fb19c8c7a7a48ebd72</t>
  </si>
  <si>
    <t>e944ff60a78cecc0c340291dff66ecf7</t>
  </si>
  <si>
    <t>2728f2eb220f95320616da1ebbfb4a27</t>
  </si>
  <si>
    <t>316e075c84821e29d0397e76a65ac71e</t>
  </si>
  <si>
    <t>4c469047c114a4e24cce412800d10050</t>
  </si>
  <si>
    <t>1257bd1d5658ba40fa1eaa6446a56bed</t>
  </si>
  <si>
    <t>bfd3a4bb08921b69019ad81bfb421e3c</t>
  </si>
  <si>
    <t>5c7616bd9a853b6e1481bfef2239472f</t>
  </si>
  <si>
    <t>0432f64fce832badb44feb410b58c8ce</t>
  </si>
  <si>
    <t>f7423f96d818920147dad8f6276fcc0c</t>
  </si>
  <si>
    <t>26cd5c4c87195538af74c3759fc491be</t>
  </si>
  <si>
    <t>40f550db09ef35badbd46d33876e128c</t>
  </si>
  <si>
    <t>d4b18552784ef4423f59186aae9288de</t>
  </si>
  <si>
    <t>26a804c49e2fce64ca7ff349b5794683</t>
  </si>
  <si>
    <t>2a998baa5eaa6a339d4ec3509b6ca0eb</t>
  </si>
  <si>
    <t>0831244357eeb7244e156b8ae337d4be</t>
  </si>
  <si>
    <t>a634bf98b12e7a31387b1e9d730c9e09</t>
  </si>
  <si>
    <t>3a6a1149c0416283935ca69db3b57a05</t>
  </si>
  <si>
    <t>68d66897258191d6aa4d6edfa7bb2409</t>
  </si>
  <si>
    <t>68aba88ef9b7594f88d9f13342a952c1</t>
  </si>
  <si>
    <t>30f4ddb68510450d267552ace858381c</t>
  </si>
  <si>
    <t>ef20cb963950c4b9e676fb717b604623</t>
  </si>
  <si>
    <t>404ba135fa73c084408af1d6441d4715</t>
  </si>
  <si>
    <t>5c389ed5395f95631b37126083a31ed7</t>
  </si>
  <si>
    <t>85f974b85762c1a978de9165a6d1407d</t>
  </si>
  <si>
    <t>4d8057142f449764dc39f1263c671d25</t>
  </si>
  <si>
    <t>4ea3ff066082e548567658f95efab2e2</t>
  </si>
  <si>
    <t>8b8d242537c12e9ce3f8c864e19df1ec</t>
  </si>
  <si>
    <t>75a086a1d1d3f23b4c6526ef1551c26b</t>
  </si>
  <si>
    <t>ecacabe7d20c6fc1f412ee0ff2677e77</t>
  </si>
  <si>
    <t>081cc3059cd7cb52d7eb1f7778e92221</t>
  </si>
  <si>
    <t>1d9e9bdc45b34e5f8bbfca191d666780</t>
  </si>
  <si>
    <t>3d7772696fe0dce91cddd73e58b68719</t>
  </si>
  <si>
    <t>aa3cab948c936e181820c4a050bd17fc</t>
  </si>
  <si>
    <t>c6a94bf854df2526880c522ddf56b66c</t>
  </si>
  <si>
    <t>1766689c92849d95d8c72deba752b3d6</t>
  </si>
  <si>
    <t>17c6541561192f2cf6a453b372a1ca53</t>
  </si>
  <si>
    <t>c72eafe28643e1cdeeec12a34950a12b</t>
  </si>
  <si>
    <t>7cd46114a9c785f149bb4c617777497e</t>
  </si>
  <si>
    <t>d15488939748f36e0855dd163329e19d</t>
  </si>
  <si>
    <t>615fc642ccb0fabcabd8aa849b03d14c</t>
  </si>
  <si>
    <t>04522b207735f25f436dd96ae275ab90</t>
  </si>
  <si>
    <t>dc14e3f64778761cec28e3649b7d219e</t>
  </si>
  <si>
    <t>46f10c765e369c24cc456ac0287e8e42</t>
  </si>
  <si>
    <t>2579041d1f29f5eff72ab9e9ab41ae83</t>
  </si>
  <si>
    <t>629d3d5a453a567c5b0487827fe453f7</t>
  </si>
  <si>
    <t>fc0c8e373f30d35d3b6bdcbfcf760a73</t>
  </si>
  <si>
    <t>dcfec56afa61eed90a3a4bd08f70c3ed</t>
  </si>
  <si>
    <t>88118827f540071582eb817141480c6c</t>
  </si>
  <si>
    <t>2eee943615d3b6fd4dee0f0bb299ac9e</t>
  </si>
  <si>
    <t>9c46394c7a61bde5676990e846594327</t>
  </si>
  <si>
    <t>b40c775287c38c10a33b11220c129d53</t>
  </si>
  <si>
    <t>959368239d907ef4b80f0db1d145cf6d</t>
  </si>
  <si>
    <t>c7ed506ccd7dfdd350c4a2ded748e865</t>
  </si>
  <si>
    <t>868feff95ffaa34fbcc67992120b5139</t>
  </si>
  <si>
    <t>bbea0ae11b83ec78ce1f1613c9ce56c6</t>
  </si>
  <si>
    <t>e41ca6b5019c18ec4e5d54b2f567c8cb</t>
  </si>
  <si>
    <t>eddab044a40a5747c87d7e2f780f0dcd</t>
  </si>
  <si>
    <t>0c84d5cbe4b153be56a0740dad809e37</t>
  </si>
  <si>
    <t>8310589f8150761abf61b9d515e0e00b</t>
  </si>
  <si>
    <t>090b0907825c794449eaab7460e20860</t>
  </si>
  <si>
    <t>28558a515abb3c1009a399a19f71974a</t>
  </si>
  <si>
    <t>fa3c83173bc6f68a65bab620df9cb9f5</t>
  </si>
  <si>
    <t>8097fdd201f8351328333f723f9a09c0</t>
  </si>
  <si>
    <t>acfb601130820f7174443c95e2299f0d</t>
  </si>
  <si>
    <t>2f236f89c6ab8ebfed22f8f786644890</t>
  </si>
  <si>
    <t>b7eb28e51fc0e15331385a29486270e2</t>
  </si>
  <si>
    <t>2556ed62392f9fd9f1828e4af48a4e44</t>
  </si>
  <si>
    <t>f31dd8e05001f2ce68c1fd310b6142b3</t>
  </si>
  <si>
    <t>28f2347e808164c0e240baf89fa7bc43</t>
  </si>
  <si>
    <t>e5dc442fd7c364a5ccf8de0187de3d58</t>
  </si>
  <si>
    <t>717ea17754a2c5458a19c1790ebcb4ec</t>
  </si>
  <si>
    <t>7a05b46695fefefbcecb350ccf24e01b</t>
  </si>
  <si>
    <t>6d13c38d21a48b063888e063a7066112</t>
  </si>
  <si>
    <t>312cb7a619e74048cada643da2810990</t>
  </si>
  <si>
    <t>39f15c64f25780896f0b494f700aaf90</t>
  </si>
  <si>
    <t>04d9805d38387537cf285be3d9210a63</t>
  </si>
  <si>
    <t>b344ea4d8fd3b6be7b06f33db173b451</t>
  </si>
  <si>
    <t>8a1643fb823151760d2879654b7e680e</t>
  </si>
  <si>
    <t>ae423409a02f14d407bee59a286e1401</t>
  </si>
  <si>
    <t>86da71daa0aa5957b884c88d6edc4d31</t>
  </si>
  <si>
    <t>f91242537d39f572a67242d7cc692a1b</t>
  </si>
  <si>
    <t>88df14b1859b55bb735c7c921a6d1b94</t>
  </si>
  <si>
    <t>69889f8e1a8789126b1810b876cc55ce</t>
  </si>
  <si>
    <t>73dd31bf5af4e1588a34a9dfd42ca9ed</t>
  </si>
  <si>
    <t>68dff3d6f42edaf87dd88c49517fdb2e</t>
  </si>
  <si>
    <t>f1e89ebcd50f77ff32225f1ace192abf</t>
  </si>
  <si>
    <t>b487e5723c51805e2986998758c66a8f</t>
  </si>
  <si>
    <t>3e06cf7e3ec9035b53952ec32f2bcd33</t>
  </si>
  <si>
    <t>b1f5767752eacdebf0b66a8e762cfd18</t>
  </si>
  <si>
    <t>aa18ba872097cc7543acc3724963ff04</t>
  </si>
  <si>
    <t>e93fd042a7cc36e45a08b8f465d7721b</t>
  </si>
  <si>
    <t>e627d1b31c075f675815137a96684c12</t>
  </si>
  <si>
    <t>831aff7bbbe182ccf6a65ad15cd4976f</t>
  </si>
  <si>
    <t>3f858654cd228b5d0a8191f30ed3e40b</t>
  </si>
  <si>
    <t>d2e0cf23a7cb2ac530458dd5673802d2</t>
  </si>
  <si>
    <t>4f3400ae3daad83535ee4d4639a5f12c</t>
  </si>
  <si>
    <t>6bb023f18c99cb7bd5a48a0523ea12ad</t>
  </si>
  <si>
    <t>a79269880b0e23ca9bca89dd2eb2b3c9</t>
  </si>
  <si>
    <t>08923118acbbe4c8adacb844d85f01b2</t>
  </si>
  <si>
    <t>deb2047f71a9c2ed096a34766d2a1781</t>
  </si>
  <si>
    <t>b4cc931c4161bfb174101ed9b64195b7</t>
  </si>
  <si>
    <t>6709b4d16cff816597587772fbbfb226</t>
  </si>
  <si>
    <t>3a820574964b3a83f4cde72555b6461c</t>
  </si>
  <si>
    <t>217e423e53ee97da4a3bbbe0b41049cf</t>
  </si>
  <si>
    <t>eb9d013c1e3b1b375b25a3c799beacce</t>
  </si>
  <si>
    <t>cf553944a4c50f667cb0fee73ddde70f</t>
  </si>
  <si>
    <t>c7f3f4103d66e5bd52b69cf4a5a51962</t>
  </si>
  <si>
    <t>0c723d6da98191c85c2b7c2297ec4530</t>
  </si>
  <si>
    <t>7502b382836dca80406200e83a16d459</t>
  </si>
  <si>
    <t>b2bdd5ae34cadcbdcc72bbef8bcb1c51</t>
  </si>
  <si>
    <t>d9cd75327a46d483fee8b0db2188827f</t>
  </si>
  <si>
    <t>faa3e5e72e09dd70cc96188f87d5f615</t>
  </si>
  <si>
    <t>0407a77ae2c004184aa9c79089affb56</t>
  </si>
  <si>
    <t>3630c551e5527f07d98e3d7bad40a781</t>
  </si>
  <si>
    <t>d3ea9e821661a31f5be553bceb31a5d2</t>
  </si>
  <si>
    <t>5bc8748780de4438ab33980eaf9b0e48</t>
  </si>
  <si>
    <t>ce09726ae52cc90ee5a9893362506811</t>
  </si>
  <si>
    <t>bcaf5a20f99fe332b8b47f14c92afb77</t>
  </si>
  <si>
    <t>9e70ea37cbed65cfed5dc45cfd555b63</t>
  </si>
  <si>
    <t>d40c8a4222133d6904d5ac6c73ef3aba</t>
  </si>
  <si>
    <t>222ba5156afc267a405a20cef28d3f2c</t>
  </si>
  <si>
    <t>ea4a878211d7f37f9bec6e224e4f49e5</t>
  </si>
  <si>
    <t>4776cd5c103c9847101a0dfca5fd81c7</t>
  </si>
  <si>
    <t>3e6d8e3ad901d766d7cd5c9c166106bc</t>
  </si>
  <si>
    <t>dc2cef13d1bdc4b67ee2585e45705bb8</t>
  </si>
  <si>
    <t>1e5c59e0480addcccb05fb5711583f66</t>
  </si>
  <si>
    <t>eb055def622d4c4049ecc84f714abf21</t>
  </si>
  <si>
    <t>839f3d84f34900d3e634555e77251d93</t>
  </si>
  <si>
    <t>0267aa9ecbff2d8d758740419e7a2a33</t>
  </si>
  <si>
    <t>04d2b7271e192fa731aa6c94da916f22</t>
  </si>
  <si>
    <t>02e45bcde6ac601dc8c0fbb1f5665356</t>
  </si>
  <si>
    <t>048dd0d55d783aaeb99ef3dc4afed7a2</t>
  </si>
  <si>
    <t>fd72ce5cfeedbe66d13df9602b6cff7d</t>
  </si>
  <si>
    <t>3cb5eadf8ea949dc856ad904b2643f4c</t>
  </si>
  <si>
    <t>100f74929d63d4f3c2ef512da103b697</t>
  </si>
  <si>
    <t>01d1989af3716f08e603ce8ce3482a54</t>
  </si>
  <si>
    <t>2e3863b690eca5456390506db380e5d3</t>
  </si>
  <si>
    <t>b277a2e8fd1042f19391233c309b683b</t>
  </si>
  <si>
    <t>e2ada6f3a865e952cf542f51a935c9d8</t>
  </si>
  <si>
    <t>127ba058362013662b757060d7c80279</t>
  </si>
  <si>
    <t>8b563daf51991dc48fcfb7c65523db0c</t>
  </si>
  <si>
    <t>29ad13e4fa15038048b87337a91fb96f</t>
  </si>
  <si>
    <t>9fd040d7c063625b540d46d873e8b61c</t>
  </si>
  <si>
    <t>c97704f11241a272a65d0a32da95f9f2</t>
  </si>
  <si>
    <t>33f8f52195b19dd80f0ffa15c5cb027d</t>
  </si>
  <si>
    <t>742e04714c75f30cc1aa1105a6b9eb71</t>
  </si>
  <si>
    <t>4899b53b1ac31373e639a70fc016fe08</t>
  </si>
  <si>
    <t>20fc47ed122b46eba4bd95ff465b22c2</t>
  </si>
  <si>
    <t>00a6cbac67122abd4462005140f6f4b3</t>
  </si>
  <si>
    <t>bdb4ceb39b8c0c000e0389cd24b4b64f</t>
  </si>
  <si>
    <t>fe60e6f7e4096b94eb6c8f643a7c9891</t>
  </si>
  <si>
    <t>e3b059c7d9c3409f67db83486d525f1f</t>
  </si>
  <si>
    <t>c71738a56c97a1ca71dc077ad3e9d092</t>
  </si>
  <si>
    <t>60eb5beb566a6d03f34782a9970756ba</t>
  </si>
  <si>
    <t>f7b10c432271996803e0af55bef35584</t>
  </si>
  <si>
    <t>2c76c563940942d5ea352ae12fe81793</t>
  </si>
  <si>
    <t>a81fb4c37ff5413805e1ad855c41a0ab</t>
  </si>
  <si>
    <t>29203f6b3d0b39d0da4dd72a306dbe8d</t>
  </si>
  <si>
    <t>09067f57629a673320f5e91c86c596c9</t>
  </si>
  <si>
    <t>ed6eaa459fabe5552207a2d700f8bf1c</t>
  </si>
  <si>
    <t>491604cada38f692f0812367c427712e</t>
  </si>
  <si>
    <t>184c9cbdd77dcd3cf895b482a60b53ae</t>
  </si>
  <si>
    <t>8aa9b4db7e16cd2041aa6bfdc219e567</t>
  </si>
  <si>
    <t>bade29a2da6ab874d122981857355aa8</t>
  </si>
  <si>
    <t>8b865ec857264fa2c62137ed18660377</t>
  </si>
  <si>
    <t>a4362f3986ca2e40c9d8a61776c89c76</t>
  </si>
  <si>
    <t>457f7fba8429ee535bda51f9831aa2fe</t>
  </si>
  <si>
    <t>34adc8b6f193384cf07b408d6a4dfac6</t>
  </si>
  <si>
    <t>5d8c5abafd2d4c46cca597520b7c01e4</t>
  </si>
  <si>
    <t>24acd1de455be882d8c0c13cecfa9331</t>
  </si>
  <si>
    <t>9fbba331d1ae096cbce7fb1035aebbc1</t>
  </si>
  <si>
    <t>b33a143786e5accb584d33cda08d2b69</t>
  </si>
  <si>
    <t>62ae30b53561aa5d303e08e4369dbfc3</t>
  </si>
  <si>
    <t>500e6ba7cba37a7a2a33da8c057b4cb8</t>
  </si>
  <si>
    <t>9cd371244b15c28471085d92021aa420</t>
  </si>
  <si>
    <t>1fcecc85b1b9f6d55d8f29e397c285d4</t>
  </si>
  <si>
    <t>1ca9e35cea63c322115cf7f65280d7e2</t>
  </si>
  <si>
    <t>c0d26b45215f5bcd1e094d81d81fe75a</t>
  </si>
  <si>
    <t>75b4e62a7937da64e6ffebb60cf36517</t>
  </si>
  <si>
    <t>48d67d3eb03a0a7e7838a7bf1479fa78</t>
  </si>
  <si>
    <t>a7c54fcae51f1ee7de4af6e474d9b653</t>
  </si>
  <si>
    <t>22cb8ad835046b8dffe1b1a206be7523</t>
  </si>
  <si>
    <t>cb3666b7b7ee32d845374924470eb4b6</t>
  </si>
  <si>
    <t>ce232af69f5e10ab93172d373eafdcc5</t>
  </si>
  <si>
    <t>c243d83526d85ad38078522f7862b27b</t>
  </si>
  <si>
    <t>e7b8a6a2ac77d562224d2b0543a26dc1</t>
  </si>
  <si>
    <t>8732c8aa7606df7871ab8842b98b4143</t>
  </si>
  <si>
    <t>b4db6707f0129348255ce8a3282d9805</t>
  </si>
  <si>
    <t>a0e6e42517bf7f7544cec17d1619b9e7</t>
  </si>
  <si>
    <t>65caebdf71791c286053676d90390014</t>
  </si>
  <si>
    <t>b1c31e9322833f861a5b0d9dc824ffa6</t>
  </si>
  <si>
    <t>62c0d87f3cb60a205c8b8a5923499286</t>
  </si>
  <si>
    <t>d1e632a53b1c061aca29185efe23aafc</t>
  </si>
  <si>
    <t>8906e77deff0829870c1dcd293bb1737</t>
  </si>
  <si>
    <t>92031d6701b704fe924ea962311a8040</t>
  </si>
  <si>
    <t>2dd74ff17de71ef7217eb5dda292b66b</t>
  </si>
  <si>
    <t>399bab4fdb2dd00a757be5a1af083e8b</t>
  </si>
  <si>
    <t>f9c40959cb85d240d59bc777af1cfd2d</t>
  </si>
  <si>
    <t>926608d55da67ff9f2bcfffcd27fa079</t>
  </si>
  <si>
    <t>81c46697526b7605c8ac7bf697e40a45</t>
  </si>
  <si>
    <t>4e2c626f3fca2f0b8deb926d30d6a604</t>
  </si>
  <si>
    <t>7c9c660733dc1fd901e0bd2715f8c524</t>
  </si>
  <si>
    <t>d40009e97ad6d0f69f8b9c09aaeccab2</t>
  </si>
  <si>
    <t>9c811121cb5b327f15b84370850f6d0b</t>
  </si>
  <si>
    <t>f39b47316d937e72794f4e9ffd38f2be</t>
  </si>
  <si>
    <t>684cd5cce20784d80af96b995005780c</t>
  </si>
  <si>
    <t>094147753084d77a05ff982285dff102</t>
  </si>
  <si>
    <t>2e3b081fc1a10bebab7494317785a13a</t>
  </si>
  <si>
    <t>8ce3a6d2adeee5ce53f8d83d8760cdd7</t>
  </si>
  <si>
    <t>80e1aa036aeed7758ff8adfcf92f4c78</t>
  </si>
  <si>
    <t>3f0f4810a3c916ec1bfe3fbcbf95c7ed</t>
  </si>
  <si>
    <t>09362fb961e73d375d188c8b320b7a25</t>
  </si>
  <si>
    <t>20077591278f40969a533db7fd189c40</t>
  </si>
  <si>
    <t>6f75fb534acf498e72dd29092840d221</t>
  </si>
  <si>
    <t>0523f0f279eb7fb6ef808dabf92d6977</t>
  </si>
  <si>
    <t>e9a087d2a204b538feea3707b3b8d794</t>
  </si>
  <si>
    <t>62cee6c601702a8cc72f810fbcc8e69a</t>
  </si>
  <si>
    <t>dc7f52f1e99d456145e4b53af395f33d</t>
  </si>
  <si>
    <t>8ad30a859e9b4fc2d52f6dcd3a6a710d</t>
  </si>
  <si>
    <t>87193fb2623a50c01d122dd7fb3f2dc4</t>
  </si>
  <si>
    <t>a77b9eae6099a04ba4870aeb64434fa3</t>
  </si>
  <si>
    <t>a619d227e6307c0b498a87ad63e51691</t>
  </si>
  <si>
    <t>1183211a4d1ab24627eb77318e11d17a</t>
  </si>
  <si>
    <t>61fbfa35643a5ca54fce128c4970c4f3</t>
  </si>
  <si>
    <t>d1ea7b9bd3943d440473e696df54023e</t>
  </si>
  <si>
    <t>8571176a1e6a97459f2a2fe86b4413c7</t>
  </si>
  <si>
    <t>42cc53e773efe1c978ec77d2e8de1230</t>
  </si>
  <si>
    <t>c583ab10a04a8f1f0042ca4ec421789a</t>
  </si>
  <si>
    <t>202777a20ea85178913f25aebc5fb449</t>
  </si>
  <si>
    <t>ba4dea4492298a66857e7283c1439691</t>
  </si>
  <si>
    <t>8255c9baff515cd7a7156508f2d57509</t>
  </si>
  <si>
    <t>ad78c94a32fc57936ad6f2f49055db76</t>
  </si>
  <si>
    <t>9421509d460a6ff138db2aca482cc3e9</t>
  </si>
  <si>
    <t>a6b9dbd55ecb0203e1259770ebcac7d6</t>
  </si>
  <si>
    <t>44fe86ae1c3ccce69ec29854205ca9a5</t>
  </si>
  <si>
    <t>e54144a9fd58c8c72bc5a6ffe1bbc0ae</t>
  </si>
  <si>
    <t>4d3040e051b41a045d1f2fa60f47304f</t>
  </si>
  <si>
    <t>a238e027d959a6849c882406400c66fb</t>
  </si>
  <si>
    <t>4dc01d808f80e1ee90fd88547cc2ff4e</t>
  </si>
  <si>
    <t>8fc221e6f88e69429adb451fef315a8d</t>
  </si>
  <si>
    <t>49a4676407d5e11acaca5a313a5be4ec</t>
  </si>
  <si>
    <t>df3edd3fe381c8eb71223384e9ac3afd</t>
  </si>
  <si>
    <t>ab41853824cd012992a909c56fb91715</t>
  </si>
  <si>
    <t>a808d6a103d0fe2f9657cd2a6394346a</t>
  </si>
  <si>
    <t>33121fff0ab304b31efd1cf900d1183a</t>
  </si>
  <si>
    <t>0eb62d7ba6e83abb2a69bef0078bfaa7</t>
  </si>
  <si>
    <t>b8ed210bfb0f4e8b1e7e96e1110930a0</t>
  </si>
  <si>
    <t>8186d611f0186075dc09e79d663eac95</t>
  </si>
  <si>
    <t>5d4eba79b27ef9ed016f6d099c31a73f</t>
  </si>
  <si>
    <t>dea4355916d3dd34e633dae22eb8e931</t>
  </si>
  <si>
    <t>11cfaa7a2b2f5f2ce6fbc9d7720df3c3</t>
  </si>
  <si>
    <t>9f7ac617a3c7b8ebcb8c0463b56fb55a</t>
  </si>
  <si>
    <t>aeb479900af9a68a86fe1c83a5a4937e</t>
  </si>
  <si>
    <t>76f0af85f490208fe74d449b66ba67fe</t>
  </si>
  <si>
    <t>47c42cb81b6b44626969aadb6498c666</t>
  </si>
  <si>
    <t>6ebebe1edddbee1ad1c27681f5828b9f</t>
  </si>
  <si>
    <t>272c296e00661eadbb73a524f6f8587d</t>
  </si>
  <si>
    <t>a6abf230858f30fa6cbb5cb2c1c66f11</t>
  </si>
  <si>
    <t>3da82c400c465809b30fdd0e334d40b6</t>
  </si>
  <si>
    <t>38e335f1fede321060658c75e5a9715b</t>
  </si>
  <si>
    <t>7485bbe318b7bdb6f0b24d06f40c3c4c</t>
  </si>
  <si>
    <t>78c9e6c18ad5b5d9e5fb1ddaaff5adff</t>
  </si>
  <si>
    <t>1a116f1b1953abd249324a457e724577</t>
  </si>
  <si>
    <t>c0a39772415a510d1f3368346da222b5</t>
  </si>
  <si>
    <t>77a68527536db34afc1b3e50026c0988</t>
  </si>
  <si>
    <t>34608229b894064095a85ecdb7929210</t>
  </si>
  <si>
    <t>2c8e7ae452779f9fd909481c2c994249</t>
  </si>
  <si>
    <t>a21d4c97e9ca211f8a3044a9e12d8967</t>
  </si>
  <si>
    <t>65c5428f920a9f5ef6dbc044710ac81e</t>
  </si>
  <si>
    <t>1b3914f3daa3bde5e244cf9134495bce</t>
  </si>
  <si>
    <t>83df13a81ecb73a0b922e00d6417033a</t>
  </si>
  <si>
    <t>ce0695eb9f3c7925881b8b3beb815f0e</t>
  </si>
  <si>
    <t>8da560f9a752975e95e76aef20a5d40f</t>
  </si>
  <si>
    <t>74044bd32236eda1c8a88a3298d9ce93</t>
  </si>
  <si>
    <t>8adc20b646a6d1b85168cd737458ac64</t>
  </si>
  <si>
    <t>e25b6628080896d390cf02caa2ae3154</t>
  </si>
  <si>
    <t>09dd2485a1f5f5dcc7410caebf4ef1c5</t>
  </si>
  <si>
    <t>7f648739214e444b082ff32dc5c74bf5</t>
  </si>
  <si>
    <t>723cb363061acb442221e49f14e71d2e</t>
  </si>
  <si>
    <t>f66a62309fd5ecc2208c1d56a33e2ac9</t>
  </si>
  <si>
    <t>6104f6e99799f1ae89b08a9b5dcdc1a5</t>
  </si>
  <si>
    <t>2fc15dd41b594912be5f88a2edae8c86</t>
  </si>
  <si>
    <t>0bced9f03d341ce0b1c2237a5c3695e9</t>
  </si>
  <si>
    <t>3052fef2b76058a0c75ac53d509470f4</t>
  </si>
  <si>
    <t>71fb8fd1f470975d7e7dd1c6127163c2</t>
  </si>
  <si>
    <t>01abe0ba84f0937e7e76962824860eb0</t>
  </si>
  <si>
    <t>e0a6a326b0fdabfa114b45b7d9fd6964</t>
  </si>
  <si>
    <t>c16d7fecff43dfa3cd93339ab9ba4143</t>
  </si>
  <si>
    <t>c6f150021c4228e65024555895e53a66</t>
  </si>
  <si>
    <t>96bd166ab860400888b12c9b57ab8dae</t>
  </si>
  <si>
    <t>d16d86f252150047a7f8e32a888a2b84</t>
  </si>
  <si>
    <t>f64221683fe09655f72f47f0440d7e0d</t>
  </si>
  <si>
    <t>b38a229b69b8e09b31430aa5d31c4850</t>
  </si>
  <si>
    <t>aebfd21edf5bc18eb03943f9a7cc4d44</t>
  </si>
  <si>
    <t>9b3551ca7b24ca72ea11d5f86b002a0c</t>
  </si>
  <si>
    <t>f1f0c47428b4fedb99a9603a5e5992a7</t>
  </si>
  <si>
    <t>affe59fcb2351dd8a92f3a7efcbf59d4</t>
  </si>
  <si>
    <t>1725fb7acf1cce5a78cada0597352c36</t>
  </si>
  <si>
    <t>e82f960f914fb64403481f92aea8a495</t>
  </si>
  <si>
    <t>e0a29abd2870c882e3543ee749f4edaa</t>
  </si>
  <si>
    <t>9a0f4c6b48773416ba683add8b99095d</t>
  </si>
  <si>
    <t>242e11794a9c7e9e686b1748949d3035</t>
  </si>
  <si>
    <t>82c94d630a8ad990ffa82d0e00502980</t>
  </si>
  <si>
    <t>c19986df62ffb5a367c7c5ccd646107a</t>
  </si>
  <si>
    <t>f24e4b4f2695028a29e522b1479862ae</t>
  </si>
  <si>
    <t>6ab730a189eb5e2895798a36cc9ca96f</t>
  </si>
  <si>
    <t>4f7cae80f4ac9e1f98bd5650e6fcc17b</t>
  </si>
  <si>
    <t>d68f308ba021f07da3b4ad39e9756ee5</t>
  </si>
  <si>
    <t>68fbc8180530c6977ceac52dad6a97e8</t>
  </si>
  <si>
    <t>bcae4f18b8912d158f9f8f4d76bb737f</t>
  </si>
  <si>
    <t>a38750147e88528121d40de9e48bbf1e</t>
  </si>
  <si>
    <t>bdc1bfe7326ca952bbf60f2ea031d2e2</t>
  </si>
  <si>
    <t>63bd854dbddba3d37f6012571830b67d</t>
  </si>
  <si>
    <t>7faaaad1673d8dcbf21adf2e2a034dbf</t>
  </si>
  <si>
    <t>b72c383e5444d950d9e8bbb0692bb35c</t>
  </si>
  <si>
    <t>6157f9e12d3c808870af2ef01b7d9287</t>
  </si>
  <si>
    <t>0b458d3dd5c33a4bc5e1e2445104b1f8</t>
  </si>
  <si>
    <t>c76a6529da3ddc356cf8c3535903ae46</t>
  </si>
  <si>
    <t>ad7ff9196056570ef9292bf6c29c0b93</t>
  </si>
  <si>
    <t>80023ffbf32b8e44e333c245ea9f0147</t>
  </si>
  <si>
    <t>279f3ee7cace1de91d92b27e9b384b91</t>
  </si>
  <si>
    <t>ffa1cf3eebfa094ce290b320202b6b75</t>
  </si>
  <si>
    <t>23fd730dd0f5a24e77d2a4ee214c2124</t>
  </si>
  <si>
    <t>00000cbf3dd5558638a060a1a078d534</t>
  </si>
  <si>
    <t>434c3698cc94a5d313ce534cedcabfab</t>
  </si>
  <si>
    <t>2501928041c24529736beb8fd5f8d995</t>
  </si>
  <si>
    <t>79d8f01df7ea43ec3d6756ca2f319ade</t>
  </si>
  <si>
    <t>7da9a595a135796e3f910aa9ba45e9f4</t>
  </si>
  <si>
    <t>5122002ee6aa803c7c63757235a95e45</t>
  </si>
  <si>
    <t>084ddc6b67fceada2641528021b4b1bc</t>
  </si>
  <si>
    <t>2def6f4bc3d82f90db771c98c08517cc</t>
  </si>
  <si>
    <t>ffef951615efa1c8ccfc1e6224cc77b4</t>
  </si>
  <si>
    <t>40aea049ab4cf33ea046aca68e4436d2</t>
  </si>
  <si>
    <t>744b74c7bb5dd29b38f4c0ab67217da2</t>
  </si>
  <si>
    <t>e27a3c2a15f87ab61bbd2647c13919ce</t>
  </si>
  <si>
    <t>a1b18906e9b79090a9f9092815a668c2</t>
  </si>
  <si>
    <t>a6e7818f4861d874f9428b05b84db6bf</t>
  </si>
  <si>
    <t>98eef22b2a1aabc8806ecf45ec31513f</t>
  </si>
  <si>
    <t>14ad777ce3d37c309c8afe41ba80847a</t>
  </si>
  <si>
    <t>b9f6aa7eb4583ac28eea9c5c99063004</t>
  </si>
  <si>
    <t>77374e7de2b7f0482fdef299f879d9ae</t>
  </si>
  <si>
    <t>fc2f15a6fba9f419af8b10dbd2fd9907</t>
  </si>
  <si>
    <t>665fde8fe3d34a17ae7662124758931c</t>
  </si>
  <si>
    <t>f1d8427b0f13708124724e6a4d22e65b</t>
  </si>
  <si>
    <t>40fe6cbc8fce542d7495bb6fd6ffe328</t>
  </si>
  <si>
    <t>59a894b930e988a1a02de49d81f628a9</t>
  </si>
  <si>
    <t>7b9bb6a023db4a76bf5114b4ab45633e</t>
  </si>
  <si>
    <t>ff00d594922526c7161d784a6bab68f6</t>
  </si>
  <si>
    <t>190dedd4381462aa169dd5827cb845ea</t>
  </si>
  <si>
    <t>7af2a61f72aee358d7aec2bffb40f582</t>
  </si>
  <si>
    <t>063fb8a6a7572ca320a621eaf9a2fade</t>
  </si>
  <si>
    <t>bcecf6b0a959e95a6f6f1317356bb350</t>
  </si>
  <si>
    <t>a61017275942ed6ce36b88bf149d9f9a</t>
  </si>
  <si>
    <t>5f5de35fb4b9f5b94e5315503d0b9969</t>
  </si>
  <si>
    <t>939b7b4bc6ed708168509097822915a5</t>
  </si>
  <si>
    <t>014ac0819d04dcb0b03c7800dc631de8</t>
  </si>
  <si>
    <t>1dddcf834e11a9d2b47326b2a0b8c6a0</t>
  </si>
  <si>
    <t>6d6371992ec695e54c184b228be5fb57</t>
  </si>
  <si>
    <t>e4a7df7b6a6af3031acec23949114a04</t>
  </si>
  <si>
    <t>9c568bdf1d37a626f118e3e9630056b9</t>
  </si>
  <si>
    <t>93760a0c64c717cd8a26c652e9bd4709</t>
  </si>
  <si>
    <t>09561611e3101889508d4a4d75bbfc1e</t>
  </si>
  <si>
    <t>af09aa4780034c37364ae27512b23a19</t>
  </si>
  <si>
    <t>Wells Fargo</t>
  </si>
  <si>
    <t>healthy</t>
  </si>
  <si>
    <t>iVBORw0KGgoAAAANSUhEUgAAAJgAAACYCAMAAAAvHNATAAAAP1BMVEVHcEzOEwnOEwrNEwnOEwnOEwnPFQvOEwnQFgzOFAr//wDLCgnmhwTdXQb1zgH65gDZTAbUMgfrnwPjdwXwuAL3mXkeAAAACnRSTlMA7dD/4L9HoCB1wnFaSgAACO9JREFUeNrNXIly4yAMTYIT2wFz+v+/dbmRMMk2bdNIMztbAjYPIXSBOZ1+Ssttnefr9TKdGTtPl+t1ntfbcvokLet8ndgDmq7zunwG1ENMAN0fg7t9BVQDd/srXr2AKmN7P9+W9cK+RZe3Yltm9n06zwtFWJHeAu3nsN4C7Xdg/T609cx+jc7r76mtC/tVutyIzeLvzuftzN5A5x8zbWVvop9J2nJlb6PrQm0afz6dK3szfXM6Z/Z2moni+hayK/sTur66HC/sj+jy0uJcJvZnNL2C7ML+kC7k5OtlOZvZH9NMFNcXka3sA/QFG3BjH6H/2s3l/Blg54XWgvzy0lzZx2glKGD/FbNPCdh/bdPMPkozyYl8NpmXTwO7kFuRT1fmZyX/iZqdGQEayP/CSNBCk2EDlhFh2JFlMxVgM1GG9Syb6QCbiTIM67KVEDCk/i+UgF3RTPJGqHAoDqlvA7p5WJFrwX+lus3lyrWo5BgsCc1RcUyma2Na1+h318EybpdKKWmd8ahcfq7N5cTdvZHhApQsR8Ux6a6Nrqwx6HeJgQkF+jEewxafm5qDCIGpPwMm029SRnxK1eduTYmZzWYcWvuS1qkotDaxGPtVTuvczjeLtAmZgPg2W+rIbuEVlXR+OD4NK/geewizZ3TmXeJYVWVTFNEtj5UnibWt5IsmsTKIb3yFa+JsE4f8nzr2zzoZ96WIWGDhT6230h2zgNMT0q4JiuDwOVSyvE2A43GgkQN1CsxAjCLt8F0FmMCNY1mjdblCKKq0c6gk4qLAwPxIVB5QfCF/CEyOgAU+SI5bFWArtpMSTHOWTFCSsFUEtidg7nscs3kqy/xy17qbi4gBJu2AfaWbWHIcAwvSFoFt3+NYUgS72IxJWtg0/TchA86NupcZ4xYu/FBSBvXi+WPzVBvnDHudY02RKBngoUWzIAMOxN8U1VdLO4fAlFJVBssLX+MY69WjtE37RSGbuxVc5OYedUstbQhYGSvq6iWOBWSq09MWOWXXfmgBggydWlRCbVRS1+o4OV/mWHhAyAfIrkD2m/gnVSkSA/ekXS1n/ap0P+RY1L3e5OzqaMuC9KNXq6ThbVoEstl0fQTm/0rCL6UdrkrupNR8wDH/hB+2lC75S15TO5Hg1fF3XnUSf8eSsCcGilCS3bxAPWbKyjgAK6q341iYChu0TF1QUVtI+PSCc0959qqwh1HIDQ/3oPl17uHIsT0D6zgWMEVgyvBHNurWu/syOyCqMVA1c4SBGWPyC8ccq0am55jIwBrLDsDWLnCrjpngUAnubDCVvr78MORYZP8IWHgiAfNygkdckc49sKJZE4uSz9TM0SO3Z29uj6w1UWg0L25PfYSJewV23zUD72nacu4T+9kWZeT56WKOgjeYoO4ukbAqNy+OosI1mhVHcS+/yzsAFjS+qK0lCJV6YBp5FUyCRYwiA0R7MfpHp5up4e9pVTpcKZsoX48hpYQaPRm07U3AvEcOzJKCAnc5HTaZzbZtwDf3pa0K4PaANHtUZZgePxFeFtePFrsn6zSDpmE6nQeGAvnmoPQk4n25psW3pRHOYJwYUaIL7EwT1/k00QQ20cpAwd2bK01gV7rAZprAOu/ioTKE1c9aj7Q1Y6MKUMeHwJCjqB/ZFVCtkfHqDI1BdsV7884GgyOCc2N2i+s2b4zkbmPlMUN8O6bSDpTdQo1jyRqtIwdBGODb781CO+8PKABr20F4ak2P7IaDkefAbOc12mFjVQOqEmqnqH1XYEwFco7osSubcwTIsyipRIu8ugSlOLeyOhvFOZQ5vWiRW5lK0guCMU6irNaWEgzCT73R2dfETMMBb7T4qqaHIm0FWMs1aBB1CeROb42luXniRPacFYN+8W5yOtHsh0h5GhyaUciDjW5/4lgILy2KSovvWN/Jm8NroIueGahAWO0DnC7yAq+NKYL5ETBufbwcu47BWgwvDZyrAbAKPIUxIHAMYY4CGQMYU+ZlBbI982AfqQHbQxfhIVdiMJP6c/wRsFpt7j0TuFASoECpjPTcjtNQy8OplBGYSflDnRIsWxc7QmCc59xHDQ82JNAGLmYk61nqDN60nIbAvKa5J2A2ZNR4zpqn6ib+CVhatcYpkD449I4EqksKGTyOabSJmgI8r5PLVPCSVJR1sVkMTIXdjayRZHx7EbGB9TKqm7bWq+BoM3UdNKlBFgzjUsIC9dhFdFKUWGdHekvbSuYofbXX+uM62t7NHIsZw/a4ynseHIt/5tieN4RkUeB8P24aJNq+Amw5nY5CVoVftJZROJWwVliBRKTKmG+oFTBIFjLWa/o80UrlCPjpVE7Dnfq2KlUbgjzutx1WJVyxWe8bmEUsWaP/C/88PDfW9JisSQs9CPEHeqyt2D4FkqUuql7RKemjuqjnyKYnCraqHmuSqTZwljAwYPEPVoZXYPqOlXTVbXs3k926bMCczSM2KamI1nt2hZCCzQk6btWWeAD50tTP0WYbZJLW8bGLJmN1y0MgaU3Dk+wBMBsWrn9+x/pG12IeWeNm33Y5Hm+o/IC7YuknzcueZ3VueNlvlTlLki2eF05dXiRYcuw1AFOsJSu7tJiFl8GBkJYx1GWf2GRnMGwcp23o7Et6N68kC+9pVznnkp2LYpyxSGdM29gui0kVHzLskXVe0Do4QoO1gulVu+N8f7hhb1jNXia1kLtPae+ghYFeTEwqOz8xaTc8QlNU2QCY+DqwbIiqluXGwngD6kXO9A5ziYY/OKeVWebQ8Y00bHQ4hG2PzoSEPUvOwgEPCWIeI8KJD2m38JPRBjrxPnyzg1ziMjrYNohev36cBpyFgeEjPCnDxtH1k4NtLx3U4oN/bzrXRvjwJN3jpmQP6NI90kz2EDjdY/N0PzQg+2nGh+X/2TdTVD//ofvBFN1PzOh+lEf2M0a6H37S/VSW7sfFdD/HpvsBO91P/slekkD3WgnCF3HQvbqE7mUvdK/HoXuhEN0rmAhfWkX3mi+6F6MRvkqO8OV7dK8rJHzBI+ErMQlfIkr42lXKF9VSvtq3gaN3GTKA957ro/8B4fl7xwPZaVsAAAAASUVORK5CYII=</t>
  </si>
  <si>
    <t>4636</t>
  </si>
  <si>
    <t>EVERYDAY CHECKING</t>
  </si>
  <si>
    <t>depository</t>
  </si>
  <si>
    <t>Money Transfer Authorized On</t>
  </si>
  <si>
    <t>Nationwide Payroll Sean Lewis</t>
  </si>
  <si>
    <t>Venmo</t>
  </si>
  <si>
    <t>Direct Deposit From Lifetime</t>
  </si>
  <si>
    <t>Atm Cash Deposit On</t>
  </si>
  <si>
    <t>Purchase Authorized On</t>
  </si>
  <si>
    <t>Paypal Inst Xfer Pp</t>
  </si>
  <si>
    <t>Atm Withdrawal Authorized On</t>
  </si>
  <si>
    <t>Paypal Inst Xfer Steam</t>
  </si>
  <si>
    <t>Best Buy</t>
  </si>
  <si>
    <t>Discover E Payment Lewis</t>
  </si>
  <si>
    <t>Aps Electric Pmt Payment</t>
  </si>
  <si>
    <t>Paypal Inst Xfer Vizmediallc</t>
  </si>
  <si>
    <t>Safeway</t>
  </si>
  <si>
    <t>Paypal Inst Xfer Hulu</t>
  </si>
  <si>
    <t>Wendy's</t>
  </si>
  <si>
    <t>Vivid Seats Bill B</t>
  </si>
  <si>
    <t>Cash App Shevon Le</t>
  </si>
  <si>
    <t>Jimmy Johns</t>
  </si>
  <si>
    <t>Gasbuddy Gasbuddy I Sean</t>
  </si>
  <si>
    <t>Bentleys House Of</t>
  </si>
  <si>
    <t>Netflix</t>
  </si>
  <si>
    <t>Spotify</t>
  </si>
  <si>
    <t>7 Eleven</t>
  </si>
  <si>
    <t>T Mobile</t>
  </si>
  <si>
    <t>Jcpenney</t>
  </si>
  <si>
    <t>Mcdonald's</t>
  </si>
  <si>
    <t>Taco Bell</t>
  </si>
  <si>
    <t>Cvs</t>
  </si>
  <si>
    <t>Popeyes</t>
  </si>
  <si>
    <t>Sunoco</t>
  </si>
  <si>
    <t>Steam Games</t>
  </si>
  <si>
    <t>Exxonmobil</t>
  </si>
  <si>
    <t>Amazon Prime</t>
  </si>
  <si>
    <t>Dunkin' Donuts</t>
  </si>
  <si>
    <t>Home Depot</t>
  </si>
  <si>
    <t>Uber</t>
  </si>
  <si>
    <t>Chick Fil A</t>
  </si>
  <si>
    <t>Shell</t>
  </si>
  <si>
    <t>Five Guys</t>
  </si>
  <si>
    <t>Chipotle Mexican Grill</t>
  </si>
  <si>
    <t>Postmates</t>
  </si>
  <si>
    <t>Target</t>
  </si>
  <si>
    <t>Citgo</t>
  </si>
  <si>
    <t>Starbucks</t>
  </si>
  <si>
    <t>Purchase Authorized On Staples</t>
  </si>
  <si>
    <t>Transfer From Lewis Sharon</t>
  </si>
  <si>
    <t>Fidelity P Fidelity X</t>
  </si>
  <si>
    <t>Walmart</t>
  </si>
  <si>
    <t>Nw Trvl Reimb Edi</t>
  </si>
  <si>
    <t>Cash App Monique D</t>
  </si>
  <si>
    <t>Deposit Made In A</t>
  </si>
  <si>
    <t>Cash App Cyanface</t>
  </si>
  <si>
    <t>Transfer To Lewis Sharon</t>
  </si>
  <si>
    <t>Dominion Energy Billpay Dominion</t>
  </si>
  <si>
    <t>Healthequity Inc HealthequiSep Sean</t>
  </si>
  <si>
    <t>Patientco Hold Web Pmts</t>
  </si>
  <si>
    <t>Harkins Christown</t>
  </si>
  <si>
    <t>Cash App Engagetm</t>
  </si>
  <si>
    <t>New Manchester F Web</t>
  </si>
  <si>
    <t>115 Amf</t>
  </si>
  <si>
    <t>Cash App Don Lewis</t>
  </si>
  <si>
    <t>Cash App Ezibu Mun</t>
  </si>
  <si>
    <t>Cash App Kaiya</t>
  </si>
  <si>
    <t>Healthequity Inc HealthequiJul Sean</t>
  </si>
  <si>
    <t>Gasbuddy Gasbuddy Ypkvvp Sean</t>
  </si>
  <si>
    <t>Window Tint Specia</t>
  </si>
  <si>
    <t>Stitch Fix Inc</t>
  </si>
  <si>
    <t>Pho Que Huong Numb</t>
  </si>
  <si>
    <t>Kroger</t>
  </si>
  <si>
    <t>Aldi</t>
  </si>
  <si>
    <t>The Summit Bar</t>
  </si>
  <si>
    <t>Tio Pablo Taq</t>
  </si>
  <si>
    <t>Principal Trust Dr Cr</t>
  </si>
  <si>
    <t>Stitch Fix Stylin</t>
  </si>
  <si>
    <t>Elephant Ins Payroll Lewis</t>
  </si>
  <si>
    <t>Robinhood</t>
  </si>
  <si>
    <t>Avidia Bank Setl Lewis</t>
  </si>
  <si>
    <t>The Market At 2</t>
  </si>
  <si>
    <t>Purchase Bank Check Or</t>
  </si>
  <si>
    <t>Cash App Tiffany C</t>
  </si>
  <si>
    <t>Cash App Nathaniel</t>
  </si>
  <si>
    <t>Gasbuddy Gasbuddy Sean Lewis</t>
  </si>
  <si>
    <t>Dick's Sporting Go</t>
  </si>
  <si>
    <t>Mobile Deposit Ref Number</t>
  </si>
  <si>
    <t>Irs TreasTa Lewis Sean</t>
  </si>
  <si>
    <t>Va Dept Taxation Vasttaxrfd</t>
  </si>
  <si>
    <t>Cash App Jayelin L</t>
  </si>
  <si>
    <t>Irs TreasTax Ref Lewis</t>
  </si>
  <si>
    <t>Gasbuddy Gasbuddy</t>
  </si>
  <si>
    <t>Gasbuddy Gasbuddy Ivrvonzyl Sean</t>
  </si>
  <si>
    <t>Webull Financial Feb Sean</t>
  </si>
  <si>
    <t>Td Ameritrade In Pgb</t>
  </si>
  <si>
    <t>Cash App Don</t>
  </si>
  <si>
    <t>Credit Karma Transfer Sean</t>
  </si>
  <si>
    <t>Atm Check Deposit On</t>
  </si>
  <si>
    <t>Society Of Actuari</t>
  </si>
  <si>
    <t>Cash App</t>
  </si>
  <si>
    <t>Irs TreasXxta Lewis Sean</t>
  </si>
  <si>
    <t>Google Wallet_Cas Sean E</t>
  </si>
  <si>
    <t>Synchrony Bank Cc Pymt</t>
  </si>
  <si>
    <t>Google Wallet_Top Sean E</t>
  </si>
  <si>
    <t>Square Inc Cash App</t>
  </si>
  <si>
    <t>Cou G W</t>
  </si>
  <si>
    <t>Rtp From Paypal On</t>
  </si>
  <si>
    <t>Credit One Bank Payment</t>
  </si>
  <si>
    <t>Septa Fare Machine</t>
  </si>
  <si>
    <t>Amtrak</t>
  </si>
  <si>
    <t>Brave New Worlds</t>
  </si>
  <si>
    <t>Ups 1</t>
  </si>
  <si>
    <t>Purchase Return Authorized On</t>
  </si>
  <si>
    <t>Staples</t>
  </si>
  <si>
    <t>Usps Po</t>
  </si>
  <si>
    <t>City Of Richmond Tax</t>
  </si>
  <si>
    <t>Invoice Cloud Epaymentl Lewis</t>
  </si>
  <si>
    <t>Crunch Fitness</t>
  </si>
  <si>
    <t>Virginia Departmen</t>
  </si>
  <si>
    <t>Pump And Church Au</t>
  </si>
  <si>
    <t>Dc Gov'T Payment</t>
  </si>
  <si>
    <t>Pticket Redwoo</t>
  </si>
  <si>
    <t>Webull Financial Sep Sean</t>
  </si>
  <si>
    <t>Dri Nvidia Store Orderfind</t>
  </si>
  <si>
    <t>Publix</t>
  </si>
  <si>
    <t>Brueggers</t>
  </si>
  <si>
    <t>Taxing Authority Billpay Lewis</t>
  </si>
  <si>
    <t>Nates Bagels</t>
  </si>
  <si>
    <t>WF</t>
  </si>
  <si>
    <t>Discover</t>
  </si>
  <si>
    <t>credit</t>
  </si>
  <si>
    <t>4618</t>
  </si>
  <si>
    <t>e9dc5d97efec114e66cdd9be05e0d44f</t>
  </si>
  <si>
    <t>8b5374947e1d46e7a0f86b54ee722e44</t>
  </si>
  <si>
    <t>4918dbe6db3e4b9384fdfe7083417a5f</t>
  </si>
  <si>
    <t>e7a6f43e36bf4e729a2ae870bbd8df9f</t>
  </si>
  <si>
    <t>79f9409daf7346b5860b6682b97f76c0</t>
  </si>
  <si>
    <t>cc2649a8506141369f17a9974c7e49db</t>
  </si>
  <si>
    <t>ea3fa667d2c5433b9f9eb2d0d3538115</t>
  </si>
  <si>
    <t>996140cb46ef406c8360366fd966ca2e</t>
  </si>
  <si>
    <t>0e668774beeb4182b5ea2d7a8677e014</t>
  </si>
  <si>
    <t>2e482857a7ec46fc85c5d63b1ece1f5f</t>
  </si>
  <si>
    <t>0b56103a18204ea9a0a1196c64364514</t>
  </si>
  <si>
    <t>9faed51681ea4d488f6a11dd9f0dd412</t>
  </si>
  <si>
    <t>a327d9b412774b01be2a18955fd0fb72</t>
  </si>
  <si>
    <t>e1e384a202a441928b53c496f99c39dd</t>
  </si>
  <si>
    <t>b6e5c869f3854c879010a34d71ac1d82</t>
  </si>
  <si>
    <t>2f8ba1ac6c4b403789e354ade283542d</t>
  </si>
  <si>
    <t>7e2b612978d74343b53ef921b36a56c1</t>
  </si>
  <si>
    <t>4630ef64f15f4b3ca3b2181493e22137</t>
  </si>
  <si>
    <t>d631f1bfc79a465da34c8947017e600a</t>
  </si>
  <si>
    <t>4a9d58c97528403a9e96378bb6abd042</t>
  </si>
  <si>
    <t>c9128cf5ccb24a03b3c40e3981f185f8</t>
  </si>
  <si>
    <t>7d0662bef37645dba8017eeb5ea5a15f</t>
  </si>
  <si>
    <t>404a4278b58448b8847946c19833d1ac</t>
  </si>
  <si>
    <t>1c2d4b97ee7d47d18d68f4c175d1b9ab</t>
  </si>
  <si>
    <t>ce2649cb40ca4133a3c44f0243664bea</t>
  </si>
  <si>
    <t>e3d5ba0a20ae4ba3bbdd07dc2b7ef33a</t>
  </si>
  <si>
    <t>fe8c4896c45a48e4a277b58b474fddf3</t>
  </si>
  <si>
    <t>a95d6f7354cb40d69193d3fd71ce272c</t>
  </si>
  <si>
    <t>b0d1ddd15f6c4c7a8f1cb3c2d93c1914</t>
  </si>
  <si>
    <t>50c953993ebb4c06a393b68d9e19f8a3</t>
  </si>
  <si>
    <t>67e62a34f6b34864b40cd1d4e58a9892</t>
  </si>
  <si>
    <t>37381df2e8a04996a65b5b793446e571</t>
  </si>
  <si>
    <t>1df55bbfa9074e8ba0814b6f0c7d2350</t>
  </si>
  <si>
    <t>006e475bfed0416f8a7a6484d537a099</t>
  </si>
  <si>
    <t>1dcd5d3c506a4e3ba1b9f1d3ccdbea31</t>
  </si>
  <si>
    <t>d09d1b66884d43439b5dad982b7d9e52</t>
  </si>
  <si>
    <t>iVBORw0KGgoAAAANSUhEUgAAAJgAAACYCAMAAAAvHNATAAAAzFBMVEVHcEz////5hCP//v3////0x5j3giH9/f3////+u4n////////////////3gyH////////3gyH////3gyH3gyL////////////////////3gyL29fX////2giEiHh8ZFRYeGhvkWxYzMTH59/Xn5ubv7u68urr2fhmura34mR4+PT3rZxf1iyNLSkqAf3/yghnvcxmWlZUrKCnc2djPycd3dnb0mUZoZ2f669r42blaWFi/OQugLwrWSRH2u3z1rGuioaGhTC65hHHAb0uGvduNAAAAHHRSTlMAvTWB4f7k/h8T7aBpNZpM0cesqWeYyJWNqILW9juzyQAACVlJREFUeNrNnAlX4jwUhtnDJoKiHj2Bxm5CpSC0UMDBD2f+/3/6kpumC4hspeQyZ1QoycNd3twuNJM50yo3t/naXfaxWagiVC00H7N3tfztTSVzRSvXn7IFvMMK2ad6+SpQtZ1MEbpaunA3DwdABXAPNyn5Kn8Elc+Wv7jfKvVHfJI91i9ZDuUnhE829HQpt5VrZ2ABWu0SaDfPOAF7TroQyolgAVqiXqtXcWJWrScXxSZO1JrJxLNSw4lbLQHtuK3iC1j19lyuPEaXAMMof14xZvHFLFuWLYznhzOPL2wnhvMBX9weTuG6wynY3fHqlcWpWPZIRSs3cUrWPKo4ywWcmhWOIKs00+PCqHl4NLM4VctKVY8n1OYDTt0epND7E9eAW3wV27tulqtX4ULVslwFeXBp5vHVLC9hgu1Ns0r1mmDV3StADV/Vajv3H/GVbdf+ZvPaYM0dxwHw1a0ukbTG8/8nmX3GEtizhJm/K/+f5QDbclkZS2JlubR1p8qWkSxgKO6yJyyNPcVWbyQPGKrIJfo/y/+jTGCPEmrFpmLk5QILm+yCXGAFKTr93xbMB9nAHuSMZBDLMpbOyvKpa1Rja/KB1eRMMT/JJEwxnmR1GcHqcrVi8aYsKyNYVs7ch+yvYCmtIsuO7vY6fisn2K1sTWLYLNbkBKsdeuJIM7St/Szd0Y34Rrrruo6WBNgdlzF3OqSP6XC4doNhtTF9yoRf9fHSsixvrUcYzKmtTibqcuyIp5y/33+Yff914e81GzRCrrM5etiBufyHgQ34Sf9FpgYhgz23nsKNkK419KfXVPrEGF5V6QuEKIo6Fu81baKQLjWiTDiG8ZcyfXL784/RrtmI63CuMfvbxKYSWlfH+kT8Qaw1iuzDNTlYVxih08PrmkW6ANbrUgQKxl4bcuYh4VTsfwJedb4Z1mq1eqWP1ednkaLSAcgymEuz6Z+2hk0SzNWdUDAVRuJTT4Otm1z4fTDqFJh+qkXAdJU9py6XKiEqxE3zFKBSLWtCfWlyLob16tv7akXJhmwzV0zFgJgDI2BEgKmW2mUb8whx6a8KMNV0zd7QYm8DcgE2pq+Rqc5yhPTgTTAh8UxdM5yxSqODDeCiRALt/fXVwc6EDjUUU9FPQ1Sdg01Ml5sGYGStGe6UDWqJXKlmUAAGeWoM4aP0QjA2oL+9G3x0MumJlF5SsL8+V4D1/v460/CSBo8PS0vYp0QAFpYRgMFgUzaucDDaBKM5C+RGAMZGX0Y1wWZO7UWEBDub/qL28V7k0euJ1KfvcvzPtQHGt3G74dYUrLoJhqcKbBDxWJSDzzaMyBk4LOovwPr4mCEtTH9IffYr2gkGke8FoSxsgcEGXizHul3P1CLcEyemq99/VlEqBkZtNA/dxONv4g2PoShYuAkkf3MLDIJnabGqpDVoj2E0ZG+EFrNIriLZ5WONPhZYD9I/yFTwWNfmNvXBGI7OBlb1QC4et8HY51T1QMdcVRECR0c2KGc0kmyDP59Rd31wrtGo6PMYfhTGQSowWWSSbfvJPzRN0INw4Ee+JMXA0JoFS0cCjC4iE5B5oiy57oRyA1YUkYxhjUZflJnwmhsrIn4oqmM+GANlMyhLI1yS7vZ6jKHRzwMC5yFjG8wFsLi3RoMB8xjPeZ6v07B4uio3zwfjrGpkZX3mbU8cjOdDFIwt2ktwmguO9GJdxoKBhVxvnKs/KMKCydIfYLhE8ap0DG4+mAWKrcfanvwWGGRRWJXB/EMCvhJpE5rxvYq7azBgXP055qWjDNl7xKr5o8CyUledWKN4uwU2jutYXHGG4AOyjrns30pgfQhv9fv9mSbURY0o1M/KDwu+bURb65tNMHcSV37sij7IgnpkPiDRT0cbhk8hEaG7+v0iFnruryU7PUahQban0Z2RygaYqfpdgAAzux4KpghWdTsgG5tY+/ca5eqDzebcQ0ve0ggh2KX8zLOkF9l9A+kHMMfQnZ7HKkTxwu6iNyHEYxSO7WewYbMxVNBb5HhMHd1XnvODAEs4TLRU4VoRS34UgEEwg60K/iECeDMtXypVXSEnPhisnJPldDkBoWHOcyzo2ia259ldha0iqPgRiyK1L9HzGaCcQR0jXy4s+lAtPVySTDazSLOsf1CFfyquJoRMjUgHayyh++IK67fRjqVE+kq2nqAiT/rAvsIGnrVvwRooGkVQftHB8sIAFwzDgyp1ACP+IqF0bVPkukJYShkeIaLpFsMb065CRCtuwmK8mI1Cd/WLkbNmdDliLTUOQksCg56fztrjrlXEr3AYqgz7FtyW3tgVQ2qebVtsM9SzJ8w56jRSiu7QmjA3qsueP6dWnPlUs695bGXwYvskrh0xnUaE/jD9PRyGoAdHh2n2I9/i+43hM47Z67nGxp4mfdKkUhK+SVsUv76+iouNHUvkrNfGxrCRCSPzBs8Vjjo4nOI5zZqkh9NRXe4TENIdU9SKcp7kWswacl09w23+X+ctJ9+JVK04eOuUpDv1rC1mb51O50W2k/V0VWNcnZxUlzcgllwMq9OS6IIQxHJ+1OHWlugSmvnX4K0jrCLHRUdoA6vTkOUyrTjWhsOud/55E2vDYVdSDFqJG1gxrbjWxZNoIQQiYvdXv9yUqvw21g8OS9llRtFX+b0OS/WS5q2M31WSqcq/tvhvF1ZM9FO+bH6+I4Zbq2Sq+Q/O2on1Y+anobLUWZ3fsLa0NZUvs/yWWb6VKql//QeBszp7LJf2F6Yo1a+Z5dtLql8xQyyEo/1UuyvyIjJLqQ4I4d4ESzjNtMXXbHQY1b4ESzDNGFXn7WCsfQmW0BEDRvV2BNVvCpbcl4vnh+fVrz1FoqWpcWU4EmtvQZ75Bfb5kWkVch1xO4Jjv/JPXfXfCa46UChO9JnGs+okqCP9dfhtJRCL3+BkqBO4DqhNAXUG1RH1eKCesZw6G+pw/TpoDaApVTwnp47W+wNuj4OAadB5S4SqU8plTjb/hkKIIrGEoqMlw3Ri2sfCyZw06yRvL5kzLVe6ANVZYQwUrZE8VyOZWwTmWslitXKZpKydJFc70Rs73ieFdZ/0jR5ziaDd5zLJW+7sKmhcAuv8Am1c8m6dlfaJFdpqX/yeurmXoyW39JLLpGK5xhFspUZKVCKm9wfAle7b17grcq7daO2kK7Ua7VzmilbJtV8a961Wq0QZSyX6y33jpZ0721H/AySAIu4bBnXeAAAAAElFTkSuQmCC</t>
  </si>
  <si>
    <t>0048d75f4d1d47f3b69428db4a68f3dd</t>
  </si>
  <si>
    <t>Discover it chrome Card</t>
  </si>
  <si>
    <t>Internet Payment</t>
  </si>
  <si>
    <t>99b79c9fcfb64c89928781184ebe4cf8</t>
  </si>
  <si>
    <t>3c43aac1f46c43a5bcfd57e9fdb26e4c</t>
  </si>
  <si>
    <t>aac185fe32ae4c87809f3a3c96cdd8eb</t>
  </si>
  <si>
    <t>Wow Wow Hawaiian Le</t>
  </si>
  <si>
    <t>207347bc03ee4af1ad79f94bde78710c</t>
  </si>
  <si>
    <t>e5b838cdf2d1465fa0f5e18aabcfffbe</t>
  </si>
  <si>
    <t>Jiffy Lube</t>
  </si>
  <si>
    <t>92e6afa929204d4f9d270e233a4f7a1e</t>
  </si>
  <si>
    <t>6d3a310a1cac436eb53c614641e87336</t>
  </si>
  <si>
    <t>b3240a8a3993470db73c2249aa4331dc</t>
  </si>
  <si>
    <t>3b662439b2b14af9b5f217ef83d83f80</t>
  </si>
  <si>
    <t>Panda Express</t>
  </si>
  <si>
    <t>a590701b23ac4e849f451cadc1f2eafd</t>
  </si>
  <si>
    <t>d4c41bfc59f94a4c9f4e8a5c273e3670</t>
  </si>
  <si>
    <t>Amazon</t>
  </si>
  <si>
    <t>7ccc2c916ed24fb78bf93a048583fef1</t>
  </si>
  <si>
    <t>Trader Joe's</t>
  </si>
  <si>
    <t>55e23a392b864140b8e2c4f8b3309989</t>
  </si>
  <si>
    <t>Cafe Rio Camelback</t>
  </si>
  <si>
    <t>e6a1f22f719d4387ba5283b7c9965959</t>
  </si>
  <si>
    <t>Clr Stretch T Item</t>
  </si>
  <si>
    <t>d77f24f8411849b4aba0ea3c0cec785b</t>
  </si>
  <si>
    <t>Phoenix Suns</t>
  </si>
  <si>
    <t>24a2adb4a96146c8a08017bd1e3681f8</t>
  </si>
  <si>
    <t>Phoenix Suns Concessions Phoenix</t>
  </si>
  <si>
    <t>f50c9fae77584e65a96ce119fdb760c6</t>
  </si>
  <si>
    <t>Hodori Restaurant</t>
  </si>
  <si>
    <t>c7c04d50a9334048b5725f4f5938937d</t>
  </si>
  <si>
    <t>3b0e345b6a8e4b34a508b6ba49e35b44</t>
  </si>
  <si>
    <t>12f8d2575dfd416499f19b62e129192c</t>
  </si>
  <si>
    <t>Schlotzsky's</t>
  </si>
  <si>
    <t>d29321bf3dac4d53883375ecf4369d35</t>
  </si>
  <si>
    <t>Track Market &amp; Liquor</t>
  </si>
  <si>
    <t>d610f2a777114d5b951e10092a80b839</t>
  </si>
  <si>
    <t>Ccbill Az Item Transferred</t>
  </si>
  <si>
    <t>e151fee603eb4c71a352160f83228333</t>
  </si>
  <si>
    <t>9ccd6f96b6c34ba883748011aba18927</t>
  </si>
  <si>
    <t>Chino Bandido</t>
  </si>
  <si>
    <t>24fb6f442d164cc885ee0eea5902b65b</t>
  </si>
  <si>
    <t>Prep &amp; Pastry</t>
  </si>
  <si>
    <t>aa428a24c52d469188a92d3442f07301</t>
  </si>
  <si>
    <t>Ups</t>
  </si>
  <si>
    <t>c642bc1a4077442187526fc9a55889c9</t>
  </si>
  <si>
    <t>0cb38e83b0b8455b99de06ff350e9b37</t>
  </si>
  <si>
    <t>Youtube Tv G Co</t>
  </si>
  <si>
    <t>e7bc6c1b1c7b43abacec2482fed332de</t>
  </si>
  <si>
    <t>5Guys Qsr</t>
  </si>
  <si>
    <t>6dafdb18dbe34033af0bc9a73b76a32f</t>
  </si>
  <si>
    <t>Desert Botanical Garde Phoenix</t>
  </si>
  <si>
    <t>61305873f0e94ec99b1f8edbe336c4ce</t>
  </si>
  <si>
    <t>57704d9eaeeb4808bbcd85183f93f9d7</t>
  </si>
  <si>
    <t>613693300b614d358e7729c1860ec5e5</t>
  </si>
  <si>
    <t>Ca Apple Pay Ending</t>
  </si>
  <si>
    <t>68d177ac8626441f92f47b75d5817120</t>
  </si>
  <si>
    <t>Fry's Food And Drug</t>
  </si>
  <si>
    <t>35e85529a8004ab5a6d20c8d0b0bdaae</t>
  </si>
  <si>
    <t>f7636bca3cb24501968f047710fcaddd</t>
  </si>
  <si>
    <t>Millies Hallmark</t>
  </si>
  <si>
    <t>a3f7d99dfb7e4d9f96c8355dc84a80e5</t>
  </si>
  <si>
    <t>Papa Chevos Taco Shop</t>
  </si>
  <si>
    <t>c61bffb1655b4000bd90387039ab591c</t>
  </si>
  <si>
    <t>Spin Mobility Spin App</t>
  </si>
  <si>
    <t>977bc57bf30240c1850b34557959954c</t>
  </si>
  <si>
    <t>52ac517e6c3a4539ac5471f806ec04a5</t>
  </si>
  <si>
    <t>Apple Bill Ca Apple</t>
  </si>
  <si>
    <t>66f1fc34993a464e9967296039f72bf4</t>
  </si>
  <si>
    <t>Filiberto's 19Th Ave</t>
  </si>
  <si>
    <t>b1461dd42a644e568e0225443412d825</t>
  </si>
  <si>
    <t>Gametime Tickets Ca Apple</t>
  </si>
  <si>
    <t>6202d308b92a49fabf041902c55ffee4</t>
  </si>
  <si>
    <t>ca1859ad79d9439ba710e667ce35dcac</t>
  </si>
  <si>
    <t>Tmobile Auto Pay Wa</t>
  </si>
  <si>
    <t>a78b8f1790fb4789927d5357c23d5e94</t>
  </si>
  <si>
    <t>da1b99130aa34080864aad9476a4fd60</t>
  </si>
  <si>
    <t>Cheba Hut Phoenix Az</t>
  </si>
  <si>
    <t>d93eb32737c94b3a9261b51f274f61f8</t>
  </si>
  <si>
    <t>Circle K</t>
  </si>
  <si>
    <t>2f0f79daeb7548399d29818706f3561a</t>
  </si>
  <si>
    <t>669fd2cc8ac8436fa6cf2a5e2930fcfa</t>
  </si>
  <si>
    <t>Phoenix Suns Concessions</t>
  </si>
  <si>
    <t>37760420d3e143dcbadac5a99a223afd</t>
  </si>
  <si>
    <t>2645bdb5bfb54df088452b88fea656c6</t>
  </si>
  <si>
    <t>Wildflower</t>
  </si>
  <si>
    <t>ae75c9451c7c4597bec2258e5b3c2a8c</t>
  </si>
  <si>
    <t>62986d1a70384d4f83225459c122e977</t>
  </si>
  <si>
    <t>Phoenix Center For Phoenix</t>
  </si>
  <si>
    <t>e0e4da64bd2a458a8ee8d1e2b1b6a744</t>
  </si>
  <si>
    <t>Rei Paradise Val Phoenix</t>
  </si>
  <si>
    <t>03aab9f41f2f405582171ad92ff793ac</t>
  </si>
  <si>
    <t>c6fca8d977984478aedeecb4d3f7a9de</t>
  </si>
  <si>
    <t>Walgreens</t>
  </si>
  <si>
    <t>f8f7e1a0963e4f2e9b870abd3711e786</t>
  </si>
  <si>
    <t>Act City Of Tempe</t>
  </si>
  <si>
    <t>fbfef7bf6fae4fc284f115975df2440f</t>
  </si>
  <si>
    <t>Cahokia Llc Phoenix Az</t>
  </si>
  <si>
    <t>ab1a34525cce48d29b0e3841b51a5fe1</t>
  </si>
  <si>
    <t>Cuties Lemonade In Phoenix</t>
  </si>
  <si>
    <t>bd5fc7e939da4454b51b96c9659dcdde</t>
  </si>
  <si>
    <t>Esposite Ventures Scottsdale Az</t>
  </si>
  <si>
    <t>91e76e5feced43ab8c0a9580efe3e844</t>
  </si>
  <si>
    <t>4fd058cfa3fc41cbadee8991da0bf6a1</t>
  </si>
  <si>
    <t>d7c9c845831043469e39a608860aa193</t>
  </si>
  <si>
    <t>707737269cd942638f6a61f6e706cb03</t>
  </si>
  <si>
    <t>0d3cebaeda704fba8cf217ff7c7945d2</t>
  </si>
  <si>
    <t>Conceptually Socia Phoenix Az</t>
  </si>
  <si>
    <t>aa0267fe4b6d40d199ac9e32dd8f9fb9</t>
  </si>
  <si>
    <t>47 Ec Lou Malnatis</t>
  </si>
  <si>
    <t>4cbcccf16343464a920177af8e0d6cd7</t>
  </si>
  <si>
    <t>5457f38622ef4f33b240631247a6fa31</t>
  </si>
  <si>
    <t>Dri Nvidia Store Nvidia</t>
  </si>
  <si>
    <t>c2620499c00c4625b605e2eeb1b297be</t>
  </si>
  <si>
    <t>Scottsdale Elks Lo Scottsdale</t>
  </si>
  <si>
    <t>a77a1566f1e14b72affde1e8ddc72f26</t>
  </si>
  <si>
    <t>The Actuarial Bookstore Nh</t>
  </si>
  <si>
    <t>ffb9c12b933f40aaa793e5a5888718b3</t>
  </si>
  <si>
    <t>Cashback Bonus Redemption Pymt</t>
  </si>
  <si>
    <t>7c50e53b7b6e405d8c382f0b83e73944</t>
  </si>
  <si>
    <t>Crew Coffee Llc Scottsdale</t>
  </si>
  <si>
    <t>59fb4562bef040e58a897da6b63ba777</t>
  </si>
  <si>
    <t>13fcdcbb1ada4f3ab144cf558f776798</t>
  </si>
  <si>
    <t>ba582e436585473193e9000348116ad7</t>
  </si>
  <si>
    <t>Citizen Public Hous Scottsdale</t>
  </si>
  <si>
    <t>0e425760ff2e4ab8a90050327a803e18</t>
  </si>
  <si>
    <t>a7fda0bc232c428397074e4e10cd3b21</t>
  </si>
  <si>
    <t>90443369937c43c0a6ed04315c117147</t>
  </si>
  <si>
    <t>43ea08d85ccc44e09cc92cfa603661fd</t>
  </si>
  <si>
    <t>4c3ee08002ff43c4a222e2bd56adccc8</t>
  </si>
  <si>
    <t>6a31d8c7554f4de1a3af8861bb75ef75</t>
  </si>
  <si>
    <t>d5711ce65e8343698766622ca153ff13</t>
  </si>
  <si>
    <t>234ee337cb334086a184c647fb71e080</t>
  </si>
  <si>
    <t>e4ab975916a94515b6d02a080f720fc0</t>
  </si>
  <si>
    <t>2dc0e7900d8e4fe2a1044327b9f650ef</t>
  </si>
  <si>
    <t>edc7ae69b2dd4666a95012130b6c07fd</t>
  </si>
  <si>
    <t>695d6bc7fb6c45eb8631ad8eceba42c0</t>
  </si>
  <si>
    <t>c55252fa9ed24103982dcb43210939dc</t>
  </si>
  <si>
    <t>27314d72db5f47b4b7ccf30d87ab016a</t>
  </si>
  <si>
    <t>c894dd2907f34809bf7617a3efec6bfd</t>
  </si>
  <si>
    <t>521038b89c3744b99452c71d1dabddd8</t>
  </si>
  <si>
    <t>ae3757400e2b4a5c8dc75cf5770def53</t>
  </si>
  <si>
    <t>dbac6ef1b5ad46c38204e38399ea5134</t>
  </si>
  <si>
    <t>8f4ad3e99fc742038c7be5c40b5ebe60</t>
  </si>
  <si>
    <t>2babf86d7428484fab4ef450042f40f9</t>
  </si>
  <si>
    <t>e1fa838b400a4220b2a18661136c9c9c</t>
  </si>
  <si>
    <t>68d47fc4ce7c426e97ef6bf6dd4421d3</t>
  </si>
  <si>
    <t>3da54ad83ee247ba900e30809030a4ea</t>
  </si>
  <si>
    <t>397cc684f2b8410aab8bf8622616ceb7</t>
  </si>
  <si>
    <t>9a447ab9a4b849b18e12a2b2f6cc45ec</t>
  </si>
  <si>
    <t>5f8684eaa2d44b4da9fe1b3e004d82ab</t>
  </si>
  <si>
    <t>3f7e3414221848799bba51e0a8afa987</t>
  </si>
  <si>
    <t>658d4ab2afdd47c3a38016e5e3acd696</t>
  </si>
  <si>
    <t>a0f2f59017f94742b2cd059450b6fa09</t>
  </si>
  <si>
    <t>68f67949b4554456b7090e1f08074207</t>
  </si>
  <si>
    <t>e7fcdc9a9f4141e3aa1c5e98d27be7be</t>
  </si>
  <si>
    <t>c9bccae1be5e4802802517c222106969</t>
  </si>
  <si>
    <t>1fa5c56a176d49faa7693166784364ac</t>
  </si>
  <si>
    <t>f3a4f88056cc435dbb87699e5e58e6fa</t>
  </si>
  <si>
    <t>071824587158487595de7949d64e9bb9</t>
  </si>
  <si>
    <t>e1c16f1f9ff1419ab133e59145a3d749</t>
  </si>
  <si>
    <t>dbbb73802da6427eb9a4333f3aefb287</t>
  </si>
  <si>
    <t>d237448262b94cb6a4e1c06ac0dc84d7</t>
  </si>
  <si>
    <t>881c6fe03920483192a459abc1e9275b</t>
  </si>
  <si>
    <t>6b36bd67e7fa4ff1bfde455016577357</t>
  </si>
  <si>
    <t>600665ecef3b477fa7d9fc8b02d1ac8f</t>
  </si>
  <si>
    <t>53d282abb1e8449887b328f995e25f63</t>
  </si>
  <si>
    <t>ad732582a760417aab5d0dd5e1c84af7</t>
  </si>
  <si>
    <t>690dc950bb014a58bf622b6bbb07b610</t>
  </si>
  <si>
    <t>e48e046d7cd449f780a5b99c4b622823</t>
  </si>
  <si>
    <t>565df2fc51ec4f7eb0dffe1427d65cfb</t>
  </si>
  <si>
    <t>60c8dcc3f85748c4a399b55d0a8f7fb1</t>
  </si>
  <si>
    <t>45d2c21999664ec78e3735015f1a55d6</t>
  </si>
  <si>
    <t>13e47a5e98c045469ebc4c288467b8d3</t>
  </si>
  <si>
    <t>62a926b4571446e6a28aedbc5fdded05</t>
  </si>
  <si>
    <t>2a0ccb28e3f84fb799c476be9808f52e</t>
  </si>
  <si>
    <t>66f20d171e314766863fed66412d3841</t>
  </si>
  <si>
    <t>087ac9e145c04fbaa70f76b16c24b378</t>
  </si>
  <si>
    <t>da023b72962c4c62ae8a088495d81239</t>
  </si>
  <si>
    <t>6cd1789ba68d44739ed18c02fc6f3c5e</t>
  </si>
  <si>
    <t>597df8e89fc84d6a870941cffc801cd2</t>
  </si>
  <si>
    <t>ad96c4e1a88147d6a02220c44094a69d</t>
  </si>
  <si>
    <t>781e43f1afe64515a7e3350e3dade761</t>
  </si>
  <si>
    <t>d5c57b1d8db548eb89c85586971127a5</t>
  </si>
  <si>
    <t>3f979b8c6d0743209afcf9a2d30d57ce</t>
  </si>
  <si>
    <t>1fac3edd2a164b4bb1b8a7de7766985b</t>
  </si>
  <si>
    <t>9428c9af734a4b43a66e27ccdadd5316</t>
  </si>
  <si>
    <t>5d71b987d38e4ffb9d0262ff9d592985</t>
  </si>
  <si>
    <t>57b470b28a4d49879cfbdd3a7f3d7347</t>
  </si>
  <si>
    <t>8498a75db9a44a92a8be9263279cd669</t>
  </si>
  <si>
    <t>9181fde7a1674789b5f3ac91fdaf1db1</t>
  </si>
  <si>
    <t>b992bd41ba474e9ea0852ba4e3e2b98a</t>
  </si>
  <si>
    <t>c2b3bd92bab04975b30998e71a3efa10</t>
  </si>
  <si>
    <t>8102eb79cfd64cf08d8427b0c2dcf3b1</t>
  </si>
  <si>
    <t>7c98783ff41b4d9c83a855bcb3d4f2a4</t>
  </si>
  <si>
    <t>34cb9ae66bec4720b5e8d4eacbfccb3a</t>
  </si>
  <si>
    <t>0ca07870e88048a88c853f3b5cf8f6ac</t>
  </si>
  <si>
    <t>5cb6a0bfcb414ea3aa87329dd80f64a7</t>
  </si>
  <si>
    <t>cd654a9d484942cda016b04600dfff0d</t>
  </si>
  <si>
    <t>6177eefbb784432f8bfa40ab10f8a711</t>
  </si>
  <si>
    <t>4e4611d2411a4aa9b4a436a92cde033b</t>
  </si>
  <si>
    <t>e49c1317f94f4a169f7a776820db9052</t>
  </si>
  <si>
    <t>f85f1bef8d5c4605af9117b2fe816510</t>
  </si>
  <si>
    <t>2f86e20288644934b461f5d625055d2c</t>
  </si>
  <si>
    <t>1c1f5c0ecfcc428ba601682a3f9a0d94</t>
  </si>
  <si>
    <t>27b9d852a3534658bd0109686d2cee95</t>
  </si>
  <si>
    <t>73ff5f107e664604a163b715ac7311b3</t>
  </si>
  <si>
    <t>ad9964136abf4df881b70c9ef0861f4d</t>
  </si>
  <si>
    <t>290e36dd72104ebcb179e41755599af5</t>
  </si>
  <si>
    <t>28c7fb63745d484e8484cff2d1433ccf</t>
  </si>
  <si>
    <t>0039356f8aad4a12b86f5594892cd35b</t>
  </si>
  <si>
    <t>259ab2e5b523492ca59928fd0cb253f7</t>
  </si>
  <si>
    <t>829548590a0845f6bc8d9c6690867765</t>
  </si>
  <si>
    <t>a4ded831fab94179839a904ed274daa9</t>
  </si>
  <si>
    <t>a9e4974055864adf8aa2c6ddba8812b8</t>
  </si>
  <si>
    <t>771153c1a5064112ab6ece03de021fdd</t>
  </si>
  <si>
    <t>a12e12b43db84445aadb774bd3ab4aa7</t>
  </si>
  <si>
    <t>72b891a80c6347d7a846f53e0c9445b4</t>
  </si>
  <si>
    <t>32f9901ee17a49cdaf49fcc6cdb31b30</t>
  </si>
  <si>
    <t>b787b3a9313e42fc87b92f7f2b8db92d</t>
  </si>
  <si>
    <t>d85453010d144676be14a307ce6b5709</t>
  </si>
  <si>
    <t>2aba64b6f09648018062abbb3f248672</t>
  </si>
  <si>
    <t>ce6b399a7dd0463980d2e8e1f7ea4351</t>
  </si>
  <si>
    <t>42a80177990b4d26a2e1ac20b14fc598</t>
  </si>
  <si>
    <t>0b8265ec2a3f4adb95723c3eb281f205</t>
  </si>
  <si>
    <t>d9c24646a4584cdc8c29da304a9cb750</t>
  </si>
  <si>
    <t>e711e9217c4948858583d18af55ff327</t>
  </si>
  <si>
    <t>4f9a063a5d39456cb010e023e0aae75e</t>
  </si>
  <si>
    <t>12d675830f2a4837ac2d23614ae731f9</t>
  </si>
  <si>
    <t>095821990cb24504a2ef6597293bdfbf</t>
  </si>
  <si>
    <t>4d92ae5353ab4febb6c11ce74c688cba</t>
  </si>
  <si>
    <t>f0b387208d6e4f888b8e3e8cff5244d4</t>
  </si>
  <si>
    <t>85f0c15cb69448319ce73b3ed9356f0e</t>
  </si>
  <si>
    <t>77808329f9af4171888f4f0d2caeed0a</t>
  </si>
  <si>
    <t>bb803d7e899b4e129782aae1394321cf</t>
  </si>
  <si>
    <t>8ae7b0a1ab344ce5bd3c65fe081f7da0</t>
  </si>
  <si>
    <t>b5d2d7d33d694070a5d7b2585d731e38</t>
  </si>
  <si>
    <t>1fa73f89e5be4449823810217a534231</t>
  </si>
  <si>
    <t>5c6dc9b9f7f64f32b803d2fe19aeadbc</t>
  </si>
  <si>
    <t>63c28eddd1a44376bd645c493330d73f</t>
  </si>
  <si>
    <t>90cc0de538c4475996f31c0376c0788c</t>
  </si>
  <si>
    <t>383bb37e5f6f464097857fd0a58a1a6f</t>
  </si>
  <si>
    <t>058405cb56a14037b17244481d750572</t>
  </si>
  <si>
    <t>b8a46b7d8d624e4d80be428ce926aecc</t>
  </si>
  <si>
    <t>45d8a2fb053944589137ace3c0d5c304</t>
  </si>
  <si>
    <t>3cf158f7a6c8469c863e31ad84ab0008</t>
  </si>
  <si>
    <t>6ec94f3e3b9546acb9f4b5f49978ee7a</t>
  </si>
  <si>
    <t>0e3926f939884f58bd650b5ffdb96b8f</t>
  </si>
  <si>
    <t>2d7d57737e884cbb84f900c385231627</t>
  </si>
  <si>
    <t>0f573912367c4a60a50639924d28f94b</t>
  </si>
  <si>
    <t>d5113ac04e4142699ec4bd2e2ea874f9</t>
  </si>
  <si>
    <t>6130e14e0e474f02941e8131f1b14e42</t>
  </si>
  <si>
    <t>c6c39d03bf404020bce4f9a4c8198c93</t>
  </si>
  <si>
    <t>1e9149f9c94e4818b7db6c1ceb714058</t>
  </si>
  <si>
    <t>b4c9f8c686ab42f68dc008781d88f5c2</t>
  </si>
  <si>
    <t>479cfb21e40c48e2adb9ad6e80e09e38</t>
  </si>
  <si>
    <t>d3a5b5312e0449719e0882a8a4e799bc</t>
  </si>
  <si>
    <t>b385e292c0104967ab8de1496e778b50</t>
  </si>
  <si>
    <t>ba22119cf7a44c828f36f1bddcf6755e</t>
  </si>
  <si>
    <t>c5b9a6f2521e4f12ac61ec667986d01a</t>
  </si>
  <si>
    <t>d326f99abd5e4d37b32ddbb310091a79</t>
  </si>
  <si>
    <t>10275ff0c6294ce2bafb54df57e4a0d8</t>
  </si>
  <si>
    <t>53f5517e4cff4a9bb6495ec1afbc7a29</t>
  </si>
  <si>
    <t>f21e07e8b8f54f4ea304be61a17cf345</t>
  </si>
  <si>
    <t>ba555b15c2474b91911b82b4951c3494</t>
  </si>
  <si>
    <t>bb072ab6590d4592bc9931fee086c569</t>
  </si>
  <si>
    <t>39adf05118974d8b8c38177529aeadff</t>
  </si>
  <si>
    <t>a90fd2499c9a45c0a92555c2fa4f761b</t>
  </si>
  <si>
    <t>ab8dc5d278d34f039b2f7a531e6565c8</t>
  </si>
  <si>
    <t>14d62e427e634e1a9784f4d1f494c970</t>
  </si>
  <si>
    <t>35c0deb9da704852bc6332375bece65b</t>
  </si>
  <si>
    <t>454055df81b3460f83078de52959091b</t>
  </si>
  <si>
    <t>87603125c6a84908b74132e29273bb96</t>
  </si>
  <si>
    <t>42e2c767a04041db882037f478915cea</t>
  </si>
  <si>
    <t>eb0aba9c6fd947069f3f0371846a3a1d</t>
  </si>
  <si>
    <t>5cddfd0727e2410e97ceff8ba7c4d0c7</t>
  </si>
  <si>
    <t>18853753f3cd491494a596e5d8293f2c</t>
  </si>
  <si>
    <t>64d189d85be945f8ba3f2304e691acec</t>
  </si>
  <si>
    <t>1d0196bf0c334eb3af67849461282ade</t>
  </si>
  <si>
    <t>60f6197cb22847e7b373b47644f48d51</t>
  </si>
  <si>
    <t>991fe9fee7a249bda4532c24c1b9c3f9</t>
  </si>
  <si>
    <t>89f4e066aab34c8eab498248fc8512a6</t>
  </si>
  <si>
    <t>3b586e3531c3445499f5cef9367aad36</t>
  </si>
  <si>
    <t>acf6778d162146bdbcb4faea9757f533</t>
  </si>
  <si>
    <t>8c3d6d0486e14e10a866f7bae47f7260</t>
  </si>
  <si>
    <t>e030083533e749e5a40782143310426b</t>
  </si>
  <si>
    <t>31fa6642e15e4bbeb2152d805a17fe95</t>
  </si>
  <si>
    <t>75cf72b768b04231890f3cd877c7c593</t>
  </si>
  <si>
    <t>aba5219d20a747ed838c598f7448910b</t>
  </si>
  <si>
    <t>0b7366a5baff469eb5125e080d8a7cf1</t>
  </si>
  <si>
    <t>558dda38f25a4e30b36638e6c073d665</t>
  </si>
  <si>
    <t>b36d8d9cfd164ad1a9fd439272020acf</t>
  </si>
  <si>
    <t>f21078f6fa0b4214911c46ceb45c6934</t>
  </si>
  <si>
    <t>7807a7cb901142d88c657ed985f4c673</t>
  </si>
  <si>
    <t>194076d77368422e89b5c20d3cd25754</t>
  </si>
  <si>
    <t>7c4e322b5db74a3fa6375c2b680c0d85</t>
  </si>
  <si>
    <t>9afbbe96f2cc4ea5a1ad450f04bdfe7e</t>
  </si>
  <si>
    <t>cc1d344889c54a37818a4776e1e55fe6</t>
  </si>
  <si>
    <t>94ddaaffc6c54016aa6c1926106cd153</t>
  </si>
  <si>
    <t>b6596648c8874eaaa363b0cdc3fa1f03</t>
  </si>
  <si>
    <t>5bef01f2d86448e8a63dec924ec4db8f</t>
  </si>
  <si>
    <t>44e825cd909541558afe962c356550b4</t>
  </si>
  <si>
    <t>de58669af1f84bb6bfd029b2227e3b57</t>
  </si>
  <si>
    <t>526b44c5af7b4f0a9a7e919246660d25</t>
  </si>
  <si>
    <t>8bdc28ec101347c298c387c7d173a33d</t>
  </si>
  <si>
    <t>6247dfeb6b6b4935a6f774fda52f8796</t>
  </si>
  <si>
    <t>f51059c34d5640d984c8c5d8dfae57db</t>
  </si>
  <si>
    <t>1b2da4a1566b4f47b8f815dc5f40a4ca</t>
  </si>
  <si>
    <t>64b5cc6722e649f19b2392850775631a</t>
  </si>
  <si>
    <t>5676c0cdfe7343dd8981945c8be64556</t>
  </si>
  <si>
    <t>c4bad3f1cd2b4e869706dd936bbd2589</t>
  </si>
  <si>
    <t>3391ec44b3c24833a9e66d5b98995f14</t>
  </si>
  <si>
    <t>cb354a015f3848ad97b0caf54e07538a</t>
  </si>
  <si>
    <t>17f137ff70dd4702a7d6919626c25187</t>
  </si>
  <si>
    <t>ca3a79090ac241dbb11fff61b26e2ced</t>
  </si>
  <si>
    <t>5a95a7a4dcde4764947e9db2b15ae7cc</t>
  </si>
  <si>
    <t>fa4c24a0082e4cbf87aa51d26aea22c2</t>
  </si>
  <si>
    <t>4e3b71e705004ed4b7a15d7dc2104885</t>
  </si>
  <si>
    <t>a57c491489084ee89fbdcdadc193bc49</t>
  </si>
  <si>
    <t>c8d56f72ea724e60967553d421e46c3a</t>
  </si>
  <si>
    <t>2a27e370f2c441928c74772a90600dd8</t>
  </si>
  <si>
    <t>7434bf5ef7ef4e5c84edee156f9615eb</t>
  </si>
  <si>
    <t>b520aa567f774112b1e5997e9fcd7b93</t>
  </si>
  <si>
    <t>d34fe248596c4c22896002345eecaf91</t>
  </si>
  <si>
    <t>4f0d4c10eb5a43beb2b9cc9aa481d48e</t>
  </si>
  <si>
    <t>9913041ffc184caa990c22c03031437c</t>
  </si>
  <si>
    <t>508bdd6ef0a54dea9b8292158d2b5cda</t>
  </si>
  <si>
    <t>ed6cfd1281eb49d289ccae22998516e2</t>
  </si>
  <si>
    <t>60c2a29bb1e54cb8bc5274df29cf492b</t>
  </si>
  <si>
    <t>30891357f8d4456cac3db72eebcb1a6a</t>
  </si>
  <si>
    <t>cd814e0e878145369c8686718a29eaa9</t>
  </si>
  <si>
    <t>c945c20c34044463b0ad62ab2341708f</t>
  </si>
  <si>
    <t>ae93c71d6a574b9eab7d19d64530983b</t>
  </si>
  <si>
    <t>745c0b67ac7445479c50472fffbb61e6</t>
  </si>
  <si>
    <t>f88fda83411045a1b7277d851c3815d2</t>
  </si>
  <si>
    <t>27ea67ba2e1a448a8dc9773108e7f3c3</t>
  </si>
  <si>
    <t>dba954df60b1402d9e306664267049fe</t>
  </si>
  <si>
    <t>0f9e33ec7454435eb334a527936984d5</t>
  </si>
  <si>
    <t>394f7d80a4ca4ff89f18070f25323723</t>
  </si>
  <si>
    <t>1137dcf13e6547f78e95dae3fd04832f</t>
  </si>
  <si>
    <t>3d052f677950438e82211723ac4b3f36</t>
  </si>
  <si>
    <t>ab2886006701478087158469ac356fbe</t>
  </si>
  <si>
    <t>b2d3fd4589374c979ed7f247e67f4095</t>
  </si>
  <si>
    <t>bea8905e08994c468a0bf7eb0cef0660</t>
  </si>
  <si>
    <t>d8e74515b1da421686ab71f2d4d375e6</t>
  </si>
  <si>
    <t>8131c47900c341339691ffc42efac2ec</t>
  </si>
  <si>
    <t>c438d763fe25412b8471feba0185e48b</t>
  </si>
  <si>
    <t>0f29a6e070d84f55aade339742b02311</t>
  </si>
  <si>
    <t>595e06c584e04fd28771815529364acb</t>
  </si>
  <si>
    <t>172af250d84844e9893f503e3b77200d</t>
  </si>
  <si>
    <t>682919b2cf6c45559c466a333dba4828</t>
  </si>
  <si>
    <t>ab12557a7179443ca87e7cfd42daac56</t>
  </si>
  <si>
    <t>e97f15a4b3554732a39360320d572a91</t>
  </si>
  <si>
    <t>3900880f2ddb47d196b9d9d2dbddf92f</t>
  </si>
  <si>
    <t>c62389e3242745c3bb8ac1a473a6224a</t>
  </si>
  <si>
    <t>b1ba5ebaba5d4f6f8214fed002824c54</t>
  </si>
  <si>
    <t>d7b62d8d305e4b75b402bb60ca42235b</t>
  </si>
  <si>
    <t>64ac0f59e59c4950894dbf0384065a35</t>
  </si>
  <si>
    <t>811a1dabdc5f4155a983d44251a9502a</t>
  </si>
  <si>
    <t>70eb2df0e6054221956d3c13e038a23b</t>
  </si>
  <si>
    <t>3b13e9f2f0384031973d9b33e5bd0b69</t>
  </si>
  <si>
    <t>9fa9a0e5912643fd924cd902dae3c312</t>
  </si>
  <si>
    <t>19f7db312d0a4d23806228b3c830025d</t>
  </si>
  <si>
    <t>529d3dfba5734c268aabbda781ebaa42</t>
  </si>
  <si>
    <t>bd2a4a0c988f4f559d514e86cbaccc2f</t>
  </si>
  <si>
    <t>356d9b9a15774609b284b5eeb0029c75</t>
  </si>
  <si>
    <t>4862c5d01c0a4631b1a97f1c9ef423c5</t>
  </si>
  <si>
    <t>4a7d7b128ad5448794a65a4e13f16d88</t>
  </si>
  <si>
    <t>a4c2bdf657a240d3992dad91645d423b</t>
  </si>
  <si>
    <t>f486ac8c25e04ee788f309f71151a058</t>
  </si>
  <si>
    <t>47cf900423854cfc805bead39b4b4efd</t>
  </si>
  <si>
    <t>e0543b8dfc2a4b87a8bf3ddaa69dc2fe</t>
  </si>
  <si>
    <t>642d85c4606b47c7b56e7a224a7d3dc5</t>
  </si>
  <si>
    <t>d7d38a0c966946848ce0640c1259c788</t>
  </si>
  <si>
    <t>2a1c99cd4fee43589c1924d20ad7d3c4</t>
  </si>
  <si>
    <t>dcdf68d79f9d48d9846729ac6eef0827</t>
  </si>
  <si>
    <t>dca598cb004c4c7ca14f2249540c8c1b</t>
  </si>
  <si>
    <t>bd4072dc6fe44af3980b083d29fd0180</t>
  </si>
  <si>
    <t>8c3888d298d54f03ab58596528719791</t>
  </si>
  <si>
    <t>73cfb1bc7bb14eeb85dc4bafcb27dfff</t>
  </si>
  <si>
    <t>c461a6a78e3d416d8d489a0197706b8c</t>
  </si>
  <si>
    <t>69caa5601bd94ebb8e7f75482cdca265</t>
  </si>
  <si>
    <t>61bd241a823948bea15ba97c370c45a2</t>
  </si>
  <si>
    <t>f66a5c32c93248969790db8a18d00653</t>
  </si>
  <si>
    <t>e33590f2655144f68e930e7d7b17390e</t>
  </si>
  <si>
    <t>d7ce3dab55a8448e97c4f3e47ff74f97</t>
  </si>
  <si>
    <t>c682895a0a2f4b82a4e3b451d3f96945</t>
  </si>
  <si>
    <t>ba1ecf8e9e4a4888bc02964dc3333ec7</t>
  </si>
  <si>
    <t>e8e2f4fb0bcd46288756ee2ecff4b86b</t>
  </si>
  <si>
    <t>a03b25c818bc42ff8bc5db4ae1775530</t>
  </si>
  <si>
    <t>63a9a8eb8d6143c796205d1898638ddc</t>
  </si>
  <si>
    <t>ce9bdd1809094ad5a52be242338f7ef0</t>
  </si>
  <si>
    <t>6a90556e513a40d7bd847be69319ad58</t>
  </si>
  <si>
    <t>70c79e28739348649e62920835458796</t>
  </si>
  <si>
    <t>aa0d4fa0955e4d049186451df52981b6</t>
  </si>
  <si>
    <t>396379cc4ee1440faca37335b8cb56bc</t>
  </si>
  <si>
    <t>3aaf91327e864d1f93bae5c707e52a8a</t>
  </si>
  <si>
    <t>12c365123cda4cd5bf8fa62d5bb10461</t>
  </si>
  <si>
    <t>c9130adcc1d942b6aeaf4a7b3e632cbf</t>
  </si>
  <si>
    <t>7de7ba8b7a7d4d28ad0ac3a5b67c08a8</t>
  </si>
  <si>
    <t>917bd452db2642ce815412ecccfcba3f</t>
  </si>
  <si>
    <t>795083e9bc494fce84fcd0ae547231dd</t>
  </si>
  <si>
    <t>01f9f843981241a296744979f7c20405</t>
  </si>
  <si>
    <t>4e18c332b40b466fbc0f8989f1fffed1</t>
  </si>
  <si>
    <t>7c4b08380e4543a2af7734d74e3ddc1b</t>
  </si>
  <si>
    <t>280434013bc94c3f8f85e28c70b70c57</t>
  </si>
  <si>
    <t>85d736f75d334fd28c63bfaf949f72e8</t>
  </si>
  <si>
    <t>f986d15f202a48bb8ef5549a6c6179dd</t>
  </si>
  <si>
    <t>e3052b4899c741a88e1943c8011ea5b8</t>
  </si>
  <si>
    <t>f1721dd8a6c54dce987a2ea54b4a600a</t>
  </si>
  <si>
    <t>2fea7c04652141d18748f5b2fce38721</t>
  </si>
  <si>
    <t>81dea8a661a14a6fa221e49d0c0c666b</t>
  </si>
  <si>
    <t>08c8cdff3a6e4756ab4c2a69ff467703</t>
  </si>
  <si>
    <t>8ea5399ddc2048af9d162ba555b6fbc9</t>
  </si>
  <si>
    <t>caa4b684dccf4b84a541ab05dbe5d58e</t>
  </si>
  <si>
    <t>0536ed583ac645838970976dee65120e</t>
  </si>
  <si>
    <t>ab7c99ad61e04c53aaa883ceb106721b</t>
  </si>
  <si>
    <t>850df6a9081e42f2b2241fb3191b58eb</t>
  </si>
  <si>
    <t>9ad2dd917af64f64ae024f24930059d6</t>
  </si>
  <si>
    <t>303c42f442194bc28408dc79a2337a99</t>
  </si>
  <si>
    <t>3f4df0f70d854df395cacbb621268616</t>
  </si>
  <si>
    <t>e7042665d9c94a85a0e5f1d351a63b80</t>
  </si>
  <si>
    <t>8ddf2238aef24611931ce51f8fa83f84</t>
  </si>
  <si>
    <t>c1e49580ea2a46ca90b04e6b36860731</t>
  </si>
  <si>
    <t>213e108f281647a5b473c920dc15eda4</t>
  </si>
  <si>
    <t>f45486c8d5b44a9788dcefc14cc4b09c</t>
  </si>
  <si>
    <t>197d5ce7a5ca478390136c7f558112b8</t>
  </si>
  <si>
    <t>ae3a02d977e741dc937b479a74f174cb</t>
  </si>
  <si>
    <t>c299f05c081b4339800118e0d2ba2488</t>
  </si>
  <si>
    <t>fa3e339c614a45c6861b724d9fc1e209</t>
  </si>
  <si>
    <t>74c2ae656dbd4874826311c9e9c7c882</t>
  </si>
  <si>
    <t>1a358c6671f34a1dbe63a5f63d001be2</t>
  </si>
  <si>
    <t>bc5e1c0880dd4a8fab683c5ca52c1b19</t>
  </si>
  <si>
    <t>28f1d76c4fba483382a3e5f63fbe0fd7</t>
  </si>
  <si>
    <t>994ef3ab97494801b4a04f5c117d6201</t>
  </si>
  <si>
    <t>8b3154b3a8934efdbaa1b02dfb25c725</t>
  </si>
  <si>
    <t>f598acff01ce4ba9bba37107b8e5f2d7</t>
  </si>
  <si>
    <t>62b5b46a003f4bc881c03aaa57910176</t>
  </si>
  <si>
    <t>f7fde624002a4231af44e415a1e3d857</t>
  </si>
  <si>
    <t>d603f2c76d0c4e0cbd0042dfe8cee8fa</t>
  </si>
  <si>
    <t>19a3f660c932449aa6ef014185ea670b</t>
  </si>
  <si>
    <t>03ecf5330662459cbda93ba8ba6d9048</t>
  </si>
  <si>
    <t>d6729a51fb6d46d7ad9195b98fc1007d</t>
  </si>
  <si>
    <t>b258fd5489d94bdc8896dd20c165b807</t>
  </si>
  <si>
    <t>8f9caa5791f44992ba651d1cc3caa66b</t>
  </si>
  <si>
    <t>639b8fbc147545d9a355fefec8831879</t>
  </si>
  <si>
    <t>33f6acc884194949a7d819a4acfd62f5</t>
  </si>
  <si>
    <t>87f139caded146798bd976c16be772c5</t>
  </si>
  <si>
    <t>bfc5f546ef3e4c2c927ab13dd85818cf</t>
  </si>
  <si>
    <t>a03203aef8024b2b999ea795912340c2</t>
  </si>
  <si>
    <t>b336f01edfae4f27ab04a6b670ffe3a6</t>
  </si>
  <si>
    <t>976eaefd935644d48e73758c9aec6f9f</t>
  </si>
  <si>
    <t>11940b79fadc45a4bfc44217f95fddf7</t>
  </si>
  <si>
    <t>1306b01469bc43488f1b5d0a8776d036</t>
  </si>
  <si>
    <t>7fc05a5a66e44cc5b1a6118e8772d860</t>
  </si>
  <si>
    <t>0d9439bb5a024a45a5cf1b9653a84144</t>
  </si>
  <si>
    <t>9f2fb83b7d5f4865bdc4c2d1d38ae7b3</t>
  </si>
  <si>
    <t>579617a5222445d3966b0d3f539d861d</t>
  </si>
  <si>
    <t>465c5652f80049ffbb224956725d83f8</t>
  </si>
  <si>
    <t>fae1dff0605f4d50aa61845362732095</t>
  </si>
  <si>
    <t>bdec715dc6b04e8ba2716cb40758d038</t>
  </si>
  <si>
    <t>Va Dept Of Taxatio</t>
  </si>
  <si>
    <t>d1919394bad24a6c841538fb5039e9f3</t>
  </si>
  <si>
    <t>9d9c44a3daac4327ac021970462f9d97</t>
  </si>
  <si>
    <t>9c021f8c00c64b0a80c9fa7f5961854b</t>
  </si>
  <si>
    <t>0960a4dcb33e4145bffa3f48e4e1c0c3</t>
  </si>
  <si>
    <t>e3485222e73e4660b2d0f4d1fe1ffb96</t>
  </si>
  <si>
    <t>34ab4ed511f4442d93996dc032883b14</t>
  </si>
  <si>
    <t>edd0de08c56a4d0798414b576cf49595</t>
  </si>
  <si>
    <t>8e90c766dfa44a65ae93b0dd2165a391</t>
  </si>
  <si>
    <t>4a45cba138774e6eab43179e2efba141</t>
  </si>
  <si>
    <t>cf05563714fe4afd8567586accaf08bb</t>
  </si>
  <si>
    <t>01f1a60b73f3487b850f4dba506943b0</t>
  </si>
  <si>
    <t>c9cf499a99364c848a14e41e12a8c44c</t>
  </si>
  <si>
    <t>0ef48e89ea2b40cfb08ed29169a8e10b</t>
  </si>
  <si>
    <t>67e834757e504474a406de7d274a808b</t>
  </si>
  <si>
    <t>aa1106a7960c46a7b62574cdb7a914c0</t>
  </si>
  <si>
    <t>dd8b057ff0ff453c8fffbe416a0a37c4</t>
  </si>
  <si>
    <t>3a669e4051454c6d97958cad204ddb63</t>
  </si>
  <si>
    <t>cd0223a90ce542d5bfa236d689bb522f</t>
  </si>
  <si>
    <t>97d1d638af244f2b97a268dbddca09e1</t>
  </si>
  <si>
    <t>f1c38872a13e497b9e7733c7dc3bdd77</t>
  </si>
  <si>
    <t>7d0276cf7658499aac8d3641505b19c9</t>
  </si>
  <si>
    <t>b18afa29637648a4ba88d719e63815ae</t>
  </si>
  <si>
    <t>fd2bcbc6e6f148a1aa18c91a91a25a13</t>
  </si>
  <si>
    <t>6f3ecd57a05d40e2945072532c237759</t>
  </si>
  <si>
    <t>c8b0f206055d4098bf2a1f908f836061</t>
  </si>
  <si>
    <t>8b741f80aca444f3afd5c19f2faae597</t>
  </si>
  <si>
    <t>80cdda70b87d44a2b67d54faa74bd4cf</t>
  </si>
  <si>
    <t>5ee17857a3104ad98ca055e103e89f86</t>
  </si>
  <si>
    <t>dc87242cd88f4a118d3ea97a8e563daa</t>
  </si>
  <si>
    <t>231b7f6072974b2a8b88b49c81c02f7b</t>
  </si>
  <si>
    <t>19746e0bbab14f5488b24a7a18901201</t>
  </si>
  <si>
    <t>2acd188a27fb45afbeec88ecb46e62cd</t>
  </si>
  <si>
    <t>5e7f22eed9ee44918d47d588469ccef4</t>
  </si>
  <si>
    <t>704acc6f87c844bd8c90cca44dfa0bb0</t>
  </si>
  <si>
    <t>fccd4fdafee74f278852f01eb0d7eb82</t>
  </si>
  <si>
    <t>5cf1463231fe402ca40fcaae90c3fe3a</t>
  </si>
  <si>
    <t>c428541f7b55416f984f1326a0a3c0fc</t>
  </si>
  <si>
    <t>c2e8537db2a9438d9aabc87b99df3d81</t>
  </si>
  <si>
    <t>cb811003a31d49ceac022f1e85bcddb4</t>
  </si>
  <si>
    <t>f7df0f3baf4c458c91ebf4b99c817a6a</t>
  </si>
  <si>
    <t>4dfe72fc5c6141c99ff84b599f06d0dd</t>
  </si>
  <si>
    <t>25ddd6c3e5b3446097520b3d607b29c2</t>
  </si>
  <si>
    <t>10ba909b10044443ade239f6367be0d1</t>
  </si>
  <si>
    <t>d2b68dea19c84f1a93b55cfd6a9c06af</t>
  </si>
  <si>
    <t>37c185a42b104ac291bf730876f7bd8e</t>
  </si>
  <si>
    <t>e6a4df0d94c34cbd8cd4eac189742277</t>
  </si>
  <si>
    <t>2448e26648154d088ef07444a58d5ee5</t>
  </si>
  <si>
    <t>410dad7e42ad4e2291ff0040542890d1</t>
  </si>
  <si>
    <t>1845afd472b14234b02adc22fad48cab</t>
  </si>
  <si>
    <t>2f50f2b86a5645c4a0a6df902f87328e</t>
  </si>
  <si>
    <t>26f9c18d12e843fba3adc72e4314b716</t>
  </si>
  <si>
    <t>5b59c98781534d5f8403a096d274b997</t>
  </si>
  <si>
    <t>237fc5f08c4b4f7fadebf38852cecd10</t>
  </si>
  <si>
    <t>62a5b59028c3455ba7732af8cc52fbc9</t>
  </si>
  <si>
    <t>bdf7e28422c44e61b6f1607d27af9ae8</t>
  </si>
  <si>
    <t>7234a3241f704fa5853bafaf390ce5bd</t>
  </si>
  <si>
    <t>a951472a1c94445cb2c76404ea59cc55</t>
  </si>
  <si>
    <t>2ea0cf6df360469a9986dde92792e2fc</t>
  </si>
  <si>
    <t>5436e51a22a946bdbd0875a71faf09e5</t>
  </si>
  <si>
    <t>6cc5223227bf41c282abd21380f5a65b</t>
  </si>
  <si>
    <t>72d53b4599444d0a8d974fc57614e8bc</t>
  </si>
  <si>
    <t>d5b5d0f3e9d942339057a2e6b6fc85de</t>
  </si>
  <si>
    <t>78e082cab82440b68b4bd53daabb05c0</t>
  </si>
  <si>
    <t>efe7ab8e9ad941f0bda2879f14b1ca58</t>
  </si>
  <si>
    <t>b71e372e82b94f469f2499ebf656dcf6</t>
  </si>
  <si>
    <t>05929a1d377e4f748f16e9bae9af6ea8</t>
  </si>
  <si>
    <t>2fde0797860943d4b716481ae65dbeb8</t>
  </si>
  <si>
    <t>e7a999902ffc4e26bd6b6c2d4214aabd</t>
  </si>
  <si>
    <t>Best Buy - Citi Card</t>
  </si>
  <si>
    <t>iVBORw0KGgoAAAANSUhEUgAAAJgAAACYCAMAAAAvHNATAAAAS1BMVEVHcEwAPWYBAQH26xYAQmsAO2UAP2cAO2UAO2QAPGUAO2T/9Rf78BYdHAM1MwXo3hRQTAcAKkcAFiaakw7XzhOAegtnYwmxqRDGvRHWYZKLAAAACnRSTlMAR///FMYnoOR1fdweOgAACbNJREFUeNrVXOm6oyoQnGjUqIBEcHn/J72goDQ0xpxsXP7MnO/MaNlLddEs//69OK7lpa6qoihut6a53dRfqqq+lNd/PxxlXRUKDT5uRVWXvwEVxeSg+zK4yxlQO7jLt2z1BCqD7fN2u9ZF86dR1J9Mh7JqXhhVmSSsj0F7HdZHoF3fAmuB9tZYq5s3jvp9tFU0bx3FJTEvvtefl1vzgXG7JBVd74u0a9F8bBTX1Nz4ujvr5sPjj+6smo+PKlFcf0H2ybB/JQW+hetZZNdb87Vxu6Zorydt9lVcCllS+fiH3Pw6rpPI6uYH40QNuDQ/GZeUiOIp0iiaH40iwQA7EWYHAXbP+vv9/qMwOwiwe7aNvtcQ798MsziD9Vkm5kkMI2eMuhDfacbqeUf2GZtb0upB8k5qiBojpe814+XJjFRu5F2bb4NsEFeMbzNj8VxGKlwDITk6CDCjeNWMaGZeo26kU5s/HKfM+BDj9XTk3/uMyxO4njJj3NVI/JdRN+Yk/+t43ozlOYOddONjgI/NGDNZGWEJ+Q5cj82YZTGTVagbxxfc+IwZ5Q6semiwe0YF+SAuF+Kc9ZEoq3Cyz78z2im744l5RVhi7FZzLdYmH7VdKxxggMvqMLxWN7YD4+MwiGmWnYH4CWCDC6yOV0nFEsaN7WgTmlLGFcZp7trWCd93AcMrZhmQva3ZhGf+oONkfttZK77qaTJmOMnWcbJnGTKo0P9AfSdl2tOLo62n/4JQfT5eym+QJVyypxk6uCR561pTe3oJxs5l0rOWZD2QsphA9Gp2FwGWMdTNaojW5DLJpZx1zjxOmI72qGB0SaynnfMYTckbFFU6HADKrKibF3MTIgVfS6Gy5KASZknxmKt9YBXiyYwRSMnbGFQ2CvdH3Jqzjr7ZMyYbZ9JKE40BNarPh8BuSE5mvIWU7PiIuFhEBJgKvnxAo3Jyo1FMGzUS9fmePCvDnMzGFlLybqJ5nhxDzK1EE1ZFwohG5SCCf7sm9QwqkpOXFcjJoYXMFxkjcd2sUGv5oiQW61oRyZbYswZYkfYgg2QhALAx8jDeEdfNKuRXolV0FknkOfosASvSFmQlZFegWFuOf/2kCBZYhtqKCg3JZyUFB7amDo8Am1pI/DbIalglZwIpGQWmmR91M/eASW3HfGJcPYtFgM0tz7B5XAWBSUA0zAEjhh0mkwR1DVfeBK7kQir+yjU5DkDlu3nMMmy2BJSF4lfIfM4rVQjNG1AV5Jg1VU4THzAzVV/zVidZmMdeRbIKA3R4emaqnGE+FxjM0gEFpnKadKHP6GBVp+tQtsxEeED8a/RD8boQf6uqXN56FWnU8sv5XgYqkvWRzmnSIZCZQeY6ejQFwCf+VcZCLaYNQwTTX0NgRdISB0BxX8F1wdbfv6ROSyZOw7QIgBnKDIl/SUvYe9JfIXTvcKnGgKoCE/jfboU3UeZWRXxkYREFPtiEyIQAu/giUdfm3kZbhMTXp0pgTVv+lsBcWaKTgmWefYAPDGWGxL/wRdV4xG8Me1efGK9IynkzWioV2+gI41On67MEVl2t49kwAqzygU0uMOWQtQIi2hp3M91KJeWDS3zGYsAHhjLJkGFtnwICm60rNb/YCdve3GRaEAyal3A301zGNO9EPGBWkiIVSRNZ4RP/Gvz9Vs3JFtirRNY/6z8ERVOCRX3vyxXL5YSfALaYSb+SCWLlpTcLsiWrk0jLi8sIMLb6za1jDJ+KWGAI8bfdPG/NYBOuVnfusws9BTIq3rSTFEYVSNNI8VmVL1e4/USKALv5wIiZd6Ei1lDDKOQ28dkcvbUPFE9MkMMon+wD3YpktDLpcGBNXPHHRSxVFK9fxZe2gZli2KmkBpvLSeh81maeVNwicmXTylhFapp/TVzxH4rYpRlEAYGpMe/RuAYkgX2YsxVJAQOuhIr/SCvqNHOllwFGTTQqM87SaW1sj5N7/9USP1aRvBjzFH8QFVDnCXeetOY+qJ92FrQobo95dP+1y+PEr4AVccXvR4VSTnJw1ers5T4BSJnPpaqQuBNetDmG89gdKn4/Kka9zuXgdKvSkvsEIJVePBkFaYhHKEIiUeL3gPmK3zPCoGAKOB/0BK6DlBG//EDNzbtJrOqN48DcIp6FrvS0ohtk0mWS0S/RWnFy0PkQMHWmYRy0HZCpSKAu7ja58O6FP091mWTwpgTLtMRxJu1miKud1ER0MRlWkRQwTyiyjvgN5cicF3bulnT2kbr/GRQDRTUqKoTAelBWKF68djWHLd+IVtQLvsBVSwwESMkYo8AFEsF6UFZal37DeiQx4geSUTM/8xU98xt4aCMDLARFiL8M1h56r98zOiJQzah3FcY7961rbPpI0RCFC1Q48etViFuAzKV/x11s4W7h2Ix6DBoiRUqtt3AWq0jIEj0kDWeKu1STPeboMfGbKuRL2tHrwhKBEz+2vrWti0Aj0HEYwPRicg2kKjVkVGuR2cN1uCriNlVqbEFwo7NoP12D4S59SOnOAhiumwJckYpUx5YqLZ0ReTAXzw8m6rviBHlNHq2KuN3hG4bMUA2Z4++eWjIe/BITdGP7aFXE7adX6Gr4aIBFum0ZVdRPHkzWomr6YPHBaQ7X+Dr9+hAt17c19Q0i5WLtxXW4vgUllwZtFNeTKLD6YIuK+xRilZ2COE9a19s1S5Jj814mIzI/1KF4RbqGSzaHGsgsqAEmIt3A/PZhHlmOQnQoWpFux5tnXDo7XJ/NZzEyu6S1LbNigk6Sw3V6f5HrEtsFReW55UayLD1IKZdpelzQwc5zfCpywRZSD9XZ8QYUdNmUTHtW00fr9N5CanTnWA/S/q9j3ykzIsAQ4q8f7IRC1Nkft8psu3kQYAjxlye25fYYJ75190wIrDizL/feI6T41hFWpPrENsB1UwH54C4ahPiv53bA3hWRO7to3oxRzfD6w92A1+bMnuFw/0f7IsQ2JP7rM8ce9E5CvaMw83b64LsCnts5dj/ePlme3aqKYlwhyufNGC7XlK+fFLk3r5sxqEjVye2mT9gRNeO+7wzHGExFyo8drvFd7ZoxWCsIKlL1xJbm92LULTvHjH5Fun77WIbB6O1RURAh8de/PMhizGhB9icOtHz7SNJqxjOnRn5wuOzcQbNfnZZ6fGbq8ktgl//jgal0j5ileygv2WOM6R78TPeobLqHi9M9jp3uAfZkj/yne0lCutdKpHsRR8JXl6R72Uu61+Oke6FQulcwJXxpVbrXfKV7MVrCV8klfPleutcVJnzB4+sOrT55k2iil4gmfO1qyhfVWp+meLXv5tQEL0PeTfeh66P/A/HgR7RmlSSWAAAAAElFTkSuQmCC</t>
  </si>
  <si>
    <t>a82d9aba872e4e9b9684a363d4cc52b5</t>
  </si>
  <si>
    <t>4561</t>
  </si>
  <si>
    <t>Online Payment Deerfield Il</t>
  </si>
  <si>
    <t>dfa426ee419f4157ac4ea3b22b361e53</t>
  </si>
  <si>
    <t>f5f8a5cec3be438a807543d2d37e8642</t>
  </si>
  <si>
    <t>e7db14402d9d429fbed29d3643c869dd</t>
  </si>
  <si>
    <t>f3d6000b84744fe988e883a6ccb0d561</t>
  </si>
  <si>
    <t>20fdc87bfa0f4b8ca4abfda02bf55ee8</t>
  </si>
  <si>
    <t>Interest Charge On Cash</t>
  </si>
  <si>
    <t>8c8758c46f05406a9478c77924c4f4f4</t>
  </si>
  <si>
    <t>Interest Charge On Purchases</t>
  </si>
  <si>
    <t>a7830dbe4c0b4ad88deb3d383a0daf84</t>
  </si>
  <si>
    <t>035e9e53b3e04fa0a05ebcab73d49ed8</t>
  </si>
  <si>
    <t>Gametime Tickets Gametime Co</t>
  </si>
  <si>
    <t>78709543c69c4e7d8f7841053c9e726f</t>
  </si>
  <si>
    <t>e88d5b1d3c0943dab8c87b1ae083dd90</t>
  </si>
  <si>
    <t>Church S Chicken Phoenix</t>
  </si>
  <si>
    <t>ca95f3ed0c8c47bb8d0371088d0554eb</t>
  </si>
  <si>
    <t>R T Osullivans Sports</t>
  </si>
  <si>
    <t>0f244123a05a425da9f95986ea1f5062</t>
  </si>
  <si>
    <t>Roadrunner Lounge Scottsdale Az</t>
  </si>
  <si>
    <t>171f819dc3ab451a91eb1517afbd3350</t>
  </si>
  <si>
    <t>Rockbar Inc Scottsdale Az</t>
  </si>
  <si>
    <t>7778a4955e874432b3ef29c4123c60c9</t>
  </si>
  <si>
    <t>Forward Ca Security Dispute</t>
  </si>
  <si>
    <t>36ff3187f41740fea61f213439bb025a</t>
  </si>
  <si>
    <t>Hot Daisy Pizza Phoenix</t>
  </si>
  <si>
    <t>5da379c3d5a24434b9fb3791bb464d3d</t>
  </si>
  <si>
    <t>State Farm</t>
  </si>
  <si>
    <t>b8066cbac062423c834b405d1167fe3c</t>
  </si>
  <si>
    <t>Krystal And Saagar Dc</t>
  </si>
  <si>
    <t>1c832dc7b71a4877b53f0bcf5a61396c</t>
  </si>
  <si>
    <t>5801f2653c1f45c38cea9a53d057fad3</t>
  </si>
  <si>
    <t>Phoenix Tennis Center Phoenix</t>
  </si>
  <si>
    <t>91e215761cd2429aaec7335bd09a6f5b</t>
  </si>
  <si>
    <t>2d87ad0b1aaf410f8d69b429de2b16ca</t>
  </si>
  <si>
    <t>Dicks Sporting G Scottsdale</t>
  </si>
  <si>
    <t>f533793895844791be29bcfdb177b2d6</t>
  </si>
  <si>
    <t>5e1c25388c1f47ae820a43cac10cacd0</t>
  </si>
  <si>
    <t>022c87d0e8c24221a63800dd17a68707</t>
  </si>
  <si>
    <t>8599c7135ea24b00b442ff2bff39fb80</t>
  </si>
  <si>
    <t>Ollie Vaughn S</t>
  </si>
  <si>
    <t>f24270193b2d48448c72937bb22d9bc2</t>
  </si>
  <si>
    <t>a18a468ed3124d44af00635051c0a7d5</t>
  </si>
  <si>
    <t>Forward</t>
  </si>
  <si>
    <t>39563b1efad64c498ee25178048ca064</t>
  </si>
  <si>
    <t>Sportplanlt</t>
  </si>
  <si>
    <t>c52d599936ae4f2e9faa926d23360c1d</t>
  </si>
  <si>
    <t>The Actuarial Bookstore</t>
  </si>
  <si>
    <t>1315aa28498e4502933d8f732d696923</t>
  </si>
  <si>
    <t>Clr Stretch Tx Clr</t>
  </si>
  <si>
    <t>a44e0e563f834d49835dde2f1cdf4b6b</t>
  </si>
  <si>
    <t>97fc772d02ad4832903d15e6f54176ef</t>
  </si>
  <si>
    <t>Cafe Rio Camelback Phoenix</t>
  </si>
  <si>
    <t>a324d03e77b546ee843fbeaf3ad36eac</t>
  </si>
  <si>
    <t>e221924d8f0f449a94bb64898a441f70</t>
  </si>
  <si>
    <t>af458aa51c4d4c00b6e0dc98fcdf003f</t>
  </si>
  <si>
    <t>cced5c6e35bf4e1895634dad3c3f6aad</t>
  </si>
  <si>
    <t>4b0ab823fef040f98a65234250b4b458</t>
  </si>
  <si>
    <t>Morning Glory Cafe</t>
  </si>
  <si>
    <t>33b2e5f6a4fa42df9a10c804bd91e79f</t>
  </si>
  <si>
    <t>Pp Roku For Crunchyr</t>
  </si>
  <si>
    <t>b8cfe240045e45ea94b53facedcae6d0</t>
  </si>
  <si>
    <t>b618324655eb44ad9da9192b5dca7ce7</t>
  </si>
  <si>
    <t>e39ce96b447947769f7af965c4f46a2b</t>
  </si>
  <si>
    <t>King Of Gyros</t>
  </si>
  <si>
    <t>d92076934c064f94850ba8c05688bbde</t>
  </si>
  <si>
    <t>84732adea8b249698a8bd83716ded773</t>
  </si>
  <si>
    <t>San Holo</t>
  </si>
  <si>
    <t>0032115fe5564dc2900abdfb3f5bf066</t>
  </si>
  <si>
    <t>Taco Boys</t>
  </si>
  <si>
    <t>4db48e403f594c369a2632460de6516f</t>
  </si>
  <si>
    <t>Tip San Holo</t>
  </si>
  <si>
    <t>93178a5c9a644e668fa5018426af74bf</t>
  </si>
  <si>
    <t>31d61e55065a4ec3949abf77f8bde237</t>
  </si>
  <si>
    <t>F U T U</t>
  </si>
  <si>
    <t>c9680c9a6eb34ab0b1f043b686e5718c</t>
  </si>
  <si>
    <t>a6d2102c3ca8491282c226a716bbc1eb</t>
  </si>
  <si>
    <t>Phoenix General</t>
  </si>
  <si>
    <t>cb35db2f02f54b3bb3d01fb23df024d7</t>
  </si>
  <si>
    <t>ffda3e30310043b2a379dfaf91bae114</t>
  </si>
  <si>
    <t>e6d4536993ad45318adbf4175664c0a5</t>
  </si>
  <si>
    <t>Taco Chelo Phoenix Az</t>
  </si>
  <si>
    <t>9dc1e161d9ca4d25b3821bd0b0e191a2</t>
  </si>
  <si>
    <t>The Van Buren</t>
  </si>
  <si>
    <t>e62f1ffe019748e4800b7acb4c19d7d7</t>
  </si>
  <si>
    <t>Ziggys Pizza And Stardus</t>
  </si>
  <si>
    <t>ec494da9c1484659aea8f86e5dbb0c80</t>
  </si>
  <si>
    <t>66f87eb8faab414c965a00665688310c</t>
  </si>
  <si>
    <t>Stoop Kid Phoenix Az</t>
  </si>
  <si>
    <t>32ff3c27bdc542049a10d5295ca6ed88</t>
  </si>
  <si>
    <t>252961de0f404a3b9fe64393a0ece0f9</t>
  </si>
  <si>
    <t>12 West Brewing Me</t>
  </si>
  <si>
    <t>53f96d91cb8842c7b2f83ee6342a00c6</t>
  </si>
  <si>
    <t>5c84a11f0a9a4473b66098a7fbbc5e29</t>
  </si>
  <si>
    <t>Cafe Rio Scottsdale</t>
  </si>
  <si>
    <t>351e1f60f86e408fb9cf37d0fc24900e</t>
  </si>
  <si>
    <t>Cavasson Eastside Cafe</t>
  </si>
  <si>
    <t>964fd0e9efe344dfb5a39f9533058dab</t>
  </si>
  <si>
    <t>Ticketfulfi San Holo</t>
  </si>
  <si>
    <t>5fb3184e77674948a85117159f4367e9</t>
  </si>
  <si>
    <t>Amazon Q Amzn Billwa</t>
  </si>
  <si>
    <t>f58082440bb94e198607f16b196a9d92</t>
  </si>
  <si>
    <t>9c7c00bd0dd7479caa001b6eba010341</t>
  </si>
  <si>
    <t>Directpay Full Balance See</t>
  </si>
  <si>
    <t>3ba0d138e87b49f6a3a3aa22a63f51e4</t>
  </si>
  <si>
    <t>Eb Phoenix Pizza Fes</t>
  </si>
  <si>
    <t>610ca829e5a544c8a889c660da2761de</t>
  </si>
  <si>
    <t>Foxy Fruit Acai Bo</t>
  </si>
  <si>
    <t>8c5c3a52c0b044e88536a6897e3cfe50</t>
  </si>
  <si>
    <t>Into The Fire Pizz</t>
  </si>
  <si>
    <t>459e3617ce154aa3b55d9e0afaf2e588</t>
  </si>
  <si>
    <t>L'Impasto Llc Glendale Az</t>
  </si>
  <si>
    <t>3dbbc9bab3514c6ebd144c28d7a0f595</t>
  </si>
  <si>
    <t>Officemax</t>
  </si>
  <si>
    <t>417552d9ec7c4190a4a66413c95bca48</t>
  </si>
  <si>
    <t>Provecho Llc</t>
  </si>
  <si>
    <t>aa6a3bc040a34560a68dd298a22a0a92</t>
  </si>
  <si>
    <t>75b34f06c52b48f9927dc38d228a3861</t>
  </si>
  <si>
    <t>fe6311fac99e4aef9ffb5a017ce66682</t>
  </si>
  <si>
    <t>6a44fce82c694a6b9ff9a0575aece951</t>
  </si>
  <si>
    <t>Daruma Sushi &amp; Ramen</t>
  </si>
  <si>
    <t>9a33b16f8aef4c5c955144c342c6906c</t>
  </si>
  <si>
    <t>SnoozeCircle Record</t>
  </si>
  <si>
    <t>d0c8858c50de4cd69408b33f826e3651</t>
  </si>
  <si>
    <t>Vizmediallc</t>
  </si>
  <si>
    <t>5792e21be36e4463ad0bd185d78e2f13</t>
  </si>
  <si>
    <t>Kahvi 1</t>
  </si>
  <si>
    <t>548ddaf8963d4aa685a9ed6cad16f8af</t>
  </si>
  <si>
    <t>City Of Richmond Va</t>
  </si>
  <si>
    <t>c19170cc10fb4dc3855413da1a9ecee1</t>
  </si>
  <si>
    <t>cf7ff6ef7afa43a8b07640ff697e27e8</t>
  </si>
  <si>
    <t>Ici Fee Rchmnd Web</t>
  </si>
  <si>
    <t>effa79c7d4cf4fbebe97bf17d6013fd9</t>
  </si>
  <si>
    <t>adf9dc7f6f534322af009dc89224ff50</t>
  </si>
  <si>
    <t>7fd399639e9946e1990e6e1502fdb9a3</t>
  </si>
  <si>
    <t>Tennis Warehouse Racque</t>
  </si>
  <si>
    <t>261054c6801f40e38e58d97ed5b18b70</t>
  </si>
  <si>
    <t>1ab77b4296e041a5825a387d6f2e32c4</t>
  </si>
  <si>
    <t>Central Plaza Llc Woodland</t>
  </si>
  <si>
    <t>fecbb173f2914d5bac08c6d3b3f622b4</t>
  </si>
  <si>
    <t>3199b71982f345e89b6928c6d4a7733d</t>
  </si>
  <si>
    <t>f2e8c00630de49c1904df38c136d1107</t>
  </si>
  <si>
    <t>See Tickets Phoenix Pri</t>
  </si>
  <si>
    <t>601a65e5db204e109e926a1b95403f84</t>
  </si>
  <si>
    <t>6ef1d97052f14056972f906812305473</t>
  </si>
  <si>
    <t>54792fe2e8644a7ab7fa63d38d7dab6e</t>
  </si>
  <si>
    <t>d91851bb46c54fce821f6572ad601bfa</t>
  </si>
  <si>
    <t>Greka Pita</t>
  </si>
  <si>
    <t>e22335cf319347639e52b164e8ef3e51</t>
  </si>
  <si>
    <t>a00d021207744f4fb86ad2fab8288f00</t>
  </si>
  <si>
    <t>Uniqlo Usa</t>
  </si>
  <si>
    <t>b13fea4b4d7847d7845a69653cc2eed4</t>
  </si>
  <si>
    <t>bf51e8d4e7b5489b83cfaf2d82865f8b</t>
  </si>
  <si>
    <t>Hulu</t>
  </si>
  <si>
    <t>1de5c311955d43a19f7c9c73add4b7aa</t>
  </si>
  <si>
    <t>81477d0ea9d04593a260377d43614639</t>
  </si>
  <si>
    <t>dbe15dfcf48d4ca68221c7c7fea8acdc</t>
  </si>
  <si>
    <t>d63ac95737084198b1f39645cb25468f</t>
  </si>
  <si>
    <t>Krystal And Saagar</t>
  </si>
  <si>
    <t>ebbfdc37d47c4cf58aae83b7c1c708df</t>
  </si>
  <si>
    <t>7a278ef52ad5413b82f2e61216c6a637</t>
  </si>
  <si>
    <t>b839eed1dee448c39aa84629905af097</t>
  </si>
  <si>
    <t>ea7f2e7402f847bdbc8d74bbc3f3f6a7</t>
  </si>
  <si>
    <t>7b9006d2871646b3b5088076e92c2fa0</t>
  </si>
  <si>
    <t>Dicks Sporting Goods 362</t>
  </si>
  <si>
    <t>4f35651f4a594f2d9e12504e8c7c0ce8</t>
  </si>
  <si>
    <t>675eebcbe4ea4beeb2a2c4eb01ef1035</t>
  </si>
  <si>
    <t>89ca885746eb4a8a8713297dcafa8ce9</t>
  </si>
  <si>
    <t>Amc Desert Ridge 18</t>
  </si>
  <si>
    <t>04d61c3149bf40ad95549ec12cc18a85</t>
  </si>
  <si>
    <t>635fa3c715e84a059ae47a2ebc2b56f3</t>
  </si>
  <si>
    <t>ec037bd50c0d49a9b73c790fd00ae53c</t>
  </si>
  <si>
    <t>b3c7b00a97d04dd0a07b7688a1b96591</t>
  </si>
  <si>
    <t>Apple Store</t>
  </si>
  <si>
    <t>78cdfbc40d2d4c8c81772b5d60ba92ea</t>
  </si>
  <si>
    <t>Hot Yoga</t>
  </si>
  <si>
    <t>16d5ca54b8e04cb8a6aa88448c08f177</t>
  </si>
  <si>
    <t>aa88700e8e1a451ead4cda385d429175</t>
  </si>
  <si>
    <t>b00b206fa8924d56aa1c89075ff96bed</t>
  </si>
  <si>
    <t>Teaching &amp; Learning Stuf</t>
  </si>
  <si>
    <t>9bd8db704afd409ea38c638cd53de166</t>
  </si>
  <si>
    <t>Teharu Sushi</t>
  </si>
  <si>
    <t>66104a80013f4a31a6fd1ad26a85e39f</t>
  </si>
  <si>
    <t>7df0a90352324b60b4e7d362348582af</t>
  </si>
  <si>
    <t>Ltf Life Time Mo</t>
  </si>
  <si>
    <t>1b720483ad614e9a9656ccb1904dbf85</t>
  </si>
  <si>
    <t>420565ca350b4dbfbd6297b854859bde</t>
  </si>
  <si>
    <t>Breakfast Club</t>
  </si>
  <si>
    <t>1e38b8dbb9494a05a82d257f952f88a8</t>
  </si>
  <si>
    <t>fdb6bd15301b40498eb9efb84e412164</t>
  </si>
  <si>
    <t>Cb Live F&amp;B</t>
  </si>
  <si>
    <t>e63b963075ed46fe9c29dc252bb30a52</t>
  </si>
  <si>
    <t>e7a9bbb2c0cd4019bd0359aab3319e9c</t>
  </si>
  <si>
    <t>83302074a400484e98b7c933a88c98aa</t>
  </si>
  <si>
    <t>7361249e639c44e8ab1591282d9d4b12</t>
  </si>
  <si>
    <t>d67afc2f2da64d379d8f0e403dccaa77</t>
  </si>
  <si>
    <t>4e0462aa50364416a5600e0f73be8e0e</t>
  </si>
  <si>
    <t>9593a33660f54d278cf78fd4469fd794</t>
  </si>
  <si>
    <t>5b7799cb813b4ce99c73cb24b81f0dac</t>
  </si>
  <si>
    <t>08a746e40bb74262a0c4a12aaad1b678</t>
  </si>
  <si>
    <t>1de4496d4299417788154063dbe13784</t>
  </si>
  <si>
    <t>1fe002a3683745eb95433fea84aba7f4</t>
  </si>
  <si>
    <t>Ajo Als Me Ajo</t>
  </si>
  <si>
    <t>87f6124d2b4745b29a31b9b58b7bef5e</t>
  </si>
  <si>
    <t>218bc337e2974b02aafe6a52da8f6fb4</t>
  </si>
  <si>
    <t>Freshmint Scottsdale Az</t>
  </si>
  <si>
    <t>5f55ab5233e546f894f0048c1a9ff362</t>
  </si>
  <si>
    <t>Pita Cafe Scottsdale Az</t>
  </si>
  <si>
    <t>25130ad2ddf34ce9b28bb75f58970dbc</t>
  </si>
  <si>
    <t>fefd228bdfbf4c8c8ac3dccf51b3f925</t>
  </si>
  <si>
    <t>6048b4bb56c54ca6a490d707428bace9</t>
  </si>
  <si>
    <t>667504044c3a4ce8be1d2d2ff3c39138</t>
  </si>
  <si>
    <t>Sunvalleybees Scottsdale Az</t>
  </si>
  <si>
    <t>7cc2544761a54cce9e8d5db4d16628b1</t>
  </si>
  <si>
    <t>5e0f330afac7434a982f884d4bda5669</t>
  </si>
  <si>
    <t>0065b97575e244ddbb4831556c024dde</t>
  </si>
  <si>
    <t>75de1ca3ecdf47228123b34dd69837a9</t>
  </si>
  <si>
    <t>c66a93be3e384ed6bee47fccb1c08cd4</t>
  </si>
  <si>
    <t>5d0ba213862f480d90c42ae464b57228</t>
  </si>
  <si>
    <t>Amazon Amzn Billwa 165Yqnkhuie</t>
  </si>
  <si>
    <t>52c478be89a4493ea334c2036fa5de8a</t>
  </si>
  <si>
    <t>3f8823a96f1f4afc9032cef9b2e00ff3</t>
  </si>
  <si>
    <t>Creatorware</t>
  </si>
  <si>
    <t>afe85029618e4102a25532a6b7ece696</t>
  </si>
  <si>
    <t>Gamersnexus</t>
  </si>
  <si>
    <t>9cb7cb6806ed4faf846f328eb0e55220</t>
  </si>
  <si>
    <t>ea66b6ca5a0646b48ccfd559661c32c8</t>
  </si>
  <si>
    <t>Basketball Monster</t>
  </si>
  <si>
    <t>ce728bfa705f4673a1b77f9f25319cec</t>
  </si>
  <si>
    <t>Neweggcom</t>
  </si>
  <si>
    <t>8210ff38b6d048508001454f4a014683</t>
  </si>
  <si>
    <t>87a587c9106e424e8813fc45bc975556</t>
  </si>
  <si>
    <t>Amazon Amzn Billwa 6Qnho</t>
  </si>
  <si>
    <t>5852c8d23157489b8f63945e1c982d2f</t>
  </si>
  <si>
    <t>76c602dabf424c2fb7bba1aec57c776c</t>
  </si>
  <si>
    <t>Lowe's</t>
  </si>
  <si>
    <t>fa389e450da34bbdaa4a8970adbe8949</t>
  </si>
  <si>
    <t>fa483640013148f1a209ad1a6ac43e29</t>
  </si>
  <si>
    <t>Goodwill</t>
  </si>
  <si>
    <t>63e9ed5112ed49eb9dfd5b439e8dad7d</t>
  </si>
  <si>
    <t>Jobot Coffee</t>
  </si>
  <si>
    <t>0048d56b76074c61a5e409e7becc4f92</t>
  </si>
  <si>
    <t>Myfico Com</t>
  </si>
  <si>
    <t>7442da2c287b44e397a4b24a779c9ed2</t>
  </si>
  <si>
    <t>Santamadretacoshop</t>
  </si>
  <si>
    <t>893e745d6bf5486aa4dbea0a39c68b83</t>
  </si>
  <si>
    <t>5446a4b2e8704421a01cb84660a298fa</t>
  </si>
  <si>
    <t>Ccbill</t>
  </si>
  <si>
    <t>1c65f358d80c44b099c21e1e367d0228</t>
  </si>
  <si>
    <t>Viet Shack Llc Tempe</t>
  </si>
  <si>
    <t>1e47c5e4608743c4ae26db64a2fd85ec</t>
  </si>
  <si>
    <t>0cca0c3016de452ea3347eaa46e17ab9</t>
  </si>
  <si>
    <t>42b3739c67c5428590e15e2bea13151a</t>
  </si>
  <si>
    <t>cddb703b303d42d8bbaa7fa59924c5c4</t>
  </si>
  <si>
    <t>d0f6b34e153f4310ae3411c133e0a3f7</t>
  </si>
  <si>
    <t>Aqua Science</t>
  </si>
  <si>
    <t>8289db22c5b2425e85a1db1277048100</t>
  </si>
  <si>
    <t>f57362d960a34285a49fa74f94ab4333</t>
  </si>
  <si>
    <t>493f44bfa7cd442f8a3760bf90136b87</t>
  </si>
  <si>
    <t>26728327e8964b4c844bebb749c7b18d</t>
  </si>
  <si>
    <t>e13b70eb82454d87a89ac56dd3dbf373</t>
  </si>
  <si>
    <t>ba71eca091a74a48a31b3a893a63f1fa</t>
  </si>
  <si>
    <t>Tocaya Kierland Commoms</t>
  </si>
  <si>
    <t>e0b9e3461fae4c9a8f718f00535a1693</t>
  </si>
  <si>
    <t>890b04ca15c740e8a12b9d8d2c0ea223</t>
  </si>
  <si>
    <t>1e25883b67ff4abaa8aaf671c2823c65</t>
  </si>
  <si>
    <t>fc84bebf6f2e4c93bb1ced8a8eaad55a</t>
  </si>
  <si>
    <t>7ac2e29daa484d95b3a7e49da0f2d189</t>
  </si>
  <si>
    <t>b375ef9e101e405f86fa319713de8d29</t>
  </si>
  <si>
    <t>Comicx Restaurant B</t>
  </si>
  <si>
    <t>51016f617b544070b5c07a947f826625</t>
  </si>
  <si>
    <t>Abee Neth Tempe Az</t>
  </si>
  <si>
    <t>05f88099a2264215abe22a89d24b5619</t>
  </si>
  <si>
    <t>4bd2546aff2b410792c5aa6b10d2d9ea</t>
  </si>
  <si>
    <t>32ac202941f9495aa3f8798e77de7380</t>
  </si>
  <si>
    <t>Railcdc</t>
  </si>
  <si>
    <t>5ff0de0ed9f64b40ab997d61846f366a</t>
  </si>
  <si>
    <t>Gyro 101</t>
  </si>
  <si>
    <t>efc7bb3c187b41cc9aa8a2d89e20f19e</t>
  </si>
  <si>
    <t>165c7aedfd6b472c86ff0c862bc00a14</t>
  </si>
  <si>
    <t>8f3137b10b1a4970b4232af7e0ee10fd</t>
  </si>
  <si>
    <t>4d830d8c32014a8ca0b013826b906db7</t>
  </si>
  <si>
    <t>7b80a26a48d54d2eaf165f7dc3955baf</t>
  </si>
  <si>
    <t>5e7e960e8a9e472abf5853f80d66e0c6</t>
  </si>
  <si>
    <t>Tempe Mvd</t>
  </si>
  <si>
    <t>809e542111604f02a444c6ad37c8936c</t>
  </si>
  <si>
    <t>bdb2f2894f994130a6faf978f376befa</t>
  </si>
  <si>
    <t>Az Mvd Web</t>
  </si>
  <si>
    <t>35f42ee0a6434ca8bacbaabe7d4ea812</t>
  </si>
  <si>
    <t>Az Vehicle Emissions</t>
  </si>
  <si>
    <t>d5358f5db5c24d5381f1773f5418bf33</t>
  </si>
  <si>
    <t>26e2be488c124b2ca5e25bd55d7cc41e</t>
  </si>
  <si>
    <t>1c2eb81dde064d539a3648d9af61cc8a</t>
  </si>
  <si>
    <t>2c0d6d5dcb2448e381ccab18ca0e20a9</t>
  </si>
  <si>
    <t>2c92a352fb71455dbbe4872a6a57dc1c</t>
  </si>
  <si>
    <t>3b9fee68b77b43feba4cdb63f7e574bb</t>
  </si>
  <si>
    <t>cf018555db1d4a398099150b911e3619</t>
  </si>
  <si>
    <t>4b83d41a5720469db77715eb0bd5db76</t>
  </si>
  <si>
    <t>Usps Change Of Address</t>
  </si>
  <si>
    <t>6cb7bbe415384762ad81dade08491a4f</t>
  </si>
  <si>
    <t>ddde9ef412ad4dd0894abfb94d0a14c6</t>
  </si>
  <si>
    <t>4207fba1210e493286895560a172b3b1</t>
  </si>
  <si>
    <t>7e9615506c5c43c9bebd4a1a5217b14b</t>
  </si>
  <si>
    <t>Couplecents</t>
  </si>
  <si>
    <t>54b1fa57875e4d4a8034d11389d848f7</t>
  </si>
  <si>
    <t>Slice Hotdaisypizza</t>
  </si>
  <si>
    <t>7b420ca2a8e04c4987c440383492dec2</t>
  </si>
  <si>
    <t>3ff71629b1724156970f0e46d4c4c5d1</t>
  </si>
  <si>
    <t>de215a83de724b8e97bd07ab7adb2b4f</t>
  </si>
  <si>
    <t>The Arrogant Butcher</t>
  </si>
  <si>
    <t>af9dd22f61944047b9f846b585ac4c43</t>
  </si>
  <si>
    <t>c44fc9e20adc4298a21eb0676c97e460</t>
  </si>
  <si>
    <t>c2c6e2de551942b6a0f8aa8225fd2438</t>
  </si>
  <si>
    <t>229b859312a64ddb801ddebe5300b149</t>
  </si>
  <si>
    <t>56da0a0707c64ac5a300b3764f3f7c1e</t>
  </si>
  <si>
    <t>3f3cd03488b7436e9ffa07f07aef300a</t>
  </si>
  <si>
    <t>01fad93e011044f98ab6d531e7eee367</t>
  </si>
  <si>
    <t>7f1e62f65fcb4cd0893c9c33197ca2aa</t>
  </si>
  <si>
    <t>a206e2395b1041989ee83e932b2bed80</t>
  </si>
  <si>
    <t>National Office Liquid Phoenix</t>
  </si>
  <si>
    <t>1f1f17b387914915be149d35cb47418e</t>
  </si>
  <si>
    <t>Caviar Bop And Roll</t>
  </si>
  <si>
    <t>41cf139fb2824b96b3743f4b90d00b47</t>
  </si>
  <si>
    <t>5ef46e72fc364ecf8c0abfeb69134952</t>
  </si>
  <si>
    <t>U Haul</t>
  </si>
  <si>
    <t>40be8550b31a4df78049477cb53c2c87</t>
  </si>
  <si>
    <t>614955aa6d9a4823b775c8b67b2048f9</t>
  </si>
  <si>
    <t>Coconut's Fish Cafe Sco</t>
  </si>
  <si>
    <t>c755dd0a07d44f33bfdeab528b5abb2b</t>
  </si>
  <si>
    <t>Musical Instrument Museu</t>
  </si>
  <si>
    <t>d846a8266eb54580aab6b9045e86b0d6</t>
  </si>
  <si>
    <t>6d6cf701b1f4424b833ef74511f708bc</t>
  </si>
  <si>
    <t>b61b8dc5416e4bd0a6d1251ad50acd8b</t>
  </si>
  <si>
    <t>Cavasson Eastside Cafe Scottsdale</t>
  </si>
  <si>
    <t>a6b29fefb11c44f2a1b63d705ef34d6c</t>
  </si>
  <si>
    <t>Salad And Go</t>
  </si>
  <si>
    <t>1dfce8f4636841f1887d0cc5ebe9a275</t>
  </si>
  <si>
    <t>Target Phoenix Az Apple</t>
  </si>
  <si>
    <t>e26773e40c1a4e49b9861c776b603eba</t>
  </si>
  <si>
    <t>Ramen Hood</t>
  </si>
  <si>
    <t>ca0a0f5ccf9b4efc8b6f656289d4e0e9</t>
  </si>
  <si>
    <t>6e9aeaa184bf4d1790de483fe92f5add</t>
  </si>
  <si>
    <t>d9f2a962fe4444599cb944a336ff7fcc</t>
  </si>
  <si>
    <t>17f7092164a54cb59f24fd9de3f40d59</t>
  </si>
  <si>
    <t>Zukis Pita Llc</t>
  </si>
  <si>
    <t>b66cd8ee9b3d40c5afa990805ecba175</t>
  </si>
  <si>
    <t>7a79abeb001c4e32820da05685f33b67</t>
  </si>
  <si>
    <t>907605d6776d49629cf28c76d3bffde1</t>
  </si>
  <si>
    <t>Arco</t>
  </si>
  <si>
    <t>9a296fd0aeaf44a59f67de9a09112624</t>
  </si>
  <si>
    <t>Lyft</t>
  </si>
  <si>
    <t>062a07db87224a8ba6bb7e16a4f0e44e</t>
  </si>
  <si>
    <t>8e8f4c7f8e22417e95639829c8b702c4</t>
  </si>
  <si>
    <t>Worth Takeaway Mesa Az</t>
  </si>
  <si>
    <t>8c455a018c2046deb83051cece8d1863</t>
  </si>
  <si>
    <t>7dfdca832f4f40f8830db61d7c92219c</t>
  </si>
  <si>
    <t>Abc Bicycles &amp; Jet</t>
  </si>
  <si>
    <t>37976ec8d764423891a6fb484d1da020</t>
  </si>
  <si>
    <t>Airbnb Ydhf</t>
  </si>
  <si>
    <t>24d146cb52054154b096aab2e9bc8581</t>
  </si>
  <si>
    <t>6aed0b346bbe4c29b72025b28801daf7</t>
  </si>
  <si>
    <t>eee6f1747b9c4368a12c6643b8817df0</t>
  </si>
  <si>
    <t>fe2c213f91de42e080ebccbcc4b082a7</t>
  </si>
  <si>
    <t>005e5aa4c62f48a0bfd638227dde43e2</t>
  </si>
  <si>
    <t>In N Out Burger</t>
  </si>
  <si>
    <t>02ec2e23345e4492b54d6291249a95e1</t>
  </si>
  <si>
    <t>James Blake Merch</t>
  </si>
  <si>
    <t>62e85816bf6c417a9ac24303e890278d</t>
  </si>
  <si>
    <t>Mesa Drummer Bar &amp;</t>
  </si>
  <si>
    <t>35a808234f724b178eac59db307dbaf3</t>
  </si>
  <si>
    <t>Mts Pronto Ca</t>
  </si>
  <si>
    <t>1294770704b04932aedc543ae1ecf174</t>
  </si>
  <si>
    <t>Oro Brewing Compan Mesa</t>
  </si>
  <si>
    <t>01f847b19e294d8abdb182cd947798ca</t>
  </si>
  <si>
    <t>Ace Parking</t>
  </si>
  <si>
    <t>677578d8d3554cea86a66aa78b43857b</t>
  </si>
  <si>
    <t>Bosa 8Th B</t>
  </si>
  <si>
    <t>0eb76101310f460c8f6a4d03b45a5693</t>
  </si>
  <si>
    <t>Glenns Market</t>
  </si>
  <si>
    <t>48d32364fedd4150a5cf6319f82de5e2</t>
  </si>
  <si>
    <t>Holsem Coffee San Diego</t>
  </si>
  <si>
    <t>45a4cccd7e604aad910124bf1c2c4917</t>
  </si>
  <si>
    <t>North End Coffeeho Yuma</t>
  </si>
  <si>
    <t>ec1b0aed73e84c90993995497ede174e</t>
  </si>
  <si>
    <t>Observatory North La Mesa</t>
  </si>
  <si>
    <t>b1495ca17c7e44c7b9ef022efd267b0e</t>
  </si>
  <si>
    <t>Roxy's Tacos</t>
  </si>
  <si>
    <t>1162c8453975444291eef010549073b2</t>
  </si>
  <si>
    <t>0625ac823d4846e691b51198e5035e8e</t>
  </si>
  <si>
    <t>91d40e1015754a3fb88bf364dc33454c</t>
  </si>
  <si>
    <t>Wide World Maps &amp;</t>
  </si>
  <si>
    <t>ad568e608fb943ec87ea8db702872c15</t>
  </si>
  <si>
    <t>6b0b147d75cd473981aef40de2b3a866</t>
  </si>
  <si>
    <t>8373245754a048c888e50f2c22a58cd5</t>
  </si>
  <si>
    <t>9ee715da23244dce829a603a6d94513b</t>
  </si>
  <si>
    <t>92dbbd930cf84397969de82a6b290143</t>
  </si>
  <si>
    <t>e5b88b99533f4fc4a7d2a43c0b6c5b01</t>
  </si>
  <si>
    <t>Staples Glendale Az Apple</t>
  </si>
  <si>
    <t>8d2df0378cc2404685a5039fa7879e34</t>
  </si>
  <si>
    <t>8832bde952b74179b238f0caa34782ce</t>
  </si>
  <si>
    <t>463fc849da174cc7ae9d28a9d81766f3</t>
  </si>
  <si>
    <t>3c9caf34930249f1893be093707c06b2</t>
  </si>
  <si>
    <t>U Haul Store</t>
  </si>
  <si>
    <t>660e6b304f6644818ee46b7c538bbf67</t>
  </si>
  <si>
    <t>1c6fb5d4ff8b4b9d83772987e7f16106</t>
  </si>
  <si>
    <t>2d0b64571031471e9a25f156ede1113e</t>
  </si>
  <si>
    <t>Basilic Vietnamese Bar</t>
  </si>
  <si>
    <t>cfacdfc2e055458290142ce046b52810</t>
  </si>
  <si>
    <t>Giant Coffee Phoenix Az</t>
  </si>
  <si>
    <t>0fbf0d7696794e4595c7a5704c7d16e2</t>
  </si>
  <si>
    <t>Mighty Moo Ice Cre</t>
  </si>
  <si>
    <t>0c200160d06c42c68703724a6d2c73a6</t>
  </si>
  <si>
    <t>Parkmobile Ga Apple Pay</t>
  </si>
  <si>
    <t>58a2e64ee59a46e4b37e134d6d60f29e</t>
  </si>
  <si>
    <t>3b8a9d71b0b140139cac58c450dae39a</t>
  </si>
  <si>
    <t>7a27b04fada04e3a8a6a1753ddfa7e2b</t>
  </si>
  <si>
    <t>Py Az Iclf Az</t>
  </si>
  <si>
    <t>5f5d6d919f594a7aa89fbe35fe30c4aa</t>
  </si>
  <si>
    <t>Staples Phoenix Az Apple</t>
  </si>
  <si>
    <t>8d411da78fdf415486f5433052626b95</t>
  </si>
  <si>
    <t>baf2334cf3bd4a888f649f9f0b00ed3e</t>
  </si>
  <si>
    <t>683cb3589b5f4db8b5a9aaba90dfb76b</t>
  </si>
  <si>
    <t>77d9ee678aae46e5b125c199bea0668f</t>
  </si>
  <si>
    <t>Wilderness Dtphx</t>
  </si>
  <si>
    <t>4c8698244f214a5fa5519ecb9dde4564</t>
  </si>
  <si>
    <t>1cbc8279f6be4cebb1ecc2de6bfd7a7f</t>
  </si>
  <si>
    <t>83322230f0d24feba519accc2b363c83</t>
  </si>
  <si>
    <t>The Taco Spot</t>
  </si>
  <si>
    <t>881a8bd046b44494b9db7eeb4e089893</t>
  </si>
  <si>
    <t>ccaf59eab75942b2963e0296797817c7</t>
  </si>
  <si>
    <t>388306408d294a749a757b7b29ea330e</t>
  </si>
  <si>
    <t>75486e9ec2f542a6a3382fdca945939a</t>
  </si>
  <si>
    <t>08bb1c641b1044029a51b4ee9ede0b3b</t>
  </si>
  <si>
    <t>ff60965eb14f45c588185e91b6cf0774</t>
  </si>
  <si>
    <t>Fandango</t>
  </si>
  <si>
    <t>13f36eed46504b86834b3d08e17690cf</t>
  </si>
  <si>
    <t>Tmobile Postpaid Pda Wa</t>
  </si>
  <si>
    <t>1f596498cf3c46af9075fd5e1ad485db</t>
  </si>
  <si>
    <t>Amazon 2 Amzn Billwa</t>
  </si>
  <si>
    <t>67616f8617f34661b436c665ce5593e4</t>
  </si>
  <si>
    <t>dad28436e65c47a58a1a32b34162e25e</t>
  </si>
  <si>
    <t>838a0b8374644c7ea993617196d3a336</t>
  </si>
  <si>
    <t>Prime Video 2 Wa</t>
  </si>
  <si>
    <t>be537d0a97f845ab96110bf4c2d8d6e3</t>
  </si>
  <si>
    <t>Vegan House</t>
  </si>
  <si>
    <t>326c5b921e09452ab53635b5d5d832cb</t>
  </si>
  <si>
    <t>29d301bcd2534957a00688314ceea27b</t>
  </si>
  <si>
    <t>Laz Parking Luke</t>
  </si>
  <si>
    <t>b0258d251c6b472fb09009ed067b4166</t>
  </si>
  <si>
    <t>Ainsworth</t>
  </si>
  <si>
    <t>49e7d2224d114cdeb006bdac45d6a262</t>
  </si>
  <si>
    <t>c0a66a5a78544d05b2077ab63c6e4268</t>
  </si>
  <si>
    <t>2204385ddd3c4c08b358be634210082a</t>
  </si>
  <si>
    <t>09880b15b225463ea73289fd6bbcd023</t>
  </si>
  <si>
    <t>e7f9ca80acc64b00a39d496eed2aa4b5</t>
  </si>
  <si>
    <t>a569fad7b8e1439bbe63171ebf3c1168</t>
  </si>
  <si>
    <t>0ecbe41bca4640f4b9e5ee6699d3a3ae</t>
  </si>
  <si>
    <t>1cf622a4514c4a809e4c2bd5d8239955</t>
  </si>
  <si>
    <t>Mustang Frankling Plaza</t>
  </si>
  <si>
    <t>0950ad32400b49b6b6fee4c2a2601f37</t>
  </si>
  <si>
    <t>Speedway N St</t>
  </si>
  <si>
    <t>a855390e2e044032a02a1d67b45abda8</t>
  </si>
  <si>
    <t>6e819f9323524673bb3f8f87247d44ae</t>
  </si>
  <si>
    <t>Best Quality Daught</t>
  </si>
  <si>
    <t>af8c7f35fce24106948172449ae2d5ed</t>
  </si>
  <si>
    <t>401e45b2e0394fd297997637f484b516</t>
  </si>
  <si>
    <t>Af Nicolan Llc</t>
  </si>
  <si>
    <t>6cacb924315f44a6aad550e463beb3d3</t>
  </si>
  <si>
    <t>482a710641f246c887b80bf77684a5c7</t>
  </si>
  <si>
    <t>Bird Ride</t>
  </si>
  <si>
    <t>dd0765234d0340f3aa4b468b012a8dac</t>
  </si>
  <si>
    <t>e71395502a944e96aa2a061c6670318f</t>
  </si>
  <si>
    <t>Lids</t>
  </si>
  <si>
    <t>b3341d2ad6474d629e9e15931a834b5f</t>
  </si>
  <si>
    <t>Lim Ride Cost</t>
  </si>
  <si>
    <t>2c77e2bb687b46be883b286ef233d4ff</t>
  </si>
  <si>
    <t>5367c8eff261478a929ec8e8f62693f1</t>
  </si>
  <si>
    <t>0809daa02a7641ad9b18c39ecb65c5ef</t>
  </si>
  <si>
    <t>The Alamo</t>
  </si>
  <si>
    <t>ced819dc6ecc43d093286d50b0c61dcb</t>
  </si>
  <si>
    <t>463aed9422f14f55afc7d1cecbeb694a</t>
  </si>
  <si>
    <t>Tsfm Online Ticket Sls</t>
  </si>
  <si>
    <t>540dce4c481c4fb09f30fdcc0c4964ca</t>
  </si>
  <si>
    <t>Wheels Ride In Style</t>
  </si>
  <si>
    <t>4256648eb23644b18cf842e376a683f6</t>
  </si>
  <si>
    <t>1a289475a6b440c3b798487db0f48ff4</t>
  </si>
  <si>
    <t>5f868c73e4aa44c1b6ca7f7292c74009</t>
  </si>
  <si>
    <t>e29370f921eb45ffb0c34ae79f7fe9c8</t>
  </si>
  <si>
    <t>28ecbced47f145cfbf2185e3d1f076b3</t>
  </si>
  <si>
    <t>75326a722e4645a690fae5e145510d0c</t>
  </si>
  <si>
    <t>The Sixth Floor Museum</t>
  </si>
  <si>
    <t>29cba38cb89046b08bd261bb6ee8e9a4</t>
  </si>
  <si>
    <t>Uchi Austin Austin Tx</t>
  </si>
  <si>
    <t>f6eedab80adc41d9bc5b51be078d7eb0</t>
  </si>
  <si>
    <t>154333c67d3f4907a171a8e52cc8e246</t>
  </si>
  <si>
    <t>Oklahoma City National M</t>
  </si>
  <si>
    <t>a4780432d9ae4dd2b970cf64e41f12ea</t>
  </si>
  <si>
    <t>Oozie Restaurant Llc</t>
  </si>
  <si>
    <t>c1aa0163120c42998aebc2d62244baac</t>
  </si>
  <si>
    <t>e2e637d05cb9433590d8c70a4986dd08</t>
  </si>
  <si>
    <t>Black Wall Street Tulsa</t>
  </si>
  <si>
    <t>040273ab769444939be4824976b39faa</t>
  </si>
  <si>
    <t>05ce112f7ad14d7999e3da83f5080c95</t>
  </si>
  <si>
    <t>Kai Vietnamese Cuisine</t>
  </si>
  <si>
    <t>f3d26cb6b3704f3d9c885cdde0f6e6eb</t>
  </si>
  <si>
    <t>f5bf0b20c00941b6a043e0a3ef6fb6de</t>
  </si>
  <si>
    <t>5d369b0b1cd045438a8cb55dd8ed85c0</t>
  </si>
  <si>
    <t>Bp City</t>
  </si>
  <si>
    <t>54737c6a9b774f6a81dae63e6f88bf7f</t>
  </si>
  <si>
    <t>City Museum Retail</t>
  </si>
  <si>
    <t>25c11970c859460cb57dcce859878ea2</t>
  </si>
  <si>
    <t>Gateway Arch Museum Stor</t>
  </si>
  <si>
    <t>3e0826b8727b4234a94e28c55e48a3b4</t>
  </si>
  <si>
    <t>6c2cf77ad8ce44cc8915b7360b5061b4</t>
  </si>
  <si>
    <t>ab5dff91f6424c65af3df18cf49f5c4c</t>
  </si>
  <si>
    <t>db37c6f63ac148a68964336f98750348</t>
  </si>
  <si>
    <t>39710b4ea029405fb5a995ff9f3e54e1</t>
  </si>
  <si>
    <t>364de959c56c4359b12bd3dfe663da59</t>
  </si>
  <si>
    <t>b6d10f1f47084a8ab6d2dbfe5d8c6644</t>
  </si>
  <si>
    <t>Bp</t>
  </si>
  <si>
    <t>96da6c08d3344620885841ee9bdd0f06</t>
  </si>
  <si>
    <t>Eltoroloco</t>
  </si>
  <si>
    <t>6a97b1ad303e4b97b0452cb9c0755bb1</t>
  </si>
  <si>
    <t>In Musicians Hall Fam</t>
  </si>
  <si>
    <t>6e37d70108514041a48a828e29dc2a26</t>
  </si>
  <si>
    <t>G Metro Parks Nashville</t>
  </si>
  <si>
    <t>7682609612fc4f8282a5ce55b75589fa</t>
  </si>
  <si>
    <t>a9810699c01d4e5bb3e1849245a24598</t>
  </si>
  <si>
    <t>Vege Licious Llc</t>
  </si>
  <si>
    <t>ff1f51d1186b491ea70fdc2eb594151c</t>
  </si>
  <si>
    <t>Audible</t>
  </si>
  <si>
    <t>c2d2016ddac64be88fc5901b5e68c965</t>
  </si>
  <si>
    <t>Bp Conven</t>
  </si>
  <si>
    <t>c4b8377700e14ec585ab76cd7dd49aaa</t>
  </si>
  <si>
    <t>1246d81d89f14dd280d7927acf7e6117</t>
  </si>
  <si>
    <t>709c86d594e84ff28bdb3dc96e7f244a</t>
  </si>
  <si>
    <t>Moore Street Cafe</t>
  </si>
  <si>
    <t>1e70ede050d249e386326fd9b7fe98f9</t>
  </si>
  <si>
    <t>Wild Bean &amp; Thunde</t>
  </si>
  <si>
    <t>044b66d4a7784fb391e8b4310cdcf7af</t>
  </si>
  <si>
    <t>99ef7499c7b84ed38e89c9a8cee639c5</t>
  </si>
  <si>
    <t>Ezpassva Auto Replenish</t>
  </si>
  <si>
    <t>f50b655e2e814f2a805e8fc53745e77a</t>
  </si>
  <si>
    <t>13d3331610e245269ce293b10645d45f</t>
  </si>
  <si>
    <t>a6a2797f9e2245588dd92c59b9230647</t>
  </si>
  <si>
    <t>7cd81fe250da4bb2b74b1763a66f8b79</t>
  </si>
  <si>
    <t>b2360cd03eae4d9dbde0e6fd686f5d6c</t>
  </si>
  <si>
    <t>034d85cad1744a7ba3cb6cbbe012f749</t>
  </si>
  <si>
    <t>98b35067ff534382891d7f7b405cc4aa</t>
  </si>
  <si>
    <t>3b14a7c4a597468ba7be25d508ba35af</t>
  </si>
  <si>
    <t>49add9c867694b3c9729b595cac43959</t>
  </si>
  <si>
    <t>Usps Po Boxes Online</t>
  </si>
  <si>
    <t>9e0d91721d0f4906abecf1c5700a9aef</t>
  </si>
  <si>
    <t>94170087f139486982414ac7607b10ae</t>
  </si>
  <si>
    <t>a1e7cca233844b60b1066586cd2e37f2</t>
  </si>
  <si>
    <t>445bd4f285954686bdd2f8a2a505070d</t>
  </si>
  <si>
    <t>e700135745b64059a36e181fba60154e</t>
  </si>
  <si>
    <t>Reunion Tower Observat Tx</t>
  </si>
  <si>
    <t>5f00ded2c5764e0bab23b481e36f126c</t>
  </si>
  <si>
    <t>3ad12496e28f43e3aeb0c7fdb08ad619</t>
  </si>
  <si>
    <t>03e1bd888c1d4df58cbfa0f97257e074</t>
  </si>
  <si>
    <t>Bowlero Richmond</t>
  </si>
  <si>
    <t>1d4272d7556e412fbf803f6f26f74afd</t>
  </si>
  <si>
    <t>Al Amir Mediterranean Cu</t>
  </si>
  <si>
    <t>a4b6f6ab47b146efa51f47c76691edf0</t>
  </si>
  <si>
    <t>375c8b67194e4ac1926ec1dbe0a518d8</t>
  </si>
  <si>
    <t>446463ec60e8474593911c6670f19034</t>
  </si>
  <si>
    <t>24f630b7c81043a1ac074ac564d37469</t>
  </si>
  <si>
    <t>8323a80499684b8788c52df7907c85e9</t>
  </si>
  <si>
    <t>Kligg Co Henrico Va</t>
  </si>
  <si>
    <t>69ae061f49764b3f952cbb5faf2d21de</t>
  </si>
  <si>
    <t>6d7cb733c45f41978855aef0bfd3d058</t>
  </si>
  <si>
    <t>Domoishi</t>
  </si>
  <si>
    <t>8a3cbc75fdd24811ad706046a81782fc</t>
  </si>
  <si>
    <t>ab183d6ae02448a1a842ea33baaa3c41</t>
  </si>
  <si>
    <t>5257c0eb77d142528940d5967ace6839</t>
  </si>
  <si>
    <t>45cd4c4b025146c08aae25d38b91920f</t>
  </si>
  <si>
    <t>7977d4406779416e898437abae9b423b</t>
  </si>
  <si>
    <t>Fontina Grille</t>
  </si>
  <si>
    <t>e0f0d5b5bf294fee8559193015f0256d</t>
  </si>
  <si>
    <t>Verizon Recurring PayVerizon Fl</t>
  </si>
  <si>
    <t>dd099da85daa4c5690b59947d40630df</t>
  </si>
  <si>
    <t>47e7d46de68443c095d4a187516fbac1</t>
  </si>
  <si>
    <t>Coffee Republic Rockville Md</t>
  </si>
  <si>
    <t>9ab43897326b47d6a4976ece6e60e0c4</t>
  </si>
  <si>
    <t>00d419549633476db41e340fb9bb844c</t>
  </si>
  <si>
    <t>El Piquin Restaurant Ii</t>
  </si>
  <si>
    <t>42acd46c2ed94ce782e927e9585d4c75</t>
  </si>
  <si>
    <t>58382ffaa66b4fa2ad854e3f34186332</t>
  </si>
  <si>
    <t>88f1cc8534b24230982b7ad6f5bd40c2</t>
  </si>
  <si>
    <t>Colpark Loc 128</t>
  </si>
  <si>
    <t>73c15a98430b466b844de9f4df5b5791</t>
  </si>
  <si>
    <t>Crystal Car Wash</t>
  </si>
  <si>
    <t>de24af6ad0814744a590a2a56f621938</t>
  </si>
  <si>
    <t>Filomena Ristorante</t>
  </si>
  <si>
    <t>8ababcaed3974b949e823902dbe6d52f</t>
  </si>
  <si>
    <t>16c24e8140b64f2191ac3732dcde8724</t>
  </si>
  <si>
    <t>c9026e040a1b4f3bb3353a0175825028</t>
  </si>
  <si>
    <t>3954e98e7dbf4ab39bbc6fb91202b640</t>
  </si>
  <si>
    <t>Edx Inc</t>
  </si>
  <si>
    <t>de8c02d3ddc5443aa2bf3c3ebfa15c13</t>
  </si>
  <si>
    <t>6cb23bf8623246598c132c0f6d57712d</t>
  </si>
  <si>
    <t>e004953ee8f7401ca728abeb9d606df1</t>
  </si>
  <si>
    <t>5cab6effd25f45418e0a82b49a387024</t>
  </si>
  <si>
    <t>Wawa</t>
  </si>
  <si>
    <t>73f69f64760242b4b1bf2fd7aba28ffb</t>
  </si>
  <si>
    <t>d95a067395674ec4a6a1990fc2334f82</t>
  </si>
  <si>
    <t>710cbd89528d46cbbb5dde2a1e818ea1</t>
  </si>
  <si>
    <t>Pizza Johns</t>
  </si>
  <si>
    <t>6968d3eb79284204bdffd4497819929a</t>
  </si>
  <si>
    <t>10beca4261bd434496a7523671d48bd2</t>
  </si>
  <si>
    <t>873a2fc736ff4e45ad9710061f456bd3</t>
  </si>
  <si>
    <t>01506379081546aa9320ab6466df409b</t>
  </si>
  <si>
    <t>f5487a610419491eb406774cccf972ba</t>
  </si>
  <si>
    <t>Wob Richmond Tampa Fl</t>
  </si>
  <si>
    <t>da8d6dde007f48cebafb17656e47249f</t>
  </si>
  <si>
    <t>f48ae938efcc4e05a45f61775ba4d8a7</t>
  </si>
  <si>
    <t>Einsteinmobileapp Brooklyn Centmn</t>
  </si>
  <si>
    <t>ed772665eeb74a0bba935e19d77db11e</t>
  </si>
  <si>
    <t>1fffc7ae65d04aed8e994d863aef7c30</t>
  </si>
  <si>
    <t>47782910f50b478988db69c5cdf476c1</t>
  </si>
  <si>
    <t>740c7523ac724a398fa0b5bdbbb5486c</t>
  </si>
  <si>
    <t>Frost Gelato</t>
  </si>
  <si>
    <t>4a6699adb4b64d118fd1120d6bd78a8b</t>
  </si>
  <si>
    <t>22c3a94dbc5f400aa217228b9334d7d8</t>
  </si>
  <si>
    <t>0fe6ff196fc949b9a279300de3b37374</t>
  </si>
  <si>
    <t>5022ad65ae9e4c7ebda490054d9341b8</t>
  </si>
  <si>
    <t>fa20a765242f40ea89e029bb19056dee</t>
  </si>
  <si>
    <t>bf0d0d722ca44e54932b07b8a6790816</t>
  </si>
  <si>
    <t>Teacherspayteachers</t>
  </si>
  <si>
    <t>f58af88bd6464ec096a47843b750d113</t>
  </si>
  <si>
    <t>Amzn Digital 2 Wa</t>
  </si>
  <si>
    <t>6a65081ac2f64e64b24a641d366c5c40</t>
  </si>
  <si>
    <t>db21f115918840489cc3aaf26e30fe59</t>
  </si>
  <si>
    <t>15fc8d1d2dde424db0066ba502f44959</t>
  </si>
  <si>
    <t>d1c0274f79494c2ebdabfa84a5900340</t>
  </si>
  <si>
    <t>458b09ce02f1485e992482b5997d719a</t>
  </si>
  <si>
    <t>877942f388794b0fa7b303d2c2619a95</t>
  </si>
  <si>
    <t>Cell Tech</t>
  </si>
  <si>
    <t>9980c9e47e42405794ca47b9af2e71f9</t>
  </si>
  <si>
    <t>9b5c6dd2565c4750bd8b49d9ba752d0a</t>
  </si>
  <si>
    <t>Otto Turkish Street Charlottesvilva</t>
  </si>
  <si>
    <t>5f26ac4ecda542a28c94a5e326701e30</t>
  </si>
  <si>
    <t>10a94052d0c54c62ae272e3094776f6e</t>
  </si>
  <si>
    <t>7f6b98ec98c4423fa964660356be5559</t>
  </si>
  <si>
    <t>4e13eb2a23e74e7f9d1525df1ac8a163</t>
  </si>
  <si>
    <t>a1473f64bd944ede9bc50171f7f73b23</t>
  </si>
  <si>
    <t>Iron Paffles And Charlottesvilva</t>
  </si>
  <si>
    <t>c42c1b4d31fa440ebef7f9023994bdc8</t>
  </si>
  <si>
    <t>James Blake Ca</t>
  </si>
  <si>
    <t>d6e38c5bd22047688a46a38ce41757cb</t>
  </si>
  <si>
    <t>Wp First And Market</t>
  </si>
  <si>
    <t>a131c52212c14bb9a4e4501df988601d</t>
  </si>
  <si>
    <t>Allianz Event Ins</t>
  </si>
  <si>
    <t>8836d0e073f54855aaf4b9cbecf67c84</t>
  </si>
  <si>
    <t>16732500977d422da39d5eec4dd6a9a5</t>
  </si>
  <si>
    <t>b8a11240e79746db80233c77723906ed</t>
  </si>
  <si>
    <t>Sushi King &amp; Grill</t>
  </si>
  <si>
    <t>1297f2cf6a2741c3b66656aa844d857f</t>
  </si>
  <si>
    <t>Hyman Bros Nissan</t>
  </si>
  <si>
    <t>325514c94c0941bca36d0ec231a87b9b</t>
  </si>
  <si>
    <t>184b53c9251a4f1db5139a334b07e95a</t>
  </si>
  <si>
    <t>9297785a66c14376a0c0bbcdeb169ae7</t>
  </si>
  <si>
    <t>Tcktweb Purityringtour Ca</t>
  </si>
  <si>
    <t>c93ae328ec4941c391a4ee9bf441d418</t>
  </si>
  <si>
    <t>Autozone</t>
  </si>
  <si>
    <t>adb78b09f74642b18bbdcb3d7732d3e0</t>
  </si>
  <si>
    <t>29523c52be4543bd8d82e7d57fd278ce</t>
  </si>
  <si>
    <t>Dominion Car Wash Laburn</t>
  </si>
  <si>
    <t>4ff3f5bf726d41948982fc6031badf5d</t>
  </si>
  <si>
    <t>Uncle Cs Chicken &amp;</t>
  </si>
  <si>
    <t>fd1ca847d4c246e4b1afa346ccdcd486</t>
  </si>
  <si>
    <t>78a9599cf5c142b19b6fd434075cf6ff</t>
  </si>
  <si>
    <t>781592015b1c48a49a8eb3cd17705aa0</t>
  </si>
  <si>
    <t>Advance Auto Parts</t>
  </si>
  <si>
    <t>5c45f73aa06a456292549bd12a87e42a</t>
  </si>
  <si>
    <t>e2a0041019cc40feadc1e09f4e088f4d</t>
  </si>
  <si>
    <t>defc4e6ad8564cefa7a10f1cd7772aa0</t>
  </si>
  <si>
    <t>2M Mediterranean Market</t>
  </si>
  <si>
    <t>d889d5b561c740998716f75dc762bc83</t>
  </si>
  <si>
    <t>a5f760d012534ba79c8dd06623f05fb2</t>
  </si>
  <si>
    <t>bbab33e38db64453b8cab9fff6b35aa5</t>
  </si>
  <si>
    <t>54b16c13ccca4d04a829adc8150471b2</t>
  </si>
  <si>
    <t>Flagstop Car Wash</t>
  </si>
  <si>
    <t>42fd7e1878364f4d9d12a96726ab42e2</t>
  </si>
  <si>
    <t>InstacartCa Apple Pay Ending</t>
  </si>
  <si>
    <t>cda460c3ba154bf99bb9ce248b3008c5</t>
  </si>
  <si>
    <t>a4b0529d5a02400196f8bd2667b64f1c</t>
  </si>
  <si>
    <t>d3d833473e18483fa691f80beca9f4b0</t>
  </si>
  <si>
    <t>57d0430220504f5193428ca664314635</t>
  </si>
  <si>
    <t>Gumroad Dsadsa</t>
  </si>
  <si>
    <t>103dbcf25b114bd8a689fbcf7fd0dbda</t>
  </si>
  <si>
    <t>17d1d572e40d48ebb97304db120885eb</t>
  </si>
  <si>
    <t>cc63f11ced354cb9b308aa7278166ef6</t>
  </si>
  <si>
    <t>Mezeh Reynolds Crossing</t>
  </si>
  <si>
    <t>0e9974d3a1c64d528433522b8c637f75</t>
  </si>
  <si>
    <t>Poke Sushi Bowl</t>
  </si>
  <si>
    <t>ff5c3da1d515496f8fb8c01cfb3f83d8</t>
  </si>
  <si>
    <t>b89cbe560ae64604913919bae58e1ee3</t>
  </si>
  <si>
    <t>025606668018491395ea088acdc01ac5</t>
  </si>
  <si>
    <t>Busch Gardens Food Svc</t>
  </si>
  <si>
    <t>c184178773744f1fb68a01d47dfad8c6</t>
  </si>
  <si>
    <t>82e8649a4ec242b0978b1f9dd2d9a75f</t>
  </si>
  <si>
    <t>588817d410924738b2041e44d9da9642</t>
  </si>
  <si>
    <t>f646fd7e7312454cabba25c57f0206f9</t>
  </si>
  <si>
    <t>056e9a53b0514990a898e1125702f6f5</t>
  </si>
  <si>
    <t>Busch Gardens Gifts</t>
  </si>
  <si>
    <t>150f9a48eda84a0281a56ec5a9fa28b2</t>
  </si>
  <si>
    <t>e15e64ab3b304cd6b3ee47cc2fb78953</t>
  </si>
  <si>
    <t>Busch Gardens Parking</t>
  </si>
  <si>
    <t>e1ed58c86fb84a1984f69480511645da</t>
  </si>
  <si>
    <t>H B Leisure Williamsburg</t>
  </si>
  <si>
    <t>ebdf4f24935041aaadee2940c8443d36</t>
  </si>
  <si>
    <t>f2bc02006ea5440a832999701fc4aab7</t>
  </si>
  <si>
    <t>20e8c94dba6b469baa3014bd45742d1f</t>
  </si>
  <si>
    <t>13e7b29813b44a2baf7cd53ccddc916d</t>
  </si>
  <si>
    <t>2df90d536d634dd8804598fd12b41cc6</t>
  </si>
  <si>
    <t>Busch Gardens Va Orlan</t>
  </si>
  <si>
    <t>dfc4a909b3df4f80a0615a3f28811c2b</t>
  </si>
  <si>
    <t>786b3992803e492eadc438acfdbae7f6</t>
  </si>
  <si>
    <t>b212cf7fa81842d98ab9c4894a77f77e</t>
  </si>
  <si>
    <t>c7ad9f257842444d990824fd59333da5</t>
  </si>
  <si>
    <t>fb3dfbce39f940d98f28e46d5ccc8e3b</t>
  </si>
  <si>
    <t>ee8377d64c0f41ee8a0e3721f78993b7</t>
  </si>
  <si>
    <t>5fef2477c5e540f9891ed2f8398a4305</t>
  </si>
  <si>
    <t>23ae7d6d3c884412a5a968db24011f9b</t>
  </si>
  <si>
    <t>Crafty Crab Richmond</t>
  </si>
  <si>
    <t>8ea45d22126c4670ab86744fb33fab65</t>
  </si>
  <si>
    <t>Manchester Market</t>
  </si>
  <si>
    <t>f8a8f82774cc4c28960b8af892e9ea8d</t>
  </si>
  <si>
    <t>Ipanema Cafe</t>
  </si>
  <si>
    <t>33fcbae988754363805af1fbd6e11568</t>
  </si>
  <si>
    <t>Farm Fresh Richmond</t>
  </si>
  <si>
    <t>7ea89e4489bd4fca8b3a20f859243882</t>
  </si>
  <si>
    <t>f2800ed3c50f4c2a89f24520232bd5b4</t>
  </si>
  <si>
    <t>Lidl Henrico Va</t>
  </si>
  <si>
    <t>455093cd5e384d42855a2e4b7a647ca8</t>
  </si>
  <si>
    <t>ec6efc5f8a9848329107d8f375aab7e7</t>
  </si>
  <si>
    <t>87ab176491bf4c3ea48cfd45893b314e</t>
  </si>
  <si>
    <t>fcdc3527f0d4455da0caa9c90ba0dae1</t>
  </si>
  <si>
    <t>012a88a964a44138995b5c969621088d</t>
  </si>
  <si>
    <t>Proper Pie Co Gosq</t>
  </si>
  <si>
    <t>512c1c452949475488f1e74dcda08867</t>
  </si>
  <si>
    <t>4c3380ee877546e299945c28dde50319</t>
  </si>
  <si>
    <t>Jeremybusti</t>
  </si>
  <si>
    <t>12253f2c8a024c72b285c2d324b73bf8</t>
  </si>
  <si>
    <t>Mike Blendz Barbershop S</t>
  </si>
  <si>
    <t>c1ad4e0cd596446a9369697d0b30f0ca</t>
  </si>
  <si>
    <t>228b68609661417db150a075799fa1db</t>
  </si>
  <si>
    <t>fc04047944e945f88de01ffcbcac6132</t>
  </si>
  <si>
    <t>ab29afaa79ec4152911c58e625a0216c</t>
  </si>
  <si>
    <t>3e376a28aa1c446ebe43830d21f7c383</t>
  </si>
  <si>
    <t>a411f92e2115452b8f6da09a369291d4</t>
  </si>
  <si>
    <t>904b9799f4f7434eb51e12e7e15c6713</t>
  </si>
  <si>
    <t>86f5ef8a7b2545f2a5379844d1374212</t>
  </si>
  <si>
    <t>Bp St Bp</t>
  </si>
  <si>
    <t>c0eaa0a8cb8145b4acc587ee842ff5fb</t>
  </si>
  <si>
    <t>9eb51fb7e7fe4479972498dbf16cc216</t>
  </si>
  <si>
    <t>American Family Fit Shor</t>
  </si>
  <si>
    <t>3d0aae856852449ebf5876258d833653</t>
  </si>
  <si>
    <t>a81f6b75c2b746bba2e3adf19e592d75</t>
  </si>
  <si>
    <t>Men's Wearhouse</t>
  </si>
  <si>
    <t>02ff5d14284d485592eacf292f9c4c9f</t>
  </si>
  <si>
    <t>d1563ed8585b4f5ea8d407ceb4b0cf61</t>
  </si>
  <si>
    <t>2bf5859887094952bef948f355177f11</t>
  </si>
  <si>
    <t>Micro Center Fairfax</t>
  </si>
  <si>
    <t>9430adae7f024fc8b57077933a43575d</t>
  </si>
  <si>
    <t>9ebf646ad1944ead8e3fb630e44955a2</t>
  </si>
  <si>
    <t>f41c8ff4dc2c44369dfda90313a5743e</t>
  </si>
  <si>
    <t>14944870436747ada182b2d303b2c7f6</t>
  </si>
  <si>
    <t>Elsewhere Brooklyn Ny</t>
  </si>
  <si>
    <t>43fbd8aeb0514ce1914469c17efe1c7c</t>
  </si>
  <si>
    <t>8c9e88ab1a1342febd3f1c62dfbfd45c</t>
  </si>
  <si>
    <t>7610164cec9545c196e1ddc1a86bed95</t>
  </si>
  <si>
    <t>Milo S Yard</t>
  </si>
  <si>
    <t>283e9431fce94bf78b0d0a7c3e076cb3</t>
  </si>
  <si>
    <t>Mta Nyct Paygo New</t>
  </si>
  <si>
    <t>ca7bd8a5f5c541f5873eb2f8a6dba5b1</t>
  </si>
  <si>
    <t>5c8cf120e90a467590fe61929cfcda28</t>
  </si>
  <si>
    <t>684bb11cb6464529acbe84c17488adff</t>
  </si>
  <si>
    <t>5bade68da73d4532997c298507927136</t>
  </si>
  <si>
    <t>e230a97268f44d829a8081b3a044d1a1</t>
  </si>
  <si>
    <t>b26593e891364d6eaaab3cb2051c4f59</t>
  </si>
  <si>
    <t>a5b5bdd4a7054c9db74afcf3b6a9c9ef</t>
  </si>
  <si>
    <t>192c83143cbe4e269cc3731d4cc6a2b0</t>
  </si>
  <si>
    <t>3f7dd4320c944ef2a7217520d3c0f6fd</t>
  </si>
  <si>
    <t>02764460b0264b30bdfcb092e3760542</t>
  </si>
  <si>
    <t>Mta Nyct Paygo Recover</t>
  </si>
  <si>
    <t>c7ac6d1b341f401698093fa390b81457</t>
  </si>
  <si>
    <t>ca39b50ace0f4e7a89b3073ca5fa9708</t>
  </si>
  <si>
    <t>Uq Atlantic Term</t>
  </si>
  <si>
    <t>020b22b00c1a4865a3513f9e44cb987b</t>
  </si>
  <si>
    <t>Applebee's</t>
  </si>
  <si>
    <t>74092298252f4ad68d400b0ee34e3b25</t>
  </si>
  <si>
    <t>Bergen Bagel</t>
  </si>
  <si>
    <t>ad4d2dfd229a4e77822853559c54e557</t>
  </si>
  <si>
    <t>East 7Th Deli &amp;</t>
  </si>
  <si>
    <t>482c7f5cf3e342f2985c8af2400d146f</t>
  </si>
  <si>
    <t>d3962b29b6104d9d8817688969d34744</t>
  </si>
  <si>
    <t>Mta Metrocard Machine New</t>
  </si>
  <si>
    <t>12ffc806fbf84a98b236e64859fe7b0a</t>
  </si>
  <si>
    <t>3adde19609ac42ceb4cb3c32583f24f8</t>
  </si>
  <si>
    <t>f0dbb20d7605401c9123c796f67e8705</t>
  </si>
  <si>
    <t>Rocky Deli Grocery</t>
  </si>
  <si>
    <t>a8bc75ccb71542c8bc2d1a3031f7b3fc</t>
  </si>
  <si>
    <t>0eb6f728a78b40da8e331348a9899ccf</t>
  </si>
  <si>
    <t>77c792dd2ba34fae8df879b34c31e68e</t>
  </si>
  <si>
    <t>577cf29891ca4e419cb5e94a7c12316e</t>
  </si>
  <si>
    <t>0d4268b661f2425da3fc59dc3134ac7d</t>
  </si>
  <si>
    <t>55e176cc347642f7b9569e4b9e014e8d</t>
  </si>
  <si>
    <t>Saraghina</t>
  </si>
  <si>
    <t>1212be187999478eb8c9b02fcdf93ede</t>
  </si>
  <si>
    <t>3f359fecb4974bedb8a9093e1f0167ee</t>
  </si>
  <si>
    <t>Fresh Vegetables Fish</t>
  </si>
  <si>
    <t>30fe5f845a214d51889ade25b2d09046</t>
  </si>
  <si>
    <t>16bd046748ed4c9ea5f3bb20cdce1620</t>
  </si>
  <si>
    <t>558b5c4ca6004537b02e3577e628c5dc</t>
  </si>
  <si>
    <t>Premier Food Fresh Marke</t>
  </si>
  <si>
    <t>c167f8bc1b3c4c89a513d3f3e9f25bc2</t>
  </si>
  <si>
    <t>15a2dd4ac2cf4f9e830ee002d607253a</t>
  </si>
  <si>
    <t>Electronics R Us</t>
  </si>
  <si>
    <t>a2ae365f790d4b10a8f6ce5a2268e875</t>
  </si>
  <si>
    <t>7d01a6001dad4144ab1517514b340a87</t>
  </si>
  <si>
    <t>c7c361ec903841f197e09c0f171961ff</t>
  </si>
  <si>
    <t>Sweet Chick</t>
  </si>
  <si>
    <t>ef48a98ca55a40f1bee88ee9ff9c02d9</t>
  </si>
  <si>
    <t>3493b24efdfd41cab4873e46856508fd</t>
  </si>
  <si>
    <t>City Fresh Market Place</t>
  </si>
  <si>
    <t>4588dfae9c9b48d78487f0afd77cc3a4</t>
  </si>
  <si>
    <t>054ded36c75b4328b0516c48b918202f</t>
  </si>
  <si>
    <t>99be48b6138b47a4be634e348c0c2e10</t>
  </si>
  <si>
    <t>16ffdc684db742d2a65d72598b1bc7d6</t>
  </si>
  <si>
    <t>Sunac Food Market</t>
  </si>
  <si>
    <t>2e619185741d460a8143951e6dfedbdf</t>
  </si>
  <si>
    <t>853d3e47b25048cb8dd06e8b44b5aa9c</t>
  </si>
  <si>
    <t>65827ddf688a45b883907e101272e3d1</t>
  </si>
  <si>
    <t>1014094d54284432a47129b2cc954360</t>
  </si>
  <si>
    <t>99b1608bdb35400f87b38fdb17b5e904</t>
  </si>
  <si>
    <t>4d44ce88dad144018d12cf67c654f832</t>
  </si>
  <si>
    <t>93acab2e1af14e6a992a0383fa41e04f</t>
  </si>
  <si>
    <t>e27999ecc3ee48f5b9a7ac37c4fcb32a</t>
  </si>
  <si>
    <t>c6cbccb5fa2546c7b608100dbd6a4af3</t>
  </si>
  <si>
    <t>fef9cb253fc14100bb67c5f1a9647881</t>
  </si>
  <si>
    <t>002f14ca79fd4647b57a8ee9cc301adf</t>
  </si>
  <si>
    <t>New York Deli</t>
  </si>
  <si>
    <t>302a5914437446e4a7747ceb31ccabd2</t>
  </si>
  <si>
    <t>Datacampinc</t>
  </si>
  <si>
    <t>89744a12443348c69ee503562828d2e0</t>
  </si>
  <si>
    <t>f71847fa52be482f991f4cd5a8b90f21</t>
  </si>
  <si>
    <t>f7fdd62c3aaf457f909280e906c33163</t>
  </si>
  <si>
    <t>Bp Jessup</t>
  </si>
  <si>
    <t>88dbd86277424f31bda27f6dffe93e91</t>
  </si>
  <si>
    <t>6f14976d72bf4c69b3d20fb3bc1f6695</t>
  </si>
  <si>
    <t>e4d346b187a1405a8b23979bd87eba17</t>
  </si>
  <si>
    <t>de851240859b4df59e9ee2f544bbfea6</t>
  </si>
  <si>
    <t>Two Guys Grill &amp;</t>
  </si>
  <si>
    <t>65b39ad583b74dd0807a15acde771603</t>
  </si>
  <si>
    <t>8d28f09c415c4567a31835b6b046e2a9</t>
  </si>
  <si>
    <t>fd4ba126ddd94a0e8b1a191c2c9384f0</t>
  </si>
  <si>
    <t>eebe0b988aa34ec6bd2ee5000b77b414</t>
  </si>
  <si>
    <t>69efde784d2f40369b4661453a56b0e1</t>
  </si>
  <si>
    <t>851eff6ca23748e1aaf17a372e7da0e2</t>
  </si>
  <si>
    <t>b3d305bd78214632af19aee704d53c72</t>
  </si>
  <si>
    <t>61e9e5476e8a4959a4be234a3fb01212</t>
  </si>
  <si>
    <t>dd39dff4342440e3b39f0f7c1710a8b4</t>
  </si>
  <si>
    <t>Verizon Onetimepay Verizon Fl</t>
  </si>
  <si>
    <t>d2821ff7b7334626a5c9d6ce0da1f6ce</t>
  </si>
  <si>
    <t>6ccf3d7c0be94525b74e866245d6d34b</t>
  </si>
  <si>
    <t>fb182602d51b437490a9b3ad28e27e55</t>
  </si>
  <si>
    <t>8bff409168184ccaaf72eb42fb733860</t>
  </si>
  <si>
    <t>Barnes &amp; Noble</t>
  </si>
  <si>
    <t>070b601131bf4e9d8e09a013edd1dcf1</t>
  </si>
  <si>
    <t>248c8fbc327c489e8f374a9a26c5c5bc</t>
  </si>
  <si>
    <t>7837dceb57474edfa77d2e0e328666e4</t>
  </si>
  <si>
    <t>cfde7d0d2f5a423fa6aabdfe44b6f13c</t>
  </si>
  <si>
    <t>67bf1a3218da483da2b186592ad6502f</t>
  </si>
  <si>
    <t>1430ec24d7ba4aafb0334b53cb214ad1</t>
  </si>
  <si>
    <t>ccbd067125a64c6d9297ac469e3f7471</t>
  </si>
  <si>
    <t>Ycc Store</t>
  </si>
  <si>
    <t>b9ba8488655c469cae35adb3b0a67258</t>
  </si>
  <si>
    <t>Cava Grill Swift Creek</t>
  </si>
  <si>
    <t>2da6c99182704b11ada16e744dca6c23</t>
  </si>
  <si>
    <t>86e18659c66b4b308555cbd37deabda0</t>
  </si>
  <si>
    <t>e8a93fe3c9684b4fade9074e272540cf</t>
  </si>
  <si>
    <t>0b90e697e6f64217aa7c2173aed8b2ea</t>
  </si>
  <si>
    <t>88536f0d3fdf4633a731eb62d3e361e2</t>
  </si>
  <si>
    <t>2105b1a46de44720b7bb00fcc418186f</t>
  </si>
  <si>
    <t>Onlyfans</t>
  </si>
  <si>
    <t>09e476766a3645f890be24509a0b72e6</t>
  </si>
  <si>
    <t>e3c3919e771c411ab0d78e670487c0ae</t>
  </si>
  <si>
    <t>Bedbath&amp;Beyond</t>
  </si>
  <si>
    <t>a08a0fdf28394e7495bfaff30f543b99</t>
  </si>
  <si>
    <t>bcaacf9e06bc49d194a5e5187723db88</t>
  </si>
  <si>
    <t>70dcad0a90374a0db5221233a7721a3c</t>
  </si>
  <si>
    <t>4b1c6d59e0c64c2799331f57edb54bbc</t>
  </si>
  <si>
    <t>Panera Bread</t>
  </si>
  <si>
    <t>77fcea8ccfb643bea56b21c41aeb81f2</t>
  </si>
  <si>
    <t>8eca7a92dddf4662b7c2f5a1f365dd78</t>
  </si>
  <si>
    <t>aee1cad93fc1408fae0539b4b1c62ab1</t>
  </si>
  <si>
    <t>d300d84742ba4ac784c6c80802eae42d</t>
  </si>
  <si>
    <t>3aa2000836934ac39227aa9be564b272</t>
  </si>
  <si>
    <t>a1c83330eab049a9a7e2b35e29aecd41</t>
  </si>
  <si>
    <t>f7909cbf4ec746548ad862d08516bd5b</t>
  </si>
  <si>
    <t>Public Storage</t>
  </si>
  <si>
    <t>57c9ddb963414a978818427f863d63a4</t>
  </si>
  <si>
    <t>Texas Roadhouse</t>
  </si>
  <si>
    <t>26a7d0e214284a86ac0e81304e153d97</t>
  </si>
  <si>
    <t>Go Mart 94</t>
  </si>
  <si>
    <t>09683afafa7a4ac78efef24f15b28d33</t>
  </si>
  <si>
    <t>7568449df13d48778bed5dda9d61749b</t>
  </si>
  <si>
    <t>ab781e73857f44dd867ec47a7b5ce0d8</t>
  </si>
  <si>
    <t>Showtimeppv</t>
  </si>
  <si>
    <t>bdb962d02f5f4ac7a1a93d4c8cf32868</t>
  </si>
  <si>
    <t>Webull Tech</t>
  </si>
  <si>
    <t>3311aaebe77e40dc8bb2231467a9b3f5</t>
  </si>
  <si>
    <t>334fcfdee9f5419ba6b20e82a24dd0cf</t>
  </si>
  <si>
    <t>05f51bb1e4f54ec2909b3a447ed06c8e</t>
  </si>
  <si>
    <t>508d19d7429944d29681774aa4d1034c</t>
  </si>
  <si>
    <t>55506a2ef482414abc269f8df208b667</t>
  </si>
  <si>
    <t>a0f9bc1767c540b5bb40b76a68700cfe</t>
  </si>
  <si>
    <t>Sheetz</t>
  </si>
  <si>
    <t>5b1c331eadb840c39b05d3b2134f1a44</t>
  </si>
  <si>
    <t>2cb5f697db3c46508681ac110ba874d5</t>
  </si>
  <si>
    <t>228e21f6ceb4497f86b30d507c116594</t>
  </si>
  <si>
    <t>Bottoms Up Pizza</t>
  </si>
  <si>
    <t>6297fa98c8774cd5b2901b64523f07cc</t>
  </si>
  <si>
    <t>ded8b46911644efca13feac0796f0374</t>
  </si>
  <si>
    <t>d5897dba542e4c0ba323a1d1d0ae1443</t>
  </si>
  <si>
    <t>a0bb7c2cdb984060882f363c2f3c53ae</t>
  </si>
  <si>
    <t>925b8b91a7334afba768ffa13f3e2f3d</t>
  </si>
  <si>
    <t>510c514ad7194798993d8b3556be80c5</t>
  </si>
  <si>
    <t>3fed32776398481d8bb94042a9eaf606</t>
  </si>
  <si>
    <t>Uber Eats</t>
  </si>
  <si>
    <t>e1cc7df1abb44e89820cf78884dc1a91</t>
  </si>
  <si>
    <t>409dedd2090c45448530a664726d91af</t>
  </si>
  <si>
    <t>Carrolls Auto Service</t>
  </si>
  <si>
    <t>e783bb7341bc47cab91869061e242baa</t>
  </si>
  <si>
    <t>df4ab31d2d8244259aa1719725e965e3</t>
  </si>
  <si>
    <t>8d1b8b512c9741a28cc491854b3075db</t>
  </si>
  <si>
    <t>de8dddbb33ae48a79a78a0447a85ac02</t>
  </si>
  <si>
    <t>2cdcaee47bee42469bbab3b6a84c1145</t>
  </si>
  <si>
    <t>cd5c6c42e0cf412192a184fe8f8452f6</t>
  </si>
  <si>
    <t>6c7888b759804e71a1fbabc4c0a55e14</t>
  </si>
  <si>
    <t>c94383c3a093495b8cabc85d5b1cd324</t>
  </si>
  <si>
    <t>c9ddedda56f841c1ba81a63417c10a62</t>
  </si>
  <si>
    <t>Amer Fam Fit Va</t>
  </si>
  <si>
    <t>e3538cb045db4f7d8d6e6325628c30e9</t>
  </si>
  <si>
    <t>71a82e9eace545c9b784c26ee893bc0d</t>
  </si>
  <si>
    <t>0e61c16087464b85ad77da8ed1d6bf60</t>
  </si>
  <si>
    <t>5e94aa1597a4454aa8e98969f5c972e3</t>
  </si>
  <si>
    <t>Guitar Center</t>
  </si>
  <si>
    <t>c3f373a515ea44cdbc915e95ee3bb620</t>
  </si>
  <si>
    <t>Music &amp; Arts 82</t>
  </si>
  <si>
    <t>abdc174657084b609691c8bcec35795a</t>
  </si>
  <si>
    <t>Jimmy T's Soft Serve</t>
  </si>
  <si>
    <t>f12614bca4eb481dbda2aae4be60c030</t>
  </si>
  <si>
    <t>4ec5635ce4604ac6adcdc4c38624a648</t>
  </si>
  <si>
    <t>f97a413dda8c4937846d687c3c561f57</t>
  </si>
  <si>
    <t>Giant Silver Springmd</t>
  </si>
  <si>
    <t>95459e2fa8194db3aaebf753e20a2e52</t>
  </si>
  <si>
    <t>25f7d7bccc09405687d8f46240ad158b</t>
  </si>
  <si>
    <t>014b8bfcafdb441a913d0e40ca51684d</t>
  </si>
  <si>
    <t>d86d487be3d3425da12225d24cdefc93</t>
  </si>
  <si>
    <t>721a4159821c4a2bb933a25828c128d3</t>
  </si>
  <si>
    <t>319aa920d4054df794e791ee7cc58968</t>
  </si>
  <si>
    <t>47f4a1c1dd814083987ab77ee5cf5a88</t>
  </si>
  <si>
    <t>cb2844ca6544443ca8747266b311e094</t>
  </si>
  <si>
    <t>20f757aa1993459aa914ddc40cf02fe0</t>
  </si>
  <si>
    <t>8d7a6239fcb149d7966aa633bbb09d52</t>
  </si>
  <si>
    <t>Bodos Bagels Charlottesvilva</t>
  </si>
  <si>
    <t>50decbd42ddd4733a4023a62e56d0623</t>
  </si>
  <si>
    <t>Hark Vineyards Earlysville Va</t>
  </si>
  <si>
    <t>f4e7975c5ccf4ebdb5f57918eef312ee</t>
  </si>
  <si>
    <t>Drive Shack Richmond Goochland</t>
  </si>
  <si>
    <t>a2b93a853f98491481bfb2094ce3a2fa</t>
  </si>
  <si>
    <t>Jason's Deli</t>
  </si>
  <si>
    <t>d3baa01373b549cfa5b5056e27eb03dd</t>
  </si>
  <si>
    <t>Office Depot</t>
  </si>
  <si>
    <t>ac275d79f5d2464aad2b62f9e41ff23d</t>
  </si>
  <si>
    <t>Tommys Exp Cw</t>
  </si>
  <si>
    <t>57b7170d8bd04c4394d9996715776840</t>
  </si>
  <si>
    <t>6fbdea0ae7454ef280b5aaf0b17812ed</t>
  </si>
  <si>
    <t>db5b7424c1114940b62f4b7bf4e5b282</t>
  </si>
  <si>
    <t>243bad4911174a2cb356f7d7db2ed7f0</t>
  </si>
  <si>
    <t>4c67fe71dfe242fcb7c683ffa900da46</t>
  </si>
  <si>
    <t>Take 5 232</t>
  </si>
  <si>
    <t>3ebb7f9eed1a4ca5a6e5f02086a686e9</t>
  </si>
  <si>
    <t>0a3122add3c54c71ae577f84a5b1808d</t>
  </si>
  <si>
    <t>4304f3edbf934ae6bd5590634832c20e</t>
  </si>
  <si>
    <t>369b732972c34c33bac30f66995a0fa3</t>
  </si>
  <si>
    <t>Square Enix Ca Square</t>
  </si>
  <si>
    <t>06259a7fac6e4fa9820e6ff3f465d0bb</t>
  </si>
  <si>
    <t>Banners Hallmark 54</t>
  </si>
  <si>
    <t>8597b87bf3a54df59c6b104f96714f7d</t>
  </si>
  <si>
    <t>d02dfc6054e448e1a857903a1eb5ea86</t>
  </si>
  <si>
    <t>6ace05bad24d414fa6aae61859c1ddbc</t>
  </si>
  <si>
    <t>7bea2ff147be451394217857e392464d</t>
  </si>
  <si>
    <t>3f8620ede04c49399cd1b3126f940d92</t>
  </si>
  <si>
    <t>Amc Richmond 10</t>
  </si>
  <si>
    <t>e121b598874c48499d897a74c0e45d07</t>
  </si>
  <si>
    <t>Cor Mobile App Meter</t>
  </si>
  <si>
    <t>9e236dd3633d413abed5741243be53e2</t>
  </si>
  <si>
    <t>f3121982c80e4343b4405f2f596b566d</t>
  </si>
  <si>
    <t>8c1dd4fb214247cda67ff9fe88a06fa5</t>
  </si>
  <si>
    <t>87e712b7304f4b0287fef48074277603</t>
  </si>
  <si>
    <t>Whole Foods</t>
  </si>
  <si>
    <t>15bd723c2ae04b8689a066bae664e324</t>
  </si>
  <si>
    <t>ff889fa58a694edea7f006db01b143b5</t>
  </si>
  <si>
    <t>7fe8c9381ce746f088a94842c9256919</t>
  </si>
  <si>
    <t>ca0010b33b394a91ae78b7c191d285ba</t>
  </si>
  <si>
    <t>57d58e6596bd4a69a953abd2eac3be26</t>
  </si>
  <si>
    <t>4c777aa1b92d46e19326457939eeff59</t>
  </si>
  <si>
    <t>43fc134bc83441e3afe65753c47293c0</t>
  </si>
  <si>
    <t>Narwhals Rolled Ic Richmond</t>
  </si>
  <si>
    <t>59e8bc4c0bca48739821c1ab3addaeb9</t>
  </si>
  <si>
    <t>9cbc6312ead44e03b9bdce069a1256bc</t>
  </si>
  <si>
    <t>8244bce49e834d30a53bb9312d734fbc</t>
  </si>
  <si>
    <t>Tan A Supermarket</t>
  </si>
  <si>
    <t>be232c232f734c369cc2943cf3c1c1a1</t>
  </si>
  <si>
    <t>0b8cf690c8134b5eaf63037fa343f3d0</t>
  </si>
  <si>
    <t>2c449d66bfe349f4a5e28f3a3ef59bff</t>
  </si>
  <si>
    <t>Ust Usta Membership Ny</t>
  </si>
  <si>
    <t>3536fc578c9a43e394469231356b0062</t>
  </si>
  <si>
    <t>66693fe7e1884b31a2eeeec1599e8d9c</t>
  </si>
  <si>
    <t>b3a573cebf004f9da13bbea6f973eadc</t>
  </si>
  <si>
    <t>30e901b5b08c49c6ba6b693ccb7f5fc7</t>
  </si>
  <si>
    <t>3a6f24ac8cb847d4b82d00451e7cef28</t>
  </si>
  <si>
    <t>3e1768a455ff4a999ec00fb4cb63d369</t>
  </si>
  <si>
    <t>Organic Krush</t>
  </si>
  <si>
    <t>9dd18436339d4d5d854be93033eab9ab</t>
  </si>
  <si>
    <t>b60053786286443a9f95df961166f338</t>
  </si>
  <si>
    <t>85d2604c93484fa19a06a81cd62bb962</t>
  </si>
  <si>
    <t>5dd8c701cff64f74b8d7807b7a60cfac</t>
  </si>
  <si>
    <t>46001b60212f49d2932ea82f1d293857</t>
  </si>
  <si>
    <t>Capitol Waffle Sho Richmond</t>
  </si>
  <si>
    <t>1c4c28cb43e44a3e95d18af9c2d1622d</t>
  </si>
  <si>
    <t>a9fc1ec721064805b86472b453729de3</t>
  </si>
  <si>
    <t>c00894447b884dfa99c741056850757f</t>
  </si>
  <si>
    <t>Bonchon Mechanicsville Mechanicsvillva</t>
  </si>
  <si>
    <t>61d9d89d35d74c23acdb4643279f9a95</t>
  </si>
  <si>
    <t>baeaf210aff548bb91d651c161a595af</t>
  </si>
  <si>
    <t>Kingsisle Pi Tx</t>
  </si>
  <si>
    <t>bb3c7261bba14c3d9242bb39e1188e6d</t>
  </si>
  <si>
    <t>9ece22fb9cde4157b83b13d47dd7d61d</t>
  </si>
  <si>
    <t>83b1092f5f08419589485524290b2ce1</t>
  </si>
  <si>
    <t>d2000787dd4a4b81bdbf786ebee9682a</t>
  </si>
  <si>
    <t>Wolframalpha</t>
  </si>
  <si>
    <t>e5bf389426914d3cae345554d3f3e2f6</t>
  </si>
  <si>
    <t>Cowaymega</t>
  </si>
  <si>
    <t>887a0c873c514f85953d265d7f51ce68</t>
  </si>
  <si>
    <t>Healing Spa</t>
  </si>
  <si>
    <t>074ca013f05f49969fe193d21715cf93</t>
  </si>
  <si>
    <t>Amer Fam Fit Midlothian</t>
  </si>
  <si>
    <t>375ffa7fd246443986080aa2202a8974</t>
  </si>
  <si>
    <t>6d2bf8c9b0a144f782cf6b540a684f25</t>
  </si>
  <si>
    <t>10648b51ba1e4b6081621d6ffe17d309</t>
  </si>
  <si>
    <t>f6b42dee743c409b8539b132f04b3a4a</t>
  </si>
  <si>
    <t>4e0fb6210f1146598a3f798269303bcb</t>
  </si>
  <si>
    <t>Amer Fam Fit Mechanicsvi</t>
  </si>
  <si>
    <t>6ddbe1d48e224b948a9f285071cfa670</t>
  </si>
  <si>
    <t>66798509f35c47129d87475f27337d35</t>
  </si>
  <si>
    <t>24e038df30f747f796799e6df17edbf4</t>
  </si>
  <si>
    <t>3d706e2e29d54e3180ec7e97b6de84f4</t>
  </si>
  <si>
    <t>dbfa71b5b9014e26ae094b3bcb1965e3</t>
  </si>
  <si>
    <t>Stella S Grocery</t>
  </si>
  <si>
    <t>6eaa1e6540e14e9999d31c185d57d133</t>
  </si>
  <si>
    <t>ffb03d6dc0e44ab29812f6b89278d8b2</t>
  </si>
  <si>
    <t>3cbac09c03e841dbad22a4751314fdbb</t>
  </si>
  <si>
    <t>c3048a2327a34c7396077b20076fa10f</t>
  </si>
  <si>
    <t>7e2adf38df1a404ba7c7976bf757c2d3</t>
  </si>
  <si>
    <t>e06dcb510b0a46cfadf2a5bbf1aacf38</t>
  </si>
  <si>
    <t>Amoco Amo</t>
  </si>
  <si>
    <t>d70f347b41104a769a67901f0bf33232</t>
  </si>
  <si>
    <t>Colpark Loc 989</t>
  </si>
  <si>
    <t>c7f4c70d7c4048ccaec52e72d884d32c</t>
  </si>
  <si>
    <t>990709a79ad54dca9114c6b01d002102</t>
  </si>
  <si>
    <t>4fd28eedc21c400f95444b3c89d789f1</t>
  </si>
  <si>
    <t>61cf15d8125a4a07af7fa1629a4c0d49</t>
  </si>
  <si>
    <t>95fc5720c37640a0887264d11aae794a</t>
  </si>
  <si>
    <t>2c7b9103b57a476c8b8aa514efa99678</t>
  </si>
  <si>
    <t>44fd2b416a3840f1b89e68ae8f3ed7a3</t>
  </si>
  <si>
    <t>28a55a46d2eb424abd148218d11dedea</t>
  </si>
  <si>
    <t>22cfeed66ba74e91b7193b8cb619a5ef</t>
  </si>
  <si>
    <t>4a2ba21910a14187a5c8f76b933cc9dc</t>
  </si>
  <si>
    <t>0310c337d4d0447cacb07210736647ad</t>
  </si>
  <si>
    <t>6aaa8591c71f498db0de8768d8cb5732</t>
  </si>
  <si>
    <t>0c5ed315361d4965abbf6c6024812369</t>
  </si>
  <si>
    <t>8ee357e80d74414b977b0b35d0599982</t>
  </si>
  <si>
    <t>Marathon P</t>
  </si>
  <si>
    <t>4c82f80d310249b79c568562bde93d30</t>
  </si>
  <si>
    <t>63b4bcabd4c64661afe3d813f73e9c58</t>
  </si>
  <si>
    <t>93090889dd8f4d25ad809e46e284fa7f</t>
  </si>
  <si>
    <t>931433fa30264997bed3d9a614b0096c</t>
  </si>
  <si>
    <t>316bc13a259e465088a14328a5eeff9a</t>
  </si>
  <si>
    <t>86e0ff65f568457495fdf681e437f1bf</t>
  </si>
  <si>
    <t>28f1646f30b74cb1a72a349ed98244c7</t>
  </si>
  <si>
    <t>Deli 48</t>
  </si>
  <si>
    <t>f41148fdad0d42968a45e5a6774eee7f</t>
  </si>
  <si>
    <t>d5e8f9b0dff64a74904c423fe98a5cb7</t>
  </si>
  <si>
    <t>Crunch Fitness Va Crunch</t>
  </si>
  <si>
    <t>0198f9982e3a48bba706c2a6f1287704</t>
  </si>
  <si>
    <t>Gong Cha Times Sq</t>
  </si>
  <si>
    <t>dc05ba9b4a4548c7b4a66c31e23206ad</t>
  </si>
  <si>
    <t>a1cdfdedf8c1426e984baafdca49dbb7</t>
  </si>
  <si>
    <t>Duane Reade</t>
  </si>
  <si>
    <t>4b56c65b5f124453916f0aa2af014bfe</t>
  </si>
  <si>
    <t>fd167f1f1d8c4c29a10b6b86d2636813</t>
  </si>
  <si>
    <t>f1dc1dbfd71f40159f8cb317bc19e3a1</t>
  </si>
  <si>
    <t>Wafels &amp; Dinges New</t>
  </si>
  <si>
    <t>69702eb61bb94b4c8368b221ae65b3bb</t>
  </si>
  <si>
    <t>39c69ea44f34401a884cb45d34a80b72</t>
  </si>
  <si>
    <t>fa948de976264d838e55bcb2bceb97f3</t>
  </si>
  <si>
    <t>Champs</t>
  </si>
  <si>
    <t>cd6559a931b54c46a2df2ac67ce8f80a</t>
  </si>
  <si>
    <t>a39f1c78a38e49f490e917d543ea8c16</t>
  </si>
  <si>
    <t>c049b53830b04d6d88c59d56086bc3e6</t>
  </si>
  <si>
    <t>1b86d843d985443d8d21b0dc3c7aeb30</t>
  </si>
  <si>
    <t>fee7e4c89ac84370882b836461bcd97d</t>
  </si>
  <si>
    <t>7d472fa2dca0484fba5bef2fcbdbe51a</t>
  </si>
  <si>
    <t>Warby Parker</t>
  </si>
  <si>
    <t>76e9c9d44cb74140acfd1414780e154a</t>
  </si>
  <si>
    <t>728b9c1abe964a1597c22c1edf19d04d</t>
  </si>
  <si>
    <t>New York Kimchi</t>
  </si>
  <si>
    <t>605b3f2d90a147e3b80a4a0e0cb89c77</t>
  </si>
  <si>
    <t>924ce29507464da0864804eb56a73170</t>
  </si>
  <si>
    <t>Google Google Youtub</t>
  </si>
  <si>
    <t>088189ec15ba42f0bc0c66cb6df3aee5</t>
  </si>
  <si>
    <t>837e5374fd36482891adbac4fb68ae68</t>
  </si>
  <si>
    <t>a44139f018004906844d6ddaad566eda</t>
  </si>
  <si>
    <t>64b2c3e8e81a4c558e6886f747cf07a5</t>
  </si>
  <si>
    <t>ebef9b8752924fdfb9abe2ff7f084ead</t>
  </si>
  <si>
    <t>d4095f78e41646e39d412acfbc1b4281</t>
  </si>
  <si>
    <t>6b95563e613247d0af83461ce1ad110a</t>
  </si>
  <si>
    <t>a86342ba13f944c09fd9d336be436c35</t>
  </si>
  <si>
    <t>fc7561ae750542ec8ea4559e84606bd1</t>
  </si>
  <si>
    <t>Skrimp Shack</t>
  </si>
  <si>
    <t>b92be0876e66463bb8530ab999fc4775</t>
  </si>
  <si>
    <t>4497f967ec0b42419910b455c84f3187</t>
  </si>
  <si>
    <t>cf7e4dea06d54470a0c00c2a3485a7f8</t>
  </si>
  <si>
    <t>274efda69b3941e3add3f63bdf680d79</t>
  </si>
  <si>
    <t>20742ddfc2ba40ec9b285ce2a40d9f0d</t>
  </si>
  <si>
    <t>Fersguide Llc</t>
  </si>
  <si>
    <t>f41b0212d3954611bc65ab605219cf4a</t>
  </si>
  <si>
    <t>cd1978ab88674cf7bbf0a6be4c32ad37</t>
  </si>
  <si>
    <t>49435cf3937445ee8e561103f6a69a52</t>
  </si>
  <si>
    <t>413bf765553c4992a89cbdd1df2c9695</t>
  </si>
  <si>
    <t>Fubotv</t>
  </si>
  <si>
    <t>083a246fca0f410c98df9a34cbaa20f3</t>
  </si>
  <si>
    <t>7c736b4740914b9e9013f83c58188da5</t>
  </si>
  <si>
    <t>ee3bada9058140e5b114a6cd8ecfc582</t>
  </si>
  <si>
    <t>Hardee's</t>
  </si>
  <si>
    <t>8dc890ebdb244f7fbaaf770dcebe38c8</t>
  </si>
  <si>
    <t>c0b5ca6118834276a6b58bb152c0c623</t>
  </si>
  <si>
    <t>13413b676c4e4a5dbe25ef9af0605f2e</t>
  </si>
  <si>
    <t>4d1fc2d5cf6341bc8597fd91383593ad</t>
  </si>
  <si>
    <t>9a2e5f2c95b849b887562975af33d497</t>
  </si>
  <si>
    <t>028462f5caa44f30a5c2875f5fc1dc45</t>
  </si>
  <si>
    <t>6d30eba35a6e4381bba8aa4e186a6ac8</t>
  </si>
  <si>
    <t>4e6b3b4cdf614588b7132ded41507d70</t>
  </si>
  <si>
    <t>628d60ab1b03491cadb34deda3db4686</t>
  </si>
  <si>
    <t>Firehouse Subs</t>
  </si>
  <si>
    <t>30b607ca8c30471a9fac38b0d21f4235</t>
  </si>
  <si>
    <t>812060754bb742fdaeecd5bbaeb470fd</t>
  </si>
  <si>
    <t>9342196d967e44eaacd2102d5d0f1252</t>
  </si>
  <si>
    <t>acd7c95b295740b78bbb9c48847e3c17</t>
  </si>
  <si>
    <t>30514fa546044148be370312ad3b45ae</t>
  </si>
  <si>
    <t>558b50b228974743a98d67d74ca0180b</t>
  </si>
  <si>
    <t>b68218dfb66547f89aae770c214d14b1</t>
  </si>
  <si>
    <t>9462969bf83c4979b96922251651c11f</t>
  </si>
  <si>
    <t>405cf233ad6a4a0dbe87fd0b6f75d716</t>
  </si>
  <si>
    <t>1928800effa84c04bfa055d0da79740f</t>
  </si>
  <si>
    <t>768db350b6af49d7ba9805c21a6f2458</t>
  </si>
  <si>
    <t>50d86630b35b49e2881e383d29f5d12b</t>
  </si>
  <si>
    <t>Google Youtube Subsc</t>
  </si>
  <si>
    <t>e0403632ecd94cf48404f21103d92500</t>
  </si>
  <si>
    <t>89275bc6c0c6452597e674a470e0a0e8</t>
  </si>
  <si>
    <t>4acb400276c84b6190e10a3995023243</t>
  </si>
  <si>
    <t>Mellow Mushroom</t>
  </si>
  <si>
    <t>c20bc6790e344f9e9de2544ee17ebff4</t>
  </si>
  <si>
    <t>Interactive</t>
  </si>
  <si>
    <t>8901e90fad7a487b8dfe0d6747addedd</t>
  </si>
  <si>
    <t>5dce8b4421294bbca4cc9569c3cda74a</t>
  </si>
  <si>
    <t>b9146809216e415a9d2a2bb0e00d1f58</t>
  </si>
  <si>
    <t>Disneyplus Ca Disneyplus</t>
  </si>
  <si>
    <t>fedaaafd61f44f58bff8aa61f1ddae64</t>
  </si>
  <si>
    <t>d59645568c37438fa0b18327e0c628e4</t>
  </si>
  <si>
    <t>25750f0ddb6f4fbe8cea62f2bbfb8a5c</t>
  </si>
  <si>
    <t>Bp Mile Bp</t>
  </si>
  <si>
    <t>0019973643454bfaae7d179e4036ffb2</t>
  </si>
  <si>
    <t>Del Sauce Llc</t>
  </si>
  <si>
    <t>c405ff79b71e44e68147cb1155766db2</t>
  </si>
  <si>
    <t>Department Motor Vehicle</t>
  </si>
  <si>
    <t>4fc5a4cde2744d67a0151927da20a445</t>
  </si>
  <si>
    <t>2b7f5c61f96b4a84b7ffdea604bbb313</t>
  </si>
  <si>
    <t>fb2b8580417347ffb3b7e963e2b1008a</t>
  </si>
  <si>
    <t>555daf7ffc7d42f29f3eff31786ff15b</t>
  </si>
  <si>
    <t>1f2aedaa4c8e46da90579059d17e228d</t>
  </si>
  <si>
    <t>41e52b109f5545a483cb7f87234ee654</t>
  </si>
  <si>
    <t>627e0ed2081f4ccdb4f62003a2bdab1d</t>
  </si>
  <si>
    <t>f8511b27f921439cb8a8b7c1a6a71407</t>
  </si>
  <si>
    <t>1d2f4a1fe0c84943afe0d11ac1492856</t>
  </si>
  <si>
    <t>cb9cb5507cca4d5a9400b560b532675d</t>
  </si>
  <si>
    <t>Coaching Actuaries</t>
  </si>
  <si>
    <t>3bc89068b9f94b6996e4c8e2be6c1115</t>
  </si>
  <si>
    <t>f3c4e19bb92441279298d5a1acfd5751</t>
  </si>
  <si>
    <t>5fd0beb2db404a67a752f70c384e02ed</t>
  </si>
  <si>
    <t>9e1f4a7e4ebe400b9acaa0334a017532</t>
  </si>
  <si>
    <t>4733911232dd4bcb91ccc9bac79a6139</t>
  </si>
  <si>
    <t>ca740ce348ab41b98b787950eff8afd0</t>
  </si>
  <si>
    <t>3bfb5d1f2c0d468dbe346b0f62fead3d</t>
  </si>
  <si>
    <t>900907aad99e4dc9892b8e18b60a7625</t>
  </si>
  <si>
    <t>350b6f456ba24742a7781919d8f36aa7</t>
  </si>
  <si>
    <t>15d7a677030d48889be4483944d460a5</t>
  </si>
  <si>
    <t>7dd23eb162464b61bdd826e5377c0592</t>
  </si>
  <si>
    <t>The Market</t>
  </si>
  <si>
    <t>c00f6aefe86b457e8a751ac3c4d5cf91</t>
  </si>
  <si>
    <t>81f1f813e5474bbfa358f8fc0a751a66</t>
  </si>
  <si>
    <t>Pupatella 2</t>
  </si>
  <si>
    <t>2682819987594a14b7de8f12d94992f2</t>
  </si>
  <si>
    <t>ccb97ad56c2e47d4af52d9c28b73f125</t>
  </si>
  <si>
    <t>d4f4a7bd5f2948dcb731804338e5ee5f</t>
  </si>
  <si>
    <t>b2ba202630404846a79eb2c31e874651</t>
  </si>
  <si>
    <t>cfcf8a9b3ce645f1bd06ac6fa4416b9e</t>
  </si>
  <si>
    <t>b3bc604d256e48109e406f760d292ed9</t>
  </si>
  <si>
    <t>a45c68171a4b4224a17f202796885c95</t>
  </si>
  <si>
    <t>094301b79cfd41d5a562ccc049678a0c</t>
  </si>
  <si>
    <t>ab9c38edfa2a474a973a2e5fa6e2b10b</t>
  </si>
  <si>
    <t>bb25fcfc225843afb91d8c935ed64659</t>
  </si>
  <si>
    <t>Bird App</t>
  </si>
  <si>
    <t>62ce3a53bc1847e298eae5221e4b3f1e</t>
  </si>
  <si>
    <t>3ea4c6dbc287401ba342023c3d0ce30f</t>
  </si>
  <si>
    <t>37e82c3f6ec84489ae9c6fcab9a3cdb1</t>
  </si>
  <si>
    <t>e9d984b6b05b4c3da46a8ad455d15032</t>
  </si>
  <si>
    <t>aed0580099da4cc7b4e07d7107f22893</t>
  </si>
  <si>
    <t>d357cf8984c84cd7bd99d3db26698311</t>
  </si>
  <si>
    <t>5d9ce708052240e5901256498b3e6109</t>
  </si>
  <si>
    <t>8e89882692944a1fb09f6d0adc66cb7c</t>
  </si>
  <si>
    <t>29d3474c43fd47dabcc6ccea6789f6d9</t>
  </si>
  <si>
    <t>fa37590e4c3248ad9b6b3fd49cf6cce1</t>
  </si>
  <si>
    <t>32ed008b88ff4be29146bba54e45cbe9</t>
  </si>
  <si>
    <t>Dayneinvest</t>
  </si>
  <si>
    <t>998402992f974b3d928ababc56a90127</t>
  </si>
  <si>
    <t>d1845365df0140e0a4804490a8e78ec6</t>
  </si>
  <si>
    <t>19276328924743c590181de11135b4d2</t>
  </si>
  <si>
    <t>370cc7b8a9264179ade0a19dc27e6ee4</t>
  </si>
  <si>
    <t>Dc Charbroiled Chicken</t>
  </si>
  <si>
    <t>81355d8abe7f409983bdc4b708218b5d</t>
  </si>
  <si>
    <t>d78f31ff4b304a51b7296ef080dd310a</t>
  </si>
  <si>
    <t>bbc0f583aa114f31a58ee08b1357d054</t>
  </si>
  <si>
    <t>5cd6cec032564cbca32963cceee0f6e7</t>
  </si>
  <si>
    <t>9742bc65d34f42f98eee8bc2c0a1647d</t>
  </si>
  <si>
    <t>fa3707c3c3204763bfc382d0331d94cf</t>
  </si>
  <si>
    <t>f8d30b3d3aef451c8b206d67a173838b</t>
  </si>
  <si>
    <t>94b7b5a079dc45b8b452869978fae972</t>
  </si>
  <si>
    <t>81c8e2cd958c475890479bdb6a3271dc</t>
  </si>
  <si>
    <t>f872d7ac5b3a4f8390584cd401eed1ce</t>
  </si>
  <si>
    <t>806588377cd244d193ab6925709fdfdd</t>
  </si>
  <si>
    <t>3a5c44cc11ba4fab872bfff61a6dc096</t>
  </si>
  <si>
    <t>Cityparking Inc Va Apple</t>
  </si>
  <si>
    <t>820a89f5e2224259b50f980f07d39c52</t>
  </si>
  <si>
    <t>521 Biscuits &amp; Waff</t>
  </si>
  <si>
    <t>bf44594346cf43efa3843b5e03d63c57</t>
  </si>
  <si>
    <t>6e105d81d32f41bf9c7dba0b630795bf</t>
  </si>
  <si>
    <t>962d00421dce437a94d5b6bb9db9f569</t>
  </si>
  <si>
    <t>f161e60155db4c5095d2e7305d854810</t>
  </si>
  <si>
    <t>10cf817c32b84b3394f93f8939d33229</t>
  </si>
  <si>
    <t>256463f0d8664b9381e9dedb86550992</t>
  </si>
  <si>
    <t>fe64473169ed4ac38245823b33d5d4b5</t>
  </si>
  <si>
    <t>64a2d7f7dc574bd0bc6c6ce80e2a6648</t>
  </si>
  <si>
    <t>4713b418f0ba4a7abc2b9ba6a793506a</t>
  </si>
  <si>
    <t>Ilf Llc</t>
  </si>
  <si>
    <t>66be87078e984e7f881dec3be6bc1838</t>
  </si>
  <si>
    <t>df2d53e6af864ffda35561b225f8a349</t>
  </si>
  <si>
    <t>8215cdfbd0014486933ebf73f8be4228</t>
  </si>
  <si>
    <t>8c584eb39f11412e8fbdfe8c7e929ef3</t>
  </si>
  <si>
    <t>fa6e77b16768402c8a199ac19be407a9</t>
  </si>
  <si>
    <t>818c6a1306634c76bcf377e0aaebbf06</t>
  </si>
  <si>
    <t>a27aa4d51a514f3fb9f14577ec61ac3e</t>
  </si>
  <si>
    <t>367fe33435b44d3e99720b1e9c4bb374</t>
  </si>
  <si>
    <t>Apple Bill Ca Sale</t>
  </si>
  <si>
    <t>3402aa8b7b5040e6b6b11910d9dba9c8</t>
  </si>
  <si>
    <t>8c4bede186704f5c8c3791603664acac</t>
  </si>
  <si>
    <t>db3615b6bead4d409dc70adf366506f9</t>
  </si>
  <si>
    <t>Farm Fresh Richmond Richmond</t>
  </si>
  <si>
    <t>29c711cc89004cfcaae39abf01b0c859</t>
  </si>
  <si>
    <t>Hollister</t>
  </si>
  <si>
    <t>4438e86f081c4546922192f6df3306cb</t>
  </si>
  <si>
    <t>Drop Ca Return</t>
  </si>
  <si>
    <t>a0b6c72270f24030a40c25417a8b6aa4</t>
  </si>
  <si>
    <t>b2ba9effcd13476bbf00636023e4a00c</t>
  </si>
  <si>
    <t>Family Dollar</t>
  </si>
  <si>
    <t>bcd055a16825478e98304bf77306817c</t>
  </si>
  <si>
    <t>a1acadfea7f748839565941af1bb50f0</t>
  </si>
  <si>
    <t>Cash App Shevon Lew</t>
  </si>
  <si>
    <t>0cc5acf63bd94639a492f6ecb9dab81e</t>
  </si>
  <si>
    <t>Etchedactua</t>
  </si>
  <si>
    <t>c5dd810452bb437aa907c89c11fce272</t>
  </si>
  <si>
    <t>f7d4a04da6464e36b9f114781b3abdf7</t>
  </si>
  <si>
    <t>Fedex</t>
  </si>
  <si>
    <t>426048d35b2740158e7c96dd418102ab</t>
  </si>
  <si>
    <t>c78b47bc80cf4ad0a93df4212208f167</t>
  </si>
  <si>
    <t>7ac746ca309d4ae39844d13d05593d20</t>
  </si>
  <si>
    <t>Bingo Beer Co Games</t>
  </si>
  <si>
    <t>4b6aafa3e7df4294a0844b0c95c9f2e1</t>
  </si>
  <si>
    <t>6932b4c1e7ce471498c87876695208b6</t>
  </si>
  <si>
    <t>1564b65181744ed2b3b219260684093e</t>
  </si>
  <si>
    <t>Labcorp Pscc 2 Nc</t>
  </si>
  <si>
    <t>8f4b5c4b7eaf4be9ab72b1cb6b9ef5f3</t>
  </si>
  <si>
    <t>Drop dropdotcca Sale</t>
  </si>
  <si>
    <t>f48eb9cb2682464baf04e854e5538381</t>
  </si>
  <si>
    <t>America's Best Wings</t>
  </si>
  <si>
    <t>4cb9399005484dffb944481fbea49e41</t>
  </si>
  <si>
    <t>Go Dragon Asian Grill</t>
  </si>
  <si>
    <t>945bfa3802924446822c5118cfb5b497</t>
  </si>
  <si>
    <t>9ca6ac374cea496d9be503373cce63dd</t>
  </si>
  <si>
    <t>Livecareer Pr</t>
  </si>
  <si>
    <t>5c1d3c6a301a4ab892fe6943fffacdbb</t>
  </si>
  <si>
    <t>River Run Short Pump</t>
  </si>
  <si>
    <t>02d0432f8cc84d109a941351e58c3e70</t>
  </si>
  <si>
    <t>6bb5e83046b3416294936bbc738cca6e</t>
  </si>
  <si>
    <t>0bb27ed2fb384b539c9aaa8c186acb5e</t>
  </si>
  <si>
    <t>87e0bae3e2e64ddf90353a63131b9d0d</t>
  </si>
  <si>
    <t>d0c9d21555c841a487f68c07611c95dc</t>
  </si>
  <si>
    <t>30debbf8b3be4a04b5feaff16def9419</t>
  </si>
  <si>
    <t>5a0acc9aaa2a490b8804f6d497f8b8cf</t>
  </si>
  <si>
    <t>1678b0438fe14364ae24ce51b87dbbe1</t>
  </si>
  <si>
    <t>0eb530f4ac68445698e0ea082fc79d7c</t>
  </si>
  <si>
    <t>0a7029ace127436d945db429480221ca</t>
  </si>
  <si>
    <t>1569042042ff4c569cde3cf1738a63b5</t>
  </si>
  <si>
    <t>3bb04fbdf7824249b6a90a73619fea1c</t>
  </si>
  <si>
    <t>1c7dff67922a4d4ba442b0b9842e3cbb</t>
  </si>
  <si>
    <t>f1a020c39ddb43ecb8e0cd8c79e13777</t>
  </si>
  <si>
    <t>ce02b56cb2b4410abb58181cfa55b1b7</t>
  </si>
  <si>
    <t>f5f92e4df3ba45749a14b2090f697d2b</t>
  </si>
  <si>
    <t>Microsoft Microsoft 36</t>
  </si>
  <si>
    <t>c2ff92f5d7194ddaa41577f45940c8a3</t>
  </si>
  <si>
    <t>521fbf2def7b412490764e89546e3896</t>
  </si>
  <si>
    <t>7539f36cd831435c87b040e1283fc173</t>
  </si>
  <si>
    <t>9e62649a69a04573a9afab9058a687e0</t>
  </si>
  <si>
    <t>Dick's Sporting Goods</t>
  </si>
  <si>
    <t>5b7c1b05256747b1b69b08668644b2d6</t>
  </si>
  <si>
    <t>f72847d45bd3474f96abd4d147269742</t>
  </si>
  <si>
    <t>a435e1e4d76140abafa37e3d0f229e0e</t>
  </si>
  <si>
    <t>beede293ecb94291839fb6e035e63b76</t>
  </si>
  <si>
    <t>d7b693facfc14119bcc1fcd90a8afa6c</t>
  </si>
  <si>
    <t>5cd4f25dd17d4da1a3bd09111a1b8114</t>
  </si>
  <si>
    <t>Scott Motor Company</t>
  </si>
  <si>
    <t>6e3014428eb4463e95faa6471c8177a8</t>
  </si>
  <si>
    <t>74ed7659f62948d3a79533efbe462f45</t>
  </si>
  <si>
    <t>Zaxby's</t>
  </si>
  <si>
    <t>d15153a1626440a1b5817bfe4885f93a</t>
  </si>
  <si>
    <t>Yahoofantas Fan</t>
  </si>
  <si>
    <t>b1c50ab76c76493c8e031dafa7cff12e</t>
  </si>
  <si>
    <t>Burlington</t>
  </si>
  <si>
    <t>0cac771d833f47be97125d434275873f</t>
  </si>
  <si>
    <t>219a885fe4b74fc5a663b7f6eb5b2012</t>
  </si>
  <si>
    <t>a785289ee82e485fa84a7dbfe3c751d7</t>
  </si>
  <si>
    <t>b6c2a8480b1b4a218062f44e053d14f0</t>
  </si>
  <si>
    <t>Zorba's Greek Italian</t>
  </si>
  <si>
    <t>7936d381f83643829c3070714fab1c65</t>
  </si>
  <si>
    <t>42ab0dbdda0e478a9e9110e29a5ceab7</t>
  </si>
  <si>
    <t>Amazon Amzn Billwa</t>
  </si>
  <si>
    <t>560fa03d3be149f080d4a01211c32d42</t>
  </si>
  <si>
    <t>ed1af3d0455045ec9437a5191c743316</t>
  </si>
  <si>
    <t>634058a0052c47c8a9326b06d201b7ab</t>
  </si>
  <si>
    <t>563f8224a99446e18960367e1ac0fc22</t>
  </si>
  <si>
    <t>f6d9343b88ed474993020ce3b2a0dcf4</t>
  </si>
  <si>
    <t>29c85d26d81443d58c425bb7d4345446</t>
  </si>
  <si>
    <t>682f36a94f184ba9b89ea4a509e25aca</t>
  </si>
  <si>
    <t>be62249eef3e4c7c98d32ab1183e00d2</t>
  </si>
  <si>
    <t>874b2cc2a7124845a25f206ed0714e84</t>
  </si>
  <si>
    <t>00675fe7188e498d8a5579d39b562f2c</t>
  </si>
  <si>
    <t>c138ff0eca82458eaf4ddaf2bb095d8c</t>
  </si>
  <si>
    <t>3587706bb02e4bbbbf3efe256acd273b</t>
  </si>
  <si>
    <t>Hart Nissan Mechanicsvillva</t>
  </si>
  <si>
    <t>85575fe11fac4b5dbbd924f4220a00f9</t>
  </si>
  <si>
    <t>5bdb061c52664b338a9c884b2a9d7c7f</t>
  </si>
  <si>
    <t>c417960c9eba4a2ea7e3a28d32c0a8d7</t>
  </si>
  <si>
    <t>7a193a53c8f4406b93b6d50e329339a0</t>
  </si>
  <si>
    <t>262cfae458e54cc2a7c7df64b2616a1c</t>
  </si>
  <si>
    <t>aa337b2e3ffc4a2b850361c3659c3f7c</t>
  </si>
  <si>
    <t>5fe7ef82f0104692a12f25df00777851</t>
  </si>
  <si>
    <t>09c781510eb049f5864493bf4801653a</t>
  </si>
  <si>
    <t>8c2fff55ba694384bc0a31408eaf55c8</t>
  </si>
  <si>
    <t>7bf12a3c120541b5aca017d2f4014331</t>
  </si>
  <si>
    <t>d657d771bec346dcb1835bb7e765b1c1</t>
  </si>
  <si>
    <t>Apple Bill Ca Y</t>
  </si>
  <si>
    <t>26841dd23d2543ae84ca812c5489d9dd</t>
  </si>
  <si>
    <t>85bf499b09794f6697cfe39d6d501e20</t>
  </si>
  <si>
    <t>f3123a5d8f44494db61a390a9bcc5c6c</t>
  </si>
  <si>
    <t>510ae525f380436fbce1214a6052017f</t>
  </si>
  <si>
    <t>adb812fe217f4ca4bf56852e08db02aa</t>
  </si>
  <si>
    <t>551bd5db1761435c8976c3a9a003e580</t>
  </si>
  <si>
    <t>2adc00088f1442a8915e708f0bebfef6</t>
  </si>
  <si>
    <t>4908e8a94f614f429016401f45eab749</t>
  </si>
  <si>
    <t>Apple Bill Ca</t>
  </si>
  <si>
    <t>f23cc4063ff147e48c927e9d89293c8f</t>
  </si>
  <si>
    <t>f5bdb06ad5dc4702a0e6ac9521526226</t>
  </si>
  <si>
    <t>Apple Bill Ca M</t>
  </si>
  <si>
    <t>68a4dbdeac2d4070a4fa3fdf16a35362</t>
  </si>
  <si>
    <t>Alamo Bbq</t>
  </si>
  <si>
    <t>dd98960871854ab898da24e54bd9477f</t>
  </si>
  <si>
    <t>75ed68d8c0ff4ac59ef28a171af96f2b</t>
  </si>
  <si>
    <t>bdc9ef5bcedd4e42ba582c9c1d70b2c5</t>
  </si>
  <si>
    <t>Union Market Gosq Va</t>
  </si>
  <si>
    <t>c9d3e1a6f44e4bb1babd125e73178de0</t>
  </si>
  <si>
    <t>e169f337df7d46ee8e058e0839382069</t>
  </si>
  <si>
    <t>e150203874894aecbd6b4314b1d5896e</t>
  </si>
  <si>
    <t>56526f4ef2a644a688cae014c4b309a3</t>
  </si>
  <si>
    <t>de36ada50b65464f8075c3e3887465a8</t>
  </si>
  <si>
    <t>79310c64d0e642b6992af632cabfc8fa</t>
  </si>
  <si>
    <t>febb758f51f546089b55208e60dca19b</t>
  </si>
  <si>
    <t>d132d1e1136b475aaec3471a3689f680</t>
  </si>
  <si>
    <t>2dba4bed4fde43f4b0465ba0e8b14ff4</t>
  </si>
  <si>
    <t>0f4198090c9f4d4abced4a4f69d7f2a0</t>
  </si>
  <si>
    <t>91a9acfa694d43339076dacd0f5a8b24</t>
  </si>
  <si>
    <t>ff3e7b273bd84898999c7bbd6d4360cd</t>
  </si>
  <si>
    <t>b6e89326d42e4f378179895ea22c07b8</t>
  </si>
  <si>
    <t>ebcb9f1377184a409a5dbe6ee3a49299</t>
  </si>
  <si>
    <t>be94e4c42f4a4bb3ab0653a81dadf8fe</t>
  </si>
  <si>
    <t>6b3696f39a6440d2a2c4022a1edf35c7</t>
  </si>
  <si>
    <t>b29ed17b69d84d7b95189a4161387a9c</t>
  </si>
  <si>
    <t>e588d39bb06c42428c801c8520dd8288</t>
  </si>
  <si>
    <t>498b817622bf42288ebe2ea05edfe498</t>
  </si>
  <si>
    <t>44c6cfd12b68460781218840b2cc073b</t>
  </si>
  <si>
    <t>ea115b624c014c558304ea4f18145bcd</t>
  </si>
  <si>
    <t>3d311880119b4693acce875b0c60d902</t>
  </si>
  <si>
    <t>ba5af524f0414eaba98d503c13dcd731</t>
  </si>
  <si>
    <t>ef99810f1a60491eac359b42d82a8d51</t>
  </si>
  <si>
    <t>Neemb Llc Distill Io</t>
  </si>
  <si>
    <t>45ee1321a59c46c6b18ea28dd917d8c8</t>
  </si>
  <si>
    <t>Nissan Of Richmond</t>
  </si>
  <si>
    <t>777978cd375c490ea119cf62f85f7765</t>
  </si>
  <si>
    <t>027840ca70d6409d892b960744ad4398</t>
  </si>
  <si>
    <t>ef37f25b76144cc4a1cf72f9a7bf4895</t>
  </si>
  <si>
    <t>9eaf016d03fe4fc99e212db8cb500139</t>
  </si>
  <si>
    <t>cd33ba9fc6db46eeafa2d1e83d493c52</t>
  </si>
  <si>
    <t>009818fc8b1b412e91d5e19f321ce951</t>
  </si>
  <si>
    <t>63c8a074d91c41d197f86271ae9ab122</t>
  </si>
  <si>
    <t>dbb5bab49d084b48bc3553858312cce4</t>
  </si>
  <si>
    <t>037f9116971b4cd898f96e3f32b69339</t>
  </si>
  <si>
    <t>Va Dmv Richmond Central</t>
  </si>
  <si>
    <t>c1a7943df8094ae082b093583e4e5553</t>
  </si>
  <si>
    <t>804bd20669784f3c9df5ac5ffd9006e3</t>
  </si>
  <si>
    <t>Apple Bill Ca Sbk</t>
  </si>
  <si>
    <t>9a72efd61d7f4cccad9a93b48897f03d</t>
  </si>
  <si>
    <t>d50ad2bafaf247ea924f2c92940d0d9f</t>
  </si>
  <si>
    <t>57616b79fd6b4aa2b9dc70c3531cbe42</t>
  </si>
  <si>
    <t>d1554430433d4c20b3d849dc0c146fd7</t>
  </si>
  <si>
    <t>876dc12e2daf4b14a7fe16cd4d3261e2</t>
  </si>
  <si>
    <t>b56b722058c246b9937e649550e1e2d2</t>
  </si>
  <si>
    <t>4fda3b2bac6942d29b30f225a8c8d390</t>
  </si>
  <si>
    <t>1f333295e9014aa38bf481ffa4b78496</t>
  </si>
  <si>
    <t>54e3aab3a217457b9a52e77993715b9c</t>
  </si>
  <si>
    <t>Rva Bike Share</t>
  </si>
  <si>
    <t>08abdba0439c43baa463e2f4dac409be</t>
  </si>
  <si>
    <t>fad10c37f8fa496d8fd298c4a61a4fdc</t>
  </si>
  <si>
    <t>719cb508c88a4d2081c7e6a760ca0240</t>
  </si>
  <si>
    <t>99ac57b882094720a85becb0a51d53fa</t>
  </si>
  <si>
    <t>07267922384d4bf08ce810fe11d858ad</t>
  </si>
  <si>
    <t>63456c64ba9049359bfe0f159d96e1cc</t>
  </si>
  <si>
    <t>96004b382272403fb6391ee2b9ac799d</t>
  </si>
  <si>
    <t>2f90e669ef9e4daabd64093f945ddad5</t>
  </si>
  <si>
    <t>8c75190baf404dd0ba0fd1f6a3663bf6</t>
  </si>
  <si>
    <t>4e365a5005c34f4d86fe9027b90133e6</t>
  </si>
  <si>
    <t>Legends Brewing Co</t>
  </si>
  <si>
    <t>66b7b69d81224d138002df2585a18f6d</t>
  </si>
  <si>
    <t>9c54c15fbd6b439b9b9a814646a4e026</t>
  </si>
  <si>
    <t>b8c67fe190904ca5bdad7e6b26ec89b0</t>
  </si>
  <si>
    <t>369a8292852f4e3ca64aa2055da8914a</t>
  </si>
  <si>
    <t>dd3245bd0d4040d1b8f3ea9ee13cc2cd</t>
  </si>
  <si>
    <t>19cc4b69d6624ff18df449cb7393b799</t>
  </si>
  <si>
    <t>d0d5eac1e8b94ee59bbc10fc87869c6d</t>
  </si>
  <si>
    <t>24108e0ab1cd4751bb2f9b2b03c2ffab</t>
  </si>
  <si>
    <t>821ce5512b274e0f98b81d441314763b</t>
  </si>
  <si>
    <t>37f59953bfe541cbb4981942adaf8437</t>
  </si>
  <si>
    <t>4ce277496f5c477fb1779aee7f81459f</t>
  </si>
  <si>
    <t>2b27e7d0007249ad815af1577128d0a2</t>
  </si>
  <si>
    <t>9e165afc04a841e3830654dbcf09196c</t>
  </si>
  <si>
    <t>Scalefast</t>
  </si>
  <si>
    <t>79e613c9d6db4c088fb17c8c39f30991</t>
  </si>
  <si>
    <t>5849d988013f4671b091da6a42764d91</t>
  </si>
  <si>
    <t>ecb67f891b8a4d988efefbe6f7f1a285</t>
  </si>
  <si>
    <t>d4bcc7ee0994421da1622862d86341fe</t>
  </si>
  <si>
    <t>dc6dda6f233c4a3aad1c2e71908a7a5d</t>
  </si>
  <si>
    <t>61dcfc5b95474f4ab89493047b76d186</t>
  </si>
  <si>
    <t>Apple Bill Ca D</t>
  </si>
  <si>
    <t>db916ec763764fd1aef814b4e7c552db</t>
  </si>
  <si>
    <t>b70e0a4222ad4471bd2505165b217c84</t>
  </si>
  <si>
    <t>1e02a22da7214069b5f3fe4ecf24f26b</t>
  </si>
  <si>
    <t>66491b456e3149fb887abf1ef4a1c885</t>
  </si>
  <si>
    <t>62505d9024c54693ad1d917f13458631</t>
  </si>
  <si>
    <t>b990d2a22977454a989a7945a10dc85c</t>
  </si>
  <si>
    <t>497431f0bec94d84b2c73998f6227e40</t>
  </si>
  <si>
    <t>e51cfec7059541fda0073ab086e6dd18</t>
  </si>
  <si>
    <t>09168c2a317f43c6902469e2ee46a43d</t>
  </si>
  <si>
    <t>640aa46ed33c494eba0d513aa4abcef2</t>
  </si>
  <si>
    <t>e1582291244f436d9448df149b96a348</t>
  </si>
  <si>
    <t>8fa544984dd64c27ac8fa10d66c592d9</t>
  </si>
  <si>
    <t>387739cbe97c482b87ef3c4142561cfd</t>
  </si>
  <si>
    <t>4eef1631a9184107b2c05afefdcffb0c</t>
  </si>
  <si>
    <t>722a47a315d04d0aab5f2daca9e8e064</t>
  </si>
  <si>
    <t>Apple Bill Ca J</t>
  </si>
  <si>
    <t>cf0dc09e66d347c6904b7c9d776a7d90</t>
  </si>
  <si>
    <t>Havana 59</t>
  </si>
  <si>
    <t>d772ea8080fe4d4a916209b9156c6457</t>
  </si>
  <si>
    <t>Maymont Foundation Richmond Va</t>
  </si>
  <si>
    <t>9090029e875240f585a66067a4c274b5</t>
  </si>
  <si>
    <t>E Z Pass Va</t>
  </si>
  <si>
    <t>4bd858c3b6d84f4eb34945e145d03a83</t>
  </si>
  <si>
    <t>da68d83f373847f6b5c5572ee1c9ba3d</t>
  </si>
  <si>
    <t>d91853b269ba498ea6fc3ff500440a54</t>
  </si>
  <si>
    <t>8d5de6fa615c4637b308271595d1e035</t>
  </si>
  <si>
    <t>NStreet Market</t>
  </si>
  <si>
    <t>1aba44fdce724451a421234041ff9337</t>
  </si>
  <si>
    <t>dc8f392d43af456985f89fe0acc6e57a</t>
  </si>
  <si>
    <t>ab115720c99446468e9959f84ff3b3f0</t>
  </si>
  <si>
    <t>88722c2f32f44206af1d57ff99c080f5</t>
  </si>
  <si>
    <t>Andar</t>
  </si>
  <si>
    <t>23c315e763ad4705808d984509d4ce47</t>
  </si>
  <si>
    <t>e340c1fe67824abdb047dfc07b6d93d7</t>
  </si>
  <si>
    <t>8edcdf2e361e40b790a88ead142168cd</t>
  </si>
  <si>
    <t>Virginia Tech Transcript</t>
  </si>
  <si>
    <t>bd323e4e4fd34abe8377b153fac30fbc</t>
  </si>
  <si>
    <t>6dd2dabbff39475e82686165ce6f8010</t>
  </si>
  <si>
    <t>d2ae16018a224789bdad551de3e9a459</t>
  </si>
  <si>
    <t>3d6365fbb442437cb30c4a03543135e8</t>
  </si>
  <si>
    <t>5955aa50c0dc406e970024c985854823</t>
  </si>
  <si>
    <t>c8849c3e365e4976a7358e101958af42</t>
  </si>
  <si>
    <t>Newegg Inc City Of</t>
  </si>
  <si>
    <t>657925f99d5b423faa60dc4b049ec658</t>
  </si>
  <si>
    <t>Aramark</t>
  </si>
  <si>
    <t>45f8b06691ed4226b55cf8f1ec9a95ba</t>
  </si>
  <si>
    <t>7096a80a0ff24aec9cf73388464185cd</t>
  </si>
  <si>
    <t>fcb413120b224858b482a001cb813643</t>
  </si>
  <si>
    <t>31e2599c451d487dac9eac9e3d751d25</t>
  </si>
  <si>
    <t>Usps Po Mpos Richmondva</t>
  </si>
  <si>
    <t>06dc4d48856a4ccdbb42748bae9f1901</t>
  </si>
  <si>
    <t>5f9761d26c3c4ba79e12ffd1e524a289</t>
  </si>
  <si>
    <t>0eade3099ecf404a92b6b9cf66104d59</t>
  </si>
  <si>
    <t>Newegg Inc</t>
  </si>
  <si>
    <t>804cd2e2894e45c28f3bcc1a3b3ddf15</t>
  </si>
  <si>
    <t>98ea1303b1224cc3b52486675794a81f</t>
  </si>
  <si>
    <t>Professor Messer</t>
  </si>
  <si>
    <t>c07a96cb4813476a894eb5954ee08db4</t>
  </si>
  <si>
    <t>Ardent Craft Ales</t>
  </si>
  <si>
    <t>4823fce49367480cb669591b02b78a5a</t>
  </si>
  <si>
    <t>Dipanshu</t>
  </si>
  <si>
    <t>8bccec4d869b4055bf6fb713062cd80b</t>
  </si>
  <si>
    <t>9e1eb720e3ff48088b8af6abc59eb98c</t>
  </si>
  <si>
    <t>4dc38cfd6ff24c63936752b31b9081f2</t>
  </si>
  <si>
    <t>383643b7e9fd4718ae78774e0ab6c541</t>
  </si>
  <si>
    <t>Hot Chick</t>
  </si>
  <si>
    <t>3752ce4fa49944158d3207ed81450cd8</t>
  </si>
  <si>
    <t>Alamobbq Richmond Va</t>
  </si>
  <si>
    <t>54209ae3d6f24ba6b25ecbe2001ecc69</t>
  </si>
  <si>
    <t>ac406e47dfe04e8e9ce0a98241fe5085</t>
  </si>
  <si>
    <t>993b3933fe8841c0817b5c7b51c1491d</t>
  </si>
  <si>
    <t>b00ca771c1b440f9b1a4260c46017927</t>
  </si>
  <si>
    <t>0787c9b10ddb4e878b0dc9128b465dec</t>
  </si>
  <si>
    <t>b6b33b04e47d47709b03bf25bc9a4d87</t>
  </si>
  <si>
    <t>d0153a4529654d0d866deafb45d19578</t>
  </si>
  <si>
    <t>f482c1337f3642bfba5c4e9e40aa2400</t>
  </si>
  <si>
    <t>Take 5 Oil Change</t>
  </si>
  <si>
    <t>031d3d63b95547e19a980d78b2271f13</t>
  </si>
  <si>
    <t>1802ddc6e0b64332ac7ced7f2dec4c05</t>
  </si>
  <si>
    <t>864ed842f83747f580654ba056d02c16</t>
  </si>
  <si>
    <t>31105cc1c68647529ee0e96f95212272</t>
  </si>
  <si>
    <t>79ca3c8bfde94b43b19c9e3ee0c67136</t>
  </si>
  <si>
    <t>4b4de5fb1b254e2ea4048261c325cebc</t>
  </si>
  <si>
    <t>606678962fd6422cb44260a2f9633900</t>
  </si>
  <si>
    <t>9686d1558b034f579d81a80ac8a25f45</t>
  </si>
  <si>
    <t>1 TheRuckersville Va</t>
  </si>
  <si>
    <t>e193d063f2844de8acef12cfda9564cc</t>
  </si>
  <si>
    <t>Apple Bill Ca Kx</t>
  </si>
  <si>
    <t>0bff8b5bd232410abf25f53e6293f9f9</t>
  </si>
  <si>
    <t>Dri Nvidia Store Orderfindmn</t>
  </si>
  <si>
    <t>e8d4b6f75a5249a8896fc342fe542f3d</t>
  </si>
  <si>
    <t>517b50452b2f472e944d2a6a0d3dd6ba</t>
  </si>
  <si>
    <t>Shenandoah Np Swiftrun E</t>
  </si>
  <si>
    <t>4d88ad9b8ff8497bb4dd0ad130b4d067</t>
  </si>
  <si>
    <t>Shenandoah Retail Luray Va</t>
  </si>
  <si>
    <t>eaa1684f4791472d85eb3b731e2e6618</t>
  </si>
  <si>
    <t>The Ups Store Richmond</t>
  </si>
  <si>
    <t>44e0784dce9e4e60890590762804c5bf</t>
  </si>
  <si>
    <t>74b650d051c5455480ef7e2370ef3fae</t>
  </si>
  <si>
    <t>Wegmans</t>
  </si>
  <si>
    <t>25978c469e044503b07de30d676c7f7c</t>
  </si>
  <si>
    <t>2f83bf92eb304f01984678816a7011a9</t>
  </si>
  <si>
    <t>6b88cb0cbaae45849e84bb2a9dbab759</t>
  </si>
  <si>
    <t>b0f2bb925db541cabcce2e53c5cbfe20</t>
  </si>
  <si>
    <t>da68e7b15176409880429ae46bc28bd9</t>
  </si>
  <si>
    <t>f7622998334142e1a992a51b9c90b8e9</t>
  </si>
  <si>
    <t>609e9bd117344313a95a72006be7dadc</t>
  </si>
  <si>
    <t>Apple Bill Ca Mm</t>
  </si>
  <si>
    <t>60135067e06545e88ce6060b02aff962</t>
  </si>
  <si>
    <t>17c920891dfa4d769097c9e9ef8fa306</t>
  </si>
  <si>
    <t>6e69280ff0de4f9f95a2a549cf606f5a</t>
  </si>
  <si>
    <t>58c0850e54b34e889a712697cdb90409</t>
  </si>
  <si>
    <t>fd4651796c25468f947bdc6c1164788d</t>
  </si>
  <si>
    <t>5d47054f1867401281c2692804ab5342</t>
  </si>
  <si>
    <t>0c90bde43b4c4a29988a1fe16a3b0492</t>
  </si>
  <si>
    <t>52f9c98fbc414758b09c2cc3eb583f59</t>
  </si>
  <si>
    <t>238b3295810c43f2bf59b4484e618cc1</t>
  </si>
  <si>
    <t>94c409a065b549d1b72da9be9c17820e</t>
  </si>
  <si>
    <t>9f137f3a0a48434596d2c23f0611f642</t>
  </si>
  <si>
    <t>Bolt Add Balance</t>
  </si>
  <si>
    <t>5b0b07ddb5794e72921e93c50b995c40</t>
  </si>
  <si>
    <t>f9034174a6f04cd387671c6f432b0c4a</t>
  </si>
  <si>
    <t>271589c944ef42f1b6b8ba77594b7943</t>
  </si>
  <si>
    <t>14646de5ecfd47ff85aa684a4953171a</t>
  </si>
  <si>
    <t>21e6be180def43cf88df0865eff29954</t>
  </si>
  <si>
    <t>99c196dda9584d2dbfbf0bdb903696b7</t>
  </si>
  <si>
    <t>185f579bf37441dc9fad2102fd201a16</t>
  </si>
  <si>
    <t>bac68915facd4eb0b7cc159d71ac9539</t>
  </si>
  <si>
    <t>Julzcaggian</t>
  </si>
  <si>
    <t>b429dfe3325e445dbaad23fe42a2f370</t>
  </si>
  <si>
    <t>Ny Times Nytime</t>
  </si>
  <si>
    <t>c72f923e00fd423986b733bb2a49edaa</t>
  </si>
  <si>
    <t>30ce17c34d6f49419cd5dce0a94743a0</t>
  </si>
  <si>
    <t>603b86742f89499288f248fd1c314a8c</t>
  </si>
  <si>
    <t>7c6d275791c64fa883f31233321ccd66</t>
  </si>
  <si>
    <t>Food Lion</t>
  </si>
  <si>
    <t>e94c5580e6d947adb3426e084b4c2300</t>
  </si>
  <si>
    <t>f28cc50e6ef64ab3b5b2a796dcb31bb7</t>
  </si>
  <si>
    <t>08826c35d3334cdca00f2c21eb9f2338</t>
  </si>
  <si>
    <t>b89e4215e1c84727adfafb0067b45059</t>
  </si>
  <si>
    <t>547f07b17bb940ac8399970f3b4179e7</t>
  </si>
  <si>
    <t>a570dbacc62f4c15b4f3d3f807045611</t>
  </si>
  <si>
    <t>ca8807b88e6e4209b990a08e4dedb592</t>
  </si>
  <si>
    <t>807c96276f524a708f4cc6581e9771bd</t>
  </si>
  <si>
    <t>5511c0f3dee44e0aa0de9efc969998f5</t>
  </si>
  <si>
    <t>f16a6caf99a04a26a6a8e2d66f6a6fa0</t>
  </si>
  <si>
    <t>Thdgodud</t>
  </si>
  <si>
    <t>67cb38b485ad4520ad24f94c15733b91</t>
  </si>
  <si>
    <t>799c3927864e479bac6a04e89911efef</t>
  </si>
  <si>
    <t>00cad1bd866b4037bcd8b3e008464569</t>
  </si>
  <si>
    <t>Tio Pablo</t>
  </si>
  <si>
    <t>7843c7fdf3704399b84534b0110945d2</t>
  </si>
  <si>
    <t>Qdoba</t>
  </si>
  <si>
    <t>10c3b7066d3b4cb18fb19fc16d2653fb</t>
  </si>
  <si>
    <t>229ff6d57c354bac90a156ba7338de23</t>
  </si>
  <si>
    <t>4411e0bd9e36448c89bd18da1da9f661</t>
  </si>
  <si>
    <t>Vitamin Shoppe</t>
  </si>
  <si>
    <t>1b21e41cc5684ceb9485230ac00a5e8f</t>
  </si>
  <si>
    <t>Sub Rosa Bakery Gosq</t>
  </si>
  <si>
    <t>97fac1d9cf0743aeb5f7b55aee23a571</t>
  </si>
  <si>
    <t>Tazza Kitchen</t>
  </si>
  <si>
    <t>c4bb2ba1a6e94a71a88a78f32b245bd3</t>
  </si>
  <si>
    <t>4466e716cc134befa5beaa54128f219f</t>
  </si>
  <si>
    <t>d992e4ae3a144f3ca5963896f486ebec</t>
  </si>
  <si>
    <t>4b94705097ec44e7ba9c20edd104286e</t>
  </si>
  <si>
    <t>a5e5ed38f06942ae80726053a5415179</t>
  </si>
  <si>
    <t>a6da5654cc944a0a9641c2ba4b5368c2</t>
  </si>
  <si>
    <t>7b48574e2fa5435284a158060900aa1a</t>
  </si>
  <si>
    <t>6c4cef1c60964ad1a15183357c121690</t>
  </si>
  <si>
    <t>dd8e7c9b2a7b443dbb6ef8056e096a09</t>
  </si>
  <si>
    <t>e40b278b76c84798b2ca2a70bf20de2f</t>
  </si>
  <si>
    <t>19ffda21e3a54156bc94ab9c18d4e2ca</t>
  </si>
  <si>
    <t>Dick's Clothing&amp;Sporting</t>
  </si>
  <si>
    <t>4524947c2e7b48e1a8c1381249d980df</t>
  </si>
  <si>
    <t>84fc739d5664453ca5d0097d7c1b5dee</t>
  </si>
  <si>
    <t>6b4859df4e54409ab2d3c944de8138a5</t>
  </si>
  <si>
    <t>268e7febd20f44f89e2cd7d6f719a766</t>
  </si>
  <si>
    <t>d2046ba7d4f64f8aa035e721c429f54d</t>
  </si>
  <si>
    <t>Shein United Statesil</t>
  </si>
  <si>
    <t>c1385759c5e141f6ae38b928f91339c0</t>
  </si>
  <si>
    <t>4c9d6244371c4627ae50d08876e48664</t>
  </si>
  <si>
    <t>9a5fe54cd57d469184d8e1170012db29</t>
  </si>
  <si>
    <t>7faa45cd16bd41b1b474f38c594caa78</t>
  </si>
  <si>
    <t>893a15e6f5d24446acaba830ebb36bc2</t>
  </si>
  <si>
    <t>9098e7926d6e4eb8a80bceeb8e565b15</t>
  </si>
  <si>
    <t>Yahoo Fin Prem Va</t>
  </si>
  <si>
    <t>99dbb4bf57044f43940e39310e9d7f02</t>
  </si>
  <si>
    <t>bbcb011042854d219170749e55710d7e</t>
  </si>
  <si>
    <t>49bed47e29d0471a94c0be1f3b198df3</t>
  </si>
  <si>
    <t>1a5a833d34204bb5933c56ce90f1d90a</t>
  </si>
  <si>
    <t>Crunchyroll</t>
  </si>
  <si>
    <t>16be6e8b46104531ad840caaa4652459</t>
  </si>
  <si>
    <t>405641bd9880479290390d7e2b25959b</t>
  </si>
  <si>
    <t>6727cc047bdf4944a07dcbb4beca2513</t>
  </si>
  <si>
    <t>Bev's Homemade Ice Richmond</t>
  </si>
  <si>
    <t>fe71a48256ed47fea4bca8af552a991a</t>
  </si>
  <si>
    <t>7322fd0b5bba49c1bb26e678460e0523</t>
  </si>
  <si>
    <t>Strangeways Brewin Richmond Va</t>
  </si>
  <si>
    <t>9599126f28a241ed8b7fc0ced4b1e439</t>
  </si>
  <si>
    <t>80eb912a0b314451989430b1c7105ea8</t>
  </si>
  <si>
    <t>5dc79190b7c64965aab21b9fdf3c586b</t>
  </si>
  <si>
    <t>Reg Shortpump</t>
  </si>
  <si>
    <t>ec104bced8084a1abfde3eff6a527633</t>
  </si>
  <si>
    <t>40921bb99f5946e2af82457805755c0f</t>
  </si>
  <si>
    <t>13a3cc3c67fd4166bf30eead481d00db</t>
  </si>
  <si>
    <t>60041d84cf9847289310e587d5999408</t>
  </si>
  <si>
    <t>Dollar Tree</t>
  </si>
  <si>
    <t>3ded276d9e7a4e5d9bc5692c3aad8a03</t>
  </si>
  <si>
    <t>090e3c956d4c4641972860031557a1dc</t>
  </si>
  <si>
    <t>9da8dc30628f462a8e81cb9b2a5e7289</t>
  </si>
  <si>
    <t>00ebc8696bd34674895ee20395e057ea</t>
  </si>
  <si>
    <t>030b5c168cf44becb3340746d400a752</t>
  </si>
  <si>
    <t>dd096f6c5cc54bedb05d42e62bcb881d</t>
  </si>
  <si>
    <t>bad8503763544f32b5aed8401fab6b9b</t>
  </si>
  <si>
    <t>Romwe United Statesil</t>
  </si>
  <si>
    <t>b77b4c0a5e3743e8a66291b5fcdca503</t>
  </si>
  <si>
    <t>b6cba895a2474ed9afdb9448a4563ff0</t>
  </si>
  <si>
    <t>05cab5dd46564e55931c1d72cedf4799</t>
  </si>
  <si>
    <t>1279944299074fc6bf18b49a4b459db5</t>
  </si>
  <si>
    <t>3fca4f379e6f46c0a96435a9298c2f18</t>
  </si>
  <si>
    <t>4628ab95e2d8450c8c25e80d2ed1e392</t>
  </si>
  <si>
    <t>7fc75aea9b2149eaaaa0e52759ce572e</t>
  </si>
  <si>
    <t>3e04b4d1fc31470195f8bd48285fef83</t>
  </si>
  <si>
    <t>Rapidaddresschange De</t>
  </si>
  <si>
    <t>852c7b130797445fbbfef98400ef4e63</t>
  </si>
  <si>
    <t>8235864e725d4032944c43cfe0e6373e</t>
  </si>
  <si>
    <t>Bolt N 1 Tm</t>
  </si>
  <si>
    <t>927424bfdd104eb9abab8ba5d60e4c90</t>
  </si>
  <si>
    <t>cacccea142e345a384c741f19c3ef346</t>
  </si>
  <si>
    <t>99cfb207c0204434b0085e4e069ad5a8</t>
  </si>
  <si>
    <t>234d0be58f474a62a3556e9d7c030587</t>
  </si>
  <si>
    <t>fbea7e8a51554b51843f795787090c5d</t>
  </si>
  <si>
    <t>8c5d45c7c0814ae98d4b3b0056f8bf6d</t>
  </si>
  <si>
    <t>Apple Bill</t>
  </si>
  <si>
    <t>18b4937cddc842e08c2fa852b3df523a</t>
  </si>
  <si>
    <t>444ef4e13d6747d7a4167e363be27cef</t>
  </si>
  <si>
    <t>6f2e2ffab91e421dbb1c1317a6fc03fa</t>
  </si>
  <si>
    <t>e438472686254de4a3b03b2ba0c81db0</t>
  </si>
  <si>
    <t>15dd034dae6846dcb4628707d6105608</t>
  </si>
  <si>
    <t>58c434c0f2af4b95b365bdfec2af0eb9</t>
  </si>
  <si>
    <t>c6a060536ee543a4937ebcaf951616da</t>
  </si>
  <si>
    <t>e7044af71bcf47df8a3612ae812b5b2a</t>
  </si>
  <si>
    <t>fb3b895b5aec4f369bb02ac08c1c0888</t>
  </si>
  <si>
    <t>062d44a6bf2c4c55a0b1c20f29eb20aa</t>
  </si>
  <si>
    <t>9104b53ad2fe422e82d76a3a04c683b4</t>
  </si>
  <si>
    <t>3495c413286b42c6ab4a2226b8d3e9eb</t>
  </si>
  <si>
    <t>091af99906654f5a8589d358cd739cb4</t>
  </si>
  <si>
    <t>1242b133628044879d785a24c3779b87</t>
  </si>
  <si>
    <t>f54ad691f0f54bcabcbabdcf9986f8db</t>
  </si>
  <si>
    <t>Vcn D C Vital</t>
  </si>
  <si>
    <t>53fbc18ee0f74b189aa948bc550a5707</t>
  </si>
  <si>
    <t>7ce1a610a622473ebb17f0748a4af65f</t>
  </si>
  <si>
    <t>0a613bedb8e145dbabaed2fc19fea7a0</t>
  </si>
  <si>
    <t>efb97477dd4445a68be9017fc6ec77d2</t>
  </si>
  <si>
    <t>7162835ee76549b485ad8a75d07abf7f</t>
  </si>
  <si>
    <t>30716e6bbd6a4fb5be2bf3580abd59dd</t>
  </si>
  <si>
    <t>fa2d49337dd742b2b11fa7c28dedec70</t>
  </si>
  <si>
    <t>92f216911f024055a0d3157e4a20146f</t>
  </si>
  <si>
    <t>Old Bridge Fastfuel</t>
  </si>
  <si>
    <t>fb9c2298731b411499c13a71e1b9a80b</t>
  </si>
  <si>
    <t>Stafford Place O</t>
  </si>
  <si>
    <t>b48139cc5e1f471eb5e06d34ef8a24d7</t>
  </si>
  <si>
    <t>acd07327773c4a8dafa16d8b898c0016</t>
  </si>
  <si>
    <t>b5cd8bc4277b4b39b837e78640a39bd7</t>
  </si>
  <si>
    <t>c556d9778da246db911a8751e0a5e84e</t>
  </si>
  <si>
    <t>4d8806f3e916485f88effb2c8cf6c81f</t>
  </si>
  <si>
    <t>61bf76c8817e40a8977da85d0fd4fd0a</t>
  </si>
  <si>
    <t>5aa21f196b9d4b38a2a6d40b3f28a35d</t>
  </si>
  <si>
    <t>c7e1d4bb9b0045f9b550953883bdc662</t>
  </si>
  <si>
    <t>231a793540744e71b0a322b81dc69b5d</t>
  </si>
  <si>
    <t>1838f690fec74e52abe4d427d4d076d0</t>
  </si>
  <si>
    <t>a330ce7584fb41c7b6530aa8b6670f16</t>
  </si>
  <si>
    <t>We The Pizza</t>
  </si>
  <si>
    <t>71824c06345347ebbc66a25a4f9077a6</t>
  </si>
  <si>
    <t>1684e6d13a344f6488e5d7c7c438b54a</t>
  </si>
  <si>
    <t>cea2c40dc37243d687e431813ad482f3</t>
  </si>
  <si>
    <t>996f3973cb9b430b9daedeac21398c3e</t>
  </si>
  <si>
    <t>37d966531b534bb78af9b63bd4f1c56d</t>
  </si>
  <si>
    <t>1311b6050d954595a61793067b61094b</t>
  </si>
  <si>
    <t>Cam?S Kettle Coffe Arlington</t>
  </si>
  <si>
    <t>7b6bfdcfa8a14ab183215a40c5473c02</t>
  </si>
  <si>
    <t>Cava Grill Ballston</t>
  </si>
  <si>
    <t>8ad1310bae004a40940b6419d48b1fd4</t>
  </si>
  <si>
    <t>763a9f1256b5424fa91291d2bc3384ca</t>
  </si>
  <si>
    <t>Market Place 14</t>
  </si>
  <si>
    <t>d4a3d760d9cc4b6e8577fb230b47675e</t>
  </si>
  <si>
    <t>180504985cbc4b77a71dcadadf2efd9a</t>
  </si>
  <si>
    <t>d990ebec5a6b4110a48c1700ebdbbdb3</t>
  </si>
  <si>
    <t>33e016b3b5a54becad60ab19fbc098bf</t>
  </si>
  <si>
    <t>Cool Lane Express</t>
  </si>
  <si>
    <t>79ad9fd7d2444592a049b31a9512b27e</t>
  </si>
  <si>
    <t>83dc80f1e6a24a46b6b5f467709f9976</t>
  </si>
  <si>
    <t>04d035421ad44ff3ba2ad8eabb170a18</t>
  </si>
  <si>
    <t>Returned Internet Pmt</t>
  </si>
  <si>
    <t>071cd159725b4d5dad04e3d864863244</t>
  </si>
  <si>
    <t>869ff6a2a7cb4880a569dc7a13a0e090</t>
  </si>
  <si>
    <t>ca4664bdaa7441c79d847076d518b95e</t>
  </si>
  <si>
    <t>6c654e1f14774a26955a6a82c382e7a2</t>
  </si>
  <si>
    <t>Represented Internet Payment</t>
  </si>
  <si>
    <t>761778d765c3439488211727a17771f8</t>
  </si>
  <si>
    <t>Returned Check Charge</t>
  </si>
  <si>
    <t>96c55abfb60844cb94c238fcae789fa4</t>
  </si>
  <si>
    <t>52b1cf5aae5e4e77820e6f9de64ae922</t>
  </si>
  <si>
    <t>6b7dc56467214f079cdee7b9a4b96088</t>
  </si>
  <si>
    <t>Cook Out</t>
  </si>
  <si>
    <t>e9a1a8930f284ba49ee5629be66d0e61</t>
  </si>
  <si>
    <t>d144e17052854c0dba8db0f346c06ae8</t>
  </si>
  <si>
    <t>43a9ca83f7334056b5e567f596d9ba5f</t>
  </si>
  <si>
    <t>2e45212b9a164228b9bd473a8541adcc</t>
  </si>
  <si>
    <t>328b1cf2c9994a568ccda1faf7aa6e96</t>
  </si>
  <si>
    <t>Amazon R</t>
  </si>
  <si>
    <t>2130a5b49f4d42e8b88c26eddfbc3f11</t>
  </si>
  <si>
    <t>ccea2fb9da314b8980a709b5d1d5ef93</t>
  </si>
  <si>
    <t>cdb9da4629844cc3bf154daab4167b64</t>
  </si>
  <si>
    <t>28a2318f2c124541a06b5ed4cc9d918f</t>
  </si>
  <si>
    <t>Bon Chon</t>
  </si>
  <si>
    <t>a97b6523e96d4b1da7a9c330ff44735c</t>
  </si>
  <si>
    <t>678b3fd8763543639be4f0f09b185673</t>
  </si>
  <si>
    <t>190008c1709f4bf98be2df1788bf68a2</t>
  </si>
  <si>
    <t>0c49a1d9a31c4a1c88abd291c4dd9747</t>
  </si>
  <si>
    <t>Marathon P Fredericksburva</t>
  </si>
  <si>
    <t>4ebab0a15abf4c46bb4e29ce10fb3de2</t>
  </si>
  <si>
    <t>08eaac92e34d4509bf2f4a48f2f2a199</t>
  </si>
  <si>
    <t>93f742a25cbc48f08c0017e2c355d190</t>
  </si>
  <si>
    <t>2ad7e1facae64062b40bad48e399c548</t>
  </si>
  <si>
    <t>92495127a1d149e8be223692d0d36ce5</t>
  </si>
  <si>
    <t>Woot Inc Woot Tx</t>
  </si>
  <si>
    <t>5e62b44fd3cf462c968fb677de870489</t>
  </si>
  <si>
    <t>9814113fdfd44384a4f50a2d6789f140</t>
  </si>
  <si>
    <t>66fe1f0c56b9428289cf19e730d97946</t>
  </si>
  <si>
    <t>6b07776d5f974f12b4f2932cc6c6f1dc</t>
  </si>
  <si>
    <t>Americas Best Wings</t>
  </si>
  <si>
    <t>4848c332773e4026909ab752fe013326</t>
  </si>
  <si>
    <t>2c10d6aa455c4c2b8c758b165ff1652e</t>
  </si>
  <si>
    <t>66db093beefb4f929a0636059ce81ad7</t>
  </si>
  <si>
    <t>19cefc109e374c61806cfd4db5e614e4</t>
  </si>
  <si>
    <t>Pupatella Wilson B Gosq</t>
  </si>
  <si>
    <t>614c59679ebd47e9a1464b247d678392</t>
  </si>
  <si>
    <t>2cd6681e691f4d428355d54410d07e66</t>
  </si>
  <si>
    <t>f69c6108f18442d2bd2014a231fb5685</t>
  </si>
  <si>
    <t>River Run Dental</t>
  </si>
  <si>
    <t>84327ebb2e7444b59bd7b53d1381c6ed</t>
  </si>
  <si>
    <t>46598873cff94dd18ebcdcfa7fc831dd</t>
  </si>
  <si>
    <t>84f0ab7b67314fcabb236ebccd3a81ef</t>
  </si>
  <si>
    <t>c48118f120f94f90852d26c4c47cf2ba</t>
  </si>
  <si>
    <t>bf906fb1e5084cc0a648356fc43da8b5</t>
  </si>
  <si>
    <t>00b7d07af60c441cbf2579396342a6b5</t>
  </si>
  <si>
    <t>dcaa3d6675354d1eab6b2f8ddafa5778</t>
  </si>
  <si>
    <t>cf76242b2efa4835a656879530107f3b</t>
  </si>
  <si>
    <t>1088e605bf4d4f999ea4f06619a5a943</t>
  </si>
  <si>
    <t>b9ed33a2688445aca6a72f15483b47f9</t>
  </si>
  <si>
    <t>063cb8dbd45b4cffb1a6df1c2401acbc</t>
  </si>
  <si>
    <t>8a08778a809e424490ab12fd39bfeded</t>
  </si>
  <si>
    <t>0896f2a1579d4d9f90304738f0f90f4c</t>
  </si>
  <si>
    <t>9f86a07a567a495a8f2664dbdb578842</t>
  </si>
  <si>
    <t>74b9dd6b1c1e44009e287d0fc9f2c982</t>
  </si>
  <si>
    <t>033d67e45ce14230b68ee6e102617029</t>
  </si>
  <si>
    <t>abff5fc956a0405ba38cf017ebe94e55</t>
  </si>
  <si>
    <t>A Couple Cents</t>
  </si>
  <si>
    <t>880a1ee563f04592a84fb5149d600b6c</t>
  </si>
  <si>
    <t>a596ef5f5cd14c979182f7c20170a0e5</t>
  </si>
  <si>
    <t>40f64f4962de45b1968f270c9f76a285</t>
  </si>
  <si>
    <t>1686b35fe6d7470e9fd759d148fbc0fa</t>
  </si>
  <si>
    <t>1d793c8acc0e40efaf26763e10e822c7</t>
  </si>
  <si>
    <t>9f8664534f174b6d85957811b040a97f</t>
  </si>
  <si>
    <t>c6615816320f4c58a109cf53347ee476</t>
  </si>
  <si>
    <t>13cf96dc78dd4269a1dd8eda8fba7b44</t>
  </si>
  <si>
    <t>e279913fb8bf45128221cedf4c16510c</t>
  </si>
  <si>
    <t>c7c586d62fa9405795b0b79003ee2a02</t>
  </si>
  <si>
    <t>Fas Mart 74</t>
  </si>
  <si>
    <t>0ee78ec83b2b48278c08679cbeaeb1c8</t>
  </si>
  <si>
    <t>Lidl Richmond Va</t>
  </si>
  <si>
    <t>5d6d04f0b128449c87f4cce2d8db02f3</t>
  </si>
  <si>
    <t>f867dce7edde47eaa94ee630c0e02ec3</t>
  </si>
  <si>
    <t>73729edb69eb425d9ddc346cc738d6bb</t>
  </si>
  <si>
    <t>b6c406c402a7495bb03f9b2da520d22d</t>
  </si>
  <si>
    <t>a1b8cd7f29684e288f376d22ba2c0200</t>
  </si>
  <si>
    <t>Crunchyroll Auth Ca $</t>
  </si>
  <si>
    <t>901740bd7e2e4a789b5f3506cd5a611f</t>
  </si>
  <si>
    <t>35c9fe6237a74485b57b62f77851d483</t>
  </si>
  <si>
    <t>Crunchyroll Auth Ca A</t>
  </si>
  <si>
    <t>d726dbed50c6461f8d9082bb6c46fa4a</t>
  </si>
  <si>
    <t>25c744ced727432f94bd87953284129b</t>
  </si>
  <si>
    <t>7e39d5f6f40a4081ae9b26dc64013d6a</t>
  </si>
  <si>
    <t>bff332ee14e54cd98755fb6103c77279</t>
  </si>
  <si>
    <t>91513c6514274e7a88aa0fc4004d1c6c</t>
  </si>
  <si>
    <t>Amazon B</t>
  </si>
  <si>
    <t>943b4a5ef64848c881b1ec33e6228c75</t>
  </si>
  <si>
    <t>Remitonlinecom Rchmnd Pr Co</t>
  </si>
  <si>
    <t>0879639022c64869bdea88dec0deeb10</t>
  </si>
  <si>
    <t>The Kabul</t>
  </si>
  <si>
    <t>ef7fa066f8a842eea636160b96b1862e</t>
  </si>
  <si>
    <t>2b40d9e09253457489bdace59c8a0c0b</t>
  </si>
  <si>
    <t>efbdc28c8b0444ad949eed997277770d</t>
  </si>
  <si>
    <t>Harbor Park Garage Llc</t>
  </si>
  <si>
    <t>d04e969d42b543b39380b74e28329c8b</t>
  </si>
  <si>
    <t>9da75e20def648dd938de8f5df7fc24b</t>
  </si>
  <si>
    <t>856282d19ec247c6bffe471e88eea8c0</t>
  </si>
  <si>
    <t>87ba986692db49609c8d46ce0b2d90f0</t>
  </si>
  <si>
    <t>1fa9873c0c1d41b7833d5a276c338cb3</t>
  </si>
  <si>
    <t>f28b93fb02704d61a1ab45b17d83dbf7</t>
  </si>
  <si>
    <t>2cb6f3f521144a91afc8fd795792d575</t>
  </si>
  <si>
    <t>78f427a104aa48d0a8f159e11d601f32</t>
  </si>
  <si>
    <t>7f7ec8a8f7a14040975ca6a81e8d2a79</t>
  </si>
  <si>
    <t>8f1c26865ada498d85147e1eaad01de4</t>
  </si>
  <si>
    <t>3302ebef46634598a41c88c4a179c09a</t>
  </si>
  <si>
    <t>ae9df564acd74171b72d56087e2ee83c</t>
  </si>
  <si>
    <t>ad705487ff1d47d19bb6b4290cdc34d7</t>
  </si>
  <si>
    <t>d94d1d033caa4b08a46faa1942f65b67</t>
  </si>
  <si>
    <t>c0156f1a15c54df89164b501e2d0f214</t>
  </si>
  <si>
    <t>4cfe2e7c573940a094835299d2f62b0b</t>
  </si>
  <si>
    <t>6065919996a9455fbaefe4ed23b1b381</t>
  </si>
  <si>
    <t>4af1f04d439f45d6bc5b20da04305b22</t>
  </si>
  <si>
    <t>Chicanos Cocina Bar &amp;</t>
  </si>
  <si>
    <t>ad4ce8e046f64d728cdae6505dd8d764</t>
  </si>
  <si>
    <t>97f219b4cf494169b4e6784a80bb2b61</t>
  </si>
  <si>
    <t>Sine Irish Pub</t>
  </si>
  <si>
    <t>30c849827f5d4ef1a0de2b94b1a881a6</t>
  </si>
  <si>
    <t>dad811c1401b47bf86864eeba5f222f7</t>
  </si>
  <si>
    <t>a8e998b817534d5a9e2318fb0138d9d8</t>
  </si>
  <si>
    <t>Tu Transunion Ca</t>
  </si>
  <si>
    <t>a449f7e7550d4c6ab72f4a2e66603dca</t>
  </si>
  <si>
    <t>b43cb0089aa049cc9e542fe9dcab6ef2</t>
  </si>
  <si>
    <t>3ac8c98d8ffa4b7f9cea80e7cdebb3e0</t>
  </si>
  <si>
    <t>b3b26774befd449d8b8e171d97a725cc</t>
  </si>
  <si>
    <t>ee8f9be455f941f7ac8637b5090e19e7</t>
  </si>
  <si>
    <t>8f4cff6d2c6040099d9320b66abd4689</t>
  </si>
  <si>
    <t>e32f298cabe343dd8c9ed4fd393a94a8</t>
  </si>
  <si>
    <t>3add53d327ff4c48acfb8557d155117b</t>
  </si>
  <si>
    <t>22ee39b24cd549adbc109af70d4ff615</t>
  </si>
  <si>
    <t>d4920aef18dc49e7a4dafb7eadf27009</t>
  </si>
  <si>
    <t>Rich Rental</t>
  </si>
  <si>
    <t>fb536a35121a4e7b8b58abbe0e3a0b80</t>
  </si>
  <si>
    <t>9e55501fbd774d3bb2c76dc643f80339</t>
  </si>
  <si>
    <t>Bp Bp</t>
  </si>
  <si>
    <t>efcccd76edfc4d88822cc49817925c35</t>
  </si>
  <si>
    <t>134a20c9b6674e5481285091612ffb91</t>
  </si>
  <si>
    <t>a5b39548458f497fbf51866cbd5368f4</t>
  </si>
  <si>
    <t>abbf6e976cf6440f9da2b74abc2e6b28</t>
  </si>
  <si>
    <t>d45dfe3ebc814604b8e0c2768d501324</t>
  </si>
  <si>
    <t>815069555629425e8791fde518ee13dd</t>
  </si>
  <si>
    <t>8a57104cc2d44eaf9e130c6aea68a8f4</t>
  </si>
  <si>
    <t>Lost Tribe Skin C</t>
  </si>
  <si>
    <t>cbbbd699af164eab846202a083effc96</t>
  </si>
  <si>
    <t>a04816164eca48a7b147b5ab8257b63c</t>
  </si>
  <si>
    <t>e5942dd396a44bb181e7f5165bc0395f</t>
  </si>
  <si>
    <t>1895681061cc479eaf531f3346fc5114</t>
  </si>
  <si>
    <t>bd4a81a6f6c64163996109a503ab654c</t>
  </si>
  <si>
    <t>6849f1f17a0b40b58c8f1abe8e389844</t>
  </si>
  <si>
    <t>fad77f709dd94ae8be7e545c749c97df</t>
  </si>
  <si>
    <t>Crazy Thai Fusion Restau</t>
  </si>
  <si>
    <t>ae90deda51c14729a4ef44dbe9b29147</t>
  </si>
  <si>
    <t>fdd2f0196dc4421289b7cad9c7c230e4</t>
  </si>
  <si>
    <t>83bd13ffdc3f41fb9c67ca1ce7c08115</t>
  </si>
  <si>
    <t>a423c4bf17ec4099bfe1f4a7c7c9a400</t>
  </si>
  <si>
    <t>7e21a2c3a0ec4d39af18b434f20b3fda</t>
  </si>
  <si>
    <t>bcea223cdcfe456ba6803efa9e6cd53e</t>
  </si>
  <si>
    <t>cecc7d3ce4d04a2abae53c27b35fafa3</t>
  </si>
  <si>
    <t>7ac3f79129a44405933d316a010279eb</t>
  </si>
  <si>
    <t>890bc8e84ca5463f92b35a0f17f66e82</t>
  </si>
  <si>
    <t>Credit Balance Refund</t>
  </si>
  <si>
    <t>ae0142f1f035404a9150698b3bcee48b</t>
  </si>
  <si>
    <t>2aba1c0010fa4e3cab39ace0a9312d4e</t>
  </si>
  <si>
    <t>b6adaba4d78e42178f9f6eafdff9dcba</t>
  </si>
  <si>
    <t>23ebef1dd72841c8afd00fdd8efd116c</t>
  </si>
  <si>
    <t>4ec6ee2ba42b48e6a52280574b0dd5eb</t>
  </si>
  <si>
    <t>9f8303239f6c49c296fa4390bd9b7904</t>
  </si>
  <si>
    <t>LuckyRedwood Cityca</t>
  </si>
  <si>
    <t>91456056bc5b4090ac060b0732336b7d</t>
  </si>
  <si>
    <t>1a33e363ff744e359f0056f850df89c7</t>
  </si>
  <si>
    <t>f653679bcc7a4aafb03433b0575600f2</t>
  </si>
  <si>
    <t>4c6b1920ec154da2a9d5fd54d82fe953</t>
  </si>
  <si>
    <t>La Baguette</t>
  </si>
  <si>
    <t>232e512cffea46318dd31a76f641efcb</t>
  </si>
  <si>
    <t>Urban Outfitters</t>
  </si>
  <si>
    <t>3866ecb607514598bc5de68332453492</t>
  </si>
  <si>
    <t>374013d6f050454ebb128f91bb4c26aa</t>
  </si>
  <si>
    <t>6578768cfadf40a9ac5b033ba3434391</t>
  </si>
  <si>
    <t>31050e96464047c99c6a81a258638522</t>
  </si>
  <si>
    <t>42723498c4514663b2cccf4b529abbda</t>
  </si>
  <si>
    <t>f0361a88be1a44a6b4797e2fe7ee8163</t>
  </si>
  <si>
    <t>Shake Shack</t>
  </si>
  <si>
    <t>b49425d33fc541e6a4ac0be2eb6a9807</t>
  </si>
  <si>
    <t>659a1cc6c53e436a8c8c2d9be593f6b3</t>
  </si>
  <si>
    <t>2f7218d5dd8742a4b488d32ca0dd02dc</t>
  </si>
  <si>
    <t>Bp Pit St</t>
  </si>
  <si>
    <t>d4bf5a56e5e94469a9c752e4a1d3cc2f</t>
  </si>
  <si>
    <t>4d8ddb61949f483ab31b3dcb70ba0794</t>
  </si>
  <si>
    <t>5f0a29a142714527977f1a0f4785ad71</t>
  </si>
  <si>
    <t>df6b2b29df8f4e9989420a6208af5682</t>
  </si>
  <si>
    <t>Carytown Burgers &amp;</t>
  </si>
  <si>
    <t>8e75254238e9444f880401174f59cac8</t>
  </si>
  <si>
    <t>Brunch</t>
  </si>
  <si>
    <t>a2cde2ab195748b1b91d09697a0a5070</t>
  </si>
  <si>
    <t>Sauce &amp; Toss 2</t>
  </si>
  <si>
    <t>5904dc7aae5149d091e8debd10688761</t>
  </si>
  <si>
    <t>Aromas Coffeehouse Nn</t>
  </si>
  <si>
    <t>09c7816b61cc4928965ac2073de53d12</t>
  </si>
  <si>
    <t>fef50a265b6f4fd489ac777922a88fc6</t>
  </si>
  <si>
    <t>Gabriel Bros</t>
  </si>
  <si>
    <t>4f4c9e4d62f44412a5d9e33387e31b00</t>
  </si>
  <si>
    <t>5bf07360ee0f4f45bc1eea2a15b7d901</t>
  </si>
  <si>
    <t>e9e3068ef4464cf8b721a30c1a819a9f</t>
  </si>
  <si>
    <t>ecfad79eb30a4867a544c16e9bef98d5</t>
  </si>
  <si>
    <t>d0b07ab739194cb78f0e72756ec465df</t>
  </si>
  <si>
    <t>f2522e2a847b44d0927cbb5ce236b0fe</t>
  </si>
  <si>
    <t>Allianz Travel Ins</t>
  </si>
  <si>
    <t>0820f0e7f7ad4074bbd0bd56c3f7b3c9</t>
  </si>
  <si>
    <t>Jetblue</t>
  </si>
  <si>
    <t>f62a072ae8954e298978e716f72c33c6</t>
  </si>
  <si>
    <t>8c5fee76d03949c3ac80e4e89d657b54</t>
  </si>
  <si>
    <t>e1588d7a956b4d2bb6f4356f47852253</t>
  </si>
  <si>
    <t>BB</t>
  </si>
  <si>
    <t>Microsoft 365 Yearly Subscription</t>
  </si>
  <si>
    <t>Phoenix Suns Half Season Tickets</t>
  </si>
  <si>
    <t>Olive Garden</t>
  </si>
  <si>
    <t>January 2022</t>
  </si>
  <si>
    <t>05/31/2021 - 06/13/2021 (Bi-Weekly (Payroll))</t>
  </si>
  <si>
    <t>06/14/2021 - 06/27/2021 (Bi-Weekly (Payroll))</t>
  </si>
  <si>
    <t>06/28/2021 - 07/11/2021 (Bi-Weekly (Payroll))</t>
  </si>
  <si>
    <t>07/12/2021 - 07/25/2021 (Bi-Weekly (Payroll))</t>
  </si>
  <si>
    <t>07/26/2021 - 08/08/2021 (Bi-Weekly (Payroll))</t>
  </si>
  <si>
    <t>08/09/2021 - 08/22/2021 (Bi-Weekly (Payroll))</t>
  </si>
  <si>
    <t>08/23/2021 - 09/05/2021 (Bi-Weekly (Payroll))</t>
  </si>
  <si>
    <t>09/06/2021 - 09/19/2021 (Bi-Weekly (Payroll))</t>
  </si>
  <si>
    <t>09/20/2021 - 10/03/2021 (Bi-Weekly (Payroll))</t>
  </si>
  <si>
    <t>10/04/2021 - 10/17/2021 (Bi-Weekly (Payroll))</t>
  </si>
  <si>
    <t>10/18/2021 - 10/31/2021 (Bi-Weekly (Payroll))</t>
  </si>
  <si>
    <t>11/01/2021 - 11/14/2021 (Bi-Weekly (Payroll))</t>
  </si>
  <si>
    <t>11/15/2021 - 11/28/2021 (Bi-Weekly (Payroll))</t>
  </si>
  <si>
    <t>11/29/2021 - 12/12/2021 (Bi-Weekly (Payroll))</t>
  </si>
  <si>
    <t>12/13/2021 - 12/26/2021 (Bi-Weekly (Payroll))</t>
  </si>
  <si>
    <t>Earnings</t>
  </si>
  <si>
    <t>Bonus - Non Discretionary</t>
  </si>
  <si>
    <t>Grossed Up Earnings</t>
  </si>
  <si>
    <t>LTD Benefit Credit</t>
  </si>
  <si>
    <t>My Health Completion Credit</t>
  </si>
  <si>
    <t>Regular</t>
  </si>
  <si>
    <t>Deductions</t>
  </si>
  <si>
    <t>Bravo Award - No Cash Net</t>
  </si>
  <si>
    <t>Charitable Giving</t>
  </si>
  <si>
    <t>Federal</t>
  </si>
  <si>
    <t>Health Savings Account</t>
  </si>
  <si>
    <t>Life Insurance Coverage</t>
  </si>
  <si>
    <t>Long Term Disability Coverage</t>
  </si>
  <si>
    <t>Medical Coverage</t>
  </si>
  <si>
    <t>Medicare</t>
  </si>
  <si>
    <t>Nationwide Savings Plan</t>
  </si>
  <si>
    <t>NSP AfterTax Deduction NonRoth</t>
  </si>
  <si>
    <t>OASDI</t>
  </si>
  <si>
    <t>Roth 401k Deduction - ROTH</t>
  </si>
  <si>
    <t>State Tax (VA)</t>
  </si>
  <si>
    <t>State Tax (AZ)</t>
  </si>
  <si>
    <t>Supplemental Accident Coverage</t>
  </si>
  <si>
    <t>Vision Coverage</t>
  </si>
  <si>
    <t>Raw dates</t>
  </si>
  <si>
    <t>Dates Text</t>
  </si>
  <si>
    <t>Dates</t>
  </si>
  <si>
    <t>Valid categories</t>
  </si>
  <si>
    <t>Used categories</t>
  </si>
  <si>
    <t>Unused categories</t>
  </si>
  <si>
    <t>Unused filtered categories</t>
  </si>
  <si>
    <t xml:space="preserve"> </t>
  </si>
  <si>
    <t xml:space="preserve">  </t>
  </si>
  <si>
    <t>Spent</t>
  </si>
  <si>
    <t xml:space="preserve">   </t>
  </si>
  <si>
    <t xml:space="preserve">    </t>
  </si>
  <si>
    <t xml:space="preserve">     </t>
  </si>
  <si>
    <t>Budget</t>
  </si>
  <si>
    <t xml:space="preserve">      </t>
  </si>
  <si>
    <t>Remaining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</si>
  <si>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</si>
  <si>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</si>
  <si>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</si>
  <si>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</si>
  <si>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</si>
  <si>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>Id</t>
  </si>
  <si>
    <t>OneMonthAgoBudget</t>
  </si>
  <si>
    <t>TwoMonthsAgoBudget</t>
  </si>
  <si>
    <t>ThreeMonthsAgoBudget</t>
  </si>
  <si>
    <t>MonthsCount</t>
  </si>
  <si>
    <t>CategoryId</t>
  </si>
  <si>
    <t>Set and track your monthly budget. Add budget targets for each category to the Budget column; the Spent column updates automatically. To switch months, click the blue date box to the right.</t>
  </si>
  <si>
    <t>Income vs. spending</t>
  </si>
  <si>
    <t>Total income</t>
  </si>
  <si>
    <t>Total expenses</t>
  </si>
  <si>
    <t>Spending</t>
  </si>
  <si>
    <t>Spending over time</t>
  </si>
  <si>
    <t>MonthNum</t>
  </si>
  <si>
    <t>YearNum</t>
  </si>
  <si>
    <t>Total budget</t>
  </si>
  <si>
    <t>Favorite category budgets</t>
  </si>
  <si>
    <t>Manage your favorite categories by selecting the two you want to track closely</t>
  </si>
  <si>
    <t>Your monthly budget</t>
  </si>
  <si>
    <t>8bf2fa3c422ce7c01aa729b86fd317ca</t>
  </si>
  <si>
    <t>e86f3711b54c5c619040b4f3b1030c8b</t>
  </si>
  <si>
    <t>9a17813416cd2f73e1a3b05ecd95b030</t>
  </si>
  <si>
    <t>9b7ea94e1ac9c9f0049843a4fb9f75cc</t>
  </si>
  <si>
    <t>77219e4ddb7d662c82038aac63820b94</t>
  </si>
  <si>
    <t>a6fa6d44a2fe4e8a0b9818728b27671e</t>
  </si>
  <si>
    <t>ab6a434403fb7a1c3d0a7a939c69f212</t>
  </si>
  <si>
    <t>4bad4fab9cef37652129e2fb9ae412bd</t>
  </si>
  <si>
    <t>9d46a47d3983b552d509cf607d491625</t>
  </si>
  <si>
    <t>8bf91c03f56b318037975e053187d074</t>
  </si>
  <si>
    <t>c6971a0cf0b82e2c67fa887136ee4ea2</t>
  </si>
  <si>
    <t>425f0e5d1891a2356bf02b1bacf97582</t>
  </si>
  <si>
    <t>3344ca939b86fe6f3b5a598106d01851</t>
  </si>
  <si>
    <t>3840bcf04fc0fec5cfdfdc530fed7f54</t>
  </si>
  <si>
    <t>60fcc6d310f407e2235bd78359788891</t>
  </si>
  <si>
    <t>utilities</t>
  </si>
  <si>
    <t>phone</t>
  </si>
  <si>
    <t>transfer</t>
  </si>
  <si>
    <t>auto insurance</t>
  </si>
  <si>
    <t>income</t>
  </si>
  <si>
    <t>misc</t>
  </si>
  <si>
    <t>family</t>
  </si>
  <si>
    <t>payment</t>
  </si>
  <si>
    <t>food</t>
  </si>
  <si>
    <t>gas</t>
  </si>
  <si>
    <t>Net Income</t>
  </si>
  <si>
    <t>Online Payment</t>
  </si>
  <si>
    <t>e4c2040f5e764f90875f10adc51adcfe</t>
  </si>
  <si>
    <t>Fidelity</t>
  </si>
  <si>
    <t>iVBORw0KGgoAAAANSUhEUgAAAJgAAACYCAMAAAAvHNATAAAAZlBMVEVHcEyEp0OivXHu8uDN3LJ3ni98ojj09+7g686TsluzyYpxmiX////////8/fr///9vmCT///9plBtslh5tlyF6oDSGqUfW4sH6+/fr8eDh6tHN27KQsFaat2W4zZOlv3avxoTD1KOHzi5fAAAAEHRSTlMAuX4MO+TP/h6fY/Gm0V2HZ+UkegAADNZJREFUeNrFXOmaqygQ7aSTaHpVFneNvv9LDiAiS4EY03f8MfPddHc41nJqoeDt7eDzfvk43++n2+16pZ/X6+12ut/PH5f3t//xST/upytB7MGY8CfL2H8w5p+Q6+n+kf4/oK4MAWZg4Ifwn17/MbgLB+XHZKBj4C7/SFbnK9NUFv8gdD2nf6/Bm4mKxEBkdnj7+Et3SO+flqwIpXHCI+jznv4ZLILs9XD3QD4o1P5d8ifQLneMgdWLCXuA0dGRJcIvd4QUhMWXbyiMC3cDIEsG7aVSO38in77qDkaMhhH8G/x5fp0Wb8hv1TW8fkaa3vMDdLu8SItB1qpLcH1SJAX2eugr9Hm5oiANlAlIGOhRBYgEXQ8L7bxB8rjNQSPDZR2mtWOWlp7QBnHiKYeMjNCqCb8ROh1Q5+VzEYZ3ETTkLUQLPfix6Z5Pq/O8JhBeQ8ZjXgPGxAQ5oM3U40l13tdvJqMPGXrkgJExesv9sWr94/szKbNhXrT1aBP3OWBkuMvz3vMquCjUV+HT+zFcGR4mWADMmPISA5ZXeWSM6aT/ay+y9IZt3cCqQUw2gJE1eeKjsdLQPL6lR3AxACMsAlxUrpHxD2sf71neugvZ+w3AUNegDGjlGhkamX4JzC4Vtd/i9h5vXxh0vxZKyGjiGhkpc5jG2Je4LBJvZx66b0COz+rctifE1QtmY10FiJ3g027+svyv6hCE1zYyzm0QjeHCw25xfHb2MnbD/M/RJubATFGywM5ozFUZbfLSQ9MRMeCCvWGRUxaQRuSWkQmzyx0fJlkJi1x8y2bcTD9JIPcCTAdx8RhGxl8AoDEWPkH3mb/6c4s0TjiQDzAyrWwVIbaeaWTiE4fGOIX4k9psywHOaCMrzGvry1n0yQ1B8gDu0hjqPZ4aZ2aXcKqCO/btjRnOuSQMI+NydWgMdQkYuvRfCZhZeiUbdT43KDOcC27QTcoRoZLiI1w9XNO9DGZFRnMBYeqGkXH+MH+HUP5Zs9UVum8oMtTAEYZt2PCsuVVCRGA3aIxkrcC+9dpeZd7I/M0UBUTGOarRjAUXApgy9tnmDBqbldvizY7QLeyRdHpkKFB8mIvM2tWMrLRsTkKtik1gHs9MP5VFTE3n6aFIWtdikPxgyaSlJmuLKMJUgTPZmQFpdrV8gseqLRAOiGyNLbPDqYVnJ83XonJWfogqMOoGWQbg+0aMRH1STRQswiUQLZzPwBotgGs0hiXuEXlhFW2p1AzEzLuZuRQsax9AaNK6y7Wtk882RDTFroorddgQrKmaMuynjNROeCkPP5AXWLqb04uFuSSrKRojswBzuCUlYFUP/fVxGhSYIB9uTE3vQpNmtIRzJNcW2ptDugIyGyRU4Ik4wmDlTYFCLJsS4O8e3J1Kx0HJzO0Lzy5Yas3gJI3JVwCpgiA6MLVrapSfp9vBCHViGeagBBIZMzOiSYVHJRkGJI1JorCjqwYreTj7K6Zjvn/C1ECF/bgO2mgLSmcQjreArGcHSnSYLixbjZLL9Jrpw8t+s564g7qBe7bxRX4iKknEnMYWonCoYoGVTxQsoT+cKAm3mWZ1mA5KpCdyM1MoE4qKSjkCkURhJ3AKFqBGJ2KmocyylwppeqJekHTLopQsdsVdcdEqoxI8rR8bsEZJyIWXctO4hJpzrdTV6qALeeUTlumFMLlSqVi5hJ5kr7A8arRDeThxlS5gOCjqKmVAi/6YEColpMXwWFTFLiyfGmUqG5npM6ZRr68cVMZEvrCMQvyHy68VCreiCg1WQI1mwriZUWcz184vOwoHxZqcagV7+Z1OfSSpgsF6qM8CajSp7Lq95YjWpaSDIiWecv3Rgmb9RFAFQdkKq3psbVovuky3U0vdBaSDriILPSIN02HlzWbqr/zyA2UxyLJWW5A56CqyRRS1C4wxMIOlvVNLI8SAPuDEwteWH3UUbaGMflmzcXCVxIS1rUbdyK6xIwGKa2WYMkVW945uWfKow4pS42pkKc5iH1wY2jKBPEZHYG1vCLGlKHahNNrEHK51tJa5mjR0XY04elpDGJlkMUqXKZ0w104wrqqgYS+NVeNqZLIj1g9tO419V1AxlsPHdsAiCT9AAAMag7ji1ShW4d2y6yKL4tHWgh0bhvDRF5RmGBAi7mqIr1AZgLWpRj5ENS82/5tZ//tamiKUdUNTrbzUlO2gCRHPQjS4VkVtmzwM2I4aiUIyT1RRWnRd/xjZcvPP360IjhGRgtPf1xaiwbVzL2NNJ2A1akC4VChH0nMkU1s2TZ1wcdTl2FEVxx2nZH9OdcGZQVAK0USWUIxaH6zkMSMpCiESgaRmSCozarSPIlvn0ZhbQkkiUxyzuDKgHBP2iIhfk81UMiRJ4nXaqplmUGay6Mt5MMK0n+qIQM3rf5X473ySZuptULLuDURKRmxZMYYEp3JUND0Bqhx6msFDcuQebOzP3kD7Nig40cSonwBF/JN7+BSo3Fa5+r1BplxrpRSTo3Hn25pxvMUAW7wBFhyvztaaaAtUGwFqLi5jkx4ivMEV3NyObbYx2YwQfq5LRIoD53qDaPlsptkQI2xlZHTP5Kjk39EqNsIBvB76XaDmvuHbZ3ZEZI3RyvB4YNvTfZOzvG0Zn1hDlDuX2dsFk8C2R2RMlXHApFvaXDuX2aEAvip06rJdNhZBF8RHZLJ5j8tIrhiisZFtHuPU72Ew2WAiNIkm12YoorAxYKGQxG298wdLuaOEdwXwqhkLvOkKLLf2BvHN9GLZHfSnYj5s5YNuYGPVCJj2bCRkVV2vrVVC6ycyi/YRpBAG7IyibV3WKX1Hi5J3pmM0WdXJMxTCEkUrtYZsvUqachp4yp/NdZOoRngPT9+A8AAbaPcY2gZMYP0UwlJrrRiRtl7pNYiskvBSzui9MlnDbmhy4oV0Rot+nEpXfB4KYcXIUr4RlRHyso0JSFRtQOWrdRfzIYtIxUreeZrrv2wWX22Ij7kpsc2NlW+S+pkCp1Ja0CwguFlAyJx6la14HjGpmNZyFfgc8VWlRSGi3SOJjHawgOwNrmWjVPwqCqZila/gVeLrlfhMChEDNQtfxCRwS7dHH3Ao/I/qQiW9h5QYZbDKlymLwRPYyLo5uKMNhZb+mL47JE9xAQ8T6FBtNi/E0S/M1Tu07TBHX9GGim/crbs3O15FbaFkZCt/4dZHte7wNfYAz1jZmx0Rf5WNyY62MNH76XHNYbJuj+j7orxXEn5Q0S4bYtGdznt8Ox3R1srCJNmWEY+UdF1EIpPt9BgjQ7TJoW2+fa2BpI9DtmwMbhuZvmNjDg/tyyyqRxSya+wml97gT6g7o7XjGSJO8akRh41tQWNLJDGn2obdmVibbVrOOkcW1KXeQa8ma4Ki2Z8jllu0sW6kBree8brnwGCZGQqJ2oGzNw+3nFPbeg5s1mstandya6O3b6UYw7rPGt7gTSPGG3CXuDv1mTUIFWn2imk3nPMWMRCikkIIVoZ3aJJnJAh3i1kM/lwGfUBjgGBSCM5E7dTkPBK17vVOXuc0RmhAKsMyKWx8s5SxrQGj90hlUPc5pzWnBYxpSXes/SOetNoHTARZguhUBWYcrDEtN8WYk8J69KcEUU0et7/NB9paeIcJGp+0I7mIQnzGIlAt720NqIycYJF0V0BMd0YBTZHxgVPf8OTa9Ev2xyOsZhKEFzgJNzBvqo+bEhaFfOOm63c8s0uzymiZBDTXgI5orI7JzX4qttpYu5s81izZ7AVmwg0OqCsuw0XTbsJ6rsljTTaz/NdMuOGTIzKUk2LyTlpD44DP2b/8EuYFmnP6jmfIiEmzqGGf6Slg9vQ8ysamJ+4QIHjQIK5iqJ8D5gwRMy+Q5aD/1Mg9vijfn1Tn4Cyl4KaA5ccdZjmWVOfw9OmauKZPH/95hSa9x6bCp8zO6K816Ts9snUu74T/WpOeGHk6cCjvYHkUsP+IQ3mBY4xPJ9UR9o8vRw5+Pp1Uu/Zvpa9xdzlEsBkpjwGzzuzFHv0/oT/WpHXeDEUeLoaPYx9LqkP2v+PYP3iA/UB5FLT/HQfYoSP/ZnmUHAe2nNcgRy8jeK0mVSd35yUJzrUSx5Nq2P7R4QsvDpZHvrGz0zOXf/n47NkhNsD+n7m6xLzs5RVJtWv/T9/ds16PY/Q06hfh+nnthUKHUjHt+T52P5R7BdOLNPn7+kurXqHJ6uft8GNd8/USTX695to242K0Q0m1tK7XXXSnXyXXHNXi79sLH3X53mFNfr36ykJ5XeFBn/z6i3s7+QWP5BC7fv3d3ZPZgTj5+5c3ib7/fD/piT9/f8Hp725s37//6Lray9cObN9f/+iiWqZPLrefr4h0Mfn6+V/uHf759Yvu++v3fwGlhPd+YfC+vr6/v1kRXLH/sX/8/lze3w7emPsf9rTHQ7gM2pIAAAAASUVORK5CYII=</t>
  </si>
  <si>
    <t>8891fe6cf37b49f387dd113901384dea</t>
  </si>
  <si>
    <t>0077</t>
  </si>
  <si>
    <t>NATIONWIDE SAVINGS PLAN</t>
  </si>
  <si>
    <t>investment</t>
  </si>
  <si>
    <t>7f1141d7f4ca463d9f06d4bf51045d03</t>
  </si>
  <si>
    <t>0011</t>
  </si>
  <si>
    <t>LIFE TIME</t>
  </si>
  <si>
    <t>52442766181a4ee1ae10578c563a3cca</t>
  </si>
  <si>
    <t>c6da6d2af0494ea79fdf99c46548c854</t>
  </si>
  <si>
    <t>bae995958c8746ec90e0ffce08df69ac</t>
  </si>
  <si>
    <t>Paypal Inst Xfer Louisck</t>
  </si>
  <si>
    <t>b312850ec24c4cbcbae15dcb87f30b7b</t>
  </si>
  <si>
    <t>1d628293b9194a33ad7125ab032b2e2e</t>
  </si>
  <si>
    <t>4ad2fd262f754e32be7970af4947f59a</t>
  </si>
  <si>
    <t>d703fb25253548039c981740cd4ec881</t>
  </si>
  <si>
    <t>59dadcea3eec4565b1eee790074c6188</t>
  </si>
  <si>
    <t>954fe1093eb34396b68429642e970fe1</t>
  </si>
  <si>
    <t>42b81f432a3a452ba9e4ade8695b11ef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</si>
</sst>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_([$$-409]* #,##0_);_([$$-409]* \(#,##0\);_([$$-409]* &quot;-&quot;??_);_(@_)"/>
    <numFmt numFmtId="166" formatCode="mm/dd/yyyy"/>
    <numFmt numFmtId="167" formatCode="0000"/>
    <numFmt numFmtId="168" formatCode="[$-409]mmm\-yy;@"/>
    <numFmt numFmtId="169" formatCode="[$-409]mmmm\-yy;@"/>
    <numFmt numFmtId="170" formatCode="0.0%"/>
    <numFmt numFmtId="171" formatCode="&quot;$&quot;#,##0"/>
    <numFmt numFmtId="172" formatCode="mmmm\ yyyy"/>
    <numFmt numFmtId="173" formatCode="[$-409]mmmm\ yyyy;@"/>
  </numFmts>
  <fonts count="6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28"/>
      <color theme="1" tint="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78D4"/>
      <name val="Calibri"/>
      <family val="2"/>
      <scheme val="minor"/>
    </font>
    <font>
      <sz val="11"/>
      <color rgb="FF7030A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b/>
      <sz val="24"/>
      <color rgb="FF2C7B50"/>
      <name val="Calibri"/>
      <family val="2"/>
      <scheme val="minor"/>
    </font>
    <font>
      <sz val="11"/>
      <color rgb="FF2C7B50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3078CD"/>
      <name val="Calibri"/>
      <family val="2"/>
      <scheme val="minor"/>
    </font>
    <font>
      <b/>
      <sz val="11"/>
      <color rgb="FF3078CD"/>
      <name val="Calibri"/>
      <family val="2"/>
      <scheme val="minor"/>
    </font>
    <font>
      <sz val="28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1" tint="0.24994659260841701"/>
      <name val="Calibri"/>
      <family val="2"/>
      <scheme val="minor"/>
    </font>
    <font>
      <sz val="11"/>
      <color rgb="FF595959"/>
      <name val="Calibri"/>
      <family val="2"/>
      <scheme val="minor"/>
    </font>
    <font>
      <sz val="9"/>
      <color rgb="FF333333"/>
      <name val="Inherit"/>
    </font>
    <font>
      <b/>
      <sz val="9"/>
      <color rgb="FF333333"/>
      <name val="Roboto"/>
    </font>
    <font>
      <i/>
      <sz val="9"/>
      <color rgb="FF1E1E1E"/>
      <name val="Inherit"/>
    </font>
    <font>
      <i/>
      <sz val="9"/>
      <color theme="1"/>
      <name val="Inherit"/>
    </font>
    <font>
      <sz val="9"/>
      <color theme="1"/>
      <name val="Roboto"/>
    </font>
    <font>
      <sz val="9"/>
      <color rgb="FF4A4A4A"/>
      <name val="Roboto"/>
    </font>
    <font>
      <b/>
      <sz val="11"/>
      <color rgb="FF00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7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5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AE5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D4E88"/>
        <bgColor indexed="64"/>
      </patternFill>
    </fill>
    <fill>
      <patternFill patternType="solid">
        <fgColor rgb="FF33A8B8"/>
        <bgColor indexed="64"/>
      </patternFill>
    </fill>
    <fill>
      <patternFill patternType="solid">
        <fgColor rgb="FF3078CD"/>
        <bgColor indexed="64"/>
      </patternFill>
    </fill>
    <fill>
      <patternFill patternType="solid">
        <fgColor rgb="FFF3AD59"/>
        <bgColor indexed="64"/>
      </patternFill>
    </fill>
    <fill>
      <patternFill patternType="solid">
        <fgColor rgb="FF668A95"/>
        <bgColor indexed="64"/>
      </patternFill>
    </fill>
    <fill>
      <patternFill patternType="solid">
        <fgColor rgb="FFB9D272"/>
        <bgColor indexed="64"/>
      </patternFill>
    </fill>
    <fill>
      <patternFill patternType="solid">
        <fgColor rgb="FFC9DFFA"/>
        <bgColor indexed="64"/>
      </patternFill>
    </fill>
    <fill>
      <patternFill patternType="solid">
        <fgColor rgb="FF4EAA5E"/>
        <bgColor indexed="64"/>
      </patternFill>
    </fill>
    <fill>
      <patternFill patternType="solid">
        <fgColor rgb="FFE1F0D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DAE1F1"/>
        <bgColor indexed="64"/>
      </patternFill>
    </fill>
    <fill>
      <patternFill patternType="solid">
        <fgColor rgb="FFA9D08E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/>
      <right/>
      <top style="thick">
        <color theme="6"/>
      </top>
      <bottom/>
      <diagonal/>
    </border>
    <border>
      <left style="medium">
        <color rgb="FFD9D9D9"/>
      </left>
      <right/>
      <top style="medium">
        <color rgb="FFD9D9D9"/>
      </top>
      <bottom/>
      <diagonal/>
    </border>
    <border>
      <left/>
      <right/>
      <top style="medium">
        <color rgb="FFD9D9D9"/>
      </top>
      <bottom/>
      <diagonal/>
    </border>
    <border>
      <left/>
      <right style="medium">
        <color rgb="FFD9D9D9"/>
      </right>
      <top style="medium">
        <color rgb="FFD9D9D9"/>
      </top>
      <bottom/>
      <diagonal/>
    </border>
    <border>
      <left style="medium">
        <color rgb="FFD9D9D9"/>
      </left>
      <right/>
      <top/>
      <bottom/>
      <diagonal/>
    </border>
    <border>
      <left/>
      <right style="medium">
        <color rgb="FFD9D9D9"/>
      </right>
      <top/>
      <bottom/>
      <diagonal/>
    </border>
    <border>
      <left style="medium">
        <color rgb="FFD9D9D9"/>
      </left>
      <right/>
      <top/>
      <bottom style="medium">
        <color rgb="FFD9D9D9"/>
      </bottom>
      <diagonal/>
    </border>
    <border>
      <left/>
      <right/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  <border>
      <left style="thick">
        <color rgb="FF75ADF0"/>
      </left>
      <right/>
      <top style="thick">
        <color rgb="FF75ADF0"/>
      </top>
      <bottom style="thick">
        <color rgb="FF75ADF0"/>
      </bottom>
      <diagonal/>
    </border>
    <border>
      <left/>
      <right/>
      <top style="thick">
        <color rgb="FF75ADF0"/>
      </top>
      <bottom style="thick">
        <color rgb="FF75ADF0"/>
      </bottom>
      <diagonal/>
    </border>
    <border>
      <left/>
      <right style="thick">
        <color rgb="FF75ADF0"/>
      </right>
      <top style="thick">
        <color rgb="FF75ADF0"/>
      </top>
      <bottom style="thick">
        <color rgb="FF75ADF0"/>
      </bottom>
      <diagonal/>
    </border>
    <border>
      <left/>
      <right style="thin">
        <color rgb="FFA6A6A6"/>
      </right>
      <top/>
      <bottom/>
      <diagonal/>
    </border>
    <border>
      <left/>
      <right/>
      <top/>
      <bottom style="medium">
        <color rgb="FFB7B7B7"/>
      </bottom>
      <diagonal/>
    </border>
    <border>
      <left/>
      <right/>
      <top/>
      <bottom style="thin">
        <color rgb="FFA6A6A6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C6C6C5"/>
      </top>
      <bottom style="medium">
        <color rgb="FFC6C6C5"/>
      </bottom>
      <diagonal/>
    </border>
    <border>
      <left style="medium">
        <color rgb="FFDCDDDF"/>
      </left>
      <right/>
      <top style="medium">
        <color rgb="FFC6C6C5"/>
      </top>
      <bottom style="medium">
        <color rgb="FFC6C6C5"/>
      </bottom>
      <diagonal/>
    </border>
    <border>
      <left style="medium">
        <color rgb="FFDCDDDF"/>
      </left>
      <right/>
      <top/>
      <bottom/>
      <diagonal/>
    </border>
    <border>
      <left/>
      <right style="medium">
        <color rgb="FFDCDDDF"/>
      </right>
      <top style="medium">
        <color rgb="FFDCDDDF"/>
      </top>
      <bottom/>
      <diagonal/>
    </border>
    <border>
      <left style="medium">
        <color rgb="FFDCDDDF"/>
      </left>
      <right style="medium">
        <color rgb="FFDCDDDF"/>
      </right>
      <top style="medium">
        <color rgb="FFDCDDDF"/>
      </top>
      <bottom/>
      <diagonal/>
    </border>
    <border>
      <left/>
      <right/>
      <top style="medium">
        <color rgb="FFDCDDDF"/>
      </top>
      <bottom/>
      <diagonal/>
    </border>
    <border>
      <left style="medium">
        <color rgb="FFDCDDDF"/>
      </left>
      <right/>
      <top style="medium">
        <color rgb="FFDCDDDF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A6A6A6"/>
      </bottom>
      <diagonal/>
    </border>
    <border>
      <left style="medium">
        <color rgb="FFA6A6A6"/>
      </left>
      <right/>
      <top/>
      <bottom style="medium">
        <color rgb="FFA6A6A6"/>
      </bottom>
      <diagonal/>
    </border>
    <border>
      <left style="medium">
        <color rgb="FFA6A6A6"/>
      </left>
      <right/>
      <top/>
      <bottom/>
      <diagonal/>
    </border>
    <border>
      <left/>
      <right style="medium">
        <color rgb="FFA6A6A6"/>
      </right>
      <top/>
      <bottom/>
      <diagonal/>
    </border>
    <border>
      <left/>
      <right style="medium">
        <color rgb="FFA6A6A6"/>
      </right>
      <top/>
      <bottom style="medium">
        <color rgb="FFA6A6A6"/>
      </bottom>
      <diagonal/>
    </border>
    <border>
      <left style="medium">
        <color rgb="FFA6A6A6"/>
      </left>
      <right/>
      <top style="medium">
        <color rgb="FFA6A6A6"/>
      </top>
      <bottom/>
      <diagonal/>
    </border>
    <border>
      <left/>
      <right/>
      <top style="medium">
        <color rgb="FFA6A6A6"/>
      </top>
      <bottom/>
      <diagonal/>
    </border>
    <border>
      <left/>
      <right style="medium">
        <color rgb="FFA6A6A6"/>
      </right>
      <top style="medium">
        <color rgb="FFA6A6A6"/>
      </top>
      <bottom/>
      <diagonal/>
    </border>
    <border>
      <left/>
      <right/>
      <top/>
      <bottom style="thick">
        <color rgb="FF70AD47"/>
      </bottom>
      <diagonal/>
    </border>
  </borders>
  <cellStyleXfs count="44">
    <xf numFmtId="0" fontId="0" fillId="0" borderId="0"/>
    <xf numFmtId="0" fontId="1" fillId="0" borderId="0" applyNumberFormat="0" applyFill="0" applyBorder="0" applyAlignment="0" applyProtection="0"/>
    <xf numFmtId="44" fontId="32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21" applyNumberFormat="0" applyFill="0" applyAlignment="0" applyProtection="0"/>
    <xf numFmtId="0" fontId="35" fillId="0" borderId="22" applyNumberFormat="0" applyFill="0" applyAlignment="0" applyProtection="0"/>
    <xf numFmtId="0" fontId="36" fillId="0" borderId="23" applyNumberFormat="0" applyFill="0" applyAlignment="0" applyProtection="0"/>
    <xf numFmtId="0" fontId="36" fillId="0" borderId="0" applyNumberFormat="0" applyFill="0" applyBorder="0" applyAlignment="0" applyProtection="0"/>
    <xf numFmtId="0" fontId="37" fillId="17" borderId="0" applyNumberFormat="0" applyBorder="0" applyAlignment="0" applyProtection="0"/>
    <xf numFmtId="0" fontId="38" fillId="18" borderId="0" applyNumberFormat="0" applyBorder="0" applyAlignment="0" applyProtection="0"/>
    <xf numFmtId="0" fontId="39" fillId="19" borderId="0" applyNumberFormat="0" applyBorder="0" applyAlignment="0" applyProtection="0"/>
    <xf numFmtId="0" fontId="40" fillId="20" borderId="24" applyNumberFormat="0" applyAlignment="0" applyProtection="0"/>
    <xf numFmtId="0" fontId="41" fillId="21" borderId="25" applyNumberFormat="0" applyAlignment="0" applyProtection="0"/>
    <xf numFmtId="0" fontId="42" fillId="21" borderId="24" applyNumberFormat="0" applyAlignment="0" applyProtection="0"/>
    <xf numFmtId="0" fontId="43" fillId="0" borderId="26" applyNumberFormat="0" applyFill="0" applyAlignment="0" applyProtection="0"/>
    <xf numFmtId="0" fontId="44" fillId="22" borderId="27" applyNumberFormat="0" applyAlignment="0" applyProtection="0"/>
    <xf numFmtId="0" fontId="45" fillId="0" borderId="0" applyNumberFormat="0" applyFill="0" applyBorder="0" applyAlignment="0" applyProtection="0"/>
    <xf numFmtId="0" fontId="32" fillId="23" borderId="28" applyNumberFormat="0" applyFont="0" applyAlignment="0" applyProtection="0"/>
    <xf numFmtId="0" fontId="46" fillId="0" borderId="0" applyNumberFormat="0" applyFill="0" applyBorder="0" applyAlignment="0" applyProtection="0"/>
    <xf numFmtId="0" fontId="5" fillId="0" borderId="29" applyNumberFormat="0" applyFill="0" applyAlignment="0" applyProtection="0"/>
    <xf numFmtId="0" fontId="2" fillId="24" borderId="0" applyNumberFormat="0" applyBorder="0" applyAlignment="0" applyProtection="0"/>
    <xf numFmtId="0" fontId="32" fillId="25" borderId="0" applyNumberFormat="0" applyBorder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2" fillId="28" borderId="0" applyNumberFormat="0" applyBorder="0" applyAlignment="0" applyProtection="0"/>
    <xf numFmtId="0" fontId="32" fillId="29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2" fillId="32" borderId="0" applyNumberFormat="0" applyBorder="0" applyAlignment="0" applyProtection="0"/>
    <xf numFmtId="0" fontId="32" fillId="33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2" fillId="36" borderId="0" applyNumberFormat="0" applyBorder="0" applyAlignment="0" applyProtection="0"/>
    <xf numFmtId="0" fontId="32" fillId="37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2" fillId="40" borderId="0" applyNumberFormat="0" applyBorder="0" applyAlignment="0" applyProtection="0"/>
    <xf numFmtId="0" fontId="32" fillId="41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2" fillId="44" borderId="0" applyNumberFormat="0" applyBorder="0" applyAlignment="0" applyProtection="0"/>
    <xf numFmtId="0" fontId="32" fillId="45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</cellStyleXfs>
  <cellXfs count="248">
    <xf numFmtId="0" fontId="0" fillId="0" borderId="0" xfId="0"/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5" fillId="0" borderId="0" xfId="0" applyFont="1" applyAlignment="1">
      <alignment horizontal="centerContinuous" wrapText="1"/>
    </xf>
    <xf numFmtId="0" fontId="5" fillId="2" borderId="0" xfId="0" applyFont="1" applyFill="1" applyAlignment="1">
      <alignment horizontal="centerContinuous"/>
    </xf>
    <xf numFmtId="0" fontId="6" fillId="0" borderId="0" xfId="0" applyFont="1" applyAlignment="1">
      <alignment horizontal="center" wrapText="1"/>
    </xf>
    <xf numFmtId="14" fontId="0" fillId="2" borderId="0" xfId="0" applyNumberFormat="1" applyFill="1"/>
    <xf numFmtId="0" fontId="0" fillId="2" borderId="0" xfId="0" applyFill="1"/>
    <xf numFmtId="6" fontId="0" fillId="2" borderId="0" xfId="0" applyNumberFormat="1" applyFill="1"/>
    <xf numFmtId="0" fontId="1" fillId="2" borderId="0" xfId="1" applyFill="1"/>
    <xf numFmtId="172" fontId="5" fillId="2" borderId="0" xfId="0" applyNumberFormat="1" applyFont="1" applyFill="1"/>
    <xf numFmtId="0" fontId="0" fillId="2" borderId="0" xfId="0" applyFill="1" applyAlignment="1">
      <alignment wrapText="1"/>
    </xf>
    <xf numFmtId="166" fontId="0" fillId="2" borderId="0" xfId="0" applyNumberFormat="1" applyFill="1"/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0" fillId="2" borderId="2" xfId="0" applyFill="1" applyBorder="1"/>
    <xf numFmtId="0" fontId="8" fillId="2" borderId="0" xfId="0" applyFont="1" applyFill="1"/>
    <xf numFmtId="0" fontId="0" fillId="2" borderId="0" xfId="0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169" fontId="0" fillId="7" borderId="0" xfId="0" applyNumberFormat="1" applyFill="1"/>
    <xf numFmtId="165" fontId="0" fillId="7" borderId="0" xfId="0" applyNumberFormat="1" applyFill="1"/>
    <xf numFmtId="165" fontId="0" fillId="2" borderId="0" xfId="0" applyNumberFormat="1" applyFill="1"/>
    <xf numFmtId="14" fontId="0" fillId="7" borderId="0" xfId="0" applyNumberFormat="1" applyFill="1"/>
    <xf numFmtId="6" fontId="0" fillId="7" borderId="0" xfId="0" applyNumberFormat="1" applyFill="1"/>
    <xf numFmtId="171" fontId="3" fillId="7" borderId="0" xfId="0" applyNumberFormat="1" applyFont="1" applyFill="1"/>
    <xf numFmtId="0" fontId="0" fillId="2" borderId="7" xfId="0" applyFill="1" applyBorder="1"/>
    <xf numFmtId="0" fontId="9" fillId="2" borderId="8" xfId="0" applyFont="1" applyFill="1" applyBorder="1"/>
    <xf numFmtId="0" fontId="0" fillId="2" borderId="8" xfId="0" applyFill="1" applyBorder="1"/>
    <xf numFmtId="0" fontId="0" fillId="0" borderId="8" xfId="0" applyBorder="1"/>
    <xf numFmtId="0" fontId="0" fillId="2" borderId="9" xfId="0" applyFill="1" applyBorder="1"/>
    <xf numFmtId="169" fontId="0" fillId="6" borderId="0" xfId="0" applyNumberFormat="1" applyFill="1"/>
    <xf numFmtId="169" fontId="0" fillId="0" borderId="0" xfId="0" applyNumberFormat="1"/>
    <xf numFmtId="171" fontId="0" fillId="7" borderId="0" xfId="0" applyNumberFormat="1" applyFill="1"/>
    <xf numFmtId="0" fontId="0" fillId="2" borderId="10" xfId="0" applyFill="1" applyBorder="1"/>
    <xf numFmtId="0" fontId="10" fillId="2" borderId="0" xfId="0" applyFont="1" applyFill="1"/>
    <xf numFmtId="0" fontId="0" fillId="2" borderId="11" xfId="0" applyFill="1" applyBorder="1"/>
    <xf numFmtId="0" fontId="0" fillId="8" borderId="0" xfId="0" applyFill="1"/>
    <xf numFmtId="0" fontId="11" fillId="0" borderId="0" xfId="0" applyFont="1" applyAlignment="1">
      <alignment horizontal="left"/>
    </xf>
    <xf numFmtId="0" fontId="11" fillId="0" borderId="0" xfId="0" applyFont="1"/>
    <xf numFmtId="171" fontId="11" fillId="0" borderId="0" xfId="0" applyNumberFormat="1" applyFont="1"/>
    <xf numFmtId="0" fontId="12" fillId="0" borderId="0" xfId="0" applyFont="1"/>
    <xf numFmtId="0" fontId="9" fillId="0" borderId="0" xfId="0" applyFont="1" applyAlignment="1">
      <alignment vertical="center"/>
    </xf>
    <xf numFmtId="0" fontId="0" fillId="2" borderId="0" xfId="0" applyFill="1" applyAlignment="1">
      <alignment horizontal="left"/>
    </xf>
    <xf numFmtId="171" fontId="0" fillId="0" borderId="0" xfId="0" applyNumberFormat="1"/>
    <xf numFmtId="0" fontId="13" fillId="7" borderId="0" xfId="0" applyFont="1" applyFill="1"/>
    <xf numFmtId="165" fontId="14" fillId="7" borderId="0" xfId="0" applyNumberFormat="1" applyFont="1" applyFill="1"/>
    <xf numFmtId="0" fontId="0" fillId="9" borderId="0" xfId="0" applyFill="1"/>
    <xf numFmtId="0" fontId="0" fillId="10" borderId="0" xfId="0" applyFill="1"/>
    <xf numFmtId="0" fontId="5" fillId="0" borderId="0" xfId="0" applyFont="1"/>
    <xf numFmtId="0" fontId="15" fillId="0" borderId="0" xfId="0" applyFont="1"/>
    <xf numFmtId="0" fontId="9" fillId="0" borderId="0" xfId="0" applyFont="1"/>
    <xf numFmtId="170" fontId="16" fillId="0" borderId="0" xfId="1" applyNumberFormat="1" applyFont="1" applyFill="1" applyBorder="1" applyAlignment="1">
      <alignment horizontal="right" vertical="center"/>
    </xf>
    <xf numFmtId="0" fontId="5" fillId="2" borderId="0" xfId="0" applyFont="1" applyFill="1"/>
    <xf numFmtId="0" fontId="10" fillId="0" borderId="0" xfId="0" applyFont="1"/>
    <xf numFmtId="0" fontId="0" fillId="11" borderId="0" xfId="0" applyFill="1"/>
    <xf numFmtId="171" fontId="0" fillId="2" borderId="0" xfId="0" applyNumberFormat="1" applyFill="1"/>
    <xf numFmtId="0" fontId="16" fillId="0" borderId="0" xfId="1" applyFont="1" applyFill="1" applyBorder="1" applyAlignment="1">
      <alignment horizontal="right" vertical="center"/>
    </xf>
    <xf numFmtId="0" fontId="0" fillId="12" borderId="0" xfId="0" applyFill="1"/>
    <xf numFmtId="0" fontId="9" fillId="0" borderId="0" xfId="0" applyFont="1" applyAlignment="1">
      <alignment horizontal="right" vertical="center"/>
    </xf>
    <xf numFmtId="0" fontId="0" fillId="13" borderId="0" xfId="0" applyFill="1"/>
    <xf numFmtId="0" fontId="17" fillId="2" borderId="0" xfId="0" applyFont="1" applyFill="1"/>
    <xf numFmtId="171" fontId="17" fillId="2" borderId="0" xfId="0" applyNumberFormat="1" applyFont="1" applyFill="1"/>
    <xf numFmtId="0" fontId="16" fillId="0" borderId="0" xfId="1" applyFont="1" applyFill="1" applyBorder="1" applyAlignment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1" fillId="2" borderId="6" xfId="1" applyFill="1" applyBorder="1"/>
    <xf numFmtId="0" fontId="0" fillId="2" borderId="6" xfId="0" applyFill="1" applyBorder="1"/>
    <xf numFmtId="0" fontId="18" fillId="2" borderId="6" xfId="0" applyFont="1" applyFill="1" applyBorder="1" applyAlignment="1">
      <alignment horizontal="centerContinuous"/>
    </xf>
    <xf numFmtId="0" fontId="5" fillId="2" borderId="8" xfId="0" applyFont="1" applyFill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right"/>
    </xf>
    <xf numFmtId="0" fontId="16" fillId="0" borderId="13" xfId="1" applyFont="1" applyFill="1" applyBorder="1" applyAlignment="1"/>
    <xf numFmtId="0" fontId="0" fillId="0" borderId="13" xfId="0" applyBorder="1"/>
    <xf numFmtId="0" fontId="9" fillId="0" borderId="8" xfId="0" applyFont="1" applyBorder="1"/>
    <xf numFmtId="0" fontId="0" fillId="0" borderId="9" xfId="0" applyBorder="1"/>
    <xf numFmtId="0" fontId="0" fillId="0" borderId="11" xfId="0" applyBorder="1"/>
    <xf numFmtId="0" fontId="5" fillId="3" borderId="0" xfId="0" applyFont="1" applyFill="1"/>
    <xf numFmtId="0" fontId="5" fillId="3" borderId="0" xfId="0" applyFont="1" applyFill="1" applyAlignment="1">
      <alignment horizontal="right"/>
    </xf>
    <xf numFmtId="0" fontId="19" fillId="0" borderId="11" xfId="0" applyFont="1" applyBorder="1" applyAlignment="1">
      <alignment horizontal="right"/>
    </xf>
    <xf numFmtId="0" fontId="5" fillId="3" borderId="0" xfId="0" applyFont="1" applyFill="1" applyAlignment="1">
      <alignment horizontal="left"/>
    </xf>
    <xf numFmtId="0" fontId="5" fillId="0" borderId="11" xfId="0" applyFont="1" applyBorder="1" applyAlignment="1">
      <alignment horizontal="right"/>
    </xf>
    <xf numFmtId="0" fontId="11" fillId="2" borderId="0" xfId="0" applyFont="1" applyFill="1"/>
    <xf numFmtId="0" fontId="11" fillId="2" borderId="10" xfId="0" applyFont="1" applyFill="1" applyBorder="1"/>
    <xf numFmtId="0" fontId="0" fillId="0" borderId="1" xfId="0" applyBorder="1"/>
    <xf numFmtId="171" fontId="0" fillId="0" borderId="1" xfId="0" applyNumberFormat="1" applyBorder="1"/>
    <xf numFmtId="171" fontId="3" fillId="0" borderId="11" xfId="0" applyNumberFormat="1" applyFont="1" applyBorder="1"/>
    <xf numFmtId="0" fontId="0" fillId="0" borderId="1" xfId="0" applyBorder="1" applyAlignment="1">
      <alignment horizontal="left"/>
    </xf>
    <xf numFmtId="171" fontId="0" fillId="0" borderId="11" xfId="0" applyNumberFormat="1" applyBorder="1"/>
    <xf numFmtId="0" fontId="0" fillId="7" borderId="0" xfId="0" applyFill="1" applyAlignment="1">
      <alignment horizontal="left"/>
    </xf>
    <xf numFmtId="0" fontId="0" fillId="0" borderId="0" xfId="0" applyAlignment="1">
      <alignment horizontal="left"/>
    </xf>
    <xf numFmtId="0" fontId="17" fillId="0" borderId="0" xfId="0" applyFont="1" applyAlignment="1">
      <alignment vertical="center"/>
    </xf>
    <xf numFmtId="171" fontId="20" fillId="0" borderId="0" xfId="0" applyNumberFormat="1" applyFont="1" applyAlignment="1">
      <alignment vertical="center"/>
    </xf>
    <xf numFmtId="171" fontId="21" fillId="0" borderId="0" xfId="0" applyNumberFormat="1" applyFont="1" applyAlignment="1">
      <alignment vertical="center"/>
    </xf>
    <xf numFmtId="171" fontId="21" fillId="0" borderId="0" xfId="0" applyNumberFormat="1" applyFont="1"/>
    <xf numFmtId="0" fontId="3" fillId="0" borderId="3" xfId="0" applyFont="1" applyBorder="1" applyAlignment="1">
      <alignment vertical="center"/>
    </xf>
    <xf numFmtId="164" fontId="3" fillId="5" borderId="4" xfId="0" applyNumberFormat="1" applyFont="1" applyFill="1" applyBorder="1" applyAlignment="1">
      <alignment vertical="center"/>
    </xf>
    <xf numFmtId="0" fontId="3" fillId="5" borderId="4" xfId="0" applyFont="1" applyFill="1" applyBorder="1" applyAlignment="1">
      <alignment horizontal="right" vertical="center"/>
    </xf>
    <xf numFmtId="0" fontId="3" fillId="5" borderId="5" xfId="0" applyFont="1" applyFill="1" applyBorder="1" applyAlignment="1">
      <alignment vertical="center"/>
    </xf>
    <xf numFmtId="0" fontId="3" fillId="4" borderId="0" xfId="0" applyFont="1" applyFill="1" applyAlignment="1">
      <alignment vertical="center"/>
    </xf>
    <xf numFmtId="0" fontId="3" fillId="4" borderId="0" xfId="0" applyFont="1" applyFill="1" applyAlignment="1">
      <alignment horizontal="right" vertical="center"/>
    </xf>
    <xf numFmtId="0" fontId="0" fillId="4" borderId="0" xfId="0" applyFill="1" applyAlignment="1">
      <alignment vertical="center"/>
    </xf>
    <xf numFmtId="0" fontId="3" fillId="3" borderId="0" xfId="0" applyFont="1" applyFill="1" applyAlignment="1">
      <alignment vertical="center"/>
    </xf>
    <xf numFmtId="0" fontId="24" fillId="0" borderId="0" xfId="0" applyFont="1"/>
    <xf numFmtId="0" fontId="25" fillId="0" borderId="0" xfId="0" applyFont="1" applyAlignment="1" applyProtection="1">
      <alignment vertical="center"/>
      <protection locked="0"/>
    </xf>
    <xf numFmtId="14" fontId="0" fillId="0" borderId="0" xfId="0" applyNumberFormat="1" applyAlignment="1">
      <alignment horizontal="left"/>
    </xf>
    <xf numFmtId="0" fontId="27" fillId="0" borderId="0" xfId="0" applyFont="1"/>
    <xf numFmtId="164" fontId="5" fillId="0" borderId="0" xfId="0" applyNumberFormat="1" applyFont="1"/>
    <xf numFmtId="0" fontId="7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168" fontId="7" fillId="0" borderId="0" xfId="0" applyNumberFormat="1" applyFont="1" applyAlignment="1">
      <alignment horizontal="left"/>
    </xf>
    <xf numFmtId="164" fontId="0" fillId="0" borderId="0" xfId="0" applyNumberFormat="1"/>
    <xf numFmtId="0" fontId="28" fillId="0" borderId="0" xfId="0" applyFont="1" applyAlignment="1" applyProtection="1">
      <alignment vertical="center"/>
      <protection locked="0"/>
    </xf>
    <xf numFmtId="166" fontId="25" fillId="0" borderId="0" xfId="0" applyNumberFormat="1" applyFont="1" applyAlignment="1">
      <alignment vertical="center"/>
    </xf>
    <xf numFmtId="164" fontId="25" fillId="0" borderId="0" xfId="0" applyNumberFormat="1" applyFont="1" applyAlignment="1">
      <alignment horizontal="right" vertical="center" indent="2"/>
    </xf>
    <xf numFmtId="0" fontId="25" fillId="0" borderId="0" xfId="0" applyFont="1" applyAlignment="1">
      <alignment vertical="center"/>
    </xf>
    <xf numFmtId="167" fontId="25" fillId="0" borderId="0" xfId="0" applyNumberFormat="1" applyFont="1" applyAlignment="1">
      <alignment vertical="center"/>
    </xf>
    <xf numFmtId="0" fontId="26" fillId="0" borderId="0" xfId="0" applyFont="1" applyAlignment="1">
      <alignment vertical="center"/>
    </xf>
    <xf numFmtId="49" fontId="0" fillId="0" borderId="0" xfId="0" applyNumberFormat="1"/>
    <xf numFmtId="0" fontId="7" fillId="4" borderId="0" xfId="0" applyFont="1" applyFill="1" applyAlignment="1">
      <alignment vertical="center" wrapText="1"/>
    </xf>
    <xf numFmtId="0" fontId="0" fillId="0" borderId="0" xfId="0" applyProtection="1">
      <protection locked="0"/>
    </xf>
    <xf numFmtId="0" fontId="0" fillId="15" borderId="0" xfId="0" applyFill="1" applyProtection="1">
      <protection locked="0"/>
    </xf>
    <xf numFmtId="0" fontId="0" fillId="0" borderId="0" xfId="0" applyAlignment="1" applyProtection="1">
      <alignment vertical="center"/>
      <protection locked="0"/>
    </xf>
    <xf numFmtId="0" fontId="0" fillId="0" borderId="18" xfId="0" applyBorder="1" applyAlignment="1" applyProtection="1">
      <alignment vertical="center" indent="1"/>
      <protection locked="0"/>
    </xf>
    <xf numFmtId="0" fontId="0" fillId="0" borderId="0" xfId="0" applyAlignment="1" applyProtection="1">
      <alignment vertical="center" indent="1"/>
      <protection locked="0"/>
    </xf>
    <xf numFmtId="11" fontId="0" fillId="0" borderId="0" xfId="0" applyNumberFormat="1" applyAlignment="1" applyProtection="1">
      <alignment vertical="center"/>
      <protection locked="0"/>
    </xf>
    <xf numFmtId="0" fontId="7" fillId="0" borderId="0" xfId="0" applyNumberFormat="1" applyFont="1" applyAlignment="1" applyProtection="1">
      <alignment vertical="center"/>
    </xf>
    <xf numFmtId="167" fontId="7" fillId="0" borderId="0" xfId="0" applyNumberFormat="1" applyFont="1" applyAlignment="1" applyProtection="1">
      <alignment horizontal="left"/>
    </xf>
    <xf numFmtId="0" fontId="7" fillId="0" borderId="0" xfId="0" applyNumberFormat="1" applyFont="1" applyAlignment="1" applyProtection="1">
      <alignment horizontal="left"/>
    </xf>
    <xf numFmtId="0" fontId="11" fillId="0" borderId="0" xfId="0" applyFont="1" applyAlignment="1" applyProtection="1">
      <alignment horizontal="left" vertical="center"/>
    </xf>
    <xf numFmtId="0" fontId="7" fillId="0" borderId="0" xfId="0" applyFont="1" applyFill="1" applyAlignment="1" applyProtection="1">
      <alignment horizontal="left" vertical="center"/>
    </xf>
    <xf numFmtId="0" fontId="7" fillId="0" borderId="0" xfId="0" applyNumberFormat="1" applyFont="1" applyFill="1" applyAlignment="1" applyProtection="1">
      <alignment horizontal="left" vertical="center"/>
    </xf>
    <xf numFmtId="14" fontId="7" fillId="0" borderId="0" xfId="0" applyNumberFormat="1" applyFont="1" applyFill="1" applyAlignment="1" applyProtection="1">
      <alignment horizontal="left" vertical="center"/>
    </xf>
    <xf numFmtId="168" fontId="7" fillId="0" borderId="0" xfId="0" applyNumberFormat="1" applyFont="1" applyFill="1" applyAlignment="1" applyProtection="1">
      <alignment horizontal="left" vertical="center"/>
    </xf>
    <xf numFmtId="0" fontId="0" fillId="0" borderId="0" xfId="0" applyNumberFormat="1" applyAlignment="1" applyProtection="1">
      <alignment vertical="center"/>
      <protection locked="0"/>
    </xf>
    <xf numFmtId="0" fontId="0" fillId="0" borderId="0" xfId="0" applyAlignment="1" applyProtection="1">
      <alignment vertical="center"/>
    </xf>
    <xf numFmtId="0" fontId="0" fillId="0" borderId="18" xfId="0" applyBorder="1" applyAlignment="1" applyProtection="1">
      <alignment vertical="center" indent="1"/>
    </xf>
    <xf numFmtId="0" fontId="0" fillId="0" borderId="0" xfId="0" applyAlignment="1" applyProtection="1">
      <alignment vertical="center" indent="1"/>
    </xf>
    <xf numFmtId="0" fontId="7" fillId="0" borderId="0" xfId="0" applyNumberFormat="1" applyFont="1" applyAlignment="1">
      <alignment horizontal="left" vertical="center"/>
    </xf>
    <xf numFmtId="0" fontId="4" fillId="4" borderId="0" xfId="0" applyFont="1" applyFill="1" applyAlignment="1">
      <alignment wrapText="1"/>
    </xf>
    <xf numFmtId="0" fontId="0" fillId="0" borderId="0" xfId="0" applyAlignment="1">
      <alignment wrapText="1"/>
    </xf>
    <xf numFmtId="0" fontId="7" fillId="4" borderId="0" xfId="0" applyFont="1" applyFill="1" applyAlignment="1">
      <alignment horizontal="left" vertical="center" wrapText="1"/>
    </xf>
    <xf numFmtId="0" fontId="0" fillId="0" borderId="0" xfId="0" applyBorder="1"/>
    <xf numFmtId="0" fontId="47" fillId="0" borderId="18" xfId="0" applyFont="1" applyBorder="1" applyAlignment="1" applyProtection="1">
      <alignment vertical="center" indent="1"/>
      <protection locked="0"/>
    </xf>
    <xf numFmtId="0" fontId="47" fillId="49" borderId="18" xfId="0" applyFont="1" applyFill="1" applyBorder="1" applyAlignment="1" applyProtection="1">
      <alignment vertical="center" indent="1"/>
      <protection locked="0"/>
    </xf>
    <xf numFmtId="11" fontId="11" fillId="0" borderId="0" xfId="0" applyNumberFormat="1" applyFont="1" applyAlignment="1" applyProtection="1">
      <alignment horizontal="left" vertical="center"/>
    </xf>
    <xf numFmtId="14" fontId="0" fillId="0" borderId="0" xfId="0" applyNumberFormat="1"/>
    <xf numFmtId="14" fontId="7" fillId="0" borderId="0" xfId="0" applyNumberFormat="1" applyFont="1" applyAlignment="1" applyProtection="1">
      <alignment horizontal="left"/>
    </xf>
    <xf numFmtId="44" fontId="25" fillId="0" borderId="0" xfId="2" applyFont="1" applyAlignment="1" applyProtection="1">
      <alignment horizontal="right" vertical="center" indent="2"/>
    </xf>
    <xf numFmtId="8" fontId="53" fillId="2" borderId="34" xfId="0" applyNumberFormat="1" applyFont="1" applyFill="1" applyBorder="1" applyAlignment="1">
      <alignment vertical="center"/>
    </xf>
    <xf numFmtId="0" fontId="51" fillId="51" borderId="0" xfId="0" applyFont="1" applyFill="1" applyAlignment="1">
      <alignment vertical="top" wrapText="1"/>
    </xf>
    <xf numFmtId="0" fontId="53" fillId="52" borderId="34" xfId="0" applyFont="1" applyFill="1" applyBorder="1" applyAlignment="1">
      <alignment vertical="center"/>
    </xf>
    <xf numFmtId="0" fontId="50" fillId="50" borderId="31" xfId="0" applyFont="1" applyFill="1" applyBorder="1" applyAlignment="1">
      <alignment horizontal="center" vertical="top" wrapText="1"/>
    </xf>
    <xf numFmtId="0" fontId="53" fillId="2" borderId="34" xfId="0" applyFont="1" applyFill="1" applyBorder="1" applyAlignment="1">
      <alignment vertical="center"/>
    </xf>
    <xf numFmtId="0" fontId="49" fillId="50" borderId="31" xfId="0" applyFont="1" applyFill="1" applyBorder="1" applyAlignment="1">
      <alignment vertical="center" wrapText="1"/>
    </xf>
    <xf numFmtId="0" fontId="54" fillId="2" borderId="33" xfId="0" applyFont="1" applyFill="1" applyBorder="1" applyAlignment="1">
      <alignment vertical="top" wrapText="1"/>
    </xf>
    <xf numFmtId="0" fontId="49" fillId="50" borderId="31" xfId="0" applyFont="1" applyFill="1" applyBorder="1" applyAlignment="1">
      <alignment horizontal="right" vertical="center" wrapText="1"/>
    </xf>
    <xf numFmtId="0" fontId="53" fillId="51" borderId="0" xfId="0" applyFont="1" applyFill="1" applyAlignment="1">
      <alignment vertical="top" wrapText="1"/>
    </xf>
    <xf numFmtId="0" fontId="49" fillId="50" borderId="30" xfId="0" applyFont="1" applyFill="1" applyBorder="1" applyAlignment="1">
      <alignment vertical="center" wrapText="1"/>
    </xf>
    <xf numFmtId="0" fontId="52" fillId="51" borderId="32" xfId="0" applyFont="1" applyFill="1" applyBorder="1" applyAlignment="1">
      <alignment vertical="top" wrapText="1"/>
    </xf>
    <xf numFmtId="0" fontId="0" fillId="0" borderId="0" xfId="0"/>
    <xf numFmtId="0" fontId="5" fillId="0" borderId="0" xfId="0" applyFont="1"/>
    <xf numFmtId="0" fontId="53" fillId="2" borderId="35" xfId="0" applyFont="1" applyFill="1" applyBorder="1" applyAlignment="1">
      <alignment vertical="top" wrapText="1"/>
    </xf>
    <xf numFmtId="0" fontId="54" fillId="53" borderId="33" xfId="0" applyFont="1" applyFill="1" applyBorder="1" applyAlignment="1">
      <alignment vertical="top" wrapText="1"/>
    </xf>
    <xf numFmtId="8" fontId="53" fillId="53" borderId="34" xfId="0" applyNumberFormat="1" applyFont="1" applyFill="1" applyBorder="1" applyAlignment="1">
      <alignment vertical="center"/>
    </xf>
    <xf numFmtId="0" fontId="53" fillId="53" borderId="35" xfId="0" applyFont="1" applyFill="1" applyBorder="1" applyAlignment="1">
      <alignment vertical="top" wrapText="1"/>
    </xf>
    <xf numFmtId="0" fontId="53" fillId="53" borderId="34" xfId="0" applyFont="1" applyFill="1" applyBorder="1" applyAlignment="1">
      <alignment vertical="center"/>
    </xf>
    <xf numFmtId="0" fontId="51" fillId="51" borderId="35" xfId="0" applyFont="1" applyFill="1" applyBorder="1" applyAlignment="1">
      <alignment vertical="top" wrapText="1"/>
    </xf>
    <xf numFmtId="0" fontId="52" fillId="51" borderId="36" xfId="0" applyFont="1" applyFill="1" applyBorder="1" applyAlignment="1">
      <alignment vertical="top" wrapText="1"/>
    </xf>
    <xf numFmtId="0" fontId="53" fillId="51" borderId="35" xfId="0" applyFont="1" applyFill="1" applyBorder="1" applyAlignment="1">
      <alignment vertical="top" wrapText="1"/>
    </xf>
    <xf numFmtId="8" fontId="53" fillId="52" borderId="34" xfId="0" applyNumberFormat="1" applyFont="1" applyFill="1" applyBorder="1" applyAlignment="1">
      <alignment vertical="center"/>
    </xf>
    <xf numFmtId="8" fontId="53" fillId="52" borderId="34" xfId="0" applyNumberFormat="1" applyFont="1" applyFill="1" applyBorder="1" applyAlignment="1">
      <alignment horizontal="right" vertical="center"/>
    </xf>
    <xf numFmtId="8" fontId="53" fillId="2" borderId="34" xfId="0" applyNumberFormat="1" applyFont="1" applyFill="1" applyBorder="1" applyAlignment="1">
      <alignment horizontal="right" vertical="center"/>
    </xf>
    <xf numFmtId="8" fontId="53" fillId="53" borderId="34" xfId="0" applyNumberFormat="1" applyFont="1" applyFill="1" applyBorder="1" applyAlignment="1">
      <alignment horizontal="right" vertical="center"/>
    </xf>
    <xf numFmtId="8" fontId="0" fillId="0" borderId="0" xfId="0" applyNumberFormat="1"/>
    <xf numFmtId="173" fontId="0" fillId="0" borderId="0" xfId="0" applyNumberFormat="1"/>
    <xf numFmtId="0" fontId="55" fillId="0" borderId="0" xfId="0" applyFont="1" applyAlignment="1">
      <alignment horizontal="left" vertical="center"/>
    </xf>
    <xf numFmtId="164" fontId="55" fillId="0" borderId="0" xfId="0" applyNumberFormat="1" applyFont="1" applyAlignment="1">
      <alignment horizontal="left" vertical="center"/>
    </xf>
    <xf numFmtId="164" fontId="48" fillId="0" borderId="0" xfId="0" applyNumberFormat="1" applyFont="1" applyAlignment="1" applyProtection="1">
      <alignment horizontal="right" vertical="center"/>
    </xf>
    <xf numFmtId="164" fontId="56" fillId="0" borderId="0" xfId="0" applyNumberFormat="1" applyFont="1" applyAlignment="1" applyProtection="1">
      <alignment horizontal="right" vertical="center"/>
    </xf>
    <xf numFmtId="0" fontId="0" fillId="0" borderId="39" xfId="0" applyBorder="1"/>
    <xf numFmtId="0" fontId="0" fillId="0" borderId="41" xfId="0" applyBorder="1"/>
    <xf numFmtId="0" fontId="0" fillId="0" borderId="40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30" fillId="0" borderId="0" xfId="0" applyFont="1" applyBorder="1" applyAlignment="1">
      <alignment horizontal="left" vertical="center"/>
    </xf>
    <xf numFmtId="0" fontId="55" fillId="0" borderId="0" xfId="0" applyFont="1" applyBorder="1" applyAlignment="1">
      <alignment horizontal="right" vertical="center"/>
    </xf>
    <xf numFmtId="171" fontId="31" fillId="0" borderId="0" xfId="0" applyNumberFormat="1" applyFont="1" applyBorder="1" applyAlignment="1">
      <alignment horizontal="left" vertical="center"/>
    </xf>
    <xf numFmtId="0" fontId="61" fillId="0" borderId="0" xfId="0" applyFont="1" applyBorder="1" applyAlignment="1">
      <alignment horizontal="center" vertical="center"/>
    </xf>
    <xf numFmtId="171" fontId="61" fillId="0" borderId="0" xfId="0" applyNumberFormat="1" applyFont="1" applyBorder="1" applyAlignment="1">
      <alignment horizontal="center" vertical="center"/>
    </xf>
    <xf numFmtId="0" fontId="62" fillId="0" borderId="0" xfId="0" applyFont="1" applyBorder="1" applyAlignment="1">
      <alignment horizontal="center"/>
    </xf>
    <xf numFmtId="168" fontId="61" fillId="0" borderId="0" xfId="0" applyNumberFormat="1" applyFont="1" applyBorder="1" applyAlignment="1">
      <alignment horizontal="center" vertical="center"/>
    </xf>
    <xf numFmtId="0" fontId="62" fillId="0" borderId="0" xfId="0" applyFont="1" applyFill="1" applyBorder="1" applyAlignment="1">
      <alignment horizontal="center"/>
    </xf>
    <xf numFmtId="9" fontId="57" fillId="0" borderId="0" xfId="0" applyNumberFormat="1" applyFont="1" applyBorder="1" applyAlignment="1">
      <alignment horizontal="center" vertical="center"/>
    </xf>
    <xf numFmtId="9" fontId="63" fillId="0" borderId="0" xfId="0" applyNumberFormat="1" applyFont="1" applyBorder="1" applyAlignment="1">
      <alignment horizontal="center" vertical="center"/>
    </xf>
    <xf numFmtId="0" fontId="59" fillId="0" borderId="0" xfId="0" applyFont="1" applyAlignment="1">
      <alignment horizontal="left" vertical="center"/>
    </xf>
    <xf numFmtId="0" fontId="0" fillId="0" borderId="38" xfId="0" applyBorder="1"/>
    <xf numFmtId="0" fontId="58" fillId="0" borderId="38" xfId="0" applyFont="1" applyBorder="1" applyAlignment="1">
      <alignment horizontal="left" vertical="center"/>
    </xf>
    <xf numFmtId="0" fontId="0" fillId="48" borderId="0" xfId="0" applyFill="1"/>
    <xf numFmtId="164" fontId="55" fillId="48" borderId="0" xfId="0" applyNumberFormat="1" applyFont="1" applyFill="1" applyAlignment="1">
      <alignment horizontal="left" vertical="center"/>
    </xf>
    <xf numFmtId="0" fontId="0" fillId="55" borderId="47" xfId="0" applyFill="1" applyBorder="1"/>
    <xf numFmtId="0" fontId="55" fillId="0" borderId="0" xfId="0" applyFont="1" applyAlignment="1" applyProtection="1">
      <alignment horizontal="left" vertical="center"/>
    </xf>
    <xf numFmtId="0" fontId="64" fillId="0" borderId="0" xfId="0" applyFont="1" applyAlignment="1">
      <alignment horizontal="left" vertical="center"/>
    </xf>
    <xf numFmtId="164" fontId="64" fillId="48" borderId="0" xfId="0" applyNumberFormat="1" applyFont="1" applyFill="1" applyAlignment="1">
      <alignment horizontal="left" vertical="center"/>
    </xf>
    <xf numFmtId="164" fontId="64" fillId="0" borderId="0" xfId="0" applyNumberFormat="1" applyFont="1" applyAlignment="1">
      <alignment horizontal="left" vertical="center"/>
    </xf>
    <xf numFmtId="0" fontId="31" fillId="0" borderId="0" xfId="0" applyFont="1" applyAlignment="1" applyProtection="1">
      <alignment horizontal="left" vertical="center"/>
    </xf>
    <xf numFmtId="0" fontId="31" fillId="0" borderId="0" xfId="0" applyFont="1" applyBorder="1" applyAlignment="1" applyProtection="1">
      <alignment horizontal="right" vertical="center"/>
    </xf>
    <xf numFmtId="164" fontId="60" fillId="0" borderId="0" xfId="0" applyNumberFormat="1" applyFont="1" applyBorder="1" applyAlignment="1" applyProtection="1">
      <alignment horizontal="left" vertical="center"/>
    </xf>
    <xf numFmtId="164" fontId="30" fillId="0" borderId="0" xfId="0" applyNumberFormat="1" applyFont="1" applyBorder="1" applyAlignment="1" applyProtection="1">
      <alignment horizontal="left" vertical="center"/>
    </xf>
    <xf numFmtId="164" fontId="58" fillId="0" borderId="38" xfId="0" applyNumberFormat="1" applyFont="1" applyBorder="1" applyAlignment="1" applyProtection="1">
      <alignment horizontal="right" vertical="center"/>
    </xf>
    <xf numFmtId="0" fontId="31" fillId="0" borderId="0" xfId="0" applyFont="1" applyBorder="1" applyAlignment="1" applyProtection="1">
      <alignment horizontal="left" vertical="center"/>
    </xf>
    <xf numFmtId="164" fontId="55" fillId="0" borderId="0" xfId="0" applyNumberFormat="1" applyFont="1" applyAlignment="1" applyProtection="1">
      <alignment horizontal="right" vertical="center"/>
    </xf>
    <xf numFmtId="0" fontId="54" fillId="53" borderId="0" xfId="0" applyFont="1" applyFill="1" applyBorder="1" applyAlignment="1">
      <alignment vertical="top" wrapText="1"/>
    </xf>
    <xf numFmtId="0" fontId="64" fillId="0" borderId="0" xfId="0" applyNumberFormat="1" applyFont="1" applyAlignment="1">
      <alignment horizontal="left" vertical="center"/>
    </xf>
    <xf numFmtId="0" fontId="4" fillId="4" borderId="0" xfId="0" applyFont="1" applyFill="1" applyAlignment="1">
      <alignment wrapText="1"/>
    </xf>
    <xf numFmtId="0" fontId="0" fillId="0" borderId="0" xfId="0" applyAlignment="1">
      <alignment wrapText="1"/>
    </xf>
    <xf numFmtId="172" fontId="7" fillId="14" borderId="15" xfId="0" applyNumberFormat="1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7" fillId="4" borderId="0" xfId="0" applyFont="1" applyFill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4" borderId="0" xfId="0" applyFill="1" applyAlignment="1">
      <alignment wrapText="1"/>
    </xf>
    <xf numFmtId="0" fontId="22" fillId="4" borderId="0" xfId="0" applyFont="1" applyFill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29" fillId="0" borderId="0" xfId="0" applyFont="1" applyAlignment="1" applyProtection="1">
      <alignment horizontal="left" vertical="center"/>
      <protection locked="0"/>
    </xf>
    <xf numFmtId="0" fontId="30" fillId="0" borderId="19" xfId="0" applyFont="1" applyBorder="1" applyAlignment="1" applyProtection="1">
      <alignment horizontal="left" vertical="center" wrapText="1"/>
      <protection locked="0"/>
    </xf>
    <xf numFmtId="0" fontId="30" fillId="16" borderId="0" xfId="0" applyFont="1" applyFill="1" applyAlignment="1" applyProtection="1">
      <alignment horizontal="left" indent="1"/>
      <protection locked="0"/>
    </xf>
    <xf numFmtId="0" fontId="31" fillId="16" borderId="20" xfId="0" applyFont="1" applyFill="1" applyBorder="1" applyAlignment="1" applyProtection="1">
      <alignment horizontal="left" vertical="center" wrapText="1" indent="1"/>
      <protection locked="0"/>
    </xf>
    <xf numFmtId="0" fontId="0" fillId="0" borderId="38" xfId="0" applyBorder="1"/>
    <xf numFmtId="0" fontId="31" fillId="0" borderId="0" xfId="0" applyFont="1" applyAlignment="1" applyProtection="1">
      <alignment horizontal="left" vertical="center"/>
    </xf>
    <xf numFmtId="0" fontId="59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0" fillId="54" borderId="0" xfId="0" applyFont="1" applyFill="1" applyAlignment="1">
      <alignment horizontal="left" vertical="center"/>
    </xf>
    <xf numFmtId="173" fontId="30" fillId="54" borderId="0" xfId="0" applyNumberFormat="1" applyFont="1" applyFill="1" applyAlignment="1">
      <alignment horizontal="center" vertical="center"/>
    </xf>
    <xf numFmtId="0" fontId="29" fillId="0" borderId="0" xfId="0" applyFont="1" applyAlignment="1" applyProtection="1">
      <alignment horizontal="left" vertical="center"/>
    </xf>
    <xf numFmtId="0" fontId="31" fillId="0" borderId="0" xfId="0" applyFont="1" applyAlignment="1">
      <alignment horizontal="left" vertical="center" wrapText="1"/>
    </xf>
    <xf numFmtId="0" fontId="55" fillId="0" borderId="0" xfId="0" applyFont="1" applyAlignment="1">
      <alignment horizontal="center" vertical="center"/>
    </xf>
    <xf numFmtId="0" fontId="0" fillId="0" borderId="37" xfId="0" applyBorder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2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1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158">
    <dxf>
      <font>
        <color rgb="FF757171"/>
      </font>
      <fill>
        <patternFill patternType="solid">
          <fgColor indexed="64"/>
          <bgColor rgb="FFF1F2F2"/>
        </patternFill>
      </fill>
    </dxf>
    <dxf>
      <fill>
        <patternFill patternType="solid">
          <fgColor indexed="64"/>
          <bgColor rgb="FFFFF0C5"/>
        </patternFill>
      </fill>
    </dxf>
    <dxf>
      <font>
        <b val="0"/>
        <sz val="11"/>
        <color rgb="FF595959"/>
        <name val="Calibri"/>
      </font>
      <numFmt numFmtId="164" formatCode="&quot;$&quot;#,##0.00"/>
      <alignment horizontal="right" vertical="center"/>
      <protection locked="1"/>
    </dxf>
    <dxf>
      <font>
        <b/>
        <sz val="11"/>
        <color rgb="FF0070C0"/>
        <name val="Calibri"/>
      </font>
      <numFmt numFmtId="164" formatCode="&quot;$&quot;#,##0.00"/>
      <alignment horizontal="right" vertical="center"/>
      <protection locked="1"/>
    </dxf>
    <dxf>
      <font>
        <b val="0"/>
        <sz val="11"/>
        <color rgb="FF595959"/>
        <name val="Calibri"/>
      </font>
      <numFmt numFmtId="164" formatCode="&quot;$&quot;#,##0.00"/>
      <alignment horizontal="right" vertical="center"/>
      <protection locked="1"/>
    </dxf>
    <dxf>
      <font>
        <b val="0"/>
        <sz val="11"/>
        <color rgb="FF000000"/>
        <name val="Calibri"/>
      </font>
      <alignment horizontal="left" vertical="center"/>
      <protection locked="1"/>
    </dxf>
    <dxf>
      <font>
        <color rgb="FFB02318"/>
      </font>
    </dxf>
    <dxf>
      <font>
        <color rgb="FFB02318"/>
      </font>
    </dxf>
    <dxf>
      <font>
        <color rgb="FFB02318"/>
      </font>
    </dxf>
    <dxf>
      <font>
        <color rgb="FFB02318"/>
      </font>
    </dxf>
    <dxf>
      <font>
        <color rgb="FFB02318"/>
      </font>
    </dxf>
    <dxf>
      <font>
        <color rgb="FFB02318"/>
      </font>
    </dxf>
    <dxf>
      <fill>
        <patternFill patternType="solid">
          <fgColor indexed="64"/>
          <bgColor rgb="FFFFF0C5"/>
        </patternFill>
      </fill>
    </dxf>
    <dxf>
      <font>
        <color rgb="FF595959"/>
      </font>
      <fill>
        <patternFill patternType="solid">
          <fgColor indexed="64"/>
          <bgColor rgb="FFF1F2F2"/>
        </patternFill>
      </fill>
    </dxf>
    <dxf>
      <font>
        <color rgb="FF595959"/>
      </font>
      <fill>
        <patternFill patternType="solid">
          <fgColor indexed="64"/>
          <bgColor rgb="FFF1F2F2"/>
        </patternFill>
      </fill>
    </dxf>
    <dxf>
      <fill>
        <patternFill patternType="solid">
          <fgColor indexed="64"/>
          <bgColor rgb="FFFFF0C5"/>
        </patternFill>
      </fill>
    </dxf>
    <dxf>
      <fill>
        <patternFill patternType="solid">
          <fgColor indexed="64"/>
          <bgColor rgb="FFFFF0C5"/>
        </patternFill>
      </fill>
    </dxf>
    <dxf>
      <fill>
        <patternFill patternType="solid">
          <fgColor indexed="64"/>
          <bgColor rgb="FFFFF0C5"/>
        </patternFill>
      </fill>
    </dxf>
    <dxf>
      <font>
        <color rgb="FF757171"/>
      </font>
      <fill>
        <patternFill patternType="solid">
          <fgColor indexed="64"/>
          <bgColor rgb="FFF1F2F2"/>
        </patternFill>
      </fill>
    </dxf>
    <dxf>
      <fill>
        <patternFill patternType="solid">
          <fgColor indexed="64"/>
          <bgColor rgb="FFFFF0C5"/>
        </patternFill>
      </fill>
    </dxf>
    <dxf>
      <fill>
        <patternFill patternType="solid">
          <fgColor indexed="64"/>
          <bgColor rgb="FFFFF0C5"/>
        </patternFill>
      </fill>
    </dxf>
    <dxf>
      <font>
        <color rgb="FF757171"/>
      </font>
      <fill>
        <patternFill patternType="solid">
          <fgColor indexed="64"/>
          <bgColor rgb="FFF1F2F2"/>
        </patternFill>
      </fill>
    </dxf>
    <dxf>
      <fill>
        <patternFill patternType="solid">
          <fgColor indexed="64"/>
          <bgColor rgb="FFFFF0C5"/>
        </patternFill>
      </fill>
    </dxf>
    <dxf>
      <fill>
        <patternFill patternType="solid">
          <fgColor indexed="64"/>
          <bgColor rgb="FFFFF0C5"/>
        </patternFill>
      </fill>
    </dxf>
    <dxf>
      <fill>
        <patternFill patternType="solid">
          <fgColor indexed="64"/>
          <bgColor rgb="FFFFF0C5"/>
        </patternFill>
      </fill>
    </dxf>
    <dxf>
      <border>
        <vertical/>
        <horizontal/>
      </border>
    </dxf>
    <dxf>
      <fill>
        <patternFill patternType="solid">
          <fgColor indexed="64"/>
          <bgColor rgb="FFFFF0C5"/>
        </patternFill>
      </fill>
    </dxf>
    <dxf>
      <border>
        <vertical/>
        <horizontal/>
      </border>
    </dxf>
    <dxf>
      <fill>
        <patternFill patternType="solid">
          <fgColor indexed="64"/>
          <bgColor rgb="FFFFF0C5"/>
        </patternFill>
      </fill>
    </dxf>
    <dxf>
      <border>
        <vertical/>
        <horizontal/>
      </border>
    </dxf>
    <dxf>
      <fill>
        <patternFill patternType="solid">
          <fgColor indexed="64"/>
          <bgColor rgb="FFFFF0C5"/>
        </patternFill>
      </fill>
    </dxf>
    <dxf>
      <border>
        <vertical/>
        <horizontal/>
      </border>
    </dxf>
    <dxf>
      <fill>
        <patternFill patternType="solid">
          <fgColor indexed="64"/>
          <bgColor rgb="FFFFF0C5"/>
        </patternFill>
      </fill>
    </dxf>
    <dxf>
      <fill>
        <patternFill patternType="solid">
          <fgColor indexed="64"/>
          <bgColor rgb="FFFFF0C5"/>
        </patternFill>
      </fill>
    </dxf>
    <dxf>
      <border>
        <vertical/>
        <horizontal/>
      </border>
    </dxf>
    <dxf>
      <fill>
        <patternFill patternType="solid">
          <fgColor indexed="64"/>
          <bgColor rgb="FFFFF0C5"/>
        </patternFill>
      </fill>
    </dxf>
    <dxf>
      <fill>
        <patternFill patternType="solid">
          <fgColor indexed="64"/>
          <bgColor rgb="FFFFF0C5"/>
        </patternFill>
      </fill>
    </dxf>
    <dxf>
      <border>
        <vertical/>
        <horizontal/>
      </border>
    </dxf>
    <dxf>
      <fill>
        <patternFill patternType="solid">
          <fgColor indexed="64"/>
          <bgColor rgb="FFFFF0C5"/>
        </patternFill>
      </fill>
    </dxf>
    <dxf>
      <fill>
        <patternFill patternType="solid">
          <fgColor indexed="64"/>
          <bgColor rgb="FFFFF0C5"/>
        </patternFill>
      </fill>
    </dxf>
    <dxf>
      <border>
        <vertical/>
        <horizontal/>
      </border>
    </dxf>
    <dxf>
      <fill>
        <patternFill patternType="solid">
          <fgColor indexed="64"/>
          <bgColor rgb="FFFFF0C5"/>
        </patternFill>
      </fill>
    </dxf>
    <dxf>
      <fill>
        <patternFill patternType="solid">
          <fgColor indexed="64"/>
          <bgColor rgb="FFFFF0C5"/>
        </patternFill>
      </fill>
    </dxf>
    <dxf>
      <border>
        <vertical/>
        <horizontal/>
      </border>
    </dxf>
    <dxf>
      <fill>
        <patternFill patternType="solid">
          <fgColor indexed="64"/>
          <bgColor rgb="FFFFF0C5"/>
        </patternFill>
      </fill>
    </dxf>
    <dxf>
      <fill>
        <patternFill patternType="solid">
          <fgColor indexed="64"/>
          <bgColor rgb="FFFFF0C5"/>
        </patternFill>
      </fill>
    </dxf>
    <dxf>
      <border>
        <vertical/>
        <horizontal/>
      </border>
    </dxf>
    <dxf>
      <fill>
        <patternFill patternType="solid">
          <fgColor indexed="64"/>
          <bgColor rgb="FFFFF0C5"/>
        </patternFill>
      </fill>
    </dxf>
    <dxf>
      <fill>
        <patternFill patternType="solid">
          <fgColor indexed="64"/>
          <bgColor rgb="FFFFF0C5"/>
        </patternFill>
      </fill>
    </dxf>
    <dxf>
      <border>
        <vertical/>
        <horizontal/>
      </border>
    </dxf>
    <dxf>
      <fill>
        <patternFill patternType="solid">
          <fgColor indexed="64"/>
          <bgColor rgb="FFFFF0C5"/>
        </patternFill>
      </fill>
    </dxf>
    <dxf>
      <fill>
        <patternFill patternType="solid">
          <fgColor indexed="64"/>
          <bgColor rgb="FFFFF0C5"/>
        </patternFill>
      </fill>
    </dxf>
    <dxf>
      <border>
        <vertical/>
        <horizontal/>
      </border>
    </dxf>
    <dxf>
      <fill>
        <patternFill patternType="solid">
          <fgColor indexed="64"/>
          <bgColor rgb="FFFFF0C5"/>
        </patternFill>
      </fill>
    </dxf>
    <dxf>
      <fill>
        <patternFill patternType="solid">
          <fgColor indexed="64"/>
          <bgColor rgb="FFFFF0C5"/>
        </patternFill>
      </fill>
    </dxf>
    <dxf>
      <border>
        <vertical/>
        <horizontal/>
      </border>
    </dxf>
    <dxf>
      <fill>
        <patternFill patternType="solid">
          <fgColor indexed="64"/>
          <bgColor rgb="FFFFF0C5"/>
        </patternFill>
      </fill>
    </dxf>
    <dxf>
      <fill>
        <patternFill patternType="solid">
          <fgColor indexed="64"/>
          <bgColor rgb="FFFFF0C5"/>
        </patternFill>
      </fill>
    </dxf>
    <dxf>
      <border>
        <vertical/>
        <horizontal/>
      </border>
    </dxf>
    <dxf>
      <fill>
        <patternFill patternType="solid">
          <fgColor indexed="64"/>
          <bgColor rgb="FFFFF0C5"/>
        </patternFill>
      </fill>
    </dxf>
    <dxf>
      <fill>
        <patternFill patternType="solid">
          <fgColor indexed="64"/>
          <bgColor rgb="FFFFF0C5"/>
        </patternFill>
      </fill>
    </dxf>
    <dxf>
      <border>
        <vertical/>
        <horizontal/>
      </border>
    </dxf>
    <dxf>
      <fill>
        <patternFill patternType="solid">
          <fgColor indexed="64"/>
          <bgColor rgb="FFFFF0C5"/>
        </patternFill>
      </fill>
    </dxf>
    <dxf>
      <fill>
        <patternFill patternType="solid">
          <fgColor indexed="64"/>
          <bgColor rgb="FFFFF0C5"/>
        </patternFill>
      </fill>
    </dxf>
    <dxf>
      <fill>
        <patternFill patternType="solid">
          <fgColor indexed="64"/>
          <bgColor rgb="FFFFF0C5"/>
        </patternFill>
      </fill>
    </dxf>
    <dxf>
      <fill>
        <patternFill patternType="solid">
          <fgColor indexed="64"/>
          <bgColor rgb="FFFFF0C5"/>
        </patternFill>
      </fill>
    </dxf>
    <dxf>
      <fill>
        <patternFill patternType="solid">
          <fgColor indexed="64"/>
          <bgColor rgb="FFFFF0C5"/>
        </patternFill>
      </fill>
    </dxf>
    <dxf>
      <border>
        <vertical/>
        <horizontal/>
      </border>
    </dxf>
    <dxf>
      <fill>
        <patternFill patternType="solid">
          <fgColor indexed="64"/>
          <bgColor rgb="FFFFF0C5"/>
        </patternFill>
      </fill>
    </dxf>
    <dxf>
      <fill>
        <patternFill patternType="solid">
          <fgColor indexed="64"/>
          <bgColor rgb="FFFFF0C5"/>
        </patternFill>
      </fill>
    </dxf>
    <dxf>
      <fill>
        <patternFill patternType="solid">
          <fgColor indexed="64"/>
          <bgColor rgb="FFFFF0C5"/>
        </patternFill>
      </fill>
    </dxf>
    <dxf>
      <border>
        <vertical/>
        <horizontal/>
      </border>
    </dxf>
    <dxf>
      <fill>
        <patternFill patternType="solid">
          <fgColor indexed="64"/>
          <bgColor rgb="FFFFF0C5"/>
        </patternFill>
      </fill>
    </dxf>
    <dxf>
      <fill>
        <patternFill patternType="solid">
          <fgColor indexed="64"/>
          <bgColor rgb="FFFFF0C5"/>
        </patternFill>
      </fill>
    </dxf>
    <dxf>
      <border>
        <vertical/>
        <horizontal/>
      </border>
    </dxf>
    <dxf>
      <fill>
        <patternFill patternType="solid">
          <fgColor indexed="64"/>
          <bgColor rgb="FFFFF0C5"/>
        </patternFill>
      </fill>
    </dxf>
    <dxf>
      <fill>
        <patternFill patternType="solid">
          <fgColor indexed="64"/>
          <bgColor rgb="FFFFF0C5"/>
        </patternFill>
      </fill>
    </dxf>
    <dxf>
      <border>
        <vertical/>
        <horizontal/>
      </border>
    </dxf>
    <dxf>
      <fill>
        <patternFill patternType="solid">
          <fgColor indexed="64"/>
          <bgColor rgb="FFFFF0C5"/>
        </patternFill>
      </fill>
    </dxf>
    <dxf>
      <fill>
        <patternFill patternType="solid">
          <fgColor indexed="64"/>
          <bgColor rgb="FFFFF0C5"/>
        </patternFill>
      </fill>
    </dxf>
    <dxf>
      <border>
        <vertical/>
        <horizontal/>
      </border>
    </dxf>
    <dxf>
      <fill>
        <patternFill patternType="solid">
          <fgColor indexed="64"/>
          <bgColor rgb="FFFFF0C5"/>
        </patternFill>
      </fill>
    </dxf>
    <dxf>
      <fill>
        <patternFill patternType="solid">
          <fgColor indexed="64"/>
          <bgColor rgb="FFFFF0C5"/>
        </patternFill>
      </fill>
    </dxf>
    <dxf>
      <border>
        <vertical/>
        <horizontal/>
      </border>
    </dxf>
    <dxf>
      <fill>
        <patternFill patternType="solid">
          <fgColor indexed="64"/>
          <bgColor rgb="FFFFF0C5"/>
        </patternFill>
      </fill>
    </dxf>
    <dxf>
      <fill>
        <patternFill patternType="solid">
          <fgColor indexed="64"/>
          <bgColor rgb="FFFFF0C5"/>
        </patternFill>
      </fill>
    </dxf>
    <dxf>
      <border>
        <vertical/>
        <horizontal/>
      </border>
    </dxf>
    <dxf>
      <fill>
        <patternFill patternType="solid">
          <fgColor indexed="64"/>
          <bgColor rgb="FFFFF0C5"/>
        </patternFill>
      </fill>
    </dxf>
    <dxf>
      <fill>
        <patternFill patternType="solid">
          <fgColor indexed="64"/>
          <bgColor rgb="FFFFF0C5"/>
        </patternFill>
      </fill>
    </dxf>
    <dxf>
      <border>
        <vertical/>
        <horizontal/>
      </border>
    </dxf>
    <dxf>
      <fill>
        <patternFill patternType="solid">
          <fgColor indexed="64"/>
          <bgColor rgb="FFFFF0C5"/>
        </patternFill>
      </fill>
    </dxf>
    <dxf>
      <fill>
        <patternFill patternType="solid">
          <fgColor indexed="64"/>
          <bgColor rgb="FFFFF0C5"/>
        </patternFill>
      </fill>
    </dxf>
    <dxf>
      <border>
        <vertical/>
        <horizontal/>
      </border>
    </dxf>
    <dxf>
      <fill>
        <patternFill patternType="solid">
          <fgColor indexed="64"/>
          <bgColor rgb="FFFFF0C5"/>
        </patternFill>
      </fill>
    </dxf>
    <dxf>
      <fill>
        <patternFill patternType="solid">
          <fgColor indexed="64"/>
          <bgColor rgb="FFFFF0C5"/>
        </patternFill>
      </fill>
    </dxf>
    <dxf>
      <border>
        <vertical/>
        <horizontal/>
      </border>
    </dxf>
    <dxf>
      <fill>
        <patternFill patternType="solid">
          <fgColor indexed="64"/>
          <bgColor rgb="FFFFF0C5"/>
        </patternFill>
      </fill>
    </dxf>
    <dxf>
      <font>
        <color rgb="FF45CD86"/>
      </font>
    </dxf>
    <dxf>
      <font>
        <color theme="0"/>
      </font>
    </dxf>
    <dxf>
      <fill>
        <patternFill>
          <bgColor theme="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ED7D31"/>
      </font>
    </dxf>
    <dxf>
      <font>
        <color rgb="FF45CD86"/>
      </font>
    </dxf>
    <dxf>
      <protection locked="0"/>
    </dxf>
    <dxf>
      <alignment vertical="center"/>
      <protection locked="0"/>
    </dxf>
    <dxf>
      <numFmt numFmtId="0" formatCode="General"/>
      <alignment horizontal="general" vertical="center" textRotation="0" wrapText="0" indent="0" justifyLastLine="0" shrinkToFit="0" readingOrder="0"/>
      <protection locked="0" hidden="0"/>
    </dxf>
    <dxf>
      <alignment indent="1"/>
      <protection locked="0"/>
    </dxf>
    <dxf>
      <alignment indent="1"/>
      <border diagonalUp="0" diagonalDown="0">
        <left/>
        <right style="thin">
          <color rgb="FFA6A6A6"/>
        </right>
        <top/>
        <bottom/>
        <vertical/>
        <horizontal/>
      </border>
      <protection locked="0"/>
    </dxf>
    <dxf>
      <protection locked="0"/>
    </dxf>
    <dxf>
      <protection locked="0"/>
    </dxf>
    <dxf>
      <alignment vertical="center"/>
      <protection locked="0"/>
    </dxf>
    <dxf>
      <protection locked="0"/>
    </dxf>
    <dxf>
      <alignment indent="1"/>
      <protection locked="0"/>
    </dxf>
    <dxf>
      <alignment indent="1"/>
      <border diagonalUp="0" diagonalDown="0">
        <left/>
        <right style="thin">
          <color rgb="FFA6A6A6"/>
        </right>
        <top/>
        <bottom/>
        <vertical/>
        <horizontal/>
      </border>
      <protection locked="0"/>
    </dxf>
    <dxf>
      <protection locked="0"/>
    </dxf>
    <dxf>
      <font>
        <b val="0"/>
        <sz val="9"/>
        <name val="Calibri"/>
      </font>
      <numFmt numFmtId="0" formatCode="General"/>
    </dxf>
    <dxf>
      <font>
        <b val="0"/>
        <sz val="9"/>
        <name val="Calibri"/>
      </font>
      <numFmt numFmtId="0" formatCode="General"/>
    </dxf>
    <dxf>
      <font>
        <b val="0"/>
        <sz val="9"/>
        <name val="Calibri"/>
      </font>
      <numFmt numFmtId="164" formatCode="&quot;$&quot;#,##0.00"/>
    </dxf>
    <dxf>
      <font>
        <b val="0"/>
        <sz val="9"/>
        <name val="Calibri"/>
      </font>
      <numFmt numFmtId="164" formatCode="&quot;$&quot;#,##0.00"/>
    </dxf>
    <dxf>
      <font>
        <b val="0"/>
        <sz val="9"/>
        <name val="Calibri"/>
      </font>
      <numFmt numFmtId="164" formatCode="&quot;$&quot;#,##0.00"/>
    </dxf>
    <dxf>
      <font>
        <b val="0"/>
        <sz val="9"/>
        <name val="Calibri"/>
      </font>
    </dxf>
    <dxf>
      <font>
        <b/>
        <color rgb="FF000000"/>
      </font>
      <alignment horizontal="left" vertical="center"/>
    </dxf>
    <dxf>
      <numFmt numFmtId="30" formatCode="@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8" formatCode="[$-409]mmm\-yy;@"/>
      <fill>
        <patternFill patternType="none">
          <fgColor indexed="64"/>
          <bgColor indexed="65"/>
        </patternFill>
      </fill>
      <alignment horizontal="left" textRotation="0" wrapText="0" indent="0" justifyLastLine="0" shrinkToFit="0" readingOrder="0"/>
      <protection locked="1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  <protection locked="1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  <protection locked="1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  <protection locked="1"/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  <protection locked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name val="Calibri"/>
        <family val="2"/>
        <scheme val="minor"/>
      </font>
      <alignment horizontal="left" textRotation="0" wrapText="0" indent="0" justifyLastLine="0" shrinkToFit="0" readingOrder="0"/>
      <protection locked="1"/>
    </dxf>
    <dxf>
      <font>
        <b val="0"/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protection locked="1"/>
    </dxf>
    <dxf>
      <font>
        <b val="0"/>
        <strike val="0"/>
        <outline val="0"/>
        <shadow val="0"/>
        <u val="none"/>
        <vertAlign val="baseline"/>
        <name val="Calibri"/>
        <family val="2"/>
        <scheme val="minor"/>
      </font>
      <numFmt numFmtId="167" formatCode="0000"/>
      <alignment horizontal="left" vertical="bottom" textRotation="0" wrapText="0" indent="0" justifyLastLine="0" shrinkToFit="0" readingOrder="0"/>
      <protection locked="1"/>
    </dxf>
    <dxf>
      <font>
        <b val="0"/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  <protection locked="1"/>
    </dxf>
    <dxf>
      <font>
        <b/>
        <strike val="0"/>
        <outline val="0"/>
        <shadow val="0"/>
        <u val="none"/>
        <vertAlign val="baseline"/>
        <name val="Calibri"/>
        <family val="2"/>
        <scheme val="minor"/>
      </font>
      <protection locked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078CD"/>
        <name val="Calibri"/>
        <family val="2"/>
        <scheme val="minor"/>
      </font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rgb="FF3078CD"/>
        <name val="Calibri"/>
        <family val="2"/>
        <scheme val="minor"/>
      </font>
      <protection locked="0"/>
    </dxf>
    <dxf>
      <font>
        <strike val="0"/>
        <outline val="0"/>
        <shadow val="0"/>
        <u val="none"/>
        <vertAlign val="baseline"/>
        <sz val="11"/>
        <color rgb="FF3078CD"/>
        <name val="Calibri"/>
        <family val="2"/>
        <scheme val="minor"/>
      </font>
      <protection locked="0"/>
    </dxf>
    <dxf>
      <font>
        <b val="0"/>
        <strike val="0"/>
        <outline val="0"/>
        <shadow val="0"/>
        <u val="none"/>
        <vertAlign val="baseline"/>
        <name val="Calibri"/>
        <family val="2"/>
        <scheme val="minor"/>
      </font>
      <numFmt numFmtId="19" formatCode="m/d/yyyy"/>
      <alignment horizontal="left" vertical="bottom" textRotation="0" wrapText="0" indent="0" justifyLastLine="0" shrinkToFit="0" readingOrder="0"/>
      <protection locked="1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outline="0">
        <left style="thin">
          <color rgb="FF757171"/>
        </left>
        <right style="thin">
          <color rgb="FF757171"/>
        </right>
        <top/>
        <bottom/>
      </border>
    </dxf>
    <dxf>
      <font>
        <color theme="1" tint="0.24994659260841701"/>
      </font>
      <fill>
        <patternFill>
          <bgColor rgb="FFF2F2F2"/>
        </patternFill>
      </fill>
    </dxf>
    <dxf>
      <font>
        <color theme="1" tint="0.24994659260841701"/>
      </font>
    </dxf>
    <dxf>
      <font>
        <b/>
        <i val="0"/>
        <color theme="1" tint="0.24994659260841701"/>
      </font>
      <fill>
        <patternFill>
          <bgColor rgb="FFD9D9D9"/>
        </patternFill>
      </fill>
    </dxf>
    <dxf>
      <font>
        <color theme="1" tint="0.24994659260841701"/>
      </font>
      <border>
        <bottom style="medium">
          <color auto="1"/>
        </bottom>
      </border>
    </dxf>
  </dxfs>
  <tableStyles count="1" defaultTableStyle="TableStyleMedium2" defaultPivotStyle="PivotStyleLight16">
    <tableStyle name="Money" pivot="0" count="4" xr9:uid="{6228888A-2780-43A9-88A7-521EB3AA6695}">
      <tableStyleElement type="wholeTable" dxfId="157"/>
      <tableStyleElement type="headerRow" dxfId="156"/>
      <tableStyleElement type="firstRowStripe" dxfId="155"/>
      <tableStyleElement type="secondRowStripe" dxfId="154"/>
    </tableStyle>
  </tableStyles>
  <colors>
    <mruColors>
      <color rgb="FF96A6AA"/>
      <color rgb="FF3078CD"/>
      <color rgb="FF45CD86"/>
      <color rgb="FF75ADF0"/>
      <color rgb="FFC9DFFA"/>
      <color rgb="FFD9D9D9"/>
      <color rgb="FFB9D272"/>
      <color rgb="FF668A95"/>
      <color rgb="FFF3AD59"/>
      <color rgb="FF33A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5CD8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6A6A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147-4A4C-8379-B8608511BA9D}"/>
              </c:ext>
            </c:extLst>
          </c:dPt>
          <c:dPt>
            <c:idx val="1"/>
            <c:invertIfNegative val="0"/>
            <c:bubble3D val="0"/>
            <c:spPr>
              <a:solidFill>
                <a:srgbClr val="3078C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2147-4A4C-8379-B8608511BA9D}"/>
              </c:ext>
            </c:extLst>
          </c:dPt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Snapshot!$Y$7:$Y$8</c:f>
              <c:strCache>
                <c:ptCount val="2"/>
                <c:pt idx="0">
                  <c:v>December</c:v>
                </c:pt>
                <c:pt idx="1">
                  <c:v>January</c:v>
                </c:pt>
              </c:strCache>
            </c:strRef>
          </c:cat>
          <c:val>
            <c:numRef>
              <c:f>Snapshot!$Z$7:$Z$8</c:f>
              <c:numCache>
                <c:formatCode>"$"#,##0</c:formatCode>
                <c:ptCount val="2"/>
                <c:pt idx="0">
                  <c:v>-177.54999999999978</c:v>
                </c:pt>
                <c:pt idx="1">
                  <c:v>-50.900000000000226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3C-4646-85C8-B43ECEDFDB6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2140615712"/>
        <c:axId val="1714516704"/>
      </c:barChart>
      <c:catAx>
        <c:axId val="214061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14516704"/>
        <c:crosses val="autoZero"/>
        <c:auto val="1"/>
        <c:lblAlgn val="ctr"/>
        <c:lblOffset val="100"/>
        <c:noMultiLvlLbl val="1"/>
      </c:catAx>
      <c:valAx>
        <c:axId val="1714516704"/>
        <c:scaling>
          <c:orientation val="minMax"/>
        </c:scaling>
        <c:delete val="1"/>
        <c:axPos val="l"/>
        <c:numFmt formatCode="&quot;$&quot;#,##0" sourceLinked="1"/>
        <c:majorTickMark val="none"/>
        <c:minorTickMark val="none"/>
        <c:tickLblPos val="nextTo"/>
        <c:crossAx val="2140615712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noFill/>
      <a:round/>
    </a:ln>
    <a:effectLst/>
  </c:spPr>
  <c:txPr>
    <a:bodyPr/>
    <a:lstStyle/>
    <a:p>
      <a:pPr>
        <a:defRPr>
          <a:latin typeface="+mn-lt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916705406325925E-2"/>
          <c:y val="4.8958988406005077E-3"/>
          <c:w val="0.80579227002812803"/>
          <c:h val="0.96963679102250011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1D4E8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171-4877-9346-4178E7D4C2A5}"/>
              </c:ext>
            </c:extLst>
          </c:dPt>
          <c:dPt>
            <c:idx val="1"/>
            <c:bubble3D val="0"/>
            <c:spPr>
              <a:solidFill>
                <a:srgbClr val="33A8B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171-4877-9346-4178E7D4C2A5}"/>
              </c:ext>
            </c:extLst>
          </c:dPt>
          <c:dPt>
            <c:idx val="2"/>
            <c:bubble3D val="0"/>
            <c:spPr>
              <a:solidFill>
                <a:srgbClr val="3078C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171-4877-9346-4178E7D4C2A5}"/>
              </c:ext>
            </c:extLst>
          </c:dPt>
          <c:dPt>
            <c:idx val="3"/>
            <c:bubble3D val="0"/>
            <c:spPr>
              <a:solidFill>
                <a:srgbClr val="F3AD5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171-4877-9346-4178E7D4C2A5}"/>
              </c:ext>
            </c:extLst>
          </c:dPt>
          <c:dPt>
            <c:idx val="4"/>
            <c:bubble3D val="0"/>
            <c:spPr>
              <a:solidFill>
                <a:srgbClr val="668A9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171-4877-9346-4178E7D4C2A5}"/>
              </c:ext>
            </c:extLst>
          </c:dPt>
          <c:dPt>
            <c:idx val="5"/>
            <c:bubble3D val="0"/>
            <c:spPr>
              <a:solidFill>
                <a:srgbClr val="B9D27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171-4877-9346-4178E7D4C2A5}"/>
              </c:ext>
            </c:extLst>
          </c:dPt>
          <c:dLbls>
            <c:delete val="1"/>
          </c:dLbls>
          <c:cat>
            <c:strRef>
              <c:f>Snapshot!$AG$6:$AG$11</c:f>
              <c:strCache>
                <c:ptCount val="6"/>
                <c:pt idx="0">
                  <c:v>Home</c:v>
                </c:pt>
                <c:pt idx="1">
                  <c:v>Restaurants/Dining</c:v>
                </c:pt>
                <c:pt idx="2">
                  <c:v>Shopping</c:v>
                </c:pt>
                <c:pt idx="3">
                  <c:v>Payment</c:v>
                </c:pt>
                <c:pt idx="5">
                  <c:v>All Other Categories</c:v>
                </c:pt>
              </c:strCache>
            </c:strRef>
          </c:cat>
          <c:val>
            <c:numRef>
              <c:f>Snapshot!$AH$6:$AH$11</c:f>
              <c:numCache>
                <c:formatCode>_([$$-409]* #,##0_);_([$$-409]* \(#,##0\);_([$$-409]* "-"??_);_(@_)</c:formatCode>
                <c:ptCount val="6"/>
                <c:pt idx="0">
                  <c:v>485</c:v>
                </c:pt>
                <c:pt idx="1">
                  <c:v>88.02</c:v>
                </c:pt>
                <c:pt idx="2">
                  <c:v>37.81</c:v>
                </c:pt>
                <c:pt idx="3">
                  <c:v>10</c:v>
                </c:pt>
                <c:pt idx="4">
                  <c:v>0</c:v>
                </c:pt>
                <c:pt idx="5">
                  <c:v>-671.7299999999999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171-4877-9346-4178E7D4C2A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19050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777191337166094E-2"/>
          <c:y val="5.8818873237538989E-2"/>
          <c:w val="0.90139033187959261"/>
          <c:h val="0.70032731418793748"/>
        </c:manualLayout>
      </c:layout>
      <c:lineChart>
        <c:grouping val="standard"/>
        <c:varyColors val="0"/>
        <c:ser>
          <c:idx val="0"/>
          <c:order val="0"/>
          <c:tx>
            <c:strRef>
              <c:f>Snapshot!$AM$4</c:f>
              <c:strCache>
                <c:ptCount val="1"/>
                <c:pt idx="0">
                  <c:v>January Spending</c:v>
                </c:pt>
              </c:strCache>
            </c:strRef>
          </c:tx>
          <c:spPr>
            <a:ln w="28575" cap="rnd">
              <a:solidFill>
                <a:srgbClr val="3078CD"/>
              </a:solidFill>
              <a:round/>
            </a:ln>
            <a:effectLst/>
          </c:spPr>
          <c:marker>
            <c:symbol val="none"/>
          </c:marker>
          <c:cat>
            <c:numRef>
              <c:f>Snapshot!$AJ$6:$AJ$36</c:f>
              <c:numCache>
                <c:formatCode>m/d/yyyy</c:formatCode>
                <c:ptCount val="31"/>
                <c:pt idx="0">
                  <c:v>36526</c:v>
                </c:pt>
                <c:pt idx="1">
                  <c:v>36527</c:v>
                </c:pt>
                <c:pt idx="2">
                  <c:v>36528</c:v>
                </c:pt>
                <c:pt idx="3">
                  <c:v>36529</c:v>
                </c:pt>
                <c:pt idx="4">
                  <c:v>36530</c:v>
                </c:pt>
                <c:pt idx="5">
                  <c:v>36531</c:v>
                </c:pt>
                <c:pt idx="6">
                  <c:v>36532</c:v>
                </c:pt>
                <c:pt idx="7">
                  <c:v>36533</c:v>
                </c:pt>
                <c:pt idx="8">
                  <c:v>36534</c:v>
                </c:pt>
                <c:pt idx="9">
                  <c:v>36535</c:v>
                </c:pt>
                <c:pt idx="10">
                  <c:v>36536</c:v>
                </c:pt>
                <c:pt idx="11">
                  <c:v>36537</c:v>
                </c:pt>
                <c:pt idx="12">
                  <c:v>36538</c:v>
                </c:pt>
                <c:pt idx="13">
                  <c:v>36539</c:v>
                </c:pt>
                <c:pt idx="14">
                  <c:v>36540</c:v>
                </c:pt>
                <c:pt idx="15">
                  <c:v>36541</c:v>
                </c:pt>
                <c:pt idx="16">
                  <c:v>36542</c:v>
                </c:pt>
                <c:pt idx="17">
                  <c:v>36543</c:v>
                </c:pt>
                <c:pt idx="18">
                  <c:v>36544</c:v>
                </c:pt>
                <c:pt idx="19">
                  <c:v>36545</c:v>
                </c:pt>
                <c:pt idx="20">
                  <c:v>36546</c:v>
                </c:pt>
                <c:pt idx="21">
                  <c:v>36547</c:v>
                </c:pt>
                <c:pt idx="22">
                  <c:v>36548</c:v>
                </c:pt>
                <c:pt idx="23">
                  <c:v>36549</c:v>
                </c:pt>
                <c:pt idx="24">
                  <c:v>36550</c:v>
                </c:pt>
                <c:pt idx="25">
                  <c:v>36551</c:v>
                </c:pt>
                <c:pt idx="26">
                  <c:v>36552</c:v>
                </c:pt>
                <c:pt idx="27">
                  <c:v>36553</c:v>
                </c:pt>
                <c:pt idx="28">
                  <c:v>36554</c:v>
                </c:pt>
                <c:pt idx="29">
                  <c:v>36555</c:v>
                </c:pt>
                <c:pt idx="30">
                  <c:v>36556</c:v>
                </c:pt>
              </c:numCache>
            </c:numRef>
          </c:cat>
          <c:val>
            <c:numRef>
              <c:f>Snapshot!$AM$6:$AM$36</c:f>
              <c:numCache>
                <c:formatCode>"$"#,##0_);[Red]\("$"#,##0\)</c:formatCode>
                <c:ptCount val="31"/>
                <c:pt idx="0">
                  <c:v>102.83999999999999</c:v>
                </c:pt>
                <c:pt idx="1">
                  <c:v>-1929.15</c:v>
                </c:pt>
                <c:pt idx="2">
                  <c:v>-50.900000000000318</c:v>
                </c:pt>
                <c:pt idx="3">
                  <c:v>-50.900000000000318</c:v>
                </c:pt>
                <c:pt idx="4">
                  <c:v>-50.900000000000318</c:v>
                </c:pt>
                <c:pt idx="5">
                  <c:v>-50.900000000000318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8B-4D69-8A8E-9D43558EF6A5}"/>
            </c:ext>
          </c:extLst>
        </c:ser>
        <c:ser>
          <c:idx val="1"/>
          <c:order val="1"/>
          <c:tx>
            <c:strRef>
              <c:f>Snapshot!$AQ$4</c:f>
              <c:strCache>
                <c:ptCount val="1"/>
                <c:pt idx="0">
                  <c:v>December Spending</c:v>
                </c:pt>
              </c:strCache>
            </c:strRef>
          </c:tx>
          <c:spPr>
            <a:ln w="28575" cap="rnd">
              <a:solidFill>
                <a:srgbClr val="96A6AA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Snapshot!$AJ$6:$AJ$36</c:f>
              <c:numCache>
                <c:formatCode>m/d/yyyy</c:formatCode>
                <c:ptCount val="31"/>
                <c:pt idx="0">
                  <c:v>36526</c:v>
                </c:pt>
                <c:pt idx="1">
                  <c:v>36527</c:v>
                </c:pt>
                <c:pt idx="2">
                  <c:v>36528</c:v>
                </c:pt>
                <c:pt idx="3">
                  <c:v>36529</c:v>
                </c:pt>
                <c:pt idx="4">
                  <c:v>36530</c:v>
                </c:pt>
                <c:pt idx="5">
                  <c:v>36531</c:v>
                </c:pt>
                <c:pt idx="6">
                  <c:v>36532</c:v>
                </c:pt>
                <c:pt idx="7">
                  <c:v>36533</c:v>
                </c:pt>
                <c:pt idx="8">
                  <c:v>36534</c:v>
                </c:pt>
                <c:pt idx="9">
                  <c:v>36535</c:v>
                </c:pt>
                <c:pt idx="10">
                  <c:v>36536</c:v>
                </c:pt>
                <c:pt idx="11">
                  <c:v>36537</c:v>
                </c:pt>
                <c:pt idx="12">
                  <c:v>36538</c:v>
                </c:pt>
                <c:pt idx="13">
                  <c:v>36539</c:v>
                </c:pt>
                <c:pt idx="14">
                  <c:v>36540</c:v>
                </c:pt>
                <c:pt idx="15">
                  <c:v>36541</c:v>
                </c:pt>
                <c:pt idx="16">
                  <c:v>36542</c:v>
                </c:pt>
                <c:pt idx="17">
                  <c:v>36543</c:v>
                </c:pt>
                <c:pt idx="18">
                  <c:v>36544</c:v>
                </c:pt>
                <c:pt idx="19">
                  <c:v>36545</c:v>
                </c:pt>
                <c:pt idx="20">
                  <c:v>36546</c:v>
                </c:pt>
                <c:pt idx="21">
                  <c:v>36547</c:v>
                </c:pt>
                <c:pt idx="22">
                  <c:v>36548</c:v>
                </c:pt>
                <c:pt idx="23">
                  <c:v>36549</c:v>
                </c:pt>
                <c:pt idx="24">
                  <c:v>36550</c:v>
                </c:pt>
                <c:pt idx="25">
                  <c:v>36551</c:v>
                </c:pt>
                <c:pt idx="26">
                  <c:v>36552</c:v>
                </c:pt>
                <c:pt idx="27">
                  <c:v>36553</c:v>
                </c:pt>
                <c:pt idx="28">
                  <c:v>36554</c:v>
                </c:pt>
                <c:pt idx="29">
                  <c:v>36555</c:v>
                </c:pt>
                <c:pt idx="30">
                  <c:v>36556</c:v>
                </c:pt>
              </c:numCache>
            </c:numRef>
          </c:cat>
          <c:val>
            <c:numRef>
              <c:f>Snapshot!$AQ$6:$AQ$36</c:f>
              <c:numCache>
                <c:formatCode>"$"#,##0_);[Red]\("$"#,##0\)</c:formatCode>
                <c:ptCount val="31"/>
                <c:pt idx="0">
                  <c:v>156.42000000000002</c:v>
                </c:pt>
                <c:pt idx="1">
                  <c:v>-1782.6699999999998</c:v>
                </c:pt>
                <c:pt idx="2">
                  <c:v>-1531.8999999999999</c:v>
                </c:pt>
                <c:pt idx="3">
                  <c:v>-1455.86</c:v>
                </c:pt>
                <c:pt idx="4">
                  <c:v>-1200.4899999999998</c:v>
                </c:pt>
                <c:pt idx="5">
                  <c:v>-188.05999999999983</c:v>
                </c:pt>
                <c:pt idx="6">
                  <c:v>-194.04999999999984</c:v>
                </c:pt>
                <c:pt idx="7">
                  <c:v>-156.74999999999983</c:v>
                </c:pt>
                <c:pt idx="8">
                  <c:v>422.61000000000018</c:v>
                </c:pt>
                <c:pt idx="9">
                  <c:v>395.82000000000016</c:v>
                </c:pt>
                <c:pt idx="10">
                  <c:v>426.21000000000015</c:v>
                </c:pt>
                <c:pt idx="11">
                  <c:v>605.73000000000013</c:v>
                </c:pt>
                <c:pt idx="12">
                  <c:v>734.7700000000001</c:v>
                </c:pt>
                <c:pt idx="13">
                  <c:v>868.80000000000007</c:v>
                </c:pt>
                <c:pt idx="14">
                  <c:v>768.80000000000007</c:v>
                </c:pt>
                <c:pt idx="15">
                  <c:v>-1558.46</c:v>
                </c:pt>
                <c:pt idx="16">
                  <c:v>-1095.6199999999999</c:v>
                </c:pt>
                <c:pt idx="17">
                  <c:v>-824.28999999999985</c:v>
                </c:pt>
                <c:pt idx="18">
                  <c:v>-483.31999999999988</c:v>
                </c:pt>
                <c:pt idx="19">
                  <c:v>73.390000000000043</c:v>
                </c:pt>
                <c:pt idx="20">
                  <c:v>116.12000000000003</c:v>
                </c:pt>
                <c:pt idx="21">
                  <c:v>83.930000000000035</c:v>
                </c:pt>
                <c:pt idx="22">
                  <c:v>181.75000000000003</c:v>
                </c:pt>
                <c:pt idx="23">
                  <c:v>241.75000000000003</c:v>
                </c:pt>
                <c:pt idx="24">
                  <c:v>458.53</c:v>
                </c:pt>
                <c:pt idx="25">
                  <c:v>570.79</c:v>
                </c:pt>
                <c:pt idx="26">
                  <c:v>997.74</c:v>
                </c:pt>
                <c:pt idx="27">
                  <c:v>1008.74</c:v>
                </c:pt>
                <c:pt idx="28">
                  <c:v>90.169999999999959</c:v>
                </c:pt>
                <c:pt idx="29">
                  <c:v>-261.91999999999973</c:v>
                </c:pt>
                <c:pt idx="30">
                  <c:v>-177.54999999999973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8B-4D69-8A8E-9D43558EF6A5}"/>
            </c:ext>
          </c:extLst>
        </c:ser>
        <c:ser>
          <c:idx val="2"/>
          <c:order val="2"/>
          <c:tx>
            <c:v>PrevMonthMax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96A6AA"/>
              </a:solidFill>
              <a:ln w="9525">
                <a:noFill/>
              </a:ln>
              <a:effectLst/>
            </c:spPr>
          </c:marker>
          <c:dPt>
            <c:idx val="30"/>
            <c:marker>
              <c:symbol val="circle"/>
              <c:size val="6"/>
              <c:spPr>
                <a:solidFill>
                  <a:srgbClr val="96A6AA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DA5A-48F8-A1C0-21994C26477C}"/>
              </c:ext>
            </c:extLst>
          </c:dPt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Snapshot!$AR$6:$AR$36</c:f>
              <c:numCache>
                <c:formatCode>"$"#,##0_);[Red]\("$"#,##0\)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-177.54999999999973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85-4A3C-8799-07EFC094EA01}"/>
            </c:ext>
          </c:extLst>
        </c:ser>
        <c:ser>
          <c:idx val="3"/>
          <c:order val="3"/>
          <c:tx>
            <c:v>CurrentMonthMax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3078CD"/>
              </a:solidFill>
              <a:ln w="9525">
                <a:noFill/>
              </a:ln>
              <a:effectLst/>
            </c:spPr>
          </c:marker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Snapshot!$AN$6:$AN$36</c:f>
              <c:numCache>
                <c:formatCode>"$"#,##0_);[Red]\("$"#,##0\)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-50.900000000000318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85-4A3C-8799-07EFC094E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0276639"/>
        <c:axId val="850507775"/>
      </c:lineChart>
      <c:dateAx>
        <c:axId val="990276639"/>
        <c:scaling>
          <c:orientation val="minMax"/>
        </c:scaling>
        <c:delete val="0"/>
        <c:axPos val="b"/>
        <c:numFmt formatCode="d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50507775"/>
        <c:crosses val="autoZero"/>
        <c:auto val="0"/>
        <c:lblOffset val="100"/>
        <c:baseTimeUnit val="days"/>
        <c:majorUnit val="2"/>
        <c:majorTimeUnit val="days"/>
      </c:dateAx>
      <c:valAx>
        <c:axId val="85050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90276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noFill/>
      <a:round/>
    </a:ln>
    <a:effectLst/>
  </c:spPr>
  <c:txPr>
    <a:bodyPr/>
    <a:lstStyle/>
    <a:p>
      <a:pPr>
        <a:defRPr>
          <a:latin typeface="+mn-lt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38572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0D9-4E52-BA8A-BDB083B56153}"/>
              </c:ext>
            </c:extLst>
          </c:dPt>
          <c:dPt>
            <c:idx val="1"/>
            <c:invertIfNegative val="0"/>
            <c:bubble3D val="0"/>
            <c:spPr>
              <a:solidFill>
                <a:srgbClr val="A9D08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0D9-4E52-BA8A-BDB083B561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MonthlyBudget!$C$10:$C$11</c:f>
              <c:strCache>
                <c:ptCount val="2"/>
                <c:pt idx="0">
                  <c:v>Income</c:v>
                </c:pt>
                <c:pt idx="1">
                  <c:v>Spending</c:v>
                </c:pt>
              </c:strCache>
            </c:strRef>
          </c:cat>
          <c:val>
            <c:numRef>
              <c:f>MonthlyBudget!$D$10:$D$11</c:f>
              <c:numCache>
                <c:formatCode>"$"#,##0</c:formatCode>
                <c:ptCount val="2"/>
                <c:pt idx="0">
                  <c:v>0</c:v>
                </c:pt>
                <c:pt idx="1">
                  <c:v>-50.900000000000226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D9-4E52-BA8A-BDB083B5615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5975711"/>
        <c:axId val="585968223"/>
      </c:barChart>
      <c:catAx>
        <c:axId val="585975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968223"/>
        <c:crosses val="autoZero"/>
        <c:auto val="1"/>
        <c:lblAlgn val="ctr"/>
        <c:lblOffset val="100"/>
        <c:noMultiLvlLbl val="0"/>
      </c:catAx>
      <c:valAx>
        <c:axId val="585968223"/>
        <c:scaling>
          <c:orientation val="minMax"/>
          <c:min val="0"/>
        </c:scaling>
        <c:delete val="1"/>
        <c:axPos val="l"/>
        <c:numFmt formatCode="&quot;$&quot;#,##0" sourceLinked="1"/>
        <c:majorTickMark val="none"/>
        <c:minorTickMark val="none"/>
        <c:tickLblPos val="nextTo"/>
        <c:crossAx val="585975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MonthlyBudget!$K$11</c:f>
              <c:strCache>
                <c:ptCount val="1"/>
                <c:pt idx="0">
                  <c:v>Spending</c:v>
                </c:pt>
              </c:strCache>
            </c:strRef>
          </c:tx>
          <c:spPr>
            <a:solidFill>
              <a:srgbClr val="A9D08E"/>
            </a:solidFill>
            <a:ln>
              <a:noFill/>
            </a:ln>
            <a:effectLst/>
          </c:spPr>
          <c:invertIfNegative val="0"/>
          <c:trendline>
            <c:name>Trend line</c:name>
            <c:spPr>
              <a:ln w="19050" cap="rnd">
                <a:solidFill>
                  <a:srgbClr val="00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MonthlyBudget!$J$12:$J$17</c:f>
              <c:numCache>
                <c:formatCode>[$-409]mmm\-yy;@</c:formatCode>
                <c:ptCount val="6"/>
                <c:pt idx="0">
                  <c:v>44562</c:v>
                </c:pt>
                <c:pt idx="1">
                  <c:v>44561</c:v>
                </c:pt>
                <c:pt idx="2">
                  <c:v>44530</c:v>
                </c:pt>
                <c:pt idx="3">
                  <c:v>44500</c:v>
                </c:pt>
                <c:pt idx="4">
                  <c:v>44469</c:v>
                </c:pt>
                <c:pt idx="5">
                  <c:v>44439</c:v>
                </c:pt>
              </c:numCache>
            </c:numRef>
          </c:cat>
          <c:val>
            <c:numRef>
              <c:f>MonthlyBudget!$K$12:$K$17</c:f>
              <c:numCache>
                <c:formatCode>"$"#,##0</c:formatCode>
                <c:ptCount val="6"/>
                <c:pt idx="0">
                  <c:v>-50.900000000000226</c:v>
                </c:pt>
                <c:pt idx="1">
                  <c:v>-177.54999999999978</c:v>
                </c:pt>
                <c:pt idx="2">
                  <c:v>0</c:v>
                </c:pt>
                <c:pt idx="3">
                  <c:v>-2378.52</c:v>
                </c:pt>
                <c:pt idx="4">
                  <c:v>2187.7400000000002</c:v>
                </c:pt>
                <c:pt idx="5">
                  <c:v>190.78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10-44C1-AC9C-7493999FE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5977375"/>
        <c:axId val="585964895"/>
      </c:barChart>
      <c:dateAx>
        <c:axId val="585977375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964895"/>
        <c:crosses val="autoZero"/>
        <c:auto val="1"/>
        <c:lblOffset val="100"/>
        <c:baseTimeUnit val="months"/>
      </c:dateAx>
      <c:valAx>
        <c:axId val="58596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977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0"/>
          <c:y val="0.24444444444444444"/>
          <c:w val="1"/>
          <c:h val="0.51111111111111107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rgbClr val="A9D18E"/>
            </a:solidFill>
            <a:ln>
              <a:solidFill>
                <a:srgbClr val="A6A6A6"/>
              </a:solidFill>
              <a:prstDash val="solid"/>
            </a:ln>
            <a:effectLst/>
          </c:spPr>
          <c:invertIfNegative val="0"/>
          <c:val>
            <c:numRef>
              <c:f>MonthlyBudget!$C$27</c:f>
              <c:numCache>
                <c:formatCode>0%</c:formatCode>
                <c:ptCount val="1"/>
                <c:pt idx="0">
                  <c:v>0.19271497653645486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11-40A1-A268-A9B8D55A9B9B}"/>
            </c:ext>
          </c:extLst>
        </c:ser>
        <c:ser>
          <c:idx val="1"/>
          <c:order val="1"/>
          <c:spPr>
            <a:solidFill>
              <a:srgbClr val="FFFFFF"/>
            </a:solidFill>
            <a:ln>
              <a:solidFill>
                <a:srgbClr val="A6A6A6"/>
              </a:solidFill>
              <a:prstDash val="solid"/>
            </a:ln>
            <a:effectLst/>
          </c:spPr>
          <c:invertIfNegative val="0"/>
          <c:val>
            <c:numRef>
              <c:f>MonthlyBudget!$D$27</c:f>
              <c:numCache>
                <c:formatCode>0%</c:formatCode>
                <c:ptCount val="1"/>
                <c:pt idx="0">
                  <c:v>0.80728502346354514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11-40A1-A268-A9B8D55A9B9B}"/>
            </c:ext>
          </c:extLst>
        </c:ser>
        <c:ser>
          <c:idx val="2"/>
          <c:order val="2"/>
          <c:spPr>
            <a:solidFill>
              <a:srgbClr val="B85F29"/>
            </a:solidFill>
            <a:ln>
              <a:solidFill>
                <a:srgbClr val="A6A6A6"/>
              </a:solidFill>
              <a:prstDash val="solid"/>
            </a:ln>
            <a:effectLst/>
          </c:spPr>
          <c:invertIfNegative val="0"/>
          <c:val>
            <c:numRef>
              <c:f>MonthlyBudget!$E$27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11-40A1-A268-A9B8D55A9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85954495"/>
        <c:axId val="585973631"/>
      </c:barChart>
      <c:catAx>
        <c:axId val="585954495"/>
        <c:scaling>
          <c:orientation val="minMax"/>
        </c:scaling>
        <c:delete val="1"/>
        <c:axPos val="l"/>
        <c:majorTickMark val="none"/>
        <c:minorTickMark val="none"/>
        <c:tickLblPos val="nextTo"/>
        <c:crossAx val="585973631"/>
        <c:crosses val="autoZero"/>
        <c:auto val="1"/>
        <c:lblAlgn val="ctr"/>
        <c:lblOffset val="100"/>
        <c:noMultiLvlLbl val="0"/>
      </c:catAx>
      <c:valAx>
        <c:axId val="585973631"/>
        <c:scaling>
          <c:orientation val="minMax"/>
          <c:max val="1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585954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0"/>
          <c:y val="0.24444444444444444"/>
          <c:w val="1"/>
          <c:h val="0.51111111111111107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rgbClr val="A9D18E"/>
            </a:solidFill>
            <a:ln>
              <a:solidFill>
                <a:srgbClr val="A6A6A6"/>
              </a:solidFill>
              <a:prstDash val="solid"/>
            </a:ln>
            <a:effectLst/>
          </c:spPr>
          <c:invertIfNegative val="0"/>
          <c:val>
            <c:numRef>
              <c:f>MonthlyBudget!$J$27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C0-4EAF-92EB-1921638A80B4}"/>
            </c:ext>
          </c:extLst>
        </c:ser>
        <c:ser>
          <c:idx val="1"/>
          <c:order val="1"/>
          <c:spPr>
            <a:solidFill>
              <a:srgbClr val="FFFFFF"/>
            </a:solidFill>
            <a:ln>
              <a:solidFill>
                <a:srgbClr val="A6A6A6"/>
              </a:solidFill>
              <a:prstDash val="solid"/>
            </a:ln>
            <a:effectLst/>
          </c:spPr>
          <c:invertIfNegative val="0"/>
          <c:val>
            <c:numRef>
              <c:f>MonthlyBudget!$K$27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C0-4EAF-92EB-1921638A80B4}"/>
            </c:ext>
          </c:extLst>
        </c:ser>
        <c:ser>
          <c:idx val="2"/>
          <c:order val="2"/>
          <c:spPr>
            <a:solidFill>
              <a:srgbClr val="B85F29"/>
            </a:solidFill>
            <a:ln>
              <a:solidFill>
                <a:srgbClr val="A6A6A6"/>
              </a:solidFill>
              <a:prstDash val="solid"/>
            </a:ln>
            <a:effectLst/>
          </c:spPr>
          <c:invertIfNegative val="0"/>
          <c:val>
            <c:numRef>
              <c:f>MonthlyBudget!$L$27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C0-4EAF-92EB-1921638A8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85974047"/>
        <c:axId val="585954911"/>
      </c:barChart>
      <c:catAx>
        <c:axId val="585974047"/>
        <c:scaling>
          <c:orientation val="minMax"/>
        </c:scaling>
        <c:delete val="1"/>
        <c:axPos val="l"/>
        <c:majorTickMark val="none"/>
        <c:minorTickMark val="none"/>
        <c:tickLblPos val="nextTo"/>
        <c:crossAx val="585954911"/>
        <c:crosses val="autoZero"/>
        <c:auto val="1"/>
        <c:lblAlgn val="ctr"/>
        <c:lblOffset val="100"/>
        <c:noMultiLvlLbl val="0"/>
      </c:catAx>
      <c:valAx>
        <c:axId val="585954911"/>
        <c:scaling>
          <c:orientation val="minMax"/>
          <c:max val="1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585974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0"/>
          <c:y val="0.24444444444444444"/>
          <c:w val="1"/>
          <c:h val="0.51111111111111107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rgbClr val="A9D18E"/>
            </a:solidFill>
            <a:ln>
              <a:solidFill>
                <a:srgbClr val="A6A6A6"/>
              </a:solidFill>
              <a:prstDash val="solid"/>
            </a:ln>
            <a:effectLst/>
          </c:spPr>
          <c:invertIfNegative val="0"/>
          <c:val>
            <c:numRef>
              <c:f>MonthlyBudget!$O$27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57-424C-AB72-B2D63A95952E}"/>
            </c:ext>
          </c:extLst>
        </c:ser>
        <c:ser>
          <c:idx val="1"/>
          <c:order val="1"/>
          <c:spPr>
            <a:solidFill>
              <a:srgbClr val="FFFFFF"/>
            </a:solidFill>
            <a:ln>
              <a:solidFill>
                <a:srgbClr val="A6A6A6"/>
              </a:solidFill>
              <a:prstDash val="solid"/>
            </a:ln>
            <a:effectLst/>
          </c:spPr>
          <c:invertIfNegative val="0"/>
          <c:val>
            <c:numRef>
              <c:f>MonthlyBudget!$P$27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57-424C-AB72-B2D63A95952E}"/>
            </c:ext>
          </c:extLst>
        </c:ser>
        <c:ser>
          <c:idx val="2"/>
          <c:order val="2"/>
          <c:spPr>
            <a:solidFill>
              <a:srgbClr val="B85F29"/>
            </a:solidFill>
            <a:ln>
              <a:solidFill>
                <a:srgbClr val="A6A6A6"/>
              </a:solidFill>
              <a:prstDash val="solid"/>
            </a:ln>
            <a:effectLst/>
          </c:spPr>
          <c:invertIfNegative val="0"/>
          <c:val>
            <c:numRef>
              <c:f>MonthlyBudget!$Q$27</c:f>
              <c:numCache>
                <c:formatCode>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57-424C-AB72-B2D63A959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85966559"/>
        <c:axId val="585976127"/>
      </c:barChart>
      <c:catAx>
        <c:axId val="585966559"/>
        <c:scaling>
          <c:orientation val="minMax"/>
        </c:scaling>
        <c:delete val="1"/>
        <c:axPos val="l"/>
        <c:majorTickMark val="none"/>
        <c:minorTickMark val="none"/>
        <c:tickLblPos val="nextTo"/>
        <c:crossAx val="585976127"/>
        <c:crosses val="autoZero"/>
        <c:auto val="1"/>
        <c:lblAlgn val="ctr"/>
        <c:lblOffset val="100"/>
        <c:noMultiLvlLbl val="0"/>
      </c:catAx>
      <c:valAx>
        <c:axId val="585976127"/>
        <c:scaling>
          <c:orientation val="minMax"/>
          <c:max val="1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585966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9525</xdr:colOff>
      <xdr:row>3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D3C59E-6516-4B31-8FAB-1B745E4A3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43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2</xdr:row>
      <xdr:rowOff>0</xdr:rowOff>
    </xdr:from>
    <xdr:to>
      <xdr:col>16</xdr:col>
      <xdr:colOff>304800</xdr:colOff>
      <xdr:row>3</xdr:row>
      <xdr:rowOff>85725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390FA865-9C0A-4B24-B25B-1CD608D93310}"/>
            </a:ext>
          </a:extLst>
        </xdr:cNvPr>
        <xdr:cNvSpPr>
          <a:spLocks noChangeAspect="1" noChangeArrowheads="1"/>
        </xdr:cNvSpPr>
      </xdr:nvSpPr>
      <xdr:spPr bwMode="auto">
        <a:xfrm>
          <a:off x="29222700" y="11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9525</xdr:colOff>
      <xdr:row>5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90FA571-8682-4883-A8C3-5932F21D6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4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9525</xdr:colOff>
      <xdr:row>6</xdr:row>
      <xdr:rowOff>9525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0E93977-9D35-45CB-A97E-CD21C8750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4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9525</xdr:colOff>
      <xdr:row>7</xdr:row>
      <xdr:rowOff>9525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06F2499-AD9C-4AE4-95F6-7F42F4364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14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304800</xdr:colOff>
      <xdr:row>7</xdr:row>
      <xdr:rowOff>100693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06A66024-D688-4A7A-8BE7-32524BF577EB}"/>
            </a:ext>
          </a:extLst>
        </xdr:cNvPr>
        <xdr:cNvSpPr>
          <a:spLocks noChangeAspect="1" noChangeArrowheads="1"/>
        </xdr:cNvSpPr>
      </xdr:nvSpPr>
      <xdr:spPr bwMode="auto">
        <a:xfrm>
          <a:off x="29222700" y="1914525"/>
          <a:ext cx="304800" cy="300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9525</xdr:colOff>
      <xdr:row>9</xdr:row>
      <xdr:rowOff>9525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84056BC-2FB5-40DF-93AA-FA310CBED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33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9525</xdr:colOff>
      <xdr:row>10</xdr:row>
      <xdr:rowOff>9525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7863DE7-446C-4143-A354-03769246B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24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304800</xdr:colOff>
      <xdr:row>11</xdr:row>
      <xdr:rowOff>114300</xdr:rowOff>
    </xdr:to>
    <xdr:sp macro="" textlink="">
      <xdr:nvSpPr>
        <xdr:cNvPr id="10" name="AutoShape 9">
          <a:extLst>
            <a:ext uri="{FF2B5EF4-FFF2-40B4-BE49-F238E27FC236}">
              <a16:creationId xmlns:a16="http://schemas.microsoft.com/office/drawing/2014/main" id="{EE906B12-3A77-42A8-A591-3AD110CE8066}"/>
            </a:ext>
          </a:extLst>
        </xdr:cNvPr>
        <xdr:cNvSpPr>
          <a:spLocks noChangeAspect="1" noChangeArrowheads="1"/>
        </xdr:cNvSpPr>
      </xdr:nvSpPr>
      <xdr:spPr bwMode="auto">
        <a:xfrm>
          <a:off x="29222700" y="272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9525</xdr:colOff>
      <xdr:row>11</xdr:row>
      <xdr:rowOff>9525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C9516B0-8209-428E-AF51-2456E8495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14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9525</xdr:colOff>
      <xdr:row>12</xdr:row>
      <xdr:rowOff>9525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E6514C9-37DE-4F0E-89BD-5B6F13F7C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33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9525</xdr:colOff>
      <xdr:row>13</xdr:row>
      <xdr:rowOff>9525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5A8A9AD-1101-481C-91CC-0E0F489FC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24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9525</xdr:colOff>
      <xdr:row>14</xdr:row>
      <xdr:rowOff>9525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29D57F7-41F3-4280-8484-41BEA2981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14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9525</xdr:colOff>
      <xdr:row>15</xdr:row>
      <xdr:rowOff>9525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E93CD34-DD57-483E-B97B-70A1D9D86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05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16</xdr:col>
      <xdr:colOff>304800</xdr:colOff>
      <xdr:row>16</xdr:row>
      <xdr:rowOff>85725</xdr:rowOff>
    </xdr:to>
    <xdr:sp macro="" textlink="">
      <xdr:nvSpPr>
        <xdr:cNvPr id="16" name="AutoShape 15">
          <a:extLst>
            <a:ext uri="{FF2B5EF4-FFF2-40B4-BE49-F238E27FC236}">
              <a16:creationId xmlns:a16="http://schemas.microsoft.com/office/drawing/2014/main" id="{26E0364B-C516-4B6C-AAA1-94D8B796B3E2}"/>
            </a:ext>
          </a:extLst>
        </xdr:cNvPr>
        <xdr:cNvSpPr>
          <a:spLocks noChangeAspect="1" noChangeArrowheads="1"/>
        </xdr:cNvSpPr>
      </xdr:nvSpPr>
      <xdr:spPr bwMode="auto">
        <a:xfrm>
          <a:off x="29222700" y="370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9525</xdr:colOff>
      <xdr:row>16</xdr:row>
      <xdr:rowOff>9525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154900E-5F21-43E3-ADD2-8DF179BCC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4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16</xdr:row>
      <xdr:rowOff>0</xdr:rowOff>
    </xdr:from>
    <xdr:to>
      <xdr:col>16</xdr:col>
      <xdr:colOff>304800</xdr:colOff>
      <xdr:row>17</xdr:row>
      <xdr:rowOff>114300</xdr:rowOff>
    </xdr:to>
    <xdr:sp macro="" textlink="">
      <xdr:nvSpPr>
        <xdr:cNvPr id="18" name="AutoShape 17">
          <a:extLst>
            <a:ext uri="{FF2B5EF4-FFF2-40B4-BE49-F238E27FC236}">
              <a16:creationId xmlns:a16="http://schemas.microsoft.com/office/drawing/2014/main" id="{CA0454A8-5955-496A-907C-D0893CB3E11C}"/>
            </a:ext>
          </a:extLst>
        </xdr:cNvPr>
        <xdr:cNvSpPr>
          <a:spLocks noChangeAspect="1" noChangeArrowheads="1"/>
        </xdr:cNvSpPr>
      </xdr:nvSpPr>
      <xdr:spPr bwMode="auto">
        <a:xfrm>
          <a:off x="29222700" y="39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9525</xdr:colOff>
      <xdr:row>17</xdr:row>
      <xdr:rowOff>9525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F6291D3-2960-4D77-BE77-0A5A9D4B3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148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18</xdr:row>
      <xdr:rowOff>0</xdr:rowOff>
    </xdr:from>
    <xdr:to>
      <xdr:col>16</xdr:col>
      <xdr:colOff>304800</xdr:colOff>
      <xdr:row>19</xdr:row>
      <xdr:rowOff>85726</xdr:rowOff>
    </xdr:to>
    <xdr:sp macro="" textlink="">
      <xdr:nvSpPr>
        <xdr:cNvPr id="20" name="AutoShape 19">
          <a:extLst>
            <a:ext uri="{FF2B5EF4-FFF2-40B4-BE49-F238E27FC236}">
              <a16:creationId xmlns:a16="http://schemas.microsoft.com/office/drawing/2014/main" id="{D9E210B4-730A-40A6-AF9E-0E68A11F70BF}"/>
            </a:ext>
          </a:extLst>
        </xdr:cNvPr>
        <xdr:cNvSpPr>
          <a:spLocks noChangeAspect="1" noChangeArrowheads="1"/>
        </xdr:cNvSpPr>
      </xdr:nvSpPr>
      <xdr:spPr bwMode="auto">
        <a:xfrm>
          <a:off x="29222700" y="4333875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9525</xdr:colOff>
      <xdr:row>20</xdr:row>
      <xdr:rowOff>9525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3C5D3A0B-1862-4B66-9743-508218615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72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304800</xdr:colOff>
      <xdr:row>22</xdr:row>
      <xdr:rowOff>99331</xdr:rowOff>
    </xdr:to>
    <xdr:sp macro="" textlink="">
      <xdr:nvSpPr>
        <xdr:cNvPr id="22" name="AutoShape 21">
          <a:extLst>
            <a:ext uri="{FF2B5EF4-FFF2-40B4-BE49-F238E27FC236}">
              <a16:creationId xmlns:a16="http://schemas.microsoft.com/office/drawing/2014/main" id="{BE979CE9-C148-431F-8352-D4C2E6A1EC4E}"/>
            </a:ext>
          </a:extLst>
        </xdr:cNvPr>
        <xdr:cNvSpPr>
          <a:spLocks noChangeAspect="1" noChangeArrowheads="1"/>
        </xdr:cNvSpPr>
      </xdr:nvSpPr>
      <xdr:spPr bwMode="auto">
        <a:xfrm>
          <a:off x="29222700" y="4991100"/>
          <a:ext cx="304800" cy="2993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9525</xdr:colOff>
      <xdr:row>22</xdr:row>
      <xdr:rowOff>9525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8D9F09-82C7-463D-8CB8-32828A61B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91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9525</xdr:colOff>
      <xdr:row>23</xdr:row>
      <xdr:rowOff>9525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F89A75BB-FAE5-4978-B964-68DA773BA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81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18</xdr:col>
      <xdr:colOff>9525</xdr:colOff>
      <xdr:row>3</xdr:row>
      <xdr:rowOff>9525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DE18590E-5C32-4F64-A211-9B906E796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1343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</xdr:row>
      <xdr:rowOff>0</xdr:rowOff>
    </xdr:from>
    <xdr:to>
      <xdr:col>18</xdr:col>
      <xdr:colOff>304800</xdr:colOff>
      <xdr:row>3</xdr:row>
      <xdr:rowOff>85725</xdr:rowOff>
    </xdr:to>
    <xdr:sp macro="" textlink="">
      <xdr:nvSpPr>
        <xdr:cNvPr id="26" name="AutoShape 25">
          <a:extLst>
            <a:ext uri="{FF2B5EF4-FFF2-40B4-BE49-F238E27FC236}">
              <a16:creationId xmlns:a16="http://schemas.microsoft.com/office/drawing/2014/main" id="{D854065D-E14F-4AA5-BD34-04269A58DB6F}"/>
            </a:ext>
          </a:extLst>
        </xdr:cNvPr>
        <xdr:cNvSpPr>
          <a:spLocks noChangeAspect="1" noChangeArrowheads="1"/>
        </xdr:cNvSpPr>
      </xdr:nvSpPr>
      <xdr:spPr bwMode="auto">
        <a:xfrm>
          <a:off x="31699200" y="11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4</xdr:row>
      <xdr:rowOff>0</xdr:rowOff>
    </xdr:from>
    <xdr:to>
      <xdr:col>18</xdr:col>
      <xdr:colOff>9525</xdr:colOff>
      <xdr:row>4</xdr:row>
      <xdr:rowOff>9525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27C4025C-8BB9-470A-A778-9978B3921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1533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9525</xdr:colOff>
      <xdr:row>5</xdr:row>
      <xdr:rowOff>9525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F92E204A-8334-4F0F-AF6B-FDC6F4BD9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1724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9525</xdr:colOff>
      <xdr:row>6</xdr:row>
      <xdr:rowOff>9525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CED17FE7-9562-469D-B32B-381FFDC2C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1914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304800</xdr:colOff>
      <xdr:row>6</xdr:row>
      <xdr:rowOff>114300</xdr:rowOff>
    </xdr:to>
    <xdr:sp macro="" textlink="">
      <xdr:nvSpPr>
        <xdr:cNvPr id="30" name="AutoShape 29">
          <a:extLst>
            <a:ext uri="{FF2B5EF4-FFF2-40B4-BE49-F238E27FC236}">
              <a16:creationId xmlns:a16="http://schemas.microsoft.com/office/drawing/2014/main" id="{0EFD8A46-6460-44F0-B139-C5E7AFF4A57A}"/>
            </a:ext>
          </a:extLst>
        </xdr:cNvPr>
        <xdr:cNvSpPr>
          <a:spLocks noChangeAspect="1" noChangeArrowheads="1"/>
        </xdr:cNvSpPr>
      </xdr:nvSpPr>
      <xdr:spPr bwMode="auto">
        <a:xfrm>
          <a:off x="31699200" y="172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7</xdr:row>
      <xdr:rowOff>0</xdr:rowOff>
    </xdr:from>
    <xdr:to>
      <xdr:col>18</xdr:col>
      <xdr:colOff>9525</xdr:colOff>
      <xdr:row>7</xdr:row>
      <xdr:rowOff>9525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AAE5A72C-BF46-4BA2-98BA-D4D955B1F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2114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18</xdr:col>
      <xdr:colOff>9525</xdr:colOff>
      <xdr:row>9</xdr:row>
      <xdr:rowOff>9525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5BDE686E-D7A6-4F28-A438-96E0B2F44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2533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304800</xdr:colOff>
      <xdr:row>9</xdr:row>
      <xdr:rowOff>85725</xdr:rowOff>
    </xdr:to>
    <xdr:sp macro="" textlink="">
      <xdr:nvSpPr>
        <xdr:cNvPr id="33" name="AutoShape 32">
          <a:extLst>
            <a:ext uri="{FF2B5EF4-FFF2-40B4-BE49-F238E27FC236}">
              <a16:creationId xmlns:a16="http://schemas.microsoft.com/office/drawing/2014/main" id="{DA0D055A-0220-4A14-8E9D-AC8455F62692}"/>
            </a:ext>
          </a:extLst>
        </xdr:cNvPr>
        <xdr:cNvSpPr>
          <a:spLocks noChangeAspect="1" noChangeArrowheads="1"/>
        </xdr:cNvSpPr>
      </xdr:nvSpPr>
      <xdr:spPr bwMode="auto">
        <a:xfrm>
          <a:off x="31699200" y="231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10</xdr:row>
      <xdr:rowOff>0</xdr:rowOff>
    </xdr:from>
    <xdr:to>
      <xdr:col>18</xdr:col>
      <xdr:colOff>9525</xdr:colOff>
      <xdr:row>10</xdr:row>
      <xdr:rowOff>9525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4373AD95-1712-4C44-856A-0CB6A6DF6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2724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11</xdr:row>
      <xdr:rowOff>0</xdr:rowOff>
    </xdr:from>
    <xdr:to>
      <xdr:col>18</xdr:col>
      <xdr:colOff>9525</xdr:colOff>
      <xdr:row>11</xdr:row>
      <xdr:rowOff>9525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3031544-107A-48BC-AF87-8057AF50A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2914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9525</xdr:colOff>
      <xdr:row>12</xdr:row>
      <xdr:rowOff>9525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2D092889-1763-4740-AE60-841CD8008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3133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9525</xdr:colOff>
      <xdr:row>13</xdr:row>
      <xdr:rowOff>9525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6F8C14C3-C49B-4587-B931-3F32D4753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3324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14</xdr:row>
      <xdr:rowOff>0</xdr:rowOff>
    </xdr:from>
    <xdr:to>
      <xdr:col>18</xdr:col>
      <xdr:colOff>9525</xdr:colOff>
      <xdr:row>14</xdr:row>
      <xdr:rowOff>9525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9BF78759-34AA-451C-98C0-2C020BE85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3514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304800</xdr:colOff>
      <xdr:row>14</xdr:row>
      <xdr:rowOff>114300</xdr:rowOff>
    </xdr:to>
    <xdr:sp macro="" textlink="">
      <xdr:nvSpPr>
        <xdr:cNvPr id="39" name="AutoShape 38">
          <a:extLst>
            <a:ext uri="{FF2B5EF4-FFF2-40B4-BE49-F238E27FC236}">
              <a16:creationId xmlns:a16="http://schemas.microsoft.com/office/drawing/2014/main" id="{747DB7A1-09D5-43AB-A315-E64824C675F3}"/>
            </a:ext>
          </a:extLst>
        </xdr:cNvPr>
        <xdr:cNvSpPr>
          <a:spLocks noChangeAspect="1" noChangeArrowheads="1"/>
        </xdr:cNvSpPr>
      </xdr:nvSpPr>
      <xdr:spPr bwMode="auto">
        <a:xfrm>
          <a:off x="31699200" y="332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15</xdr:row>
      <xdr:rowOff>0</xdr:rowOff>
    </xdr:from>
    <xdr:to>
      <xdr:col>18</xdr:col>
      <xdr:colOff>9525</xdr:colOff>
      <xdr:row>15</xdr:row>
      <xdr:rowOff>9525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95E704D7-8C04-40FA-9BA4-7C7911F7F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3705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14</xdr:row>
      <xdr:rowOff>0</xdr:rowOff>
    </xdr:from>
    <xdr:to>
      <xdr:col>18</xdr:col>
      <xdr:colOff>304800</xdr:colOff>
      <xdr:row>15</xdr:row>
      <xdr:rowOff>114300</xdr:rowOff>
    </xdr:to>
    <xdr:sp macro="" textlink="">
      <xdr:nvSpPr>
        <xdr:cNvPr id="41" name="AutoShape 40">
          <a:extLst>
            <a:ext uri="{FF2B5EF4-FFF2-40B4-BE49-F238E27FC236}">
              <a16:creationId xmlns:a16="http://schemas.microsoft.com/office/drawing/2014/main" id="{150BEBAB-0349-49FD-B363-E6B6204D6241}"/>
            </a:ext>
          </a:extLst>
        </xdr:cNvPr>
        <xdr:cNvSpPr>
          <a:spLocks noChangeAspect="1" noChangeArrowheads="1"/>
        </xdr:cNvSpPr>
      </xdr:nvSpPr>
      <xdr:spPr bwMode="auto">
        <a:xfrm>
          <a:off x="31699200" y="351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9525</xdr:colOff>
      <xdr:row>16</xdr:row>
      <xdr:rowOff>9525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3B3274E9-1B95-4454-8E08-112A05852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3924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18</xdr:col>
      <xdr:colOff>304800</xdr:colOff>
      <xdr:row>16</xdr:row>
      <xdr:rowOff>85725</xdr:rowOff>
    </xdr:to>
    <xdr:sp macro="" textlink="">
      <xdr:nvSpPr>
        <xdr:cNvPr id="43" name="AutoShape 42">
          <a:extLst>
            <a:ext uri="{FF2B5EF4-FFF2-40B4-BE49-F238E27FC236}">
              <a16:creationId xmlns:a16="http://schemas.microsoft.com/office/drawing/2014/main" id="{D51E205C-C634-49F2-B818-5320B6BFF533}"/>
            </a:ext>
          </a:extLst>
        </xdr:cNvPr>
        <xdr:cNvSpPr>
          <a:spLocks noChangeAspect="1" noChangeArrowheads="1"/>
        </xdr:cNvSpPr>
      </xdr:nvSpPr>
      <xdr:spPr bwMode="auto">
        <a:xfrm>
          <a:off x="31699200" y="370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9525</xdr:colOff>
      <xdr:row>19</xdr:row>
      <xdr:rowOff>9525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1E3FD936-B92F-43EE-8CF3-8E7E3FDBD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52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304800</xdr:colOff>
      <xdr:row>17</xdr:row>
      <xdr:rowOff>114300</xdr:rowOff>
    </xdr:to>
    <xdr:sp macro="" textlink="">
      <xdr:nvSpPr>
        <xdr:cNvPr id="45" name="AutoShape 44">
          <a:extLst>
            <a:ext uri="{FF2B5EF4-FFF2-40B4-BE49-F238E27FC236}">
              <a16:creationId xmlns:a16="http://schemas.microsoft.com/office/drawing/2014/main" id="{E3D89D5E-AF36-4432-969D-E6D1280DF0BF}"/>
            </a:ext>
          </a:extLst>
        </xdr:cNvPr>
        <xdr:cNvSpPr>
          <a:spLocks noChangeAspect="1" noChangeArrowheads="1"/>
        </xdr:cNvSpPr>
      </xdr:nvSpPr>
      <xdr:spPr bwMode="auto">
        <a:xfrm>
          <a:off x="31699200" y="39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18</xdr:row>
      <xdr:rowOff>0</xdr:rowOff>
    </xdr:from>
    <xdr:to>
      <xdr:col>18</xdr:col>
      <xdr:colOff>9525</xdr:colOff>
      <xdr:row>18</xdr:row>
      <xdr:rowOff>9525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F64BA82B-9D8F-4CB3-8B98-12F93AF25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4333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19</xdr:row>
      <xdr:rowOff>0</xdr:rowOff>
    </xdr:from>
    <xdr:to>
      <xdr:col>18</xdr:col>
      <xdr:colOff>9525</xdr:colOff>
      <xdr:row>19</xdr:row>
      <xdr:rowOff>9525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FE4E97C-8812-4C5A-BC0D-4A9AE8B06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4552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18</xdr:col>
      <xdr:colOff>9525</xdr:colOff>
      <xdr:row>3</xdr:row>
      <xdr:rowOff>9525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6E75795B-E0A3-4F03-8F75-4E6C6E846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1343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</xdr:row>
      <xdr:rowOff>0</xdr:rowOff>
    </xdr:from>
    <xdr:to>
      <xdr:col>18</xdr:col>
      <xdr:colOff>304800</xdr:colOff>
      <xdr:row>3</xdr:row>
      <xdr:rowOff>85725</xdr:rowOff>
    </xdr:to>
    <xdr:sp macro="" textlink="">
      <xdr:nvSpPr>
        <xdr:cNvPr id="49" name="AutoShape 48">
          <a:extLst>
            <a:ext uri="{FF2B5EF4-FFF2-40B4-BE49-F238E27FC236}">
              <a16:creationId xmlns:a16="http://schemas.microsoft.com/office/drawing/2014/main" id="{EB0619A4-BDFE-4804-8242-3E62EF99DF8B}"/>
            </a:ext>
          </a:extLst>
        </xdr:cNvPr>
        <xdr:cNvSpPr>
          <a:spLocks noChangeAspect="1" noChangeArrowheads="1"/>
        </xdr:cNvSpPr>
      </xdr:nvSpPr>
      <xdr:spPr bwMode="auto">
        <a:xfrm>
          <a:off x="31699200" y="11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4</xdr:row>
      <xdr:rowOff>0</xdr:rowOff>
    </xdr:from>
    <xdr:to>
      <xdr:col>18</xdr:col>
      <xdr:colOff>9525</xdr:colOff>
      <xdr:row>4</xdr:row>
      <xdr:rowOff>9525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14553C35-0FB0-45C6-A2BB-B9B3B7086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1533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9525</xdr:colOff>
      <xdr:row>5</xdr:row>
      <xdr:rowOff>9525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211C2E6-EB9F-4DB6-905D-DF2B58727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1724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9525</xdr:colOff>
      <xdr:row>6</xdr:row>
      <xdr:rowOff>9525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28B59E90-86D4-4D50-AAC5-3CE2D674B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1914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304800</xdr:colOff>
      <xdr:row>6</xdr:row>
      <xdr:rowOff>114300</xdr:rowOff>
    </xdr:to>
    <xdr:sp macro="" textlink="">
      <xdr:nvSpPr>
        <xdr:cNvPr id="53" name="AutoShape 52">
          <a:extLst>
            <a:ext uri="{FF2B5EF4-FFF2-40B4-BE49-F238E27FC236}">
              <a16:creationId xmlns:a16="http://schemas.microsoft.com/office/drawing/2014/main" id="{5700EFF8-03A0-4BDE-8772-FA57E80E7251}"/>
            </a:ext>
          </a:extLst>
        </xdr:cNvPr>
        <xdr:cNvSpPr>
          <a:spLocks noChangeAspect="1" noChangeArrowheads="1"/>
        </xdr:cNvSpPr>
      </xdr:nvSpPr>
      <xdr:spPr bwMode="auto">
        <a:xfrm>
          <a:off x="31699200" y="172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7</xdr:row>
      <xdr:rowOff>0</xdr:rowOff>
    </xdr:from>
    <xdr:to>
      <xdr:col>18</xdr:col>
      <xdr:colOff>9525</xdr:colOff>
      <xdr:row>7</xdr:row>
      <xdr:rowOff>9525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C3802A9C-823D-4885-8DDF-91A5C9342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2114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18</xdr:col>
      <xdr:colOff>9525</xdr:colOff>
      <xdr:row>9</xdr:row>
      <xdr:rowOff>9525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5909B5B8-F4D8-4AF0-A775-91C8EA2EA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2533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304800</xdr:colOff>
      <xdr:row>9</xdr:row>
      <xdr:rowOff>85725</xdr:rowOff>
    </xdr:to>
    <xdr:sp macro="" textlink="">
      <xdr:nvSpPr>
        <xdr:cNvPr id="56" name="AutoShape 55">
          <a:extLst>
            <a:ext uri="{FF2B5EF4-FFF2-40B4-BE49-F238E27FC236}">
              <a16:creationId xmlns:a16="http://schemas.microsoft.com/office/drawing/2014/main" id="{4533BBD8-BA12-4F06-98D5-36C5232DA702}"/>
            </a:ext>
          </a:extLst>
        </xdr:cNvPr>
        <xdr:cNvSpPr>
          <a:spLocks noChangeAspect="1" noChangeArrowheads="1"/>
        </xdr:cNvSpPr>
      </xdr:nvSpPr>
      <xdr:spPr bwMode="auto">
        <a:xfrm>
          <a:off x="31699200" y="231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10</xdr:row>
      <xdr:rowOff>0</xdr:rowOff>
    </xdr:from>
    <xdr:to>
      <xdr:col>18</xdr:col>
      <xdr:colOff>9525</xdr:colOff>
      <xdr:row>10</xdr:row>
      <xdr:rowOff>9525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8C839E8-3D38-4500-85D3-EA7909CC1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2724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11</xdr:row>
      <xdr:rowOff>0</xdr:rowOff>
    </xdr:from>
    <xdr:to>
      <xdr:col>18</xdr:col>
      <xdr:colOff>9525</xdr:colOff>
      <xdr:row>11</xdr:row>
      <xdr:rowOff>9525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982641A7-AA26-4B7B-B63A-82E2C3BCE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2914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9525</xdr:colOff>
      <xdr:row>12</xdr:row>
      <xdr:rowOff>9525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BA4E90B0-3C9A-464F-B68C-25B5E2F52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3133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9525</xdr:colOff>
      <xdr:row>13</xdr:row>
      <xdr:rowOff>9525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5CC9CB4-898A-4E60-89C7-456971011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3324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14</xdr:row>
      <xdr:rowOff>0</xdr:rowOff>
    </xdr:from>
    <xdr:to>
      <xdr:col>18</xdr:col>
      <xdr:colOff>9525</xdr:colOff>
      <xdr:row>14</xdr:row>
      <xdr:rowOff>9525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66E09857-DD0B-413F-9B40-9C14835B8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3514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304800</xdr:colOff>
      <xdr:row>14</xdr:row>
      <xdr:rowOff>114300</xdr:rowOff>
    </xdr:to>
    <xdr:sp macro="" textlink="">
      <xdr:nvSpPr>
        <xdr:cNvPr id="62" name="AutoShape 61">
          <a:extLst>
            <a:ext uri="{FF2B5EF4-FFF2-40B4-BE49-F238E27FC236}">
              <a16:creationId xmlns:a16="http://schemas.microsoft.com/office/drawing/2014/main" id="{D962738E-7FCE-438A-88D2-ABB22766214F}"/>
            </a:ext>
          </a:extLst>
        </xdr:cNvPr>
        <xdr:cNvSpPr>
          <a:spLocks noChangeAspect="1" noChangeArrowheads="1"/>
        </xdr:cNvSpPr>
      </xdr:nvSpPr>
      <xdr:spPr bwMode="auto">
        <a:xfrm>
          <a:off x="31699200" y="332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15</xdr:row>
      <xdr:rowOff>0</xdr:rowOff>
    </xdr:from>
    <xdr:to>
      <xdr:col>18</xdr:col>
      <xdr:colOff>9525</xdr:colOff>
      <xdr:row>15</xdr:row>
      <xdr:rowOff>9525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D4617806-21FD-4AB6-A36C-8C8C5BD46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3705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14</xdr:row>
      <xdr:rowOff>0</xdr:rowOff>
    </xdr:from>
    <xdr:to>
      <xdr:col>18</xdr:col>
      <xdr:colOff>304800</xdr:colOff>
      <xdr:row>15</xdr:row>
      <xdr:rowOff>114300</xdr:rowOff>
    </xdr:to>
    <xdr:sp macro="" textlink="">
      <xdr:nvSpPr>
        <xdr:cNvPr id="64" name="AutoShape 63">
          <a:extLst>
            <a:ext uri="{FF2B5EF4-FFF2-40B4-BE49-F238E27FC236}">
              <a16:creationId xmlns:a16="http://schemas.microsoft.com/office/drawing/2014/main" id="{EB40B931-BB13-4C4A-948D-477A01520DC9}"/>
            </a:ext>
          </a:extLst>
        </xdr:cNvPr>
        <xdr:cNvSpPr>
          <a:spLocks noChangeAspect="1" noChangeArrowheads="1"/>
        </xdr:cNvSpPr>
      </xdr:nvSpPr>
      <xdr:spPr bwMode="auto">
        <a:xfrm>
          <a:off x="31699200" y="351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9525</xdr:colOff>
      <xdr:row>16</xdr:row>
      <xdr:rowOff>9525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5E8D5FE5-594E-4B94-ACB3-C781C4D20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3924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18</xdr:col>
      <xdr:colOff>304800</xdr:colOff>
      <xdr:row>16</xdr:row>
      <xdr:rowOff>85725</xdr:rowOff>
    </xdr:to>
    <xdr:sp macro="" textlink="">
      <xdr:nvSpPr>
        <xdr:cNvPr id="66" name="AutoShape 65">
          <a:extLst>
            <a:ext uri="{FF2B5EF4-FFF2-40B4-BE49-F238E27FC236}">
              <a16:creationId xmlns:a16="http://schemas.microsoft.com/office/drawing/2014/main" id="{3888222B-3296-4345-9221-0F4F9456D75E}"/>
            </a:ext>
          </a:extLst>
        </xdr:cNvPr>
        <xdr:cNvSpPr>
          <a:spLocks noChangeAspect="1" noChangeArrowheads="1"/>
        </xdr:cNvSpPr>
      </xdr:nvSpPr>
      <xdr:spPr bwMode="auto">
        <a:xfrm>
          <a:off x="31699200" y="370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9525</xdr:colOff>
      <xdr:row>19</xdr:row>
      <xdr:rowOff>9525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341C0E5C-7D35-4A7A-A75C-33475B6FB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52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304800</xdr:colOff>
      <xdr:row>17</xdr:row>
      <xdr:rowOff>114300</xdr:rowOff>
    </xdr:to>
    <xdr:sp macro="" textlink="">
      <xdr:nvSpPr>
        <xdr:cNvPr id="68" name="AutoShape 67">
          <a:extLst>
            <a:ext uri="{FF2B5EF4-FFF2-40B4-BE49-F238E27FC236}">
              <a16:creationId xmlns:a16="http://schemas.microsoft.com/office/drawing/2014/main" id="{257C2F8F-EAE6-4F73-B155-E232E893C5E7}"/>
            </a:ext>
          </a:extLst>
        </xdr:cNvPr>
        <xdr:cNvSpPr>
          <a:spLocks noChangeAspect="1" noChangeArrowheads="1"/>
        </xdr:cNvSpPr>
      </xdr:nvSpPr>
      <xdr:spPr bwMode="auto">
        <a:xfrm>
          <a:off x="31699200" y="39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18</xdr:row>
      <xdr:rowOff>0</xdr:rowOff>
    </xdr:from>
    <xdr:to>
      <xdr:col>18</xdr:col>
      <xdr:colOff>9525</xdr:colOff>
      <xdr:row>18</xdr:row>
      <xdr:rowOff>9525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E94FEB6A-515B-40BA-AEF2-6CA5C3534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4333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18</xdr:col>
      <xdr:colOff>304800</xdr:colOff>
      <xdr:row>18</xdr:row>
      <xdr:rowOff>85725</xdr:rowOff>
    </xdr:to>
    <xdr:sp macro="" textlink="">
      <xdr:nvSpPr>
        <xdr:cNvPr id="70" name="AutoShape 69">
          <a:extLst>
            <a:ext uri="{FF2B5EF4-FFF2-40B4-BE49-F238E27FC236}">
              <a16:creationId xmlns:a16="http://schemas.microsoft.com/office/drawing/2014/main" id="{3B1FCCF0-D453-449D-9AE4-1F610DEE751B}"/>
            </a:ext>
          </a:extLst>
        </xdr:cNvPr>
        <xdr:cNvSpPr>
          <a:spLocks noChangeAspect="1" noChangeArrowheads="1"/>
        </xdr:cNvSpPr>
      </xdr:nvSpPr>
      <xdr:spPr bwMode="auto">
        <a:xfrm>
          <a:off x="31699200" y="411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19</xdr:row>
      <xdr:rowOff>0</xdr:rowOff>
    </xdr:from>
    <xdr:to>
      <xdr:col>18</xdr:col>
      <xdr:colOff>9525</xdr:colOff>
      <xdr:row>19</xdr:row>
      <xdr:rowOff>9525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55C9FDB6-6790-45F5-A50B-D97213010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4552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9525</xdr:colOff>
      <xdr:row>20</xdr:row>
      <xdr:rowOff>9525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E66C90C1-1E28-4E1E-AF3D-09985284E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4772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18</xdr:col>
      <xdr:colOff>9525</xdr:colOff>
      <xdr:row>3</xdr:row>
      <xdr:rowOff>9525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23BB4A96-74F8-47B0-842D-60323E2FB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1343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</xdr:row>
      <xdr:rowOff>0</xdr:rowOff>
    </xdr:from>
    <xdr:to>
      <xdr:col>18</xdr:col>
      <xdr:colOff>304800</xdr:colOff>
      <xdr:row>3</xdr:row>
      <xdr:rowOff>85725</xdr:rowOff>
    </xdr:to>
    <xdr:sp macro="" textlink="">
      <xdr:nvSpPr>
        <xdr:cNvPr id="74" name="AutoShape 98">
          <a:extLst>
            <a:ext uri="{FF2B5EF4-FFF2-40B4-BE49-F238E27FC236}">
              <a16:creationId xmlns:a16="http://schemas.microsoft.com/office/drawing/2014/main" id="{2ED48D95-9D28-4EF3-A7C5-ACFB00BCC4A2}"/>
            </a:ext>
          </a:extLst>
        </xdr:cNvPr>
        <xdr:cNvSpPr>
          <a:spLocks noChangeAspect="1" noChangeArrowheads="1"/>
        </xdr:cNvSpPr>
      </xdr:nvSpPr>
      <xdr:spPr bwMode="auto">
        <a:xfrm>
          <a:off x="31699200" y="11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4</xdr:row>
      <xdr:rowOff>0</xdr:rowOff>
    </xdr:from>
    <xdr:to>
      <xdr:col>18</xdr:col>
      <xdr:colOff>9525</xdr:colOff>
      <xdr:row>4</xdr:row>
      <xdr:rowOff>9525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CD3F16CA-5F39-4208-9CC4-346A2772C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1533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9525</xdr:colOff>
      <xdr:row>5</xdr:row>
      <xdr:rowOff>9525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7B8988FF-0808-477B-8B65-3E4AFBD45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1724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9525</xdr:colOff>
      <xdr:row>6</xdr:row>
      <xdr:rowOff>9525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4A52692-791A-403D-B15C-842C8EE58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1914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304800</xdr:colOff>
      <xdr:row>6</xdr:row>
      <xdr:rowOff>114300</xdr:rowOff>
    </xdr:to>
    <xdr:sp macro="" textlink="">
      <xdr:nvSpPr>
        <xdr:cNvPr id="78" name="AutoShape 102">
          <a:extLst>
            <a:ext uri="{FF2B5EF4-FFF2-40B4-BE49-F238E27FC236}">
              <a16:creationId xmlns:a16="http://schemas.microsoft.com/office/drawing/2014/main" id="{4E9ADA17-9F94-48DD-BD0E-DBA333E23B08}"/>
            </a:ext>
          </a:extLst>
        </xdr:cNvPr>
        <xdr:cNvSpPr>
          <a:spLocks noChangeAspect="1" noChangeArrowheads="1"/>
        </xdr:cNvSpPr>
      </xdr:nvSpPr>
      <xdr:spPr bwMode="auto">
        <a:xfrm>
          <a:off x="31699200" y="172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7</xdr:row>
      <xdr:rowOff>0</xdr:rowOff>
    </xdr:from>
    <xdr:to>
      <xdr:col>18</xdr:col>
      <xdr:colOff>9525</xdr:colOff>
      <xdr:row>7</xdr:row>
      <xdr:rowOff>9525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49FCB934-B92B-4CCF-B7A4-C37E50055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2114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18</xdr:col>
      <xdr:colOff>9525</xdr:colOff>
      <xdr:row>9</xdr:row>
      <xdr:rowOff>9525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3DF2CB4F-7E9C-409E-B94D-348D07080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2533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304800</xdr:colOff>
      <xdr:row>9</xdr:row>
      <xdr:rowOff>85725</xdr:rowOff>
    </xdr:to>
    <xdr:sp macro="" textlink="">
      <xdr:nvSpPr>
        <xdr:cNvPr id="81" name="AutoShape 105">
          <a:extLst>
            <a:ext uri="{FF2B5EF4-FFF2-40B4-BE49-F238E27FC236}">
              <a16:creationId xmlns:a16="http://schemas.microsoft.com/office/drawing/2014/main" id="{BF3002C4-C3B7-4BB1-B883-9EA8DA0AF3FB}"/>
            </a:ext>
          </a:extLst>
        </xdr:cNvPr>
        <xdr:cNvSpPr>
          <a:spLocks noChangeAspect="1" noChangeArrowheads="1"/>
        </xdr:cNvSpPr>
      </xdr:nvSpPr>
      <xdr:spPr bwMode="auto">
        <a:xfrm>
          <a:off x="31699200" y="231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10</xdr:row>
      <xdr:rowOff>0</xdr:rowOff>
    </xdr:from>
    <xdr:to>
      <xdr:col>18</xdr:col>
      <xdr:colOff>9525</xdr:colOff>
      <xdr:row>10</xdr:row>
      <xdr:rowOff>9525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9579704E-C955-4C40-B0DF-3F48A5A9F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2724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11</xdr:row>
      <xdr:rowOff>0</xdr:rowOff>
    </xdr:from>
    <xdr:to>
      <xdr:col>18</xdr:col>
      <xdr:colOff>9525</xdr:colOff>
      <xdr:row>11</xdr:row>
      <xdr:rowOff>9525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D4632756-64F5-4EFD-B44F-42AB1E2FE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2914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9525</xdr:colOff>
      <xdr:row>12</xdr:row>
      <xdr:rowOff>9525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8EC89E95-0B00-403A-9C6C-7C64EADB2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3133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9525</xdr:colOff>
      <xdr:row>13</xdr:row>
      <xdr:rowOff>9525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366DFC08-B5A1-4893-BE5A-88A386FB9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3324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14</xdr:row>
      <xdr:rowOff>0</xdr:rowOff>
    </xdr:from>
    <xdr:to>
      <xdr:col>18</xdr:col>
      <xdr:colOff>9525</xdr:colOff>
      <xdr:row>14</xdr:row>
      <xdr:rowOff>9525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3F75E03-E44D-40B0-824E-877CA3260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3514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304800</xdr:colOff>
      <xdr:row>14</xdr:row>
      <xdr:rowOff>114300</xdr:rowOff>
    </xdr:to>
    <xdr:sp macro="" textlink="">
      <xdr:nvSpPr>
        <xdr:cNvPr id="87" name="AutoShape 111">
          <a:extLst>
            <a:ext uri="{FF2B5EF4-FFF2-40B4-BE49-F238E27FC236}">
              <a16:creationId xmlns:a16="http://schemas.microsoft.com/office/drawing/2014/main" id="{49E7C2A3-D199-412B-B9F2-BFB2AAAFA364}"/>
            </a:ext>
          </a:extLst>
        </xdr:cNvPr>
        <xdr:cNvSpPr>
          <a:spLocks noChangeAspect="1" noChangeArrowheads="1"/>
        </xdr:cNvSpPr>
      </xdr:nvSpPr>
      <xdr:spPr bwMode="auto">
        <a:xfrm>
          <a:off x="31699200" y="332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15</xdr:row>
      <xdr:rowOff>0</xdr:rowOff>
    </xdr:from>
    <xdr:to>
      <xdr:col>18</xdr:col>
      <xdr:colOff>9525</xdr:colOff>
      <xdr:row>15</xdr:row>
      <xdr:rowOff>9525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E9513989-2487-4862-AF1D-879A34E0F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3705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14</xdr:row>
      <xdr:rowOff>0</xdr:rowOff>
    </xdr:from>
    <xdr:to>
      <xdr:col>18</xdr:col>
      <xdr:colOff>304800</xdr:colOff>
      <xdr:row>15</xdr:row>
      <xdr:rowOff>114300</xdr:rowOff>
    </xdr:to>
    <xdr:sp macro="" textlink="">
      <xdr:nvSpPr>
        <xdr:cNvPr id="89" name="AutoShape 113">
          <a:extLst>
            <a:ext uri="{FF2B5EF4-FFF2-40B4-BE49-F238E27FC236}">
              <a16:creationId xmlns:a16="http://schemas.microsoft.com/office/drawing/2014/main" id="{AEE9FF4B-EE52-4F99-BDB1-421A8B8DF912}"/>
            </a:ext>
          </a:extLst>
        </xdr:cNvPr>
        <xdr:cNvSpPr>
          <a:spLocks noChangeAspect="1" noChangeArrowheads="1"/>
        </xdr:cNvSpPr>
      </xdr:nvSpPr>
      <xdr:spPr bwMode="auto">
        <a:xfrm>
          <a:off x="31699200" y="351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9525</xdr:colOff>
      <xdr:row>16</xdr:row>
      <xdr:rowOff>9525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3FACBC3-45D8-4E1F-93EC-51BF1431A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3924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18</xdr:col>
      <xdr:colOff>304800</xdr:colOff>
      <xdr:row>16</xdr:row>
      <xdr:rowOff>85725</xdr:rowOff>
    </xdr:to>
    <xdr:sp macro="" textlink="">
      <xdr:nvSpPr>
        <xdr:cNvPr id="91" name="AutoShape 115">
          <a:extLst>
            <a:ext uri="{FF2B5EF4-FFF2-40B4-BE49-F238E27FC236}">
              <a16:creationId xmlns:a16="http://schemas.microsoft.com/office/drawing/2014/main" id="{5917922B-5216-4793-BF45-39A91CC3FBB9}"/>
            </a:ext>
          </a:extLst>
        </xdr:cNvPr>
        <xdr:cNvSpPr>
          <a:spLocks noChangeAspect="1" noChangeArrowheads="1"/>
        </xdr:cNvSpPr>
      </xdr:nvSpPr>
      <xdr:spPr bwMode="auto">
        <a:xfrm>
          <a:off x="31699200" y="370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17</xdr:row>
      <xdr:rowOff>0</xdr:rowOff>
    </xdr:from>
    <xdr:to>
      <xdr:col>18</xdr:col>
      <xdr:colOff>9525</xdr:colOff>
      <xdr:row>17</xdr:row>
      <xdr:rowOff>9525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5E6ED0C-4858-423F-AB24-22D0E9E2E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41148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304800</xdr:colOff>
      <xdr:row>17</xdr:row>
      <xdr:rowOff>114300</xdr:rowOff>
    </xdr:to>
    <xdr:sp macro="" textlink="">
      <xdr:nvSpPr>
        <xdr:cNvPr id="93" name="AutoShape 117">
          <a:extLst>
            <a:ext uri="{FF2B5EF4-FFF2-40B4-BE49-F238E27FC236}">
              <a16:creationId xmlns:a16="http://schemas.microsoft.com/office/drawing/2014/main" id="{430EFB8F-CB2D-49F6-811A-D25E3DB6461B}"/>
            </a:ext>
          </a:extLst>
        </xdr:cNvPr>
        <xdr:cNvSpPr>
          <a:spLocks noChangeAspect="1" noChangeArrowheads="1"/>
        </xdr:cNvSpPr>
      </xdr:nvSpPr>
      <xdr:spPr bwMode="auto">
        <a:xfrm>
          <a:off x="31699200" y="39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18</xdr:row>
      <xdr:rowOff>0</xdr:rowOff>
    </xdr:from>
    <xdr:to>
      <xdr:col>18</xdr:col>
      <xdr:colOff>9525</xdr:colOff>
      <xdr:row>18</xdr:row>
      <xdr:rowOff>9525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A04865FE-9F2B-4403-A598-9917FE50F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4333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18</xdr:col>
      <xdr:colOff>304800</xdr:colOff>
      <xdr:row>18</xdr:row>
      <xdr:rowOff>85725</xdr:rowOff>
    </xdr:to>
    <xdr:sp macro="" textlink="">
      <xdr:nvSpPr>
        <xdr:cNvPr id="95" name="AutoShape 119">
          <a:extLst>
            <a:ext uri="{FF2B5EF4-FFF2-40B4-BE49-F238E27FC236}">
              <a16:creationId xmlns:a16="http://schemas.microsoft.com/office/drawing/2014/main" id="{70AB0200-0983-4320-AA04-589925926B2B}"/>
            </a:ext>
          </a:extLst>
        </xdr:cNvPr>
        <xdr:cNvSpPr>
          <a:spLocks noChangeAspect="1" noChangeArrowheads="1"/>
        </xdr:cNvSpPr>
      </xdr:nvSpPr>
      <xdr:spPr bwMode="auto">
        <a:xfrm>
          <a:off x="31699200" y="411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19</xdr:row>
      <xdr:rowOff>0</xdr:rowOff>
    </xdr:from>
    <xdr:to>
      <xdr:col>18</xdr:col>
      <xdr:colOff>9525</xdr:colOff>
      <xdr:row>19</xdr:row>
      <xdr:rowOff>9525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D71AFF39-B063-4C6D-8BB5-37F43FCC9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4552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9525</xdr:colOff>
      <xdr:row>20</xdr:row>
      <xdr:rowOff>9525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5BE2D021-C652-4366-A7E7-CE903565A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4772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18</xdr:col>
      <xdr:colOff>9525</xdr:colOff>
      <xdr:row>3</xdr:row>
      <xdr:rowOff>9525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BD197252-9132-45EC-9314-792763FA3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1343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</xdr:row>
      <xdr:rowOff>0</xdr:rowOff>
    </xdr:from>
    <xdr:to>
      <xdr:col>18</xdr:col>
      <xdr:colOff>304800</xdr:colOff>
      <xdr:row>3</xdr:row>
      <xdr:rowOff>85725</xdr:rowOff>
    </xdr:to>
    <xdr:sp macro="" textlink="">
      <xdr:nvSpPr>
        <xdr:cNvPr id="99" name="AutoShape 123">
          <a:extLst>
            <a:ext uri="{FF2B5EF4-FFF2-40B4-BE49-F238E27FC236}">
              <a16:creationId xmlns:a16="http://schemas.microsoft.com/office/drawing/2014/main" id="{1C16275F-F82D-4BA8-A2A9-D8A00CCF6B6B}"/>
            </a:ext>
          </a:extLst>
        </xdr:cNvPr>
        <xdr:cNvSpPr>
          <a:spLocks noChangeAspect="1" noChangeArrowheads="1"/>
        </xdr:cNvSpPr>
      </xdr:nvSpPr>
      <xdr:spPr bwMode="auto">
        <a:xfrm>
          <a:off x="31699200" y="11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4</xdr:row>
      <xdr:rowOff>0</xdr:rowOff>
    </xdr:from>
    <xdr:to>
      <xdr:col>18</xdr:col>
      <xdr:colOff>9525</xdr:colOff>
      <xdr:row>4</xdr:row>
      <xdr:rowOff>9525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DDD9A838-A32D-4147-8B9C-76384A9C0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1533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9525</xdr:colOff>
      <xdr:row>5</xdr:row>
      <xdr:rowOff>9525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D11BF4BC-4383-40D2-86C3-6B0EB4576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1724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9525</xdr:colOff>
      <xdr:row>6</xdr:row>
      <xdr:rowOff>9525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5819BD8A-813D-47B6-A275-B4FB9B8D0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1914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304800</xdr:colOff>
      <xdr:row>6</xdr:row>
      <xdr:rowOff>114300</xdr:rowOff>
    </xdr:to>
    <xdr:sp macro="" textlink="">
      <xdr:nvSpPr>
        <xdr:cNvPr id="103" name="AutoShape 127">
          <a:extLst>
            <a:ext uri="{FF2B5EF4-FFF2-40B4-BE49-F238E27FC236}">
              <a16:creationId xmlns:a16="http://schemas.microsoft.com/office/drawing/2014/main" id="{2E12F930-D600-4514-859A-01056DAC3C47}"/>
            </a:ext>
          </a:extLst>
        </xdr:cNvPr>
        <xdr:cNvSpPr>
          <a:spLocks noChangeAspect="1" noChangeArrowheads="1"/>
        </xdr:cNvSpPr>
      </xdr:nvSpPr>
      <xdr:spPr bwMode="auto">
        <a:xfrm>
          <a:off x="31699200" y="172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7</xdr:row>
      <xdr:rowOff>0</xdr:rowOff>
    </xdr:from>
    <xdr:to>
      <xdr:col>18</xdr:col>
      <xdr:colOff>9525</xdr:colOff>
      <xdr:row>7</xdr:row>
      <xdr:rowOff>9525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FFD2FBC7-3E38-49CD-AAFE-D74C1DE74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2114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18</xdr:col>
      <xdr:colOff>9525</xdr:colOff>
      <xdr:row>9</xdr:row>
      <xdr:rowOff>9525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87D6BFE4-E061-455B-909B-F81803F31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2533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304800</xdr:colOff>
      <xdr:row>9</xdr:row>
      <xdr:rowOff>85725</xdr:rowOff>
    </xdr:to>
    <xdr:sp macro="" textlink="">
      <xdr:nvSpPr>
        <xdr:cNvPr id="106" name="AutoShape 130">
          <a:extLst>
            <a:ext uri="{FF2B5EF4-FFF2-40B4-BE49-F238E27FC236}">
              <a16:creationId xmlns:a16="http://schemas.microsoft.com/office/drawing/2014/main" id="{53DA55E9-AE1F-4CDE-9965-D73F9E7532FC}"/>
            </a:ext>
          </a:extLst>
        </xdr:cNvPr>
        <xdr:cNvSpPr>
          <a:spLocks noChangeAspect="1" noChangeArrowheads="1"/>
        </xdr:cNvSpPr>
      </xdr:nvSpPr>
      <xdr:spPr bwMode="auto">
        <a:xfrm>
          <a:off x="31699200" y="231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10</xdr:row>
      <xdr:rowOff>0</xdr:rowOff>
    </xdr:from>
    <xdr:to>
      <xdr:col>18</xdr:col>
      <xdr:colOff>9525</xdr:colOff>
      <xdr:row>10</xdr:row>
      <xdr:rowOff>9525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21511C80-65CD-4A28-9EED-0D1F714CE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2724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11</xdr:row>
      <xdr:rowOff>0</xdr:rowOff>
    </xdr:from>
    <xdr:to>
      <xdr:col>18</xdr:col>
      <xdr:colOff>9525</xdr:colOff>
      <xdr:row>11</xdr:row>
      <xdr:rowOff>9525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EE7D3665-E12B-447B-9192-D197C56C5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2914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9525</xdr:colOff>
      <xdr:row>12</xdr:row>
      <xdr:rowOff>9525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266E388-40BB-4727-9FAC-11CA69A1B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3133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9525</xdr:colOff>
      <xdr:row>13</xdr:row>
      <xdr:rowOff>9525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4229F97-8990-4D8A-9CDE-EED3DEAC7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3324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14</xdr:row>
      <xdr:rowOff>0</xdr:rowOff>
    </xdr:from>
    <xdr:to>
      <xdr:col>18</xdr:col>
      <xdr:colOff>9525</xdr:colOff>
      <xdr:row>14</xdr:row>
      <xdr:rowOff>9525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42575C19-D7D5-46C2-B795-4C48EF1B3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3514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304800</xdr:colOff>
      <xdr:row>14</xdr:row>
      <xdr:rowOff>114300</xdr:rowOff>
    </xdr:to>
    <xdr:sp macro="" textlink="">
      <xdr:nvSpPr>
        <xdr:cNvPr id="112" name="AutoShape 136">
          <a:extLst>
            <a:ext uri="{FF2B5EF4-FFF2-40B4-BE49-F238E27FC236}">
              <a16:creationId xmlns:a16="http://schemas.microsoft.com/office/drawing/2014/main" id="{8867A339-2322-451B-8FAF-3F8A9C427F77}"/>
            </a:ext>
          </a:extLst>
        </xdr:cNvPr>
        <xdr:cNvSpPr>
          <a:spLocks noChangeAspect="1" noChangeArrowheads="1"/>
        </xdr:cNvSpPr>
      </xdr:nvSpPr>
      <xdr:spPr bwMode="auto">
        <a:xfrm>
          <a:off x="31699200" y="332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15</xdr:row>
      <xdr:rowOff>0</xdr:rowOff>
    </xdr:from>
    <xdr:to>
      <xdr:col>18</xdr:col>
      <xdr:colOff>9525</xdr:colOff>
      <xdr:row>15</xdr:row>
      <xdr:rowOff>9525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3C0EDE97-6549-4D6A-BF20-F0CE37F9D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3705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14</xdr:row>
      <xdr:rowOff>0</xdr:rowOff>
    </xdr:from>
    <xdr:to>
      <xdr:col>18</xdr:col>
      <xdr:colOff>304800</xdr:colOff>
      <xdr:row>15</xdr:row>
      <xdr:rowOff>114300</xdr:rowOff>
    </xdr:to>
    <xdr:sp macro="" textlink="">
      <xdr:nvSpPr>
        <xdr:cNvPr id="114" name="AutoShape 138">
          <a:extLst>
            <a:ext uri="{FF2B5EF4-FFF2-40B4-BE49-F238E27FC236}">
              <a16:creationId xmlns:a16="http://schemas.microsoft.com/office/drawing/2014/main" id="{880A80FE-0611-4775-A524-25868F95BA0F}"/>
            </a:ext>
          </a:extLst>
        </xdr:cNvPr>
        <xdr:cNvSpPr>
          <a:spLocks noChangeAspect="1" noChangeArrowheads="1"/>
        </xdr:cNvSpPr>
      </xdr:nvSpPr>
      <xdr:spPr bwMode="auto">
        <a:xfrm>
          <a:off x="31699200" y="351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9525</xdr:colOff>
      <xdr:row>16</xdr:row>
      <xdr:rowOff>9525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099C13D-2B98-4C55-8BB3-9620B2220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3924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18</xdr:col>
      <xdr:colOff>304800</xdr:colOff>
      <xdr:row>16</xdr:row>
      <xdr:rowOff>85725</xdr:rowOff>
    </xdr:to>
    <xdr:sp macro="" textlink="">
      <xdr:nvSpPr>
        <xdr:cNvPr id="116" name="AutoShape 140">
          <a:extLst>
            <a:ext uri="{FF2B5EF4-FFF2-40B4-BE49-F238E27FC236}">
              <a16:creationId xmlns:a16="http://schemas.microsoft.com/office/drawing/2014/main" id="{DD380D96-7978-4B0F-BDD8-A91664F27F78}"/>
            </a:ext>
          </a:extLst>
        </xdr:cNvPr>
        <xdr:cNvSpPr>
          <a:spLocks noChangeAspect="1" noChangeArrowheads="1"/>
        </xdr:cNvSpPr>
      </xdr:nvSpPr>
      <xdr:spPr bwMode="auto">
        <a:xfrm>
          <a:off x="31699200" y="370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17</xdr:row>
      <xdr:rowOff>0</xdr:rowOff>
    </xdr:from>
    <xdr:to>
      <xdr:col>18</xdr:col>
      <xdr:colOff>9525</xdr:colOff>
      <xdr:row>17</xdr:row>
      <xdr:rowOff>9525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8858C854-37C2-4855-87CA-8C6776D02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41148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304800</xdr:colOff>
      <xdr:row>17</xdr:row>
      <xdr:rowOff>114300</xdr:rowOff>
    </xdr:to>
    <xdr:sp macro="" textlink="">
      <xdr:nvSpPr>
        <xdr:cNvPr id="118" name="AutoShape 142">
          <a:extLst>
            <a:ext uri="{FF2B5EF4-FFF2-40B4-BE49-F238E27FC236}">
              <a16:creationId xmlns:a16="http://schemas.microsoft.com/office/drawing/2014/main" id="{0C63C418-6433-414C-B43A-3234230FB1AA}"/>
            </a:ext>
          </a:extLst>
        </xdr:cNvPr>
        <xdr:cNvSpPr>
          <a:spLocks noChangeAspect="1" noChangeArrowheads="1"/>
        </xdr:cNvSpPr>
      </xdr:nvSpPr>
      <xdr:spPr bwMode="auto">
        <a:xfrm>
          <a:off x="31699200" y="39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18</xdr:row>
      <xdr:rowOff>0</xdr:rowOff>
    </xdr:from>
    <xdr:to>
      <xdr:col>18</xdr:col>
      <xdr:colOff>9525</xdr:colOff>
      <xdr:row>18</xdr:row>
      <xdr:rowOff>9525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3D6F1FF4-9E8F-4DDB-A747-9A42AD24A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4333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18</xdr:col>
      <xdr:colOff>304800</xdr:colOff>
      <xdr:row>18</xdr:row>
      <xdr:rowOff>85725</xdr:rowOff>
    </xdr:to>
    <xdr:sp macro="" textlink="">
      <xdr:nvSpPr>
        <xdr:cNvPr id="120" name="AutoShape 144">
          <a:extLst>
            <a:ext uri="{FF2B5EF4-FFF2-40B4-BE49-F238E27FC236}">
              <a16:creationId xmlns:a16="http://schemas.microsoft.com/office/drawing/2014/main" id="{8F5C7776-BA49-4BF6-B1C7-9F5D4D10BB79}"/>
            </a:ext>
          </a:extLst>
        </xdr:cNvPr>
        <xdr:cNvSpPr>
          <a:spLocks noChangeAspect="1" noChangeArrowheads="1"/>
        </xdr:cNvSpPr>
      </xdr:nvSpPr>
      <xdr:spPr bwMode="auto">
        <a:xfrm>
          <a:off x="31699200" y="411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19</xdr:row>
      <xdr:rowOff>0</xdr:rowOff>
    </xdr:from>
    <xdr:to>
      <xdr:col>18</xdr:col>
      <xdr:colOff>9525</xdr:colOff>
      <xdr:row>19</xdr:row>
      <xdr:rowOff>9525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170EFC9-44F7-438E-A671-B67AF791E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4552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9525</xdr:colOff>
      <xdr:row>20</xdr:row>
      <xdr:rowOff>9525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C1C9AE0C-C106-4C1E-82E0-6B9367E6B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99200" y="4772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9525</xdr:colOff>
      <xdr:row>3</xdr:row>
      <xdr:rowOff>9525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87D10FE6-6FD6-4BE7-AF5E-AC2D027D4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343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304800</xdr:colOff>
      <xdr:row>3</xdr:row>
      <xdr:rowOff>85725</xdr:rowOff>
    </xdr:to>
    <xdr:sp macro="" textlink="">
      <xdr:nvSpPr>
        <xdr:cNvPr id="124" name="AutoShape 148">
          <a:extLst>
            <a:ext uri="{FF2B5EF4-FFF2-40B4-BE49-F238E27FC236}">
              <a16:creationId xmlns:a16="http://schemas.microsoft.com/office/drawing/2014/main" id="{45E278A5-D92D-46C7-B17D-66D1685F39D7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11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1238250</xdr:colOff>
      <xdr:row>4</xdr:row>
      <xdr:rowOff>0</xdr:rowOff>
    </xdr:from>
    <xdr:to>
      <xdr:col>0</xdr:col>
      <xdr:colOff>1247775</xdr:colOff>
      <xdr:row>4</xdr:row>
      <xdr:rowOff>9525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67DE64CF-B8A8-4370-A2C2-9F8B35353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" y="1533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304800</xdr:colOff>
      <xdr:row>4</xdr:row>
      <xdr:rowOff>114300</xdr:rowOff>
    </xdr:to>
    <xdr:sp macro="" textlink="">
      <xdr:nvSpPr>
        <xdr:cNvPr id="126" name="AutoShape 150">
          <a:extLst>
            <a:ext uri="{FF2B5EF4-FFF2-40B4-BE49-F238E27FC236}">
              <a16:creationId xmlns:a16="http://schemas.microsoft.com/office/drawing/2014/main" id="{8EAC30CD-CF62-4076-83BA-5F976418A6A1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134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9525</xdr:colOff>
      <xdr:row>5</xdr:row>
      <xdr:rowOff>9525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5497D76-419D-41FD-B52C-D79388DD8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724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9525</xdr:colOff>
      <xdr:row>6</xdr:row>
      <xdr:rowOff>9525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46D4F18-5C2C-40E7-99D0-7DC61D623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914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9525</xdr:colOff>
      <xdr:row>7</xdr:row>
      <xdr:rowOff>9525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EF76B559-FD8A-485F-887F-AA9B1CC01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2114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304800</xdr:colOff>
      <xdr:row>7</xdr:row>
      <xdr:rowOff>100693</xdr:rowOff>
    </xdr:to>
    <xdr:sp macro="" textlink="">
      <xdr:nvSpPr>
        <xdr:cNvPr id="130" name="AutoShape 154">
          <a:extLst>
            <a:ext uri="{FF2B5EF4-FFF2-40B4-BE49-F238E27FC236}">
              <a16:creationId xmlns:a16="http://schemas.microsoft.com/office/drawing/2014/main" id="{958053D1-441E-4C5C-B1A6-699C50860A74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1914525"/>
          <a:ext cx="304800" cy="300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9</xdr:row>
      <xdr:rowOff>0</xdr:rowOff>
    </xdr:from>
    <xdr:to>
      <xdr:col>20</xdr:col>
      <xdr:colOff>9525</xdr:colOff>
      <xdr:row>9</xdr:row>
      <xdr:rowOff>9525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F7044FD2-91CA-4139-BEA8-D1F947811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2533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304800</xdr:colOff>
      <xdr:row>9</xdr:row>
      <xdr:rowOff>85725</xdr:rowOff>
    </xdr:to>
    <xdr:sp macro="" textlink="">
      <xdr:nvSpPr>
        <xdr:cNvPr id="132" name="AutoShape 156">
          <a:extLst>
            <a:ext uri="{FF2B5EF4-FFF2-40B4-BE49-F238E27FC236}">
              <a16:creationId xmlns:a16="http://schemas.microsoft.com/office/drawing/2014/main" id="{02A96613-4A16-4A4E-A7B4-B8BFDF573DAB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231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10</xdr:row>
      <xdr:rowOff>0</xdr:rowOff>
    </xdr:from>
    <xdr:to>
      <xdr:col>20</xdr:col>
      <xdr:colOff>9525</xdr:colOff>
      <xdr:row>10</xdr:row>
      <xdr:rowOff>9525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D4F3531E-2A27-4FB1-AC99-77EDC7920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2724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11</xdr:row>
      <xdr:rowOff>0</xdr:rowOff>
    </xdr:from>
    <xdr:to>
      <xdr:col>20</xdr:col>
      <xdr:colOff>9525</xdr:colOff>
      <xdr:row>11</xdr:row>
      <xdr:rowOff>9525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61C4F2A8-9C73-4EAC-866B-9FD7DD732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2914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10</xdr:row>
      <xdr:rowOff>0</xdr:rowOff>
    </xdr:from>
    <xdr:to>
      <xdr:col>20</xdr:col>
      <xdr:colOff>304800</xdr:colOff>
      <xdr:row>11</xdr:row>
      <xdr:rowOff>114300</xdr:rowOff>
    </xdr:to>
    <xdr:sp macro="" textlink="">
      <xdr:nvSpPr>
        <xdr:cNvPr id="135" name="AutoShape 159">
          <a:extLst>
            <a:ext uri="{FF2B5EF4-FFF2-40B4-BE49-F238E27FC236}">
              <a16:creationId xmlns:a16="http://schemas.microsoft.com/office/drawing/2014/main" id="{2A697A65-9B62-4A34-B9A3-33A15C1EDC58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272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9525</xdr:colOff>
      <xdr:row>12</xdr:row>
      <xdr:rowOff>9525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C23A2361-F3EA-428B-81C1-78433FA87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3133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9525</xdr:colOff>
      <xdr:row>13</xdr:row>
      <xdr:rowOff>9525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9FDFEDF5-0D87-4349-87B4-0F758ECFB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3324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20</xdr:col>
      <xdr:colOff>9525</xdr:colOff>
      <xdr:row>14</xdr:row>
      <xdr:rowOff>9525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9A17ECE5-685E-4A91-A8C0-F7659CD42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3514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9525</xdr:colOff>
      <xdr:row>15</xdr:row>
      <xdr:rowOff>9525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4DB2B92A-2916-4FCF-A5D6-315936076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3705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16</xdr:row>
      <xdr:rowOff>0</xdr:rowOff>
    </xdr:from>
    <xdr:to>
      <xdr:col>20</xdr:col>
      <xdr:colOff>9525</xdr:colOff>
      <xdr:row>16</xdr:row>
      <xdr:rowOff>9525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21F50072-10F0-4FC5-BDCE-5E0DC649B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3924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304800</xdr:colOff>
      <xdr:row>16</xdr:row>
      <xdr:rowOff>85725</xdr:rowOff>
    </xdr:to>
    <xdr:sp macro="" textlink="">
      <xdr:nvSpPr>
        <xdr:cNvPr id="141" name="AutoShape 165">
          <a:extLst>
            <a:ext uri="{FF2B5EF4-FFF2-40B4-BE49-F238E27FC236}">
              <a16:creationId xmlns:a16="http://schemas.microsoft.com/office/drawing/2014/main" id="{654A6893-74A5-4248-8F53-67D376354679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370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9525</xdr:colOff>
      <xdr:row>17</xdr:row>
      <xdr:rowOff>9525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FF16E46B-6CBD-4DC4-AC97-92C280CB5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41148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20</xdr:col>
      <xdr:colOff>9525</xdr:colOff>
      <xdr:row>18</xdr:row>
      <xdr:rowOff>9525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4567901E-9BC1-4DFA-B915-7232CB034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4333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304800</xdr:colOff>
      <xdr:row>18</xdr:row>
      <xdr:rowOff>85725</xdr:rowOff>
    </xdr:to>
    <xdr:sp macro="" textlink="">
      <xdr:nvSpPr>
        <xdr:cNvPr id="144" name="AutoShape 169">
          <a:extLst>
            <a:ext uri="{FF2B5EF4-FFF2-40B4-BE49-F238E27FC236}">
              <a16:creationId xmlns:a16="http://schemas.microsoft.com/office/drawing/2014/main" id="{74C8EB7E-D15E-4257-8118-D689E9551748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411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9525</xdr:colOff>
      <xdr:row>19</xdr:row>
      <xdr:rowOff>9525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4008A0EE-B5F6-4C26-AF94-4EAE8099B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4552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20</xdr:col>
      <xdr:colOff>304800</xdr:colOff>
      <xdr:row>19</xdr:row>
      <xdr:rowOff>85725</xdr:rowOff>
    </xdr:to>
    <xdr:sp macro="" textlink="">
      <xdr:nvSpPr>
        <xdr:cNvPr id="146" name="AutoShape 171">
          <a:extLst>
            <a:ext uri="{FF2B5EF4-FFF2-40B4-BE49-F238E27FC236}">
              <a16:creationId xmlns:a16="http://schemas.microsoft.com/office/drawing/2014/main" id="{6924CA24-766B-4A88-81FF-75DC2E906670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433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9525</xdr:colOff>
      <xdr:row>20</xdr:row>
      <xdr:rowOff>9525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4CE9ABB5-31E8-4565-A878-4D55399E2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4772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304800</xdr:colOff>
      <xdr:row>20</xdr:row>
      <xdr:rowOff>85726</xdr:rowOff>
    </xdr:to>
    <xdr:sp macro="" textlink="">
      <xdr:nvSpPr>
        <xdr:cNvPr id="148" name="AutoShape 173">
          <a:extLst>
            <a:ext uri="{FF2B5EF4-FFF2-40B4-BE49-F238E27FC236}">
              <a16:creationId xmlns:a16="http://schemas.microsoft.com/office/drawing/2014/main" id="{C407A197-78A5-4A15-B941-99FFAE5ADC99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455295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21</xdr:row>
      <xdr:rowOff>0</xdr:rowOff>
    </xdr:from>
    <xdr:to>
      <xdr:col>20</xdr:col>
      <xdr:colOff>9525</xdr:colOff>
      <xdr:row>21</xdr:row>
      <xdr:rowOff>9525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5D579CD5-CCA7-47B2-B5BB-A4F683E0C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4991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22</xdr:row>
      <xdr:rowOff>0</xdr:rowOff>
    </xdr:from>
    <xdr:to>
      <xdr:col>20</xdr:col>
      <xdr:colOff>9525</xdr:colOff>
      <xdr:row>22</xdr:row>
      <xdr:rowOff>9525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3C24E3E7-A320-46E0-B5B4-1A6C19032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5191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3</xdr:row>
      <xdr:rowOff>0</xdr:rowOff>
    </xdr:from>
    <xdr:ext cx="9525" cy="9525"/>
    <xdr:pic>
      <xdr:nvPicPr>
        <xdr:cNvPr id="151" name="Picture 150">
          <a:extLst>
            <a:ext uri="{FF2B5EF4-FFF2-40B4-BE49-F238E27FC236}">
              <a16:creationId xmlns:a16="http://schemas.microsoft.com/office/drawing/2014/main" id="{384B79B2-5BE5-44EB-9385-74AA39199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43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9525" cy="9525"/>
    <xdr:pic>
      <xdr:nvPicPr>
        <xdr:cNvPr id="152" name="Picture 151">
          <a:extLst>
            <a:ext uri="{FF2B5EF4-FFF2-40B4-BE49-F238E27FC236}">
              <a16:creationId xmlns:a16="http://schemas.microsoft.com/office/drawing/2014/main" id="{0A6B6EB2-08B9-45C4-9CF6-C3C7434A7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4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6</xdr:row>
      <xdr:rowOff>0</xdr:rowOff>
    </xdr:from>
    <xdr:ext cx="9525" cy="9525"/>
    <xdr:pic>
      <xdr:nvPicPr>
        <xdr:cNvPr id="153" name="Picture 152">
          <a:extLst>
            <a:ext uri="{FF2B5EF4-FFF2-40B4-BE49-F238E27FC236}">
              <a16:creationId xmlns:a16="http://schemas.microsoft.com/office/drawing/2014/main" id="{2B1E8B08-F04F-4425-B423-CA22DC347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4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7</xdr:row>
      <xdr:rowOff>0</xdr:rowOff>
    </xdr:from>
    <xdr:ext cx="9525" cy="9525"/>
    <xdr:pic>
      <xdr:nvPicPr>
        <xdr:cNvPr id="154" name="Picture 153">
          <a:extLst>
            <a:ext uri="{FF2B5EF4-FFF2-40B4-BE49-F238E27FC236}">
              <a16:creationId xmlns:a16="http://schemas.microsoft.com/office/drawing/2014/main" id="{CD5A3995-3951-482D-BFD5-F19A884D0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14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9</xdr:row>
      <xdr:rowOff>0</xdr:rowOff>
    </xdr:from>
    <xdr:ext cx="9525" cy="9525"/>
    <xdr:pic>
      <xdr:nvPicPr>
        <xdr:cNvPr id="155" name="Picture 154">
          <a:extLst>
            <a:ext uri="{FF2B5EF4-FFF2-40B4-BE49-F238E27FC236}">
              <a16:creationId xmlns:a16="http://schemas.microsoft.com/office/drawing/2014/main" id="{998D554F-3C80-4D4D-87CD-8AA099836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33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10</xdr:row>
      <xdr:rowOff>0</xdr:rowOff>
    </xdr:from>
    <xdr:ext cx="9525" cy="9525"/>
    <xdr:pic>
      <xdr:nvPicPr>
        <xdr:cNvPr id="156" name="Picture 155">
          <a:extLst>
            <a:ext uri="{FF2B5EF4-FFF2-40B4-BE49-F238E27FC236}">
              <a16:creationId xmlns:a16="http://schemas.microsoft.com/office/drawing/2014/main" id="{C2C3F9E6-19CC-4951-A857-CF3B35F96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24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</xdr:row>
      <xdr:rowOff>0</xdr:rowOff>
    </xdr:from>
    <xdr:ext cx="9525" cy="9525"/>
    <xdr:pic>
      <xdr:nvPicPr>
        <xdr:cNvPr id="157" name="Picture 156">
          <a:extLst>
            <a:ext uri="{FF2B5EF4-FFF2-40B4-BE49-F238E27FC236}">
              <a16:creationId xmlns:a16="http://schemas.microsoft.com/office/drawing/2014/main" id="{A395B881-E548-4736-811B-045567349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14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</xdr:row>
      <xdr:rowOff>0</xdr:rowOff>
    </xdr:from>
    <xdr:ext cx="9525" cy="9525"/>
    <xdr:pic>
      <xdr:nvPicPr>
        <xdr:cNvPr id="158" name="Picture 157">
          <a:extLst>
            <a:ext uri="{FF2B5EF4-FFF2-40B4-BE49-F238E27FC236}">
              <a16:creationId xmlns:a16="http://schemas.microsoft.com/office/drawing/2014/main" id="{F54CAD47-C8C2-42AA-98E6-B33AA19C7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33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</xdr:row>
      <xdr:rowOff>0</xdr:rowOff>
    </xdr:from>
    <xdr:ext cx="9525" cy="9525"/>
    <xdr:pic>
      <xdr:nvPicPr>
        <xdr:cNvPr id="159" name="Picture 158">
          <a:extLst>
            <a:ext uri="{FF2B5EF4-FFF2-40B4-BE49-F238E27FC236}">
              <a16:creationId xmlns:a16="http://schemas.microsoft.com/office/drawing/2014/main" id="{83D0F858-370C-4475-BBE9-7C0ADE7DE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24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14</xdr:row>
      <xdr:rowOff>0</xdr:rowOff>
    </xdr:from>
    <xdr:ext cx="9525" cy="9525"/>
    <xdr:pic>
      <xdr:nvPicPr>
        <xdr:cNvPr id="160" name="Picture 159">
          <a:extLst>
            <a:ext uri="{FF2B5EF4-FFF2-40B4-BE49-F238E27FC236}">
              <a16:creationId xmlns:a16="http://schemas.microsoft.com/office/drawing/2014/main" id="{61B0133D-CE8A-4175-A9C5-3AF421C89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14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15</xdr:row>
      <xdr:rowOff>0</xdr:rowOff>
    </xdr:from>
    <xdr:ext cx="9525" cy="9525"/>
    <xdr:pic>
      <xdr:nvPicPr>
        <xdr:cNvPr id="161" name="Picture 160">
          <a:extLst>
            <a:ext uri="{FF2B5EF4-FFF2-40B4-BE49-F238E27FC236}">
              <a16:creationId xmlns:a16="http://schemas.microsoft.com/office/drawing/2014/main" id="{BDCB58C6-E303-44C9-B640-14B1B804D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05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</xdr:row>
      <xdr:rowOff>0</xdr:rowOff>
    </xdr:from>
    <xdr:ext cx="9525" cy="9525"/>
    <xdr:pic>
      <xdr:nvPicPr>
        <xdr:cNvPr id="162" name="Picture 161">
          <a:extLst>
            <a:ext uri="{FF2B5EF4-FFF2-40B4-BE49-F238E27FC236}">
              <a16:creationId xmlns:a16="http://schemas.microsoft.com/office/drawing/2014/main" id="{FD5D5E50-11F2-47BB-BF88-B532BD098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4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9525" cy="9525"/>
    <xdr:pic>
      <xdr:nvPicPr>
        <xdr:cNvPr id="163" name="Picture 162">
          <a:extLst>
            <a:ext uri="{FF2B5EF4-FFF2-40B4-BE49-F238E27FC236}">
              <a16:creationId xmlns:a16="http://schemas.microsoft.com/office/drawing/2014/main" id="{D694E160-2CCA-4E69-9DCC-F2203EAD8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148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</xdr:row>
      <xdr:rowOff>0</xdr:rowOff>
    </xdr:from>
    <xdr:ext cx="9525" cy="9525"/>
    <xdr:pic>
      <xdr:nvPicPr>
        <xdr:cNvPr id="164" name="Picture 163">
          <a:extLst>
            <a:ext uri="{FF2B5EF4-FFF2-40B4-BE49-F238E27FC236}">
              <a16:creationId xmlns:a16="http://schemas.microsoft.com/office/drawing/2014/main" id="{E9326C77-5770-4EC5-9753-4137619D7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52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20</xdr:row>
      <xdr:rowOff>0</xdr:rowOff>
    </xdr:from>
    <xdr:ext cx="9525" cy="9525"/>
    <xdr:pic>
      <xdr:nvPicPr>
        <xdr:cNvPr id="165" name="Picture 164">
          <a:extLst>
            <a:ext uri="{FF2B5EF4-FFF2-40B4-BE49-F238E27FC236}">
              <a16:creationId xmlns:a16="http://schemas.microsoft.com/office/drawing/2014/main" id="{5492EAC3-0D12-44A9-BE2E-0D3ED2CD5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72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22</xdr:row>
      <xdr:rowOff>0</xdr:rowOff>
    </xdr:from>
    <xdr:ext cx="9525" cy="9525"/>
    <xdr:pic>
      <xdr:nvPicPr>
        <xdr:cNvPr id="166" name="Picture 165">
          <a:extLst>
            <a:ext uri="{FF2B5EF4-FFF2-40B4-BE49-F238E27FC236}">
              <a16:creationId xmlns:a16="http://schemas.microsoft.com/office/drawing/2014/main" id="{8EC2790D-EC0C-4CBA-8F8A-90F26EB8D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91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</xdr:row>
      <xdr:rowOff>0</xdr:rowOff>
    </xdr:from>
    <xdr:ext cx="9525" cy="9525"/>
    <xdr:pic>
      <xdr:nvPicPr>
        <xdr:cNvPr id="167" name="Picture 166">
          <a:extLst>
            <a:ext uri="{FF2B5EF4-FFF2-40B4-BE49-F238E27FC236}">
              <a16:creationId xmlns:a16="http://schemas.microsoft.com/office/drawing/2014/main" id="{8FC68AC8-06CE-42A9-A0BC-8FB89B9A0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81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0</xdr:rowOff>
    </xdr:from>
    <xdr:ext cx="9525" cy="9525"/>
    <xdr:pic>
      <xdr:nvPicPr>
        <xdr:cNvPr id="168" name="Picture 167">
          <a:extLst>
            <a:ext uri="{FF2B5EF4-FFF2-40B4-BE49-F238E27FC236}">
              <a16:creationId xmlns:a16="http://schemas.microsoft.com/office/drawing/2014/main" id="{0E38DCE4-B860-4D7C-8CDD-E03578BDF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72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20</xdr:col>
      <xdr:colOff>0</xdr:colOff>
      <xdr:row>3</xdr:row>
      <xdr:rowOff>0</xdr:rowOff>
    </xdr:from>
    <xdr:to>
      <xdr:col>20</xdr:col>
      <xdr:colOff>9525</xdr:colOff>
      <xdr:row>3</xdr:row>
      <xdr:rowOff>9525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1EEAD0B3-2A3E-412E-9146-55886F846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343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304800</xdr:colOff>
      <xdr:row>3</xdr:row>
      <xdr:rowOff>85725</xdr:rowOff>
    </xdr:to>
    <xdr:sp macro="" textlink="">
      <xdr:nvSpPr>
        <xdr:cNvPr id="170" name="AutoShape 177">
          <a:extLst>
            <a:ext uri="{FF2B5EF4-FFF2-40B4-BE49-F238E27FC236}">
              <a16:creationId xmlns:a16="http://schemas.microsoft.com/office/drawing/2014/main" id="{DE932F08-00EE-452F-846B-015CDF277F74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11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9525</xdr:colOff>
      <xdr:row>4</xdr:row>
      <xdr:rowOff>9525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6FEC1194-41F7-430A-BB3F-ABF40AFB3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533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9525</xdr:colOff>
      <xdr:row>5</xdr:row>
      <xdr:rowOff>9525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3DEA7094-7BB9-4364-BDE4-0C851D488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724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9525</xdr:colOff>
      <xdr:row>6</xdr:row>
      <xdr:rowOff>9525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90CCFE9E-DDF1-426C-B3ED-EEA7ADAEF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914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304800</xdr:colOff>
      <xdr:row>6</xdr:row>
      <xdr:rowOff>114300</xdr:rowOff>
    </xdr:to>
    <xdr:sp macro="" textlink="">
      <xdr:nvSpPr>
        <xdr:cNvPr id="174" name="AutoShape 181">
          <a:extLst>
            <a:ext uri="{FF2B5EF4-FFF2-40B4-BE49-F238E27FC236}">
              <a16:creationId xmlns:a16="http://schemas.microsoft.com/office/drawing/2014/main" id="{265FEEE8-9A3D-4E06-A2A5-1AD7E4459A85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172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9525</xdr:colOff>
      <xdr:row>7</xdr:row>
      <xdr:rowOff>9525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5F303B90-8EEC-43EE-BA6E-F31A77E73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2114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304800</xdr:colOff>
      <xdr:row>8</xdr:row>
      <xdr:rowOff>100693</xdr:rowOff>
    </xdr:to>
    <xdr:sp macro="" textlink="">
      <xdr:nvSpPr>
        <xdr:cNvPr id="176" name="AutoShape 183">
          <a:extLst>
            <a:ext uri="{FF2B5EF4-FFF2-40B4-BE49-F238E27FC236}">
              <a16:creationId xmlns:a16="http://schemas.microsoft.com/office/drawing/2014/main" id="{4ADB9086-E981-42A7-BF96-162070D9E870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2114550"/>
          <a:ext cx="304800" cy="300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9</xdr:row>
      <xdr:rowOff>0</xdr:rowOff>
    </xdr:from>
    <xdr:to>
      <xdr:col>20</xdr:col>
      <xdr:colOff>9525</xdr:colOff>
      <xdr:row>9</xdr:row>
      <xdr:rowOff>9525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AFA2FF5A-B247-4C48-9C90-68B03BFCD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2533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304800</xdr:colOff>
      <xdr:row>9</xdr:row>
      <xdr:rowOff>85725</xdr:rowOff>
    </xdr:to>
    <xdr:sp macro="" textlink="">
      <xdr:nvSpPr>
        <xdr:cNvPr id="178" name="AutoShape 185">
          <a:extLst>
            <a:ext uri="{FF2B5EF4-FFF2-40B4-BE49-F238E27FC236}">
              <a16:creationId xmlns:a16="http://schemas.microsoft.com/office/drawing/2014/main" id="{21DAC973-69E9-4015-9E9E-5752F57D96F9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231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10</xdr:row>
      <xdr:rowOff>0</xdr:rowOff>
    </xdr:from>
    <xdr:to>
      <xdr:col>20</xdr:col>
      <xdr:colOff>9525</xdr:colOff>
      <xdr:row>10</xdr:row>
      <xdr:rowOff>9525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39438DE9-3558-4C6B-8EA9-E1367E37D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2724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11</xdr:row>
      <xdr:rowOff>0</xdr:rowOff>
    </xdr:from>
    <xdr:to>
      <xdr:col>20</xdr:col>
      <xdr:colOff>9525</xdr:colOff>
      <xdr:row>11</xdr:row>
      <xdr:rowOff>9525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E112CD6E-72F0-4BB0-9FC3-90E4B77DC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2914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9525</xdr:colOff>
      <xdr:row>12</xdr:row>
      <xdr:rowOff>9525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8968056C-2C18-4C05-B2ED-600B685E4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3133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9525</xdr:colOff>
      <xdr:row>13</xdr:row>
      <xdr:rowOff>9525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202BD645-34FD-440A-A7E8-4DF2948C8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3324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20</xdr:col>
      <xdr:colOff>9525</xdr:colOff>
      <xdr:row>14</xdr:row>
      <xdr:rowOff>9525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C77AB59D-4E31-4738-BE6C-7825EC92D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3514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304800</xdr:colOff>
      <xdr:row>14</xdr:row>
      <xdr:rowOff>114300</xdr:rowOff>
    </xdr:to>
    <xdr:sp macro="" textlink="">
      <xdr:nvSpPr>
        <xdr:cNvPr id="184" name="AutoShape 191">
          <a:extLst>
            <a:ext uri="{FF2B5EF4-FFF2-40B4-BE49-F238E27FC236}">
              <a16:creationId xmlns:a16="http://schemas.microsoft.com/office/drawing/2014/main" id="{37A42E5F-9ED2-472E-9EDA-79A6C22BC9E3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332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9525</xdr:colOff>
      <xdr:row>15</xdr:row>
      <xdr:rowOff>9525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0D406C32-2437-49E8-9028-7FA269BF0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3705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20</xdr:col>
      <xdr:colOff>304800</xdr:colOff>
      <xdr:row>15</xdr:row>
      <xdr:rowOff>114300</xdr:rowOff>
    </xdr:to>
    <xdr:sp macro="" textlink="">
      <xdr:nvSpPr>
        <xdr:cNvPr id="186" name="AutoShape 193">
          <a:extLst>
            <a:ext uri="{FF2B5EF4-FFF2-40B4-BE49-F238E27FC236}">
              <a16:creationId xmlns:a16="http://schemas.microsoft.com/office/drawing/2014/main" id="{DD834215-139D-4BD5-9D06-517A9BA2C7EA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351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16</xdr:row>
      <xdr:rowOff>0</xdr:rowOff>
    </xdr:from>
    <xdr:to>
      <xdr:col>20</xdr:col>
      <xdr:colOff>9525</xdr:colOff>
      <xdr:row>16</xdr:row>
      <xdr:rowOff>9525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20A7F123-622E-4D02-B093-092543AC4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3924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304800</xdr:colOff>
      <xdr:row>16</xdr:row>
      <xdr:rowOff>85725</xdr:rowOff>
    </xdr:to>
    <xdr:sp macro="" textlink="">
      <xdr:nvSpPr>
        <xdr:cNvPr id="188" name="AutoShape 195">
          <a:extLst>
            <a:ext uri="{FF2B5EF4-FFF2-40B4-BE49-F238E27FC236}">
              <a16:creationId xmlns:a16="http://schemas.microsoft.com/office/drawing/2014/main" id="{C165CC6D-25AC-47BC-B04E-A1E92FB931F5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370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9525</xdr:colOff>
      <xdr:row>17</xdr:row>
      <xdr:rowOff>9525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347D0D10-3EF7-463C-B5F7-0E85B8863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41148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20</xdr:col>
      <xdr:colOff>9525</xdr:colOff>
      <xdr:row>18</xdr:row>
      <xdr:rowOff>9525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0CB69F24-612A-496B-8F39-3F05E6E3A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4333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304800</xdr:colOff>
      <xdr:row>18</xdr:row>
      <xdr:rowOff>85725</xdr:rowOff>
    </xdr:to>
    <xdr:sp macro="" textlink="">
      <xdr:nvSpPr>
        <xdr:cNvPr id="191" name="AutoShape 199">
          <a:extLst>
            <a:ext uri="{FF2B5EF4-FFF2-40B4-BE49-F238E27FC236}">
              <a16:creationId xmlns:a16="http://schemas.microsoft.com/office/drawing/2014/main" id="{C0F68557-890D-4C76-AABC-1771F80BAB75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411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9525</xdr:colOff>
      <xdr:row>19</xdr:row>
      <xdr:rowOff>9525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998E4CA4-03DD-4B4C-B5C7-FF31BE142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4552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9525</xdr:colOff>
      <xdr:row>20</xdr:row>
      <xdr:rowOff>9525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E5401F6C-4167-40FE-8F72-A71730B54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4772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9525</xdr:colOff>
      <xdr:row>3</xdr:row>
      <xdr:rowOff>9525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30B45AEC-F47A-4049-8DC9-0C6EF3621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343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304800</xdr:colOff>
      <xdr:row>3</xdr:row>
      <xdr:rowOff>85725</xdr:rowOff>
    </xdr:to>
    <xdr:sp macro="" textlink="">
      <xdr:nvSpPr>
        <xdr:cNvPr id="195" name="AutoShape 203">
          <a:extLst>
            <a:ext uri="{FF2B5EF4-FFF2-40B4-BE49-F238E27FC236}">
              <a16:creationId xmlns:a16="http://schemas.microsoft.com/office/drawing/2014/main" id="{AC5F74F9-BD50-4756-8BDD-3AA6BAFA60CF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11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9525</xdr:colOff>
      <xdr:row>4</xdr:row>
      <xdr:rowOff>9525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DECAA4DE-D341-4964-B92A-4A97665A1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533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9525</xdr:colOff>
      <xdr:row>5</xdr:row>
      <xdr:rowOff>9525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C81431B0-C417-49E9-9CD5-C39E87FC3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724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9525</xdr:colOff>
      <xdr:row>6</xdr:row>
      <xdr:rowOff>9525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50791CBD-678A-40F6-9ADF-A37B993E2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914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304800</xdr:colOff>
      <xdr:row>6</xdr:row>
      <xdr:rowOff>114300</xdr:rowOff>
    </xdr:to>
    <xdr:sp macro="" textlink="">
      <xdr:nvSpPr>
        <xdr:cNvPr id="199" name="AutoShape 207">
          <a:extLst>
            <a:ext uri="{FF2B5EF4-FFF2-40B4-BE49-F238E27FC236}">
              <a16:creationId xmlns:a16="http://schemas.microsoft.com/office/drawing/2014/main" id="{1CAC1A0D-A827-450C-A935-693ED32FBD50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172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9525</xdr:colOff>
      <xdr:row>7</xdr:row>
      <xdr:rowOff>9525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C25D530C-BD68-4B46-A9A9-545CB04A0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2114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304800</xdr:colOff>
      <xdr:row>8</xdr:row>
      <xdr:rowOff>100693</xdr:rowOff>
    </xdr:to>
    <xdr:sp macro="" textlink="">
      <xdr:nvSpPr>
        <xdr:cNvPr id="201" name="AutoShape 209">
          <a:extLst>
            <a:ext uri="{FF2B5EF4-FFF2-40B4-BE49-F238E27FC236}">
              <a16:creationId xmlns:a16="http://schemas.microsoft.com/office/drawing/2014/main" id="{F0672B61-2248-4CB8-87CE-C213013A9AD7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2114550"/>
          <a:ext cx="304800" cy="300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9</xdr:row>
      <xdr:rowOff>0</xdr:rowOff>
    </xdr:from>
    <xdr:to>
      <xdr:col>20</xdr:col>
      <xdr:colOff>9525</xdr:colOff>
      <xdr:row>9</xdr:row>
      <xdr:rowOff>9525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12B309C5-677E-4E26-8AE4-CD929B020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2533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304800</xdr:colOff>
      <xdr:row>9</xdr:row>
      <xdr:rowOff>85725</xdr:rowOff>
    </xdr:to>
    <xdr:sp macro="" textlink="">
      <xdr:nvSpPr>
        <xdr:cNvPr id="203" name="AutoShape 211">
          <a:extLst>
            <a:ext uri="{FF2B5EF4-FFF2-40B4-BE49-F238E27FC236}">
              <a16:creationId xmlns:a16="http://schemas.microsoft.com/office/drawing/2014/main" id="{649E81A7-9665-4A85-9C9A-C7E187B7FAC7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231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10</xdr:row>
      <xdr:rowOff>0</xdr:rowOff>
    </xdr:from>
    <xdr:to>
      <xdr:col>20</xdr:col>
      <xdr:colOff>9525</xdr:colOff>
      <xdr:row>10</xdr:row>
      <xdr:rowOff>9525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FEC3A0E6-6748-4DBB-966A-540EBD339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2724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11</xdr:row>
      <xdr:rowOff>0</xdr:rowOff>
    </xdr:from>
    <xdr:to>
      <xdr:col>20</xdr:col>
      <xdr:colOff>9525</xdr:colOff>
      <xdr:row>11</xdr:row>
      <xdr:rowOff>9525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2219187D-B426-48CD-9F55-9144412AA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2914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9525</xdr:colOff>
      <xdr:row>12</xdr:row>
      <xdr:rowOff>9525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C269F5DB-B0DD-48E3-A4FD-DE3E906D3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3133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9525</xdr:colOff>
      <xdr:row>13</xdr:row>
      <xdr:rowOff>9525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375F3F19-3CDB-48ED-9702-509FE00E3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3324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20</xdr:col>
      <xdr:colOff>9525</xdr:colOff>
      <xdr:row>14</xdr:row>
      <xdr:rowOff>9525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765041E9-011A-4CB6-9157-62516F871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3514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304800</xdr:colOff>
      <xdr:row>14</xdr:row>
      <xdr:rowOff>114300</xdr:rowOff>
    </xdr:to>
    <xdr:sp macro="" textlink="">
      <xdr:nvSpPr>
        <xdr:cNvPr id="209" name="AutoShape 217">
          <a:extLst>
            <a:ext uri="{FF2B5EF4-FFF2-40B4-BE49-F238E27FC236}">
              <a16:creationId xmlns:a16="http://schemas.microsoft.com/office/drawing/2014/main" id="{7D54393E-645A-45C6-B934-D780DBF98E17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332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9525</xdr:colOff>
      <xdr:row>15</xdr:row>
      <xdr:rowOff>9525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07B4BDE2-39E6-4B24-8149-5BE60AAEA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3705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20</xdr:col>
      <xdr:colOff>304800</xdr:colOff>
      <xdr:row>15</xdr:row>
      <xdr:rowOff>114300</xdr:rowOff>
    </xdr:to>
    <xdr:sp macro="" textlink="">
      <xdr:nvSpPr>
        <xdr:cNvPr id="211" name="AutoShape 219">
          <a:extLst>
            <a:ext uri="{FF2B5EF4-FFF2-40B4-BE49-F238E27FC236}">
              <a16:creationId xmlns:a16="http://schemas.microsoft.com/office/drawing/2014/main" id="{E891F291-16FE-48C4-8C69-676DC954ED36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351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16</xdr:row>
      <xdr:rowOff>0</xdr:rowOff>
    </xdr:from>
    <xdr:to>
      <xdr:col>20</xdr:col>
      <xdr:colOff>9525</xdr:colOff>
      <xdr:row>16</xdr:row>
      <xdr:rowOff>9525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38B048FF-8E76-43E7-97EF-2077009A7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3924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304800</xdr:colOff>
      <xdr:row>16</xdr:row>
      <xdr:rowOff>85725</xdr:rowOff>
    </xdr:to>
    <xdr:sp macro="" textlink="">
      <xdr:nvSpPr>
        <xdr:cNvPr id="213" name="AutoShape 221">
          <a:extLst>
            <a:ext uri="{FF2B5EF4-FFF2-40B4-BE49-F238E27FC236}">
              <a16:creationId xmlns:a16="http://schemas.microsoft.com/office/drawing/2014/main" id="{61BAD760-6776-4C4C-A249-66F2B329A11F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370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9525</xdr:colOff>
      <xdr:row>17</xdr:row>
      <xdr:rowOff>9525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5CE9B8C7-640E-4218-BDC2-A2EE55BE4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41148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16</xdr:row>
      <xdr:rowOff>0</xdr:rowOff>
    </xdr:from>
    <xdr:to>
      <xdr:col>20</xdr:col>
      <xdr:colOff>304800</xdr:colOff>
      <xdr:row>17</xdr:row>
      <xdr:rowOff>114300</xdr:rowOff>
    </xdr:to>
    <xdr:sp macro="" textlink="">
      <xdr:nvSpPr>
        <xdr:cNvPr id="215" name="AutoShape 223">
          <a:extLst>
            <a:ext uri="{FF2B5EF4-FFF2-40B4-BE49-F238E27FC236}">
              <a16:creationId xmlns:a16="http://schemas.microsoft.com/office/drawing/2014/main" id="{784EE9C0-9AAF-4EBB-8B72-11FDE0573902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39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18</xdr:row>
      <xdr:rowOff>0</xdr:rowOff>
    </xdr:from>
    <xdr:to>
      <xdr:col>20</xdr:col>
      <xdr:colOff>9525</xdr:colOff>
      <xdr:row>18</xdr:row>
      <xdr:rowOff>9525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956A1B74-C475-4722-9669-6D1F6A45E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4333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9525</xdr:colOff>
      <xdr:row>19</xdr:row>
      <xdr:rowOff>9525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A545BB57-F5D2-47E8-B5AD-71C87155B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4552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9525</xdr:colOff>
      <xdr:row>3</xdr:row>
      <xdr:rowOff>9525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A7CE169D-E0C3-43C0-A3A2-88F5AF78C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343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304800</xdr:colOff>
      <xdr:row>3</xdr:row>
      <xdr:rowOff>85725</xdr:rowOff>
    </xdr:to>
    <xdr:sp macro="" textlink="">
      <xdr:nvSpPr>
        <xdr:cNvPr id="219" name="AutoShape 227">
          <a:extLst>
            <a:ext uri="{FF2B5EF4-FFF2-40B4-BE49-F238E27FC236}">
              <a16:creationId xmlns:a16="http://schemas.microsoft.com/office/drawing/2014/main" id="{3AE7E38E-B918-4A28-BC96-89B079508E44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11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9525</xdr:colOff>
      <xdr:row>4</xdr:row>
      <xdr:rowOff>9525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27000FB3-A08C-4EE0-88E6-1CA59FE77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533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9525</xdr:colOff>
      <xdr:row>5</xdr:row>
      <xdr:rowOff>9525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E20C638C-F481-46B0-AEAF-388BFB5D1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724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9525</xdr:colOff>
      <xdr:row>6</xdr:row>
      <xdr:rowOff>9525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6F3A6169-4318-47EF-8ADC-5B1B02680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914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304800</xdr:colOff>
      <xdr:row>6</xdr:row>
      <xdr:rowOff>114300</xdr:rowOff>
    </xdr:to>
    <xdr:sp macro="" textlink="">
      <xdr:nvSpPr>
        <xdr:cNvPr id="223" name="AutoShape 231">
          <a:extLst>
            <a:ext uri="{FF2B5EF4-FFF2-40B4-BE49-F238E27FC236}">
              <a16:creationId xmlns:a16="http://schemas.microsoft.com/office/drawing/2014/main" id="{12A031C9-38FD-4D84-BCAA-63ACE0A970DA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172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9525</xdr:colOff>
      <xdr:row>7</xdr:row>
      <xdr:rowOff>9525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50F8B29B-0076-4CAC-B978-EE033F769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2114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304800</xdr:colOff>
      <xdr:row>8</xdr:row>
      <xdr:rowOff>100693</xdr:rowOff>
    </xdr:to>
    <xdr:sp macro="" textlink="">
      <xdr:nvSpPr>
        <xdr:cNvPr id="225" name="AutoShape 233">
          <a:extLst>
            <a:ext uri="{FF2B5EF4-FFF2-40B4-BE49-F238E27FC236}">
              <a16:creationId xmlns:a16="http://schemas.microsoft.com/office/drawing/2014/main" id="{D244F360-E3B5-4200-A51F-A3EDD3197BE9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2114550"/>
          <a:ext cx="304800" cy="300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9</xdr:row>
      <xdr:rowOff>0</xdr:rowOff>
    </xdr:from>
    <xdr:to>
      <xdr:col>20</xdr:col>
      <xdr:colOff>9525</xdr:colOff>
      <xdr:row>9</xdr:row>
      <xdr:rowOff>9525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7E113DF9-AC33-4CE0-A0FD-3ACC8AE0A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2533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304800</xdr:colOff>
      <xdr:row>9</xdr:row>
      <xdr:rowOff>85725</xdr:rowOff>
    </xdr:to>
    <xdr:sp macro="" textlink="">
      <xdr:nvSpPr>
        <xdr:cNvPr id="227" name="AutoShape 235">
          <a:extLst>
            <a:ext uri="{FF2B5EF4-FFF2-40B4-BE49-F238E27FC236}">
              <a16:creationId xmlns:a16="http://schemas.microsoft.com/office/drawing/2014/main" id="{DE86A6FC-0F95-470A-BEA2-664037C4406E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231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10</xdr:row>
      <xdr:rowOff>0</xdr:rowOff>
    </xdr:from>
    <xdr:to>
      <xdr:col>20</xdr:col>
      <xdr:colOff>9525</xdr:colOff>
      <xdr:row>10</xdr:row>
      <xdr:rowOff>9525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926192C7-CCC4-41DA-825B-02676D119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2724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11</xdr:row>
      <xdr:rowOff>0</xdr:rowOff>
    </xdr:from>
    <xdr:to>
      <xdr:col>20</xdr:col>
      <xdr:colOff>9525</xdr:colOff>
      <xdr:row>11</xdr:row>
      <xdr:rowOff>9525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048AC95F-8F54-4027-8271-978ED79DA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2914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9525</xdr:colOff>
      <xdr:row>12</xdr:row>
      <xdr:rowOff>9525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A9671E6F-5267-45DD-84A8-5405622A6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3133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9525</xdr:colOff>
      <xdr:row>13</xdr:row>
      <xdr:rowOff>9525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9C09BD52-6F8E-4319-BFF4-7F1883ED7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3324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20</xdr:col>
      <xdr:colOff>9525</xdr:colOff>
      <xdr:row>14</xdr:row>
      <xdr:rowOff>9525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161C71B2-7F69-4510-B0E2-D2A369D01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3514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304800</xdr:colOff>
      <xdr:row>14</xdr:row>
      <xdr:rowOff>114300</xdr:rowOff>
    </xdr:to>
    <xdr:sp macro="" textlink="">
      <xdr:nvSpPr>
        <xdr:cNvPr id="233" name="AutoShape 241">
          <a:extLst>
            <a:ext uri="{FF2B5EF4-FFF2-40B4-BE49-F238E27FC236}">
              <a16:creationId xmlns:a16="http://schemas.microsoft.com/office/drawing/2014/main" id="{7C3A85DA-091F-48C2-911D-5E1098CF1F91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332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9525</xdr:colOff>
      <xdr:row>15</xdr:row>
      <xdr:rowOff>9525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BC78FEAF-86D2-49D2-A4E5-B44096412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3705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20</xdr:col>
      <xdr:colOff>304800</xdr:colOff>
      <xdr:row>15</xdr:row>
      <xdr:rowOff>114300</xdr:rowOff>
    </xdr:to>
    <xdr:sp macro="" textlink="">
      <xdr:nvSpPr>
        <xdr:cNvPr id="235" name="AutoShape 243">
          <a:extLst>
            <a:ext uri="{FF2B5EF4-FFF2-40B4-BE49-F238E27FC236}">
              <a16:creationId xmlns:a16="http://schemas.microsoft.com/office/drawing/2014/main" id="{48F44064-AEE5-49A4-A8E2-513D9D7572D9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351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16</xdr:row>
      <xdr:rowOff>0</xdr:rowOff>
    </xdr:from>
    <xdr:to>
      <xdr:col>20</xdr:col>
      <xdr:colOff>9525</xdr:colOff>
      <xdr:row>16</xdr:row>
      <xdr:rowOff>9525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2272E025-A12F-4EAB-892B-9933DE628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3924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304800</xdr:colOff>
      <xdr:row>16</xdr:row>
      <xdr:rowOff>85725</xdr:rowOff>
    </xdr:to>
    <xdr:sp macro="" textlink="">
      <xdr:nvSpPr>
        <xdr:cNvPr id="237" name="AutoShape 245">
          <a:extLst>
            <a:ext uri="{FF2B5EF4-FFF2-40B4-BE49-F238E27FC236}">
              <a16:creationId xmlns:a16="http://schemas.microsoft.com/office/drawing/2014/main" id="{D7DC24F3-6393-4DC0-8719-CBC2EEDB044D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370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9525</xdr:colOff>
      <xdr:row>17</xdr:row>
      <xdr:rowOff>9525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40161B00-A9AC-4F3A-9FE6-88520A4E2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41148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16</xdr:row>
      <xdr:rowOff>0</xdr:rowOff>
    </xdr:from>
    <xdr:to>
      <xdr:col>20</xdr:col>
      <xdr:colOff>304800</xdr:colOff>
      <xdr:row>17</xdr:row>
      <xdr:rowOff>114300</xdr:rowOff>
    </xdr:to>
    <xdr:sp macro="" textlink="">
      <xdr:nvSpPr>
        <xdr:cNvPr id="239" name="AutoShape 247">
          <a:extLst>
            <a:ext uri="{FF2B5EF4-FFF2-40B4-BE49-F238E27FC236}">
              <a16:creationId xmlns:a16="http://schemas.microsoft.com/office/drawing/2014/main" id="{B53D792E-59D3-48A3-AAD3-9AB553857CD9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39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18</xdr:row>
      <xdr:rowOff>0</xdr:rowOff>
    </xdr:from>
    <xdr:to>
      <xdr:col>20</xdr:col>
      <xdr:colOff>9525</xdr:colOff>
      <xdr:row>18</xdr:row>
      <xdr:rowOff>9525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B2210D9F-097B-4905-9C54-D8172E914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4333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304800</xdr:colOff>
      <xdr:row>18</xdr:row>
      <xdr:rowOff>85725</xdr:rowOff>
    </xdr:to>
    <xdr:sp macro="" textlink="">
      <xdr:nvSpPr>
        <xdr:cNvPr id="241" name="AutoShape 249">
          <a:extLst>
            <a:ext uri="{FF2B5EF4-FFF2-40B4-BE49-F238E27FC236}">
              <a16:creationId xmlns:a16="http://schemas.microsoft.com/office/drawing/2014/main" id="{13B7A43F-574D-4A30-A039-F520433CBB52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411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9525</xdr:colOff>
      <xdr:row>19</xdr:row>
      <xdr:rowOff>9525</xdr:rowOff>
    </xdr:to>
    <xdr:pic>
      <xdr:nvPicPr>
        <xdr:cNvPr id="242" name="Picture 241">
          <a:extLst>
            <a:ext uri="{FF2B5EF4-FFF2-40B4-BE49-F238E27FC236}">
              <a16:creationId xmlns:a16="http://schemas.microsoft.com/office/drawing/2014/main" id="{6A047ABC-9D90-424D-A3CE-C89FD249D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4552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9525</xdr:colOff>
      <xdr:row>20</xdr:row>
      <xdr:rowOff>9525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F86024DC-2AEA-49E8-AC1D-4975A326A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4772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21</xdr:row>
      <xdr:rowOff>0</xdr:rowOff>
    </xdr:from>
    <xdr:ext cx="9525" cy="9525"/>
    <xdr:pic>
      <xdr:nvPicPr>
        <xdr:cNvPr id="244" name="Picture 243">
          <a:extLst>
            <a:ext uri="{FF2B5EF4-FFF2-40B4-BE49-F238E27FC236}">
              <a16:creationId xmlns:a16="http://schemas.microsoft.com/office/drawing/2014/main" id="{BBBDFA18-912E-4D80-B72B-6AF1180F8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1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21</xdr:row>
      <xdr:rowOff>0</xdr:rowOff>
    </xdr:from>
    <xdr:ext cx="9525" cy="9525"/>
    <xdr:pic>
      <xdr:nvPicPr>
        <xdr:cNvPr id="245" name="Picture 244">
          <a:extLst>
            <a:ext uri="{FF2B5EF4-FFF2-40B4-BE49-F238E27FC236}">
              <a16:creationId xmlns:a16="http://schemas.microsoft.com/office/drawing/2014/main" id="{A4FF5CB5-082B-47BC-A100-58BEF7EA0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1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20</xdr:col>
      <xdr:colOff>0</xdr:colOff>
      <xdr:row>3</xdr:row>
      <xdr:rowOff>0</xdr:rowOff>
    </xdr:from>
    <xdr:to>
      <xdr:col>20</xdr:col>
      <xdr:colOff>9525</xdr:colOff>
      <xdr:row>3</xdr:row>
      <xdr:rowOff>9525</xdr:rowOff>
    </xdr:to>
    <xdr:pic>
      <xdr:nvPicPr>
        <xdr:cNvPr id="246" name="Picture 245">
          <a:extLst>
            <a:ext uri="{FF2B5EF4-FFF2-40B4-BE49-F238E27FC236}">
              <a16:creationId xmlns:a16="http://schemas.microsoft.com/office/drawing/2014/main" id="{004EFD7B-926C-490D-813F-CEBC42732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343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304800</xdr:colOff>
      <xdr:row>3</xdr:row>
      <xdr:rowOff>85725</xdr:rowOff>
    </xdr:to>
    <xdr:sp macro="" textlink="">
      <xdr:nvSpPr>
        <xdr:cNvPr id="247" name="AutoShape 253">
          <a:extLst>
            <a:ext uri="{FF2B5EF4-FFF2-40B4-BE49-F238E27FC236}">
              <a16:creationId xmlns:a16="http://schemas.microsoft.com/office/drawing/2014/main" id="{9CC83ECC-5233-4E5E-A5B4-58BB0F3B6E74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11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9525</xdr:colOff>
      <xdr:row>4</xdr:row>
      <xdr:rowOff>9525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AD6F2D01-BCC5-40D3-842C-1FDAFC1A2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533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9525</xdr:colOff>
      <xdr:row>5</xdr:row>
      <xdr:rowOff>9525</xdr:rowOff>
    </xdr:to>
    <xdr:pic>
      <xdr:nvPicPr>
        <xdr:cNvPr id="249" name="Picture 248">
          <a:extLst>
            <a:ext uri="{FF2B5EF4-FFF2-40B4-BE49-F238E27FC236}">
              <a16:creationId xmlns:a16="http://schemas.microsoft.com/office/drawing/2014/main" id="{11185641-18EB-48F7-A0CE-FDA7E737A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724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9525</xdr:colOff>
      <xdr:row>6</xdr:row>
      <xdr:rowOff>9525</xdr:rowOff>
    </xdr:to>
    <xdr:pic>
      <xdr:nvPicPr>
        <xdr:cNvPr id="250" name="Picture 249">
          <a:extLst>
            <a:ext uri="{FF2B5EF4-FFF2-40B4-BE49-F238E27FC236}">
              <a16:creationId xmlns:a16="http://schemas.microsoft.com/office/drawing/2014/main" id="{F17666CE-8CE0-4184-B7E5-DCA590F24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914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304800</xdr:colOff>
      <xdr:row>6</xdr:row>
      <xdr:rowOff>114300</xdr:rowOff>
    </xdr:to>
    <xdr:sp macro="" textlink="">
      <xdr:nvSpPr>
        <xdr:cNvPr id="251" name="AutoShape 257">
          <a:extLst>
            <a:ext uri="{FF2B5EF4-FFF2-40B4-BE49-F238E27FC236}">
              <a16:creationId xmlns:a16="http://schemas.microsoft.com/office/drawing/2014/main" id="{ECCD9885-F6F1-4582-A12F-E05C10AC108F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172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9525</xdr:colOff>
      <xdr:row>7</xdr:row>
      <xdr:rowOff>9525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D89B288A-DE55-44A7-8851-3D89F9057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2114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304800</xdr:colOff>
      <xdr:row>8</xdr:row>
      <xdr:rowOff>100693</xdr:rowOff>
    </xdr:to>
    <xdr:sp macro="" textlink="">
      <xdr:nvSpPr>
        <xdr:cNvPr id="253" name="AutoShape 259">
          <a:extLst>
            <a:ext uri="{FF2B5EF4-FFF2-40B4-BE49-F238E27FC236}">
              <a16:creationId xmlns:a16="http://schemas.microsoft.com/office/drawing/2014/main" id="{1276DC18-49E7-4AEF-859F-59608CD2EFE2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2114550"/>
          <a:ext cx="304800" cy="300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9</xdr:row>
      <xdr:rowOff>0</xdr:rowOff>
    </xdr:from>
    <xdr:to>
      <xdr:col>20</xdr:col>
      <xdr:colOff>9525</xdr:colOff>
      <xdr:row>9</xdr:row>
      <xdr:rowOff>9525</xdr:rowOff>
    </xdr:to>
    <xdr:pic>
      <xdr:nvPicPr>
        <xdr:cNvPr id="254" name="Picture 253">
          <a:extLst>
            <a:ext uri="{FF2B5EF4-FFF2-40B4-BE49-F238E27FC236}">
              <a16:creationId xmlns:a16="http://schemas.microsoft.com/office/drawing/2014/main" id="{69FA0CE4-8C20-4504-AFF9-F69F75F1C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2533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304800</xdr:colOff>
      <xdr:row>9</xdr:row>
      <xdr:rowOff>85725</xdr:rowOff>
    </xdr:to>
    <xdr:sp macro="" textlink="">
      <xdr:nvSpPr>
        <xdr:cNvPr id="255" name="AutoShape 261">
          <a:extLst>
            <a:ext uri="{FF2B5EF4-FFF2-40B4-BE49-F238E27FC236}">
              <a16:creationId xmlns:a16="http://schemas.microsoft.com/office/drawing/2014/main" id="{67F58D46-F40B-4578-B7EA-3FEE427C7F5D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231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10</xdr:row>
      <xdr:rowOff>0</xdr:rowOff>
    </xdr:from>
    <xdr:to>
      <xdr:col>20</xdr:col>
      <xdr:colOff>9525</xdr:colOff>
      <xdr:row>10</xdr:row>
      <xdr:rowOff>9525</xdr:rowOff>
    </xdr:to>
    <xdr:pic>
      <xdr:nvPicPr>
        <xdr:cNvPr id="256" name="Picture 255">
          <a:extLst>
            <a:ext uri="{FF2B5EF4-FFF2-40B4-BE49-F238E27FC236}">
              <a16:creationId xmlns:a16="http://schemas.microsoft.com/office/drawing/2014/main" id="{519F526B-1D50-4675-BB5C-DBAA55C6E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2724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11</xdr:row>
      <xdr:rowOff>0</xdr:rowOff>
    </xdr:from>
    <xdr:to>
      <xdr:col>20</xdr:col>
      <xdr:colOff>9525</xdr:colOff>
      <xdr:row>11</xdr:row>
      <xdr:rowOff>9525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B7933509-5C69-4825-B43E-08858E543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2914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9525</xdr:colOff>
      <xdr:row>12</xdr:row>
      <xdr:rowOff>9525</xdr:rowOff>
    </xdr:to>
    <xdr:pic>
      <xdr:nvPicPr>
        <xdr:cNvPr id="258" name="Picture 257">
          <a:extLst>
            <a:ext uri="{FF2B5EF4-FFF2-40B4-BE49-F238E27FC236}">
              <a16:creationId xmlns:a16="http://schemas.microsoft.com/office/drawing/2014/main" id="{02626A17-D5DA-4791-8ABE-37F1BC42A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3133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9525</xdr:colOff>
      <xdr:row>13</xdr:row>
      <xdr:rowOff>9525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id="{EA1D7080-2D91-4EB0-91FC-0EBE1AEB8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3324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20</xdr:col>
      <xdr:colOff>9525</xdr:colOff>
      <xdr:row>14</xdr:row>
      <xdr:rowOff>9525</xdr:rowOff>
    </xdr:to>
    <xdr:pic>
      <xdr:nvPicPr>
        <xdr:cNvPr id="260" name="Picture 259">
          <a:extLst>
            <a:ext uri="{FF2B5EF4-FFF2-40B4-BE49-F238E27FC236}">
              <a16:creationId xmlns:a16="http://schemas.microsoft.com/office/drawing/2014/main" id="{978B33BF-1A4C-4E64-B141-E00A48902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3514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304800</xdr:colOff>
      <xdr:row>14</xdr:row>
      <xdr:rowOff>114300</xdr:rowOff>
    </xdr:to>
    <xdr:sp macro="" textlink="">
      <xdr:nvSpPr>
        <xdr:cNvPr id="261" name="AutoShape 267">
          <a:extLst>
            <a:ext uri="{FF2B5EF4-FFF2-40B4-BE49-F238E27FC236}">
              <a16:creationId xmlns:a16="http://schemas.microsoft.com/office/drawing/2014/main" id="{329BE8E1-1A02-4913-ABCD-A46BD1977411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332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9525</xdr:colOff>
      <xdr:row>15</xdr:row>
      <xdr:rowOff>9525</xdr:rowOff>
    </xdr:to>
    <xdr:pic>
      <xdr:nvPicPr>
        <xdr:cNvPr id="262" name="Picture 261">
          <a:extLst>
            <a:ext uri="{FF2B5EF4-FFF2-40B4-BE49-F238E27FC236}">
              <a16:creationId xmlns:a16="http://schemas.microsoft.com/office/drawing/2014/main" id="{AF33E6DD-1B77-4D6B-BBFF-5D9B77865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3705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20</xdr:col>
      <xdr:colOff>304800</xdr:colOff>
      <xdr:row>15</xdr:row>
      <xdr:rowOff>114300</xdr:rowOff>
    </xdr:to>
    <xdr:sp macro="" textlink="">
      <xdr:nvSpPr>
        <xdr:cNvPr id="263" name="AutoShape 269">
          <a:extLst>
            <a:ext uri="{FF2B5EF4-FFF2-40B4-BE49-F238E27FC236}">
              <a16:creationId xmlns:a16="http://schemas.microsoft.com/office/drawing/2014/main" id="{13242915-B027-47F1-93E5-D57CB917A172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351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16</xdr:row>
      <xdr:rowOff>0</xdr:rowOff>
    </xdr:from>
    <xdr:to>
      <xdr:col>20</xdr:col>
      <xdr:colOff>9525</xdr:colOff>
      <xdr:row>16</xdr:row>
      <xdr:rowOff>9525</xdr:rowOff>
    </xdr:to>
    <xdr:pic>
      <xdr:nvPicPr>
        <xdr:cNvPr id="264" name="Picture 263">
          <a:extLst>
            <a:ext uri="{FF2B5EF4-FFF2-40B4-BE49-F238E27FC236}">
              <a16:creationId xmlns:a16="http://schemas.microsoft.com/office/drawing/2014/main" id="{E0C5A795-9A46-4540-8F12-79D614B9B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3924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304800</xdr:colOff>
      <xdr:row>16</xdr:row>
      <xdr:rowOff>85725</xdr:rowOff>
    </xdr:to>
    <xdr:sp macro="" textlink="">
      <xdr:nvSpPr>
        <xdr:cNvPr id="265" name="AutoShape 271">
          <a:extLst>
            <a:ext uri="{FF2B5EF4-FFF2-40B4-BE49-F238E27FC236}">
              <a16:creationId xmlns:a16="http://schemas.microsoft.com/office/drawing/2014/main" id="{8EDE2EFD-0032-48B7-B8D8-8E673287E2F1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370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9525</xdr:colOff>
      <xdr:row>17</xdr:row>
      <xdr:rowOff>9525</xdr:rowOff>
    </xdr:to>
    <xdr:pic>
      <xdr:nvPicPr>
        <xdr:cNvPr id="266" name="Picture 265">
          <a:extLst>
            <a:ext uri="{FF2B5EF4-FFF2-40B4-BE49-F238E27FC236}">
              <a16:creationId xmlns:a16="http://schemas.microsoft.com/office/drawing/2014/main" id="{E9ECA678-38B3-4F84-B8F4-EDC076913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41148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16</xdr:row>
      <xdr:rowOff>0</xdr:rowOff>
    </xdr:from>
    <xdr:to>
      <xdr:col>20</xdr:col>
      <xdr:colOff>304800</xdr:colOff>
      <xdr:row>17</xdr:row>
      <xdr:rowOff>114300</xdr:rowOff>
    </xdr:to>
    <xdr:sp macro="" textlink="">
      <xdr:nvSpPr>
        <xdr:cNvPr id="267" name="AutoShape 273">
          <a:extLst>
            <a:ext uri="{FF2B5EF4-FFF2-40B4-BE49-F238E27FC236}">
              <a16:creationId xmlns:a16="http://schemas.microsoft.com/office/drawing/2014/main" id="{050A98D2-A0B3-47EE-9277-E2867FC5FA96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39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18</xdr:row>
      <xdr:rowOff>0</xdr:rowOff>
    </xdr:from>
    <xdr:to>
      <xdr:col>20</xdr:col>
      <xdr:colOff>9525</xdr:colOff>
      <xdr:row>18</xdr:row>
      <xdr:rowOff>9525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id="{45997FA5-C9CC-4F85-9CE9-8EF1BB7D6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4333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304800</xdr:colOff>
      <xdr:row>18</xdr:row>
      <xdr:rowOff>85725</xdr:rowOff>
    </xdr:to>
    <xdr:sp macro="" textlink="">
      <xdr:nvSpPr>
        <xdr:cNvPr id="269" name="AutoShape 275">
          <a:extLst>
            <a:ext uri="{FF2B5EF4-FFF2-40B4-BE49-F238E27FC236}">
              <a16:creationId xmlns:a16="http://schemas.microsoft.com/office/drawing/2014/main" id="{3149844C-8FB2-42B6-9AD6-B9C58A76FB90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411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9525</xdr:colOff>
      <xdr:row>19</xdr:row>
      <xdr:rowOff>9525</xdr:rowOff>
    </xdr:to>
    <xdr:pic>
      <xdr:nvPicPr>
        <xdr:cNvPr id="270" name="Picture 269">
          <a:extLst>
            <a:ext uri="{FF2B5EF4-FFF2-40B4-BE49-F238E27FC236}">
              <a16:creationId xmlns:a16="http://schemas.microsoft.com/office/drawing/2014/main" id="{AE6ADEDF-662F-4E10-BF5E-51FD3BC73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4552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9525</xdr:colOff>
      <xdr:row>20</xdr:row>
      <xdr:rowOff>9525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id="{E97664FD-6080-4413-9464-0A792B25B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4772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9525</xdr:colOff>
      <xdr:row>3</xdr:row>
      <xdr:rowOff>9525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id="{B6D53B91-2B5D-4EA8-90B7-A01269287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343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304800</xdr:colOff>
      <xdr:row>3</xdr:row>
      <xdr:rowOff>85725</xdr:rowOff>
    </xdr:to>
    <xdr:sp macro="" textlink="">
      <xdr:nvSpPr>
        <xdr:cNvPr id="273" name="AutoShape 305">
          <a:extLst>
            <a:ext uri="{FF2B5EF4-FFF2-40B4-BE49-F238E27FC236}">
              <a16:creationId xmlns:a16="http://schemas.microsoft.com/office/drawing/2014/main" id="{CF6DC554-94F2-4434-9A39-CAC5483E7657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11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9525</xdr:colOff>
      <xdr:row>4</xdr:row>
      <xdr:rowOff>9525</xdr:rowOff>
    </xdr:to>
    <xdr:pic>
      <xdr:nvPicPr>
        <xdr:cNvPr id="274" name="Picture 273">
          <a:extLst>
            <a:ext uri="{FF2B5EF4-FFF2-40B4-BE49-F238E27FC236}">
              <a16:creationId xmlns:a16="http://schemas.microsoft.com/office/drawing/2014/main" id="{696C6D74-9832-4FD4-9587-DBF74C03B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533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9525</xdr:colOff>
      <xdr:row>5</xdr:row>
      <xdr:rowOff>9525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id="{CBFED781-BEEB-47E4-9EB4-96BB647AC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724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9525</xdr:colOff>
      <xdr:row>6</xdr:row>
      <xdr:rowOff>9525</xdr:rowOff>
    </xdr:to>
    <xdr:pic>
      <xdr:nvPicPr>
        <xdr:cNvPr id="276" name="Picture 275">
          <a:extLst>
            <a:ext uri="{FF2B5EF4-FFF2-40B4-BE49-F238E27FC236}">
              <a16:creationId xmlns:a16="http://schemas.microsoft.com/office/drawing/2014/main" id="{E2F814D4-974E-4C5E-ABBE-BFE805251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914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304800</xdr:colOff>
      <xdr:row>6</xdr:row>
      <xdr:rowOff>114300</xdr:rowOff>
    </xdr:to>
    <xdr:sp macro="" textlink="">
      <xdr:nvSpPr>
        <xdr:cNvPr id="277" name="AutoShape 309">
          <a:extLst>
            <a:ext uri="{FF2B5EF4-FFF2-40B4-BE49-F238E27FC236}">
              <a16:creationId xmlns:a16="http://schemas.microsoft.com/office/drawing/2014/main" id="{124D1AD6-100F-494C-9656-754A64201876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172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9525</xdr:colOff>
      <xdr:row>7</xdr:row>
      <xdr:rowOff>9525</xdr:rowOff>
    </xdr:to>
    <xdr:pic>
      <xdr:nvPicPr>
        <xdr:cNvPr id="278" name="Picture 277">
          <a:extLst>
            <a:ext uri="{FF2B5EF4-FFF2-40B4-BE49-F238E27FC236}">
              <a16:creationId xmlns:a16="http://schemas.microsoft.com/office/drawing/2014/main" id="{2D81B02F-D182-495F-95F5-14FC33E7C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2114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304800</xdr:colOff>
      <xdr:row>8</xdr:row>
      <xdr:rowOff>100693</xdr:rowOff>
    </xdr:to>
    <xdr:sp macro="" textlink="">
      <xdr:nvSpPr>
        <xdr:cNvPr id="279" name="AutoShape 311">
          <a:extLst>
            <a:ext uri="{FF2B5EF4-FFF2-40B4-BE49-F238E27FC236}">
              <a16:creationId xmlns:a16="http://schemas.microsoft.com/office/drawing/2014/main" id="{5A29B55D-DF45-4340-A086-365583C1F072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2114550"/>
          <a:ext cx="304800" cy="300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9</xdr:row>
      <xdr:rowOff>0</xdr:rowOff>
    </xdr:from>
    <xdr:to>
      <xdr:col>20</xdr:col>
      <xdr:colOff>9525</xdr:colOff>
      <xdr:row>9</xdr:row>
      <xdr:rowOff>9525</xdr:rowOff>
    </xdr:to>
    <xdr:pic>
      <xdr:nvPicPr>
        <xdr:cNvPr id="280" name="Picture 279">
          <a:extLst>
            <a:ext uri="{FF2B5EF4-FFF2-40B4-BE49-F238E27FC236}">
              <a16:creationId xmlns:a16="http://schemas.microsoft.com/office/drawing/2014/main" id="{115B3167-1F07-4911-8B2E-67AA85256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2533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304800</xdr:colOff>
      <xdr:row>9</xdr:row>
      <xdr:rowOff>85725</xdr:rowOff>
    </xdr:to>
    <xdr:sp macro="" textlink="">
      <xdr:nvSpPr>
        <xdr:cNvPr id="281" name="AutoShape 313">
          <a:extLst>
            <a:ext uri="{FF2B5EF4-FFF2-40B4-BE49-F238E27FC236}">
              <a16:creationId xmlns:a16="http://schemas.microsoft.com/office/drawing/2014/main" id="{041DEB25-6340-4478-9611-EC790CF58242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231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10</xdr:row>
      <xdr:rowOff>0</xdr:rowOff>
    </xdr:from>
    <xdr:to>
      <xdr:col>20</xdr:col>
      <xdr:colOff>9525</xdr:colOff>
      <xdr:row>10</xdr:row>
      <xdr:rowOff>9525</xdr:rowOff>
    </xdr:to>
    <xdr:pic>
      <xdr:nvPicPr>
        <xdr:cNvPr id="282" name="Picture 281">
          <a:extLst>
            <a:ext uri="{FF2B5EF4-FFF2-40B4-BE49-F238E27FC236}">
              <a16:creationId xmlns:a16="http://schemas.microsoft.com/office/drawing/2014/main" id="{A7204907-2B65-469F-A9F7-1228625D2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2724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11</xdr:row>
      <xdr:rowOff>0</xdr:rowOff>
    </xdr:from>
    <xdr:to>
      <xdr:col>20</xdr:col>
      <xdr:colOff>9525</xdr:colOff>
      <xdr:row>11</xdr:row>
      <xdr:rowOff>9525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D3B797BD-A78D-45C0-8B35-15DD98E54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2914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9525</xdr:colOff>
      <xdr:row>12</xdr:row>
      <xdr:rowOff>9525</xdr:rowOff>
    </xdr:to>
    <xdr:pic>
      <xdr:nvPicPr>
        <xdr:cNvPr id="284" name="Picture 283">
          <a:extLst>
            <a:ext uri="{FF2B5EF4-FFF2-40B4-BE49-F238E27FC236}">
              <a16:creationId xmlns:a16="http://schemas.microsoft.com/office/drawing/2014/main" id="{B7A3A98A-79C3-41C0-B464-FA436976F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3133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9525</xdr:colOff>
      <xdr:row>13</xdr:row>
      <xdr:rowOff>9525</xdr:rowOff>
    </xdr:to>
    <xdr:pic>
      <xdr:nvPicPr>
        <xdr:cNvPr id="285" name="Picture 284">
          <a:extLst>
            <a:ext uri="{FF2B5EF4-FFF2-40B4-BE49-F238E27FC236}">
              <a16:creationId xmlns:a16="http://schemas.microsoft.com/office/drawing/2014/main" id="{E7861883-EABB-42AC-9ACA-45D9FA5B8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3324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20</xdr:col>
      <xdr:colOff>9525</xdr:colOff>
      <xdr:row>14</xdr:row>
      <xdr:rowOff>9525</xdr:rowOff>
    </xdr:to>
    <xdr:pic>
      <xdr:nvPicPr>
        <xdr:cNvPr id="286" name="Picture 285">
          <a:extLst>
            <a:ext uri="{FF2B5EF4-FFF2-40B4-BE49-F238E27FC236}">
              <a16:creationId xmlns:a16="http://schemas.microsoft.com/office/drawing/2014/main" id="{E1D989F6-20F4-4EC7-AF62-DE1A26E9F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3514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304800</xdr:colOff>
      <xdr:row>14</xdr:row>
      <xdr:rowOff>114300</xdr:rowOff>
    </xdr:to>
    <xdr:sp macro="" textlink="">
      <xdr:nvSpPr>
        <xdr:cNvPr id="287" name="AutoShape 319">
          <a:extLst>
            <a:ext uri="{FF2B5EF4-FFF2-40B4-BE49-F238E27FC236}">
              <a16:creationId xmlns:a16="http://schemas.microsoft.com/office/drawing/2014/main" id="{6B1175EA-5DBB-449A-8708-ADFF4F2F4EA4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332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9525</xdr:colOff>
      <xdr:row>15</xdr:row>
      <xdr:rowOff>9525</xdr:rowOff>
    </xdr:to>
    <xdr:pic>
      <xdr:nvPicPr>
        <xdr:cNvPr id="288" name="Picture 287">
          <a:extLst>
            <a:ext uri="{FF2B5EF4-FFF2-40B4-BE49-F238E27FC236}">
              <a16:creationId xmlns:a16="http://schemas.microsoft.com/office/drawing/2014/main" id="{A8FD8564-1101-4B69-AA17-57F2A1262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3705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20</xdr:col>
      <xdr:colOff>304800</xdr:colOff>
      <xdr:row>15</xdr:row>
      <xdr:rowOff>114300</xdr:rowOff>
    </xdr:to>
    <xdr:sp macro="" textlink="">
      <xdr:nvSpPr>
        <xdr:cNvPr id="289" name="AutoShape 321">
          <a:extLst>
            <a:ext uri="{FF2B5EF4-FFF2-40B4-BE49-F238E27FC236}">
              <a16:creationId xmlns:a16="http://schemas.microsoft.com/office/drawing/2014/main" id="{A91DFA09-E603-46B4-9450-369C01FF3055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351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16</xdr:row>
      <xdr:rowOff>0</xdr:rowOff>
    </xdr:from>
    <xdr:to>
      <xdr:col>20</xdr:col>
      <xdr:colOff>9525</xdr:colOff>
      <xdr:row>16</xdr:row>
      <xdr:rowOff>9525</xdr:rowOff>
    </xdr:to>
    <xdr:pic>
      <xdr:nvPicPr>
        <xdr:cNvPr id="290" name="Picture 289">
          <a:extLst>
            <a:ext uri="{FF2B5EF4-FFF2-40B4-BE49-F238E27FC236}">
              <a16:creationId xmlns:a16="http://schemas.microsoft.com/office/drawing/2014/main" id="{CE01815E-080C-4932-8964-E1C7A4A64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3924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304800</xdr:colOff>
      <xdr:row>16</xdr:row>
      <xdr:rowOff>85725</xdr:rowOff>
    </xdr:to>
    <xdr:sp macro="" textlink="">
      <xdr:nvSpPr>
        <xdr:cNvPr id="291" name="AutoShape 323">
          <a:extLst>
            <a:ext uri="{FF2B5EF4-FFF2-40B4-BE49-F238E27FC236}">
              <a16:creationId xmlns:a16="http://schemas.microsoft.com/office/drawing/2014/main" id="{18B887D4-E170-4BA6-A72A-E8D820648A86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370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9525</xdr:colOff>
      <xdr:row>17</xdr:row>
      <xdr:rowOff>9525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id="{0F7E3B59-9AFC-4040-B0D6-4B0FA33EB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41148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16</xdr:row>
      <xdr:rowOff>0</xdr:rowOff>
    </xdr:from>
    <xdr:to>
      <xdr:col>20</xdr:col>
      <xdr:colOff>304800</xdr:colOff>
      <xdr:row>17</xdr:row>
      <xdr:rowOff>114300</xdr:rowOff>
    </xdr:to>
    <xdr:sp macro="" textlink="">
      <xdr:nvSpPr>
        <xdr:cNvPr id="293" name="AutoShape 325">
          <a:extLst>
            <a:ext uri="{FF2B5EF4-FFF2-40B4-BE49-F238E27FC236}">
              <a16:creationId xmlns:a16="http://schemas.microsoft.com/office/drawing/2014/main" id="{7268F520-14CD-493A-94CC-1555A57E23A2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39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18</xdr:row>
      <xdr:rowOff>0</xdr:rowOff>
    </xdr:from>
    <xdr:to>
      <xdr:col>20</xdr:col>
      <xdr:colOff>9525</xdr:colOff>
      <xdr:row>18</xdr:row>
      <xdr:rowOff>9525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id="{B9DF1674-10E0-46CF-8595-E5C3F39CE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4333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304800</xdr:colOff>
      <xdr:row>18</xdr:row>
      <xdr:rowOff>85725</xdr:rowOff>
    </xdr:to>
    <xdr:sp macro="" textlink="">
      <xdr:nvSpPr>
        <xdr:cNvPr id="295" name="AutoShape 327">
          <a:extLst>
            <a:ext uri="{FF2B5EF4-FFF2-40B4-BE49-F238E27FC236}">
              <a16:creationId xmlns:a16="http://schemas.microsoft.com/office/drawing/2014/main" id="{5A521DCD-DF81-4F73-8A99-7A152E3F9E56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411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9525</xdr:colOff>
      <xdr:row>19</xdr:row>
      <xdr:rowOff>9525</xdr:rowOff>
    </xdr:to>
    <xdr:pic>
      <xdr:nvPicPr>
        <xdr:cNvPr id="296" name="Picture 295">
          <a:extLst>
            <a:ext uri="{FF2B5EF4-FFF2-40B4-BE49-F238E27FC236}">
              <a16:creationId xmlns:a16="http://schemas.microsoft.com/office/drawing/2014/main" id="{9BDC4588-251D-4A51-B6AD-40357160C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4552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9525</xdr:colOff>
      <xdr:row>20</xdr:row>
      <xdr:rowOff>9525</xdr:rowOff>
    </xdr:to>
    <xdr:pic>
      <xdr:nvPicPr>
        <xdr:cNvPr id="297" name="Picture 296">
          <a:extLst>
            <a:ext uri="{FF2B5EF4-FFF2-40B4-BE49-F238E27FC236}">
              <a16:creationId xmlns:a16="http://schemas.microsoft.com/office/drawing/2014/main" id="{78EAE514-D643-484C-81A1-60BC4C8A7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4772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9525</xdr:colOff>
      <xdr:row>3</xdr:row>
      <xdr:rowOff>9525</xdr:rowOff>
    </xdr:to>
    <xdr:pic>
      <xdr:nvPicPr>
        <xdr:cNvPr id="298" name="Picture 297">
          <a:extLst>
            <a:ext uri="{FF2B5EF4-FFF2-40B4-BE49-F238E27FC236}">
              <a16:creationId xmlns:a16="http://schemas.microsoft.com/office/drawing/2014/main" id="{46D00335-DA6A-40B6-85D7-EFA6073F7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343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304800</xdr:colOff>
      <xdr:row>3</xdr:row>
      <xdr:rowOff>85725</xdr:rowOff>
    </xdr:to>
    <xdr:sp macro="" textlink="">
      <xdr:nvSpPr>
        <xdr:cNvPr id="299" name="AutoShape 357">
          <a:extLst>
            <a:ext uri="{FF2B5EF4-FFF2-40B4-BE49-F238E27FC236}">
              <a16:creationId xmlns:a16="http://schemas.microsoft.com/office/drawing/2014/main" id="{4FD42289-21B5-40EF-B0FD-4AD3F8CBFC56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11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9525</xdr:colOff>
      <xdr:row>4</xdr:row>
      <xdr:rowOff>9525</xdr:rowOff>
    </xdr:to>
    <xdr:pic>
      <xdr:nvPicPr>
        <xdr:cNvPr id="300" name="Picture 299">
          <a:extLst>
            <a:ext uri="{FF2B5EF4-FFF2-40B4-BE49-F238E27FC236}">
              <a16:creationId xmlns:a16="http://schemas.microsoft.com/office/drawing/2014/main" id="{F07311A5-D8DC-40E3-B13A-20AC909E2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533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9525</xdr:colOff>
      <xdr:row>5</xdr:row>
      <xdr:rowOff>9525</xdr:rowOff>
    </xdr:to>
    <xdr:pic>
      <xdr:nvPicPr>
        <xdr:cNvPr id="301" name="Picture 300">
          <a:extLst>
            <a:ext uri="{FF2B5EF4-FFF2-40B4-BE49-F238E27FC236}">
              <a16:creationId xmlns:a16="http://schemas.microsoft.com/office/drawing/2014/main" id="{62881256-D7E7-4D83-83F5-2FDB5B5C8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724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9525</xdr:colOff>
      <xdr:row>6</xdr:row>
      <xdr:rowOff>9525</xdr:rowOff>
    </xdr:to>
    <xdr:pic>
      <xdr:nvPicPr>
        <xdr:cNvPr id="302" name="Picture 301">
          <a:extLst>
            <a:ext uri="{FF2B5EF4-FFF2-40B4-BE49-F238E27FC236}">
              <a16:creationId xmlns:a16="http://schemas.microsoft.com/office/drawing/2014/main" id="{CE521F39-3A5D-4C42-ACEB-0AB9C7C0F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914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304800</xdr:colOff>
      <xdr:row>6</xdr:row>
      <xdr:rowOff>114300</xdr:rowOff>
    </xdr:to>
    <xdr:sp macro="" textlink="">
      <xdr:nvSpPr>
        <xdr:cNvPr id="303" name="AutoShape 361">
          <a:extLst>
            <a:ext uri="{FF2B5EF4-FFF2-40B4-BE49-F238E27FC236}">
              <a16:creationId xmlns:a16="http://schemas.microsoft.com/office/drawing/2014/main" id="{22C787F0-DA71-4ECA-B37E-96559DD3869F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172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9525</xdr:colOff>
      <xdr:row>7</xdr:row>
      <xdr:rowOff>9525</xdr:rowOff>
    </xdr:to>
    <xdr:pic>
      <xdr:nvPicPr>
        <xdr:cNvPr id="304" name="Picture 303">
          <a:extLst>
            <a:ext uri="{FF2B5EF4-FFF2-40B4-BE49-F238E27FC236}">
              <a16:creationId xmlns:a16="http://schemas.microsoft.com/office/drawing/2014/main" id="{16E9A134-CB17-4614-B21D-61659E460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2114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304800</xdr:colOff>
      <xdr:row>8</xdr:row>
      <xdr:rowOff>100693</xdr:rowOff>
    </xdr:to>
    <xdr:sp macro="" textlink="">
      <xdr:nvSpPr>
        <xdr:cNvPr id="305" name="AutoShape 363">
          <a:extLst>
            <a:ext uri="{FF2B5EF4-FFF2-40B4-BE49-F238E27FC236}">
              <a16:creationId xmlns:a16="http://schemas.microsoft.com/office/drawing/2014/main" id="{DC0B475A-EA5B-45B6-AC1C-D09FB90B5287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2114550"/>
          <a:ext cx="304800" cy="300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9</xdr:row>
      <xdr:rowOff>0</xdr:rowOff>
    </xdr:from>
    <xdr:to>
      <xdr:col>20</xdr:col>
      <xdr:colOff>9525</xdr:colOff>
      <xdr:row>9</xdr:row>
      <xdr:rowOff>9525</xdr:rowOff>
    </xdr:to>
    <xdr:pic>
      <xdr:nvPicPr>
        <xdr:cNvPr id="306" name="Picture 305">
          <a:extLst>
            <a:ext uri="{FF2B5EF4-FFF2-40B4-BE49-F238E27FC236}">
              <a16:creationId xmlns:a16="http://schemas.microsoft.com/office/drawing/2014/main" id="{039C9E15-EC0E-45ED-A916-6BE2F92B3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2533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304800</xdr:colOff>
      <xdr:row>9</xdr:row>
      <xdr:rowOff>85725</xdr:rowOff>
    </xdr:to>
    <xdr:sp macro="" textlink="">
      <xdr:nvSpPr>
        <xdr:cNvPr id="307" name="AutoShape 365">
          <a:extLst>
            <a:ext uri="{FF2B5EF4-FFF2-40B4-BE49-F238E27FC236}">
              <a16:creationId xmlns:a16="http://schemas.microsoft.com/office/drawing/2014/main" id="{1EA11224-A109-4020-A694-79AAAB66B0B1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231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10</xdr:row>
      <xdr:rowOff>0</xdr:rowOff>
    </xdr:from>
    <xdr:to>
      <xdr:col>20</xdr:col>
      <xdr:colOff>9525</xdr:colOff>
      <xdr:row>10</xdr:row>
      <xdr:rowOff>9525</xdr:rowOff>
    </xdr:to>
    <xdr:pic>
      <xdr:nvPicPr>
        <xdr:cNvPr id="308" name="Picture 307">
          <a:extLst>
            <a:ext uri="{FF2B5EF4-FFF2-40B4-BE49-F238E27FC236}">
              <a16:creationId xmlns:a16="http://schemas.microsoft.com/office/drawing/2014/main" id="{A0012EEC-3E28-4948-ABCF-23EBDF916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2724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11</xdr:row>
      <xdr:rowOff>0</xdr:rowOff>
    </xdr:from>
    <xdr:to>
      <xdr:col>20</xdr:col>
      <xdr:colOff>9525</xdr:colOff>
      <xdr:row>11</xdr:row>
      <xdr:rowOff>9525</xdr:rowOff>
    </xdr:to>
    <xdr:pic>
      <xdr:nvPicPr>
        <xdr:cNvPr id="309" name="Picture 308">
          <a:extLst>
            <a:ext uri="{FF2B5EF4-FFF2-40B4-BE49-F238E27FC236}">
              <a16:creationId xmlns:a16="http://schemas.microsoft.com/office/drawing/2014/main" id="{FB70C509-B8A1-4162-AF4C-C9FA9F7BD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2914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9525</xdr:colOff>
      <xdr:row>12</xdr:row>
      <xdr:rowOff>9525</xdr:rowOff>
    </xdr:to>
    <xdr:pic>
      <xdr:nvPicPr>
        <xdr:cNvPr id="310" name="Picture 309">
          <a:extLst>
            <a:ext uri="{FF2B5EF4-FFF2-40B4-BE49-F238E27FC236}">
              <a16:creationId xmlns:a16="http://schemas.microsoft.com/office/drawing/2014/main" id="{B1052CBE-0C00-4650-A90F-237F66E7C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3133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9525</xdr:colOff>
      <xdr:row>13</xdr:row>
      <xdr:rowOff>9525</xdr:rowOff>
    </xdr:to>
    <xdr:pic>
      <xdr:nvPicPr>
        <xdr:cNvPr id="311" name="Picture 310">
          <a:extLst>
            <a:ext uri="{FF2B5EF4-FFF2-40B4-BE49-F238E27FC236}">
              <a16:creationId xmlns:a16="http://schemas.microsoft.com/office/drawing/2014/main" id="{38DFD63F-E169-4CCE-A894-8EE9A954F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3324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20</xdr:col>
      <xdr:colOff>9525</xdr:colOff>
      <xdr:row>14</xdr:row>
      <xdr:rowOff>9525</xdr:rowOff>
    </xdr:to>
    <xdr:pic>
      <xdr:nvPicPr>
        <xdr:cNvPr id="312" name="Picture 311">
          <a:extLst>
            <a:ext uri="{FF2B5EF4-FFF2-40B4-BE49-F238E27FC236}">
              <a16:creationId xmlns:a16="http://schemas.microsoft.com/office/drawing/2014/main" id="{2F37FBF0-2D66-481C-B95F-204793BCE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3514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304800</xdr:colOff>
      <xdr:row>14</xdr:row>
      <xdr:rowOff>114300</xdr:rowOff>
    </xdr:to>
    <xdr:sp macro="" textlink="">
      <xdr:nvSpPr>
        <xdr:cNvPr id="313" name="AutoShape 371">
          <a:extLst>
            <a:ext uri="{FF2B5EF4-FFF2-40B4-BE49-F238E27FC236}">
              <a16:creationId xmlns:a16="http://schemas.microsoft.com/office/drawing/2014/main" id="{46A9BC44-242A-4584-A6BE-A5BA7ECC3FAA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332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9525</xdr:colOff>
      <xdr:row>15</xdr:row>
      <xdr:rowOff>9525</xdr:rowOff>
    </xdr:to>
    <xdr:pic>
      <xdr:nvPicPr>
        <xdr:cNvPr id="314" name="Picture 313">
          <a:extLst>
            <a:ext uri="{FF2B5EF4-FFF2-40B4-BE49-F238E27FC236}">
              <a16:creationId xmlns:a16="http://schemas.microsoft.com/office/drawing/2014/main" id="{8D95B2AB-7DE2-496F-8445-E1829803E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3705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20</xdr:col>
      <xdr:colOff>304800</xdr:colOff>
      <xdr:row>15</xdr:row>
      <xdr:rowOff>114300</xdr:rowOff>
    </xdr:to>
    <xdr:sp macro="" textlink="">
      <xdr:nvSpPr>
        <xdr:cNvPr id="315" name="AutoShape 373">
          <a:extLst>
            <a:ext uri="{FF2B5EF4-FFF2-40B4-BE49-F238E27FC236}">
              <a16:creationId xmlns:a16="http://schemas.microsoft.com/office/drawing/2014/main" id="{15C40C58-4993-40EA-A0AC-12226C04BB73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351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16</xdr:row>
      <xdr:rowOff>0</xdr:rowOff>
    </xdr:from>
    <xdr:to>
      <xdr:col>20</xdr:col>
      <xdr:colOff>9525</xdr:colOff>
      <xdr:row>16</xdr:row>
      <xdr:rowOff>9525</xdr:rowOff>
    </xdr:to>
    <xdr:pic>
      <xdr:nvPicPr>
        <xdr:cNvPr id="316" name="Picture 315">
          <a:extLst>
            <a:ext uri="{FF2B5EF4-FFF2-40B4-BE49-F238E27FC236}">
              <a16:creationId xmlns:a16="http://schemas.microsoft.com/office/drawing/2014/main" id="{D34AB8AD-4542-43B2-B9B3-56B126F52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3924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304800</xdr:colOff>
      <xdr:row>16</xdr:row>
      <xdr:rowOff>85725</xdr:rowOff>
    </xdr:to>
    <xdr:sp macro="" textlink="">
      <xdr:nvSpPr>
        <xdr:cNvPr id="317" name="AutoShape 375">
          <a:extLst>
            <a:ext uri="{FF2B5EF4-FFF2-40B4-BE49-F238E27FC236}">
              <a16:creationId xmlns:a16="http://schemas.microsoft.com/office/drawing/2014/main" id="{2819EE7D-F54B-4E8C-8B89-EECF8772BC33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370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9525</xdr:colOff>
      <xdr:row>17</xdr:row>
      <xdr:rowOff>9525</xdr:rowOff>
    </xdr:to>
    <xdr:pic>
      <xdr:nvPicPr>
        <xdr:cNvPr id="318" name="Picture 317">
          <a:extLst>
            <a:ext uri="{FF2B5EF4-FFF2-40B4-BE49-F238E27FC236}">
              <a16:creationId xmlns:a16="http://schemas.microsoft.com/office/drawing/2014/main" id="{659F37C4-B82D-470C-B358-DEAE224FF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41148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16</xdr:row>
      <xdr:rowOff>0</xdr:rowOff>
    </xdr:from>
    <xdr:to>
      <xdr:col>20</xdr:col>
      <xdr:colOff>304800</xdr:colOff>
      <xdr:row>17</xdr:row>
      <xdr:rowOff>114300</xdr:rowOff>
    </xdr:to>
    <xdr:sp macro="" textlink="">
      <xdr:nvSpPr>
        <xdr:cNvPr id="319" name="AutoShape 377">
          <a:extLst>
            <a:ext uri="{FF2B5EF4-FFF2-40B4-BE49-F238E27FC236}">
              <a16:creationId xmlns:a16="http://schemas.microsoft.com/office/drawing/2014/main" id="{2E80B5F6-ABDA-4E67-A00D-BD0187159033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39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18</xdr:row>
      <xdr:rowOff>0</xdr:rowOff>
    </xdr:from>
    <xdr:to>
      <xdr:col>20</xdr:col>
      <xdr:colOff>9525</xdr:colOff>
      <xdr:row>18</xdr:row>
      <xdr:rowOff>9525</xdr:rowOff>
    </xdr:to>
    <xdr:pic>
      <xdr:nvPicPr>
        <xdr:cNvPr id="320" name="Picture 319">
          <a:extLst>
            <a:ext uri="{FF2B5EF4-FFF2-40B4-BE49-F238E27FC236}">
              <a16:creationId xmlns:a16="http://schemas.microsoft.com/office/drawing/2014/main" id="{86F90E53-352B-4D1C-8CAE-057155BB2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4333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304800</xdr:colOff>
      <xdr:row>18</xdr:row>
      <xdr:rowOff>85725</xdr:rowOff>
    </xdr:to>
    <xdr:sp macro="" textlink="">
      <xdr:nvSpPr>
        <xdr:cNvPr id="321" name="AutoShape 379">
          <a:extLst>
            <a:ext uri="{FF2B5EF4-FFF2-40B4-BE49-F238E27FC236}">
              <a16:creationId xmlns:a16="http://schemas.microsoft.com/office/drawing/2014/main" id="{634B3DB1-622E-4637-AFBE-226CEEDCECD3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411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9525</xdr:colOff>
      <xdr:row>19</xdr:row>
      <xdr:rowOff>9525</xdr:rowOff>
    </xdr:to>
    <xdr:pic>
      <xdr:nvPicPr>
        <xdr:cNvPr id="322" name="Picture 321">
          <a:extLst>
            <a:ext uri="{FF2B5EF4-FFF2-40B4-BE49-F238E27FC236}">
              <a16:creationId xmlns:a16="http://schemas.microsoft.com/office/drawing/2014/main" id="{8335A652-A310-4191-A981-C23F30B23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4552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20</xdr:col>
      <xdr:colOff>304800</xdr:colOff>
      <xdr:row>19</xdr:row>
      <xdr:rowOff>85725</xdr:rowOff>
    </xdr:to>
    <xdr:sp macro="" textlink="">
      <xdr:nvSpPr>
        <xdr:cNvPr id="323" name="AutoShape 381">
          <a:extLst>
            <a:ext uri="{FF2B5EF4-FFF2-40B4-BE49-F238E27FC236}">
              <a16:creationId xmlns:a16="http://schemas.microsoft.com/office/drawing/2014/main" id="{7B688A13-98B6-4671-A82C-8E255B523F47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433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9525</xdr:colOff>
      <xdr:row>20</xdr:row>
      <xdr:rowOff>9525</xdr:rowOff>
    </xdr:to>
    <xdr:pic>
      <xdr:nvPicPr>
        <xdr:cNvPr id="324" name="Picture 323">
          <a:extLst>
            <a:ext uri="{FF2B5EF4-FFF2-40B4-BE49-F238E27FC236}">
              <a16:creationId xmlns:a16="http://schemas.microsoft.com/office/drawing/2014/main" id="{EA3FC44D-D9F5-4010-98E3-7F81D3F7E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4772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21</xdr:row>
      <xdr:rowOff>0</xdr:rowOff>
    </xdr:from>
    <xdr:to>
      <xdr:col>20</xdr:col>
      <xdr:colOff>9525</xdr:colOff>
      <xdr:row>21</xdr:row>
      <xdr:rowOff>9525</xdr:rowOff>
    </xdr:to>
    <xdr:pic>
      <xdr:nvPicPr>
        <xdr:cNvPr id="325" name="Picture 324">
          <a:extLst>
            <a:ext uri="{FF2B5EF4-FFF2-40B4-BE49-F238E27FC236}">
              <a16:creationId xmlns:a16="http://schemas.microsoft.com/office/drawing/2014/main" id="{D6913E10-09F8-42C2-A513-5F55F25D3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4991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18</xdr:row>
      <xdr:rowOff>0</xdr:rowOff>
    </xdr:from>
    <xdr:ext cx="9525" cy="9525"/>
    <xdr:pic>
      <xdr:nvPicPr>
        <xdr:cNvPr id="326" name="Picture 325">
          <a:extLst>
            <a:ext uri="{FF2B5EF4-FFF2-40B4-BE49-F238E27FC236}">
              <a16:creationId xmlns:a16="http://schemas.microsoft.com/office/drawing/2014/main" id="{5D6604BD-27DB-4051-968B-648509BBC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33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304800" cy="303439"/>
    <xdr:sp macro="" textlink="">
      <xdr:nvSpPr>
        <xdr:cNvPr id="327" name="AutoShape 165">
          <a:extLst>
            <a:ext uri="{FF2B5EF4-FFF2-40B4-BE49-F238E27FC236}">
              <a16:creationId xmlns:a16="http://schemas.microsoft.com/office/drawing/2014/main" id="{1BDF3883-6148-43F2-A6BE-481D37E16BC7}"/>
            </a:ext>
          </a:extLst>
        </xdr:cNvPr>
        <xdr:cNvSpPr>
          <a:spLocks noChangeAspect="1" noChangeArrowheads="1"/>
        </xdr:cNvSpPr>
      </xdr:nvSpPr>
      <xdr:spPr bwMode="auto">
        <a:xfrm>
          <a:off x="0" y="41148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9525" cy="9525"/>
    <xdr:pic>
      <xdr:nvPicPr>
        <xdr:cNvPr id="328" name="Picture 327">
          <a:extLst>
            <a:ext uri="{FF2B5EF4-FFF2-40B4-BE49-F238E27FC236}">
              <a16:creationId xmlns:a16="http://schemas.microsoft.com/office/drawing/2014/main" id="{FA9E6F1C-0904-4286-BB43-ACEFB63F6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33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</xdr:row>
      <xdr:rowOff>0</xdr:rowOff>
    </xdr:from>
    <xdr:ext cx="304800" cy="303439"/>
    <xdr:sp macro="" textlink="">
      <xdr:nvSpPr>
        <xdr:cNvPr id="329" name="AutoShape 195">
          <a:extLst>
            <a:ext uri="{FF2B5EF4-FFF2-40B4-BE49-F238E27FC236}">
              <a16:creationId xmlns:a16="http://schemas.microsoft.com/office/drawing/2014/main" id="{85D0E2DB-35B2-4BB6-A8D0-01F65B95C3D7}"/>
            </a:ext>
          </a:extLst>
        </xdr:cNvPr>
        <xdr:cNvSpPr>
          <a:spLocks noChangeAspect="1" noChangeArrowheads="1"/>
        </xdr:cNvSpPr>
      </xdr:nvSpPr>
      <xdr:spPr bwMode="auto">
        <a:xfrm>
          <a:off x="0" y="4114800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9525" cy="9525"/>
    <xdr:pic>
      <xdr:nvPicPr>
        <xdr:cNvPr id="330" name="Picture 329">
          <a:extLst>
            <a:ext uri="{FF2B5EF4-FFF2-40B4-BE49-F238E27FC236}">
              <a16:creationId xmlns:a16="http://schemas.microsoft.com/office/drawing/2014/main" id="{DD22C9C2-5D74-4DD0-9D9A-77895E581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33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9525" cy="9525"/>
    <xdr:pic>
      <xdr:nvPicPr>
        <xdr:cNvPr id="331" name="Picture 330">
          <a:extLst>
            <a:ext uri="{FF2B5EF4-FFF2-40B4-BE49-F238E27FC236}">
              <a16:creationId xmlns:a16="http://schemas.microsoft.com/office/drawing/2014/main" id="{C85DCED7-FAC9-4A8A-A1E9-F2E5D3302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33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9525" cy="9525"/>
    <xdr:pic>
      <xdr:nvPicPr>
        <xdr:cNvPr id="332" name="Picture 331">
          <a:extLst>
            <a:ext uri="{FF2B5EF4-FFF2-40B4-BE49-F238E27FC236}">
              <a16:creationId xmlns:a16="http://schemas.microsoft.com/office/drawing/2014/main" id="{66361664-96B3-4195-B86D-329F5DF52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33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9525" cy="9525"/>
    <xdr:pic>
      <xdr:nvPicPr>
        <xdr:cNvPr id="333" name="Picture 332">
          <a:extLst>
            <a:ext uri="{FF2B5EF4-FFF2-40B4-BE49-F238E27FC236}">
              <a16:creationId xmlns:a16="http://schemas.microsoft.com/office/drawing/2014/main" id="{18F6FE63-068C-4460-A7EE-D266DE08E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33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0</xdr:rowOff>
    </xdr:from>
    <xdr:ext cx="9525" cy="9525"/>
    <xdr:pic>
      <xdr:nvPicPr>
        <xdr:cNvPr id="334" name="Picture 333">
          <a:extLst>
            <a:ext uri="{FF2B5EF4-FFF2-40B4-BE49-F238E27FC236}">
              <a16:creationId xmlns:a16="http://schemas.microsoft.com/office/drawing/2014/main" id="{C291533A-265D-4B41-8343-917055ACF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33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20</xdr:col>
      <xdr:colOff>0</xdr:colOff>
      <xdr:row>3</xdr:row>
      <xdr:rowOff>0</xdr:rowOff>
    </xdr:from>
    <xdr:to>
      <xdr:col>20</xdr:col>
      <xdr:colOff>9525</xdr:colOff>
      <xdr:row>3</xdr:row>
      <xdr:rowOff>9525</xdr:rowOff>
    </xdr:to>
    <xdr:pic>
      <xdr:nvPicPr>
        <xdr:cNvPr id="335" name="Picture 334">
          <a:extLst>
            <a:ext uri="{FF2B5EF4-FFF2-40B4-BE49-F238E27FC236}">
              <a16:creationId xmlns:a16="http://schemas.microsoft.com/office/drawing/2014/main" id="{5E89D5AF-38C6-4D40-8692-A65C0C953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343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304800</xdr:colOff>
      <xdr:row>3</xdr:row>
      <xdr:rowOff>85725</xdr:rowOff>
    </xdr:to>
    <xdr:sp macro="" textlink="">
      <xdr:nvSpPr>
        <xdr:cNvPr id="336" name="AutoShape 413">
          <a:extLst>
            <a:ext uri="{FF2B5EF4-FFF2-40B4-BE49-F238E27FC236}">
              <a16:creationId xmlns:a16="http://schemas.microsoft.com/office/drawing/2014/main" id="{C1F1932D-B26F-46AF-89B9-C90F2D288AB6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11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9525</xdr:colOff>
      <xdr:row>4</xdr:row>
      <xdr:rowOff>9525</xdr:rowOff>
    </xdr:to>
    <xdr:pic>
      <xdr:nvPicPr>
        <xdr:cNvPr id="337" name="Picture 336">
          <a:extLst>
            <a:ext uri="{FF2B5EF4-FFF2-40B4-BE49-F238E27FC236}">
              <a16:creationId xmlns:a16="http://schemas.microsoft.com/office/drawing/2014/main" id="{9513D149-5180-462E-A6C1-7A66BE745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533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9525</xdr:colOff>
      <xdr:row>5</xdr:row>
      <xdr:rowOff>9525</xdr:rowOff>
    </xdr:to>
    <xdr:pic>
      <xdr:nvPicPr>
        <xdr:cNvPr id="338" name="Picture 337">
          <a:extLst>
            <a:ext uri="{FF2B5EF4-FFF2-40B4-BE49-F238E27FC236}">
              <a16:creationId xmlns:a16="http://schemas.microsoft.com/office/drawing/2014/main" id="{29BF644E-7766-4F8C-A1E0-9A1BE1B43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724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9525</xdr:colOff>
      <xdr:row>6</xdr:row>
      <xdr:rowOff>9525</xdr:rowOff>
    </xdr:to>
    <xdr:pic>
      <xdr:nvPicPr>
        <xdr:cNvPr id="339" name="Picture 338">
          <a:extLst>
            <a:ext uri="{FF2B5EF4-FFF2-40B4-BE49-F238E27FC236}">
              <a16:creationId xmlns:a16="http://schemas.microsoft.com/office/drawing/2014/main" id="{7697309A-7322-4697-B499-5CE35D24F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914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304800</xdr:colOff>
      <xdr:row>6</xdr:row>
      <xdr:rowOff>114300</xdr:rowOff>
    </xdr:to>
    <xdr:sp macro="" textlink="">
      <xdr:nvSpPr>
        <xdr:cNvPr id="340" name="AutoShape 417">
          <a:extLst>
            <a:ext uri="{FF2B5EF4-FFF2-40B4-BE49-F238E27FC236}">
              <a16:creationId xmlns:a16="http://schemas.microsoft.com/office/drawing/2014/main" id="{DC112F66-4570-408D-924E-90EF901627C2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172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9525</xdr:colOff>
      <xdr:row>7</xdr:row>
      <xdr:rowOff>9525</xdr:rowOff>
    </xdr:to>
    <xdr:pic>
      <xdr:nvPicPr>
        <xdr:cNvPr id="341" name="Picture 340">
          <a:extLst>
            <a:ext uri="{FF2B5EF4-FFF2-40B4-BE49-F238E27FC236}">
              <a16:creationId xmlns:a16="http://schemas.microsoft.com/office/drawing/2014/main" id="{9ACD2C33-3C4A-4928-8E76-AD3B4AE8C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2114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304800</xdr:colOff>
      <xdr:row>8</xdr:row>
      <xdr:rowOff>100693</xdr:rowOff>
    </xdr:to>
    <xdr:sp macro="" textlink="">
      <xdr:nvSpPr>
        <xdr:cNvPr id="342" name="AutoShape 419">
          <a:extLst>
            <a:ext uri="{FF2B5EF4-FFF2-40B4-BE49-F238E27FC236}">
              <a16:creationId xmlns:a16="http://schemas.microsoft.com/office/drawing/2014/main" id="{FFEA15B7-5611-4E72-B921-164C9CB949C9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2114550"/>
          <a:ext cx="304800" cy="300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9</xdr:row>
      <xdr:rowOff>0</xdr:rowOff>
    </xdr:from>
    <xdr:to>
      <xdr:col>20</xdr:col>
      <xdr:colOff>9525</xdr:colOff>
      <xdr:row>9</xdr:row>
      <xdr:rowOff>9525</xdr:rowOff>
    </xdr:to>
    <xdr:pic>
      <xdr:nvPicPr>
        <xdr:cNvPr id="343" name="Picture 342">
          <a:extLst>
            <a:ext uri="{FF2B5EF4-FFF2-40B4-BE49-F238E27FC236}">
              <a16:creationId xmlns:a16="http://schemas.microsoft.com/office/drawing/2014/main" id="{1DEE43CA-17CE-49EA-9659-652E12E5C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2533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304800</xdr:colOff>
      <xdr:row>9</xdr:row>
      <xdr:rowOff>85725</xdr:rowOff>
    </xdr:to>
    <xdr:sp macro="" textlink="">
      <xdr:nvSpPr>
        <xdr:cNvPr id="344" name="AutoShape 421">
          <a:extLst>
            <a:ext uri="{FF2B5EF4-FFF2-40B4-BE49-F238E27FC236}">
              <a16:creationId xmlns:a16="http://schemas.microsoft.com/office/drawing/2014/main" id="{AC93533E-560F-463B-B749-1337E04677A0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231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10</xdr:row>
      <xdr:rowOff>0</xdr:rowOff>
    </xdr:from>
    <xdr:to>
      <xdr:col>20</xdr:col>
      <xdr:colOff>9525</xdr:colOff>
      <xdr:row>10</xdr:row>
      <xdr:rowOff>9525</xdr:rowOff>
    </xdr:to>
    <xdr:pic>
      <xdr:nvPicPr>
        <xdr:cNvPr id="345" name="Picture 344">
          <a:extLst>
            <a:ext uri="{FF2B5EF4-FFF2-40B4-BE49-F238E27FC236}">
              <a16:creationId xmlns:a16="http://schemas.microsoft.com/office/drawing/2014/main" id="{31FA96C3-280B-417E-A10E-E08A850FB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2724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11</xdr:row>
      <xdr:rowOff>0</xdr:rowOff>
    </xdr:from>
    <xdr:to>
      <xdr:col>20</xdr:col>
      <xdr:colOff>9525</xdr:colOff>
      <xdr:row>11</xdr:row>
      <xdr:rowOff>9525</xdr:rowOff>
    </xdr:to>
    <xdr:pic>
      <xdr:nvPicPr>
        <xdr:cNvPr id="346" name="Picture 345">
          <a:extLst>
            <a:ext uri="{FF2B5EF4-FFF2-40B4-BE49-F238E27FC236}">
              <a16:creationId xmlns:a16="http://schemas.microsoft.com/office/drawing/2014/main" id="{F92DD158-E87C-482B-AAA8-15FC9F671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2914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9525</xdr:colOff>
      <xdr:row>12</xdr:row>
      <xdr:rowOff>9525</xdr:rowOff>
    </xdr:to>
    <xdr:pic>
      <xdr:nvPicPr>
        <xdr:cNvPr id="347" name="Picture 346">
          <a:extLst>
            <a:ext uri="{FF2B5EF4-FFF2-40B4-BE49-F238E27FC236}">
              <a16:creationId xmlns:a16="http://schemas.microsoft.com/office/drawing/2014/main" id="{69C43396-5450-4E0C-8315-FE391D97E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3133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9525</xdr:colOff>
      <xdr:row>13</xdr:row>
      <xdr:rowOff>9525</xdr:rowOff>
    </xdr:to>
    <xdr:pic>
      <xdr:nvPicPr>
        <xdr:cNvPr id="348" name="Picture 347">
          <a:extLst>
            <a:ext uri="{FF2B5EF4-FFF2-40B4-BE49-F238E27FC236}">
              <a16:creationId xmlns:a16="http://schemas.microsoft.com/office/drawing/2014/main" id="{8A194C12-9959-406E-BF82-13A819614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3324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20</xdr:col>
      <xdr:colOff>9525</xdr:colOff>
      <xdr:row>14</xdr:row>
      <xdr:rowOff>9525</xdr:rowOff>
    </xdr:to>
    <xdr:pic>
      <xdr:nvPicPr>
        <xdr:cNvPr id="349" name="Picture 348">
          <a:extLst>
            <a:ext uri="{FF2B5EF4-FFF2-40B4-BE49-F238E27FC236}">
              <a16:creationId xmlns:a16="http://schemas.microsoft.com/office/drawing/2014/main" id="{AD306246-ADBD-44D2-81E4-A3BEA86AC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3514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304800</xdr:colOff>
      <xdr:row>14</xdr:row>
      <xdr:rowOff>114300</xdr:rowOff>
    </xdr:to>
    <xdr:sp macro="" textlink="">
      <xdr:nvSpPr>
        <xdr:cNvPr id="350" name="AutoShape 427">
          <a:extLst>
            <a:ext uri="{FF2B5EF4-FFF2-40B4-BE49-F238E27FC236}">
              <a16:creationId xmlns:a16="http://schemas.microsoft.com/office/drawing/2014/main" id="{A686A820-E031-4494-97AA-F78C74929328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332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9525</xdr:colOff>
      <xdr:row>15</xdr:row>
      <xdr:rowOff>9525</xdr:rowOff>
    </xdr:to>
    <xdr:pic>
      <xdr:nvPicPr>
        <xdr:cNvPr id="351" name="Picture 350">
          <a:extLst>
            <a:ext uri="{FF2B5EF4-FFF2-40B4-BE49-F238E27FC236}">
              <a16:creationId xmlns:a16="http://schemas.microsoft.com/office/drawing/2014/main" id="{F873AA7D-99A7-4413-8C90-BDDB6D105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3705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20</xdr:col>
      <xdr:colOff>304800</xdr:colOff>
      <xdr:row>15</xdr:row>
      <xdr:rowOff>114300</xdr:rowOff>
    </xdr:to>
    <xdr:sp macro="" textlink="">
      <xdr:nvSpPr>
        <xdr:cNvPr id="352" name="AutoShape 429">
          <a:extLst>
            <a:ext uri="{FF2B5EF4-FFF2-40B4-BE49-F238E27FC236}">
              <a16:creationId xmlns:a16="http://schemas.microsoft.com/office/drawing/2014/main" id="{D4CD2778-B554-4FBF-8109-72AB4AF7D3B7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351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16</xdr:row>
      <xdr:rowOff>0</xdr:rowOff>
    </xdr:from>
    <xdr:to>
      <xdr:col>20</xdr:col>
      <xdr:colOff>9525</xdr:colOff>
      <xdr:row>16</xdr:row>
      <xdr:rowOff>9525</xdr:rowOff>
    </xdr:to>
    <xdr:pic>
      <xdr:nvPicPr>
        <xdr:cNvPr id="353" name="Picture 352">
          <a:extLst>
            <a:ext uri="{FF2B5EF4-FFF2-40B4-BE49-F238E27FC236}">
              <a16:creationId xmlns:a16="http://schemas.microsoft.com/office/drawing/2014/main" id="{EB9FB2BE-5621-4BF5-A5B7-665AF125A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3924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304800</xdr:colOff>
      <xdr:row>16</xdr:row>
      <xdr:rowOff>85725</xdr:rowOff>
    </xdr:to>
    <xdr:sp macro="" textlink="">
      <xdr:nvSpPr>
        <xdr:cNvPr id="354" name="AutoShape 431">
          <a:extLst>
            <a:ext uri="{FF2B5EF4-FFF2-40B4-BE49-F238E27FC236}">
              <a16:creationId xmlns:a16="http://schemas.microsoft.com/office/drawing/2014/main" id="{6F921A6F-5329-445D-ADD5-2180EB2CD801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370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9525</xdr:colOff>
      <xdr:row>17</xdr:row>
      <xdr:rowOff>9525</xdr:rowOff>
    </xdr:to>
    <xdr:pic>
      <xdr:nvPicPr>
        <xdr:cNvPr id="355" name="Picture 354">
          <a:extLst>
            <a:ext uri="{FF2B5EF4-FFF2-40B4-BE49-F238E27FC236}">
              <a16:creationId xmlns:a16="http://schemas.microsoft.com/office/drawing/2014/main" id="{65377597-EE71-4979-922B-B434C2FEA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41148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16</xdr:row>
      <xdr:rowOff>0</xdr:rowOff>
    </xdr:from>
    <xdr:to>
      <xdr:col>20</xdr:col>
      <xdr:colOff>304800</xdr:colOff>
      <xdr:row>17</xdr:row>
      <xdr:rowOff>114300</xdr:rowOff>
    </xdr:to>
    <xdr:sp macro="" textlink="">
      <xdr:nvSpPr>
        <xdr:cNvPr id="356" name="AutoShape 433">
          <a:extLst>
            <a:ext uri="{FF2B5EF4-FFF2-40B4-BE49-F238E27FC236}">
              <a16:creationId xmlns:a16="http://schemas.microsoft.com/office/drawing/2014/main" id="{973D9649-17E2-4EE2-A20F-5FBAB0C885E7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39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18</xdr:row>
      <xdr:rowOff>0</xdr:rowOff>
    </xdr:from>
    <xdr:to>
      <xdr:col>20</xdr:col>
      <xdr:colOff>9525</xdr:colOff>
      <xdr:row>18</xdr:row>
      <xdr:rowOff>9525</xdr:rowOff>
    </xdr:to>
    <xdr:pic>
      <xdr:nvPicPr>
        <xdr:cNvPr id="357" name="Picture 356">
          <a:extLst>
            <a:ext uri="{FF2B5EF4-FFF2-40B4-BE49-F238E27FC236}">
              <a16:creationId xmlns:a16="http://schemas.microsoft.com/office/drawing/2014/main" id="{DC4EF965-C46E-4D5F-8BFD-55F15A343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4333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304800</xdr:colOff>
      <xdr:row>18</xdr:row>
      <xdr:rowOff>85725</xdr:rowOff>
    </xdr:to>
    <xdr:sp macro="" textlink="">
      <xdr:nvSpPr>
        <xdr:cNvPr id="358" name="AutoShape 435">
          <a:extLst>
            <a:ext uri="{FF2B5EF4-FFF2-40B4-BE49-F238E27FC236}">
              <a16:creationId xmlns:a16="http://schemas.microsoft.com/office/drawing/2014/main" id="{B8C63988-22A0-40E4-9D33-3AA8282E49CB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411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9525</xdr:colOff>
      <xdr:row>19</xdr:row>
      <xdr:rowOff>9525</xdr:rowOff>
    </xdr:to>
    <xdr:pic>
      <xdr:nvPicPr>
        <xdr:cNvPr id="359" name="Picture 358">
          <a:extLst>
            <a:ext uri="{FF2B5EF4-FFF2-40B4-BE49-F238E27FC236}">
              <a16:creationId xmlns:a16="http://schemas.microsoft.com/office/drawing/2014/main" id="{61C3B687-C17E-4BEF-8E4C-2948CEB4C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4552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20</xdr:col>
      <xdr:colOff>304800</xdr:colOff>
      <xdr:row>19</xdr:row>
      <xdr:rowOff>85725</xdr:rowOff>
    </xdr:to>
    <xdr:sp macro="" textlink="">
      <xdr:nvSpPr>
        <xdr:cNvPr id="360" name="AutoShape 437">
          <a:extLst>
            <a:ext uri="{FF2B5EF4-FFF2-40B4-BE49-F238E27FC236}">
              <a16:creationId xmlns:a16="http://schemas.microsoft.com/office/drawing/2014/main" id="{12A97C71-9BD8-433A-BEA8-6DEDE076BE41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433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9525</xdr:colOff>
      <xdr:row>20</xdr:row>
      <xdr:rowOff>9525</xdr:rowOff>
    </xdr:to>
    <xdr:pic>
      <xdr:nvPicPr>
        <xdr:cNvPr id="361" name="Picture 360">
          <a:extLst>
            <a:ext uri="{FF2B5EF4-FFF2-40B4-BE49-F238E27FC236}">
              <a16:creationId xmlns:a16="http://schemas.microsoft.com/office/drawing/2014/main" id="{3BAF67BB-940D-4A14-B4D4-80F1F2ADB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4772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21</xdr:row>
      <xdr:rowOff>0</xdr:rowOff>
    </xdr:from>
    <xdr:to>
      <xdr:col>20</xdr:col>
      <xdr:colOff>9525</xdr:colOff>
      <xdr:row>21</xdr:row>
      <xdr:rowOff>9525</xdr:rowOff>
    </xdr:to>
    <xdr:pic>
      <xdr:nvPicPr>
        <xdr:cNvPr id="362" name="Picture 361">
          <a:extLst>
            <a:ext uri="{FF2B5EF4-FFF2-40B4-BE49-F238E27FC236}">
              <a16:creationId xmlns:a16="http://schemas.microsoft.com/office/drawing/2014/main" id="{CC82EABE-AE37-4D3E-8467-A28F8FF1A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4991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9525</xdr:colOff>
      <xdr:row>3</xdr:row>
      <xdr:rowOff>9525</xdr:rowOff>
    </xdr:to>
    <xdr:pic>
      <xdr:nvPicPr>
        <xdr:cNvPr id="363" name="Picture 362">
          <a:extLst>
            <a:ext uri="{FF2B5EF4-FFF2-40B4-BE49-F238E27FC236}">
              <a16:creationId xmlns:a16="http://schemas.microsoft.com/office/drawing/2014/main" id="{2DA59505-928E-4E75-A15D-05754F82E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343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304800</xdr:colOff>
      <xdr:row>3</xdr:row>
      <xdr:rowOff>85725</xdr:rowOff>
    </xdr:to>
    <xdr:sp macro="" textlink="">
      <xdr:nvSpPr>
        <xdr:cNvPr id="364" name="AutoShape 469">
          <a:extLst>
            <a:ext uri="{FF2B5EF4-FFF2-40B4-BE49-F238E27FC236}">
              <a16:creationId xmlns:a16="http://schemas.microsoft.com/office/drawing/2014/main" id="{12B417ED-90BF-4242-BE58-656A788D484C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11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9525</xdr:colOff>
      <xdr:row>4</xdr:row>
      <xdr:rowOff>9525</xdr:rowOff>
    </xdr:to>
    <xdr:pic>
      <xdr:nvPicPr>
        <xdr:cNvPr id="365" name="Picture 364">
          <a:extLst>
            <a:ext uri="{FF2B5EF4-FFF2-40B4-BE49-F238E27FC236}">
              <a16:creationId xmlns:a16="http://schemas.microsoft.com/office/drawing/2014/main" id="{6DD16145-A722-4619-BFCC-A87B0D0BB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533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9525</xdr:colOff>
      <xdr:row>5</xdr:row>
      <xdr:rowOff>9525</xdr:rowOff>
    </xdr:to>
    <xdr:pic>
      <xdr:nvPicPr>
        <xdr:cNvPr id="366" name="Picture 365">
          <a:extLst>
            <a:ext uri="{FF2B5EF4-FFF2-40B4-BE49-F238E27FC236}">
              <a16:creationId xmlns:a16="http://schemas.microsoft.com/office/drawing/2014/main" id="{79DFD806-A039-4B98-9FA7-3B72D6ABA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724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9525</xdr:colOff>
      <xdr:row>6</xdr:row>
      <xdr:rowOff>9525</xdr:rowOff>
    </xdr:to>
    <xdr:pic>
      <xdr:nvPicPr>
        <xdr:cNvPr id="367" name="Picture 366">
          <a:extLst>
            <a:ext uri="{FF2B5EF4-FFF2-40B4-BE49-F238E27FC236}">
              <a16:creationId xmlns:a16="http://schemas.microsoft.com/office/drawing/2014/main" id="{DD9C8353-AEBB-4B5F-A9B4-D0A3E2562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914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304800</xdr:colOff>
      <xdr:row>6</xdr:row>
      <xdr:rowOff>114300</xdr:rowOff>
    </xdr:to>
    <xdr:sp macro="" textlink="">
      <xdr:nvSpPr>
        <xdr:cNvPr id="368" name="AutoShape 473">
          <a:extLst>
            <a:ext uri="{FF2B5EF4-FFF2-40B4-BE49-F238E27FC236}">
              <a16:creationId xmlns:a16="http://schemas.microsoft.com/office/drawing/2014/main" id="{51EE6C4F-590A-40FA-B3A4-283A32BB26EA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172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9525</xdr:colOff>
      <xdr:row>7</xdr:row>
      <xdr:rowOff>9525</xdr:rowOff>
    </xdr:to>
    <xdr:pic>
      <xdr:nvPicPr>
        <xdr:cNvPr id="369" name="Picture 368">
          <a:extLst>
            <a:ext uri="{FF2B5EF4-FFF2-40B4-BE49-F238E27FC236}">
              <a16:creationId xmlns:a16="http://schemas.microsoft.com/office/drawing/2014/main" id="{AC6A21E2-386E-402B-8BED-F806DB786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2114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304800</xdr:colOff>
      <xdr:row>8</xdr:row>
      <xdr:rowOff>100693</xdr:rowOff>
    </xdr:to>
    <xdr:sp macro="" textlink="">
      <xdr:nvSpPr>
        <xdr:cNvPr id="370" name="AutoShape 475">
          <a:extLst>
            <a:ext uri="{FF2B5EF4-FFF2-40B4-BE49-F238E27FC236}">
              <a16:creationId xmlns:a16="http://schemas.microsoft.com/office/drawing/2014/main" id="{43A0B9A2-325E-4A74-A364-479981F231BF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2114550"/>
          <a:ext cx="304800" cy="300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9</xdr:row>
      <xdr:rowOff>0</xdr:rowOff>
    </xdr:from>
    <xdr:to>
      <xdr:col>20</xdr:col>
      <xdr:colOff>9525</xdr:colOff>
      <xdr:row>9</xdr:row>
      <xdr:rowOff>9525</xdr:rowOff>
    </xdr:to>
    <xdr:pic>
      <xdr:nvPicPr>
        <xdr:cNvPr id="371" name="Picture 370">
          <a:extLst>
            <a:ext uri="{FF2B5EF4-FFF2-40B4-BE49-F238E27FC236}">
              <a16:creationId xmlns:a16="http://schemas.microsoft.com/office/drawing/2014/main" id="{976A9735-B911-4FDD-BEDB-7FF5C262D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2533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304800</xdr:colOff>
      <xdr:row>9</xdr:row>
      <xdr:rowOff>85725</xdr:rowOff>
    </xdr:to>
    <xdr:sp macro="" textlink="">
      <xdr:nvSpPr>
        <xdr:cNvPr id="372" name="AutoShape 477">
          <a:extLst>
            <a:ext uri="{FF2B5EF4-FFF2-40B4-BE49-F238E27FC236}">
              <a16:creationId xmlns:a16="http://schemas.microsoft.com/office/drawing/2014/main" id="{57FEAEEA-41DC-46FE-809A-67B649267669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231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10</xdr:row>
      <xdr:rowOff>0</xdr:rowOff>
    </xdr:from>
    <xdr:to>
      <xdr:col>20</xdr:col>
      <xdr:colOff>9525</xdr:colOff>
      <xdr:row>10</xdr:row>
      <xdr:rowOff>9525</xdr:rowOff>
    </xdr:to>
    <xdr:pic>
      <xdr:nvPicPr>
        <xdr:cNvPr id="373" name="Picture 372">
          <a:extLst>
            <a:ext uri="{FF2B5EF4-FFF2-40B4-BE49-F238E27FC236}">
              <a16:creationId xmlns:a16="http://schemas.microsoft.com/office/drawing/2014/main" id="{BD303390-157D-4028-93C6-F4681DBD3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2724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11</xdr:row>
      <xdr:rowOff>0</xdr:rowOff>
    </xdr:from>
    <xdr:to>
      <xdr:col>20</xdr:col>
      <xdr:colOff>9525</xdr:colOff>
      <xdr:row>11</xdr:row>
      <xdr:rowOff>9525</xdr:rowOff>
    </xdr:to>
    <xdr:pic>
      <xdr:nvPicPr>
        <xdr:cNvPr id="374" name="Picture 373">
          <a:extLst>
            <a:ext uri="{FF2B5EF4-FFF2-40B4-BE49-F238E27FC236}">
              <a16:creationId xmlns:a16="http://schemas.microsoft.com/office/drawing/2014/main" id="{3BEDFF24-22C0-4171-8019-F8EF1F85D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2914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9525</xdr:colOff>
      <xdr:row>12</xdr:row>
      <xdr:rowOff>9525</xdr:rowOff>
    </xdr:to>
    <xdr:pic>
      <xdr:nvPicPr>
        <xdr:cNvPr id="375" name="Picture 374">
          <a:extLst>
            <a:ext uri="{FF2B5EF4-FFF2-40B4-BE49-F238E27FC236}">
              <a16:creationId xmlns:a16="http://schemas.microsoft.com/office/drawing/2014/main" id="{939A67B3-592B-427C-9967-49DB7A17B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3133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9525</xdr:colOff>
      <xdr:row>13</xdr:row>
      <xdr:rowOff>9525</xdr:rowOff>
    </xdr:to>
    <xdr:pic>
      <xdr:nvPicPr>
        <xdr:cNvPr id="376" name="Picture 375">
          <a:extLst>
            <a:ext uri="{FF2B5EF4-FFF2-40B4-BE49-F238E27FC236}">
              <a16:creationId xmlns:a16="http://schemas.microsoft.com/office/drawing/2014/main" id="{4BB151E9-9A0F-4AC1-9A3B-4C4BBC2E1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3324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20</xdr:col>
      <xdr:colOff>9525</xdr:colOff>
      <xdr:row>14</xdr:row>
      <xdr:rowOff>9525</xdr:rowOff>
    </xdr:to>
    <xdr:pic>
      <xdr:nvPicPr>
        <xdr:cNvPr id="377" name="Picture 376">
          <a:extLst>
            <a:ext uri="{FF2B5EF4-FFF2-40B4-BE49-F238E27FC236}">
              <a16:creationId xmlns:a16="http://schemas.microsoft.com/office/drawing/2014/main" id="{E460569A-A644-497E-8B0D-785D5533D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3514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304800</xdr:colOff>
      <xdr:row>14</xdr:row>
      <xdr:rowOff>114300</xdr:rowOff>
    </xdr:to>
    <xdr:sp macro="" textlink="">
      <xdr:nvSpPr>
        <xdr:cNvPr id="378" name="AutoShape 483">
          <a:extLst>
            <a:ext uri="{FF2B5EF4-FFF2-40B4-BE49-F238E27FC236}">
              <a16:creationId xmlns:a16="http://schemas.microsoft.com/office/drawing/2014/main" id="{2C8B52D8-7EB7-4210-942A-41402739288D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332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9525</xdr:colOff>
      <xdr:row>15</xdr:row>
      <xdr:rowOff>9525</xdr:rowOff>
    </xdr:to>
    <xdr:pic>
      <xdr:nvPicPr>
        <xdr:cNvPr id="379" name="Picture 378">
          <a:extLst>
            <a:ext uri="{FF2B5EF4-FFF2-40B4-BE49-F238E27FC236}">
              <a16:creationId xmlns:a16="http://schemas.microsoft.com/office/drawing/2014/main" id="{B2878859-C82A-4B9A-9D5F-FFF4792C3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3705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20</xdr:col>
      <xdr:colOff>304800</xdr:colOff>
      <xdr:row>15</xdr:row>
      <xdr:rowOff>114300</xdr:rowOff>
    </xdr:to>
    <xdr:sp macro="" textlink="">
      <xdr:nvSpPr>
        <xdr:cNvPr id="380" name="AutoShape 485">
          <a:extLst>
            <a:ext uri="{FF2B5EF4-FFF2-40B4-BE49-F238E27FC236}">
              <a16:creationId xmlns:a16="http://schemas.microsoft.com/office/drawing/2014/main" id="{A8AFD118-DDFF-4220-9A79-CFCBF9E2A18A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351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16</xdr:row>
      <xdr:rowOff>0</xdr:rowOff>
    </xdr:from>
    <xdr:to>
      <xdr:col>20</xdr:col>
      <xdr:colOff>9525</xdr:colOff>
      <xdr:row>16</xdr:row>
      <xdr:rowOff>9525</xdr:rowOff>
    </xdr:to>
    <xdr:pic>
      <xdr:nvPicPr>
        <xdr:cNvPr id="381" name="Picture 380">
          <a:extLst>
            <a:ext uri="{FF2B5EF4-FFF2-40B4-BE49-F238E27FC236}">
              <a16:creationId xmlns:a16="http://schemas.microsoft.com/office/drawing/2014/main" id="{C5F075F5-0CCD-4F80-AD91-5239BADF1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3924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304800</xdr:colOff>
      <xdr:row>16</xdr:row>
      <xdr:rowOff>85725</xdr:rowOff>
    </xdr:to>
    <xdr:sp macro="" textlink="">
      <xdr:nvSpPr>
        <xdr:cNvPr id="382" name="AutoShape 487">
          <a:extLst>
            <a:ext uri="{FF2B5EF4-FFF2-40B4-BE49-F238E27FC236}">
              <a16:creationId xmlns:a16="http://schemas.microsoft.com/office/drawing/2014/main" id="{43D17F5C-8E90-4B0D-8BD9-655839998160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370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9525</xdr:colOff>
      <xdr:row>17</xdr:row>
      <xdr:rowOff>9525</xdr:rowOff>
    </xdr:to>
    <xdr:pic>
      <xdr:nvPicPr>
        <xdr:cNvPr id="383" name="Picture 382">
          <a:extLst>
            <a:ext uri="{FF2B5EF4-FFF2-40B4-BE49-F238E27FC236}">
              <a16:creationId xmlns:a16="http://schemas.microsoft.com/office/drawing/2014/main" id="{C567E7F2-4D90-4D7C-B00C-8488286D3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41148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16</xdr:row>
      <xdr:rowOff>0</xdr:rowOff>
    </xdr:from>
    <xdr:to>
      <xdr:col>20</xdr:col>
      <xdr:colOff>304800</xdr:colOff>
      <xdr:row>17</xdr:row>
      <xdr:rowOff>114300</xdr:rowOff>
    </xdr:to>
    <xdr:sp macro="" textlink="">
      <xdr:nvSpPr>
        <xdr:cNvPr id="384" name="AutoShape 489">
          <a:extLst>
            <a:ext uri="{FF2B5EF4-FFF2-40B4-BE49-F238E27FC236}">
              <a16:creationId xmlns:a16="http://schemas.microsoft.com/office/drawing/2014/main" id="{CFA135F8-C958-47AD-92B5-611CF5CC469E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39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18</xdr:row>
      <xdr:rowOff>0</xdr:rowOff>
    </xdr:from>
    <xdr:to>
      <xdr:col>20</xdr:col>
      <xdr:colOff>9525</xdr:colOff>
      <xdr:row>18</xdr:row>
      <xdr:rowOff>9525</xdr:rowOff>
    </xdr:to>
    <xdr:pic>
      <xdr:nvPicPr>
        <xdr:cNvPr id="385" name="Picture 384">
          <a:extLst>
            <a:ext uri="{FF2B5EF4-FFF2-40B4-BE49-F238E27FC236}">
              <a16:creationId xmlns:a16="http://schemas.microsoft.com/office/drawing/2014/main" id="{C117C5B9-A790-46FE-82AC-ECA8DCB15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4333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304800</xdr:colOff>
      <xdr:row>18</xdr:row>
      <xdr:rowOff>85725</xdr:rowOff>
    </xdr:to>
    <xdr:sp macro="" textlink="">
      <xdr:nvSpPr>
        <xdr:cNvPr id="386" name="AutoShape 491">
          <a:extLst>
            <a:ext uri="{FF2B5EF4-FFF2-40B4-BE49-F238E27FC236}">
              <a16:creationId xmlns:a16="http://schemas.microsoft.com/office/drawing/2014/main" id="{CD6A706B-530A-4BAC-A26C-C079FADA5292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411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9525</xdr:colOff>
      <xdr:row>19</xdr:row>
      <xdr:rowOff>9525</xdr:rowOff>
    </xdr:to>
    <xdr:pic>
      <xdr:nvPicPr>
        <xdr:cNvPr id="387" name="Picture 386">
          <a:extLst>
            <a:ext uri="{FF2B5EF4-FFF2-40B4-BE49-F238E27FC236}">
              <a16:creationId xmlns:a16="http://schemas.microsoft.com/office/drawing/2014/main" id="{9FF83F08-45D3-456C-A230-B51257C1B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4552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20</xdr:col>
      <xdr:colOff>304800</xdr:colOff>
      <xdr:row>19</xdr:row>
      <xdr:rowOff>85725</xdr:rowOff>
    </xdr:to>
    <xdr:sp macro="" textlink="">
      <xdr:nvSpPr>
        <xdr:cNvPr id="388" name="AutoShape 493">
          <a:extLst>
            <a:ext uri="{FF2B5EF4-FFF2-40B4-BE49-F238E27FC236}">
              <a16:creationId xmlns:a16="http://schemas.microsoft.com/office/drawing/2014/main" id="{5E56C083-8B09-4640-A7B2-FFDB9C8C560D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433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9525</xdr:colOff>
      <xdr:row>20</xdr:row>
      <xdr:rowOff>9525</xdr:rowOff>
    </xdr:to>
    <xdr:pic>
      <xdr:nvPicPr>
        <xdr:cNvPr id="389" name="Picture 388">
          <a:extLst>
            <a:ext uri="{FF2B5EF4-FFF2-40B4-BE49-F238E27FC236}">
              <a16:creationId xmlns:a16="http://schemas.microsoft.com/office/drawing/2014/main" id="{E0531F2F-97CA-4AA7-A140-212158FE2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4772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21</xdr:row>
      <xdr:rowOff>0</xdr:rowOff>
    </xdr:from>
    <xdr:to>
      <xdr:col>20</xdr:col>
      <xdr:colOff>9525</xdr:colOff>
      <xdr:row>21</xdr:row>
      <xdr:rowOff>9525</xdr:rowOff>
    </xdr:to>
    <xdr:pic>
      <xdr:nvPicPr>
        <xdr:cNvPr id="390" name="Picture 389">
          <a:extLst>
            <a:ext uri="{FF2B5EF4-FFF2-40B4-BE49-F238E27FC236}">
              <a16:creationId xmlns:a16="http://schemas.microsoft.com/office/drawing/2014/main" id="{0FA23F1D-0CC8-4ADE-A44F-55555101B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4991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9525</xdr:colOff>
      <xdr:row>3</xdr:row>
      <xdr:rowOff>9525</xdr:rowOff>
    </xdr:to>
    <xdr:pic>
      <xdr:nvPicPr>
        <xdr:cNvPr id="391" name="Picture 390">
          <a:extLst>
            <a:ext uri="{FF2B5EF4-FFF2-40B4-BE49-F238E27FC236}">
              <a16:creationId xmlns:a16="http://schemas.microsoft.com/office/drawing/2014/main" id="{3956F2C9-4517-4C33-82C1-CCECE12E0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343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304800</xdr:colOff>
      <xdr:row>3</xdr:row>
      <xdr:rowOff>85725</xdr:rowOff>
    </xdr:to>
    <xdr:sp macro="" textlink="">
      <xdr:nvSpPr>
        <xdr:cNvPr id="392" name="AutoShape 497">
          <a:extLst>
            <a:ext uri="{FF2B5EF4-FFF2-40B4-BE49-F238E27FC236}">
              <a16:creationId xmlns:a16="http://schemas.microsoft.com/office/drawing/2014/main" id="{29362276-BAF3-440A-8770-B817A3C0794B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112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9525</xdr:colOff>
      <xdr:row>4</xdr:row>
      <xdr:rowOff>9525</xdr:rowOff>
    </xdr:to>
    <xdr:pic>
      <xdr:nvPicPr>
        <xdr:cNvPr id="393" name="Picture 392">
          <a:extLst>
            <a:ext uri="{FF2B5EF4-FFF2-40B4-BE49-F238E27FC236}">
              <a16:creationId xmlns:a16="http://schemas.microsoft.com/office/drawing/2014/main" id="{2A416E55-4001-4E42-B42B-A06B7C629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533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304800</xdr:colOff>
      <xdr:row>4</xdr:row>
      <xdr:rowOff>114300</xdr:rowOff>
    </xdr:to>
    <xdr:sp macro="" textlink="">
      <xdr:nvSpPr>
        <xdr:cNvPr id="394" name="AutoShape 499">
          <a:extLst>
            <a:ext uri="{FF2B5EF4-FFF2-40B4-BE49-F238E27FC236}">
              <a16:creationId xmlns:a16="http://schemas.microsoft.com/office/drawing/2014/main" id="{0B269D29-2A2B-4A51-BC21-C44480647CA0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134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9525</xdr:colOff>
      <xdr:row>5</xdr:row>
      <xdr:rowOff>9525</xdr:rowOff>
    </xdr:to>
    <xdr:pic>
      <xdr:nvPicPr>
        <xdr:cNvPr id="395" name="Picture 394">
          <a:extLst>
            <a:ext uri="{FF2B5EF4-FFF2-40B4-BE49-F238E27FC236}">
              <a16:creationId xmlns:a16="http://schemas.microsoft.com/office/drawing/2014/main" id="{556DD536-9C6F-4792-AED4-0BAF8E8DD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724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304800</xdr:colOff>
      <xdr:row>5</xdr:row>
      <xdr:rowOff>114300</xdr:rowOff>
    </xdr:to>
    <xdr:sp macro="" textlink="">
      <xdr:nvSpPr>
        <xdr:cNvPr id="396" name="AutoShape 501">
          <a:extLst>
            <a:ext uri="{FF2B5EF4-FFF2-40B4-BE49-F238E27FC236}">
              <a16:creationId xmlns:a16="http://schemas.microsoft.com/office/drawing/2014/main" id="{69962255-C4DA-483A-93CB-D122F5E6383E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153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9525</xdr:colOff>
      <xdr:row>6</xdr:row>
      <xdr:rowOff>9525</xdr:rowOff>
    </xdr:to>
    <xdr:pic>
      <xdr:nvPicPr>
        <xdr:cNvPr id="397" name="Picture 396">
          <a:extLst>
            <a:ext uri="{FF2B5EF4-FFF2-40B4-BE49-F238E27FC236}">
              <a16:creationId xmlns:a16="http://schemas.microsoft.com/office/drawing/2014/main" id="{A4A33E87-43F0-4175-90DB-EE1B05FD5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1914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304800</xdr:colOff>
      <xdr:row>6</xdr:row>
      <xdr:rowOff>114300</xdr:rowOff>
    </xdr:to>
    <xdr:sp macro="" textlink="">
      <xdr:nvSpPr>
        <xdr:cNvPr id="398" name="AutoShape 503">
          <a:extLst>
            <a:ext uri="{FF2B5EF4-FFF2-40B4-BE49-F238E27FC236}">
              <a16:creationId xmlns:a16="http://schemas.microsoft.com/office/drawing/2014/main" id="{2DF71D0F-CCD2-4E2C-8965-350FC34CED23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172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9525</xdr:colOff>
      <xdr:row>7</xdr:row>
      <xdr:rowOff>9525</xdr:rowOff>
    </xdr:to>
    <xdr:pic>
      <xdr:nvPicPr>
        <xdr:cNvPr id="399" name="Picture 398">
          <a:extLst>
            <a:ext uri="{FF2B5EF4-FFF2-40B4-BE49-F238E27FC236}">
              <a16:creationId xmlns:a16="http://schemas.microsoft.com/office/drawing/2014/main" id="{7F4DDA94-88B0-4E59-B161-B6FD457A7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2114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304800</xdr:colOff>
      <xdr:row>7</xdr:row>
      <xdr:rowOff>100693</xdr:rowOff>
    </xdr:to>
    <xdr:sp macro="" textlink="">
      <xdr:nvSpPr>
        <xdr:cNvPr id="400" name="AutoShape 505">
          <a:extLst>
            <a:ext uri="{FF2B5EF4-FFF2-40B4-BE49-F238E27FC236}">
              <a16:creationId xmlns:a16="http://schemas.microsoft.com/office/drawing/2014/main" id="{0719881E-77AF-42AA-8D57-30A902FE755E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1914525"/>
          <a:ext cx="304800" cy="300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9</xdr:row>
      <xdr:rowOff>0</xdr:rowOff>
    </xdr:from>
    <xdr:to>
      <xdr:col>20</xdr:col>
      <xdr:colOff>9525</xdr:colOff>
      <xdr:row>9</xdr:row>
      <xdr:rowOff>9525</xdr:rowOff>
    </xdr:to>
    <xdr:pic>
      <xdr:nvPicPr>
        <xdr:cNvPr id="401" name="Picture 400">
          <a:extLst>
            <a:ext uri="{FF2B5EF4-FFF2-40B4-BE49-F238E27FC236}">
              <a16:creationId xmlns:a16="http://schemas.microsoft.com/office/drawing/2014/main" id="{D7D8212E-AE69-410C-B986-38C6591D4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2533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304800</xdr:colOff>
      <xdr:row>9</xdr:row>
      <xdr:rowOff>85724</xdr:rowOff>
    </xdr:to>
    <xdr:sp macro="" textlink="">
      <xdr:nvSpPr>
        <xdr:cNvPr id="402" name="AutoShape 507">
          <a:extLst>
            <a:ext uri="{FF2B5EF4-FFF2-40B4-BE49-F238E27FC236}">
              <a16:creationId xmlns:a16="http://schemas.microsoft.com/office/drawing/2014/main" id="{F8167C8E-615A-4AF4-A906-6B9E44EE8BE1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23145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10</xdr:row>
      <xdr:rowOff>0</xdr:rowOff>
    </xdr:from>
    <xdr:to>
      <xdr:col>20</xdr:col>
      <xdr:colOff>9525</xdr:colOff>
      <xdr:row>10</xdr:row>
      <xdr:rowOff>9525</xdr:rowOff>
    </xdr:to>
    <xdr:pic>
      <xdr:nvPicPr>
        <xdr:cNvPr id="403" name="Picture 402">
          <a:extLst>
            <a:ext uri="{FF2B5EF4-FFF2-40B4-BE49-F238E27FC236}">
              <a16:creationId xmlns:a16="http://schemas.microsoft.com/office/drawing/2014/main" id="{6B6C826E-A7BF-4A57-8D3A-634A1EC54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27241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9</xdr:row>
      <xdr:rowOff>0</xdr:rowOff>
    </xdr:from>
    <xdr:to>
      <xdr:col>20</xdr:col>
      <xdr:colOff>304800</xdr:colOff>
      <xdr:row>10</xdr:row>
      <xdr:rowOff>114300</xdr:rowOff>
    </xdr:to>
    <xdr:sp macro="" textlink="">
      <xdr:nvSpPr>
        <xdr:cNvPr id="404" name="AutoShape 509">
          <a:extLst>
            <a:ext uri="{FF2B5EF4-FFF2-40B4-BE49-F238E27FC236}">
              <a16:creationId xmlns:a16="http://schemas.microsoft.com/office/drawing/2014/main" id="{3B888FAF-3366-4556-8968-9674DCB3519F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253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11</xdr:row>
      <xdr:rowOff>0</xdr:rowOff>
    </xdr:from>
    <xdr:to>
      <xdr:col>20</xdr:col>
      <xdr:colOff>9525</xdr:colOff>
      <xdr:row>11</xdr:row>
      <xdr:rowOff>9525</xdr:rowOff>
    </xdr:to>
    <xdr:pic>
      <xdr:nvPicPr>
        <xdr:cNvPr id="405" name="Picture 404">
          <a:extLst>
            <a:ext uri="{FF2B5EF4-FFF2-40B4-BE49-F238E27FC236}">
              <a16:creationId xmlns:a16="http://schemas.microsoft.com/office/drawing/2014/main" id="{D0F1A479-4245-45F2-A8DE-5E2EF240D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29146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10</xdr:row>
      <xdr:rowOff>0</xdr:rowOff>
    </xdr:from>
    <xdr:to>
      <xdr:col>20</xdr:col>
      <xdr:colOff>304800</xdr:colOff>
      <xdr:row>11</xdr:row>
      <xdr:rowOff>114300</xdr:rowOff>
    </xdr:to>
    <xdr:sp macro="" textlink="">
      <xdr:nvSpPr>
        <xdr:cNvPr id="406" name="AutoShape 511">
          <a:extLst>
            <a:ext uri="{FF2B5EF4-FFF2-40B4-BE49-F238E27FC236}">
              <a16:creationId xmlns:a16="http://schemas.microsoft.com/office/drawing/2014/main" id="{663B28CB-FBE9-4C03-82E8-1F8E8AC549CD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272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9525</xdr:colOff>
      <xdr:row>12</xdr:row>
      <xdr:rowOff>9525</xdr:rowOff>
    </xdr:to>
    <xdr:pic>
      <xdr:nvPicPr>
        <xdr:cNvPr id="407" name="Picture 406">
          <a:extLst>
            <a:ext uri="{FF2B5EF4-FFF2-40B4-BE49-F238E27FC236}">
              <a16:creationId xmlns:a16="http://schemas.microsoft.com/office/drawing/2014/main" id="{F21020D6-91BA-4058-A70A-C33DE12B3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3133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11</xdr:row>
      <xdr:rowOff>0</xdr:rowOff>
    </xdr:from>
    <xdr:to>
      <xdr:col>20</xdr:col>
      <xdr:colOff>304800</xdr:colOff>
      <xdr:row>12</xdr:row>
      <xdr:rowOff>85725</xdr:rowOff>
    </xdr:to>
    <xdr:sp macro="" textlink="">
      <xdr:nvSpPr>
        <xdr:cNvPr id="408" name="AutoShape 513">
          <a:extLst>
            <a:ext uri="{FF2B5EF4-FFF2-40B4-BE49-F238E27FC236}">
              <a16:creationId xmlns:a16="http://schemas.microsoft.com/office/drawing/2014/main" id="{746977F0-F969-4399-B044-0A55BC5D1490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29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9525</xdr:colOff>
      <xdr:row>13</xdr:row>
      <xdr:rowOff>9525</xdr:rowOff>
    </xdr:to>
    <xdr:pic>
      <xdr:nvPicPr>
        <xdr:cNvPr id="409" name="Picture 408">
          <a:extLst>
            <a:ext uri="{FF2B5EF4-FFF2-40B4-BE49-F238E27FC236}">
              <a16:creationId xmlns:a16="http://schemas.microsoft.com/office/drawing/2014/main" id="{1401006D-A2E4-47FF-A17B-72D62F41E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3324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304800</xdr:colOff>
      <xdr:row>13</xdr:row>
      <xdr:rowOff>114300</xdr:rowOff>
    </xdr:to>
    <xdr:sp macro="" textlink="">
      <xdr:nvSpPr>
        <xdr:cNvPr id="410" name="AutoShape 515">
          <a:extLst>
            <a:ext uri="{FF2B5EF4-FFF2-40B4-BE49-F238E27FC236}">
              <a16:creationId xmlns:a16="http://schemas.microsoft.com/office/drawing/2014/main" id="{735C0C67-818C-4928-B1B3-A948DD139192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31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14</xdr:row>
      <xdr:rowOff>0</xdr:rowOff>
    </xdr:from>
    <xdr:to>
      <xdr:col>20</xdr:col>
      <xdr:colOff>9525</xdr:colOff>
      <xdr:row>14</xdr:row>
      <xdr:rowOff>9525</xdr:rowOff>
    </xdr:to>
    <xdr:pic>
      <xdr:nvPicPr>
        <xdr:cNvPr id="411" name="Picture 410">
          <a:extLst>
            <a:ext uri="{FF2B5EF4-FFF2-40B4-BE49-F238E27FC236}">
              <a16:creationId xmlns:a16="http://schemas.microsoft.com/office/drawing/2014/main" id="{DF0D66BE-F0BE-4F73-A022-9516BF50B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3514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304800</xdr:colOff>
      <xdr:row>14</xdr:row>
      <xdr:rowOff>114300</xdr:rowOff>
    </xdr:to>
    <xdr:sp macro="" textlink="">
      <xdr:nvSpPr>
        <xdr:cNvPr id="412" name="AutoShape 517">
          <a:extLst>
            <a:ext uri="{FF2B5EF4-FFF2-40B4-BE49-F238E27FC236}">
              <a16:creationId xmlns:a16="http://schemas.microsoft.com/office/drawing/2014/main" id="{FC05C0B7-F09D-46B6-9882-A7C0968F1364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332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9525</xdr:colOff>
      <xdr:row>15</xdr:row>
      <xdr:rowOff>9525</xdr:rowOff>
    </xdr:to>
    <xdr:pic>
      <xdr:nvPicPr>
        <xdr:cNvPr id="413" name="Picture 412">
          <a:extLst>
            <a:ext uri="{FF2B5EF4-FFF2-40B4-BE49-F238E27FC236}">
              <a16:creationId xmlns:a16="http://schemas.microsoft.com/office/drawing/2014/main" id="{DA4C8F65-4967-482D-90A3-137E0567E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37052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20</xdr:col>
      <xdr:colOff>304800</xdr:colOff>
      <xdr:row>15</xdr:row>
      <xdr:rowOff>114300</xdr:rowOff>
    </xdr:to>
    <xdr:sp macro="" textlink="">
      <xdr:nvSpPr>
        <xdr:cNvPr id="414" name="AutoShape 519">
          <a:extLst>
            <a:ext uri="{FF2B5EF4-FFF2-40B4-BE49-F238E27FC236}">
              <a16:creationId xmlns:a16="http://schemas.microsoft.com/office/drawing/2014/main" id="{BD95D8FC-1A3B-442C-967E-937F9199DF49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351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16</xdr:row>
      <xdr:rowOff>0</xdr:rowOff>
    </xdr:from>
    <xdr:to>
      <xdr:col>20</xdr:col>
      <xdr:colOff>9525</xdr:colOff>
      <xdr:row>16</xdr:row>
      <xdr:rowOff>9525</xdr:rowOff>
    </xdr:to>
    <xdr:pic>
      <xdr:nvPicPr>
        <xdr:cNvPr id="415" name="Picture 414">
          <a:extLst>
            <a:ext uri="{FF2B5EF4-FFF2-40B4-BE49-F238E27FC236}">
              <a16:creationId xmlns:a16="http://schemas.microsoft.com/office/drawing/2014/main" id="{E97542CA-4849-47C5-8F26-680707D2F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39243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304800</xdr:colOff>
      <xdr:row>16</xdr:row>
      <xdr:rowOff>85725</xdr:rowOff>
    </xdr:to>
    <xdr:sp macro="" textlink="">
      <xdr:nvSpPr>
        <xdr:cNvPr id="416" name="AutoShape 521">
          <a:extLst>
            <a:ext uri="{FF2B5EF4-FFF2-40B4-BE49-F238E27FC236}">
              <a16:creationId xmlns:a16="http://schemas.microsoft.com/office/drawing/2014/main" id="{19F6F3FC-5EAD-4F4C-A361-39C81B21EE70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370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9525</xdr:colOff>
      <xdr:row>17</xdr:row>
      <xdr:rowOff>9525</xdr:rowOff>
    </xdr:to>
    <xdr:pic>
      <xdr:nvPicPr>
        <xdr:cNvPr id="417" name="Picture 416">
          <a:extLst>
            <a:ext uri="{FF2B5EF4-FFF2-40B4-BE49-F238E27FC236}">
              <a16:creationId xmlns:a16="http://schemas.microsoft.com/office/drawing/2014/main" id="{B6494D0E-6FC1-41E5-A1FD-1F460A0E4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41148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16</xdr:row>
      <xdr:rowOff>0</xdr:rowOff>
    </xdr:from>
    <xdr:to>
      <xdr:col>20</xdr:col>
      <xdr:colOff>304800</xdr:colOff>
      <xdr:row>17</xdr:row>
      <xdr:rowOff>114300</xdr:rowOff>
    </xdr:to>
    <xdr:sp macro="" textlink="">
      <xdr:nvSpPr>
        <xdr:cNvPr id="418" name="AutoShape 523">
          <a:extLst>
            <a:ext uri="{FF2B5EF4-FFF2-40B4-BE49-F238E27FC236}">
              <a16:creationId xmlns:a16="http://schemas.microsoft.com/office/drawing/2014/main" id="{8E149ECA-5361-458E-8893-AE3DB2F6071E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39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18</xdr:row>
      <xdr:rowOff>0</xdr:rowOff>
    </xdr:from>
    <xdr:to>
      <xdr:col>20</xdr:col>
      <xdr:colOff>9525</xdr:colOff>
      <xdr:row>18</xdr:row>
      <xdr:rowOff>9525</xdr:rowOff>
    </xdr:to>
    <xdr:pic>
      <xdr:nvPicPr>
        <xdr:cNvPr id="419" name="Picture 418">
          <a:extLst>
            <a:ext uri="{FF2B5EF4-FFF2-40B4-BE49-F238E27FC236}">
              <a16:creationId xmlns:a16="http://schemas.microsoft.com/office/drawing/2014/main" id="{CF8FA056-0123-43E4-8411-D4EFA3D21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4333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304800</xdr:colOff>
      <xdr:row>18</xdr:row>
      <xdr:rowOff>85725</xdr:rowOff>
    </xdr:to>
    <xdr:sp macro="" textlink="">
      <xdr:nvSpPr>
        <xdr:cNvPr id="420" name="AutoShape 525">
          <a:extLst>
            <a:ext uri="{FF2B5EF4-FFF2-40B4-BE49-F238E27FC236}">
              <a16:creationId xmlns:a16="http://schemas.microsoft.com/office/drawing/2014/main" id="{9FD2DE59-C1C8-4F14-B756-1DBEEEEC3BA5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411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9525</xdr:colOff>
      <xdr:row>19</xdr:row>
      <xdr:rowOff>9525</xdr:rowOff>
    </xdr:to>
    <xdr:pic>
      <xdr:nvPicPr>
        <xdr:cNvPr id="421" name="Picture 420">
          <a:extLst>
            <a:ext uri="{FF2B5EF4-FFF2-40B4-BE49-F238E27FC236}">
              <a16:creationId xmlns:a16="http://schemas.microsoft.com/office/drawing/2014/main" id="{AB953571-023B-4EE6-A428-03B460042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4552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20</xdr:col>
      <xdr:colOff>304800</xdr:colOff>
      <xdr:row>19</xdr:row>
      <xdr:rowOff>85725</xdr:rowOff>
    </xdr:to>
    <xdr:sp macro="" textlink="">
      <xdr:nvSpPr>
        <xdr:cNvPr id="422" name="AutoShape 527">
          <a:extLst>
            <a:ext uri="{FF2B5EF4-FFF2-40B4-BE49-F238E27FC236}">
              <a16:creationId xmlns:a16="http://schemas.microsoft.com/office/drawing/2014/main" id="{D257E25A-F7DF-411C-8A33-5FB2F9E20C09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433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9525</xdr:colOff>
      <xdr:row>20</xdr:row>
      <xdr:rowOff>9525</xdr:rowOff>
    </xdr:to>
    <xdr:pic>
      <xdr:nvPicPr>
        <xdr:cNvPr id="423" name="Picture 422">
          <a:extLst>
            <a:ext uri="{FF2B5EF4-FFF2-40B4-BE49-F238E27FC236}">
              <a16:creationId xmlns:a16="http://schemas.microsoft.com/office/drawing/2014/main" id="{E4347607-4F43-4B59-8D9E-71D1068E5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47720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304800</xdr:colOff>
      <xdr:row>20</xdr:row>
      <xdr:rowOff>85725</xdr:rowOff>
    </xdr:to>
    <xdr:sp macro="" textlink="">
      <xdr:nvSpPr>
        <xdr:cNvPr id="424" name="AutoShape 529">
          <a:extLst>
            <a:ext uri="{FF2B5EF4-FFF2-40B4-BE49-F238E27FC236}">
              <a16:creationId xmlns:a16="http://schemas.microsoft.com/office/drawing/2014/main" id="{C7A35B34-6C67-499F-BC29-241C3732980F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455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0</xdr:colOff>
      <xdr:row>21</xdr:row>
      <xdr:rowOff>0</xdr:rowOff>
    </xdr:from>
    <xdr:to>
      <xdr:col>20</xdr:col>
      <xdr:colOff>9525</xdr:colOff>
      <xdr:row>21</xdr:row>
      <xdr:rowOff>9525</xdr:rowOff>
    </xdr:to>
    <xdr:pic>
      <xdr:nvPicPr>
        <xdr:cNvPr id="425" name="Picture 424">
          <a:extLst>
            <a:ext uri="{FF2B5EF4-FFF2-40B4-BE49-F238E27FC236}">
              <a16:creationId xmlns:a16="http://schemas.microsoft.com/office/drawing/2014/main" id="{2E1A3661-2026-40B6-9FD0-EEEFAA104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400" y="49911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304800</xdr:colOff>
      <xdr:row>21</xdr:row>
      <xdr:rowOff>85725</xdr:rowOff>
    </xdr:to>
    <xdr:sp macro="" textlink="">
      <xdr:nvSpPr>
        <xdr:cNvPr id="426" name="AutoShape 531">
          <a:extLst>
            <a:ext uri="{FF2B5EF4-FFF2-40B4-BE49-F238E27FC236}">
              <a16:creationId xmlns:a16="http://schemas.microsoft.com/office/drawing/2014/main" id="{41E818FA-A219-4811-B659-8848C1EE3F1D}"/>
            </a:ext>
          </a:extLst>
        </xdr:cNvPr>
        <xdr:cNvSpPr>
          <a:spLocks noChangeAspect="1" noChangeArrowheads="1"/>
        </xdr:cNvSpPr>
      </xdr:nvSpPr>
      <xdr:spPr bwMode="auto">
        <a:xfrm>
          <a:off x="32918400" y="477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84475</xdr:rowOff>
    </xdr:from>
    <xdr:to>
      <xdr:col>8</xdr:col>
      <xdr:colOff>800378</xdr:colOff>
      <xdr:row>21</xdr:row>
      <xdr:rowOff>67235</xdr:rowOff>
    </xdr:to>
    <xdr:graphicFrame macro="">
      <xdr:nvGraphicFramePr>
        <xdr:cNvPr id="2" name="Chart 1" descr="Monthly Income vs. Spendi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87674</xdr:colOff>
      <xdr:row>9</xdr:row>
      <xdr:rowOff>33337</xdr:rowOff>
    </xdr:from>
    <xdr:to>
      <xdr:col>15</xdr:col>
      <xdr:colOff>152399</xdr:colOff>
      <xdr:row>20</xdr:row>
      <xdr:rowOff>84335</xdr:rowOff>
    </xdr:to>
    <xdr:graphicFrame macro="">
      <xdr:nvGraphicFramePr>
        <xdr:cNvPr id="4" name="Chart 3" descr="Month's Top Spending Categories&#10;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EA4B61A0-993A-412D-B4E8-1DCB15DF50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28</xdr:row>
      <xdr:rowOff>85723</xdr:rowOff>
    </xdr:from>
    <xdr:to>
      <xdr:col>19</xdr:col>
      <xdr:colOff>95250</xdr:colOff>
      <xdr:row>41</xdr:row>
      <xdr:rowOff>57149</xdr:rowOff>
    </xdr:to>
    <xdr:graphicFrame macro="">
      <xdr:nvGraphicFramePr>
        <xdr:cNvPr id="3" name="Chart 2" descr="Cumulative Spending Throughout Month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0.37278</cdr:x>
      <cdr:y>0.38161</cdr:y>
    </cdr:from>
    <cdr:to>
      <cdr:x>0.63129</cdr:x>
      <cdr:y>0.57244</cdr:y>
    </cdr:to>
    <cdr:sp macro="" textlink="Snapshot!$AH$12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5C1457A-F0F2-4C50-B24F-1B3F9811CE14}"/>
            </a:ext>
          </a:extLst>
        </cdr:cNvPr>
        <cdr:cNvSpPr txBox="1"/>
      </cdr:nvSpPr>
      <cdr:spPr>
        <a:xfrm xmlns:a="http://schemas.openxmlformats.org/drawingml/2006/main">
          <a:off x="947830" y="813749"/>
          <a:ext cx="657291" cy="4069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fld id="{69F04872-0FD4-4F54-9235-FD976F8554FF}" type="TxLink">
            <a:rPr lang="en-US" sz="12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+mn-lt"/>
              <a:cs typeface="Arial" panose="020B0604020202020204" pitchFamily="34" charset="0"/>
            </a:rPr>
            <a:pPr algn="ctr"/>
            <a:t> $(51)</a:t>
          </a:fld>
          <a:endParaRPr lang="en-US" sz="1200" b="0">
            <a:solidFill>
              <a:schemeClr val="tx1">
                <a:lumMod val="75000"/>
                <a:lumOff val="25000"/>
              </a:schemeClr>
            </a:solidFill>
            <a:latin typeface="+mn-lt"/>
            <a:cs typeface="Arial" panose="020B0604020202020204" pitchFamily="34" charset="0"/>
          </a:endParaRP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</xdr:colOff>
      <xdr:row>9</xdr:row>
      <xdr:rowOff>0</xdr:rowOff>
    </xdr:from>
    <xdr:to>
      <xdr:col>5</xdr:col>
      <xdr:colOff>1</xdr:colOff>
      <xdr:row>18</xdr:row>
      <xdr:rowOff>0</xdr:rowOff>
    </xdr:to>
    <xdr:graphicFrame macro="">
      <xdr:nvGraphicFramePr>
        <xdr:cNvPr id="2" name="MonthlyIncomeVsSpendingChart">
          <a:extLst>
            <a:ext uri="{FF2B5EF4-FFF2-40B4-BE49-F238E27FC236}">
              <a16:creationId xmlns:a16="http://schemas.microsoft.com/office/drawing/2014/main" id="{C031ABD7-6E45-45D3-AA5E-2C94162EEE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9</xdr:row>
      <xdr:rowOff>1</xdr:rowOff>
    </xdr:from>
    <xdr:to>
      <xdr:col>17</xdr:col>
      <xdr:colOff>0</xdr:colOff>
      <xdr:row>18</xdr:row>
      <xdr:rowOff>149353</xdr:rowOff>
    </xdr:to>
    <xdr:graphicFrame macro="">
      <xdr:nvGraphicFramePr>
        <xdr:cNvPr id="3" name="MonthlySpendingOverTimeChart">
          <a:extLst>
            <a:ext uri="{FF2B5EF4-FFF2-40B4-BE49-F238E27FC236}">
              <a16:creationId xmlns:a16="http://schemas.microsoft.com/office/drawing/2014/main" id="{D0AB68D4-5E40-4139-AA0B-3C16DC3C2A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25</xdr:row>
      <xdr:rowOff>0</xdr:rowOff>
    </xdr:from>
    <xdr:to>
      <xdr:col>6</xdr:col>
      <xdr:colOff>0</xdr:colOff>
      <xdr:row>28</xdr:row>
      <xdr:rowOff>0</xdr:rowOff>
    </xdr:to>
    <xdr:graphicFrame macro="">
      <xdr:nvGraphicFramePr>
        <xdr:cNvPr id="4" name="TotalMonthlyBudgetChart">
          <a:extLst>
            <a:ext uri="{FF2B5EF4-FFF2-40B4-BE49-F238E27FC236}">
              <a16:creationId xmlns:a16="http://schemas.microsoft.com/office/drawing/2014/main" id="{8E08DF95-D17D-44D6-BBB9-C02E302112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25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5" name="Category1MonthlyBudgetChart">
          <a:extLst>
            <a:ext uri="{FF2B5EF4-FFF2-40B4-BE49-F238E27FC236}">
              <a16:creationId xmlns:a16="http://schemas.microsoft.com/office/drawing/2014/main" id="{CD7A6261-A423-4637-A26C-6A175E4FF4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0</xdr:colOff>
      <xdr:row>25</xdr:row>
      <xdr:rowOff>0</xdr:rowOff>
    </xdr:from>
    <xdr:to>
      <xdr:col>17</xdr:col>
      <xdr:colOff>0</xdr:colOff>
      <xdr:row>28</xdr:row>
      <xdr:rowOff>0</xdr:rowOff>
    </xdr:to>
    <xdr:graphicFrame macro="">
      <xdr:nvGraphicFramePr>
        <xdr:cNvPr id="6" name="Category2MonthlyBudgetChart">
          <a:extLst>
            <a:ext uri="{FF2B5EF4-FFF2-40B4-BE49-F238E27FC236}">
              <a16:creationId xmlns:a16="http://schemas.microsoft.com/office/drawing/2014/main" id="{BEE8CBA7-F7FF-4B92-8680-09D943B838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udget%202021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lls Fargo"/>
      <sheetName val="Discover"/>
      <sheetName val="Subscriptions"/>
      <sheetName val="Cash Flow"/>
      <sheetName val="Waterfall"/>
      <sheetName val="Debts"/>
      <sheetName val="Avidia Deposits"/>
      <sheetName val="Categories - WIP"/>
      <sheetName val="PERSONAL BUDGET - WIP"/>
      <sheetName val="Budget"/>
    </sheetNames>
    <sheetDataSet>
      <sheetData sheetId="0"/>
      <sheetData sheetId="1">
        <row r="5">
          <cell r="S5" t="str">
            <v>Category</v>
          </cell>
          <cell r="T5"/>
        </row>
        <row r="6">
          <cell r="S6" t="str">
            <v>Payments and Credits</v>
          </cell>
          <cell r="T6" t="str">
            <v>Payment</v>
          </cell>
        </row>
        <row r="7">
          <cell r="S7" t="str">
            <v>APP</v>
          </cell>
          <cell r="T7" t="str">
            <v>Fixed</v>
          </cell>
        </row>
        <row r="8">
          <cell r="S8" t="str">
            <v>Gasoline</v>
          </cell>
          <cell r="T8" t="str">
            <v>Variable</v>
          </cell>
        </row>
        <row r="9">
          <cell r="S9" t="str">
            <v>Merchandise</v>
          </cell>
          <cell r="T9" t="str">
            <v>Variable</v>
          </cell>
        </row>
        <row r="10">
          <cell r="S10" t="str">
            <v>Family</v>
          </cell>
          <cell r="T10" t="str">
            <v>Variable</v>
          </cell>
        </row>
        <row r="11">
          <cell r="S11" t="str">
            <v>Medical Services</v>
          </cell>
          <cell r="T11" t="str">
            <v>Variable</v>
          </cell>
        </row>
        <row r="12">
          <cell r="S12" t="str">
            <v>Supermarkets</v>
          </cell>
          <cell r="T12" t="str">
            <v>Variable</v>
          </cell>
        </row>
        <row r="13">
          <cell r="S13" t="str">
            <v>Restaurants</v>
          </cell>
          <cell r="T13" t="str">
            <v>Variable</v>
          </cell>
        </row>
        <row r="14">
          <cell r="S14" t="str">
            <v>Services</v>
          </cell>
          <cell r="T14" t="str">
            <v>Variable</v>
          </cell>
        </row>
        <row r="15">
          <cell r="S15" t="str">
            <v>Education</v>
          </cell>
          <cell r="T15" t="str">
            <v>Variable</v>
          </cell>
        </row>
        <row r="16">
          <cell r="S16" t="str">
            <v>Awards and Rebate Credits</v>
          </cell>
          <cell r="T16" t="str">
            <v>Payment</v>
          </cell>
        </row>
        <row r="17">
          <cell r="S17" t="str">
            <v>Government Services</v>
          </cell>
          <cell r="T17" t="str">
            <v>Variable</v>
          </cell>
        </row>
        <row r="18">
          <cell r="S18" t="str">
            <v>Automotive</v>
          </cell>
          <cell r="T18" t="str">
            <v>Fixed</v>
          </cell>
        </row>
        <row r="19">
          <cell r="S19" t="str">
            <v>Travel/ Entertainment</v>
          </cell>
          <cell r="T19" t="str">
            <v>Variable</v>
          </cell>
        </row>
        <row r="20">
          <cell r="S20" t="str">
            <v>Home Improvement</v>
          </cell>
          <cell r="T20" t="str">
            <v>Variable</v>
          </cell>
        </row>
        <row r="21">
          <cell r="S21" t="str">
            <v>Resteraunts</v>
          </cell>
          <cell r="T21" t="str">
            <v>Variable</v>
          </cell>
        </row>
        <row r="22">
          <cell r="S22" t="str">
            <v>Car Wash</v>
          </cell>
          <cell r="T22" t="str">
            <v>Variable</v>
          </cell>
        </row>
        <row r="23">
          <cell r="S23" t="str">
            <v>Department Stores</v>
          </cell>
        </row>
        <row r="24">
          <cell r="T24" t="str">
            <v>Monthly Spending -&gt;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2">
          <cell r="C2"/>
        </row>
        <row r="4">
          <cell r="A4" t="str">
            <v>Labels are in cells C4 through P4.</v>
          </cell>
          <cell r="B4"/>
          <cell r="C4" t="str">
            <v>REVENUE</v>
          </cell>
          <cell r="D4" t="str">
            <v>JAN</v>
          </cell>
          <cell r="E4" t="str">
            <v>FEB</v>
          </cell>
          <cell r="F4" t="str">
            <v>MAR</v>
          </cell>
          <cell r="G4" t="str">
            <v>APR</v>
          </cell>
          <cell r="H4" t="str">
            <v>MAY</v>
          </cell>
          <cell r="I4" t="str">
            <v>JUN</v>
          </cell>
          <cell r="J4" t="str">
            <v>JUL</v>
          </cell>
          <cell r="K4" t="str">
            <v>AUG</v>
          </cell>
          <cell r="L4" t="str">
            <v>SEP</v>
          </cell>
          <cell r="M4" t="str">
            <v>OCT</v>
          </cell>
          <cell r="N4" t="str">
            <v>NOV</v>
          </cell>
          <cell r="O4" t="str">
            <v>DEC</v>
          </cell>
          <cell r="P4" t="str">
            <v>YEAR</v>
          </cell>
          <cell r="Q4"/>
        </row>
        <row r="5">
          <cell r="C5" t="str">
            <v>INCOME</v>
          </cell>
        </row>
        <row r="6">
          <cell r="C6" t="str">
            <v>Wages</v>
          </cell>
        </row>
        <row r="7">
          <cell r="C7" t="str">
            <v>Government</v>
          </cell>
        </row>
        <row r="8">
          <cell r="C8" t="str">
            <v>HSA Refunds</v>
          </cell>
        </row>
        <row r="9">
          <cell r="C9" t="str">
            <v>Principal Retirement</v>
          </cell>
        </row>
        <row r="10">
          <cell r="C10" t="str">
            <v>Total</v>
          </cell>
        </row>
        <row r="11">
          <cell r="C11" t="str">
            <v>Enter Home expenses in table starting in cell C12. Next instruction is in cell A20.</v>
          </cell>
        </row>
        <row r="12">
          <cell r="C12" t="str">
            <v>EXPENSES</v>
          </cell>
        </row>
        <row r="13">
          <cell r="C13" t="str">
            <v>HOME</v>
          </cell>
        </row>
        <row r="14">
          <cell r="C14" t="str">
            <v>Rent</v>
          </cell>
        </row>
        <row r="15">
          <cell r="C15" t="str">
            <v>Taxes</v>
          </cell>
        </row>
        <row r="16">
          <cell r="C16" t="str">
            <v>Home Maintenance</v>
          </cell>
        </row>
        <row r="17">
          <cell r="C17" t="str">
            <v>Personal Care</v>
          </cell>
        </row>
        <row r="18">
          <cell r="C18" t="str">
            <v>Office Supplies</v>
          </cell>
        </row>
        <row r="19">
          <cell r="C19" t="str">
            <v>Home Supplies</v>
          </cell>
        </row>
        <row r="20">
          <cell r="C20" t="str">
            <v>Study Material (Pre Nationwide)</v>
          </cell>
        </row>
        <row r="21">
          <cell r="C21" t="str">
            <v>Total</v>
          </cell>
        </row>
        <row r="22">
          <cell r="C22" t="str">
            <v>Enter Home expenses in table starting in cell C12. Next instruction is in cell A20.</v>
          </cell>
        </row>
        <row r="23">
          <cell r="C23" t="str">
            <v>Transportation</v>
          </cell>
        </row>
        <row r="24">
          <cell r="C24" t="str">
            <v>Registration</v>
          </cell>
        </row>
        <row r="25">
          <cell r="C25" t="str">
            <v>DMV Fees</v>
          </cell>
        </row>
        <row r="26">
          <cell r="C26" t="str">
            <v>Gas</v>
          </cell>
        </row>
        <row r="27">
          <cell r="C27" t="str">
            <v>Maintenance</v>
          </cell>
        </row>
        <row r="28">
          <cell r="C28" t="str">
            <v>Parking</v>
          </cell>
        </row>
        <row r="29">
          <cell r="C29" t="str">
            <v>Tolls</v>
          </cell>
        </row>
        <row r="30">
          <cell r="C30" t="str">
            <v>Public Transit</v>
          </cell>
        </row>
        <row r="31">
          <cell r="C31" t="str">
            <v>Rideshare</v>
          </cell>
        </row>
        <row r="32">
          <cell r="C32" t="str">
            <v>Total</v>
          </cell>
        </row>
        <row r="33">
          <cell r="C33" t="str">
            <v>Enter Home expenses in table starting in cell C12. Next instruction is in cell A20.</v>
          </cell>
        </row>
        <row r="34">
          <cell r="C34" t="str">
            <v>Food</v>
          </cell>
        </row>
        <row r="35">
          <cell r="C35" t="str">
            <v>Groceries</v>
          </cell>
        </row>
        <row r="36">
          <cell r="C36" t="str">
            <v>Work Lunches</v>
          </cell>
        </row>
        <row r="37">
          <cell r="C37" t="str">
            <v>Food Delivery</v>
          </cell>
        </row>
        <row r="38">
          <cell r="C38" t="str">
            <v>Total</v>
          </cell>
        </row>
        <row r="39">
          <cell r="C39" t="str">
            <v>Enter Home expenses in table starting in cell C12. Next instruction is in cell A20.</v>
          </cell>
        </row>
        <row r="40">
          <cell r="C40"/>
        </row>
        <row r="41">
          <cell r="C41" t="str">
            <v>Utilities</v>
          </cell>
        </row>
        <row r="42">
          <cell r="C42" t="str">
            <v>Water</v>
          </cell>
        </row>
        <row r="43">
          <cell r="C43" t="str">
            <v>Electricity</v>
          </cell>
        </row>
        <row r="44">
          <cell r="C44" t="str">
            <v>Internet</v>
          </cell>
        </row>
        <row r="45">
          <cell r="C45" t="str">
            <v>Phone</v>
          </cell>
        </row>
        <row r="46">
          <cell r="C46" t="str">
            <v>Storage</v>
          </cell>
        </row>
        <row r="47">
          <cell r="C47" t="str">
            <v>PO Boxes</v>
          </cell>
        </row>
        <row r="48">
          <cell r="C48" t="str">
            <v>Government Services</v>
          </cell>
        </row>
        <row r="49">
          <cell r="C49" t="str">
            <v>Total</v>
          </cell>
        </row>
        <row r="50">
          <cell r="C50" t="str">
            <v>Enter Home expenses in table starting in cell C12. Next instruction is in cell A20.</v>
          </cell>
        </row>
        <row r="51">
          <cell r="C51"/>
        </row>
        <row r="52">
          <cell r="C52" t="str">
            <v>Insurance</v>
          </cell>
        </row>
        <row r="53">
          <cell r="C53" t="str">
            <v>Auto Insurance</v>
          </cell>
        </row>
        <row r="54">
          <cell r="C54" t="str">
            <v>Total</v>
          </cell>
        </row>
        <row r="55">
          <cell r="C55" t="str">
            <v>Enter Home expenses in table starting in cell C12. Next instruction is in cell A20.</v>
          </cell>
        </row>
        <row r="56">
          <cell r="C56"/>
        </row>
        <row r="57">
          <cell r="C57" t="str">
            <v>Medical &amp; Healthcare</v>
          </cell>
        </row>
        <row r="58">
          <cell r="C58" t="str">
            <v>Out-of-Pocket Costs</v>
          </cell>
        </row>
        <row r="59">
          <cell r="C59" t="str">
            <v>Specialty Care</v>
          </cell>
        </row>
        <row r="60">
          <cell r="C60" t="str">
            <v>Dental Care</v>
          </cell>
        </row>
        <row r="61">
          <cell r="C61" t="str">
            <v>Urgent Care</v>
          </cell>
        </row>
        <row r="62">
          <cell r="C62" t="str">
            <v>Prescriptions</v>
          </cell>
        </row>
        <row r="63">
          <cell r="C63" t="str">
            <v>Medical Devices &amp; Supplies</v>
          </cell>
        </row>
        <row r="64">
          <cell r="C64" t="str">
            <v>Eye Care</v>
          </cell>
        </row>
        <row r="65">
          <cell r="C65" t="str">
            <v>Total</v>
          </cell>
        </row>
        <row r="66">
          <cell r="C66" t="str">
            <v>Enter Home expenses in table starting in cell C12. Next instruction is in cell A20.</v>
          </cell>
        </row>
        <row r="67">
          <cell r="C67"/>
        </row>
        <row r="68">
          <cell r="C68" t="str">
            <v>Savings, Investing &amp; Debt</v>
          </cell>
        </row>
        <row r="69">
          <cell r="C69" t="str">
            <v>Emergency Fund</v>
          </cell>
        </row>
        <row r="70">
          <cell r="C70" t="str">
            <v>Retirement Account</v>
          </cell>
        </row>
        <row r="71">
          <cell r="C71" t="str">
            <v>401 K</v>
          </cell>
        </row>
        <row r="72">
          <cell r="C72" t="str">
            <v>Securities</v>
          </cell>
        </row>
        <row r="73">
          <cell r="C73" t="str">
            <v>Savings Account</v>
          </cell>
        </row>
        <row r="74">
          <cell r="C74" t="str">
            <v>Student Loan</v>
          </cell>
        </row>
        <row r="75">
          <cell r="C75" t="str">
            <v>Credit</v>
          </cell>
        </row>
        <row r="76">
          <cell r="C76" t="str">
            <v>Personal Debt</v>
          </cell>
        </row>
        <row r="77">
          <cell r="C77" t="str">
            <v>Total</v>
          </cell>
        </row>
        <row r="78">
          <cell r="C78" t="str">
            <v>Enter Home expenses in table starting in cell C12. Next instruction is in cell A20.</v>
          </cell>
        </row>
        <row r="79">
          <cell r="C79"/>
        </row>
        <row r="80">
          <cell r="C80" t="str">
            <v>Personal Spending</v>
          </cell>
        </row>
        <row r="81">
          <cell r="C81" t="str">
            <v>Gym</v>
          </cell>
        </row>
        <row r="82">
          <cell r="C82" t="str">
            <v>Clothes</v>
          </cell>
        </row>
        <row r="83">
          <cell r="C83" t="str">
            <v>Home Décor</v>
          </cell>
        </row>
        <row r="84">
          <cell r="C84" t="str">
            <v>Gifts/Donations</v>
          </cell>
        </row>
        <row r="85">
          <cell r="C85" t="str">
            <v>Subscription</v>
          </cell>
        </row>
        <row r="86">
          <cell r="C86" t="str">
            <v>Health (Experimental)</v>
          </cell>
        </row>
        <row r="87">
          <cell r="C87" t="str">
            <v>Pay Walls</v>
          </cell>
        </row>
        <row r="88">
          <cell r="C88" t="str">
            <v>Walmart/Target Run</v>
          </cell>
        </row>
        <row r="89">
          <cell r="C89" t="str">
            <v>Self Care</v>
          </cell>
        </row>
        <row r="90">
          <cell r="C90" t="str">
            <v>Conveinence Store</v>
          </cell>
        </row>
        <row r="91">
          <cell r="C91" t="str">
            <v>Merchandise</v>
          </cell>
        </row>
        <row r="92">
          <cell r="C92" t="str">
            <v>Total</v>
          </cell>
        </row>
        <row r="93">
          <cell r="C93" t="str">
            <v>Enter Home expenses in table starting in cell C12. Next instruction is in cell A20.</v>
          </cell>
        </row>
        <row r="94">
          <cell r="C94" t="str">
            <v>Recreation &amp; Entertainment</v>
          </cell>
        </row>
        <row r="95">
          <cell r="C95" t="str">
            <v>Concerts</v>
          </cell>
        </row>
        <row r="96">
          <cell r="C96" t="str">
            <v>Sporting Events</v>
          </cell>
        </row>
        <row r="97">
          <cell r="C97" t="str">
            <v>Family Activities</v>
          </cell>
        </row>
        <row r="98">
          <cell r="C98" t="str">
            <v>Streaming Services</v>
          </cell>
        </row>
        <row r="99">
          <cell r="C99" t="str">
            <v>Resteraunts</v>
          </cell>
        </row>
        <row r="100">
          <cell r="C100" t="str">
            <v>Video Games</v>
          </cell>
        </row>
        <row r="101">
          <cell r="C101" t="str">
            <v>Hobbies</v>
          </cell>
        </row>
        <row r="102">
          <cell r="C102" t="str">
            <v>Subscription</v>
          </cell>
        </row>
        <row r="103">
          <cell r="C103" t="str">
            <v>Merchandise</v>
          </cell>
        </row>
        <row r="104">
          <cell r="C104" t="str">
            <v>Conveinence Store</v>
          </cell>
        </row>
        <row r="105">
          <cell r="C105" t="str">
            <v>Total</v>
          </cell>
        </row>
        <row r="106">
          <cell r="C106" t="str">
            <v>Enter Home expenses in table starting in cell C12. Next instruction is in cell A20.</v>
          </cell>
        </row>
        <row r="107">
          <cell r="C107"/>
        </row>
        <row r="108">
          <cell r="C108" t="str">
            <v>Miscellaneus</v>
          </cell>
        </row>
        <row r="109">
          <cell r="C109" t="str">
            <v>Family</v>
          </cell>
        </row>
        <row r="110">
          <cell r="C110" t="str">
            <v>--</v>
          </cell>
        </row>
        <row r="111">
          <cell r="C111" t="str">
            <v>Total</v>
          </cell>
        </row>
        <row r="112">
          <cell r="C112" t="str">
            <v>Enter Home expenses in table starting in cell C12. Next instruction is in cell A20.</v>
          </cell>
        </row>
        <row r="113">
          <cell r="C113"/>
        </row>
        <row r="114">
          <cell r="C114" t="str">
            <v>TOTALS</v>
          </cell>
        </row>
        <row r="115">
          <cell r="C115" t="str">
            <v>Total expenses</v>
          </cell>
        </row>
        <row r="116">
          <cell r="C116" t="str">
            <v>Cash short/extra</v>
          </cell>
        </row>
        <row r="117">
          <cell r="C117"/>
        </row>
      </sheetData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CD3EA0-E4E7-414E-AED7-82FDC31C791D}" name="Table1" displayName="Table1" ref="B6:T2066" totalsRowShown="0" headerRowDxfId="153" dataDxfId="152">
  <autoFilter ref="B6:T2066" xr:uid="{1E93EEF5-853E-42BB-A4F2-89A98C13F990}"/>
  <sortState xmlns:xlrd2="http://schemas.microsoft.com/office/spreadsheetml/2017/richdata2" ref="B7:T2066">
    <sortCondition descending="1" ref="B7:B2066"/>
  </sortState>
  <tableColumns count="19">
    <tableColumn id="1" xr3:uid="{EE6ED09F-F28E-459A-8607-99055584CDBE}" name="Date" dataDxfId="151"/>
    <tableColumn id="2" xr3:uid="{D76EC5B3-A626-48A8-A996-E3B80A2D3FA4}" name="Merchant" dataDxfId="150"/>
    <tableColumn id="3" xr3:uid="{4B7E9E3C-3E46-4B70-AE02-A4D7CF3853EC}" name="Category" dataDxfId="149"/>
    <tableColumn id="17" xr3:uid="{317C8378-88C4-6548-9039-CB14E163E0EF}" name="Subcategory" dataDxfId="148"/>
    <tableColumn id="4" xr3:uid="{B5C0445C-239E-43A5-B227-C3C3F4255C9B}" name="Amount $" dataDxfId="147" dataCellStyle="Currency"/>
    <tableColumn id="5" xr3:uid="{D96AF5FB-B219-4E87-90E5-1F89CA4F1921}" name="Account" dataDxfId="146">
      <calculatedColumnFormula>_xlfn.XLOOKUP(Table1[[#This Row],[Account_ID]], Accounts[ID], Accounts[Account nickname], "Unknown")</calculatedColumnFormula>
    </tableColumn>
    <tableColumn id="6" xr3:uid="{4EDA5FD9-4393-4FEA-915F-33B320335813}" name="Account Number" dataDxfId="145">
      <calculatedColumnFormula>_xlfn.XLOOKUP(Table1[[#This Row],[Account_ID]], Accounts[ID], Accounts[Account'#], "Unknown")</calculatedColumnFormula>
    </tableColumn>
    <tableColumn id="7" xr3:uid="{81BC73AB-869E-4F12-8D56-326E275BA234}" name="Institution" dataDxfId="144">
      <calculatedColumnFormula>_xlfn.XLOOKUP(_xlfn.XLOOKUP(Table1[[#This Row],[Account]],Accounts[Account nickname],Accounts[Institution ID]),Institutions[ID],Institutions[Institution nickname],"Unknown")</calculatedColumnFormula>
    </tableColumn>
    <tableColumn id="14" xr3:uid="{20218ADD-5EE2-405E-AF73-890CF1361427}" name="Transaction_ID" dataDxfId="143"/>
    <tableColumn id="13" xr3:uid="{0C9D6E6C-7960-412E-A0B8-9C48ADB8BF9E}" name="Account_ID" dataDxfId="142"/>
    <tableColumn id="15" xr3:uid="{4C8D2200-E378-40E0-9425-67E53F82CCE4}" name="Institution_ID" dataDxfId="141"/>
    <tableColumn id="19" xr3:uid="{632657B0-368D-4101-895C-E98F6E5302D0}" name="Category_ID" dataDxfId="140">
      <calculatedColumnFormula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calculatedColumnFormula>
    </tableColumn>
    <tableColumn id="18" xr3:uid="{CED8157B-74B2-45C0-A979-F04622BCF731}" name="Subcategory_ID" dataDxfId="139">
      <calculatedColumnFormula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calculatedColumnFormula>
    </tableColumn>
    <tableColumn id="16" xr3:uid="{6F75B681-920E-42D4-965A-992DD52CE145}" name="Category Type" dataDxfId="138">
      <calculatedColumnFormula array="1">IFERROR(INDEX(CategoriesTable[Category type],MATCH(Table1[[#This Row],[Category]],CategoriesTable[Category name],0),0),"")</calculatedColumnFormula>
    </tableColumn>
    <tableColumn id="8" xr3:uid="{E89A31A0-3B8F-415C-A20F-F7D6E65F3692}" name="Date_Day" dataDxfId="137"/>
    <tableColumn id="9" xr3:uid="{5E9632CC-9B9D-4C42-A498-0EB7B2A784B4}" name="Date_Month" dataDxfId="136">
      <calculatedColumnFormula>MONTH(Table1[[#This Row],[Date]])</calculatedColumnFormula>
    </tableColumn>
    <tableColumn id="10" xr3:uid="{97D39170-DF53-42AA-8F04-83FB5831E028}" name="Date_Year" dataDxfId="135"/>
    <tableColumn id="11" xr3:uid="{126135E5-55E0-4ADD-95EE-77FBF80CE9F9}" name="Beginning of Week" dataDxfId="134">
      <calculatedColumnFormula>IF(ISBLANK(Table1[[#This Row],[Date]]),"",Table1[[#This Row],[Date]]-WEEKDAY(Table1[[#This Row],[Date]],2)+1)</calculatedColumnFormula>
    </tableColumn>
    <tableColumn id="12" xr3:uid="{2AAEBDD8-703F-435B-AB5F-735EF64E5EA7}" name="Month" dataDxfId="133">
      <calculatedColumnFormula>IF(ISBLANK(Table1[[#This Row],[Date]]),"",DATE(Table1[[#This Row],[Date_Year]],Table1[[#This Row],[Date_Month]],1))</calculatedColumnFormula>
    </tableColumn>
  </tableColumns>
  <tableStyleInfo name="Money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214A6F6-0DD5-5A41-8A04-736B82407D47}" name="CategoriesTable" displayName="CategoriesTable" ref="B7:E273" totalsRowShown="0" headerRowDxfId="120" dataDxfId="119">
  <autoFilter ref="B7:E273" xr:uid="{B3DC8D2A-FAFE-DD48-915A-0EE0BB47DE43}"/>
  <tableColumns count="4">
    <tableColumn id="1" xr3:uid="{50A6BF5C-A42C-3D4C-9D02-11C014F66B7C}" name="ID" dataDxfId="124"/>
    <tableColumn id="2" xr3:uid="{733CA2DE-3260-5B4C-B3FA-3B24EE70656B}" name="Category name" dataDxfId="123"/>
    <tableColumn id="3" xr3:uid="{6426D870-AE11-994C-B9DB-472A7F781B47}" name="Category type" dataDxfId="122"/>
    <tableColumn id="4" xr3:uid="{9A4A5794-2BC0-A341-8D1D-56BD41073385}" name="Default" dataDxfId="121"/>
  </tableColumns>
  <tableStyleInfo name="Money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2464EDC-6766-F647-8A58-D572226DD58E}" name="SubcategoriesTable" displayName="SubcategoriesTable" ref="G7:J251" totalsRowShown="0" headerRowDxfId="114" dataDxfId="113">
  <autoFilter ref="G7:J251" xr:uid="{1D1562FA-5000-C64E-A69E-E6B991A2A56D}"/>
  <tableColumns count="4">
    <tableColumn id="1" xr3:uid="{72868950-F01A-E44D-9B56-C3FAF1E98937}" name="ID" dataDxfId="118"/>
    <tableColumn id="2" xr3:uid="{D2AD50BB-A2C6-7141-A591-FAD1BCB50F38}" name="Category name" dataDxfId="117"/>
    <tableColumn id="3" xr3:uid="{3AAABA99-3AB7-514F-B68D-1E4E094AD20D}" name="Subcategory name" dataDxfId="116"/>
    <tableColumn id="4" xr3:uid="{105A99CC-66D7-B747-BC3A-69A7401AF587}" name="Category ID" dataDxfId="115">
      <calculatedColumnFormula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calculatedColumnFormula>
    </tableColumn>
  </tableColumns>
  <tableStyleInfo name="Money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B60AC0A-D20D-5142-A91B-50A733AFA7BA}" name="Institutions" displayName="Institutions" ref="A1:F6" totalsRowShown="0">
  <autoFilter ref="A1:F6" xr:uid="{8DDC56AC-4C8F-344A-AC35-DC2BCE373824}"/>
  <tableColumns count="6">
    <tableColumn id="1" xr3:uid="{F8F00E7C-8F20-944A-A003-C2E0D132D0CC}" name="ID"/>
    <tableColumn id="2" xr3:uid="{1CF7E431-29B2-0542-BCD6-BB99F26C573E}" name="Institution name"/>
    <tableColumn id="6" xr3:uid="{2DF55037-F043-42C7-B930-38B0EE66A330}" name="Institution status"/>
    <tableColumn id="5" xr3:uid="{6A01C7A2-8818-4ACE-9BC4-47123BB953FF}" name="Institution logo"/>
    <tableColumn id="4" xr3:uid="{65F1C4C5-4F10-4256-A56F-644DB9B34479}" name="Needs reauth"/>
    <tableColumn id="3" xr3:uid="{AEB05183-AE93-4A40-B032-81FBD8652435}" name="Institution nickna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EE1CB7C-1C37-8D49-A606-32D437989B68}" name="Accounts" displayName="Accounts" ref="H1:P7" totalsRowShown="0">
  <autoFilter ref="H1:P7" xr:uid="{DBAD4FF5-5D9B-BF4C-8495-1EAFEB48B5A2}"/>
  <tableColumns count="9">
    <tableColumn id="1" xr3:uid="{5687EA0E-F77A-2E4D-9D1D-6FE2410DA79E}" name="ID"/>
    <tableColumn id="2" xr3:uid="{DFB54C1C-3C19-0E40-B99B-98D3218F9866}" name="Institution ID"/>
    <tableColumn id="3" xr3:uid="{EBEA3053-AC2F-4A4E-A1B9-6470BE7AC771}" name="Account#" dataDxfId="132"/>
    <tableColumn id="4" xr3:uid="{808ED94C-F242-3A4F-848B-5B890D3F77A5}" name="Account name"/>
    <tableColumn id="5" xr3:uid="{9B2B6C07-884E-C449-9650-CC23BAADC366}" name="Account nickname"/>
    <tableColumn id="6" xr3:uid="{BA236242-1495-4AFC-8534-8980E192EB95}" name="Account balance"/>
    <tableColumn id="7" xr3:uid="{639E70C9-45FF-46C2-917D-C0C5260207B8}" name="Account type"/>
    <tableColumn id="8" xr3:uid="{DE3549BD-B5D0-4C7A-BF7C-75AD64EC7B8B}" name="Account enabled"/>
    <tableColumn id="9" xr3:uid="{5E7A5312-A576-42F3-982F-49404BCCC92E}" name="Is manua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E645B2-8BC8-4298-A92F-5E7CFDA53FA8}" name="MonthlyBudgetTable" displayName="MonthlyBudgetTable" ref="C35:W54" totalsRowShown="0" headerRowDxfId="131">
  <autoFilter ref="C35:W54" xr:uid="{22E645B2-8BC8-4298-A92F-5E7CFDA53FA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</autoFilter>
  <tableColumns count="21">
    <tableColumn id="1" xr3:uid="{80C2F683-31B0-4D57-A801-86E302CD07C9}" name="Category" dataDxfId="5"/>
    <tableColumn id="2" xr3:uid="{2E3430B1-BD0C-4837-A473-A301CB02CB37}" name=" "/>
    <tableColumn id="3" xr3:uid="{DB1713D2-8009-4033-A00E-6E3F9EAA02E5}" name="  "/>
    <tableColumn id="4" xr3:uid="{A2AB2D9E-7462-4396-AFF1-53946EF3A3F7}" name="Spent" dataDxfId="4">
      <calculatedColumnFormula>IF(OR(ISBLANK(MonthlyBudgetTable[[#This Row],[Category]]),MonthlyBudgetTable[[#This Row],[Category]]=""),"",(SUMIFS(Table1[Amount $],Table1[Category Type],"Expense",Table1[Date_Month],MONTH(MonthlyBudgetDate),Table1[Date_Year],YEAR(MonthlyBudgetDate),Table1[Category],MonthlyBudgetTable[[#This Row],[Category]]))*(-1))</calculatedColumnFormula>
    </tableColumn>
    <tableColumn id="5" xr3:uid="{FE4823AC-2871-40EF-9563-AC4862E59CCE}" name="   "/>
    <tableColumn id="6" xr3:uid="{460A3430-19C0-4CB2-B7FC-B0D2328A307D}" name="    "/>
    <tableColumn id="7" xr3:uid="{D0C740B1-1350-4F7B-A706-36D3FB9A746B}" name="     "/>
    <tableColumn id="8" xr3:uid="{B768F8E6-E0C9-430B-A4FB-45D2B09BAE89}" name="Budget" dataDxfId="3"/>
    <tableColumn id="9" xr3:uid="{0C2D8115-8685-48D5-B94E-DAD3128F3C47}" name="      "/>
    <tableColumn id="10" xr3:uid="{8E9F4D77-442D-4031-A8B2-91F5D6FB2318}" name="Remaining" dataDxfId="2">
      <calculatedColumnFormula>IF(OR(ISBLANK(MonthlyBudgetTable[[#This Row],[Category]]),MonthlyBudgetTable[[#This Row],[Category]]=""),"",MonthlyBudgetTable[[#This Row],[Budget]]-MonthlyBudgetTable[[#This Row],[Spent]])</calculatedColumnFormula>
    </tableColumn>
    <tableColumn id="11" xr3:uid="{17D92A87-BA73-462B-92DA-16CB2C2F1560}" name="       "/>
    <tableColumn id="12" xr3:uid="{FEA37F5E-F121-4328-B6CD-02AE4A42586D}" name="        "/>
    <tableColumn id="13" xr3:uid="{7A590462-1F6A-4610-9D8A-F29F177DDA26}" name="         "/>
    <tableColumn id="14" xr3:uid="{B1CEAB6D-9207-45D6-A848-DE9B0C346241}" name="          "/>
    <tableColumn id="15" xr3:uid="{1E30673D-9BEE-4D3E-94DB-52F1B5FBE961}" name="           "/>
    <tableColumn id="16" xr3:uid="{5209E127-CBDE-4736-A957-2CDE4267593B}" name="Id" dataDxfId="130"/>
    <tableColumn id="17" xr3:uid="{BACF64FB-A4F9-4322-B899-AF6C8E1C15FC}" name="OneMonthAgoBudget" dataDxfId="129">
      <calculatedColumnFormula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Type],"Expense",Table1[Date_Month],MONTH(EOMONTH(MonthlyBudgetNearestTransactionDate,-1)),Table1[Date_Year],YEAR(EOMONTH(MonthlyBudgetNearestTransactionDate,-1)))*(-1)))</calculatedColumnFormula>
    </tableColumn>
    <tableColumn id="18" xr3:uid="{ED1F0E82-0B13-4E6C-AFE3-05D83A74ACF5}" name="TwoMonthsAgoBudget" dataDxfId="128">
      <calculatedColumnFormula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Type],"Expense",Table1[Date_Month],MONTH(EOMONTH(MonthlyBudgetNearestTransactionDate,-2)),Table1[Date_Year],YEAR(EOMONTH(MonthlyBudgetNearestTransactionDate,-2)))*(-1)))</calculatedColumnFormula>
    </tableColumn>
    <tableColumn id="19" xr3:uid="{DC0E4D33-0F9A-4298-AFB4-1EDD62639BB9}" name="ThreeMonthsAgoBudget" dataDxfId="127">
      <calculatedColumnFormula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Type],"Expense",Table1[Date_Month],MONTH(EOMONTH(MonthlyBudgetNearestTransactionDate,-3)),Table1[Date_Year],YEAR(EOMONTH(MonthlyBudgetNearestTransactionDate,-3)))*(-1)))</calculatedColumnFormula>
    </tableColumn>
    <tableColumn id="20" xr3:uid="{624717CB-F3A9-4681-92E0-0CBAF8940F52}" name="MonthsCount" dataDxfId="126">
      <calculatedColumnFormula>IF(OR(ISBLANK(MonthlyBudgetTable[[#This Row],[Category]]),MonthlyBudgetTable[[#This Row],[Category]]=""),0,(COUNTIF(MonthlyBudgetTable[[#This Row],[OneMonthAgoBudget]]:MonthlyBudgetTable[[#This Row],[ThreeMonthsAgoBudget]],"&lt;&gt;0")))</calculatedColumnFormula>
    </tableColumn>
    <tableColumn id="21" xr3:uid="{84C9934B-1AD2-4EB2-AEE7-D164B5CB2553}" name="CategoryId" dataDxfId="125">
      <calculatedColumnFormula>IF(AND(NOT(ISBLANK(MonthlyBudgetTable[[#This Row],[Category]])),NOT(ISBLANK(_xlfn.XLOOKUP(MonthlyBudgetTable[[#This Row],[Category]],CategoriesTable[Category name],CategoriesTable[ID],"")))),_xlfn.XLOOKUP(MonthlyBudgetTable[[#This Row],[Category]],CategoriesTable[Category name],CategoriesTable[ID],""),"")</calculatedColumnFormula>
    </tableColumn>
  </tableColumns>
  <tableStyleInfo name="Money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C588499-CA36-40D8-8ECA-1F3AB0185D4A}">
  <we:reference id="wa200001306" version="2.3.0.0" store="en-US" storeType="OMEX"/>
  <we:alternateReferences>
    <we:reference id="wa200001306" version="2.3.0.0" store="WA200001306" storeType="OMEX"/>
  </we:alternateReferences>
  <we:properties>
    <we:property name="Office.AutoShowTaskpaneWithDocument" value="true"/>
    <we:property name="a468cf335986495cbe44eb4c4c212bb6" value="&quot;[[\&quot;CategoriesTable\&quot;,[[{\&quot;key\&quot;:\&quot;ID\&quot;,\&quot;value\&quot;:\&quot;ca8ac7c19b84437194c3fe5508eb8bda\&quot;},{\&quot;key\&quot;:\&quot;Category name\&quot;,\&quot;value\&quot;:\&quot;Auto/Transport\&quot;},{\&quot;key\&quot;:\&quot;Category type\&quot;,\&quot;value\&quot;:\&quot;Expense\&quot;}],[{\&quot;key\&quot;:\&quot;ID\&quot;,\&quot;value\&quot;:\&quot;89f91b72f72a4dd68a16b583d4720595\&quot;},{\&quot;key\&quot;:\&quot;Category name\&quot;,\&quot;value\&quot;:\&quot;Bills/Utilities\&quot;},{\&quot;key\&quot;:\&quot;Category type\&quot;,\&quot;value\&quot;:\&quot;Expense\&quot;}],[{\&quot;key\&quot;:\&quot;ID\&quot;,\&quot;value\&quot;:\&quot;9fa283df10474311b55af8d4cf39d146\&quot;},{\&quot;key\&quot;:\&quot;Category name\&quot;,\&quot;value\&quot;:\&quot;Entertainment\&quot;},{\&quot;key\&quot;:\&quot;Category type\&quot;,\&quot;value\&quot;:\&quot;Expense\&quot;}],[{\&quot;key\&quot;:\&quot;ID\&quot;,\&quot;value\&quot;:\&quot;31cc220e25c84daf9b641cfb0e376681\&quot;},{\&quot;key\&quot;:\&quot;Category name\&quot;,\&quot;value\&quot;:\&quot;Fees/Charges\&quot;},{\&quot;key\&quot;:\&quot;Category type\&quot;,\&quot;value\&quot;:\&quot;Expense\&quot;}],[{\&quot;key\&quot;:\&quot;ID\&quot;,\&quot;value\&quot;:\&quot;1c7ed344fd3c47f1b0c4926eb05c305c\&quot;},{\&quot;key\&quot;:\&quot;Category name\&quot;,\&quot;value\&quot;:\&quot;Groceries\&quot;},{\&quot;key\&quot;:\&quot;Category type\&quot;,\&quot;value\&quot;:\&quot;Expense\&quot;}],[{\&quot;key\&quot;:\&quot;ID\&quot;,\&quot;value\&quot;:\&quot;0c9f3488736a4d97bd78b9c29fbb29fb\&quot;},{\&quot;key\&quot;:\&quot;Category name\&quot;,\&quot;value\&quot;:\&quot;Health/Fitness\&quot;},{\&quot;key\&quot;:\&quot;Category type\&quot;,\&quot;value\&quot;:\&quot;Expense\&quot;}],[{\&quot;key\&quot;:\&quot;ID\&quot;,\&quot;value\&quot;:\&quot;0613345f0a8b4edfb294d0fdc6fe7382\&quot;},{\&quot;key\&quot;:\&quot;Category name\&quot;,\&quot;value\&quot;:\&quot;Home\&quot;},{\&quot;key\&quot;:\&quot;Category type\&quot;,\&quot;value\&quot;:\&quot;Expense\&quot;}],[{\&quot;key\&quot;:\&quot;ID\&quot;,\&quot;value\&quot;:\&quot;fabfe582932d48b78ac2846c1ec3d43f\&quot;},{\&quot;key\&quot;:\&quot;Category name\&quot;,\&quot;value\&quot;:\&quot;Income\&quot;},{\&quot;key\&quot;:\&quot;Category type\&quot;,\&quot;value\&quot;:\&quot;Expense\&quot;}],[{\&quot;key\&quot;:\&quot;ID\&quot;,\&quot;value\&quot;:\&quot;013119218f2e4bdd86aa9097992873f8\&quot;},{\&quot;key\&quot;:\&quot;Category name\&quot;,\&quot;value\&quot;:\&quot;Misc\&quot;},{\&quot;key\&quot;:\&quot;Category type\&quot;,\&quot;value\&quot;:\&quot;Expense\&quot;}],[{\&quot;key\&quot;:\&quot;ID\&quot;,\&quot;value\&quot;:\&quot;23fe5da83519415dae0687f037d51b09\&quot;},{\&quot;key\&quot;:\&quot;Category name\&quot;,\&quot;value\&quot;:\&quot;Mortgage/Rent\&quot;},{\&quot;key\&quot;:\&quot;Category type\&quot;,\&quot;value\&quot;:\&quot;Expense\&quot;}],[{\&quot;key\&quot;:\&quot;ID\&quot;,\&quot;value\&quot;:\&quot;6385c1768b814d3d89087c436c9cab15\&quot;},{\&quot;key\&quot;:\&quot;Category name\&quot;,\&quot;value\&quot;:\&quot;Payment\&quot;},{\&quot;key\&quot;:\&quot;Category type\&quot;,\&quot;value\&quot;:\&quot;Expense\&quot;}],[{\&quot;key\&quot;:\&quot;ID\&quot;,\&quot;value\&quot;:\&quot;cc336735a5324e28bf4f3414f7548cf1\&quot;},{\&quot;key\&quot;:\&quot;Category name\&quot;,\&quot;value\&quot;:\&quot;Professional Services\&quot;},{\&quot;key\&quot;:\&quot;Category type\&quot;,\&quot;value\&quot;:\&quot;Expense\&quot;}],[{\&quot;key\&quot;:\&quot;ID\&quot;,\&quot;value\&quot;:\&quot;fca5dd8329b743f7b77704e23a1e63ad\&quot;},{\&quot;key\&quot;:\&quot;Category name\&quot;,\&quot;value\&quot;:\&quot;Refund\&quot;},{\&quot;key\&quot;:\&quot;Category type\&quot;,\&quot;value\&quot;:\&quot;Expense\&quot;}],[{\&quot;key\&quot;:\&quot;ID\&quot;,\&quot;value\&quot;:\&quot;3dafc6bd8d7c45ae9840ff09e01567d1\&quot;},{\&quot;key\&quot;:\&quot;Category name\&quot;,\&quot;value\&quot;:\&quot;Restaurants/Dining\&quot;},{\&quot;key\&quot;:\&quot;Category type\&quot;,\&quot;value\&quot;:\&quot;Expense\&quot;}],[{\&quot;key\&quot;:\&quot;ID\&quot;,\&quot;value\&quot;:\&quot;4144f48502914015b998277a326fcedc\&quot;},{\&quot;key\&quot;:\&quot;Category name\&quot;,\&quot;value\&quot;:\&quot;Shopping\&quot;},{\&quot;key\&quot;:\&quot;Category type\&quot;,\&quot;value\&quot;:\&quot;Expense\&quot;}],[{\&quot;key\&quot;:\&quot;ID\&quot;,\&quot;value\&quot;:\&quot;1c99e2ba30f14dbfb79dfa7d009e0924\&quot;},{\&quot;key\&quot;:\&quot;Category name\&quot;,\&quot;value\&quot;:\&quot;Transfer\&quot;},{\&quot;key\&quot;:\&quot;Category type\&quot;,\&quot;value\&quot;:\&quot;Expense\&quot;}],[{\&quot;key\&quot;:\&quot;ID\&quot;,\&quot;value\&quot;:\&quot;e428eb09b5454450b5ffff66b9b935be\&quot;},{\&quot;key\&quot;:\&quot;Category name\&quot;,\&quot;value\&quot;:\&quot;Travel\&quot;},{\&quot;key\&quot;:\&quot;Category type\&quot;,\&quot;value\&quot;:\&quot;Expense\&quot;}],[{\&quot;key\&quot;:\&quot;ID\&quot;,\&quot;value\&quot;:\&quot;de9b1d2511bc45a9bb2d484aa9e33b31\&quot;},{\&quot;key\&quot;:\&quot;Category name\&quot;,\&quot;value\&quot;:\&quot;Uncategorized\&quot;},{\&quot;key\&quot;:\&quot;Category type\&quot;,\&quot;value\&quot;:\&quot;Expense\&quot;}],[{\&quot;key\&quot;:\&quot;ID\&quot;,\&quot;value\&quot;:\&quot;fec746a44521f2118fef19237dbf4f91\&quot;},{\&quot;key\&quot;:\&quot;Category name\&quot;,\&quot;value\&quot;:\&quot;Food\&quot;},{\&quot;key\&quot;:\&quot;Category type\&quot;,\&quot;value\&quot;:\&quot;Expense\&quot;}],[{\&quot;key\&quot;:\&quot;ID\&quot;,\&quot;value\&quot;:\&quot;fc644bd9ea3a9fa6cdcd5fd08cd93f11\&quot;},{\&quot;key\&quot;:\&quot;Category name\&quot;,\&quot;value\&quot;:\&quot;Insurance\&quot;},{\&quot;key\&quot;:\&quot;Category type\&quot;,\&quot;value\&quot;:\&quot;Expense\&quot;}],[{\&quot;key\&quot;:\&quot;ID\&quot;,\&quot;value\&quot;:\&quot;fb81ce070826aab24513c89fbfe939e9\&quot;},{\&quot;key\&quot;:\&quot;Category name\&quot;,\&quot;value\&quot;:\&quot;Medical &amp; Healthcare\&quot;},{\&quot;key\&quot;:\&quot;Category type\&quot;,\&quot;value\&quot;:\&quot;Expense\&quot;}],[{\&quot;key\&quot;:\&quot;ID\&quot;,\&quot;value\&quot;:\&quot;fa8b5d98bc93b00cd8fc9897f00a1b52\&quot;},{\&quot;key\&quot;:\&quot;Category name\&quot;,\&quot;value\&quot;:\&quot;Misc\&quot;},{\&quot;key\&quot;:\&quot;Category type\&quot;,\&quot;value\&quot;:\&quot;Expense\&quot;}],[{\&quot;key\&quot;:\&quot;ID\&quot;,\&quot;value\&quot;:\&quot;f9fd776a16da81a948d166fcd5952d14\&quot;},{\&quot;key\&quot;:\&quot;Category name\&quot;,\&quot;value\&quot;:\&quot;Personal Spending\&quot;},{\&quot;key\&quot;:\&quot;Category type\&quot;,\&quot;value\&quot;:\&quot;Expense\&quot;}],[{\&quot;key\&quot;:\&quot;ID\&quot;,\&quot;value\&quot;:\&quot;f870f35280fadaf3c3539ad54e3062cd\&quot;},{\&quot;key\&quot;:\&quot;Category name\&quot;,\&quot;value\&quot;:\&quot;Recreational &amp; Entertainment\&quot;},{\&quot;key\&quot;:\&quot;Category type\&quot;,\&quot;value\&quot;:\&quot;Expense\&quot;}],[{\&quot;key\&quot;:\&quot;ID\&quot;,\&quot;value\&quot;:\&quot;f59903268bc5a7b5382a7eb44e1c5e95\&quot;},{\&quot;key\&quot;:\&quot;Category name\&quot;,\&quot;value\&quot;:\&quot;Savings, Investing, &amp;Debt\&quot;},{\&quot;key\&quot;:\&quot;Category type\&quot;,\&quot;value\&quot;:\&quot;Expense\&quot;}],[{\&quot;key\&quot;:\&quot;ID\&quot;,\&quot;value\&quot;:\&quot;e6c07c144d52704210419358ba4a8d2e\&quot;},{\&quot;key\&quot;:\&quot;Category name\&quot;,\&quot;value\&quot;:\&quot;Transportation\&quot;},{\&quot;key\&quot;:\&quot;Category type\&quot;,\&quot;value\&quot;:\&quot;Expense\&quot;}],[{\&quot;key\&quot;:\&quot;ID\&quot;,\&quot;value\&quot;:\&quot;e652020e73ca21c507fb0132026987b5\&quot;},{\&quot;key\&quot;:\&quot;Category name\&quot;,\&quot;value\&quot;:\&quot;Utilities\&quot;},{\&quot;key\&quot;:\&quot;Category type\&quot;,\&quot;value\&quot;:\&quot;Expense\&quot;}]]],[\&quot;SubcategoriesTable\&quot;,[[{\&quot;key\&quot;:\&quot;ID\&quot;,\&quot;value\&quot;:\&quot;1e5c59e0480addcccb05fb5711583f66\&quot;},{\&quot;key\&quot;:\&quot;Subcategory name\&quot;,\&quot;value\&quot;:\&quot;DMV Fees\&quot;},{\&quot;key\&quot;:\&quot;Category ID\&quot;,\&quot;value\&quot;:\&quot;89f91b72f72a4dd68a16b583d4720595\&quot;}],[{\&quot;key\&quot;:\&quot;ID\&quot;,\&quot;value\&quot;:\&quot;eb055def622d4c4049ecc84f714abf21\&quot;},{\&quot;key\&quot;:\&quot;Subcategory name\&quot;,\&quot;value\&quot;:\&quot;Gas\&quot;},{\&quot;key\&quot;:\&quot;Category ID\&quot;,\&quot;value\&quot;:\&quot;89f91b72f72a4dd68a16b583d4720595\&quot;}],[{\&quot;key\&quot;:\&quot;ID\&quot;,\&quot;value\&quot;:\&quot;839f3d84f34900d3e634555e77251d93\&quot;},{\&quot;key\&quot;:\&quot;Subcategory name\&quot;,\&quot;value\&quot;:\&quot;Maintenance\&quot;},{\&quot;key\&quot;:\&quot;Category ID\&quot;,\&quot;value\&quot;:\&quot;89f91b72f72a4dd68a16b583d4720595\&quot;}],[{\&quot;key\&quot;:\&quot;ID\&quot;,\&quot;value\&quot;:\&quot;0267aa9ecbff2d8d758740419e7a2a33\&quot;},{\&quot;key\&quot;:\&quot;Subcategory name\&quot;,\&quot;value\&quot;:\&quot;Parking\&quot;},{\&quot;key\&quot;:\&quot;Category ID\&quot;,\&quot;value\&quot;:\&quot;89f91b72f72a4dd68a16b583d4720595\&quot;}],[{\&quot;key\&quot;:\&quot;ID\&quot;,\&quot;value\&quot;:\&quot;02e45bcde6ac601dc8c0fbb1f5665356\&quot;},{\&quot;key\&quot;:\&quot;Subcategory name\&quot;,\&quot;value\&quot;:\&quot;Public Transit\&quot;},{\&quot;key\&quot;:\&quot;Category ID\&quot;,\&quot;value\&quot;:\&quot;89f91b72f72a4dd68a16b583d4720595\&quot;}],[{\&quot;key\&quot;:\&quot;ID\&quot;,\&quot;value\&quot;:\&quot;dc2cef13d1bdc4b67ee2585e45705bb8\&quot;},{\&quot;key\&quot;:\&quot;Subcategory name\&quot;,\&quot;value\&quot;:\&quot;Registration\&quot;},{\&quot;key\&quot;:\&quot;Category ID\&quot;,\&quot;value\&quot;:\&quot;89f91b72f72a4dd68a16b583d4720595\&quot;}],[{\&quot;key\&quot;:\&quot;ID\&quot;,\&quot;value\&quot;:\&quot;048dd0d55d783aaeb99ef3dc4afed7a2\&quot;},{\&quot;key\&quot;:\&quot;Subcategory name\&quot;,\&quot;value\&quot;:\&quot;Rideshare\&quot;},{\&quot;key\&quot;:\&quot;Category ID\&quot;,\&quot;value\&quot;:\&quot;89f91b72f72a4dd68a16b583d4720595\&quot;}],[{\&quot;key\&quot;:\&quot;ID\&quot;,\&quot;value\&quot;:\&quot;04d2b7271e192fa731aa6c94da916f22\&quot;},{\&quot;key\&quot;:\&quot;Subcategory name\&quot;,\&quot;value\&quot;:\&quot;Tolls\&quot;},{\&quot;key\&quot;:\&quot;Category ID\&quot;,\&quot;value\&quot;:\&quot;89f91b72f72a4dd68a16b583d4720595\&quot;}],[{\&quot;key\&quot;:\&quot;ID\&quot;,\&quot;value\&quot;:\&quot;100f74929d63d4f3c2ef512da103b697\&quot;},{\&quot;key\&quot;:\&quot;Subcategory name\&quot;,\&quot;value\&quot;:\&quot;Food Delivery\&quot;},{\&quot;key\&quot;:\&quot;Category ID\&quot;,\&quot;value\&quot;:\&quot;9fa283df10474311b55af8d4cf39d146\&quot;}],[{\&quot;key\&quot;:\&quot;ID\&quot;,\&quot;value\&quot;:\&quot;fd72ce5cfeedbe66d13df9602b6cff7d\&quot;},{\&quot;key\&quot;:\&quot;Subcategory name\&quot;,\&quot;value\&quot;:\&quot;Groceries\&quot;},{\&quot;key\&quot;:\&quot;Category ID\&quot;,\&quot;value\&quot;:\&quot;9fa283df10474311b55af8d4cf39d146\&quot;}],[{\&quot;key\&quot;:\&quot;ID\&quot;,\&quot;value\&quot;:\&quot;3cb5eadf8ea949dc856ad904b2643f4c\&quot;},{\&quot;key\&quot;:\&quot;Subcategory name\&quot;,\&quot;value\&quot;:\&quot;Work Lunches\&quot;},{\&quot;key\&quot;:\&quot;Category ID\&quot;,\&quot;value\&quot;:\&quot;9fa283df10474311b55af8d4cf39d146\&quot;}],[{\&quot;key\&quot;:\&quot;ID\&quot;,\&quot;value\&quot;:\&quot;2e3863b690eca5456390506db380e5d3\&quot;},{\&quot;key\&quot;:\&quot;Subcategory name\&quot;,\&quot;value\&quot;:\&quot;Electricity\&quot;},{\&quot;key\&quot;:\&quot;Category ID\&quot;,\&quot;value\&quot;:\&quot;31cc220e25c84daf9b641cfb0e376681\&quot;}],[{\&quot;key\&quot;:\&quot;ID\&quot;,\&quot;value\&quot;:\&quot;29ad13e4fa15038048b87337a91fb96f\&quot;},{\&quot;key\&quot;:\&quot;Subcategory name\&quot;,\&quot;value\&quot;:\&quot;Government Services\&quot;},{\&quot;key\&quot;:\&quot;Category ID\&quot;,\&quot;value\&quot;:\&quot;31cc220e25c84daf9b641cfb0e376681\&quot;}],[{\&quot;key\&quot;:\&quot;ID\&quot;,\&quot;value\&quot;:\&quot;b277a2e8fd1042f19391233c309b683b\&quot;},{\&quot;key\&quot;:\&quot;Subcategory name\&quot;,\&quot;value\&quot;:\&quot;Internet\&quot;},{\&quot;key\&quot;:\&quot;Category ID\&quot;,\&quot;value\&quot;:\&quot;31cc220e25c84daf9b641cfb0e376681\&quot;}],[{\&quot;key\&quot;:\&quot;ID\&quot;,\&quot;value\&quot;:\&quot;e2ada6f3a865e952cf542f51a935c9d8\&quot;},{\&quot;key\&quot;:\&quot;Subcategory name\&quot;,\&quot;value\&quot;:\&quot;Phone\&quot;},{\&quot;key\&quot;:\&quot;Category ID\&quot;,\&quot;value\&quot;:\&quot;31cc220e25c84daf9b641cfb0e376681\&quot;}],[{\&quot;key\&quot;:\&quot;ID\&quot;,\&quot;value\&quot;:\&quot;8b563daf51991dc48fcfb7c65523db0c\&quot;},{\&quot;key\&quot;:\&quot;Subcategory name\&quot;,\&quot;value\&quot;:\&quot;PO Boxes\&quot;},{\&quot;key\&quot;:\&quot;Category ID\&quot;,\&quot;value\&quot;:\&quot;31cc220e25c84daf9b641cfb0e376681\&quot;}],[{\&quot;key\&quot;:\&quot;ID\&quot;,\&quot;value\&quot;:\&quot;127ba058362013662b757060d7c80279\&quot;},{\&quot;key\&quot;:\&quot;Subcategory name\&quot;,\&quot;value\&quot;:\&quot;Storage\&quot;},{\&quot;key\&quot;:\&quot;Category ID\&quot;,\&quot;value\&quot;:\&quot;31cc220e25c84daf9b641cfb0e376681\&quot;}],[{\&quot;key\&quot;:\&quot;ID\&quot;,\&quot;value\&quot;:\&quot;01d1989af3716f08e603ce8ce3482a54\&quot;},{\&quot;key\&quot;:\&quot;Subcategory name\&quot;,\&quot;value\&quot;:\&quot;Water\&quot;},{\&quot;key\&quot;:\&quot;Category ID\&quot;,\&quot;value\&quot;:\&quot;31cc220e25c84daf9b641cfb0e376681\&quot;}],[{\&quot;key\&quot;:\&quot;ID\&quot;,\&quot;value\&quot;:\&quot;9fd040d7c063625b540d46d873e8b61c\&quot;},{\&quot;key\&quot;:\&quot;Subcategory name\&quot;,\&quot;value\&quot;:\&quot;Auto Insurance\&quot;},{\&quot;key\&quot;:\&quot;Category ID\&quot;,\&quot;value\&quot;:\&quot;1c7ed344fd3c47f1b0c4926eb05c305c\&quot;}],[{\&quot;key\&quot;:\&quot;ID\&quot;,\&quot;value\&quot;:\&quot;742e04714c75f30cc1aa1105a6b9eb71\&quot;},{\&quot;key\&quot;:\&quot;Subcategory name\&quot;,\&quot;value\&quot;:\&quot;Dental Care\&quot;},{\&quot;key\&quot;:\&quot;Category ID\&quot;,\&quot;value\&quot;:\&quot;0c9f3488736a4d97bd78b9c29fbb29fb\&quot;}],[{\&quot;key\&quot;:\&quot;ID\&quot;,\&quot;value\&quot;:\&quot;bdb4ceb39b8c0c000e0389cd24b4b64f\&quot;},{\&quot;key\&quot;:\&quot;Subcategory name\&quot;,\&quot;value\&quot;:\&quot;Eye Care\&quot;},{\&quot;key\&quot;:\&quot;Category ID\&quot;,\&quot;value\&quot;:\&quot;0c9f3488736a4d97bd78b9c29fbb29fb\&quot;}],[{\&quot;key\&quot;:\&quot;ID\&quot;,\&quot;value\&quot;:\&quot;00a6cbac67122abd4462005140f6f4b3\&quot;},{\&quot;key\&quot;:\&quot;Subcategory name\&quot;,\&quot;value\&quot;:\&quot;Medical Devices &amp; Supplies\&quot;},{\&quot;key\&quot;:\&quot;Category ID\&quot;,\&quot;value\&quot;:\&quot;0c9f3488736a4d97bd78b9c29fbb29fb\&quot;}],[{\&quot;key\&quot;:\&quot;ID\&quot;,\&quot;value\&quot;:\&quot;c97704f11241a272a65d0a32da95f9f2\&quot;},{\&quot;key\&quot;:\&quot;Subcategory name\&quot;,\&quot;value\&quot;:\&quot;Out-of-Pocket Costs\&quot;},{\&quot;key\&quot;:\&quot;Category ID\&quot;,\&quot;value\&quot;:\&quot;0c9f3488736a4d97bd78b9c29fbb29fb\&quot;}],[{\&quot;key\&quot;:\&quot;ID\&quot;,\&quot;value\&quot;:\&quot;20fc47ed122b46eba4bd95ff465b22c2\&quot;},{\&quot;key\&quot;:\&quot;Subcategory name\&quot;,\&quot;value\&quot;:\&quot;Prescriptions\&quot;},{\&quot;key\&quot;:\&quot;Category ID\&quot;,\&quot;value\&quot;:\&quot;0c9f3488736a4d97bd78b9c29fbb29fb\&quot;}],[{\&quot;key\&quot;:\&quot;ID\&quot;,\&quot;value\&quot;:\&quot;33f8f52195b19dd80f0ffa15c5cb027d\&quot;},{\&quot;key\&quot;:\&quot;Subcategory name\&quot;,\&quot;value\&quot;:\&quot;Specialty Care\&quot;},{\&quot;key\&quot;:\&quot;Category ID\&quot;,\&quot;value\&quot;:\&quot;0c9f3488736a4d97bd78b9c29fbb29fb\&quot;}],[{\&quot;key\&quot;:\&quot;ID\&quot;,\&quot;value\&quot;:\&quot;4899b53b1ac31373e639a70fc016fe08\&quot;},{\&quot;key\&quot;:\&quot;Subcategory name\&quot;,\&quot;value\&quot;:\&quot;Urgent Care\&quot;},{\&quot;key\&quot;:\&quot;Category ID\&quot;,\&quot;value\&quot;:\&quot;0c9f3488736a4d97bd78b9c29fbb29fb\&quot;}],[{\&quot;key\&quot;:\&quot;ID\&quot;,\&quot;value\&quot;:\&quot;c71738a56c97a1ca71dc077ad3e9d092\&quot;},{\&quot;key\&quot;:\&quot;Subcategory name\&quot;,\&quot;value\&quot;:\&quot;401 K\&quot;},{\&quot;key\&quot;:\&quot;Category ID\&quot;,\&quot;value\&quot;:\&quot;0613345f0a8b4edfb294d0fdc6fe7382\&quot;}],[{\&quot;key\&quot;:\&quot;ID\&quot;,\&quot;value\&quot;:\&quot;a81fb4c37ff5413805e1ad855c41a0ab\&quot;},{\&quot;key\&quot;:\&quot;Subcategory name\&quot;,\&quot;value\&quot;:\&quot;Credit\&quot;},{\&quot;key\&quot;:\&quot;Category ID\&quot;,\&quot;value\&quot;:\&quot;0613345f0a8b4edfb294d0fdc6fe7382\&quot;}],[{\&quot;key\&quot;:\&quot;ID\&quot;,\&quot;value\&quot;:\&quot;fe60e6f7e4096b94eb6c8f643a7c9891\&quot;},{\&quot;key\&quot;:\&quot;Subcategory name\&quot;,\&quot;value\&quot;:\&quot;Emergency Fund\&quot;},{\&quot;key\&quot;:\&quot;Category ID\&quot;,\&quot;value\&quot;:\&quot;0613345f0a8b4edfb294d0fdc6fe7382\&quot;}],[{\&quot;key\&quot;:\&quot;ID\&quot;,\&quot;value\&quot;:\&quot;29203f6b3d0b39d0da4dd72a306dbe8d\&quot;},{\&quot;key\&quot;:\&quot;Subcategory name\&quot;,\&quot;value\&quot;:\&quot;Personal Debt\&quot;},{\&quot;key\&quot;:\&quot;Category ID\&quot;,\&quot;value\&quot;:\&quot;0613345f0a8b4edfb294d0fdc6fe7382\&quot;}],[{\&quot;key\&quot;:\&quot;ID\&quot;,\&quot;value\&quot;:\&quot;e3b059c7d9c3409f67db83486d525f1f\&quot;},{\&quot;key\&quot;:\&quot;Subcategory name\&quot;,\&quot;value\&quot;:\&quot;Retirement Account\&quot;},{\&quot;key\&quot;:\&quot;Category ID\&quot;,\&quot;value\&quot;:\&quot;0613345f0a8b4edfb294d0fdc6fe7382\&quot;}],[{\&quot;key\&quot;:\&quot;ID\&quot;,\&quot;value\&quot;:\&quot;f7b10c432271996803e0af55bef35584\&quot;},{\&quot;key\&quot;:\&quot;Subcategory name\&quot;,\&quot;value\&quot;:\&quot;Savings Account\&quot;},{\&quot;key\&quot;:\&quot;Category ID\&quot;,\&quot;value\&quot;:\&quot;0613345f0a8b4edfb294d0fdc6fe7382\&quot;}],[{\&quot;key\&quot;:\&quot;ID\&quot;,\&quot;value\&quot;:\&quot;60eb5beb566a6d03f34782a9970756ba\&quot;},{\&quot;key\&quot;:\&quot;Subcategory name\&quot;,\&quot;value\&quot;:\&quot;Securities\&quot;},{\&quot;key\&quot;:\&quot;Category ID\&quot;,\&quot;value\&quot;:\&quot;0613345f0a8b4edfb294d0fdc6fe7382\&quot;}],[{\&quot;key\&quot;:\&quot;ID\&quot;,\&quot;value\&quot;:\&quot;2c76c563940942d5ea352ae12fe81793\&quot;},{\&quot;key\&quot;:\&quot;Subcategory name\&quot;,\&quot;value\&quot;:\&quot;Student Loan\&quot;},{\&quot;key\&quot;:\&quot;Category ID\&quot;,\&quot;value\&quot;:\&quot;0613345f0a8b4edfb294d0fdc6fe7382\&quot;}],[{\&quot;key\&quot;:\&quot;ID\&quot;,\&quot;value\&quot;:\&quot;ed6eaa459fabe5552207a2d700f8bf1c\&quot;},{\&quot;key\&quot;:\&quot;Subcategory name\&quot;,\&quot;value\&quot;:\&quot;Clothes\&quot;},{\&quot;key\&quot;:\&quot;Category ID\&quot;,\&quot;value\&quot;:\&quot;fabfe582932d48b78ac2846c1ec3d43f\&quot;}],[{\&quot;key\&quot;:\&quot;ID\&quot;,\&quot;value\&quot;:\&quot;34adc8b6f193384cf07b408d6a4dfac6\&quot;},{\&quot;key\&quot;:\&quot;Subcategory name\&quot;,\&quot;value\&quot;:\&quot;Conveinence Store\&quot;},{\&quot;key\&quot;:\&quot;Category ID\&quot;,\&quot;value\&quot;:\&quot;fabfe582932d48b78ac2846c1ec3d43f\&quot;}],[{\&quot;key\&quot;:\&quot;ID\&quot;,\&quot;value\&quot;:\&quot;184c9cbdd77dcd3cf895b482a60b53ae\&quot;},{\&quot;key\&quot;:\&quot;Subcategory name\&quot;,\&quot;value\&quot;:\&quot;Gifts/Donations\&quot;},{\&quot;key\&quot;:\&quot;Category ID\&quot;,\&quot;value\&quot;:\&quot;fabfe582932d48b78ac2846c1ec3d43f\&quot;}],[{\&quot;key\&quot;:\&quot;ID\&quot;,\&quot;value\&quot;:\&quot;09067f57629a673320f5e91c86c596c9\&quot;},{\&quot;key\&quot;:\&quot;Subcategory name\&quot;,\&quot;value\&quot;:\&quot;Gym\&quot;},{\&quot;key\&quot;:\&quot;Category ID\&quot;,\&quot;value\&quot;:\&quot;fabfe582932d48b78ac2846c1ec3d43f\&quot;}],[{\&quot;key\&quot;:\&quot;ID\&quot;,\&quot;value\&quot;:\&quot;bade29a2da6ab874d122981857355aa8\&quot;},{\&quot;key\&quot;:\&quot;Subcategory name\&quot;,\&quot;value\&quot;:\&quot;Health (Experimental)\&quot;},{\&quot;key\&quot;:\&quot;Category ID\&quot;,\&quot;value\&quot;:\&quot;fabfe582932d48b78ac2846c1ec3d43f\&quot;}],[{\&quot;key\&quot;:\&quot;ID\&quot;,\&quot;value\&quot;:\&quot;491604cada38f692f0812367c427712e\&quot;},{\&quot;key\&quot;:\&quot;Subcategory name\&quot;,\&quot;value\&quot;:\&quot;Home Décor\&quot;},{\&quot;key\&quot;:\&quot;Category ID\&quot;,\&quot;value\&quot;:\&quot;fabfe582932d48b78ac2846c1ec3d43f\&quot;}],[{\&quot;key\&quot;:\&quot;ID\&quot;,\&quot;value\&quot;:\&quot;5d8c5abafd2d4c46cca597520b7c01e4\&quot;},{\&quot;key\&quot;:\&quot;Subcategory name\&quot;,\&quot;value\&quot;:\&quot;Merchandise\&quot;},{\&quot;key\&quot;:\&quot;Category ID\&quot;,\&quot;value\&quot;:\&quot;fabfe582932d48b78ac2846c1ec3d43f\&quot;}],[{\&quot;key\&quot;:\&quot;ID\&quot;,\&quot;value\&quot;:\&quot;8b865ec857264fa2c62137ed18660377\&quot;},{\&quot;key\&quot;:\&quot;Subcategory name\&quot;,\&quot;value\&quot;:\&quot;Pay Walls\&quot;},{\&quot;key\&quot;:\&quot;Category ID\&quot;,\&quot;value\&quot;:\&quot;fabfe582932d48b78ac2846c1ec3d43f\&quot;}],[{\&quot;key\&quot;:\&quot;ID\&quot;,\&quot;value\&quot;:\&quot;457f7fba8429ee535bda51f9831aa2fe\&quot;},{\&quot;key\&quot;:\&quot;Subcategory name\&quot;,\&quot;value\&quot;:\&quot;Self Care\&quot;},{\&quot;key\&quot;:\&quot;Category ID\&quot;,\&quot;value\&quot;:\&quot;fabfe582932d48b78ac2846c1ec3d43f\&quot;}],[{\&quot;key\&quot;:\&quot;ID\&quot;,\&quot;value\&quot;:\&quot;8aa9b4db7e16cd2041aa6bfdc219e567\&quot;},{\&quot;key\&quot;:\&quot;Subcategory name\&quot;,\&quot;value\&quot;:\&quot;Subscription\&quot;},{\&quot;key\&quot;:\&quot;Category ID\&quot;,\&quot;value\&quot;:\&quot;fabfe582932d48b78ac2846c1ec3d43f\&quot;}],[{\&quot;key\&quot;:\&quot;ID\&quot;,\&quot;value\&quot;:\&quot;a4362f3986ca2e40c9d8a61776c89c76\&quot;},{\&quot;key\&quot;:\&quot;Subcategory name\&quot;,\&quot;value\&quot;:\&quot;Walmart/Target Run\&quot;},{\&quot;key\&quot;:\&quot;Category ID\&quot;,\&quot;value\&quot;:\&quot;fabfe582932d48b78ac2846c1ec3d43f\&quot;}],[{\&quot;key\&quot;:\&quot;ID\&quot;,\&quot;value\&quot;:\&quot;24acd1de455be882d8c0c13cecfa9331\&quot;},{\&quot;key\&quot;:\&quot;Subcategory name\&quot;,\&quot;value\&quot;:\&quot;Concerts\&quot;},{\&quot;key\&quot;:\&quot;Category ID\&quot;,\&quot;value\&quot;:\&quot;013119218f2e4bdd86aa9097992873f8\&quot;}],[{\&quot;key\&quot;:\&quot;ID\&quot;,\&quot;value\&quot;:\&quot;75b4e62a7937da64e6ffebb60cf36517\&quot;},{\&quot;key\&quot;:\&quot;Subcategory name\&quot;,\&quot;value\&quot;:\&quot;Conveinence Store\&quot;},{\&quot;key\&quot;:\&quot;Category ID\&quot;,\&quot;value\&quot;:\&quot;013119218f2e4bdd86aa9097992873f8\&quot;}],[{\&quot;key\&quot;:\&quot;ID\&quot;,\&quot;value\&quot;:\&quot;48d67d3eb03a0a7e7838a7bf1479fa78\&quot;},{\&quot;key\&quot;:\&quot;Subcategory name\&quot;,\&quot;value\&quot;:\&quot;Family\&quot;},{\&quot;key\&quot;:\&quot;Category ID\&quot;,\&quot;value\&quot;:\&quot;013119218f2e4bdd86aa9097992873f8\&quot;}],[{\&quot;key\&quot;:\&quot;ID\&quot;,\&quot;value\&quot;:\&quot;b33a143786e5accb584d33cda08d2b69\&quot;},{\&quot;key\&quot;:\&quot;Subcategory name\&quot;,\&quot;value\&quot;:\&quot;Family Activities\&quot;},{\&quot;key\&quot;:\&quot;Category ID\&quot;,\&quot;value\&quot;:\&quot;013119218f2e4bdd86aa9097992873f8\&quot;}],[{\&quot;key\&quot;:\&quot;ID\&quot;,\&quot;value\&quot;:\&quot;1fcecc85b1b9f6d55d8f29e397c285d4\&quot;},{\&quot;key\&quot;:\&quot;Subcategory name\&quot;,\&quot;value\&quot;:\&quot;Hobbies\&quot;},{\&quot;key\&quot;:\&quot;Category ID\&quot;,\&quot;value\&quot;:\&quot;013119218f2e4bdd86aa9097992873f8\&quot;}],[{\&quot;key\&quot;:\&quot;ID\&quot;,\&quot;value\&quot;:\&quot;c0d26b45215f5bcd1e094d81d81fe75a\&quot;},{\&quot;key\&quot;:\&quot;Subcategory name\&quot;,\&quot;value\&quot;:\&quot;Merchandise\&quot;},{\&quot;key\&quot;:\&quot;Category ID\&quot;,\&quot;value\&quot;:\&quot;013119218f2e4bdd86aa9097992873f8\&quot;}],[{\&quot;key\&quot;:\&quot;ID\&quot;,\&quot;value\&quot;:\&quot;500e6ba7cba37a7a2a33da8c057b4cb8\&quot;},{\&quot;key\&quot;:\&quot;Subcategory name\&quot;,\&quot;value\&quot;:\&quot;Resteraunts\&quot;},{\&quot;key\&quot;:\&quot;Category ID\&quot;,\&quot;value\&quot;:\&quot;013119218f2e4bdd86aa9097992873f8\&quot;}],[{\&quot;key\&quot;:\&quot;ID\&quot;,\&quot;value\&quot;:\&quot;9fbba331d1ae096cbce7fb1035aebbc1\&quot;},{\&quot;key\&quot;:\&quot;Subcategory name\&quot;,\&quot;value\&quot;:\&quot;Sporting Events\&quot;},{\&quot;key\&quot;:\&quot;Category ID\&quot;,\&quot;value\&quot;:\&quot;013119218f2e4bdd86aa9097992873f8\&quot;}],[{\&quot;key\&quot;:\&quot;ID\&quot;,\&quot;value\&quot;:\&quot;62ae30b53561aa5d303e08e4369dbfc3\&quot;},{\&quot;key\&quot;:\&quot;Subcategory name\&quot;,\&quot;value\&quot;:\&quot;Streaming Services\&quot;},{\&quot;key\&quot;:\&quot;Category ID\&quot;,\&quot;value\&quot;:\&quot;013119218f2e4bdd86aa9097992873f8\&quot;}],[{\&quot;key\&quot;:\&quot;ID\&quot;,\&quot;value\&quot;:\&quot;1ca9e35cea63c322115cf7f65280d7e2\&quot;},{\&quot;key\&quot;:\&quot;Subcategory name\&quot;,\&quot;value\&quot;:\&quot;Subscription\&quot;},{\&quot;key\&quot;:\&quot;Category ID\&quot;,\&quot;value\&quot;:\&quot;013119218f2e4bdd86aa9097992873f8\&quot;}],[{\&quot;key\&quot;:\&quot;ID\&quot;,\&quot;value\&quot;:\&quot;9cd371244b15c28471085d92021aa420\&quot;},{\&quot;key\&quot;:\&quot;Subcategory name\&quot;,\&quot;value\&quot;:\&quot;Video Games\&quot;},{\&quot;key\&quot;:\&quot;Category ID\&quot;,\&quot;value\&quot;:\&quot;013119218f2e4bdd86aa9097992873f8\&quot;}],[{\&quot;key\&quot;:\&quot;ID\&quot;,\&quot;value\&quot;:\&quot;d40c8a4222133d6904d5ac6c73ef3aba\&quot;},{\&quot;key\&quot;:\&quot;Subcategory name\&quot;,\&quot;value\&quot;:\&quot;Home Maintenance\&quot;},{\&quot;key\&quot;:\&quot;Category ID\&quot;,\&quot;value\&quot;:\&quot;6385c1768b814d3d89087c436c9cab15\&quot;}],[{\&quot;key\&quot;:\&quot;ID\&quot;,\&quot;value\&quot;:\&quot;4776cd5c103c9847101a0dfca5fd81c7\&quot;},{\&quot;key\&quot;:\&quot;Subcategory name\&quot;,\&quot;value\&quot;:\&quot;Home Supplies\&quot;},{\&quot;key\&quot;:\&quot;Category ID\&quot;,\&quot;value\&quot;:\&quot;6385c1768b814d3d89087c436c9cab15\&quot;}],[{\&quot;key\&quot;:\&quot;ID\&quot;,\&quot;value\&quot;:\&quot;ea4a878211d7f37f9bec6e224e4f49e5\&quot;},{\&quot;key\&quot;:\&quot;Subcategory name\&quot;,\&quot;value\&quot;:\&quot;Office Supplies\&quot;},{\&quot;key\&quot;:\&quot;Category ID\&quot;,\&quot;value\&quot;:\&quot;6385c1768b814d3d89087c436c9cab15\&quot;}],[{\&quot;key\&quot;:\&quot;ID\&quot;,\&quot;value\&quot;:\&quot;222ba5156afc267a405a20cef28d3f2c\&quot;},{\&quot;key\&quot;:\&quot;Subcategory name\&quot;,\&quot;value\&quot;:\&quot;Personal Care\&quot;},{\&quot;key\&quot;:\&quot;Category ID\&quot;,\&quot;value\&quot;:\&quot;6385c1768b814d3d89087c436c9cab15\&quot;}],[{\&quot;key\&quot;:\&quot;ID\&quot;,\&quot;value\&quot;:\&quot;01a08ee0780d41da979351ef7694e331\&quot;},{\&quot;key\&quot;:\&quot;Subcategory name\&quot;,\&quot;value\&quot;:\&quot;Rent\&quot;},{\&quot;key\&quot;:\&quot;Category ID\&quot;,\&quot;value\&quot;:\&quot;6385c1768b814d3d89087c436c9cab15\&quot;}],[{\&quot;key\&quot;:\&quot;ID\&quot;,\&quot;value\&quot;:\&quot;3e6d8e3ad901d766d7cd5c9c166106bc\&quot;},{\&quot;key\&quot;:\&quot;Subcategory name\&quot;,\&quot;value\&quot;:\&quot;Study Material (Pre Nationwide)\&quot;},{\&quot;key\&quot;:\&quot;Category ID\&quot;,\&quot;value\&quot;:\&quot;6385c1768b814d3d89087c436c9cab15\&quot;}],[{\&quot;key\&quot;:\&quot;ID\&quot;,\&quot;value\&quot;:\&quot;9e70ea37cbed65cfed5dc45cfd555b63\&quot;},{\&quot;key\&quot;:\&quot;Subcategory name\&quot;,\&quot;value\&quot;:\&quot;Taxes\&quot;},{\&quot;key\&quot;:\&quot;Category ID\&quot;,\&quot;value\&quot;:\&quot;6385c1768b814d3d89087c436c9cab15\&quot;}],[{\&quot;key\&quot;:\&quot;ID\&quot;,\&quot;value\&quot;:\&quot;ffef951615efa1c8ccfc1e6224cc77b4\&quot;},{\&quot;key\&quot;:\&quot;Subcategory name\&quot;,\&quot;value\&quot;:\&quot;Resteraunts\&quot;},{\&quot;key\&quot;:\&quot;Category ID\&quot;,\&quot;value\&quot;:\&quot;1c99e2ba30f14dbfb79dfa7d009e0924\&quot;}]]],[\&quot;lastSyncTimestamp\&quot;,1641486206226],[\&quot;Institutions\&quot;,[[{\&quot;key\&quot;:\&quot;ID\&quot;,\&quot;value\&quot;:\&quot;e4c2040f5e764f90875f10adc51adcfe\&quot;},{\&quot;key\&quot;:\&quot;Institution nickname\&quot;,\&quot;value\&quot;:\&quot;Fidelity\&quot;}],[{\&quot;key\&quot;:\&quot;ID\&quot;,\&quot;value\&quot;:\&quot;e7a999902ffc4e26bd6b6c2d4214aabd\&quot;},{\&quot;key\&quot;:\&quot;Institution nickname\&quot;,\&quot;value\&quot;:\&quot;Best Buy - Citi Card\&quot;}],[{\&quot;key\&quot;:\&quot;ID\&quot;,\&quot;value\&quot;:\&quot;d09d1b66884d43439b5dad982b7d9e52\&quot;},{\&quot;key\&quot;:\&quot;Institution nickname\&quot;,\&quot;value\&quot;:\&quot;Discover\&quot;}],[{\&quot;key\&quot;:\&quot;ID\&quot;,\&quot;value\&quot;:\&quot;8b5374947e1d46e7a0f86b54ee722e44\&quot;},{\&quot;key\&quot;:\&quot;Institution nickname\&quot;,\&quot;value\&quot;:\&quot;Wells Fargo\&quot;}]]],[\&quot;Accounts\&quot;,[[{\&quot;key\&quot;:\&quot;ID\&quot;,\&quot;value\&quot;:\&quot;8891fe6cf37b49f387dd113901384dea\&quot;},{\&quot;key\&quot;:\&quot;Institution ID\&quot;,\&quot;value\&quot;:\&quot;e4c2040f5e764f90875f10adc51adcfe\&quot;},{\&quot;key\&quot;:\&quot;Account#\&quot;,\&quot;value\&quot;:\&quot;0077\&quot;},{\&quot;key\&quot;:\&quot;Account name\&quot;,\&quot;value\&quot;:\&quot;NATIONWIDE SAVINGS PLAN\&quot;},{\&quot;key\&quot;:\&quot;Account nickname\&quot;,\&quot;value\&quot;:\&quot;NATIONWIDE SAVINGS PLAN\&quot;},{\&quot;key\&quot;:\&quot;Account balance\&quot;,\&quot;value\&quot;:2544.57},{\&quot;key\&quot;:\&quot;Account type\&quot;,\&quot;value\&quot;:\&quot;investment\&quot;},{\&quot;key\&quot;:\&quot;Account enabled\&quot;,\&quot;value\&quot;:true}],[{\&quot;key\&quot;:\&quot;ID\&quot;,\&quot;value\&quot;:\&quot;7f1141d7f4ca463d9f06d4bf51045d03\&quot;},{\&quot;key\&quot;:\&quot;Institution ID\&quot;,\&quot;value\&quot;:\&quot;e4c2040f5e764f90875f10adc51adcfe\&quot;},{\&quot;key\&quot;:\&quot;Account#\&quot;,\&quot;value\&quot;:\&quot;0011\&quot;},{\&quot;key\&quot;:\&quot;Account name\&quot;,\&quot;value\&quot;:\&quot;LIFE TIME\&quot;},{\&quot;key\&quot;:\&quot;Account nickname\&quot;,\&quot;value\&quot;:\&quot;LIFE TIME\&quot;},{\&quot;key\&quot;:\&quot;Account balance\&quot;,\&quot;value\&quot;:45.91},{\&quot;key\&quot;:\&quot;Account type\&quot;,\&quot;value\&quot;:\&quot;investment\&quot;},{\&quot;key\&quot;:\&quot;Account enabled\&quot;,\&quot;value\&quot;:true}],[{\&quot;key\&quot;:\&quot;ID\&quot;,\&quot;value\&quot;:\&quot;a82d9aba872e4e9b9684a363d4cc52b5\&quot;},{\&quot;key\&quot;:\&quot;Institution ID\&quot;,\&quot;value\&quot;:\&quot;e7a999902ffc4e26bd6b6c2d4214aabd\&quot;},{\&quot;key\&quot;:\&quot;Account#\&quot;,\&quot;value\&quot;:\&quot;4561\&quot;},{\&quot;key\&quot;:\&quot;Account name\&quot;,\&quot;value\&quot;:4561},{\&quot;key\&quot;:\&quot;Account nickname\&quot;,\&quot;value\&quot;:\&quot;BB\&quot;},{\&quot;key\&quot;:\&quot;Account balance\&quot;,\&quot;value\&quot;:0},{\&quot;key\&quot;:\&quot;Account type\&quot;,\&quot;value\&quot;:\&quot;credit\&quot;},{\&quot;key\&quot;:\&quot;Account enabled\&quot;,\&quot;value\&quot;:true}],[{\&quot;key\&quot;:\&quot;ID\&quot;,\&quot;value\&quot;:\&quot;0048d75f4d1d47f3b69428db4a68f3dd\&quot;},{\&quot;key\&quot;:\&quot;Institution ID\&quot;,\&quot;value\&quot;:\&quot;d09d1b66884d43439b5dad982b7d9e52\&quot;},{\&quot;key\&quot;:\&quot;Account#\&quot;,\&quot;value\&quot;:\&quot;4618\&quot;},{\&quot;key\&quot;:\&quot;Account name\&quot;,\&quot;value\&quot;:\&quot;Discover it chrome Card\&quot;},{\&quot;key\&quot;:\&quot;Account nickname\&quot;,\&quot;value\&quot;:\&quot;Discover\&quot;},{\&quot;key\&quot;:\&quot;Account balance\&quot;,\&quot;value\&quot;:1907.5},{\&quot;key\&quot;:\&quot;Account type\&quot;,\&quot;value\&quot;:\&quot;credit\&quot;},{\&quot;key\&quot;:\&quot;Account enabled\&quot;,\&quot;value\&quot;:true}],[{\&quot;key\&quot;:\&quot;ID\&quot;,\&quot;value\&quot;:\&quot;4918dbe6db3e4b9384fdfe7083417a5f\&quot;},{\&quot;key\&quot;:\&quot;Institution ID\&quot;,\&quot;value\&quot;:\&quot;8b5374947e1d46e7a0f86b54ee722e44\&quot;},{\&quot;key\&quot;:\&quot;Account#\&quot;,\&quot;value\&quot;:\&quot;4636\&quot;},{\&quot;key\&quot;:\&quot;Account name\&quot;,\&quot;value\&quot;:\&quot;EVERYDAY CHECKING\&quot;},{\&quot;key\&quot;:\&quot;Account nickname\&quot;,\&quot;value\&quot;:\&quot;WF\&quot;},{\&quot;key\&quot;:\&quot;Account balance\&quot;,\&quot;value\&quot;:184.18},{\&quot;key\&quot;:\&quot;Account type\&quot;,\&quot;value\&quot;:\&quot;depository\&quot;},{\&quot;key\&quot;:\&quot;Account enabled\&quot;,\&quot;value\&quot;:true}]]],[\&quot;Table1\&quot;,[[{\&quot;key\&quot;:\&quot;Date\&quot;,\&quot;value\&quot;:44564},{\&quot;key\&quot;:\&quot;Merchant\&quot;,\&quot;value\&quot;:\&quot;Atm Cash Deposit On\&quot;},{\&quot;key\&quot;:\&quot;Amount $\&quot;,\&quot;value\&quot;:194},{\&quot;key\&quot;:\&quot;Transaction_ID\&quot;,\&quot;value\&quot;:\&quot;52442766181a4ee1ae10578c563a3cca\&quot;},{\&quot;key\&quot;:\&quot;Account_ID\&quot;,\&quot;value\&quot;:\&quot;4918dbe6db3e4b9384fdfe7083417a5f\&quot;},{\&quot;key\&quot;:\&quot;Category_ID\&quot;,\&quot;value\&quot;:\&quot;fabfe582932d48b78ac2846c1ec3d43f\&quot;},{\&quot;key\&quot;:\&quot;Subcategory_ID\&quot;,\&quot;value\&quot;:\&quot;\&quot;}],[{\&quot;key\&quot;:\&quot;Date\&quot;,\&quot;value\&quot;:44564},{\&quot;key\&quot;:\&quot;Merchant\&quot;,\&quot;value\&quot;:\&quot;Best Buy\&quot;},{\&quot;key\&quot;:\&quot;Amount $\&quot;,\&quot;value\&quot;:-241.99},{\&quot;key\&quot;:\&quot;Transaction_ID\&quot;,\&quot;value\&quot;:\&quot;c6da6d2af0494ea79fdf99c46548c854\&quot;},{\&quot;key\&quot;:\&quot;Account_ID\&quot;,\&quot;value\&quot;:\&quot;4918dbe6db3e4b9384fdfe7083417a5f\&quot;},{\&quot;key\&quot;:\&quot;Category_ID\&quot;,\&quot;value\&quot;:\&quot;6385c1768b814d3d89087c436c9cab15\&quot;},{\&quot;key\&quot;:\&quot;Subcategory_ID\&quot;,\&quot;value\&quot;:\&quot;\&quot;}],[{\&quot;key\&quot;:\&quot;Date\&quot;,\&quot;value\&quot;:44564},{\&quot;key\&quot;:\&quot;Merchant\&quot;,\&quot;value\&quot;:\&quot;Discover E Payment Lewis\&quot;},{\&quot;key\&quot;:\&quot;Amount $\&quot;,\&quot;value\&quot;:-1800},{\&quot;key\&quot;:\&quot;Transaction_ID\&quot;,\&quot;value\&quot;:\&quot;bae995958c8746ec90e0ffce08df69ac\&quot;},{\&quot;key\&quot;:\&quot;Account_ID\&quot;,\&quot;value\&quot;:\&quot;4918dbe6db3e4b9384fdfe7083417a5f\&quot;},{\&quot;key\&quot;:\&quot;Category_ID\&quot;,\&quot;value\&quot;:\&quot;6385c1768b814d3d89087c436c9cab15\&quot;},{\&quot;key\&quot;:\&quot;Subcategory_ID\&quot;,\&quot;value\&quot;:\&quot;\&quot;}],[{\&quot;key\&quot;:\&quot;Date\&quot;,\&quot;value\&quot;:44564},{\&quot;key\&quot;:\&quot;Merchant\&quot;,\&quot;value\&quot;:\&quot;Paypal Inst Xfer Louisck\&quot;},{\&quot;key\&quot;:\&quot;Amount $\&quot;,\&quot;value\&quot;:-10},{\&quot;key\&quot;:\&quot;Transaction_ID\&quot;,\&quot;value\&quot;:\&quot;b312850ec24c4cbcbae15dcb87f30b7b\&quot;},{\&quot;key\&quot;:\&quot;Account_ID\&quot;,\&quot;value\&quot;:\&quot;4918dbe6db3e4b9384fdfe7083417a5f\&quot;},{\&quot;key\&quot;:\&quot;Category_ID\&quot;,\&quot;value\&quot;:\&quot;3dafc6bd8d7c45ae9840ff09e01567d1\&quot;},{\&quot;key\&quot;:\&quot;Subcategory_ID\&quot;,\&quot;value\&quot;:\&quot;\&quot;}],[{\&quot;key\&quot;:\&quot;Date\&quot;,\&quot;value\&quot;:44564},{\&quot;key\&quot;:\&quot;Merchant\&quot;,\&quot;value\&quot;:\&quot;Transfer To Lewis Sharon\&quot;},{\&quot;key\&quot;:\&quot;Amount $\&quot;,\&quot;value\&quot;:-485},{\&quot;key\&quot;:\&quot;Transaction_ID\&quot;,\&quot;value\&quot;:\&quot;1d628293b9194a33ad7125ab032b2e2e\&quot;},{\&quot;key\&quot;:\&quot;Account_ID\&quot;,\&quot;value\&quot;:\&quot;4918dbe6db3e4b9384fdfe7083417a5f\&quot;},{\&quot;key\&quot;:\&quot;Category_ID\&quot;,\&quot;value\&quot;:\&quot;0613345f0a8b4edfb294d0fdc6fe7382\&quot;},{\&quot;key\&quot;:\&quot;Subcategory_ID\&quot;,\&quot;value\&quot;:\&quot;\&quot;}],[{\&quot;key\&quot;:\&quot;Date\&quot;,\&quot;value\&quot;:44564},{\&quot;key\&quot;:\&quot;Merchant\&quot;,\&quot;value\&quot;:\&quot;Venmo\&quot;},{\&quot;key\&quot;:\&quot;Amount $\&quot;,\&quot;value\&quot;:477.73},{\&quot;key\&quot;:\&quot;Transaction_ID\&quot;,\&quot;value\&quot;:\&quot;4ad2fd262f754e32be7970af4947f59a\&quot;},{\&quot;key\&quot;:\&quot;Account_ID\&quot;,\&quot;value\&quot;:\&quot;4918dbe6db3e4b9384fdfe7083417a5f\&quot;},{\&quot;key\&quot;:\&quot;Category_ID\&quot;,\&quot;value\&quot;:\&quot;fabfe582932d48b78ac2846c1ec3d43f\&quot;},{\&quot;key\&quot;:\&quot;Subcategory_ID\&quot;,\&quot;value\&quot;:\&quot;\&quot;}],[{\&quot;key\&quot;:\&quot;Date\&quot;,\&quot;value\&quot;:44564},{\&quot;key\&quot;:\&quot;Merchant\&quot;,\&quot;value\&quot;:\&quot;Hulu\&quot;},{\&quot;key\&quot;:\&quot;Amount $\&quot;,\&quot;value\&quot;:-12.99},{\&quot;key\&quot;:\&quot;Transaction_ID\&quot;,\&quot;value\&quot;:\&quot;d703fb25253548039c981740cd4ec881\&quot;},{\&quot;key\&quot;:\&quot;Account_ID\&quot;,\&quot;value\&quot;:\&quot;0048d75f4d1d47f3b69428db4a68f3dd\&quot;},{\&quot;key\&quot;:\&quot;Category_ID\&quot;,\&quot;value\&quot;:\&quot;4144f48502914015b998277a326fcedc\&quot;},{\&quot;key\&quot;:\&quot;Subcategory_ID\&quot;,\&quot;value\&quot;:\&quot;\&quot;}],[{\&quot;key\&quot;:\&quot;Date\&quot;,\&quot;value\&quot;:44563},{\&quot;key\&quot;:\&quot;Merchant\&quot;,\&quot;value\&quot;:\&quot;Internet Payment\&quot;},{\&quot;key\&quot;:\&quot;Amount $\&quot;,\&quot;value\&quot;:1800},{\&quot;key\&quot;:\&quot;Transaction_ID\&quot;,\&quot;value\&quot;:\&quot;99b79c9fcfb64c89928781184ebe4cf8\&quot;},{\&quot;key\&quot;:\&quot;Account_ID\&quot;,\&quot;value\&quot;:\&quot;0048d75f4d1d47f3b69428db4a68f3dd\&quot;},{\&quot;key\&quot;:\&quot;Category_ID\&quot;,\&quot;value\&quot;:\&quot;6385c1768b814d3d89087c436c9cab15\&quot;},{\&quot;key\&quot;:\&quot;Subcategory_ID\&quot;,\&quot;value\&quot;:\&quot;\&quot;}],[{\&quot;key\&quot;:\&quot;Date\&quot;,\&quot;value\&quot;:44563},{\&quot;key\&quot;:\&quot;Merchant\&quot;,\&quot;value\&quot;:\&quot;Online Payment\&quot;},{\&quot;key\&quot;:\&quot;Amount $\&quot;,\&quot;value\&quot;:241.99},{\&quot;key\&quot;:\&quot;Transaction_ID\&quot;,\&quot;value\&quot;:\&quot;dfa426ee419f4157ac4ea3b22b361e53\&quot;},{\&quot;key\&quot;:\&quot;Account_ID\&quot;,\&quot;value\&quot;:\&quot;a82d9aba872e4e9b9684a363d4cc52b5\&quot;},{\&quot;key\&quot;:\&quot;Category_ID\&quot;,\&quot;value\&quot;:\&quot;6385c1768b814d3d89087c436c9cab15\&quot;},{\&quot;key\&quot;:\&quot;Subcategory_ID\&quot;,\&quot;value\&quot;:\&quot;\&quot;}],[{\&quot;key\&quot;:\&quot;Date\&quot;,\&quot;value\&quot;:44563},{\&quot;key\&quot;:\&quot;Merchant\&quot;,\&quot;value\&quot;:\&quot;Krystal And Saagar Dc\&quot;},{\&quot;key\&quot;:\&quot;Amount $\&quot;,\&quot;value\&quot;:-10},{\&quot;key\&quot;:\&quot;Transaction_ID\&quot;,\&quot;value\&quot;:\&quot;59dadcea3eec4565b1eee790074c6188\&quot;},{\&quot;key\&quot;:\&quot;Account_ID\&quot;,\&quot;value\&quot;:\&quot;0048d75f4d1d47f3b69428db4a68f3dd\&quot;},{\&quot;key\&quot;:\&quot;Category_ID\&quot;,\&quot;value\&quot;:\&quot;6385c1768b814d3d89087c436c9cab15\&quot;},{\&quot;key\&quot;:\&quot;Subcategory_ID\&quot;,\&quot;value\&quot;:\&quot;\&quot;}],[{\&quot;key\&quot;:\&quot;Date\&quot;,\&quot;value\&quot;:44562},{\&quot;key\&quot;:\&quot;Merchant\&quot;,\&quot;value\&quot;:\&quot;Jimmy Johns\&quot;},{\&quot;key\&quot;:\&quot;Amount $\&quot;,\&quot;value\&quot;:-18.02},{\&quot;key\&quot;:\&quot;Transaction_ID\&quot;,\&quot;value\&quot;:\&quot;3c43aac1f46c43a5bcfd57e9fdb26e4c\&quot;},{\&quot;key\&quot;:\&quot;Account_ID\&quot;,\&quot;value\&quot;:\&quot;0048d75f4d1d47f3b69428db4a68f3dd\&quot;},{\&quot;key\&quot;:\&quot;Category_ID\&quot;,\&quot;value\&quot;:\&quot;3dafc6bd8d7c45ae9840ff09e01567d1\&quot;},{\&quot;key\&quot;:\&quot;Subcategory_ID\&quot;,\&quot;value\&quot;:\&quot;500e6ba7cba37a7a2a33da8c057b4cb8\&quot;}],[{\&quot;key\&quot;:\&quot;Date\&quot;,\&quot;value\&quot;:44562},{\&quot;key\&quot;:\&quot;Merchant\&quot;,\&quot;value\&quot;:\&quot;Olive Garden\&quot;},{\&quot;key\&quot;:\&quot;Amount $\&quot;,\&quot;value\&quot;:-60},{\&quot;key\&quot;:\&quot;Transaction_ID\&quot;,\&quot;value\&quot;:\&quot;aac185fe32ae4c87809f3a3c96cdd8eb\&quot;},{\&quot;key\&quot;:\&quot;Account_ID\&quot;,\&quot;value\&quot;:\&quot;0048d75f4d1d47f3b69428db4a68f3dd\&quot;},{\&quot;key\&quot;:\&quot;Category_ID\&quot;,\&quot;value\&quot;:\&quot;3dafc6bd8d7c45ae9840ff09e01567d1\&quot;},{\&quot;key\&quot;:\&quot;Subcategory_ID\&quot;,\&quot;value\&quot;:\&quot;500e6ba7cba37a7a2a33da8c057b4cb8\&quot;}],[{\&quot;key\&quot;:\&quot;Date\&quot;,\&quot;value\&quot;:44562},{\&quot;key\&quot;:\&quot;Merchant\&quot;,\&quot;value\&quot;:\&quot;Netflix\&quot;},{\&quot;key\&quot;:\&quot;Amount $\&quot;,\&quot;value\&quot;:-14.83},{\&quot;key\&quot;:\&quot;Transaction_ID\&quot;,\&quot;value\&quot;:\&quot;954fe1093eb34396b68429642e970fe1\&quot;},{\&quot;key\&quot;:\&quot;Account_ID\&quot;,\&quot;value\&quot;:\&quot;0048d75f4d1d47f3b69428db4a68f3dd\&quot;},{\&quot;key\&quot;:\&quot;Category_ID\&quot;,\&quot;value\&quot;:\&quot;4144f48502914015b998277a326fcedc\&quot;},{\&quot;key\&quot;:\&quot;Subcategory_ID\&quot;,\&quot;value\&quot;:\&quot;\&quot;}],[{\&quot;key\&quot;:\&quot;Date\&quot;,\&quot;value\&quot;:44562},{\&quot;key\&quot;:\&quot;Merchant\&quot;,\&quot;value\&quot;:\&quot;Spotify\&quot;},{\&quot;key\&quot;:\&quot;Amount $\&quot;,\&quot;value\&quot;:-9.99},{\&quot;key\&quot;:\&quot;Transaction_ID\&quot;,\&quot;value\&quot;:\&quot;42b81f432a3a452ba9e4ade8695b11ef\&quot;},{\&quot;key\&quot;:\&quot;Account_ID\&quot;,\&quot;value\&quot;:\&quot;0048d75f4d1d47f3b69428db4a68f3dd\&quot;},{\&quot;key\&quot;:\&quot;Category_ID\&quot;,\&quot;value\&quot;:\&quot;4144f48502914015b998277a326fcedc\&quot;},{\&quot;key\&quot;:\&quot;Subcategory_ID\&quot;,\&quot;value\&quot;:\&quot;\&quot;}],[{\&quot;key\&quot;:\&quot;Date\&quot;,\&quot;value\&quot;:44561},{\&quot;key\&quot;:\&quot;Merchant\&quot;,\&quot;value\&quot;:\&quot;Walmart\&quot;},{\&quot;key\&quot;:\&quot;Amount $\&quot;,\&quot;value\&quot;:-77.81},{\&quot;key\&quot;:\&quot;Transaction_ID\&quot;,\&quot;value\&quot;:\&quot;e5b838cdf2d1465fa0f5e18aabcfffbe\&quot;},{\&quot;key\&quot;:\&quot;Account_ID\&quot;,\&quot;value\&quot;:\&quot;0048d75f4d1d47f3b69428db4a68f3dd\&quot;},{\&quot;key\&quot;:\&quot;Category_ID\&quot;,\&quot;value\&quot;:\&quot;fec746a44521f2118fef19237dbf4f91\&quot;},{\&quot;key\&quot;:\&quot;Subcategory_ID\&quot;,\&quot;value\&quot;:\&quot;fd72ce5cfeedbe66d13df9602b6cff7d\&quot;}],[{\&quot;key\&quot;:\&quot;Date\&quot;,\&quot;value\&quot;:44561},{\&quot;key\&quot;:\&quot;Merchant\&quot;,\&quot;value\&quot;:\&quot;Wow Wow Hawaiian Le\&quot;},{\&quot;key\&quot;:\&quot;Amount $\&quot;,\&quot;value\&quot;:-6.56},{\&quot;key\&quot;:\&quot;Transaction_ID\&quot;,\&quot;value\&quot;:\&quot;207347bc03ee4af1ad79f94bde78710c\&quot;},{\&quot;key\&quot;:\&quot;Account_ID\&quot;,\&quot;value\&quot;:\&quot;0048d75f4d1d47f3b69428db4a68f3dd\&quot;},{\&quot;key\&quot;:\&quot;Category_ID\&quot;,\&quot;value\&quot;:\&quot;3dafc6bd8d7c45ae9840ff09e01567d1\&quot;},{\&quot;key\&quot;:\&quot;Subcategory_ID\&quot;,\&quot;value\&quot;:\&quot;500e6ba7cba37a7a2a33da8c057b4cb8\&quot;}],[{\&quot;key\&quot;:\&quot;Date\&quot;,\&quot;value\&quot;:44560},{\&quot;key\&quot;:\&quot;Merchant\&quot;,\&quot;value\&quot;:\&quot;Money Transfer Authorized On\&quot;},{\&quot;key\&quot;:\&quot;Amount $\&quot;,\&quot;value\&quot;:40},{\&quot;key\&quot;:\&quot;Transaction_ID\&quot;,\&quot;value\&quot;:\&quot;e7a6f43e36bf4e729a2ae870bbd8df9f\&quot;},{\&quot;key\&quot;:\&quot;Account_ID\&quot;,\&quot;value\&quot;:\&quot;4918dbe6db3e4b9384fdfe7083417a5f\&quot;},{\&quot;key\&quot;:\&quot;Category_ID\&quot;,\&quot;value\&quot;:\&quot;fabfe582932d48b78ac2846c1ec3d43f\&quot;},{\&quot;key\&quot;:\&quot;Subcategory_ID\&quot;,\&quot;value\&quot;:\&quot;\&quot;}],[{\&quot;key\&quot;:\&quot;Date\&quot;,\&quot;value\&quot;:44560},{\&quot;key\&quot;:\&quot;Merchant\&quot;,\&quot;value\&quot;:\&quot;Nationwide Payroll Sean Lewis\&quot;},{\&quot;key\&quot;:\&quot;Amount $\&quot;,\&quot;value\&quot;:2738.66},{\&quot;key\&quot;:\&quot;Transaction_ID\&quot;,\&quot;value\&quot;:\&quot;79f9409daf7346b5860b6682b97f76c0\&quot;},{\&quot;key\&quot;:\&quot;Account_ID\&quot;,\&quot;value\&quot;:\&quot;4918dbe6db3e4b9384fdfe7083417a5f\&quot;},{\&quot;key\&quot;:\&quot;Category_ID\&quot;,\&quot;value\&quot;:\&quot;fabfe582932d48b78ac2846c1ec3d43f\&quot;},{\&quot;key\&quot;:\&quot;Subcategory_ID\&quot;,\&quot;value\&quot;:\&quot;\&quot;}],[{\&quot;key\&quot;:\&quot;Date\&quot;,\&quot;value\&quot;:44560},{\&quot;key\&quot;:\&quot;Merchant\&quot;,\&quot;value\&quot;:\&quot;Venmo\&quot;},{\&quot;key\&quot;:\&quot;Amount $\&quot;,\&quot;value\&quot;:-1866.67},{\&quot;key\&quot;:\&quot;Transaction_ID\&quot;,\&quot;value\&quot;:\&quot;cc2649a8506141369f17a9974c7e49db\&quot;},{\&quot;key\&quot;:\&quot;Account_ID\&quot;,\&quot;value\&quot;:\&quot;4918dbe6db3e4b9384fdfe7083417a5f\&quot;},{\&quot;key\&quot;:\&quot;Category_ID\&quot;,\&quot;value\&quot;:\&quot;fabfe582932d48b78ac2846c1ec3d43f\&quot;},{\&quot;key\&quot;:\&quot;Subcategory_ID\&quot;,\&quot;value\&quot;:\&quot;01a08ee0780d41da979351ef7694e331\&quot;}],[{\&quot;key\&quot;:\&quot;Date\&quot;,\&quot;value\&quot;:44560},{\&quot;key\&quot;:\&quot;Merchant\&quot;,\&quot;value\&quot;:\&quot;Phoenix Suns Half Season Tickets\&quot;},{\&quot;key\&quot;:\&quot;Amount $\&quot;,\&quot;value\&quot;:-366.66},{\&quot;key\&quot;:\&quot;Transaction_ID\&quot;,\&quot;value\&quot;:\&quot;b3240a8a3993470db73c2249aa4331dc\&quot;},{\&quot;key\&quot;:\&quot;Account_ID\&quot;,\&quot;value\&quot;:\&quot;0048d75f4d1d47f3b69428db4a68f3dd\&quot;},{\&quot;key\&quot;:\&quot;Category_ID\&quot;,\&quot;value\&quot;:\&quot;f870f35280fadaf3c3539ad54e3062cd\&quot;},{\&quot;key\&quot;:\&quot;Subcategory_ID\&quot;,\&quot;value\&quot;:\&quot;9fbba331d1ae096cbce7fb1035aebbc1\&quot;}],[{\&quot;key\&quot;:\&quot;Date\&quot;,\&quot;value\&quot;:44560},{\&quot;key\&quot;:\&quot;Merchant\&quot;,\&quot;value\&quot;:\&quot;Jiffy Lube\&quot;},{\&quot;key\&quot;:\&quot;Amount $\&quot;,\&quot;value\&quot;:-93.25},{\&quot;key\&quot;:\&quot;Transaction_ID\&quot;,\&quot;value\&quot;:\&quot;92e6afa929204d4f9d270e233a4f7a1e\&quot;},{\&quot;key\&quot;:\&quot;Account_ID\&quot;,\&quot;value\&quot;:\&quot;0048d75f4d1d47f3b69428db4a68f3dd\&quot;},{\&quot;key\&quot;:\&quot;Category_ID\&quot;,\&quot;value\&quot;:\&quot;e6c07c144d52704210419358ba4a8d2e\&quot;},{\&quot;key\&quot;:\&quot;Subcategory_ID\&quot;,\&quot;value\&quot;:\&quot;839f3d84f34900d3e634555e77251d93\&quot;}],[{\&quot;key\&quot;:\&quot;Date\&quot;,\&quot;value\&quot;:44560},{\&quot;key\&quot;:\&quot;Merchant\&quot;,\&quot;value\&quot;:\&quot;Microsoft 365 Yearly Subscription\&quot;},{\&quot;key\&quot;:\&quot;Amount $\&quot;,\&quot;value\&quot;:-99.99},{\&quot;key\&quot;:\&quot;Transaction_ID\&quot;,\&quot;value\&quot;:\&quot;6d3a310a1cac436eb53c614641e87336\&quot;},{\&quot;key\&quot;:\&quot;Account_ID\&quot;,\&quot;value\&quot;:\&quot;0048d75f4d1d47f3b69428db4a68f3dd\&quot;},{\&quot;key\&quot;:\&quot;Category_ID\&quot;,\&quot;value\&quot;:\&quot;f9fd776a16da81a948d166fcd5952d14\&quot;},{\&quot;key\&quot;:\&quot;Subcategory_ID\&quot;,\&quot;value\&quot;:\&quot;8aa9b4db7e16cd2041aa6bfdc219e567\&quot;}],[{\&quot;key\&quot;:\&quot;Date\&quot;,\&quot;value\&quot;:44559},{\&quot;key\&quot;:\&quot;Merchant\&quot;,\&quot;value\&quot;:\&quot;Venmo\&quot;},{\&quot;key\&quot;:\&quot;Amount $\&quot;,\&quot;value\&quot;:933.33},{\&quot;key\&quot;:\&quot;Transaction_ID\&quot;,\&quot;value\&quot;:\&quot;ea3fa667d2c5433b9f9eb2d0d3538115\&quot;},{\&quot;key\&quot;:\&quot;Account_ID\&quot;,\&quot;value\&quot;:\&quot;4918dbe6db3e4b9384fdfe7083417a5f\&quot;},{\&quot;key\&quot;:\&quot;Category_ID\&quot;,\&quot;value\&quot;:\&quot;fabfe582932d48b78ac2846c1ec3d43f\&quot;},{\&quot;key\&quot;:\&quot;Subcategory_ID\&quot;,\&quot;value\&quot;:\&quot;01a08ee0780d41da979351ef7694e331\&quot;}],[{\&quot;key\&quot;:\&quot;Date\&quot;,\&quot;value\&quot;:44559},{\&quot;key\&quot;:\&quot;Merchant\&quot;,\&quot;value\&quot;:\&quot;Jimmy Johns\&quot;},{\&quot;key\&quot;:\&quot;Amount $\&quot;,\&quot;value\&quot;:-14.76},{\&quot;key\&quot;:\&quot;Transaction_ID\&quot;,\&quot;value\&quot;:\&quot;3b662439b2b14af9b5f217ef83d83f80\&quot;},{\&quot;key\&quot;:\&quot;Account_ID\&quot;,\&quot;value\&quot;:\&quot;0048d75f4d1d47f3b69428db4a68f3dd\&quot;},{\&quot;key\&quot;:\&quot;Category_ID\&quot;,\&quot;value\&quot;:\&quot;f870f35280fadaf3c3539ad54e3062cd\&quot;},{\&quot;key\&quot;:\&quot;Subcategory_ID\&quot;,\&quot;value\&quot;:\&quot;500e6ba7cba37a7a2a33da8c057b4cb8\&quot;}],[{\&quot;key\&quot;:\&quot;Date\&quot;,\&quot;value\&quot;:44558},{\&quot;key\&quot;:\&quot;Merchant\&quot;,\&quot;value\&quot;:\&quot;Panda Express\&quot;},{\&quot;key\&quot;:\&quot;Amount $\&quot;,\&quot;value\&quot;:-11},{\&quot;key\&quot;:\&quot;Transaction_ID\&quot;,\&quot;value\&quot;:\&quot;a590701b23ac4e849f451cadc1f2eafd\&quot;},{\&quot;key\&quot;:\&quot;Account_ID\&quot;,\&quot;value\&quot;:\&quot;0048d75f4d1d47f3b69428db4a68f3dd\&quot;},{\&quot;key\&quot;:\&quot;Category_ID\&quot;,\&quot;value\&quot;:\&quot;f870f35280fadaf3c3539ad54e3062cd\&quot;},{\&quot;key\&quot;:\&quot;Subcategory_ID\&quot;,\&quot;value\&quot;:\&quot;500e6ba7cba37a7a2a33da8c057b4cb8\&quot;}],[{\&quot;key\&quot;:\&quot;Date\&quot;,\&quot;value\&quot;:44557},{\&quot;key\&quot;:\&quot;Merchant\&quot;,\&quot;value\&quot;:\&quot;Best Buy\&quot;},{\&quot;key\&quot;:\&quot;Amount $\&quot;,\&quot;value\&quot;:108.59},{\&quot;key\&quot;:\&quot;Transaction_ID\&quot;,\&quot;value\&quot;:\&quot;f5f8a5cec3be438a807543d2d37e8642\&quot;},{\&quot;key\&quot;:\&quot;Account_ID\&quot;,\&quot;value\&quot;:\&quot;a82d9aba872e4e9b9684a363d4cc52b5\&quot;},{\&quot;key\&quot;:\&quot;Category_ID\&quot;,\&quot;value\&quot;:\&quot;fca5dd8329b743f7b77704e23a1e63ad\&quot;},{\&quot;key\&quot;:\&quot;Subcategory_ID\&quot;,\&quot;value\&quot;:\&quot;\&quot;}],[{\&quot;key\&quot;:\&quot;Date\&quot;,\&quot;value\&quot;:44557},{\&quot;key\&quot;:\&quot;Merchant\&quot;,\&quot;value\&quot;:\&quot;Best Buy\&quot;},{\&quot;key\&quot;:\&quot;Amount $\&quot;,\&quot;value\&quot;:-108.59},{\&quot;key\&quot;:\&quot;Transaction_ID\&quot;,\&quot;value\&quot;:\&quot;f3d6000b84744fe988e883a6ccb0d561\&quot;},{\&quot;key\&quot;:\&quot;Account_ID\&quot;,\&quot;value\&quot;:\&quot;a82d9aba872e4e9b9684a363d4cc52b5\&quot;},{\&quot;key\&quot;:\&quot;Category_ID\&quot;,\&quot;value\&quot;:\&quot;fca5dd8329b743f7b77704e23a1e63ad\&quot;},{\&quot;key\&quot;:\&quot;Subcategory_ID\&quot;,\&quot;value\&quot;:\&quot;\&quot;}],[{\&quot;key\&quot;:\&quot;Date\&quot;,\&quot;value\&quot;:44557},{\&quot;key\&quot;:\&quot;Merchant\&quot;,\&quot;value\&quot;:\&quot;Best Buy\&quot;},{\&quot;key\&quot;:\&quot;Amount $\&quot;,\&quot;value\&quot;:65.15},{\&quot;key\&quot;:\&quot;Transaction_ID\&quot;,\&quot;value\&quot;:\&quot;e7db14402d9d429fbed29d3643c869dd\&quot;},{\&quot;key\&quot;:\&quot;Account_ID\&quot;,\&quot;value\&quot;:\&quot;a82d9aba872e4e9b9684a363d4cc52b5\&quot;},{\&quot;key\&quot;:\&quot;Category_ID\&quot;,\&quot;value\&quot;:\&quot;fca5dd8329b743f7b77704e23a1e63ad\&quot;},{\&quot;key\&quot;:\&quot;Subcategory_ID\&quot;,\&quot;value\&quot;:\&quot;\&quot;}],[{\&quot;key\&quot;:\&quot;Date\&quot;,\&quot;value\&quot;:44557},{\&quot;key\&quot;:\&quot;Merchant\&quot;,\&quot;value\&quot;:\&quot;Taco Bell\&quot;},{\&quot;key\&quot;:\&quot;Amount $\&quot;,\&quot;value\&quot;:-8.46},{\&quot;key\&quot;:\&quot;Transaction_ID\&quot;,\&quot;value\&quot;:\&quot;d4c41bfc59f94a4c9f4e8a5c273e3670\&quot;},{\&quot;key\&quot;:\&quot;Account_ID\&quot;,\&quot;value\&quot;:\&quot;0048d75f4d1d47f3b69428db4a68f3dd\&quot;},{\&quot;key\&quot;:\&quot;Category_ID\&quot;,\&quot;value\&quot;:\&quot;f870f35280fadaf3c3539ad54e3062cd\&quot;},{\&quot;key\&quot;:\&quot;Subcategory_ID\&quot;,\&quot;value\&quot;:\&quot;500e6ba7cba37a7a2a33da8c057b4cb8\&quot;}],[{\&quot;key\&quot;:\&quot;Date\&quot;,\&quot;value\&quot;:44557},{\&quot;key\&quot;:\&quot;Merchant\&quot;,\&quot;value\&quot;:\&quot;Venmo\&quot;},{\&quot;key\&quot;:\&quot;Amount $\&quot;,\&quot;value\&quot;:-76.5},{\&quot;key\&quot;:\&quot;Transaction_ID\&quot;,\&quot;value\&quot;:\&quot;996140cb46ef406c8360366fd966ca2e\&quot;},{\&quot;key\&quot;:\&quot;Account_ID\&quot;,\&quot;value\&quot;:\&quot;4918dbe6db3e4b9384fdfe7083417a5f\&quot;},{\&quot;key\&quot;:\&quot;Category_ID\&quot;,\&quot;value\&quot;:\&quot;f59903268bc5a7b5382a7eb44e1c5e95\&quot;},{\&quot;key\&quot;:\&quot;Subcategory_ID\&quot;,\&quot;value\&quot;:\&quot;29203f6b3d0b39d0da4dd72a306dbe8d\&quot;}],[{\&quot;key\&quot;:\&quot;Date\&quot;,\&quot;value\&quot;:44557},{\&quot;key\&quot;:\&quot;Merchant\&quot;,\&quot;value\&quot;:\&quot;Best Buy\&quot;},{\&quot;key\&quot;:\&quot;Amount $\&quot;,\&quot;value\&quot;:-307.14},{\&quot;key\&quot;:\&quot;Transaction_ID\&quot;,\&quot;value\&quot;:\&quot;20fdc87bfa0f4b8ca4abfda02bf55ee8\&quot;},{\&quot;key\&quot;:\&quot;Account_ID\&quot;,\&quot;value\&quot;:\&quot;a82d9aba872e4e9b9684a363d4cc52b5\&quot;},{\&quot;key\&quot;:\&quot;Category_ID\&quot;,\&quot;value\&quot;:\&quot;fca5dd8329b743f7b77704e23a1e63ad\&quot;},{\&quot;key\&quot;:\&quot;Subcategory_ID\&quot;,\&quot;value\&quot;:\&quot;\&quot;}],[{\&quot;key\&quot;:\&quot;Date\&quot;,\&quot;value\&quot;:44557},{\&quot;key\&quot;:\&quot;Merchant\&quot;,\&quot;value\&quot;:\&quot;Venmo\&quot;},{\&quot;key\&quot;:\&quot;Amount $\&quot;,\&quot;value\&quot;:-100},{\&quot;key\&quot;:\&quot;Transaction_ID\&quot;,\&quot;value\&quot;:\&quot;0e668774beeb4182b5ea2d7a8677e014\&quot;},{\&quot;key\&quot;:\&quot;Account_ID\&quot;,\&quot;value\&quot;:\&quot;4918dbe6db3e4b9384fdfe7083417a5f\&quot;},{\&quot;key\&quot;:\&quot;Category_ID\&quot;,\&quot;value\&quot;:\&quot;f59903268bc5a7b5382a7eb44e1c5e95\&quot;},{\&quot;key\&quot;:\&quot;Subcategory_ID\&quot;,\&quot;value\&quot;:\&quot;29203f6b3d0b39d0da4dd72a306dbe8d\&quot;}],[{\&quot;key\&quot;:\&quot;Date\&quot;,\&quot;value\&quot;:44556},{\&quot;key\&quot;:\&quot;Merchant\&quot;,\&quot;value\&quot;:\&quot;Amazon\&quot;},{\&quot;key\&quot;:\&quot;Amount $\&quot;,\&quot;value\&quot;:-78.06},{\&quot;key\&quot;:\&quot;Transaction_ID\&quot;,\&quot;value\&quot;:\&quot;7ccc2c916ed24fb78bf93a048583fef1\&quot;},{\&quot;key\&quot;:\&quot;Account_ID\&quot;,\&quot;value\&quot;:\&quot;0048d75f4d1d47f3b69428db4a68f3dd\&quot;},{\&quot;key\&quot;:\&quot;Category_ID\&quot;,\&quot;value\&quot;:\&quot;f9fd776a16da81a948d166fcd5952d14\&quot;},{\&quot;key\&quot;:\&quot;Subcategory_ID\&quot;,\&quot;value\&quot;:\&quot;\&quot;}],[{\&quot;key\&quot;:\&quot;Date\&quot;,\&quot;value\&quot;:44556},{\&quot;key\&quot;:\&quot;Merchant\&quot;,\&quot;value\&quot;:\&quot;Trader Joe's\&quot;},{\&quot;key\&quot;:\&quot;Amount $\&quot;,\&quot;value\&quot;:-34.2},{\&quot;key\&quot;:\&quot;Transaction_ID\&quot;,\&quot;value\&quot;:\&quot;55e23a392b864140b8e2c4f8b3309989\&quot;},{\&quot;key\&quot;:\&quot;Account_ID\&quot;,\&quot;value\&quot;:\&quot;0048d75f4d1d47f3b69428db4a68f3dd\&quot;},{\&quot;key\&quot;:\&quot;Category_ID\&quot;,\&quot;value\&quot;:\&quot;fec746a44521f2118fef19237dbf4f91\&quot;},{\&quot;key\&quot;:\&quot;Subcategory_ID\&quot;,\&quot;value\&quot;:\&quot;fd72ce5cfeedbe66d13df9602b6cff7d\&quot;}],[{\&quot;key\&quot;:\&quot;Date\&quot;,\&quot;value\&quot;:44555},{\&quot;key\&quot;:\&quot;Merchant\&quot;,\&quot;value\&quot;:\&quot;Phoenix Suns Concessions Phoenix\&quot;},{\&quot;key\&quot;:\&quot;Amount $\&quot;,\&quot;value\&quot;:-33},{\&quot;key\&quot;:\&quot;Transaction_ID\&quot;,\&quot;value\&quot;:\&quot;f50c9fae77584e65a96ce119fdb760c6\&quot;},{\&quot;key\&quot;:\&quot;Account_ID\&quot;,\&quot;value\&quot;:\&quot;0048d75f4d1d47f3b69428db4a68f3dd\&quot;},{\&quot;key\&quot;:\&quot;Category_ID\&quot;,\&quot;value\&quot;:\&quot;f870f35280fadaf3c3539ad54e3062cd\&quot;},{\&quot;key\&quot;:\&quot;Subcategory_ID\&quot;,\&quot;value\&quot;:\&quot;9fbba331d1ae096cbce7fb1035aebbc1\&quot;}],[{\&quot;key\&quot;:\&quot;Date\&quot;,\&quot;value\&quot;:44555},{\&quot;key\&quot;:\&quot;Merchant\&quot;,\&quot;value\&quot;:\&quot;Cafe Rio Camelback\&quot;},{\&quot;key\&quot;:\&quot;Amount $\&quot;,\&quot;value\&quot;:-39.64},{\&quot;key\&quot;:\&quot;Transaction_ID\&quot;,\&quot;value\&quot;:\&quot;e6a1f22f719d4387ba5283b7c9965959\&quot;},{\&quot;key\&quot;:\&quot;Account_ID\&quot;,\&quot;value\&quot;:\&quot;0048d75f4d1d47f3b69428db4a68f3dd\&quot;},{\&quot;key\&quot;:\&quot;Category_ID\&quot;,\&quot;value\&quot;:\&quot;f870f35280fadaf3c3539ad54e3062cd\&quot;},{\&quot;key\&quot;:\&quot;Subcategory_ID\&quot;,\&quot;value\&quot;:\&quot;500e6ba7cba37a7a2a33da8c057b4cb8\&quot;}],[{\&quot;key\&quot;:\&quot;Date\&quot;,\&quot;value\&quot;:44555},{\&quot;key\&quot;:\&quot;Merchant\&quot;,\&quot;value\&quot;:\&quot;Clr Stretch T Item\&quot;},{\&quot;key\&quot;:\&quot;Amount $\&quot;,\&quot;value\&quot;:-79},{\&quot;key\&quot;:\&quot;Transaction_ID\&quot;,\&quot;value\&quot;:\&quot;d77f24f8411849b4aba0ea3c0cec785b\&quot;},{\&quot;key\&quot;:\&quot;Account_ID\&quot;,\&quot;value\&quot;:\&quot;0048d75f4d1d47f3b69428db4a68f3dd\&quot;},{\&quot;key\&quot;:\&quot;Category_ID\&quot;,\&quot;value\&quot;:\&quot;f9fd776a16da81a948d166fcd5952d14\&quot;},{\&quot;key\&quot;:\&quot;Subcategory_ID\&quot;,\&quot;value\&quot;:\&quot;bade29a2da6ab874d122981857355aa8\&quot;}],[{\&quot;key\&quot;:\&quot;Date\&quot;,\&quot;value\&quot;:44555},{\&quot;key\&quot;:\&quot;Merchant\&quot;,\&quot;value\&quot;:\&quot;Phoenix Suns\&quot;},{\&quot;key\&quot;:\&quot;Amount $\&quot;,\&quot;value\&quot;:-65.14},{\&quot;key\&quot;:\&quot;Transaction_ID\&quot;,\&quot;value\&quot;:\&quot;24a2adb4a96146c8a08017bd1e3681f8\&quot;},{\&quot;key\&quot;:\&quot;Account_ID\&quot;,\&quot;value\&quot;:\&quot;0048d75f4d1d47f3b69428db4a68f3dd\&quot;},{\&quot;key\&quot;:\&quot;Category_ID\&quot;,\&quot;value\&quot;:\&quot;f870f35280fadaf3c3539ad54e3062cd\&quot;},{\&quot;key\&quot;:\&quot;Subcategory_ID\&quot;,\&quot;value\&quot;:\&quot;9fbba331d1ae096cbce7fb1035aebbc1\&quot;}],[{\&quot;key\&quot;:\&quot;Date\&quot;,\&quot;value\&quot;:44554},{\&quot;key\&quot;:\&quot;Merchant\&quot;,\&quot;value\&quot;:\&quot;Hodori Restaurant\&quot;},{\&quot;key\&quot;:\&quot;Amount $\&quot;,\&quot;value\&quot;:-60},{\&quot;key\&quot;:\&quot;Transaction_ID\&quot;,\&quot;value\&quot;:\&quot;c7c04d50a9334048b5725f4f5938937d\&quot;},{\&quot;key\&quot;:\&quot;Account_ID\&quot;,\&quot;value\&quot;:\&quot;0048d75f4d1d47f3b69428db4a68f3dd\&quot;},{\&quot;key\&quot;:\&quot;Category_ID\&quot;,\&quot;value\&quot;:\&quot;f870f35280fadaf3c3539ad54e3062cd\&quot;},{\&quot;key\&quot;:\&quot;Subcategory_ID\&quot;,\&quot;value\&quot;:\&quot;500e6ba7cba37a7a2a33da8c057b4cb8\&quot;}],[{\&quot;key\&quot;:\&quot;Date\&quot;,\&quot;value\&quot;:44553},{\&quot;key\&quot;:\&quot;Merchant\&quot;,\&quot;value\&quot;:\&quot;Safeway\&quot;},{\&quot;key\&quot;:\&quot;Amount $\&quot;,\&quot;value\&quot;:-47.58},{\&quot;key\&quot;:\&quot;Transaction_ID\&quot;,\&quot;value\&quot;:\&quot;3b0e345b6a8e4b34a508b6ba49e35b44\&quot;},{\&quot;key\&quot;:\&quot;Account_ID\&quot;,\&quot;value\&quot;:\&quot;0048d75f4d1d47f3b69428db4a68f3dd\&quot;},{\&quot;key\&quot;:\&quot;Category_ID\&quot;,\&quot;value\&quot;:\&quot;fec746a44521f2118fef19237dbf4f91\&quot;},{\&quot;key\&quot;:\&quot;Subcategory_ID\&quot;,\&quot;value\&quot;:\&quot;fd72ce5cfeedbe66d13df9602b6cff7d\&quot;}],[{\&quot;key\&quot;:\&quot;Date\&quot;,\&quot;value\&quot;:44553},{\&quot;key\&quot;:\&quot;Merchant\&quot;,\&quot;value\&quot;:\&quot;Direct Deposit From Lifetime\&quot;},{\&quot;key\&quot;:\&quot;Amount $\&quot;,\&quot;value\&quot;:5.99},{\&quot;key\&quot;:\&quot;Transaction_ID\&quot;,\&quot;value\&quot;:\&quot;2e482857a7ec46fc85c5d63b1ece1f5f\&quot;},{\&quot;key\&quot;:\&quot;Account_ID\&quot;,\&quot;value\&quot;:\&quot;4918dbe6db3e4b9384fdfe7083417a5f\&quot;},{\&quot;key\&quot;:\&quot;Category_ID\&quot;,\&quot;value\&quot;:\&quot;fabfe582932d48b78ac2846c1ec3d43f\&quot;},{\&quot;key\&quot;:\&quot;Subcategory_ID\&quot;,\&quot;value\&quot;:\&quot;\&quot;}],[{\&quot;key\&quot;:\&quot;Date\&quot;,\&quot;value\&quot;:44553},{\&quot;key\&quot;:\&quot;Merchant\&quot;,\&quot;value\&quot;:\&quot;Safeway\&quot;},{\&quot;key\&quot;:\&quot;Amount $\&quot;,\&quot;value\&quot;:-56.23},{\&quot;key\&quot;:\&quot;Transaction_ID\&quot;,\&quot;value\&quot;:\&quot;12f8d2575dfd416499f19b62e129192c\&quot;},{\&quot;key\&quot;:\&quot;Account_ID\&quot;,\&quot;value\&quot;:\&quot;0048d75f4d1d47f3b69428db4a68f3dd\&quot;},{\&quot;key\&quot;:\&quot;Category_ID\&quot;,\&quot;value\&quot;:\&quot;fec746a44521f2118fef19237dbf4f91\&quot;},{\&quot;key\&quot;:\&quot;Subcategory_ID\&quot;,\&quot;value\&quot;:\&quot;fd72ce5cfeedbe66d13df9602b6cff7d\&quot;}],[{\&quot;key\&quot;:\&quot;Date\&quot;,\&quot;value\&quot;:44552},{\&quot;key\&quot;:\&quot;Merchant\&quot;,\&quot;value\&quot;:\&quot;Track Market &amp; Liquor\&quot;},{\&quot;key\&quot;:\&quot;Amount $\&quot;,\&quot;value\&quot;:-12},{\&quot;key\&quot;:\&quot;Transaction_ID\&quot;,\&quot;value\&quot;:\&quot;d610f2a777114d5b951e10092a80b839\&quot;},{\&quot;key\&quot;:\&quot;Account_ID\&quot;,\&quot;value\&quot;:\&quot;0048d75f4d1d47f3b69428db4a68f3dd\&quot;},{\&quot;key\&quot;:\&quot;Category_ID\&quot;,\&quot;value\&quot;:\&quot;f870f35280fadaf3c3539ad54e3062cd\&quot;},{\&quot;key\&quot;:\&quot;Subcategory_ID\&quot;,\&quot;value\&quot;:\&quot;34adc8b6f193384cf07b408d6a4dfac6\&quot;}],[{\&quot;key\&quot;:\&quot;Date\&quot;,\&quot;value\&quot;:44552},{\&quot;key\&quot;:\&quot;Merchant\&quot;,\&quot;value\&quot;:\&quot;Schlotzsky's\&quot;},{\&quot;key\&quot;:\&quot;Amount $\&quot;,\&quot;value\&quot;:-29.19},{\&quot;key\&quot;:\&quot;Transaction_ID\&quot;,\&quot;value\&quot;:\&quot;d29321bf3dac4d53883375ecf4369d35\&quot;},{\&quot;key\&quot;:\&quot;Account_ID\&quot;,\&quot;value\&quot;:\&quot;0048d75f4d1d47f3b69428db4a68f3dd\&quot;},{\&quot;key\&quot;:\&quot;Category_ID\&quot;,\&quot;value\&quot;:\&quot;f870f35280fadaf3c3539ad54e3062cd\&quot;},{\&quot;key\&quot;:\&quot;Subcategory_ID\&quot;,\&quot;value\&quot;:\&quot;500e6ba7cba37a7a2a33da8c057b4cb8\&quot;}],[{\&quot;key\&quot;:\&quot;Date\&quot;,\&quot;value\&quot;:44552},{\&quot;key\&quot;:\&quot;Merchant\&quot;,\&quot;value\&quot;:\&quot;Purchase Authorized On\&quot;},{\&quot;key\&quot;:\&quot;Amount $\&quot;,\&quot;value\&quot;:-78.62},{\&quot;key\&quot;:\&quot;Transaction_ID\&quot;,\&quot;value\&quot;:\&quot;a327d9b412774b01be2a18955fd0fb72\&quot;},{\&quot;key\&quot;:\&quot;Account_ID\&quot;,\&quot;value\&quot;:\&quot;4918dbe6db3e4b9384fdfe7083417a5f\&quot;},{\&quot;key\&quot;:\&quot;Category_ID\&quot;,\&quot;value\&quot;:\&quot;f9fd776a16da81a948d166fcd5952d14\&quot;},{\&quot;key\&quot;:\&quot;Subcategory_ID\&quot;,\&quot;value\&quot;:\&quot;\&quot;}],[{\&quot;key\&quot;:\&quot;Date\&quot;,\&quot;value\&quot;:44552},{\&quot;key\&quot;:\&quot;Merchant\&quot;,\&quot;value\&quot;:\&quot;Atm Cash Deposit On\&quot;},{\&quot;key\&quot;:\&quot;Amount $\&quot;,\&quot;value\&quot;:21},{\&quot;key\&quot;:\&quot;Transaction_ID\&quot;,\&quot;value\&quot;:\&quot;9faed51681ea4d488f6a11dd9f0dd412\&quot;},{\&quot;key\&quot;:\&quot;Account_ID\&quot;,\&quot;value\&quot;:\&quot;4918dbe6db3e4b9384fdfe7083417a5f\&quot;},{\&quot;key\&quot;:\&quot;Category_ID\&quot;,\&quot;value\&quot;:\&quot;fabfe582932d48b78ac2846c1ec3d43f\&quot;},{\&quot;key\&quot;:\&quot;Subcategory_ID\&quot;,\&quot;value\&quot;:\&quot;\&quot;}],[{\&quot;key\&quot;:\&quot;Date\&quot;,\&quot;value\&quot;:44552},{\&quot;key\&quot;:\&quot;Merchant\&quot;,\&quot;value\&quot;:\&quot;Atm Cash Deposit On\&quot;},{\&quot;key\&quot;:\&quot;Amount $\&quot;,\&quot;value\&quot;:131},{\&quot;key\&quot;:\&quot;Transaction_ID\&quot;,\&quot;value\&quot;:\&quot;0b56103a18204ea9a0a1196c64364514\&quot;},{\&quot;key\&quot;:\&quot;Account_ID\&quot;,\&quot;value\&quot;:\&quot;4918dbe6db3e4b9384fdfe7083417a5f\&quot;},{\&quot;key\&quot;:\&quot;Category_ID\&quot;,\&quot;value\&quot;:\&quot;fabfe582932d48b78ac2846c1ec3d43f\&quot;},{\&quot;key\&quot;:\&quot;Subcategory_ID\&quot;,\&quot;value\&quot;:\&quot;\&quot;}],[{\&quot;key\&quot;:\&quot;Date\&quot;,\&quot;value\&quot;:44551},{\&quot;key\&quot;:\&quot;Merchant\&quot;,\&quot;value\&quot;:\&quot;Paypal Inst Xfer Pp\&quot;},{\&quot;key\&quot;:\&quot;Amount $\&quot;,\&quot;value\&quot;:-7.99},{\&quot;key\&quot;:\&quot;Transaction_ID\&quot;,\&quot;value\&quot;:\&quot;e1e384a202a441928b53c496f99c39dd\&quot;},{\&quot;key\&quot;:\&quot;Account_ID\&quot;,\&quot;value\&quot;:\&quot;4918dbe6db3e4b9384fdfe7083417a5f\&quot;},{\&quot;key\&quot;:\&quot;Category_ID\&quot;,\&quot;value\&quot;:\&quot;f870f35280fadaf3c3539ad54e3062cd\&quot;},{\&quot;key\&quot;:\&quot;Subcategory_ID\&quot;,\&quot;value\&quot;:\&quot;62ae30b53561aa5d303e08e4369dbfc3\&quot;}],[{\&quot;key\&quot;:\&quot;Date\&quot;,\&quot;value\&quot;:44551},{\&quot;key\&quot;:\&quot;Merchant\&quot;,\&quot;value\&quot;:\&quot;Ccbill Az Item Transferred\&quot;},{\&quot;key\&quot;:\&quot;Amount $\&quot;,\&quot;value\&quot;:-3.3},{\&quot;key\&quot;:\&quot;Transaction_ID\&quot;,\&quot;value\&quot;:\&quot;e151fee603eb4c71a352160f83228333\&quot;},{\&quot;key\&quot;:\&quot;Account_ID\&quot;,\&quot;value\&quot;:\&quot;0048d75f4d1d47f3b69428db4a68f3dd\&quot;},{\&quot;key\&quot;:\&quot;Category_ID\&quot;,\&quot;value\&quot;:\&quot;f9fd776a16da81a948d166fcd5952d14\&quot;},{\&quot;key\&quot;:\&quot;Subcategory_ID\&quot;,\&quot;value\&quot;:\&quot;8aa9b4db7e16cd2041aa6bfdc219e567\&quot;}],[{\&quot;key\&quot;:\&quot;Date\&quot;,\&quot;value\&quot;:44551},{\&quot;key\&quot;:\&quot;Merchant\&quot;,\&quot;value\&quot;:\&quot;Ccbill Az Item Transferred\&quot;},{\&quot;key\&quot;:\&quot;Amount $\&quot;,\&quot;value\&quot;:-3.49},{\&quot;key\&quot;:\&quot;Transaction_ID\&quot;,\&quot;value\&quot;:\&quot;9ccd6f96b6c34ba883748011aba18927\&quot;},{\&quot;key\&quot;:\&quot;Account_ID\&quot;,\&quot;value\&quot;:\&quot;0048d75f4d1d47f3b69428db4a68f3dd\&quot;},{\&quot;key\&quot;:\&quot;Category_ID\&quot;,\&quot;value\&quot;:\&quot;f9fd776a16da81a948d166fcd5952d14\&quot;},{\&quot;key\&quot;:\&quot;Subcategory_ID\&quot;,\&quot;value\&quot;:\&quot;8aa9b4db7e16cd2041aa6bfdc219e567\&quot;}],[{\&quot;key\&quot;:\&quot;Date\&quot;,\&quot;value\&quot;:44551},{\&quot;key\&quot;:\&quot;Merchant\&quot;,\&quot;value\&quot;:\&quot;Chino Bandido\&quot;},{\&quot;key\&quot;:\&quot;Amount $\&quot;,\&quot;value\&quot;:-27.95},{\&quot;key\&quot;:\&quot;Transaction_ID\&quot;,\&quot;value\&quot;:\&quot;24fb6f442d164cc885ee0eea5902b65b\&quot;},{\&quot;key\&quot;:\&quot;Account_ID\&quot;,\&quot;value\&quot;:\&quot;0048d75f4d1d47f3b69428db4a68f3dd\&quot;},{\&quot;key\&quot;:\&quot;Category_ID\&quot;,\&quot;value\&quot;:\&quot;f870f35280fadaf3c3539ad54e3062cd\&quot;},{\&quot;key\&quot;:\&quot;Subcategory_ID\&quot;,\&quot;value\&quot;:\&quot;500e6ba7cba37a7a2a33da8c057b4cb8\&quot;}],[{\&quot;key\&quot;:\&quot;Date\&quot;,\&quot;value\&quot;:44550},{\&quot;key\&quot;:\&quot;Merchant\&quot;,\&quot;value\&quot;:\&quot;Youtube Tv G Co\&quot;},{\&quot;key\&quot;:\&quot;Amount $\&quot;,\&quot;value\&quot;:-102.06},{\&quot;key\&quot;:\&quot;Transaction_ID\&quot;,\&quot;value\&quot;:\&quot;e7bc6c1b1c7b43abacec2482fed332de\&quot;},{\&quot;key\&quot;:\&quot;Account_ID\&quot;,\&quot;value\&quot;:\&quot;0048d75f4d1d47f3b69428db4a68f3dd\&quot;},{\&quot;key\&quot;:\&quot;Category_ID\&quot;,\&quot;value\&quot;:\&quot;f870f35280fadaf3c3539ad54e3062cd\&quot;},{\&quot;key\&quot;:\&quot;Subcategory_ID\&quot;,\&quot;value\&quot;:\&quot;62ae30b53561aa5d303e08e4369dbfc3\&quot;}],[{\&quot;key\&quot;:\&quot;Date\&quot;,\&quot;value\&quot;:44550},{\&quot;key\&quot;:\&quot;Merchant\&quot;,\&quot;value\&quot;:\&quot;Ups\&quot;},{\&quot;key\&quot;:\&quot;Amount $\&quot;,\&quot;value\&quot;:-186.56},{\&quot;key\&quot;:\&quot;Transaction_ID\&quot;,\&quot;value\&quot;:\&quot;c642bc1a4077442187526fc9a55889c9\&quot;},{\&quot;key\&quot;:\&quot;Account_ID\&quot;,\&quot;value\&quot;:\&quot;0048d75f4d1d47f3b69428db4a68f3dd\&quot;},{\&quot;key\&quot;:\&quot;Category_ID\&quot;,\&quot;value\&quot;:\&quot;f9fd776a16da81a948d166fcd5952d14\&quot;},{\&quot;key\&quot;:\&quot;Subcategory_ID\&quot;,\&quot;value\&quot;:\&quot;184c9cbdd77dcd3cf895b482a60b53ae\&quot;}],[{\&quot;key\&quot;:\&quot;Date\&quot;,\&quot;value\&quot;:44550},{\&quot;key\&quot;:\&quot;Merchant\&quot;,\&quot;value\&quot;:\&quot;Atm Withdrawal Authorized On\&quot;},{\&quot;key\&quot;:\&quot;Amount $\&quot;,\&quot;value\&quot;:-200},{\&quot;key\&quot;:\&quot;Transaction_ID\&quot;,\&quot;value\&quot;:\&quot;b6e5c869f3854c879010a34d71ac1d82\&quot;},{\&quot;key\&quot;:\&quot;Account_ID\&quot;,\&quot;value\&quot;:\&quot;4918dbe6db3e4b9384fdfe7083417a5f\&quot;},{\&quot;key\&quot;:\&quot;Category_ID\&quot;,\&quot;value\&quot;:\&quot;f870f35280fadaf3c3539ad54e3062cd\&quot;},{\&quot;key\&quot;:\&quot;Subcategory_ID\&quot;,\&quot;value\&quot;:\&quot;\&quot;}],[{\&quot;key\&quot;:\&quot;Date\&quot;,\&quot;value\&quot;:44550},{\&quot;key\&quot;:\&quot;Merchant\&quot;,\&quot;value\&quot;:\&quot;Prep &amp; Pastry\&quot;},{\&quot;key\&quot;:\&quot;Amount $\&quot;,\&quot;value\&quot;:-34.04},{\&quot;key\&quot;:\&quot;Transaction_ID\&quot;,\&quot;value\&quot;:\&quot;aa428a24c52d469188a92d3442f07301\&quot;},{\&quot;key\&quot;:\&quot;Account_ID\&quot;,\&quot;value\&quot;:\&quot;0048d75f4d1d47f3b69428db4a68f3dd\&quot;},{\&quot;key\&quot;:\&quot;Category_ID\&quot;,\&quot;value\&quot;:\&quot;f870f35280fadaf3c3539ad54e3062cd\&quot;},{\&quot;key\&quot;:\&quot;Subcategory_ID\&quot;,\&quot;value\&quot;:\&quot;500e6ba7cba37a7a2a33da8c057b4cb8\&quot;}],[{\&quot;key\&quot;:\&quot;Date\&quot;,\&quot;value\&quot;:44550},{\&quot;key\&quot;:\&quot;Merchant\&quot;,\&quot;value\&quot;:\&quot;Interest Charge On Purchases\&quot;},{\&quot;key\&quot;:\&quot;Amount $\&quot;,\&quot;value\&quot;:0},{\&quot;key\&quot;:\&quot;Transaction_ID\&quot;,\&quot;value\&quot;:\&quot;a7830dbe4c0b4ad88deb3d383a0daf84\&quot;},{\&quot;key\&quot;:\&quot;Account_ID\&quot;,\&quot;value\&quot;:\&quot;a82d9aba872e4e9b9684a363d4cc52b5\&quot;},{\&quot;key\&quot;:\&quot;Category_ID\&quot;,\&quot;value\&quot;:\&quot;de9b1d2511bc45a9bb2d484aa9e33b31\&quot;},{\&quot;key\&quot;:\&quot;Subcategory_ID\&quot;,\&quot;value\&quot;:\&quot;\&quot;}],[{\&quot;key\&quot;:\&quot;Date\&quot;,\&quot;value\&quot;:44550},{\&quot;key\&quot;:\&quot;Merchant\&quot;,\&quot;value\&quot;:\&quot;Interest Charge On Cash\&quot;},{\&quot;key\&quot;:\&quot;Amount $\&quot;,\&quot;value\&quot;:0},{\&quot;key\&quot;:\&quot;Transaction_ID\&quot;,\&quot;value\&quot;:\&quot;8c8758c46f05406a9478c77924c4f4f4\&quot;},{\&quot;key\&quot;:\&quot;Account_ID\&quot;,\&quot;value\&quot;:\&quot;a82d9aba872e4e9b9684a363d4cc52b5\&quot;},{\&quot;key\&quot;:\&quot;Category_ID\&quot;,\&quot;value\&quot;:\&quot;de9b1d2511bc45a9bb2d484aa9e33b31\&quot;},{\&quot;key\&quot;:\&quot;Subcategory_ID\&quot;,\&quot;value\&quot;:\&quot;\&quot;}],[{\&quot;key\&quot;:\&quot;Date\&quot;,\&quot;value\&quot;:44550},{\&quot;key\&quot;:\&quot;Merchant\&quot;,\&quot;value\&quot;:\&quot;Paypal Inst Xfer Steam\&quot;},{\&quot;key\&quot;:\&quot;Amount $\&quot;,\&quot;value\&quot;:-29.99},{\&quot;key\&quot;:\&quot;Transaction_ID\&quot;,\&quot;value\&quot;:\&quot;2f8ba1ac6c4b403789e354ade283542d\&quot;},{\&quot;key\&quot;:\&quot;Account_ID\&quot;,\&quot;value\&quot;:\&quot;4918dbe6db3e4b9384fdfe7083417a5f\&quot;},{\&quot;key\&quot;:\&quot;Category_ID\&quot;,\&quot;value\&quot;:\&quot;f870f35280fadaf3c3539ad54e3062cd\&quot;},{\&quot;key\&quot;:\&quot;Subcategory_ID\&quot;,\&quot;value\&quot;:\&quot;9cd371244b15c28471085d92021aa420\&quot;}],[{\&quot;key\&quot;:\&quot;Date\&quot;,\&quot;value\&quot;:44550},{\&quot;key\&quot;:\&quot;Merchant\&quot;,\&quot;value\&quot;:\&quot;Usps Po\&quot;},{\&quot;key\&quot;:\&quot;Amount $\&quot;,\&quot;value\&quot;:-4.06},{\&quot;key\&quot;:\&quot;Transaction_ID\&quot;,\&quot;value\&quot;:\&quot;0cb38e83b0b8455b99de06ff350e9b37\&quot;},{\&quot;key\&quot;:\&quot;Account_ID\&quot;,\&quot;value\&quot;:\&quot;0048d75f4d1d47f3b69428db4a68f3dd\&quot;},{\&quot;key\&quot;:\&quot;Category_ID\&quot;,\&quot;value\&quot;:\&quot;f9fd776a16da81a948d166fcd5952d14\&quot;},{\&quot;key\&quot;:\&quot;Subcategory_ID\&quot;,\&quot;value\&quot;:\&quot;184c9cbdd77dcd3cf895b482a60b53ae\&quot;}],[{\&quot;key\&quot;:\&quot;Date\&quot;,\&quot;value\&quot;:44549},{\&quot;key\&quot;:\&quot;Merchant\&quot;,\&quot;value\&quot;:\&quot;5Guys Qsr\&quot;},{\&quot;key\&quot;:\&quot;Amount $\&quot;,\&quot;value\&quot;:-17.78},{\&quot;key\&quot;:\&quot;Transaction_ID\&quot;,\&quot;value\&quot;:\&quot;6dafdb18dbe34033af0bc9a73b76a32f\&quot;},{\&quot;key\&quot;:\&quot;Account_ID\&quot;,\&quot;value\&quot;:\&quot;0048d75f4d1d47f3b69428db4a68f3dd\&quot;},{\&quot;key\&quot;:\&quot;Category_ID\&quot;,\&quot;value\&quot;:\&quot;f870f35280fadaf3c3539ad54e3062cd\&quot;},{\&quot;key\&quot;:\&quot;Subcategory_ID\&quot;,\&quot;value\&quot;:\&quot;500e6ba7cba37a7a2a33da8c057b4cb8\&quot;}],[{\&quot;key\&quot;:\&quot;Date\&quot;,\&quot;value\&quot;:44549},{\&quot;key\&quot;:\&quot;Merchant\&quot;,\&quot;value\&quot;:\&quot;Ups\&quot;},{\&quot;key\&quot;:\&quot;Amount $\&quot;,\&quot;value\&quot;:-50.62},{\&quot;key\&quot;:\&quot;Transaction_ID\&quot;,\&quot;value\&quot;:\&quot;613693300b614d358e7729c1860ec5e5\&quot;},{\&quot;key\&quot;:\&quot;Account_ID\&quot;,\&quot;value\&quot;:\&quot;0048d75f4d1d47f3b69428db4a68f3dd\&quot;},{\&quot;key\&quot;:\&quot;Category_ID\&quot;,\&quot;value\&quot;:\&quot;f9fd776a16da81a948d166fcd5952d14\&quot;},{\&quot;key\&quot;:\&quot;Subcategory_ID\&quot;,\&quot;value\&quot;:\&quot;\&quot;}],[{\&quot;key\&quot;:\&quot;Date\&quot;,\&quot;value\&quot;:44549},{\&quot;key\&quot;:\&quot;Merchant\&quot;,\&quot;value\&quot;:\&quot;Desert Botanical Garde Phoenix\&quot;},{\&quot;key\&quot;:\&quot;Amount $\&quot;,\&quot;value\&quot;:-265},{\&quot;key\&quot;:\&quot;Transaction_ID\&quot;,\&quot;value\&quot;:\&quot;61305873f0e94ec99b1f8edbe336c4ce\&quot;},{\&quot;key\&quot;:\&quot;Account_ID\&quot;,\&quot;value\&quot;:\&quot;0048d75f4d1d47f3b69428db4a68f3dd\&quot;},{\&quot;key\&quot;:\&quot;Category_ID\&quot;,\&quot;value\&quot;:\&quot;f870f35280fadaf3c3539ad54e3062cd\&quot;},{\&quot;key\&quot;:\&quot;Subcategory_ID\&quot;,\&quot;value\&quot;:\&quot;b33a143786e5accb584d33cda08d2b69\&quot;}],[{\&quot;key\&quot;:\&quot;Date\&quot;,\&quot;value\&quot;:44549},{\&quot;key\&quot;:\&quot;Merchant\&quot;,\&quot;value\&quot;:\&quot;Target\&quot;},{\&quot;key\&quot;:\&quot;Amount $\&quot;,\&quot;value\&quot;:-7.57},{\&quot;key\&quot;:\&quot;Transaction_ID\&quot;,\&quot;value\&quot;:\&quot;57704d9eaeeb4808bbcd85183f93f9d7\&quot;},{\&quot;key\&quot;:\&quot;Account_ID\&quot;,\&quot;value\&quot;:\&quot;0048d75f4d1d47f3b69428db4a68f3dd\&quot;},{\&quot;key\&quot;:\&quot;Category_ID\&quot;,\&quot;value\&quot;:\&quot;f9fd776a16da81a948d166fcd5952d14\&quot;},{\&quot;key\&quot;:\&quot;Subcategory_ID\&quot;,\&quot;value\&quot;:\&quot;\&quot;}],[{\&quot;key\&quot;:\&quot;Date\&quot;,\&quot;value\&quot;:44548},{\&quot;key\&quot;:\&quot;Merchant\&quot;,\&quot;value\&quot;:\&quot;Jcpenney\&quot;},{\&quot;key\&quot;:\&quot;Amount $\&quot;,\&quot;value\&quot;:-103.09},{\&quot;key\&quot;:\&quot;Transaction_ID\&quot;,\&quot;value\&quot;:\&quot;f7636bca3cb24501968f047710fcaddd\&quot;},{\&quot;key\&quot;:\&quot;Account_ID\&quot;,\&quot;value\&quot;:\&quot;0048d75f4d1d47f3b69428db4a68f3dd\&quot;},{\&quot;key\&quot;:\&quot;Category_ID\&quot;,\&quot;value\&quot;:\&quot;f9fd776a16da81a948d166fcd5952d14\&quot;},{\&quot;key\&quot;:\&quot;Subcategory_ID\&quot;,\&quot;value\&quot;:\&quot;\&quot;}],[{\&quot;key\&quot;:\&quot;Date\&quot;,\&quot;value\&quot;:44548},{\&quot;key\&quot;:\&quot;Merchant\&quot;,\&quot;value\&quot;:\&quot;Papa Chevos Taco Shop\&quot;},{\&quot;key\&quot;:\&quot;Amount $\&quot;,\&quot;value\&quot;:-28.46},{\&quot;key\&quot;:\&quot;Transaction_ID\&quot;,\&quot;value\&quot;:\&quot;c61bffb1655b4000bd90387039ab591c\&quot;},{\&quot;key\&quot;:\&quot;Account_ID\&quot;,\&quot;value\&quot;:\&quot;0048d75f4d1d47f3b69428db4a68f3dd\&quot;},{\&quot;key\&quot;:\&quot;Category_ID\&quot;,\&quot;value\&quot;:\&quot;3dafc6bd8d7c45ae9840ff09e01567d1\&quot;},{\&quot;key\&quot;:\&quot;Subcategory_ID\&quot;,\&quot;value\&quot;:\&quot;500e6ba7cba37a7a2a33da8c057b4cb8\&quot;}],[{\&quot;key\&quot;:\&quot;Date\&quot;,\&quot;value\&quot;:44548},{\&quot;key\&quot;:\&quot;Merchant\&quot;,\&quot;value\&quot;:\&quot;Millies Hallmark\&quot;},{\&quot;key\&quot;:\&quot;Amount $\&quot;,\&quot;value\&quot;:-50.99},{\&quot;key\&quot;:\&quot;Transaction_ID\&quot;,\&quot;value\&quot;:\&quot;a3f7d99dfb7e4d9f96c8355dc84a80e5\&quot;},{\&quot;key\&quot;:\&quot;Account_ID\&quot;,\&quot;value\&quot;:\&quot;0048d75f4d1d47f3b69428db4a68f3dd\&quot;},{\&quot;key\&quot;:\&quot;Category_ID\&quot;,\&quot;value\&quot;:\&quot;f9fd776a16da81a948d166fcd5952d14\&quot;},{\&quot;key\&quot;:\&quot;Subcategory_ID\&quot;,\&quot;value\&quot;:\&quot;\&quot;}],[{\&quot;key\&quot;:\&quot;Date\&quot;,\&quot;value\&quot;:44548},{\&quot;key\&quot;:\&quot;Merchant\&quot;,\&quot;value\&quot;:\&quot;Spin Mobility Spin App\&quot;},{\&quot;key\&quot;:\&quot;Amount $\&quot;,\&quot;value\&quot;:-11.28},{\&quot;key\&quot;:\&quot;Transaction_ID\&quot;,\&quot;value\&quot;:\&quot;977bc57bf30240c1850b34557959954c\&quot;},{\&quot;key\&quot;:\&quot;Account_ID\&quot;,\&quot;value\&quot;:\&quot;0048d75f4d1d47f3b69428db4a68f3dd\&quot;},{\&quot;key\&quot;:\&quot;Category_ID\&quot;,\&quot;value\&quot;:\&quot;e6c07c144d52704210419358ba4a8d2e\&quot;},{\&quot;key\&quot;:\&quot;Subcategory_ID\&quot;,\&quot;value\&quot;:\&quot;\&quot;}],[{\&quot;key\&quot;:\&quot;Date\&quot;,\&quot;value\&quot;:44548},{\&quot;key\&quot;:\&quot;Merchant\&quot;,\&quot;value\&quot;:\&quot;Ca Apple Pay Ending\&quot;},{\&quot;key\&quot;:\&quot;Amount $\&quot;,\&quot;value\&quot;:-12.26},{\&quot;key\&quot;:\&quot;Transaction_ID\&quot;,\&quot;value\&quot;:\&quot;68d177ac8626441f92f47b75d5817120\&quot;},{\&quot;key\&quot;:\&quot;Account_ID\&quot;,\&quot;value\&quot;:\&quot;0048d75f4d1d47f3b69428db4a68f3dd\&quot;},{\&quot;key\&quot;:\&quot;Category_ID\&quot;,\&quot;value\&quot;:\&quot;f870f35280fadaf3c3539ad54e3062cd\&quot;},{\&quot;key\&quot;:\&quot;Subcategory_ID\&quot;,\&quot;value\&quot;:\&quot;62ae30b53561aa5d303e08e4369dbfc3\&quot;}],[{\&quot;key\&quot;:\&quot;Date\&quot;,\&quot;value\&quot;:44548},{\&quot;key\&quot;:\&quot;Merchant\&quot;,\&quot;value\&quot;:\&quot;Target\&quot;},{\&quot;key\&quot;:\&quot;Amount $\&quot;,\&quot;value\&quot;:-49.06},{\&quot;key\&quot;:\&quot;Transaction_ID\&quot;,\&quot;value\&quot;:\&quot;52ac517e6c3a4539ac5471f806ec04a5\&quot;},{\&quot;key\&quot;:\&quot;Account_ID\&quot;,\&quot;value\&quot;:\&quot;0048d75f4d1d47f3b69428db4a68f3dd\&quot;},{\&quot;key\&quot;:\&quot;Category_ID\&quot;,\&quot;value\&quot;:\&quot;f9fd776a16da81a948d166fcd5952d14\&quot;},{\&quot;key\&quot;:\&quot;Subcategory_ID\&quot;,\&quot;value\&quot;:\&quot;\&quot;}],[{\&quot;key\&quot;:\&quot;Date\&quot;,\&quot;value\&quot;:44548},{\&quot;key\&quot;:\&quot;Merchant\&quot;,\&quot;value\&quot;:\&quot;Fry's Food And Drug\&quot;},{\&quot;key\&quot;:\&quot;Amount $\&quot;,\&quot;value\&quot;:-16.19},{\&quot;key\&quot;:\&quot;Transaction_ID\&quot;,\&quot;value\&quot;:\&quot;35e85529a8004ab5a6d20c8d0b0bdaae\&quot;},{\&quot;key\&quot;:\&quot;Account_ID\&quot;,\&quot;value\&quot;:\&quot;0048d75f4d1d47f3b69428db4a68f3dd\&quot;},{\&quot;key\&quot;:\&quot;Category_ID\&quot;,\&quot;value\&quot;:\&quot;fec746a44521f2118fef19237dbf4f91\&quot;},{\&quot;key\&quot;:\&quot;Subcategory_ID\&quot;,\&quot;value\&quot;:\&quot;\&quot;}],[{\&quot;key\&quot;:\&quot;Date\&quot;,\&quot;value\&quot;:44547},{\&quot;key\&quot;:\&quot;Merchant\&quot;,\&quot;value\&quot;:\&quot;Walmart\&quot;},{\&quot;key\&quot;:\&quot;Amount $\&quot;,\&quot;value\&quot;:-46.57},{\&quot;key\&quot;:\&quot;Transaction_ID\&quot;,\&quot;value\&quot;:\&quot;da1b99130aa34080864aad9476a4fd60\&quot;},{\&quot;key\&quot;:\&quot;Account_ID\&quot;,\&quot;value\&quot;:\&quot;0048d75f4d1d47f3b69428db4a68f3dd\&quot;},{\&quot;key\&quot;:\&quot;Category_ID\&quot;,\&quot;value\&quot;:\&quot;f9fd776a16da81a948d166fcd5952d14\&quot;},{\&quot;key\&quot;:\&quot;Subcategory_ID\&quot;,\&quot;value\&quot;:\&quot;\&quot;}],[{\&quot;key\&quot;:\&quot;Date\&quot;,\&quot;value\&quot;:44547},{\&quot;key\&quot;:\&quot;Merchant\&quot;,\&quot;value\&quot;:\&quot;Venmo\&quot;},{\&quot;key\&quot;:\&quot;Amount $\&quot;,\&quot;value\&quot;:238},{\&quot;key\&quot;:\&quot;Transaction_ID\&quot;,\&quot;value\&quot;:\&quot;d631f1bfc79a465da34c8947017e600a\&quot;},{\&quot;key\&quot;:\&quot;Account_ID\&quot;,\&quot;value\&quot;:\&quot;4918dbe6db3e4b9384fdfe7083417a5f\&quot;},{\&quot;key\&quot;:\&quot;Category_ID\&quot;,\&quot;value\&quot;:\&quot;fabfe582932d48b78ac2846c1ec3d43f\&quot;},{\&quot;key\&quot;:\&quot;Subcategory_ID\&quot;,\&quot;value\&quot;:\&quot;\&quot;}],[{\&quot;key\&quot;:\&quot;Date\&quot;,\&quot;value\&quot;:44547},{\&quot;key\&quot;:\&quot;Merchant\&quot;,\&quot;value\&quot;:\&quot;Spin Mobility Spin App\&quot;},{\&quot;key\&quot;:\&quot;Amount $\&quot;,\&quot;value\&quot;:-4.19},{\&quot;key\&quot;:\&quot;Transaction_ID\&quot;,\&quot;value\&quot;:\&quot;ca1859ad79d9439ba710e667ce35dcac\&quot;},{\&quot;key\&quot;:\&quot;Account_ID\&quot;,\&quot;value\&quot;:\&quot;0048d75f4d1d47f3b69428db4a68f3dd\&quot;},{\&quot;key\&quot;:\&quot;Category_ID\&quot;,\&quot;value\&quot;:\&quot;e6c07c144d52704210419358ba4a8d2e\&quot;},{\&quot;key\&quot;:\&quot;Subcategory_ID\&quot;,\&quot;value\&quot;:\&quot;\&quot;}],[{\&quot;key\&quot;:\&quot;Date\&quot;,\&quot;value\&quot;:44547},{\&quot;key\&quot;:\&quot;Merchant\&quot;,\&quot;value\&quot;:\&quot;Filiberto's 19Th Ave\&quot;},{\&quot;key\&quot;:\&quot;Amount $\&quot;,\&quot;value\&quot;:-37.42},{\&quot;key\&quot;:\&quot;Transaction_ID\&quot;,\&quot;value\&quot;:\&quot;b1461dd42a644e568e0225443412d825\&quot;},{\&quot;key\&quot;:\&quot;Account_ID\&quot;,\&quot;value\&quot;:\&quot;0048d75f4d1d47f3b69428db4a68f3dd\&quot;},{\&quot;key\&quot;:\&quot;Category_ID\&quot;,\&quot;value\&quot;:\&quot;3dafc6bd8d7c45ae9840ff09e01567d1\&quot;},{\&quot;key\&quot;:\&quot;Subcategory_ID\&quot;,\&quot;value\&quot;:\&quot;500e6ba7cba37a7a2a33da8c057b4cb8\&quot;}],[{\&quot;key\&quot;:\&quot;Date\&quot;,\&quot;value\&quot;:44547},{\&quot;key\&quot;:\&quot;Merchant\&quot;,\&quot;value\&quot;:\&quot;Tmobile Auto Pay Wa\&quot;},{\&quot;key\&quot;:\&quot;Amount $\&quot;,\&quot;value\&quot;:-70},{\&quot;key\&quot;:\&quot;Transaction_ID\&quot;,\&quot;value\&quot;:\&quot;a78b8f1790fb4789927d5357c23d5e94\&quot;},{\&quot;key\&quot;:\&quot;Account_ID\&quot;,\&quot;value\&quot;:\&quot;0048d75f4d1d47f3b69428db4a68f3dd\&quot;},{\&quot;key\&quot;:\&quot;Category_ID\&quot;,\&quot;value\&quot;:\&quot;e652020e73ca21c507fb0132026987b5\&quot;},{\&quot;key\&quot;:\&quot;Subcategory_ID\&quot;,\&quot;value\&quot;:\&quot;e2ada6f3a865e952cf542f51a935c9d8\&quot;}],[{\&quot;key\&quot;:\&quot;Date\&quot;,\&quot;value\&quot;:44547},{\&quot;key\&quot;:\&quot;Merchant\&quot;,\&quot;value\&quot;:\&quot;Best Buy\&quot;},{\&quot;key\&quot;:\&quot;Amount $\&quot;,\&quot;value\&quot;:-476},{\&quot;key\&quot;:\&quot;Transaction_ID\&quot;,\&quot;value\&quot;:\&quot;7e2b612978d74343b53ef921b36a56c1\&quot;},{\&quot;key\&quot;:\&quot;Account_ID\&quot;,\&quot;value\&quot;:\&quot;4918dbe6db3e4b9384fdfe7083417a5f\&quot;},{\&quot;key\&quot;:\&quot;Category_ID\&quot;,\&quot;value\&quot;:\&quot;6385c1768b814d3d89087c436c9cab15\&quot;},{\&quot;key\&quot;:\&quot;Subcategory_ID\&quot;,\&quot;value\&quot;:\&quot;\&quot;}],[{\&quot;key\&quot;:\&quot;Date\&quot;,\&quot;value\&quot;:44547},{\&quot;key\&quot;:\&quot;Merchant\&quot;,\&quot;value\&quot;:\&quot;Apple Bill Ca Apple\&quot;},{\&quot;key\&quot;:\&quot;Amount $\&quot;,\&quot;value\&quot;:-5.29},{\&quot;key\&quot;:\&quot;Transaction_ID\&quot;,\&quot;value\&quot;:\&quot;66f1fc34993a464e9967296039f72bf4\&quot;},{\&quot;key\&quot;:\&quot;Account_ID\&quot;,\&quot;value\&quot;:\&quot;0048d75f4d1d47f3b69428db4a68f3dd\&quot;},{\&quot;key\&quot;:\&quot;Category_ID\&quot;,\&quot;value\&quot;:\&quot;f870f35280fadaf3c3539ad54e3062cd\&quot;},{\&quot;key\&quot;:\&quot;Subcategory_ID\&quot;,\&quot;value\&quot;:\&quot;62ae30b53561aa5d303e08e4369dbfc3\&quot;}],[{\&quot;key\&quot;:\&quot;Date\&quot;,\&quot;value\&quot;:44547},{\&quot;key\&quot;:\&quot;Merchant\&quot;,\&quot;value\&quot;:\&quot;Gametime Tickets Ca Apple\&quot;},{\&quot;key\&quot;:\&quot;Amount $\&quot;,\&quot;value\&quot;:-64},{\&quot;key\&quot;:\&quot;Transaction_ID\&quot;,\&quot;value\&quot;:\&quot;6202d308b92a49fabf041902c55ffee4\&quot;},{\&quot;key\&quot;:\&quot;Account_ID\&quot;,\&quot;value\&quot;:\&quot;0048d75f4d1d47f3b69428db4a68f3dd\&quot;},{\&quot;key\&quot;:\&quot;Category_ID\&quot;,\&quot;value\&quot;:\&quot;f870f35280fadaf3c3539ad54e3062cd\&quot;},{\&quot;key\&quot;:\&quot;Subcategory_ID\&quot;,\&quot;value\&quot;:\&quot;9fbba331d1ae096cbce7fb1035aebbc1\&quot;}],[{\&quot;key\&quot;:\&quot;Date\&quot;,\&quot;value\&quot;:44547},{\&quot;key\&quot;:\&quot;Merchant\&quot;,\&quot;value\&quot;:\&quot;Direct Deposit From Lifetime\&quot;},{\&quot;key\&quot;:\&quot;Amount $\&quot;,\&quot;value\&quot;:2.63},{\&quot;key\&quot;:\&quot;Transaction_ID\&quot;,\&quot;value\&quot;:\&quot;4630ef64f15f4b3ca3b2181493e22137\&quot;},{\&quot;key\&quot;:\&quot;Account_ID\&quot;,\&quot;value\&quot;:\&quot;4918dbe6db3e4b9384fdfe7083417a5f\&quot;},{\&quot;key\&quot;:\&quot;Category_ID\&quot;,\&quot;value\&quot;:\&quot;fabfe582932d48b78ac2846c1ec3d43f\&quot;},{\&quot;key\&quot;:\&quot;Subcategory_ID\&quot;,\&quot;value\&quot;:\&quot;\&quot;}],[{\&quot;key\&quot;:\&quot;Date\&quot;,\&quot;value\&quot;:44546},{\&quot;key\&quot;:\&quot;Merchant\&quot;,\&quot;value\&quot;:\&quot;Cheba Hut Phoenix Az\&quot;},{\&quot;key\&quot;:\&quot;Amount $\&quot;,\&quot;value\&quot;:-18.27},{\&quot;key\&quot;:\&quot;Transaction_ID\&quot;,\&quot;value\&quot;:\&quot;d93eb32737c94b3a9261b51f274f61f8\&quot;},{\&quot;key\&quot;:\&quot;Account_ID\&quot;,\&quot;value\&quot;:\&quot;0048d75f4d1d47f3b69428db4a68f3dd\&quot;},{\&quot;key\&quot;:\&quot;Category_ID\&quot;,\&quot;value\&quot;:\&quot;3dafc6bd8d7c45ae9840ff09e01567d1\&quot;},{\&quot;key\&quot;:\&quot;Subcategory_ID\&quot;,\&quot;value\&quot;:\&quot;500e6ba7cba37a7a2a33da8c057b4cb8\&quot;}],[{\&quot;key\&quot;:\&quot;Date\&quot;,\&quot;value\&quot;:44546},{\&quot;key\&quot;:\&quot;Merchant\&quot;,\&quot;value\&quot;:\&quot;Nationwide Payroll Sean Lewis\&quot;},{\&quot;key\&quot;:\&quot;Amount $\&quot;,\&quot;value\&quot;:1962.32},{\&quot;key\&quot;:\&quot;Transaction_ID\&quot;,\&quot;value\&quot;:\&quot;c9128cf5ccb24a03b3c40e3981f185f8\&quot;},{\&quot;key\&quot;:\&quot;Account_ID\&quot;,\&quot;value\&quot;:\&quot;4918dbe6db3e4b9384fdfe7083417a5f\&quot;},{\&quot;key\&quot;:\&quot;Category_ID\&quot;,\&quot;value\&quot;:\&quot;fabfe582932d48b78ac2846c1ec3d43f\&quot;},{\&quot;key\&quot;:\&quot;Subcategory_ID\&quot;,\&quot;value\&quot;:\&quot;\&quot;}],[{\&quot;key\&quot;:\&quot;Date\&quot;,\&quot;value\&quot;:44546},{\&quot;key\&quot;:\&quot;Merchant\&quot;,\&quot;value\&quot;:\&quot;Wildflower\&quot;},{\&quot;key\&quot;:\&quot;Amount $\&quot;,\&quot;value\&quot;:-28.16},{\&quot;key\&quot;:\&quot;Transaction_ID\&quot;,\&quot;value\&quot;:\&quot;ae75c9451c7c4597bec2258e5b3c2a8c\&quot;},{\&quot;key\&quot;:\&quot;Account_ID\&quot;,\&quot;value\&quot;:\&quot;0048d75f4d1d47f3b69428db4a68f3dd\&quot;},{\&quot;key\&quot;:\&quot;Category_ID\&quot;,\&quot;value\&quot;:\&quot;fec746a44521f2118fef19237dbf4f91\&quot;},{\&quot;key\&quot;:\&quot;Subcategory_ID\&quot;,\&quot;value\&quot;:\&quot;3cb5eadf8ea949dc856ad904b2643f4c\&quot;}],[{\&quot;key\&quot;:\&quot;Date\&quot;,\&quot;value\&quot;:44546},{\&quot;key\&quot;:\&quot;Merchant\&quot;,\&quot;value\&quot;:\&quot;Internet Payment\&quot;},{\&quot;key\&quot;:\&quot;Amount $\&quot;,\&quot;value\&quot;:1500},{\&quot;key\&quot;:\&quot;Transaction_ID\&quot;,\&quot;value\&quot;:\&quot;669fd2cc8ac8436fa6cf2a5e2930fcfa\&quot;},{\&quot;key\&quot;:\&quot;Account_ID\&quot;,\&quot;value\&quot;:\&quot;0048d75f4d1d47f3b69428db4a68f3dd\&quot;},{\&quot;key\&quot;:\&quot;Category_ID\&quot;,\&quot;value\&quot;:\&quot;1c99e2ba30f14dbfb79dfa7d009e0924\&quot;},{\&quot;key\&quot;:\&quot;Subcategory_ID\&quot;,\&quot;value\&quot;:\&quot;\&quot;}],[{\&quot;key\&quot;:\&quot;Date\&quot;,\&quot;value\&quot;:44546},{\&quot;key\&quot;:\&quot;Merchant\&quot;,\&quot;value\&quot;:\&quot;Discover E Payment Lewis\&quot;},{\&quot;key\&quot;:\&quot;Amount $\&quot;,\&quot;value\&quot;:-1500},{\&quot;key\&quot;:\&quot;Transaction_ID\&quot;,\&quot;value\&quot;:\&quot;4a9d58c97528403a9e96378bb6abd042\&quot;},{\&quot;key\&quot;:\&quot;Account_ID\&quot;,\&quot;value\&quot;:\&quot;4918dbe6db3e4b9384fdfe7083417a5f\&quot;},{\&quot;key\&quot;:\&quot;Category_ID\&quot;,\&quot;value\&quot;:\&quot;6385c1768b814d3d89087c436c9cab15\&quot;},{\&quot;key\&quot;:\&quot;Subcategory_ID\&quot;,\&quot;value\&quot;:\&quot;\&quot;}],[{\&quot;key\&quot;:\&quot;Date\&quot;,\&quot;value\&quot;:44546},{\&quot;key\&quot;:\&quot;Merchant\&quot;,\&quot;value\&quot;:\&quot;Phoenix Suns Concessions\&quot;},{\&quot;key\&quot;:\&quot;Amount $\&quot;,\&quot;value\&quot;:-9.61},{\&quot;key\&quot;:\&quot;Transaction_ID\&quot;,\&quot;value\&quot;:\&quot;37760420d3e143dcbadac5a99a223afd\&quot;},{\&quot;key\&quot;:\&quot;Account_ID\&quot;,\&quot;value\&quot;:\&quot;0048d75f4d1d47f3b69428db4a68f3dd\&quot;},{\&quot;key\&quot;:\&quot;Category_ID\&quot;,\&quot;value\&quot;:\&quot;3dafc6bd8d7c45ae9840ff09e01567d1\&quot;},{\&quot;key\&quot;:\&quot;Subcategory_ID\&quot;,\&quot;value\&quot;:\&quot;500e6ba7cba37a7a2a33da8c057b4cb8\&quot;}],[{\&quot;key\&quot;:\&quot;Date\&quot;,\&quot;value\&quot;:44546},{\&quot;key\&quot;:\&quot;Merchant\&quot;,\&quot;value\&quot;:\&quot;Circle K\&quot;},{\&quot;key\&quot;:\&quot;Amount $\&quot;,\&quot;value\&quot;:-42.19},{\&quot;key\&quot;:\&quot;Transaction_ID\&quot;,\&quot;value\&quot;:\&quot;2f0f79daeb7548399d29818706f3561a\&quot;},{\&quot;key\&quot;:\&quot;Account_ID\&quot;,\&quot;value\&quot;:\&quot;0048d75f4d1d47f3b69428db4a68f3dd\&quot;},{\&quot;key\&quot;:\&quot;Category_ID\&quot;,\&quot;value\&quot;:\&quot;f9fd776a16da81a948d166fcd5952d14\&quot;},{\&quot;key\&quot;:\&quot;Subcategory_ID\&quot;,\&quot;value\&quot;:\&quot;\&quot;}],[{\&quot;key\&quot;:\&quot;Date\&quot;,\&quot;value\&quot;:44546},{\&quot;key\&quot;:\&quot;Merchant\&quot;,\&quot;value\&quot;:\&quot;Panda Express\&quot;},{\&quot;key\&quot;:\&quot;Amount $\&quot;,\&quot;value\&quot;:-12.83},{\&quot;key\&quot;:\&quot;Transaction_ID\&quot;,\&quot;value\&quot;:\&quot;2645bdb5bfb54df088452b88fea656c6\&quot;},{\&quot;key\&quot;:\&quot;Account_ID\&quot;,\&quot;value\&quot;:\&quot;0048d75f4d1d47f3b69428db4a68f3dd\&quot;},{\&quot;key\&quot;:\&quot;Category_ID\&quot;,\&quot;value\&quot;:\&quot;3dafc6bd8d7c45ae9840ff09e01567d1\&quot;},{\&quot;key\&quot;:\&quot;Subcategory_ID\&quot;,\&quot;value\&quot;:\&quot;500e6ba7cba37a7a2a33da8c057b4cb8\&quot;}],[{\&quot;key\&quot;:\&quot;Date\&quot;,\&quot;value\&quot;:44546},{\&quot;key\&quot;:\&quot;Merchant\&quot;,\&quot;value\&quot;:\&quot;Online Payment Deerfield Il\&quot;},{\&quot;key\&quot;:\&quot;Amount $\&quot;,\&quot;value\&quot;:476},{\&quot;key\&quot;:\&quot;Transaction_ID\&quot;,\&quot;value\&quot;:\&quot;035e9e53b3e04fa0a05ebcab73d49ed8\&quot;},{\&quot;key\&quot;:\&quot;Account_ID\&quot;,\&quot;value\&quot;:\&quot;a82d9aba872e4e9b9684a363d4cc52b5\&quot;},{\&quot;key\&quot;:\&quot;Category_ID\&quot;,\&quot;value\&quot;:\&quot;6385c1768b814d3d89087c436c9cab15\&quot;},{\&quot;key\&quot;:\&quot;Subcategory_ID\&quot;,\&quot;value\&quot;:\&quot;\&quot;}],[{\&quot;key\&quot;:\&quot;Date\&quot;,\&quot;value\&quot;:44545},{\&quot;key\&quot;:\&quot;Merchant\&quot;,\&quot;value\&quot;:\&quot;Money Transfer Authorized On\&quot;},{\&quot;key\&quot;:\&quot;Amount $\&quot;,\&quot;value\&quot;:100},{\&quot;key\&quot;:\&quot;Transaction_ID\&quot;,\&quot;value\&quot;:\&quot;7d0662bef37645dba8017eeb5ea5a15f\&quot;},{\&quot;key\&quot;:\&quot;Account_ID\&quot;,\&quot;value\&quot;:\&quot;4918dbe6db3e4b9384fdfe7083417a5f\&quot;},{\&quot;key\&quot;:\&quot;Category_ID\&quot;,\&quot;value\&quot;:\&quot;fabfe582932d48b78ac2846c1ec3d43f\&quot;},{\&quot;key\&quot;:\&quot;Subcategory_ID\&quot;,\&quot;value\&quot;:\&quot;\&quot;}],[{\&quot;key\&quot;:\&quot;Date\&quot;,\&quot;value\&quot;:44544},{\&quot;key\&quot;:\&quot;Merchant\&quot;,\&quot;value\&quot;:\&quot;Panda Express\&quot;},{\&quot;key\&quot;:\&quot;Amount $\&quot;,\&quot;value\&quot;:-13},{\&quot;key\&quot;:\&quot;Transaction_ID\&quot;,\&quot;value\&quot;:\&quot;62986d1a70384d4f83225459c122e977\&quot;},{\&quot;key\&quot;:\&quot;Account_ID\&quot;,\&quot;value\&quot;:\&quot;0048d75f4d1d47f3b69428db4a68f3dd\&quot;},{\&quot;key\&quot;:\&quot;Category_ID\&quot;,\&quot;value\&quot;:\&quot;3dafc6bd8d7c45ae9840ff09e01567d1\&quot;},{\&quot;key\&quot;:\&quot;Subcategory_ID\&quot;,\&quot;value\&quot;:\&quot;500e6ba7cba37a7a2a33da8c057b4cb8\&quot;}],[{\&quot;key\&quot;:\&quot;Date\&quot;,\&quot;value\&quot;:44544},{\&quot;key\&quot;:\&quot;Merchant\&quot;,\&quot;value\&quot;:\&quot;Aps Electric Pmt Payment\&quot;},{\&quot;key\&quot;:\&quot;Amount $\&quot;,\&quot;value\&quot;:-121.03},{\&quot;key\&quot;:\&quot;Transaction_ID\&quot;,\&quot;value\&quot;:\&quot;404a4278b58448b8847946c19833d1ac\&quot;},{\&quot;key\&quot;:\&quot;Account_ID\&quot;,\&quot;value\&quot;:\&quot;4918dbe6db3e4b9384fdfe7083417a5f\&quot;},{\&quot;key\&quot;:\&quot;Category_ID\&quot;,\&quot;value\&quot;:\&quot;e652020e73ca21c507fb0132026987b5\&quot;},{\&quot;key\&quot;:\&quot;Subcategory_ID\&quot;,\&quot;value\&quot;:\&quot;2e3863b690eca5456390506db380e5d3\&quot;}],[{\&quot;key\&quot;:\&quot;Date\&quot;,\&quot;value\&quot;:44543},{\&quot;key\&quot;:\&quot;Merchant\&quot;,\&quot;value\&quot;:\&quot;Walgreens\&quot;},{\&quot;key\&quot;:\&quot;Amount $\&quot;,\&quot;value\&quot;:-9.01},{\&quot;key\&quot;:\&quot;Transaction_ID\&quot;,\&quot;value\&quot;:\&quot;f8f7e1a0963e4f2e9b870abd3711e786\&quot;},{\&quot;key\&quot;:\&quot;Account_ID\&quot;,\&quot;value\&quot;:\&quot;0048d75f4d1d47f3b69428db4a68f3dd\&quot;},{\&quot;key\&quot;:\&quot;Category_ID\&quot;,\&quot;value\&quot;:\&quot;f9fd776a16da81a948d166fcd5952d14\&quot;},{\&quot;key\&quot;:\&quot;Subcategory_ID\&quot;,\&quot;value\&quot;:\&quot;\&quot;}],[{\&quot;key\&quot;:\&quot;Date\&quot;,\&quot;value\&quot;:44543},{\&quot;key\&quot;:\&quot;Merchant\&quot;,\&quot;value\&quot;:\&quot;Phoenix Center For Phoenix\&quot;},{\&quot;key\&quot;:\&quot;Amount $\&quot;,\&quot;value\&quot;:-40},{\&quot;key\&quot;:\&quot;Transaction_ID\&quot;,\&quot;value\&quot;:\&quot;e0e4da64bd2a458a8ee8d1e2b1b6a744\&quot;},{\&quot;key\&quot;:\&quot;Account_ID\&quot;,\&quot;value\&quot;:\&quot;0048d75f4d1d47f3b69428db4a68f3dd\&quot;},{\&quot;key\&quot;:\&quot;Category_ID\&quot;,\&quot;value\&quot;:\&quot;f870f35280fadaf3c3539ad54e3062cd\&quot;},{\&quot;key\&quot;:\&quot;Subcategory_ID\&quot;,\&quot;value\&quot;:\&quot;b33a143786e5accb584d33cda08d2b69\&quot;}],[{\&quot;key\&quot;:\&quot;Date\&quot;,\&quot;value\&quot;:44543},{\&quot;key\&quot;:\&quot;Merchant\&quot;,\&quot;value\&quot;:\&quot;Target\&quot;},{\&quot;key\&quot;:\&quot;Amount $\&quot;,\&quot;value\&quot;:-13.97},{\&quot;key\&quot;:\&quot;Transaction_ID\&quot;,\&quot;value\&quot;:\&quot;c6fca8d977984478aedeecb4d3f7a9de\&quot;},{\&quot;key\&quot;:\&quot;Account_ID\&quot;,\&quot;value\&quot;:\&quot;0048d75f4d1d47f3b69428db4a68f3dd\&quot;},{\&quot;key\&quot;:\&quot;Category_ID\&quot;,\&quot;value\&quot;:\&quot;f9fd776a16da81a948d166fcd5952d14\&quot;},{\&quot;key\&quot;:\&quot;Subcategory_ID\&quot;,\&quot;value\&quot;:\&quot;\&quot;}],[{\&quot;key\&quot;:\&quot;Date\&quot;,\&quot;value\&quot;:44543},{\&quot;key\&quot;:\&quot;Merchant\&quot;,\&quot;value\&quot;:\&quot;Paypal Inst Xfer Vizmediallc\&quot;},{\&quot;key\&quot;:\&quot;Amount $\&quot;,\&quot;value\&quot;:-1.99},{\&quot;key\&quot;:\&quot;Transaction_ID\&quot;,\&quot;value\&quot;:\&quot;1c2d4b97ee7d47d18d68f4c175d1b9ab\&quot;},{\&quot;key\&quot;:\&quot;Account_ID\&quot;,\&quot;value\&quot;:\&quot;4918dbe6db3e4b9384fdfe7083417a5f\&quot;},{\&quot;key\&quot;:\&quot;Category_ID\&quot;,\&quot;value\&quot;:\&quot;f870f35280fadaf3c3539ad54e3062cd\&quot;},{\&quot;key\&quot;:\&quot;Subcategory_ID\&quot;,\&quot;value\&quot;:\&quot;62ae30b53561aa5d303e08e4369dbfc3\&quot;}],[{\&quot;key\&quot;:\&quot;Date\&quot;,\&quot;value\&quot;:44543},{\&quot;key\&quot;:\&quot;Merchant\&quot;,\&quot;value\&quot;:\&quot;Rei Paradise Val Phoenix\&quot;},{\&quot;key\&quot;:\&quot;Amount $\&quot;,\&quot;value\&quot;:-64.07},{\&quot;key\&quot;:\&quot;Transaction_ID\&quot;,\&quot;value\&quot;:\&quot;03aab9f41f2f405582171ad92ff793ac\&quot;},{\&quot;key\&quot;:\&quot;Account_ID\&quot;,\&quot;value\&quot;:\&quot;0048d75f4d1d47f3b69428db4a68f3dd\&quot;},{\&quot;key\&quot;:\&quot;Category_ID\&quot;,\&quot;value\&quot;:\&quot;fb81ce070826aab24513c89fbfe939e9\&quot;},{\&quot;key\&quot;:\&quot;Subcategory_ID\&quot;,\&quot;value\&quot;:\&quot;\&quot;}],[{\&quot;key\&quot;:\&quot;Date\&quot;,\&quot;value\&quot;:44542},{\&quot;key\&quot;:\&quot;Merchant\&quot;,\&quot;value\&quot;:\&quot;Act City Of Tempe\&quot;},{\&quot;key\&quot;:\&quot;Amount $\&quot;,\&quot;value\&quot;:-16},{\&quot;key\&quot;:\&quot;Transaction_ID\&quot;,\&quot;value\&quot;:\&quot;fbfef7bf6fae4fc284f115975df2440f\&quot;},{\&quot;key\&quot;:\&quot;Account_ID\&quot;,\&quot;value\&quot;:\&quot;0048d75f4d1d47f3b69428db4a68f3dd\&quot;},{\&quot;key\&quot;:\&quot;Category_ID\&quot;,\&quot;value\&quot;:\&quot;f870f35280fadaf3c3539ad54e3062cd\&quot;},{\&quot;key\&quot;:\&quot;Subcategory_ID\&quot;,\&quot;value\&quot;:\&quot;1fcecc85b1b9f6d55d8f29e397c285d4\&quot;}],[{\&quot;key\&quot;:\&quot;Date\&quot;,\&quot;value\&quot;:44542},{\&quot;key\&quot;:\&quot;Merchant\&quot;,\&quot;value\&quot;:\&quot;Popeyes\&quot;},{\&quot;key\&quot;:\&quot;Amount $\&quot;,\&quot;value\&quot;:-16.63},{\&quot;key\&quot;:\&quot;Transaction_ID\&quot;,\&quot;value\&quot;:\&quot;d7c9c845831043469e39a608860aa193\&quot;},{\&quot;key\&quot;:\&quot;Account_ID\&quot;,\&quot;value\&quot;:\&quot;0048d75f4d1d47f3b69428db4a68f3dd\&quot;},{\&quot;key\&quot;:\&quot;Category_ID\&quot;,\&quot;value\&quot;:\&quot;3dafc6bd8d7c45ae9840ff09e01567d1\&quot;},{\&quot;key\&quot;:\&quot;Subcategory_ID\&quot;,\&quot;value\&quot;:\&quot;500e6ba7cba37a7a2a33da8c057b4cb8\&quot;}],[{\&quot;key\&quot;:\&quot;Date\&quot;,\&quot;value\&quot;:44542},{\&quot;key\&quot;:\&quot;Merchant\&quot;,\&quot;value\&quot;:\&quot;Cuties Lemonade In Phoenix\&quot;},{\&quot;key\&quot;:\&quot;Amount $\&quot;,\&quot;value\&quot;:-9.99},{\&quot;key\&quot;:\&quot;Transaction_ID\&quot;,\&quot;value\&quot;:\&quot;bd5fc7e939da4454b51b96c9659dcdde\&quot;},{\&quot;key\&quot;:\&quot;Account_ID\&quot;,\&quot;value\&quot;:\&quot;0048d75f4d1d47f3b69428db4a68f3dd\&quot;},{\&quot;key\&quot;:\&quot;Category_ID\&quot;,\&quot;value\&quot;:\&quot;3dafc6bd8d7c45ae9840ff09e01567d1\&quot;},{\&quot;key\&quot;:\&quot;Subcategory_ID\&quot;,\&quot;value\&quot;:\&quot;500e6ba7cba37a7a2a33da8c057b4cb8\&quot;}],[{\&quot;key\&quot;:\&quot;Date\&quot;,\&quot;value\&quot;:44542},{\&quot;key\&quot;:\&quot;Merchant\&quot;,\&quot;value\&quot;:\&quot;Cahokia Llc Phoenix Az\&quot;},{\&quot;key\&quot;:\&quot;Amount $\&quot;,\&quot;value\&quot;:-74.93},{\&quot;key\&quot;:\&quot;Transaction_ID\&quot;,\&quot;value\&quot;:\&quot;ab1a34525cce48d29b0e3841b51a5fe1\&quot;},{\&quot;key\&quot;:\&quot;Account_ID\&quot;,\&quot;value\&quot;:\&quot;0048d75f4d1d47f3b69428db4a68f3dd\&quot;},{\&quot;key\&quot;:\&quot;Category_ID\&quot;,\&quot;value\&quot;:\&quot;f9fd776a16da81a948d166fcd5952d14\&quot;},{\&quot;key\&quot;:\&quot;Subcategory_ID\&quot;,\&quot;value\&quot;:\&quot;\&quot;}],[{\&quot;key\&quot;:\&quot;Date\&quot;,\&quot;value\&quot;:44542},{\&quot;key\&quot;:\&quot;Merchant\&quot;,\&quot;value\&quot;:\&quot;Esposite Ventures Scottsdale Az\&quot;},{\&quot;key\&quot;:\&quot;Amount $\&quot;,\&quot;value\&quot;:-16.1},{\&quot;key\&quot;:\&quot;Transaction_ID\&quot;,\&quot;value\&quot;:\&quot;91e76e5feced43ab8c0a9580efe3e844\&quot;},{\&quot;key\&quot;:\&quot;Account_ID\&quot;,\&quot;value\&quot;:\&quot;0048d75f4d1d47f3b69428db4a68f3dd\&quot;},{\&quot;key\&quot;:\&quot;Category_ID\&quot;,\&quot;value\&quot;:\&quot;f9fd776a16da81a948d166fcd5952d14\&quot;},{\&quot;key\&quot;:\&quot;Subcategory_ID\&quot;,\&quot;value\&quot;:\&quot;\&quot;}],[{\&quot;key\&quot;:\&quot;Date\&quot;,\&quot;value\&quot;:44542},{\&quot;key\&quot;:\&quot;Merchant\&quot;,\&quot;value\&quot;:\&quot;Wow Wow Hawaiian Le\&quot;},{\&quot;key\&quot;:\&quot;Amount $\&quot;,\&quot;value\&quot;:-7.68},{\&quot;key\&quot;:\&quot;Transaction_ID\&quot;,\&quot;value\&quot;:\&quot;707737269cd942638f6a61f6e706cb03\&quot;},{\&quot;key\&quot;:\&quot;Account_ID\&quot;,\&quot;value\&quot;:\&quot;0048d75f4d1d47f3b69428db4a68f3dd\&quot;},{\&quot;key\&quot;:\&quot;Category_ID\&quot;,\&quot;value\&quot;:\&quot;3dafc6bd8d7c45ae9840ff09e01567d1\&quot;},{\&quot;key\&quot;:\&quot;Subcategory_ID\&quot;,\&quot;value\&quot;:\&quot;500e6ba7cba37a7a2a33da8c057b4cb8\&quot;}],[{\&quot;key\&quot;:\&quot;Date\&quot;,\&quot;value\&quot;:44542},{\&quot;key\&quot;:\&quot;Merchant\&quot;,\&quot;value\&quot;:\&quot;Exxonmobil\&quot;},{\&quot;key\&quot;:\&quot;Amount $\&quot;,\&quot;value\&quot;:-38.19},{\&quot;key\&quot;:\&quot;Transaction_ID\&quot;,\&quot;value\&quot;:\&quot;4fd058cfa3fc41cbadee8991da0bf6a1\&quot;},{\&quot;key\&quot;:\&quot;Account_ID\&quot;,\&quot;value\&quot;:\&quot;0048d75f4d1d47f3b69428db4a68f3dd\&quot;},{\&quot;key\&quot;:\&quot;Category_ID\&quot;,\&quot;value\&quot;:\&quot;e6c07c144d52704210419358ba4a8d2e\&quot;},{\&quot;key\&quot;:\&quot;Subcategory_ID\&quot;,\&quot;value\&quot;:\&quot;eb055def622d4c4049ecc84f714abf21\&quot;}],[{\&quot;key\&quot;:\&quot;Date\&quot;,\&quot;value\&quot;:44541},{\&quot;key\&quot;:\&quot;Merchant\&quot;,\&quot;value\&quot;:\&quot;Conceptually Socia Phoenix Az\&quot;},{\&quot;key\&quot;:\&quot;Amount $\&quot;,\&quot;value\&quot;:-14.5},{\&quot;key\&quot;:\&quot;Transaction_ID\&quot;,\&quot;value\&quot;:\&quot;aa0267fe4b6d40d199ac9e32dd8f9fb9\&quot;},{\&quot;key\&quot;:\&quot;Account_ID\&quot;,\&quot;value\&quot;:\&quot;0048d75f4d1d47f3b69428db4a68f3dd\&quot;},{\&quot;key\&quot;:\&quot;Category_ID\&quot;,\&quot;value\&quot;:\&quot;3dafc6bd8d7c45ae9840ff09e01567d1\&quot;},{\&quot;key\&quot;:\&quot;Subcategory_ID\&quot;,\&quot;value\&quot;:\&quot;500e6ba7cba37a7a2a33da8c057b4cb8\&quot;}],[{\&quot;key\&quot;:\&quot;Date\&quot;,\&quot;value\&quot;:44541},{\&quot;key\&quot;:\&quot;Merchant\&quot;,\&quot;value\&quot;:\&quot;Apple Bill Ca Apple\&quot;},{\&quot;key\&quot;:\&quot;Amount $\&quot;,\&quot;value\&quot;:-15.89},{\&quot;key\&quot;:\&quot;Transaction_ID\&quot;,\&quot;value\&quot;:\&quot;0d3cebaeda704fba8cf217ff7c7945d2\&quot;},{\&quot;key\&quot;:\&quot;Account_ID\&quot;,\&quot;value\&quot;:\&quot;0048d75f4d1d47f3b69428db4a68f3dd\&quot;},{\&quot;key\&quot;:\&quot;Category_ID\&quot;,\&quot;value\&quot;:\&quot;f870f35280fadaf3c3539ad54e3062cd\&quot;},{\&quot;key\&quot;:\&quot;Subcategory_ID\&quot;,\&quot;value\&quot;:\&quot;62ae30b53561aa5d303e08e4369dbfc3\&quot;}],[{\&quot;key\&quot;:\&quot;Date\&quot;,\&quot;value\&quot;:44540},{\&quot;key\&quot;:\&quot;Merchant\&quot;,\&quot;value\&quot;:\&quot;Direct Deposit From Lifetime\&quot;},{\&quot;key\&quot;:\&quot;Amount $\&quot;,\&quot;value\&quot;:26.79},{\&quot;key\&quot;:\&quot;Transaction_ID\&quot;,\&quot;value\&quot;:\&quot;ce2649cb40ca4133a3c44f0243664bea\&quot;},{\&quot;key\&quot;:\&quot;Account_ID\&quot;,\&quot;value\&quot;:\&quot;4918dbe6db3e4b9384fdfe7083417a5f\&quot;},{\&quot;key\&quot;:\&quot;Category_ID\&quot;,\&quot;value\&quot;:\&quot;fabfe582932d48b78ac2846c1ec3d43f\&quot;},{\&quot;key\&quot;:\&quot;Subcategory_ID\&quot;,\&quot;value\&quot;:\&quot;\&quot;}],[{\&quot;key\&quot;:\&quot;Date\&quot;,\&quot;value\&quot;:44539},{\&quot;key\&quot;:\&quot;Merchant\&quot;,\&quot;value\&quot;:\&quot;Venmo\&quot;},{\&quot;key\&quot;:\&quot;Amount $\&quot;,\&quot;value\&quot;:-18},{\&quot;key\&quot;:\&quot;Transaction_ID\&quot;,\&quot;value\&quot;:\&quot;e3d5ba0a20ae4ba3bbdd07dc2b7ef33a\&quot;},{\&quot;key\&quot;:\&quot;Account_ID\&quot;,\&quot;value\&quot;:\&quot;4918dbe6db3e4b9384fdfe7083417a5f\&quot;},{\&quot;key\&quot;:\&quot;Category_ID\&quot;,\&quot;value\&quot;:\&quot;f9fd776a16da81a948d166fcd5952d14\&quot;},{\&quot;key\&quot;:\&quot;Subcategory_ID\&quot;,\&quot;value\&quot;:\&quot;\&quot;}],[{\&quot;key\&quot;:\&quot;Date\&quot;,\&quot;value\&quot;:44539},{\&quot;key\&quot;:\&quot;Merchant\&quot;,\&quot;value\&quot;:\&quot;Gametime Tickets Gametime Co\&quot;},{\&quot;key\&quot;:\&quot;Amount $\&quot;,\&quot;value\&quot;:-476},{\&quot;key\&quot;:\&quot;Transaction_ID\&quot;,\&quot;value\&quot;:\&quot;78709543c69c4e7d8f7841053c9e726f\&quot;},{\&quot;key\&quot;:\&quot;Account_ID\&quot;,\&quot;value\&quot;:\&quot;a82d9aba872e4e9b9684a363d4cc52b5\&quot;},{\&quot;key\&quot;:\&quot;Category_ID\&quot;,\&quot;value\&quot;:\&quot;ca8ac7c19b84437194c3fe5508eb8bda\&quot;},{\&quot;key\&quot;:\&quot;Subcategory_ID\&quot;,\&quot;value\&quot;:\&quot;\&quot;}],[{\&quot;key\&quot;:\&quot;Date\&quot;,\&quot;value\&quot;:44539},{\&quot;key\&quot;:\&quot;Merchant\&quot;,\&quot;value\&quot;:\&quot;Fry's Food And Drug\&quot;},{\&quot;key\&quot;:\&quot;Amount $\&quot;,\&quot;value\&quot;:-18.11},{\&quot;key\&quot;:\&quot;Transaction_ID\&quot;,\&quot;value\&quot;:\&quot;5457f38622ef4f33b240631247a6fa31\&quot;},{\&quot;key\&quot;:\&quot;Account_ID\&quot;,\&quot;value\&quot;:\&quot;0048d75f4d1d47f3b69428db4a68f3dd\&quot;},{\&quot;key\&quot;:\&quot;Category_ID\&quot;,\&quot;value\&quot;:\&quot;fec746a44521f2118fef19237dbf4f91\&quot;},{\&quot;key\&quot;:\&quot;Subcategory_ID\&quot;,\&quot;value\&quot;:\&quot;fd72ce5cfeedbe66d13df9602b6cff7d\&quot;}],[{\&quot;key\&quot;:\&quot;Date\&quot;,\&quot;value\&quot;:44539},{\&quot;key\&quot;:\&quot;Merchant\&quot;,\&quot;value\&quot;:\&quot;47 Ec Lou Malnatis\&quot;},{\&quot;key\&quot;:\&quot;Amount $\&quot;,\&quot;value\&quot;:-67.25},{\&quot;key\&quot;:\&quot;Transaction_ID\&quot;,\&quot;value\&quot;:\&quot;4cbcccf16343464a920177af8e0d6cd7\&quot;},{\&quot;key\&quot;:\&quot;Account_ID\&quot;,\&quot;value\&quot;:\&quot;0048d75f4d1d47f3b69428db4a68f3dd\&quot;},{\&quot;key\&quot;:\&quot;Category_ID\&quot;,\&quot;value\&quot;:\&quot;3dafc6bd8d7c45ae9840ff09e01567d1\&quot;},{\&quot;key\&quot;:\&quot;Subcategory_ID\&quot;,\&quot;value\&quot;:\&quot;500e6ba7cba37a7a2a33da8c057b4cb8\&quot;}],[{\&quot;key\&quot;:\&quot;Date\&quot;,\&quot;value\&quot;:44538},{\&quot;key\&quot;:\&quot;Merchant\&quot;,\&quot;value\&quot;:\&quot;Safeway\&quot;},{\&quot;key\&quot;:\&quot;Amount $\&quot;,\&quot;value\&quot;:-22.31},{\&quot;key\&quot;:\&quot;Transaction_ID\&quot;,\&quot;value\&quot;:\&quot;fe8c4896c45a48e4a277b58b474fddf3\&quot;},{\&quot;key\&quot;:\&quot;Account_ID\&quot;,\&quot;value\&quot;:\&quot;4918dbe6db3e4b9384fdfe7083417a5f\&quot;},{\&quot;key\&quot;:\&quot;Category_ID\&quot;,\&quot;value\&quot;:\&quot;fec746a44521f2118fef19237dbf4f91\&quot;},{\&quot;key\&quot;:\&quot;Subcategory_ID\&quot;,\&quot;value\&quot;:\&quot;fd72ce5cfeedbe66d13df9602b6cff7d\&quot;}],[{\&quot;key\&quot;:\&quot;Date\&quot;,\&quot;value\&quot;:44538},{\&quot;key\&quot;:\&quot;Merchant\&quot;,\&quot;value\&quot;:\&quot;Dri Nvidia Store Nvidia\&quot;},{\&quot;key\&quot;:\&quot;Amount $\&quot;,\&quot;value\&quot;:-4.99},{\&quot;key\&quot;:\&quot;Transaction_ID\&quot;,\&quot;value\&quot;:\&quot;c2620499c00c4625b605e2eeb1b297be\&quot;},{\&quot;key\&quot;:\&quot;Account_ID\&quot;,\&quot;value\&quot;:\&quot;0048d75f4d1d47f3b69428db4a68f3dd\&quot;},{\&quot;key\&quot;:\&quot;Category_ID\&quot;,\&quot;value\&quot;:\&quot;f9fd776a16da81a948d166fcd5952d14\&quot;},{\&quot;key\&quot;:\&quot;Subcategory_ID\&quot;,\&quot;value\&quot;:\&quot;8aa9b4db7e16cd2041aa6bfdc219e567\&quot;}],[{\&quot;key\&quot;:\&quot;Date\&quot;,\&quot;value\&quot;:44538},{\&quot;key\&quot;:\&quot;Merchant\&quot;,\&quot;value\&quot;:\&quot;Scottsdale Elks Lo Scottsdale\&quot;},{\&quot;key\&quot;:\&quot;Amount $\&quot;,\&quot;value\&quot;:-10},{\&quot;key\&quot;:\&quot;Transaction_ID\&quot;,\&quot;value\&quot;:\&quot;a77a1566f1e14b72affde1e8ddc72f26\&quot;},{\&quot;key\&quot;:\&quot;Account_ID\&quot;,\&quot;value\&quot;:\&quot;0048d75f4d1d47f3b69428db4a68f3dd\&quot;},{\&quot;key\&quot;:\&quot;Category_ID\&quot;,\&quot;value\&quot;:\&quot;3dafc6bd8d7c45ae9840ff09e01567d1\&quot;},{\&quot;key\&quot;:\&quot;Subcategory_ID\&quot;,\&quot;value\&quot;:\&quot;500e6ba7cba37a7a2a33da8c057b4cb8\&quot;}],[{\&quot;key\&quot;:\&quot;Date\&quot;,\&quot;value\&quot;:44537},{\&quot;key\&quot;:\&quot;Merchant\&quot;,\&quot;value\&quot;:\&quot;The Actuarial Bookstore Nh\&quot;},{\&quot;key\&quot;:\&quot;Amount $\&quot;,\&quot;value\&quot;:60},{\&quot;key\&quot;:\&quot;Transaction_ID\&quot;,\&quot;value\&quot;:\&quot;ffb9c12b933f40aaa793e5a5888718b3\&quot;},{\&quot;key\&quot;:\&quot;Account_ID\&quot;,\&quot;value\&quot;:\&quot;0048d75f4d1d47f3b69428db4a68f3dd\&quot;},{\&quot;key\&quot;:\&quot;Category_ID\&quot;,\&quot;value\&quot;:\&quot;fabfe582932d48b78ac2846c1ec3d43f\&quot;},{\&quot;key\&quot;:\&quot;Subcategory_ID\&quot;,\&quot;value\&quot;:\&quot;\&quot;}],[{\&quot;key\&quot;:\&quot;Date\&quot;,\&quot;value\&quot;:44537},{\&quot;key\&quot;:\&quot;Merchant\&quot;,\&quot;value\&quot;:\&quot;Best Buy\&quot;},{\&quot;key\&quot;:\&quot;Amount $\&quot;,\&quot;value\&quot;:-54.01},{\&quot;key\&quot;:\&quot;Transaction_ID\&quot;,\&quot;value\&quot;:\&quot;a95d6f7354cb40d69193d3fd71ce272c\&quot;},{\&quot;key\&quot;:\&quot;Account_ID\&quot;,\&quot;value\&quot;:\&quot;4918dbe6db3e4b9384fdfe7083417a5f\&quot;},{\&quot;key\&quot;:\&quot;Category_ID\&quot;,\&quot;value\&quot;:\&quot;6385c1768b814d3d89087c436c9cab15\&quot;},{\&quot;key\&quot;:\&quot;Subcategory_ID\&quot;,\&quot;value\&quot;:\&quot;\&quot;}],[{\&quot;key\&quot;:\&quot;Date\&quot;,\&quot;value\&quot;:44536},{\&quot;key\&quot;:\&quot;Merchant\&quot;,\&quot;value\&quot;:\&quot;Discover E Payment Lewis\&quot;},{\&quot;key\&quot;:\&quot;Amount $\&quot;,\&quot;value\&quot;:-257.26},{\&quot;key\&quot;:\&quot;Transaction_ID\&quot;,\&quot;value\&quot;:\&quot;b0d1ddd15f6c4c7a8f1cb3c2d93c1914\&quot;},{\&quot;key\&quot;:\&quot;Account_ID\&quot;,\&quot;value\&quot;:\&quot;4918dbe6db3e4b9384fdfe7083417a5f\&quot;},{\&quot;key\&quot;:\&quot;Category_ID\&quot;,\&quot;value\&quot;:\&quot;6385c1768b814d3d89087c436c9cab15\&quot;},{\&quot;key\&quot;:\&quot;Subcategory_ID\&quot;,\&quot;value\&quot;:\&quot;\&quot;}],[{\&quot;key\&quot;:\&quot;Date\&quot;,\&quot;value\&quot;:44536},{\&quot;key\&quot;:\&quot;Merchant\&quot;,\&quot;value\&quot;:\&quot;Venmo\&quot;},{\&quot;key\&quot;:\&quot;Amount $\&quot;,\&quot;value\&quot;:-742.18},{\&quot;key\&quot;:\&quot;Transaction_ID\&quot;,\&quot;value\&quot;:\&quot;67e62a34f6b34864b40cd1d4e58a9892\&quot;},{\&quot;key\&quot;:\&quot;Account_ID\&quot;,\&quot;value\&quot;:\&quot;4918dbe6db3e4b9384fdfe7083417a5f\&quot;},{\&quot;key\&quot;:\&quot;Category_ID\&quot;,\&quot;value\&quot;:\&quot;f59903268bc5a7b5382a7eb44e1c5e95\&quot;},{\&quot;key\&quot;:\&quot;Subcategory_ID\&quot;,\&quot;value\&quot;:\&quot;29203f6b3d0b39d0da4dd72a306dbe8d\&quot;}],[{\&quot;key\&quot;:\&quot;Date\&quot;,\&quot;value\&quot;:44536},{\&quot;key\&quot;:\&quot;Merchant\&quot;,\&quot;value\&quot;:\&quot;Paypal Inst Xfer Hulu\&quot;},{\&quot;key\&quot;:\&quot;Amount $\&quot;,\&quot;value\&quot;:-12.99},{\&quot;key\&quot;:\&quot;Transaction_ID\&quot;,\&quot;value\&quot;:\&quot;50c953993ebb4c06a393b68d9e19f8a3\&quot;},{\&quot;key\&quot;:\&quot;Account_ID\&quot;,\&quot;value\&quot;:\&quot;4918dbe6db3e4b9384fdfe7083417a5f\&quot;},{\&quot;key\&quot;:\&quot;Category_ID\&quot;,\&quot;value\&quot;:\&quot;f870f35280fadaf3c3539ad54e3062cd\&quot;},{\&quot;key\&quot;:\&quot;Subcategory_ID\&quot;,\&quot;value\&quot;:\&quot;62ae30b53561aa5d303e08e4369dbfc3\&quot;}],[{\&quot;key\&quot;:\&quot;Date\&quot;,\&quot;value\&quot;:44535},{\&quot;key\&quot;:\&quot;Merchant\&quot;,\&quot;value\&quot;:\&quot;Online Payment Deerfield Il\&quot;},{\&quot;key\&quot;:\&quot;Amount $\&quot;,\&quot;value\&quot;:54.01},{\&quot;key\&quot;:\&quot;Transaction_ID\&quot;,\&quot;value\&quot;:\&quot;e88d5b1d3c0943dab8c87b1ae083dd90\&quot;},{\&quot;key\&quot;:\&quot;Account_ID\&quot;,\&quot;value\&quot;:\&quot;a82d9aba872e4e9b9684a363d4cc52b5\&quot;},{\&quot;key\&quot;:\&quot;Category_ID\&quot;,\&quot;value\&quot;:\&quot;6385c1768b814d3d89087c436c9cab15\&quot;},{\&quot;key\&quot;:\&quot;Subcategory_ID\&quot;,\&quot;value\&quot;:\&quot;\&quot;}],[{\&quot;key\&quot;:\&quot;Date\&quot;,\&quot;value\&quot;:44535},{\&quot;key\&quot;:\&quot;Merchant\&quot;,\&quot;value\&quot;:\&quot;Internet Payment\&quot;},{\&quot;key\&quot;:\&quot;Amount $\&quot;,\&quot;value\&quot;:257.26},{\&quot;key\&quot;:\&quot;Transaction_ID\&quot;,\&quot;value\&quot;:\&quot;ba582e436585473193e9000348116ad7\&quot;},{\&quot;key\&quot;:\&quot;Account_ID\&quot;,\&quot;value\&quot;:\&quot;0048d75f4d1d47f3b69428db4a68f3dd\&quot;},{\&quot;key\&quot;:\&quot;Category_ID\&quot;,\&quot;value\&quot;:\&quot;6385c1768b814d3d89087c436c9cab15\&quot;},{\&quot;key\&quot;:\&quot;Subcategory_ID\&quot;,\&quot;value\&quot;:\&quot;\&quot;}],[{\&quot;key\&quot;:\&quot;Date\&quot;,\&quot;value\&quot;:44535},{\&quot;key\&quot;:\&quot;Merchant\&quot;,\&quot;value\&quot;:\&quot;Uber\&quot;},{\&quot;key\&quot;:\&quot;Amount $\&quot;,\&quot;value\&quot;:-7.81},{\&quot;key\&quot;:\&quot;Transaction_ID\&quot;,\&quot;value\&quot;:\&quot;a7fda0bc232c428397074e4e10cd3b21\&quot;},{\&quot;key\&quot;:\&quot;Account_ID\&quot;,\&quot;value\&quot;:\&quot;0048d75f4d1d47f3b69428db4a68f3dd\&quot;},{\&quot;key\&quot;:\&quot;Category_ID\&quot;,\&quot;value\&quot;:\&quot;e6c07c144d52704210419358ba4a8d2e\&quot;},{\&quot;key\&quot;:\&quot;Subcategory_ID\&quot;,\&quot;value\&quot;:\&quot;\&quot;}],[{\&quot;key\&quot;:\&quot;Date\&quot;,\&quot;value\&quot;:44535},{\&quot;key\&quot;:\&quot;Merchant\&quot;,\&quot;value\&quot;:\&quot;Uber\&quot;},{\&quot;key\&quot;:\&quot;Amount $\&quot;,\&quot;value\&quot;:-19.14},{\&quot;key\&quot;:\&quot;Transaction_ID\&quot;,\&quot;value\&quot;:\&quot;90443369937c43c0a6ed04315c117147\&quot;},{\&quot;key\&quot;:\&quot;Account_ID\&quot;,\&quot;value\&quot;:\&quot;0048d75f4d1d47f3b69428db4a68f3dd\&quot;},{\&quot;key\&quot;:\&quot;Category_ID\&quot;,\&quot;value\&quot;:\&quot;e6c07c144d52704210419358ba4a8d2e\&quot;},{\&quot;key\&quot;:\&quot;Subcategory_ID\&quot;,\&quot;value\&quot;:\&quot;\&quot;}],[{\&quot;key\&quot;:\&quot;Date\&quot;,\&quot;value\&quot;:44535},{\&quot;key\&quot;:\&quot;Merchant\&quot;,\&quot;value\&quot;:\&quot;Cashback Bonus Redemption Pymt\&quot;},{\&quot;key\&quot;:\&quot;Amount $\&quot;,\&quot;value\&quot;:44.4},{\&quot;key\&quot;:\&quot;Transaction_ID\&quot;,\&quot;value\&quot;:\&quot;7c50e53b7b6e405d8c382f0b83e73944\&quot;},{\&quot;key\&quot;:\&quot;Account_ID\&quot;,\&quot;value\&quot;:\&quot;0048d75f4d1d47f3b69428db4a68f3dd\&quot;},{\&quot;key\&quot;:\&quot;Category_ID\&quot;,\&quot;value\&quot;:\&quot;6385c1768b814d3d89087c436c9cab15\&quot;},{\&quot;key\&quot;:\&quot;Subcategory_ID\&quot;,\&quot;value\&quot;:\&quot;\&quot;}],[{\&quot;key\&quot;:\&quot;Date\&quot;,\&quot;value\&quot;:44535},{\&quot;key\&quot;:\&quot;Merchant\&quot;,\&quot;value\&quot;:\&quot;Crew Coffee Llc Scottsdale\&quot;},{\&quot;key\&quot;:\&quot;Amount $\&quot;,\&quot;value\&quot;:-8.48},{\&quot;key\&quot;:\&quot;Transaction_ID\&quot;,\&quot;value\&quot;:\&quot;59fb4562bef040e58a897da6b63ba777\&quot;},{\&quot;key\&quot;:\&quot;Account_ID\&quot;,\&quot;value\&quot;:\&quot;0048d75f4d1d47f3b69428db4a68f3dd\&quot;},{\&quot;key\&quot;:\&quot;Category_ID\&quot;,\&quot;value\&quot;:\&quot;3dafc6bd8d7c45ae9840ff09e01567d1\&quot;},{\&quot;key\&quot;:\&quot;Subcategory_ID\&quot;,\&quot;value\&quot;:\&quot;500e6ba7cba37a7a2a33da8c057b4cb8\&quot;}],[{\&quot;key\&quot;:\&quot;Date\&quot;,\&quot;value\&quot;:44535},{\&quot;key\&quot;:\&quot;Merchant\&quot;,\&quot;value\&quot;:\&quot;Uber\&quot;},{\&quot;key\&quot;:\&quot;Amount $\&quot;,\&quot;value\&quot;:-35},{\&quot;key\&quot;:\&quot;Transaction_ID\&quot;,\&quot;value\&quot;:\&quot;4c3ee08002ff43c4a222e2bd56adccc8\&quot;},{\&quot;key\&quot;:\&quot;Account_ID\&quot;,\&quot;value\&quot;:\&quot;0048d75f4d1d47f3b69428db4a68f3dd\&quot;},{\&quot;key\&quot;:\&quot;Category_ID\&quot;,\&quot;value\&quot;:\&quot;e6c07c144d52704210419358ba4a8d2e\&quot;},{\&quot;key\&quot;:\&quot;Subcategory_ID\&quot;,\&quot;value\&quot;:\&quot;\&quot;}],[{\&quot;key\&quot;:\&quot;Date\&quot;,\&quot;value\&quot;:44535},{\&quot;key\&quot;:\&quot;Merchant\&quot;,\&quot;value\&quot;:\&quot;Uber\&quot;},{\&quot;key\&quot;:\&quot;Amount $\&quot;,\&quot;value\&quot;:-23.24},{\&quot;key\&quot;:\&quot;Transaction_ID\&quot;,\&quot;value\&quot;:\&quot;43ea08d85ccc44e09cc92cfa603661fd\&quot;},{\&quot;key\&quot;:\&quot;Account_ID\&quot;,\&quot;value\&quot;:\&quot;0048d75f4d1d47f3b69428db4a68f3dd\&quot;},{\&quot;key\&quot;:\&quot;Category_ID\&quot;,\&quot;value\&quot;:\&quot;e6c07c144d52704210419358ba4a8d2e\&quot;},{\&quot;key\&quot;:\&quot;Subcategory_ID\&quot;,\&quot;value\&quot;:\&quot;\&quot;}],[{\&quot;key\&quot;:\&quot;Date\&quot;,\&quot;value\&quot;:44535},{\&quot;key\&quot;:\&quot;Merchant\&quot;,\&quot;value\&quot;:\&quot;Wendy's\&quot;},{\&quot;key\&quot;:\&quot;Amount $\&quot;,\&quot;value\&quot;:-7.58},{\&quot;key\&quot;:\&quot;Transaction_ID\&quot;,\&quot;value\&quot;:\&quot;37381df2e8a04996a65b5b793446e571\&quot;},{\&quot;key\&quot;:\&quot;Account_ID\&quot;,\&quot;value\&quot;:\&quot;4918dbe6db3e4b9384fdfe7083417a5f\&quot;},{\&quot;key\&quot;:\&quot;Category_ID\&quot;,\&quot;value\&quot;:\&quot;3dafc6bd8d7c45ae9840ff09e01567d1\&quot;},{\&quot;key\&quot;:\&quot;Subcategory_ID\&quot;,\&quot;value\&quot;:\&quot;500e6ba7cba37a7a2a33da8c057b4cb8\&quot;}],[{\&quot;key\&quot;:\&quot;Date\&quot;,\&quot;value\&quot;:44535},{\&quot;key\&quot;:\&quot;Merchant\&quot;,\&quot;value\&quot;:\&quot;Vivid Seats Bill B\&quot;},{\&quot;key\&quot;:\&quot;Amount $\&quot;,\&quot;value\&quot;:-413.18},{\&quot;key\&quot;:\&quot;Transaction_ID\&quot;,\&quot;value\&quot;:\&quot;1df55bbfa9074e8ba0814b6f0c7d2350\&quot;},{\&quot;key\&quot;:\&quot;Account_ID\&quot;,\&quot;value\&quot;:\&quot;4918dbe6db3e4b9384fdfe7083417a5f\&quot;},{\&quot;key\&quot;:\&quot;Category_ID\&quot;,\&quot;value\&quot;:\&quot;f870f35280fadaf3c3539ad54e3062cd\&quot;},{\&quot;key\&quot;:\&quot;Subcategory_ID\&quot;,\&quot;value\&quot;:\&quot;9fbba331d1ae096cbce7fb1035aebbc1\&quot;}],[{\&quot;key\&quot;:\&quot;Date\&quot;,\&quot;value\&quot;:44535},{\&quot;key\&quot;:\&quot;Merchant\&quot;,\&quot;value\&quot;:\&quot;Circle K\&quot;},{\&quot;key\&quot;:\&quot;Amount $\&quot;,\&quot;value\&quot;:-34.22},{\&quot;key\&quot;:\&quot;Transaction_ID\&quot;,\&quot;value\&quot;:\&quot;13fcdcbb1ada4f3ab144cf558f776798\&quot;},{\&quot;key\&quot;:\&quot;Account_ID\&quot;,\&quot;value\&quot;:\&quot;0048d75f4d1d47f3b69428db4a68f3dd\&quot;},{\&quot;key\&quot;:\&quot;Category_ID\&quot;,\&quot;value\&quot;:\&quot;f9fd776a16da81a948d166fcd5952d14\&quot;},{\&quot;key\&quot;:\&quot;Subcategory_ID\&quot;,\&quot;value\&quot;:\&quot;\&quot;}],[{\&quot;key\&quot;:\&quot;Date\&quot;,\&quot;value\&quot;:44535},{\&quot;key\&quot;:\&quot;Merchant\&quot;,\&quot;value\&quot;:\&quot;Citizen Public Hous Scottsdale\&quot;},{\&quot;key\&quot;:\&quot;Amount $\&quot;,\&quot;value\&quot;:-62.39},{\&quot;key\&quot;:\&quot;Transaction_ID\&quot;,\&quot;value\&quot;:\&quot;0e425760ff2e4ab8a90050327a803e18\&quot;},{\&quot;key\&quot;:\&quot;Account_ID\&quot;,\&quot;value\&quot;:\&quot;0048d75f4d1d47f3b69428db4a68f3dd\&quot;},{\&quot;key\&quot;:\&quot;Category_ID\&quot;,\&quot;value\&quot;:\&quot;3dafc6bd8d7c45ae9840ff09e01567d1\&quot;},{\&quot;key\&quot;:\&quot;Subcategory_ID\&quot;,\&quot;value\&quot;:\&quot;500e6ba7cba37a7a2a33da8c057b4cb8\&quot;}],[{\&quot;key\&quot;:\&quot;Date\&quot;,\&quot;value\&quot;:44534},{\&quot;key\&quot;:\&quot;Merchant\&quot;,\&quot;value\&quot;:\&quot;Church S Chicken Phoenix\&quot;},{\&quot;key\&quot;:\&quot;Amount $\&quot;,\&quot;value\&quot;:-7.04},{\&quot;key\&quot;:\&quot;Transaction_ID\&quot;,\&quot;value\&quot;:\&quot;ca95f3ed0c8c47bb8d0371088d0554eb\&quot;},{\&quot;key\&quot;:\&quot;Account_ID\&quot;,\&quot;value\&quot;:\&quot;0048d75f4d1d47f3b69428db4a68f3dd\&quot;},{\&quot;key\&quot;:\&quot;Category_ID\&quot;,\&quot;value\&quot;:\&quot;3dafc6bd8d7c45ae9840ff09e01567d1\&quot;},{\&quot;key\&quot;:\&quot;Subcategory_ID\&quot;,\&quot;value\&quot;:\&quot;500e6ba7cba37a7a2a33da8c057b4cb8\&quot;}],[{\&quot;key\&quot;:\&quot;Date\&quot;,\&quot;value\&quot;:44534},{\&quot;key\&quot;:\&quot;Merchant\&quot;,\&quot;value\&quot;:\&quot;Rockbar Inc Scottsdale Az\&quot;},{\&quot;key\&quot;:\&quot;Amount $\&quot;,\&quot;value\&quot;:-10},{\&quot;key\&quot;:\&quot;Transaction_ID\&quot;,\&quot;value\&quot;:\&quot;7778a4955e874432b3ef29c4123c60c9\&quot;},{\&quot;key\&quot;:\&quot;Account_ID\&quot;,\&quot;value\&quot;:\&quot;0048d75f4d1d47f3b69428db4a68f3dd\&quot;},{\&quot;key\&quot;:\&quot;Category_ID\&quot;,\&quot;value\&quot;:\&quot;3dafc6bd8d7c45ae9840ff09e01567d1\&quot;},{\&quot;key\&quot;:\&quot;Subcategory_ID\&quot;,\&quot;value\&quot;:\&quot;500e6ba7cba37a7a2a33da8c057b4cb8\&quot;}],[{\&quot;key\&quot;:\&quot;Date\&quot;,\&quot;value\&quot;:44534},{\&quot;key\&quot;:\&quot;Merchant\&quot;,\&quot;value\&quot;:\&quot;Roadrunner Lounge Scottsdale Az\&quot;},{\&quot;key\&quot;:\&quot;Amount $\&quot;,\&quot;value\&quot;:-26},{\&quot;key\&quot;:\&quot;Transaction_ID\&quot;,\&quot;value\&quot;:\&quot;171f819dc3ab451a91eb1517afbd3350\&quot;},{\&quot;key\&quot;:\&quot;Account_ID\&quot;,\&quot;value\&quot;:\&quot;0048d75f4d1d47f3b69428db4a68f3dd\&quot;},{\&quot;key\&quot;:\&quot;Category_ID\&quot;,\&quot;value\&quot;:\&quot;3dafc6bd8d7c45ae9840ff09e01567d1\&quot;},{\&quot;key\&quot;:\&quot;Subcategory_ID\&quot;,\&quot;value\&quot;:\&quot;500e6ba7cba37a7a2a33da8c057b4cb8\&quot;}],[{\&quot;key\&quot;:\&quot;Date\&quot;,\&quot;value\&quot;:44534},{\&quot;key\&quot;:\&quot;Merchant\&quot;,\&quot;value\&quot;:\&quot;R T Osullivans Sports\&quot;},{\&quot;key\&quot;:\&quot;Amount $\&quot;,\&quot;value\&quot;:-33},{\&quot;key\&quot;:\&quot;Transaction_ID\&quot;,\&quot;value\&quot;:\&quot;0f244123a05a425da9f95986ea1f5062\&quot;},{\&quot;key\&quot;:\&quot;Account_ID\&quot;,\&quot;value\&quot;:\&quot;0048d75f4d1d47f3b69428db4a68f3dd\&quot;},{\&quot;key\&quot;:\&quot;Category_ID\&quot;,\&quot;value\&quot;:\&quot;f9fd776a16da81a948d166fcd5952d14\&quot;},{\&quot;key\&quot;:\&quot;Subcategory_ID\&quot;,\&quot;value\&quot;:\&quot;\&quot;}],[{\&quot;key\&quot;:\&quot;Date\&quot;,\&quot;value\&quot;:44533},{\&quot;key\&quot;:\&quot;Merchant\&quot;,\&quot;value\&quot;:\&quot;State Farm\&quot;},{\&quot;key\&quot;:\&quot;Amount $\&quot;,\&quot;value\&quot;:-60.44},{\&quot;key\&quot;:\&quot;Transaction_ID\&quot;,\&quot;value\&quot;:\&quot;b8066cbac062423c834b405d1167fe3c\&quot;},{\&quot;key\&quot;:\&quot;Account_ID\&quot;,\&quot;value\&quot;:\&quot;0048d75f4d1d47f3b69428db4a68f3dd\&quot;},{\&quot;key\&quot;:\&quot;Category_ID\&quot;,\&quot;value\&quot;:\&quot;fc644bd9ea3a9fa6cdcd5fd08cd93f11\&quot;},{\&quot;key\&quot;:\&quot;Subcategory_ID\&quot;,\&quot;value\&quot;:\&quot;9fd040d7c063625b540d46d873e8b61c\&quot;}],[{\&quot;key\&quot;:\&quot;Date\&quot;,\&quot;value\&quot;:44533},{\&quot;key\&quot;:\&quot;Merchant\&quot;,\&quot;value\&quot;:\&quot;Direct Deposit From Lifetime\&quot;},{\&quot;key\&quot;:\&quot;Amount $\&quot;,\&quot;value\&quot;:1.66},{\&quot;key\&quot;:\&quot;Transaction_ID\&quot;,\&quot;value\&quot;:\&quot;6a31d8c7554f4de1a3af8861bb75ef75\&quot;},{\&quot;key\&quot;:\&quot;Account_ID\&quot;,\&quot;value\&quot;:\&quot;4918dbe6db3e4b9384fdfe7083417a5f\&quot;},{\&quot;key\&quot;:\&quot;Category_ID\&quot;,\&quot;value\&quot;:\&quot;fabfe582932d48b78ac2846c1ec3d43f\&quot;},{\&quot;key\&quot;:\&quot;Subcategory_ID\&quot;,\&quot;value\&quot;:\&quot;\&quot;}],[{\&quot;key\&quot;:\&quot;Date\&quot;,\&quot;value\&quot;:44533},{\&quot;key\&quot;:\&quot;Merchant\&quot;,\&quot;value\&quot;:\&quot;Hot Daisy Pizza Phoenix\&quot;},{\&quot;key\&quot;:\&quot;Amount $\&quot;,\&quot;value\&quot;:-25},{\&quot;key\&quot;:\&quot;Transaction_ID\&quot;,\&quot;value\&quot;:\&quot;5da379c3d5a24434b9fb3791bb464d3d\&quot;},{\&quot;key\&quot;:\&quot;Account_ID\&quot;,\&quot;value\&quot;:\&quot;0048d75f4d1d47f3b69428db4a68f3dd\&quot;},{\&quot;key\&quot;:\&quot;Category_ID\&quot;,\&quot;value\&quot;:\&quot;3dafc6bd8d7c45ae9840ff09e01567d1\&quot;},{\&quot;key\&quot;:\&quot;Subcategory_ID\&quot;,\&quot;value\&quot;:\&quot;500e6ba7cba37a7a2a33da8c057b4cb8\&quot;}],[{\&quot;key\&quot;:\&quot;Date\&quot;,\&quot;value\&quot;:44533},{\&quot;key\&quot;:\&quot;Merchant\&quot;,\&quot;value\&quot;:\&quot;Forward Ca Security Dispute\&quot;},{\&quot;key\&quot;:\&quot;Amount $\&quot;,\&quot;value\&quot;:1455.66},{\&quot;key\&quot;:\&quot;Transaction_ID\&quot;,\&quot;value\&quot;:\&quot;36ff3187f41740fea61f213439bb025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33},{\&quot;key\&quot;:\&quot;Merchant\&quot;,\&quot;value\&quot;:\&quot;Safeway\&quot;},{\&quot;key\&quot;:\&quot;Amount $\&quot;,\&quot;value\&quot;:-16.99},{\&quot;key\&quot;:\&quot;Transaction_ID\&quot;,\&quot;value\&quot;:\&quot;1dcd5d3c506a4e3ba1b9f1d3ccdbea31\&quot;},{\&quot;key\&quot;:\&quot;Account_ID\&quot;,\&quot;value\&quot;:\&quot;4918dbe6db3e4b9384fdfe7083417a5f\&quot;},{\&quot;key\&quot;:\&quot;Category_ID\&quot;,\&quot;value\&quot;:\&quot;fec746a44521f2118fef19237dbf4f91\&quot;},{\&quot;key\&quot;:\&quot;Subcategory_ID\&quot;,\&quot;value\&quot;:\&quot;fd72ce5cfeedbe66d13df9602b6cff7d\&quot;}],[{\&quot;key\&quot;:\&quot;Date\&quot;,\&quot;value\&quot;:44533},{\&quot;key\&quot;:\&quot;Merchant\&quot;,\&quot;value\&quot;:\&quot;Cash App Shevon Le\&quot;},{\&quot;key\&quot;:\&quot;Amount $\&quot;,\&quot;value\&quot;:-150},{\&quot;key\&quot;:\&quot;Transaction_ID\&quot;,\&quot;value\&quot;:\&quot;006e475bfed0416f8a7a6484d537a099\&quot;},{\&quot;key\&quot;:\&quot;Account_ID\&quot;,\&quot;value\&quot;:\&quot;4918dbe6db3e4b9384fdfe7083417a5f\&quot;},{\&quot;key\&quot;:\&quot;Category_ID\&quot;,\&quot;value\&quot;:\&quot;013119218f2e4bdd86aa9097992873f8\&quot;},{\&quot;key\&quot;:\&quot;Subcategory_ID\&quot;,\&quot;value\&quot;:\&quot;48d67d3eb03a0a7e7838a7bf1479fa78\&quot;}],[{\&quot;key\&quot;:\&quot;Date\&quot;,\&quot;value\&quot;:44532},{\&quot;key\&quot;:\&quot;Merchant\&quot;,\&quot;value\&quot;:\&quot;Jimmy Johns\&quot;},{\&quot;key\&quot;:\&quot;Amount $\&quot;,\&quot;value\&quot;:-13.22},{\&quot;key\&quot;:\&quot;Transaction_ID\&quot;,\&quot;value\&quot;:\&quot;d5711ce65e8343698766622ca153ff13\&quot;},{\&quot;key\&quot;:\&quot;Account_ID\&quot;,\&quot;value\&quot;:\&quot;4918dbe6db3e4b9384fdfe7083417a5f\&quot;},{\&quot;key\&quot;:\&quot;Category_ID\&quot;,\&quot;value\&quot;:\&quot;3dafc6bd8d7c45ae9840ff09e01567d1\&quot;},{\&quot;key\&quot;:\&quot;Subcategory_ID\&quot;,\&quot;value\&quot;:\&quot;500e6ba7cba37a7a2a33da8c057b4cb8\&quot;}],[{\&quot;key\&quot;:\&quot;Date\&quot;,\&quot;value\&quot;:44532},{\&quot;key\&quot;:\&quot;Merchant\&quot;,\&quot;value\&quot;:\&quot;Nationwide Payroll Sean Lewis\&quot;},{\&quot;key\&quot;:\&quot;Amount $\&quot;,\&quot;value\&quot;:1962.31},{\&quot;key\&quot;:\&quot;Transaction_ID\&quot;,\&quot;value\&quot;:\&quot;234ee337cb334086a184c647fb71e080\&quot;},{\&quot;key\&quot;:\&quot;Account_ID\&quot;,\&quot;value\&quot;:\&quot;4918dbe6db3e4b9384fdfe7083417a5f\&quot;},{\&quot;key\&quot;:\&quot;Category_ID\&quot;,\&quot;value\&quot;:\&quot;fabfe582932d48b78ac2846c1ec3d43f\&quot;},{\&quot;key\&quot;:\&quot;Subcategory_ID\&quot;,\&quot;value\&quot;:\&quot;\&quot;}],[{\&quot;key\&quot;:\&quot;Date\&quot;,\&quot;value\&quot;:44532},{\&quot;key\&quot;:\&quot;Merchant\&quot;,\&quot;value\&quot;:\&quot;Krystal And Saagar Dc\&quot;},{\&quot;key\&quot;:\&quot;Amount $\&quot;,\&quot;value\&quot;:-10},{\&quot;key\&quot;:\&quot;Transaction_ID\&quot;,\&quot;value\&quot;:\&quot;1c832dc7b71a4877b53f0bcf5a61396c\&quot;},{\&quot;key\&quot;:\&quot;Account_ID\&quot;,\&quot;value\&quot;:\&quot;0048d75f4d1d47f3b69428db4a68f3dd\&quot;},{\&quot;key\&quot;:\&quot;Category_ID\&quot;,\&quot;value\&quot;:\&quot;f870f35280fadaf3c3539ad54e3062cd\&quot;},{\&quot;key\&quot;:\&quot;Subcategory_ID\&quot;,\&quot;value\&quot;:\&quot;8aa9b4db7e16cd2041aa6bfdc219e567\&quot;}],[{\&quot;key\&quot;:\&quot;Date\&quot;,\&quot;value\&quot;:44531},{\&quot;key\&quot;:\&quot;Merchant\&quot;,\&quot;value\&quot;:\&quot;Dicks Sporting G Scottsdale\&quot;},{\&quot;key\&quot;:\&quot;Amount $\&quot;,\&quot;value\&quot;:-54.01},{\&quot;key\&quot;:\&quot;Transaction_ID\&quot;,\&quot;value\&quot;:\&quot;f533793895844791be29bcfdb177b2d6\&quot;},{\&quot;key\&quot;:\&quot;Account_ID\&quot;,\&quot;value\&quot;:\&quot;a82d9aba872e4e9b9684a363d4cc52b5\&quot;},{\&quot;key\&quot;:\&quot;Category_ID\&quot;,\&quot;value\&quot;:\&quot;fca5dd8329b743f7b77704e23a1e63ad\&quot;},{\&quot;key\&quot;:\&quot;Subcategory_ID\&quot;,\&quot;value\&quot;:\&quot;\&quot;}],[{\&quot;key\&quot;:\&quot;Date\&quot;,\&quot;value\&quot;:44531},{\&quot;key\&quot;:\&quot;Merchant\&quot;,\&quot;value\&quot;:\&quot;Venmo\&quot;},{\&quot;key\&quot;:\&quot;Amount $\&quot;,\&quot;value\&quot;:-70},{\&quot;key\&quot;:\&quot;Transaction_ID\&quot;,\&quot;value\&quot;:\&quot;e4ab975916a94515b6d02a080f720fc0\&quot;},{\&quot;key\&quot;:\&quot;Account_ID\&quot;,\&quot;value\&quot;:\&quot;4918dbe6db3e4b9384fdfe7083417a5f\&quot;},{\&quot;key\&quot;:\&quot;Category_ID\&quot;,\&quot;value\&quot;:\&quot;f9fd776a16da81a948d166fcd5952d14\&quot;},{\&quot;key\&quot;:\&quot;Subcategory_ID\&quot;,\&quot;value\&quot;:\&quot;\&quot;}],[{\&quot;key\&quot;:\&quot;Date\&quot;,\&quot;value\&quot;:44531},{\&quot;key\&quot;:\&quot;Merchant\&quot;,\&quot;value\&quot;:\&quot;Phoenix Tennis Center Phoenix\&quot;},{\&quot;key\&quot;:\&quot;Amount $\&quot;,\&quot;value\&quot;:-7.59},{\&quot;key\&quot;:\&quot;Transaction_ID\&quot;,\&quot;value\&quot;:\&quot;91e215761cd2429aaec7335bd09a6f5b\&quot;},{\&quot;key\&quot;:\&quot;Account_ID\&quot;,\&quot;value\&quot;:\&quot;0048d75f4d1d47f3b69428db4a68f3dd\&quot;},{\&quot;key\&quot;:\&quot;Category_ID\&quot;,\&quot;value\&quot;:\&quot;f9fd776a16da81a948d166fcd5952d14\&quot;},{\&quot;key\&quot;:\&quot;Subcategory_ID\&quot;,\&quot;value\&quot;:\&quot;\&quot;}],[{\&quot;key\&quot;:\&quot;Date\&quot;,\&quot;value\&quot;:44531},{\&quot;key\&quot;:\&quot;Merchant\&quot;,\&quot;value\&quot;:\&quot;Netflix\&quot;},{\&quot;key\&quot;:\&quot;Amount $\&quot;,\&quot;value\&quot;:-14.83},{\&quot;key\&quot;:\&quot;Transaction_ID\&quot;,\&quot;value\&quot;:\&quot;5801f2653c1f45c38cea9a53d057fad3\&quot;},{\&quot;key\&quot;:\&quot;Account_ID\&quot;,\&quot;value\&quot;:\&quot;0048d75f4d1d47f3b69428db4a68f3dd\&quot;},{\&quot;key\&quot;:\&quot;Category_ID\&quot;,\&quot;value\&quot;:\&quot;f870f35280fadaf3c3539ad54e3062cd\&quot;},{\&quot;key\&quot;:\&quot;Subcategory_ID\&quot;,\&quot;value\&quot;:\&quot;62ae30b53561aa5d303e08e4369dbfc3\&quot;}],[{\&quot;key\&quot;:\&quot;Date\&quot;,\&quot;value\&quot;:44531},{\&quot;key\&quot;:\&quot;Merchant\&quot;,\&quot;value\&quot;:\&quot;Spotify\&quot;},{\&quot;key\&quot;:\&quot;Amount $\&quot;,\&quot;value\&quot;:-9.99},{\&quot;key\&quot;:\&quot;Transaction_ID\&quot;,\&quot;value\&quot;:\&quot;2d87ad0b1aaf410f8d69b429de2b16ca\&quot;},{\&quot;key\&quot;:\&quot;Account_ID\&quot;,\&quot;value\&quot;:\&quot;0048d75f4d1d47f3b69428db4a68f3dd\&quot;},{\&quot;key\&quot;:\&quot;Category_ID\&quot;,\&quot;value\&quot;:\&quot;f870f35280fadaf3c3539ad54e3062cd\&quot;},{\&quot;key\&quot;:\&quot;Subcategory_ID\&quot;,\&quot;value\&quot;:\&quot;62ae30b53561aa5d303e08e4369dbfc3\&quot;}],[{\&quot;key\&quot;:\&quot;Date\&quot;,\&quot;value\&quot;:44530},{\&quot;key\&quot;:\&quot;Merchant\&quot;,\&quot;value\&quot;:\&quot;Jimmy Johns\&quot;},{\&quot;key\&quot;:\&quot;Amount $\&quot;,\&quot;value\&quot;:-12.13},{\&quot;key\&quot;:\&quot;Transaction_ID\&quot;,\&quot;value\&quot;:\&quot;5e1c25388c1f47ae820a43cac10cacd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30},{\&quot;key\&quot;:\&quot;Merchant\&quot;,\&quot;value\&quot;:\&quot;Gasbuddy Gasbuddy I Sean\&quot;},{\&quot;key\&quot;:\&quot;Amount $\&quot;,\&quot;value\&quot;:-37.47},{\&quot;key\&quot;:\&quot;Transaction_ID\&quot;,\&quot;value\&quot;:\&quot;2dc0e7900d8e4fe2a1044327b9f650ef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530},{\&quot;key\&quot;:\&quot;Merchant\&quot;,\&quot;value\&quot;:\&quot;Safeway\&quot;},{\&quot;key\&quot;:\&quot;Amount $\&quot;,\&quot;value\&quot;:-50.84},{\&quot;key\&quot;:\&quot;Transaction_ID\&quot;,\&quot;value\&quot;:\&quot;022c87d0e8c24221a63800dd17a6870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29},{\&quot;key\&quot;:\&quot;Merchant\&quot;,\&quot;value\&quot;:\&quot;Bentleys House Of\&quot;},{\&quot;key\&quot;:\&quot;Amount $\&quot;,\&quot;value\&quot;:-10},{\&quot;key\&quot;:\&quot;Transaction_ID\&quot;,\&quot;value\&quot;:\&quot;edc7ae69b2dd4666a95012130b6c07fd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529},{\&quot;key\&quot;:\&quot;Merchant\&quot;,\&quot;value\&quot;:\&quot;Jimmy Johns\&quot;},{\&quot;key\&quot;:\&quot;Amount $\&quot;,\&quot;value\&quot;:-10.72},{\&quot;key\&quot;:\&quot;Transaction_ID\&quot;,\&quot;value\&quot;:\&quot;8599c7135ea24b00b442ff2bff39fb8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28},{\&quot;key\&quot;:\&quot;Merchant\&quot;,\&quot;value\&quot;:\&quot;Ollie Vaughn S\&quot;},{\&quot;key\&quot;:\&quot;Amount $\&quot;,\&quot;value\&quot;:-34.61},{\&quot;key\&quot;:\&quot;Transaction_ID\&quot;,\&quot;value\&quot;:\&quot;f24270193b2d48448c72937bb22d9bc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28},{\&quot;key\&quot;:\&quot;Merchant\&quot;,\&quot;value\&quot;:\&quot;Wow Wow Hawaiian Le\&quot;},{\&quot;key\&quot;:\&quot;Amount $\&quot;,\&quot;value\&quot;:-26.21},{\&quot;key\&quot;:\&quot;Transaction_ID\&quot;,\&quot;value\&quot;:\&quot;a18a468ed3124d44af00635051c0a7d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27},{\&quot;key\&quot;:\&quot;Merchant\&quot;,\&quot;value\&quot;:\&quot;Forward\&quot;},{\&quot;key\&quot;:\&quot;Amount $\&quot;,\&quot;value\&quot;:-1455.66},{\&quot;key\&quot;:\&quot;Transaction_ID\&quot;,\&quot;value\&quot;:\&quot;39563b1efad64c498ee25178048ca06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26},{\&quot;key\&quot;:\&quot;Merchant\&quot;,\&quot;value\&quot;:\&quot;Sportplanlt\&quot;},{\&quot;key\&quot;:\&quot;Amount $\&quot;,\&quot;value\&quot;:-29.99},{\&quot;key\&quot;:\&quot;Transaction_ID\&quot;,\&quot;value\&quot;:\&quot;c52d599936ae4f2e9faa926d23360c1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26},{\&quot;key\&quot;:\&quot;Merchant\&quot;,\&quot;value\&quot;:\&quot;The Actuarial Bookstore\&quot;},{\&quot;key\&quot;:\&quot;Amount $\&quot;,\&quot;value\&quot;:-60},{\&quot;key\&quot;:\&quot;Transaction_ID\&quot;,\&quot;value\&quot;:\&quot;1315aa28498e4502933d8f732d69692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25},{\&quot;key\&quot;:\&quot;Merchant\&quot;,\&quot;value\&quot;:\&quot;Clr Stretch Tx Clr\&quot;},{\&quot;key\&quot;:\&quot;Amount $\&quot;,\&quot;value\&quot;:-320},{\&quot;key\&quot;:\&quot;Transaction_ID\&quot;,\&quot;value\&quot;:\&quot;a44e0e563f834d49835dde2f1cdf4b6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25},{\&quot;key\&quot;:\&quot;Merchant\&quot;,\&quot;value\&quot;:\&quot;Safeway\&quot;},{\&quot;key\&quot;:\&quot;Amount $\&quot;,\&quot;value\&quot;:-17.35},{\&quot;key\&quot;:\&quot;Transaction_ID\&quot;,\&quot;value\&quot;:\&quot;97fc772d02ad4832903d15e6f54176e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24},{\&quot;key\&quot;:\&quot;Merchant\&quot;,\&quot;value\&quot;:\&quot;Cafe Rio Camelback Phoenix\&quot;},{\&quot;key\&quot;:\&quot;Amount $\&quot;,\&quot;value\&quot;:-14.63},{\&quot;key\&quot;:\&quot;Transaction_ID\&quot;,\&quot;value\&quot;:\&quot;a324d03e77b546ee843fbeaf3ad36ea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23},{\&quot;key\&quot;:\&quot;Merchant\&quot;,\&quot;value\&quot;:\&quot;Safeway\&quot;},{\&quot;key\&quot;:\&quot;Amount $\&quot;,\&quot;value\&quot;:-32.71},{\&quot;key\&quot;:\&quot;Transaction_ID\&quot;,\&quot;value\&quot;:\&quot;e221924d8f0f449a94bb64898a441f7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23},{\&quot;key\&quot;:\&quot;Merchant\&quot;,\&quot;value\&quot;:\&quot;Venmo\&quot;},{\&quot;key\&quot;:\&quot;Amount $\&quot;,\&quot;value\&quot;:-70},{\&quot;key\&quot;:\&quot;Transaction_ID\&quot;,\&quot;value\&quot;:\&quot;695d6bc7fb6c45eb8631ad8eceba42c0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522},{\&quot;key\&quot;:\&quot;Merchant\&quot;,\&quot;value\&quot;:\&quot;Staples\&quot;},{\&quot;key\&quot;:\&quot;Amount $\&quot;,\&quot;value\&quot;:-75.51},{\&quot;key\&quot;:\&quot;Transaction_ID\&quot;,\&quot;value\&quot;:\&quot;cced5c6e35bf4e1895634dad3c3f6aa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22},{\&quot;key\&quot;:\&quot;Merchant\&quot;,\&quot;value\&quot;:\&quot;Jimmy Johns\&quot;},{\&quot;key\&quot;:\&quot;Amount $\&quot;,\&quot;value\&quot;:-17.23},{\&quot;key\&quot;:\&quot;Transaction_ID\&quot;,\&quot;value\&quot;:\&quot;af458aa51c4d4c00b6e0dc98fcdf003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22},{\&quot;key\&quot;:\&quot;Merchant\&quot;,\&quot;value\&quot;:\&quot;Walgreens\&quot;},{\&quot;key\&quot;:\&quot;Amount $\&quot;,\&quot;value\&quot;:-52.11},{\&quot;key\&quot;:\&quot;Transaction_ID\&quot;,\&quot;value\&quot;:\&quot;4b0ab823fef040f98a65234250b4b45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21},{\&quot;key\&quot;:\&quot;Merchant\&quot;,\&quot;value\&quot;:\&quot;Pp Roku For Crunchyr\&quot;},{\&quot;key\&quot;:\&quot;Amount $\&quot;,\&quot;value\&quot;:-7.99},{\&quot;key\&quot;:\&quot;Transaction_ID\&quot;,\&quot;value\&quot;:\&quot;b8cfe240045e45ea94b53facedcae6d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21},{\&quot;key\&quot;:\&quot;Merchant\&quot;,\&quot;value\&quot;:\&quot;Target\&quot;},{\&quot;key\&quot;:\&quot;Amount $\&quot;,\&quot;value\&quot;:-81.86},{\&quot;key\&quot;:\&quot;Transaction_ID\&quot;,\&quot;value\&quot;:\&quot;b618324655eb44ad9da9192b5dca7ce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21},{\&quot;key\&quot;:\&quot;Merchant\&quot;,\&quot;value\&quot;:\&quot;Morning Glory Cafe\&quot;},{\&quot;key\&quot;:\&quot;Amount $\&quot;,\&quot;value\&quot;:-54.57},{\&quot;key\&quot;:\&quot;Transaction_ID\&quot;,\&quot;value\&quot;:\&quot;33b2e5f6a4fa42df9a10c804bd91e79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20},{\&quot;key\&quot;:\&quot;Merchant\&quot;,\&quot;value\&quot;:\&quot;Apple Bill Ca Apple\&quot;},{\&quot;key\&quot;:\&quot;Amount $\&quot;,\&quot;value\&quot;:-5.29},{\&quot;key\&quot;:\&quot;Transaction_ID\&quot;,\&quot;value\&quot;:\&quot;e39ce96b447947769f7af965c4f46a2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20},{\&quot;key\&quot;:\&quot;Merchant\&quot;,\&quot;value\&quot;:\&quot;King Of Gyros\&quot;},{\&quot;key\&quot;:\&quot;Amount $\&quot;,\&quot;value\&quot;:-15},{\&quot;key\&quot;:\&quot;Transaction_ID\&quot;,\&quot;value\&quot;:\&quot;d92076934c064f94850ba8c05688bbd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19},{\&quot;key\&quot;:\&quot;Merchant\&quot;,\&quot;value\&quot;:\&quot;Venmo\&quot;},{\&quot;key\&quot;:\&quot;Amount $\&quot;,\&quot;value\&quot;:-50},{\&quot;key\&quot;:\&quot;Transaction_ID\&quot;,\&quot;value\&quot;:\&quot;c55252fa9ed24103982dcb43210939dc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519},{\&quot;key\&quot;:\&quot;Merchant\&quot;,\&quot;value\&quot;:\&quot;Tip San Holo\&quot;},{\&quot;key\&quot;:\&quot;Amount $\&quot;,\&quot;value\&quot;:-4.5},{\&quot;key\&quot;:\&quot;Transaction_ID\&quot;,\&quot;value\&quot;:\&quot;93178a5c9a644e668fa5018426af74b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19},{\&quot;key\&quot;:\&quot;Merchant\&quot;,\&quot;value\&quot;:\&quot;Hot Daisy Pizza Phoenix\&quot;},{\&quot;key\&quot;:\&quot;Amount $\&quot;,\&quot;value\&quot;:-22},{\&quot;key\&quot;:\&quot;Transaction_ID\&quot;,\&quot;value\&quot;:\&quot;84732adea8b249698a8bd83716ded77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19},{\&quot;key\&quot;:\&quot;Merchant\&quot;,\&quot;value\&quot;:\&quot;Taco Boys\&quot;},{\&quot;key\&quot;:\&quot;Amount $\&quot;,\&quot;value\&quot;:-15.22},{\&quot;key\&quot;:\&quot;Transaction_ID\&quot;,\&quot;value\&quot;:\&quot;4db48e403f594c369a2632460de6516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19},{\&quot;key\&quot;:\&quot;Merchant\&quot;,\&quot;value\&quot;:\&quot;Youtube Tv G Co\&quot;},{\&quot;key\&quot;:\&quot;Amount $\&quot;,\&quot;value\&quot;:-102.06},{\&quot;key\&quot;:\&quot;Transaction_ID\&quot;,\&quot;value\&quot;:\&quot;31d61e55065a4ec3949abf77f8bde23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19},{\&quot;key\&quot;:\&quot;Merchant\&quot;,\&quot;value\&quot;:\&quot;San Holo\&quot;},{\&quot;key\&quot;:\&quot;Amount $\&quot;,\&quot;value\&quot;:-30},{\&quot;key\&quot;:\&quot;Transaction_ID\&quot;,\&quot;value\&quot;:\&quot;0032115fe5564dc2900abdfb3f5bf06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18},{\&quot;key\&quot;:\&quot;Merchant\&quot;,\&quot;value\&quot;:\&quot;Spin Mobility Spin App\&quot;},{\&quot;key\&quot;:\&quot;Amount $\&quot;,\&quot;value\&quot;:-4.56},{\&quot;key\&quot;:\&quot;Transaction_ID\&quot;,\&quot;value\&quot;:\&quot;ffda3e30310043b2a379dfaf91bae11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18},{\&quot;key\&quot;:\&quot;Merchant\&quot;,\&quot;value\&quot;:\&quot;Ziggys Pizza And Stardus\&quot;},{\&quot;key\&quot;:\&quot;Amount $\&quot;,\&quot;value\&quot;:-50},{\&quot;key\&quot;:\&quot;Transaction_ID\&quot;,\&quot;value\&quot;:\&quot;ec494da9c1484659aea8f86e5dbb0c8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18},{\&quot;key\&quot;:\&quot;Merchant\&quot;,\&quot;value\&quot;:\&quot;Spin Mobility Spin App\&quot;},{\&quot;key\&quot;:\&quot;Amount $\&quot;,\&quot;value\&quot;:-15.64},{\&quot;key\&quot;:\&quot;Transaction_ID\&quot;,\&quot;value\&quot;:\&quot;e6d4536993ad45318adbf4175664c0a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18},{\&quot;key\&quot;:\&quot;Merchant\&quot;,\&quot;value\&quot;:\&quot;The Van Buren\&quot;},{\&quot;key\&quot;:\&quot;Amount $\&quot;,\&quot;value\&quot;:-30},{\&quot;key\&quot;:\&quot;Transaction_ID\&quot;,\&quot;value\&quot;:\&quot;e62f1ffe019748e4800b7acb4c19d7d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18},{\&quot;key\&quot;:\&quot;Merchant\&quot;,\&quot;value\&quot;:\&quot;Phoenix General\&quot;},{\&quot;key\&quot;:\&quot;Amount $\&quot;,\&quot;value\&quot;:-27.16},{\&quot;key\&quot;:\&quot;Transaction_ID\&quot;,\&quot;value\&quot;:\&quot;cb35db2f02f54b3bb3d01fb23df024d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18},{\&quot;key\&quot;:\&quot;Merchant\&quot;,\&quot;value\&quot;:\&quot;F U T U\&quot;},{\&quot;key\&quot;:\&quot;Amount $\&quot;,\&quot;value\&quot;:-16.74},{\&quot;key\&quot;:\&quot;Transaction_ID\&quot;,\&quot;value\&quot;:\&quot;c9680c9a6eb34ab0b1f043b686e5718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18},{\&quot;key\&quot;:\&quot;Merchant\&quot;,\&quot;value\&quot;:\&quot;Nationwide Payroll Sean Lewis\&quot;},{\&quot;key\&quot;:\&quot;Amount $\&quot;,\&quot;value\&quot;:1900.88},{\&quot;key\&quot;:\&quot;Transaction_ID\&quot;,\&quot;value\&quot;:\&quot;c894dd2907f34809bf7617a3efec6bfd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518},{\&quot;key\&quot;:\&quot;Merchant\&quot;,\&quot;value\&quot;:\&quot;Internet Payment\&quot;},{\&quot;key\&quot;:\&quot;Amount $\&quot;,\&quot;value\&quot;:500},{\&quot;key\&quot;:\&quot;Transaction_ID\&quot;,\&quot;value\&quot;:\&quot;a6d2102c3ca8491282c226a716bbc1e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18},{\&quot;key\&quot;:\&quot;Merchant\&quot;,\&quot;value\&quot;:\&quot;Taco Chelo Phoenix Az\&quot;},{\&quot;key\&quot;:\&quot;Amount $\&quot;,\&quot;value\&quot;:-12},{\&quot;key\&quot;:\&quot;Transaction_ID\&quot;,\&quot;value\&quot;:\&quot;9dc1e161d9ca4d25b3821bd0b0e191a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18},{\&quot;key\&quot;:\&quot;Merchant\&quot;,\&quot;value\&quot;:\&quot;Venmo\&quot;},{\&quot;key\&quot;:\&quot;Amount $\&quot;,\&quot;value\&quot;:-1866.67},{\&quot;key\&quot;:\&quot;Transaction_ID\&quot;,\&quot;value\&quot;:\&quot;521038b89c3744b99452c71d1dabddd8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518},{\&quot;key\&quot;:\&quot;Merchant\&quot;,\&quot;value\&quot;:\&quot;Discover E Payment Lewis\&quot;},{\&quot;key\&quot;:\&quot;Amount $\&quot;,\&quot;value\&quot;:-500},{\&quot;key\&quot;:\&quot;Transaction_ID\&quot;,\&quot;value\&quot;:\&quot;27314d72db5f47b4b7ccf30d87ab016a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517},{\&quot;key\&quot;:\&quot;Merchant\&quot;,\&quot;value\&quot;:\&quot;Venmo\&quot;},{\&quot;key\&quot;:\&quot;Amount $\&quot;,\&quot;value\&quot;:181},{\&quot;key\&quot;:\&quot;Transaction_ID\&quot;,\&quot;value\&quot;:\&quot;ae3757400e2b4a5c8dc75cf5770def53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517},{\&quot;key\&quot;:\&quot;Merchant\&quot;,\&quot;value\&quot;:\&quot;F U T U\&quot;},{\&quot;key\&quot;:\&quot;Amount $\&quot;,\&quot;value\&quot;:-9.6},{\&quot;key\&quot;:\&quot;Transaction_ID\&quot;,\&quot;value\&quot;:\&quot;66f87eb8faab414c965a00665688310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17},{\&quot;key\&quot;:\&quot;Merchant\&quot;,\&quot;value\&quot;:\&quot;12 West Brewing Me\&quot;},{\&quot;key\&quot;:\&quot;Amount $\&quot;,\&quot;value\&quot;:-8.8},{\&quot;key\&quot;:\&quot;Transaction_ID\&quot;,\&quot;value\&quot;:\&quot;53f96d91cb8842c7b2f83ee6342a00c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17},{\&quot;key\&quot;:\&quot;Merchant\&quot;,\&quot;value\&quot;:\&quot;Stoop Kid Phoenix Az\&quot;},{\&quot;key\&quot;:\&quot;Amount $\&quot;,\&quot;value\&quot;:-13.8},{\&quot;key\&quot;:\&quot;Transaction_ID\&quot;,\&quot;value\&quot;:\&quot;32ff3c27bdc542049a10d5295ca6ed8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17},{\&quot;key\&quot;:\&quot;Merchant\&quot;,\&quot;value\&quot;:\&quot;Tmobile Auto Pay Wa\&quot;},{\&quot;key\&quot;:\&quot;Amount $\&quot;,\&quot;value\&quot;:-70},{\&quot;key\&quot;:\&quot;Transaction_ID\&quot;,\&quot;value\&quot;:\&quot;252961de0f404a3b9fe64393a0ece0f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16},{\&quot;key\&quot;:\&quot;Merchant\&quot;,\&quot;value\&quot;:\&quot;Cavasson Eastside Cafe\&quot;},{\&quot;key\&quot;:\&quot;Amount $\&quot;,\&quot;value\&quot;:-9.1},{\&quot;key\&quot;:\&quot;Transaction_ID\&quot;,\&quot;value\&quot;:\&quot;964fd0e9efe344dfb5a39f9533058da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16},{\&quot;key\&quot;:\&quot;Merchant\&quot;,\&quot;value\&quot;:\&quot;Ticketfulfi San Holo\&quot;},{\&quot;key\&quot;:\&quot;Amount $\&quot;,\&quot;value\&quot;:-140.26},{\&quot;key\&quot;:\&quot;Transaction_ID\&quot;,\&quot;value\&quot;:\&quot;5fb3184e77674948a85117159f4367e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16},{\&quot;key\&quot;:\&quot;Merchant\&quot;,\&quot;value\&quot;:\&quot;Apple Bill Ca Apple\&quot;},{\&quot;key\&quot;:\&quot;Amount $\&quot;,\&quot;value\&quot;:-15.89},{\&quot;key\&quot;:\&quot;Transaction_ID\&quot;,\&quot;value\&quot;:\&quot;5c84a11f0a9a4473b66098a7fbbc5e2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16},{\&quot;key\&quot;:\&quot;Merchant\&quot;,\&quot;value\&quot;:\&quot;Cafe Rio Scottsdale\&quot;},{\&quot;key\&quot;:\&quot;Amount $\&quot;,\&quot;value\&quot;:-17.69},{\&quot;key\&quot;:\&quot;Transaction_ID\&quot;,\&quot;value\&quot;:\&quot;351e1f60f86e408fb9cf37d0fc24900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15},{\&quot;key\&quot;:\&quot;Merchant\&quot;,\&quot;value\&quot;:\&quot;Amazon Q Amzn Billwa\&quot;},{\&quot;key\&quot;:\&quot;Amount $\&quot;,\&quot;value\&quot;:-30},{\&quot;key\&quot;:\&quot;Transaction_ID\&quot;,\&quot;value\&quot;:\&quot;f58082440bb94e198607f16b196a9d9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15},{\&quot;key\&quot;:\&quot;Merchant\&quot;,\&quot;value\&quot;:\&quot;Atm Withdrawal Authorized On\&quot;},{\&quot;key\&quot;:\&quot;Amount $\&quot;,\&quot;value\&quot;:-300},{\&quot;key\&quot;:\&quot;Transaction_ID\&quot;,\&quot;value\&quot;:\&quot;dbac6ef1b5ad46c38204e38399ea5134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515},{\&quot;key\&quot;:\&quot;Merchant\&quot;,\&quot;value\&quot;:\&quot;Cavasson Eastside Cafe\&quot;},{\&quot;key\&quot;:\&quot;Amount $\&quot;,\&quot;value\&quot;:-3.78},{\&quot;key\&quot;:\&quot;Transaction_ID\&quot;,\&quot;value\&quot;:\&quot;9c7c00bd0dd7479caa001b6eba01034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15},{\&quot;key\&quot;:\&quot;Merchant\&quot;,\&quot;value\&quot;:\&quot;Directpay Full Balance See\&quot;},{\&quot;key\&quot;:\&quot;Amount $\&quot;,\&quot;value\&quot;:1675.51},{\&quot;key\&quot;:\&quot;Transaction_ID\&quot;,\&quot;value\&quot;:\&quot;3ba0d138e87b49f6a3a3aa22a63f51e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14},{\&quot;key\&quot;:\&quot;Merchant\&quot;,\&quot;value\&quot;:\&quot;Spin Mobility Spin App\&quot;},{\&quot;key\&quot;:\&quot;Amount $\&quot;,\&quot;value\&quot;:-8.62},{\&quot;key\&quot;:\&quot;Transaction_ID\&quot;,\&quot;value\&quot;:\&quot;fe6311fac99e4aef9ffb5a017ce6668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14},{\&quot;key\&quot;:\&quot;Merchant\&quot;,\&quot;value\&quot;:\&quot;Provecho Llc\&quot;},{\&quot;key\&quot;:\&quot;Amount $\&quot;,\&quot;value\&quot;:-26.84},{\&quot;key\&quot;:\&quot;Transaction_ID\&quot;,\&quot;value\&quot;:\&quot;aa6a3bc040a34560a68dd298a22a0a9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14},{\&quot;key\&quot;:\&quot;Merchant\&quot;,\&quot;value\&quot;:\&quot;Foxy Fruit Acai Bo\&quot;},{\&quot;key\&quot;:\&quot;Amount $\&quot;,\&quot;value\&quot;:-11.05},{\&quot;key\&quot;:\&quot;Transaction_ID\&quot;,\&quot;value\&quot;:\&quot;8c5c3a52c0b044e88536a6897e3cfe5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14},{\&quot;key\&quot;:\&quot;Merchant\&quot;,\&quot;value\&quot;:\&quot;Spin Mobility Spin App\&quot;},{\&quot;key\&quot;:\&quot;Amount $\&quot;,\&quot;value\&quot;:-0.15},{\&quot;key\&quot;:\&quot;Transaction_ID\&quot;,\&quot;value\&quot;:\&quot;75b34f06c52b48f9927dc38d228a386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14},{\&quot;key\&quot;:\&quot;Merchant\&quot;,\&quot;value\&quot;:\&quot;Spin Mobility Spin App\&quot;},{\&quot;key\&quot;:\&quot;Amount $\&quot;,\&quot;value\&quot;:-10.1},{\&quot;key\&quot;:\&quot;Transaction_ID\&quot;,\&quot;value\&quot;:\&quot;6a44fce82c694a6b9ff9a0575aece95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14},{\&quot;key\&quot;:\&quot;Merchant\&quot;,\&quot;value\&quot;:\&quot;Eb Phoenix Pizza Fes\&quot;},{\&quot;key\&quot;:\&quot;Amount $\&quot;,\&quot;value\&quot;:-15.33},{\&quot;key\&quot;:\&quot;Transaction_ID\&quot;,\&quot;value\&quot;:\&quot;610ca829e5a544c8a889c660da2761d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14},{\&quot;key\&quot;:\&quot;Merchant\&quot;,\&quot;value\&quot;:\&quot;Into The Fire Pizz\&quot;},{\&quot;key\&quot;:\&quot;Amount $\&quot;,\&quot;value\&quot;:-6.5},{\&quot;key\&quot;:\&quot;Transaction_ID\&quot;,\&quot;value\&quot;:\&quot;459e3617ce154aa3b55d9e0afaf2e58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14},{\&quot;key\&quot;:\&quot;Merchant\&quot;,\&quot;value\&quot;:\&quot;Officemax\&quot;},{\&quot;key\&quot;:\&quot;Amount $\&quot;,\&quot;value\&quot;:-44.31},{\&quot;key\&quot;:\&quot;Transaction_ID\&quot;,\&quot;value\&quot;:\&quot;417552d9ec7c4190a4a66413c95bca4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14},{\&quot;key\&quot;:\&quot;Merchant\&quot;,\&quot;value\&quot;:\&quot;L'Impasto Llc Glendale Az\&quot;},{\&quot;key\&quot;:\&quot;Amount $\&quot;,\&quot;value\&quot;:-6.01},{\&quot;key\&quot;:\&quot;Transaction_ID\&quot;,\&quot;value\&quot;:\&quot;3dbbc9bab3514c6ebd144c28d7a0f59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13},{\&quot;key\&quot;:\&quot;Merchant\&quot;,\&quot;value\&quot;:\&quot;Daruma Sushi &amp; Ramen\&quot;},{\&quot;key\&quot;:\&quot;Amount $\&quot;,\&quot;value\&quot;:-50},{\&quot;key\&quot;:\&quot;Transaction_ID\&quot;,\&quot;value\&quot;:\&quot;9a33b16f8aef4c5c955144c342c6906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12},{\&quot;key\&quot;:\&quot;Merchant\&quot;,\&quot;value\&quot;:\&quot;SnoozeCircle Record\&quot;},{\&quot;key\&quot;:\&quot;Amount $\&quot;,\&quot;value\&quot;:-34.92},{\&quot;key\&quot;:\&quot;Transaction_ID\&quot;,\&quot;value\&quot;:\&quot;d0c8858c50de4cd69408b33f826e365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12},{\&quot;key\&quot;:\&quot;Merchant\&quot;,\&quot;value\&quot;:\&quot;Venmo\&quot;},{\&quot;key\&quot;:\&quot;Amount $\&quot;,\&quot;value\&quot;:36.1},{\&quot;key\&quot;:\&quot;Transaction_ID\&quot;,\&quot;value\&quot;:\&quot;8f4ad3e99fc742038c7be5c40b5ebe60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512},{\&quot;key\&quot;:\&quot;Merchant\&quot;,\&quot;value\&quot;:\&quot;Vizmediallc\&quot;},{\&quot;key\&quot;:\&quot;Amount $\&quot;,\&quot;value\&quot;:-1.99},{\&quot;key\&quot;:\&quot;Transaction_ID\&quot;,\&quot;value\&quot;:\&quot;5792e21be36e4463ad0bd185d78e2f1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11},{\&quot;key\&quot;:\&quot;Merchant\&quot;,\&quot;value\&quot;:\&quot;Cash App Shevon Le\&quot;},{\&quot;key\&quot;:\&quot;Amount $\&quot;,\&quot;value\&quot;:-40},{\&quot;key\&quot;:\&quot;Transaction_ID\&quot;,\&quot;value\&quot;:\&quot;2babf86d7428484fab4ef450042f40f9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510},{\&quot;key\&quot;:\&quot;Merchant\&quot;,\&quot;value\&quot;:\&quot;Kahvi 1\&quot;},{\&quot;key\&quot;:\&quot;Amount $\&quot;,\&quot;value\&quot;:-20.37},{\&quot;key\&quot;:\&quot;Transaction_ID\&quot;,\&quot;value\&quot;:\&quot;548ddaf8963d4aa685a9ed6cad16f8a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09},{\&quot;key\&quot;:\&quot;Merchant\&quot;,\&quot;value\&quot;:\&quot;Ici Fee Rchmnd Web\&quot;},{\&quot;key\&quot;:\&quot;Amount $\&quot;,\&quot;value\&quot;:-3.96},{\&quot;key\&quot;:\&quot;Transaction_ID\&quot;,\&quot;value\&quot;:\&quot;effa79c7d4cf4fbebe97bf17d6013fd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09},{\&quot;key\&quot;:\&quot;Merchant\&quot;,\&quot;value\&quot;:\&quot;Venmo\&quot;},{\&quot;key\&quot;:\&quot;Amount $\&quot;,\&quot;value\&quot;:-70},{\&quot;key\&quot;:\&quot;Transaction_ID\&quot;,\&quot;value\&quot;:\&quot;e1fa838b400a4220b2a18661136c9c9c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509},{\&quot;key\&quot;:\&quot;Merchant\&quot;,\&quot;value\&quot;:\&quot;Cvs\&quot;},{\&quot;key\&quot;:\&quot;Amount $\&quot;,\&quot;value\&quot;:-20.83},{\&quot;key\&quot;:\&quot;Transaction_ID\&quot;,\&quot;value\&quot;:\&quot;cf7ff6ef7afa43a8b07640ff697e27e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09},{\&quot;key\&quot;:\&quot;Merchant\&quot;,\&quot;value\&quot;:\&quot;City Of Richmond Va\&quot;},{\&quot;key\&quot;:\&quot;Amount $\&quot;,\&quot;value\&quot;:-134.18},{\&quot;key\&quot;:\&quot;Transaction_ID\&quot;,\&quot;value\&quot;:\&quot;c19170cc10fb4dc3855413da1a9ecee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09},{\&quot;key\&quot;:\&quot;Merchant\&quot;,\&quot;value\&quot;:\&quot;SnoozeCircle Record\&quot;},{\&quot;key\&quot;:\&quot;Amount $\&quot;,\&quot;value\&quot;:-27.82},{\&quot;key\&quot;:\&quot;Transaction_ID\&quot;,\&quot;value\&quot;:\&quot;adf9dc7f6f534322af009dc89224ff5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09},{\&quot;key\&quot;:\&quot;Merchant\&quot;,\&quot;value\&quot;:\&quot;Safeway\&quot;},{\&quot;key\&quot;:\&quot;Amount $\&quot;,\&quot;value\&quot;:-41.34},{\&quot;key\&quot;:\&quot;Transaction_ID\&quot;,\&quot;value\&quot;:\&quot;7fd399639e9946e1990e6e1502fdb9a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09},{\&quot;key\&quot;:\&quot;Merchant\&quot;,\&quot;value\&quot;:\&quot;Tennis Warehouse Racque\&quot;},{\&quot;key\&quot;:\&quot;Amount $\&quot;,\&quot;value\&quot;:-25},{\&quot;key\&quot;:\&quot;Transaction_ID\&quot;,\&quot;value\&quot;:\&quot;261054c6801f40e38e58d97ed5b18b7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08},{\&quot;key\&quot;:\&quot;Merchant\&quot;,\&quot;value\&quot;:\&quot;Discover E Payment Lewis\&quot;},{\&quot;key\&quot;:\&quot;Amount $\&quot;,\&quot;value\&quot;:-1000},{\&quot;key\&quot;:\&quot;Transaction_ID\&quot;,\&quot;value\&quot;:\&quot;68d47fc4ce7c426e97ef6bf6dd4421d3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508},{\&quot;key\&quot;:\&quot;Merchant\&quot;,\&quot;value\&quot;:\&quot;Walgreens\&quot;},{\&quot;key\&quot;:\&quot;Amount $\&quot;,\&quot;value\&quot;:-50.46},{\&quot;key\&quot;:\&quot;Transaction_ID\&quot;,\&quot;value\&quot;:\&quot;1ab77b4296e041a5825a387d6f2e32c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07},{\&quot;key\&quot;:\&quot;Merchant\&quot;,\&quot;value\&quot;:\&quot;Central Plaza Llc Woodland\&quot;},{\&quot;key\&quot;:\&quot;Amount $\&quot;,\&quot;value\&quot;:-5},{\&quot;key\&quot;:\&quot;Transaction_ID\&quot;,\&quot;value\&quot;:\&quot;fecbb173f2914d5bac08c6d3b3f622b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07},{\&quot;key\&quot;:\&quot;Merchant\&quot;,\&quot;value\&quot;:\&quot;Ollie Vaughn S\&quot;},{\&quot;key\&quot;:\&quot;Amount $\&quot;,\&quot;value\&quot;:-16.69},{\&quot;key\&quot;:\&quot;Transaction_ID\&quot;,\&quot;value\&quot;:\&quot;f2e8c00630de49c1904df38c136d110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07},{\&quot;key\&quot;:\&quot;Merchant\&quot;,\&quot;value\&quot;:\&quot;Staples\&quot;},{\&quot;key\&quot;:\&quot;Amount $\&quot;,\&quot;value\&quot;:-10.82},{\&quot;key\&quot;:\&quot;Transaction_ID\&quot;,\&quot;value\&quot;:\&quot;6ef1d97052f14056972f90681230547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07},{\&quot;key\&quot;:\&quot;Merchant\&quot;,\&quot;value\&quot;:\&quot;See Tickets Phoenix Pri\&quot;},{\&quot;key\&quot;:\&quot;Amount $\&quot;,\&quot;value\&quot;:-35},{\&quot;key\&quot;:\&quot;Transaction_ID\&quot;,\&quot;value\&quot;:\&quot;601a65e5db204e109e926a1b95403f8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07},{\&quot;key\&quot;:\&quot;Merchant\&quot;,\&quot;value\&quot;:\&quot;Ollie Vaughn S\&quot;},{\&quot;key\&quot;:\&quot;Amount $\&quot;,\&quot;value\&quot;:-9.78},{\&quot;key\&quot;:\&quot;Transaction_ID\&quot;,\&quot;value\&quot;:\&quot;3199b71982f345e89b6928c6d4a7733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06},{\&quot;key\&quot;:\&quot;Merchant\&quot;,\&quot;value\&quot;:\&quot;Trader Joe's\&quot;},{\&quot;key\&quot;:\&quot;Amount $\&quot;,\&quot;value\&quot;:-62.05},{\&quot;key\&quot;:\&quot;Transaction_ID\&quot;,\&quot;value\&quot;:\&quot;d91851bb46c54fce821f6572ad601bf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06},{\&quot;key\&quot;:\&quot;Merchant\&quot;,\&quot;value\&quot;:\&quot;Internet Payment\&quot;},{\&quot;key\&quot;:\&quot;Amount $\&quot;,\&quot;value\&quot;:1000},{\&quot;key\&quot;:\&quot;Transaction_ID\&quot;,\&quot;value\&quot;:\&quot;54792fe2e8644a7ab7fa63d38d7dab6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05},{\&quot;key\&quot;:\&quot;Merchant\&quot;,\&quot;value\&quot;:\&quot;Greka Pita\&quot;},{\&quot;key\&quot;:\&quot;Amount $\&quot;,\&quot;value\&quot;:-14.98},{\&quot;key\&quot;:\&quot;Transaction_ID\&quot;,\&quot;value\&quot;:\&quot;e22335cf319347639e52b164e8ef3e5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05},{\&quot;key\&quot;:\&quot;Merchant\&quot;,\&quot;value\&quot;:\&quot;Uniqlo Usa\&quot;},{\&quot;key\&quot;:\&quot;Amount $\&quot;,\&quot;value\&quot;:-107.36},{\&quot;key\&quot;:\&quot;Transaction_ID\&quot;,\&quot;value\&quot;:\&quot;b13fea4b4d7847d7845a69653cc2eed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05},{\&quot;key\&quot;:\&quot;Merchant\&quot;,\&quot;value\&quot;:\&quot;Staples\&quot;},{\&quot;key\&quot;:\&quot;Amount $\&quot;,\&quot;value\&quot;:-17.37},{\&quot;key\&quot;:\&quot;Transaction_ID\&quot;,\&quot;value\&quot;:\&quot;a00d021207744f4fb86ad2fab8288f0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05},{\&quot;key\&quot;:\&quot;Merchant\&quot;,\&quot;value\&quot;:\&quot;Direct Deposit From Lifetime\&quot;},{\&quot;key\&quot;:\&quot;Amount $\&quot;,\&quot;value\&quot;:60.95},{\&quot;key\&quot;:\&quot;Transaction_ID\&quot;,\&quot;value\&quot;:\&quot;3da54ad83ee247ba900e30809030a4ea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505},{\&quot;key\&quot;:\&quot;Merchant\&quot;,\&quot;value\&quot;:\&quot;Purchase Authorized On Staples\&quot;},{\&quot;key\&quot;:\&quot;Amount $\&quot;,\&quot;value\&quot;:-69.47},{\&quot;key\&quot;:\&quot;Transaction_ID\&quot;,\&quot;value\&quot;:\&quot;397cc684f2b8410aab8bf8622616ceb7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504},{\&quot;key\&quot;:\&quot;Merchant\&quot;,\&quot;value\&quot;:\&quot;Nationwide Payroll Sean Lewis\&quot;},{\&quot;key\&quot;:\&quot;Amount $\&quot;,\&quot;value\&quot;:1900.87},{\&quot;key\&quot;:\&quot;Transaction_ID\&quot;,\&quot;value\&quot;:\&quot;9a447ab9a4b849b18e12a2b2f6cc45ec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503},{\&quot;key\&quot;:\&quot;Merchant\&quot;,\&quot;value\&quot;:\&quot;Postmates\&quot;},{\&quot;key\&quot;:\&quot;Amount $\&quot;,\&quot;value\&quot;:-17.29},{\&quot;key\&quot;:\&quot;Transaction_ID\&quot;,\&quot;value\&quot;:\&quot;dbe15dfcf48d4ca68221c7c7fea8acd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03},{\&quot;key\&quot;:\&quot;Merchant\&quot;,\&quot;value\&quot;:\&quot;Walmart\&quot;},{\&quot;key\&quot;:\&quot;Amount $\&quot;,\&quot;value\&quot;:-34.59},{\&quot;key\&quot;:\&quot;Transaction_ID\&quot;,\&quot;value\&quot;:\&quot;d63ac95737084198b1f39645cb25468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03},{\&quot;key\&quot;:\&quot;Merchant\&quot;,\&quot;value\&quot;:\&quot;Cashback Bonus Redemption Pymt\&quot;},{\&quot;key\&quot;:\&quot;Amount $\&quot;,\&quot;value\&quot;:43.38},{\&quot;key\&quot;:\&quot;Transaction_ID\&quot;,\&quot;value\&quot;:\&quot;bf51e8d4e7b5489b83cfaf2d82865f8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03},{\&quot;key\&quot;:\&quot;Merchant\&quot;,\&quot;value\&quot;:\&quot;Internet Payment\&quot;},{\&quot;key\&quot;:\&quot;Amount $\&quot;,\&quot;value\&quot;:1000},{\&quot;key\&quot;:\&quot;Transaction_ID\&quot;,\&quot;value\&quot;:\&quot;81477d0ea9d04593a260377d4361463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03},{\&quot;key\&quot;:\&quot;Merchant\&quot;,\&quot;value\&quot;:\&quot;Aps Electric Pmt Payment\&quot;},{\&quot;key\&quot;:\&quot;Amount $\&quot;,\&quot;value\&quot;:-166.33},{\&quot;key\&quot;:\&quot;Transaction_ID\&quot;,\&quot;value\&quot;:\&quot;5f8684eaa2d44b4da9fe1b3e004d82ab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503},{\&quot;key\&quot;:\&quot;Merchant\&quot;,\&quot;value\&quot;:\&quot;Discover E Payment Lewis\&quot;},{\&quot;key\&quot;:\&quot;Amount $\&quot;,\&quot;value\&quot;:-1000},{\&quot;key\&quot;:\&quot;Transaction_ID\&quot;,\&quot;value\&quot;:\&quot;3f7e3414221848799bba51e0a8afa987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503},{\&quot;key\&quot;:\&quot;Merchant\&quot;,\&quot;value\&quot;:\&quot;Hulu\&quot;},{\&quot;key\&quot;:\&quot;Amount $\&quot;,\&quot;value\&quot;:-12.99},{\&quot;key\&quot;:\&quot;Transaction_ID\&quot;,\&quot;value\&quot;:\&quot;1de5c311955d43a19f7c9c73add4b7a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02},{\&quot;key\&quot;:\&quot;Merchant\&quot;,\&quot;value\&quot;:\&quot;Krystal And Saagar\&quot;},{\&quot;key\&quot;:\&quot;Amount $\&quot;,\&quot;value\&quot;:-10},{\&quot;key\&quot;:\&quot;Transaction_ID\&quot;,\&quot;value\&quot;:\&quot;ebbfdc37d47c4cf58aae83b7c1c708d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01},{\&quot;key\&quot;:\&quot;Merchant\&quot;,\&quot;value\&quot;:\&quot;Spotify\&quot;},{\&quot;key\&quot;:\&quot;Amount $\&quot;,\&quot;value\&quot;:-9.99},{\&quot;key\&quot;:\&quot;Transaction_ID\&quot;,\&quot;value\&quot;:\&quot;ea7f2e7402f847bdbc8d74bbc3f3f6a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01},{\&quot;key\&quot;:\&quot;Merchant\&quot;,\&quot;value\&quot;:\&quot;Netflix\&quot;},{\&quot;key\&quot;:\&quot;Amount $\&quot;,\&quot;value\&quot;:-14.83},{\&quot;key\&quot;:\&quot;Transaction_ID\&quot;,\&quot;value\&quot;:\&quot;b839eed1dee448c39aa84629905af09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01},{\&quot;key\&quot;:\&quot;Merchant\&quot;,\&quot;value\&quot;:\&quot;Cavasson Eastside Cafe\&quot;},{\&quot;key\&quot;:\&quot;Amount $\&quot;,\&quot;value\&quot;:-10.71},{\&quot;key\&quot;:\&quot;Transaction_ID\&quot;,\&quot;value\&quot;:\&quot;7a278ef52ad5413b82f2e61216c6a63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501},{\&quot;key\&quot;:\&quot;Merchant\&quot;,\&quot;value\&quot;:\&quot;Venmo\&quot;},{\&quot;key\&quot;:\&quot;Amount $\&quot;,\&quot;value\&quot;:-1676.72},{\&quot;key\&quot;:\&quot;Transaction_ID\&quot;,\&quot;value\&quot;:\&quot;658d4ab2afdd47c3a38016e5e3acd696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99},{\&quot;key\&quot;:\&quot;Merchant\&quot;,\&quot;value\&quot;:\&quot;Target\&quot;},{\&quot;key\&quot;:\&quot;Amount $\&quot;,\&quot;value\&quot;:-8.13},{\&quot;key\&quot;:\&quot;Transaction_ID\&quot;,\&quot;value\&quot;:\&quot;89ca885746eb4a8a8713297dcafa8ce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99},{\&quot;key\&quot;:\&quot;Merchant\&quot;,\&quot;value\&quot;:\&quot;Circle K\&quot;},{\&quot;key\&quot;:\&quot;Amount $\&quot;,\&quot;value\&quot;:-4.88},{\&quot;key\&quot;:\&quot;Transaction_ID\&quot;,\&quot;value\&quot;:\&quot;7b9006d2871646b3b5088076e92c2fa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99},{\&quot;key\&quot;:\&quot;Merchant\&quot;,\&quot;value\&quot;:\&quot;Target\&quot;},{\&quot;key\&quot;:\&quot;Amount $\&quot;,\&quot;value\&quot;:-5.48},{\&quot;key\&quot;:\&quot;Transaction_ID\&quot;,\&quot;value\&quot;:\&quot;675eebcbe4ea4beeb2a2c4eb01ef103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99},{\&quot;key\&quot;:\&quot;Merchant\&quot;,\&quot;value\&quot;:\&quot;Dicks Sporting Goods 362\&quot;},{\&quot;key\&quot;:\&quot;Amount $\&quot;,\&quot;value\&quot;:32.42},{\&quot;key\&quot;:\&quot;Transaction_ID\&quot;,\&quot;value\&quot;:\&quot;4f35651f4a594f2d9e12504e8c7c0ce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98},{\&quot;key\&quot;:\&quot;Merchant\&quot;,\&quot;value\&quot;:\&quot;Taco Bell\&quot;},{\&quot;key\&quot;:\&quot;Amount $\&quot;,\&quot;value\&quot;:-5.73},{\&quot;key\&quot;:\&quot;Transaction_ID\&quot;,\&quot;value\&quot;:\&quot;ec037bd50c0d49a9b73c790fd00ae53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98},{\&quot;key\&quot;:\&quot;Merchant\&quot;,\&quot;value\&quot;:\&quot;Target\&quot;},{\&quot;key\&quot;:\&quot;Amount $\&quot;,\&quot;value\&quot;:-92.77},{\&quot;key\&quot;:\&quot;Transaction_ID\&quot;,\&quot;value\&quot;:\&quot;b3c7b00a97d04dd0a07b7688a1b9659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98},{\&quot;key\&quot;:\&quot;Merchant\&quot;,\&quot;value\&quot;:\&quot;Direct Deposit From Lifetime\&quot;},{\&quot;key\&quot;:\&quot;Amount $\&quot;,\&quot;value\&quot;:21.88},{\&quot;key\&quot;:\&quot;Transaction_ID\&quot;,\&quot;value\&quot;:\&quot;a0f2f59017f94742b2cd059450b6fa09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98},{\&quot;key\&quot;:\&quot;Merchant\&quot;,\&quot;value\&quot;:\&quot;Cafe Rio Scottsdale\&quot;},{\&quot;key\&quot;:\&quot;Amount $\&quot;,\&quot;value\&quot;:-27.41},{\&quot;key\&quot;:\&quot;Transaction_ID\&quot;,\&quot;value\&quot;:\&quot;635fa3c715e84a059ae47a2ebc2b56f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98},{\&quot;key\&quot;:\&quot;Merchant\&quot;,\&quot;value\&quot;:\&quot;Amc Desert Ridge 18\&quot;},{\&quot;key\&quot;:\&quot;Amount $\&quot;,\&quot;value\&quot;:-17.14},{\&quot;key\&quot;:\&quot;Transaction_ID\&quot;,\&quot;value\&quot;:\&quot;04d61c3149bf40ad95549ec12cc18a8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97},{\&quot;key\&quot;:\&quot;Merchant\&quot;,\&quot;value\&quot;:\&quot;Apple Store\&quot;},{\&quot;key\&quot;:\&quot;Amount $\&quot;,\&quot;value\&quot;:-366.23},{\&quot;key\&quot;:\&quot;Transaction_ID\&quot;,\&quot;value\&quot;:\&quot;78cdfbc40d2d4c8c81772b5d60ba92e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96},{\&quot;key\&quot;:\&quot;Merchant\&quot;,\&quot;value\&quot;:\&quot;Youtube Tv G Co\&quot;},{\&quot;key\&quot;:\&quot;Amount $\&quot;,\&quot;value\&quot;:-24.37},{\&quot;key\&quot;:\&quot;Transaction_ID\&quot;,\&quot;value\&quot;:\&quot;aa88700e8e1a451ead4cda385d42917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96},{\&quot;key\&quot;:\&quot;Merchant\&quot;,\&quot;value\&quot;:\&quot;Hot Yoga\&quot;},{\&quot;key\&quot;:\&quot;Amount $\&quot;,\&quot;value\&quot;:-198.74},{\&quot;key\&quot;:\&quot;Transaction_ID\&quot;,\&quot;value\&quot;:\&quot;16d5ca54b8e04cb8a6aa88448c08f17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95},{\&quot;key\&quot;:\&quot;Merchant\&quot;,\&quot;value\&quot;:\&quot;Circle K\&quot;},{\&quot;key\&quot;:\&quot;Amount $\&quot;,\&quot;value\&quot;:-35.58},{\&quot;key\&quot;:\&quot;Transaction_ID\&quot;,\&quot;value\&quot;:\&quot;b00b206fa8924d56aa1c89075ff96be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95},{\&quot;key\&quot;:\&quot;Merchant\&quot;,\&quot;value\&quot;:\&quot;Teaching &amp; Learning Stuf\&quot;},{\&quot;key\&quot;:\&quot;Amount $\&quot;,\&quot;value\&quot;:-48.86},{\&quot;key\&quot;:\&quot;Transaction_ID\&quot;,\&quot;value\&quot;:\&quot;9bd8db704afd409ea38c638cd53de16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95},{\&quot;key\&quot;:\&quot;Merchant\&quot;,\&quot;value\&quot;:\&quot;Teharu Sushi\&quot;},{\&quot;key\&quot;:\&quot;Amount $\&quot;,\&quot;value\&quot;:-30},{\&quot;key\&quot;:\&quot;Transaction_ID\&quot;,\&quot;value\&quot;:\&quot;66104a80013f4a31a6fd1ad26a85e39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94},{\&quot;key\&quot;:\&quot;Merchant\&quot;,\&quot;value\&quot;:\&quot;Clr Stretch Tx Clr\&quot;},{\&quot;key\&quot;:\&quot;Amount $\&quot;,\&quot;value\&quot;:-320},{\&quot;key\&quot;:\&quot;Transaction_ID\&quot;,\&quot;value\&quot;:\&quot;7df0a90352324b60b4e7d362348582a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94},{\&quot;key\&quot;:\&quot;Merchant\&quot;,\&quot;value\&quot;:\&quot;Venmo\&quot;},{\&quot;key\&quot;:\&quot;Amount $\&quot;,\&quot;value\&quot;:-75.26},{\&quot;key\&quot;:\&quot;Transaction_ID\&quot;,\&quot;value\&quot;:\&quot;68f67949b4554456b7090e1f08074207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94},{\&quot;key\&quot;:\&quot;Merchant\&quot;,\&quot;value\&quot;:\&quot;Safeway\&quot;},{\&quot;key\&quot;:\&quot;Amount $\&quot;,\&quot;value\&quot;:-14.49},{\&quot;key\&quot;:\&quot;Transaction_ID\&quot;,\&quot;value\&quot;:\&quot;420565ca350b4dbfbd6297b854859bd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94},{\&quot;key\&quot;:\&quot;Merchant\&quot;,\&quot;value\&quot;:\&quot;Breakfast Club\&quot;},{\&quot;key\&quot;:\&quot;Amount $\&quot;,\&quot;value\&quot;:-39.08},{\&quot;key\&quot;:\&quot;Transaction_ID\&quot;,\&quot;value\&quot;:\&quot;1e38b8dbb9494a05a82d257f952f88a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94},{\&quot;key\&quot;:\&quot;Merchant\&quot;,\&quot;value\&quot;:\&quot;Ltf Life Time Mo\&quot;},{\&quot;key\&quot;:\&quot;Amount $\&quot;,\&quot;value\&quot;:-16.15},{\&quot;key\&quot;:\&quot;Transaction_ID\&quot;,\&quot;value\&quot;:\&quot;1b720483ad614e9a9656ccb1904dbf8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92},{\&quot;key\&quot;:\&quot;Merchant\&quot;,\&quot;value\&quot;:\&quot;Apple Bill Ca Apple\&quot;},{\&quot;key\&quot;:\&quot;Amount $\&quot;,\&quot;value\&quot;:-105.99},{\&quot;key\&quot;:\&quot;Transaction_ID\&quot;,\&quot;value\&quot;:\&quot;fdb6bd15301b40498eb9efb84e41216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92},{\&quot;key\&quot;:\&quot;Merchant\&quot;,\&quot;value\&quot;:\&quot;Postmates\&quot;},{\&quot;key\&quot;:\&quot;Amount $\&quot;,\&quot;value\&quot;:-17.54},{\&quot;key\&quot;:\&quot;Transaction_ID\&quot;,\&quot;value\&quot;:\&quot;e7a9bbb2c0cd4019bd0359aab3319e9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92},{\&quot;key\&quot;:\&quot;Merchant\&quot;,\&quot;value\&quot;:\&quot;Cb Live F&amp;B\&quot;},{\&quot;key\&quot;:\&quot;Amount $\&quot;,\&quot;value\&quot;:-40},{\&quot;key\&quot;:\&quot;Transaction_ID\&quot;,\&quot;value\&quot;:\&quot;e63b963075ed46fe9c29dc252bb30a5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91},{\&quot;key\&quot;:\&quot;Merchant\&quot;,\&quot;value\&quot;:\&quot;Dicks Sporting Goods 362\&quot;},{\&quot;key\&quot;:\&quot;Amount $\&quot;,\&quot;value\&quot;:-103},{\&quot;key\&quot;:\&quot;Transaction_ID\&quot;,\&quot;value\&quot;:\&quot;83302074a400484e98b7c933a88c98a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91},{\&quot;key\&quot;:\&quot;Merchant\&quot;,\&quot;value\&quot;:\&quot;Panda Express\&quot;},{\&quot;key\&quot;:\&quot;Amount $\&quot;,\&quot;value\&quot;:-12.57},{\&quot;key\&quot;:\&quot;Transaction_ID\&quot;,\&quot;value\&quot;:\&quot;7361249e639c44e8ab1591282d9d4b1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90},{\&quot;key\&quot;:\&quot;Merchant\&quot;,\&quot;value\&quot;:\&quot;Nationwide Payroll Sean Lewis\&quot;},{\&quot;key\&quot;:\&quot;Amount $\&quot;,\&quot;value\&quot;:1900.88},{\&quot;key\&quot;:\&quot;Transaction_ID\&quot;,\&quot;value\&quot;:\&quot;e7fcdc9a9f4141e3aa1c5e98d27be7be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90},{\&quot;key\&quot;:\&quot;Merchant\&quot;,\&quot;value\&quot;:\&quot;Amazon\&quot;},{\&quot;key\&quot;:\&quot;Amount $\&quot;,\&quot;value\&quot;:-26.65},{\&quot;key\&quot;:\&quot;Transaction_ID\&quot;,\&quot;value\&quot;:\&quot;d67afc2f2da64d379d8f0e403dccaa7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90},{\&quot;key\&quot;:\&quot;Merchant\&quot;,\&quot;value\&quot;:\&quot;Venmo\&quot;},{\&quot;key\&quot;:\&quot;Amount $\&quot;,\&quot;value\&quot;:-1682.31},{\&quot;key\&quot;:\&quot;Transaction_ID\&quot;,\&quot;value\&quot;:\&quot;c9bccae1be5e4802802517c222106969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90},{\&quot;key\&quot;:\&quot;Merchant\&quot;,\&quot;value\&quot;:\&quot;Pp Roku For Crunchyr\&quot;},{\&quot;key\&quot;:\&quot;Amount $\&quot;,\&quot;value\&quot;:-7.99},{\&quot;key\&quot;:\&quot;Transaction_ID\&quot;,\&quot;value\&quot;:\&quot;9593a33660f54d278cf78fd4469fd79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90},{\&quot;key\&quot;:\&quot;Merchant\&quot;,\&quot;value\&quot;:\&quot;Jimmy Johns\&quot;},{\&quot;key\&quot;:\&quot;Amount $\&quot;,\&quot;value\&quot;:-10.72},{\&quot;key\&quot;:\&quot;Transaction_ID\&quot;,\&quot;value\&quot;:\&quot;4e0462aa50364416a5600e0f73be8e0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89},{\&quot;key\&quot;:\&quot;Merchant\&quot;,\&quot;value\&quot;:\&quot;Transfer From Lewis Sharon\&quot;},{\&quot;key\&quot;:\&quot;Amount $\&quot;,\&quot;value\&quot;:377.98},{\&quot;key\&quot;:\&quot;Transaction_ID\&quot;,\&quot;value\&quot;:\&quot;f3a4f88056cc435dbb87699e5e58e6fa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89},{\&quot;key\&quot;:\&quot;Merchant\&quot;,\&quot;value\&quot;:\&quot;Cavasson Eastside Cafe\&quot;},{\&quot;key\&quot;:\&quot;Amount $\&quot;,\&quot;value\&quot;:-10.45},{\&quot;key\&quot;:\&quot;Transaction_ID\&quot;,\&quot;value\&quot;:\&quot;5b7799cb813b4ce99c73cb24b81f0da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89},{\&quot;key\&quot;:\&quot;Merchant\&quot;,\&quot;value\&quot;:\&quot;Interest Charge On Purchases\&quot;},{\&quot;key\&quot;:\&quot;Amount $\&quot;,\&quot;value\&quot;:0},{\&quot;key\&quot;:\&quot;Transaction_ID\&quot;,\&quot;value\&quot;:\&quot;1fe002a3683745eb95433fea84aba7f4\&quot;},{\&quot;key\&quot;:\&quot;Account_ID\&quot;,\&quot;value\&quot;:\&quot;a82d9aba872e4e9b9684a363d4cc52b5\&quot;},{\&quot;key\&quot;:\&quot;Category_ID\&quot;,\&quot;value\&quot;:\&quot;de9b1d2511bc45a9bb2d484aa9e33b31\&quot;},{\&quot;key\&quot;:\&quot;Subcategory_ID\&quot;,\&quot;value\&quot;:\&quot;\&quot;}],[{\&quot;key\&quot;:\&quot;Date\&quot;,\&quot;value\&quot;:44489},{\&quot;key\&quot;:\&quot;Merchant\&quot;,\&quot;value\&quot;:\&quot;Transfer From Lewis Sharon\&quot;},{\&quot;key\&quot;:\&quot;Amount $\&quot;,\&quot;value\&quot;:812.12},{\&quot;key\&quot;:\&quot;Transaction_ID\&quot;,\&quot;value\&quot;:\&quot;1fa5c56a176d49faa7693166784364ac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89},{\&quot;key\&quot;:\&quot;Merchant\&quot;,\&quot;value\&quot;:\&quot;Interest Charge On Cash\&quot;},{\&quot;key\&quot;:\&quot;Amount $\&quot;,\&quot;value\&quot;:0},{\&quot;key\&quot;:\&quot;Transaction_ID\&quot;,\&quot;value\&quot;:\&quot;1de4496d4299417788154063dbe13784\&quot;},{\&quot;key\&quot;:\&quot;Account_ID\&quot;,\&quot;value\&quot;:\&quot;a82d9aba872e4e9b9684a363d4cc52b5\&quot;},{\&quot;key\&quot;:\&quot;Category_ID\&quot;,\&quot;value\&quot;:\&quot;de9b1d2511bc45a9bb2d484aa9e33b31\&quot;},{\&quot;key\&quot;:\&quot;Subcategory_ID\&quot;,\&quot;value\&quot;:\&quot;\&quot;}],[{\&quot;key\&quot;:\&quot;Date\&quot;,\&quot;value\&quot;:44489},{\&quot;key\&quot;:\&quot;Merchant\&quot;,\&quot;value\&quot;:\&quot;Youtube Tv G Co\&quot;},{\&quot;key\&quot;:\&quot;Amount $\&quot;,\&quot;value\&quot;:-70.58},{\&quot;key\&quot;:\&quot;Transaction_ID\&quot;,\&quot;value\&quot;:\&quot;08a746e40bb74262a0c4a12aaad1b67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88},{\&quot;key\&quot;:\&quot;Merchant\&quot;,\&quot;value\&quot;:\&quot;Ajo Als Me Ajo\&quot;},{\&quot;key\&quot;:\&quot;Amount $\&quot;,\&quot;value\&quot;:-19.28},{\&quot;key\&quot;:\&quot;Transaction_ID\&quot;,\&quot;value\&quot;:\&quot;87f6124d2b4745b29a31b9b58b7bef5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88},{\&quot;key\&quot;:\&quot;Merchant\&quot;,\&quot;value\&quot;:\&quot;Freshmint Scottsdale Az\&quot;},{\&quot;key\&quot;:\&quot;Amount $\&quot;,\&quot;value\&quot;:-35},{\&quot;key\&quot;:\&quot;Transaction_ID\&quot;,\&quot;value\&quot;:\&quot;5f55ab5233e546f894f0048c1a9ff36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88},{\&quot;key\&quot;:\&quot;Merchant\&quot;,\&quot;value\&quot;:\&quot;Cavasson Eastside Cafe\&quot;},{\&quot;key\&quot;:\&quot;Amount $\&quot;,\&quot;value\&quot;:-6.13},{\&quot;key\&quot;:\&quot;Transaction_ID\&quot;,\&quot;value\&quot;:\&quot;218bc337e2974b02aafe6a52da8f6fb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87},{\&quot;key\&quot;:\&quot;Merchant\&quot;,\&quot;value\&quot;:\&quot;Pita Cafe Scottsdale Az\&quot;},{\&quot;key\&quot;:\&quot;Amount $\&quot;,\&quot;value\&quot;:-26.69},{\&quot;key\&quot;:\&quot;Transaction_ID\&quot;,\&quot;value\&quot;:\&quot;25130ad2ddf34ce9b28bb75f58970db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87},{\&quot;key\&quot;:\&quot;Merchant\&quot;,\&quot;value\&quot;:\&quot;Venmo\&quot;},{\&quot;key\&quot;:\&quot;Amount $\&quot;,\&quot;value\&quot;:-50},{\&quot;key\&quot;:\&quot;Transaction_ID\&quot;,\&quot;value\&quot;:\&quot;071824587158487595de7949d64e9bb9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86},{\&quot;key\&quot;:\&quot;Merchant\&quot;,\&quot;value\&quot;:\&quot;Apple Bill Ca Apple\&quot;},{\&quot;key\&quot;:\&quot;Amount $\&quot;,\&quot;value\&quot;:-5.29},{\&quot;key\&quot;:\&quot;Transaction_ID\&quot;,\&quot;value\&quot;:\&quot;fefd228bdfbf4c8c8ac3dccf51b3f92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86},{\&quot;key\&quot;:\&quot;Merchant\&quot;,\&quot;value\&quot;:\&quot;Sunvalleybees Scottsdale Az\&quot;},{\&quot;key\&quot;:\&quot;Amount $\&quot;,\&quot;value\&quot;:-15.45},{\&quot;key\&quot;:\&quot;Transaction_ID\&quot;,\&quot;value\&quot;:\&quot;7cc2544761a54cce9e8d5db4d16628b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86},{\&quot;key\&quot;:\&quot;Merchant\&quot;,\&quot;value\&quot;:\&quot;Postmates\&quot;},{\&quot;key\&quot;:\&quot;Amount $\&quot;,\&quot;value\&quot;:-22.81},{\&quot;key\&quot;:\&quot;Transaction_ID\&quot;,\&quot;value\&quot;:\&quot;667504044c3a4ce8be1d2d2ff3c3913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86},{\&quot;key\&quot;:\&quot;Merchant\&quot;,\&quot;value\&quot;:\&quot;Amazon\&quot;},{\&quot;key\&quot;:\&quot;Amount $\&quot;,\&quot;value\&quot;:-39.68},{\&quot;key\&quot;:\&quot;Transaction_ID\&quot;,\&quot;value\&quot;:\&quot;6048b4bb56c54ca6a490d707428bace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86},{\&quot;key\&quot;:\&quot;Merchant\&quot;,\&quot;value\&quot;:\&quot;Steam Games\&quot;},{\&quot;key\&quot;:\&quot;Amount $\&quot;,\&quot;value\&quot;:-59.99},{\&quot;key\&quot;:\&quot;Transaction_ID\&quot;,\&quot;value\&quot;:\&quot;5e0f330afac7434a982f884d4bda566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86},{\&quot;key\&quot;:\&quot;Merchant\&quot;,\&quot;value\&quot;:\&quot;Tmobile Auto Pay Wa\&quot;},{\&quot;key\&quot;:\&quot;Amount $\&quot;,\&quot;value\&quot;:-80},{\&quot;key\&quot;:\&quot;Transaction_ID\&quot;,\&quot;value\&quot;:\&quot;0065b97575e244ddbb4831556c024dd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85},{\&quot;key\&quot;:\&quot;Merchant\&quot;,\&quot;value\&quot;:\&quot;Circle K\&quot;},{\&quot;key\&quot;:\&quot;Amount $\&quot;,\&quot;value\&quot;:-34.35},{\&quot;key\&quot;:\&quot;Transaction_ID\&quot;,\&quot;value\&quot;:\&quot;75de1ca3ecdf47228123b34dd69837a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84},{\&quot;key\&quot;:\&quot;Merchant\&quot;,\&quot;value\&quot;:\&quot;Apple Bill Ca Apple\&quot;},{\&quot;key\&quot;:\&quot;Amount $\&quot;,\&quot;value\&quot;:-15.89},{\&quot;key\&quot;:\&quot;Transaction_ID\&quot;,\&quot;value\&quot;:\&quot;c66a93be3e384ed6bee47fccb1c08cd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84},{\&quot;key\&quot;:\&quot;Merchant\&quot;,\&quot;value\&quot;:\&quot;Safeway\&quot;},{\&quot;key\&quot;:\&quot;Amount $\&quot;,\&quot;value\&quot;:-84.14},{\&quot;key\&quot;:\&quot;Transaction_ID\&quot;,\&quot;value\&quot;:\&quot;5d0ba213862f480d90c42ae464b5722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83},{\&quot;key\&quot;:\&quot;Merchant\&quot;,\&quot;value\&quot;:\&quot;Creatorware\&quot;},{\&quot;key\&quot;:\&quot;Amount $\&quot;,\&quot;value\&quot;:-44.98},{\&quot;key\&quot;:\&quot;Transaction_ID\&quot;,\&quot;value\&quot;:\&quot;afe85029618e4102a25532a6b7ece69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83},{\&quot;key\&quot;:\&quot;Merchant\&quot;,\&quot;value\&quot;:\&quot;Amazon Amzn Billwa 165Yqnkhuie\&quot;},{\&quot;key\&quot;:\&quot;Amount $\&quot;,\&quot;value\&quot;:-31.87},{\&quot;key\&quot;:\&quot;Transaction_ID\&quot;,\&quot;value\&quot;:\&quot;52c478be89a4493ea334c2036fa5de8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83},{\&quot;key\&quot;:\&quot;Merchant\&quot;,\&quot;value\&quot;:\&quot;Cheba Hut Phoenix Az\&quot;},{\&quot;key\&quot;:\&quot;Amount $\&quot;,\&quot;value\&quot;:-13.45},{\&quot;key\&quot;:\&quot;Transaction_ID\&quot;,\&quot;value\&quot;:\&quot;3f8823a96f1f4afc9032cef9b2e00ff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81},{\&quot;key\&quot;:\&quot;Merchant\&quot;,\&quot;value\&quot;:\&quot;Vizmediallc\&quot;},{\&quot;key\&quot;:\&quot;Amount $\&quot;,\&quot;value\&quot;:-1.99},{\&quot;key\&quot;:\&quot;Transaction_ID\&quot;,\&quot;value\&quot;:\&quot;ea66b6ca5a0646b48ccfd559661c32c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81},{\&quot;key\&quot;:\&quot;Merchant\&quot;,\&quot;value\&quot;:\&quot;Aps Electric Pmt Payment\&quot;},{\&quot;key\&quot;:\&quot;Amount $\&quot;,\&quot;value\&quot;:-14.71},{\&quot;key\&quot;:\&quot;Transaction_ID\&quot;,\&quot;value\&quot;:\&quot;e1c16f1f9ff1419ab133e59145a3d749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81},{\&quot;key\&quot;:\&quot;Merchant\&quot;,\&quot;value\&quot;:\&quot;Fidelity P Fidelity X\&quot;},{\&quot;key\&quot;:\&quot;Amount $\&quot;,\&quot;value\&quot;:1201.6},{\&quot;key\&quot;:\&quot;Transaction_ID\&quot;,\&quot;value\&quot;:\&quot;dbbb73802da6427eb9a4333f3aefb287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81},{\&quot;key\&quot;:\&quot;Merchant\&quot;,\&quot;value\&quot;:\&quot;Gamersnexus\&quot;},{\&quot;key\&quot;:\&quot;Amount $\&quot;,\&quot;value\&quot;:-124.99},{\&quot;key\&quot;:\&quot;Transaction_ID\&quot;,\&quot;value\&quot;:\&quot;9cb7cb6806ed4faf846f328eb0e5522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80},{\&quot;key\&quot;:\&quot;Merchant\&quot;,\&quot;value\&quot;:\&quot;Walmart\&quot;},{\&quot;key\&quot;:\&quot;Amount $\&quot;,\&quot;value\&quot;:-34.43},{\&quot;key\&quot;:\&quot;Transaction_ID\&quot;,\&quot;value\&quot;:\&quot;d237448262b94cb6a4e1c06ac0dc84d7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80},{\&quot;key\&quot;:\&quot;Merchant\&quot;,\&quot;value\&quot;:\&quot;Basketball Monster\&quot;},{\&quot;key\&quot;:\&quot;Amount $\&quot;,\&quot;value\&quot;:-69.95},{\&quot;key\&quot;:\&quot;Transaction_ID\&quot;,\&quot;value\&quot;:\&quot;ce728bfa705f4673a1b77f9f25319ce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80},{\&quot;key\&quot;:\&quot;Merchant\&quot;,\&quot;value\&quot;:\&quot;Neweggcom\&quot;},{\&quot;key\&quot;:\&quot;Amount $\&quot;,\&quot;value\&quot;:-173.81},{\&quot;key\&quot;:\&quot;Transaction_ID\&quot;,\&quot;value\&quot;:\&quot;87a587c9106e424e8813fc45bc97555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80},{\&quot;key\&quot;:\&quot;Merchant\&quot;,\&quot;value\&quot;:\&quot;Neweggcom\&quot;},{\&quot;key\&quot;:\&quot;Amount $\&quot;,\&quot;value\&quot;:-20.62},{\&quot;key\&quot;:\&quot;Transaction_ID\&quot;,\&quot;value\&quot;:\&quot;8210ff38b6d048508001454f4a01468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79},{\&quot;key\&quot;:\&quot;Merchant\&quot;,\&quot;value\&quot;:\&quot;Lowe's\&quot;},{\&quot;key\&quot;:\&quot;Amount $\&quot;,\&quot;value\&quot;:-161.61},{\&quot;key\&quot;:\&quot;Transaction_ID\&quot;,\&quot;value\&quot;:\&quot;fa389e450da34bbdaa4a8970adbe894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79},{\&quot;key\&quot;:\&quot;Merchant\&quot;,\&quot;value\&quot;:\&quot;Apple Bill Ca Apple\&quot;},{\&quot;key\&quot;:\&quot;Amount $\&quot;,\&quot;value\&quot;:-42.39},{\&quot;key\&quot;:\&quot;Transaction_ID\&quot;,\&quot;value\&quot;:\&quot;76c602dabf424c2fb7bba1aec57c776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79},{\&quot;key\&quot;:\&quot;Merchant\&quot;,\&quot;value\&quot;:\&quot;Amazon Amzn Billwa 6Qnho\&quot;},{\&quot;key\&quot;:\&quot;Amount $\&quot;,\&quot;value\&quot;:-27.78},{\&quot;key\&quot;:\&quot;Transaction_ID\&quot;,\&quot;value\&quot;:\&quot;5852c8d23157489b8f63945e1c982d2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78},{\&quot;key\&quot;:\&quot;Merchant\&quot;,\&quot;value\&quot;:\&quot;Ca Apple Pay Ending\&quot;},{\&quot;key\&quot;:\&quot;Amount $\&quot;,\&quot;value\&quot;:-4},{\&quot;key\&quot;:\&quot;Transaction_ID\&quot;,\&quot;value\&quot;:\&quot;fa483640013148f1a209ad1a6ac43e2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78},{\&quot;key\&quot;:\&quot;Merchant\&quot;,\&quot;value\&quot;:\&quot;Santamadretacoshop\&quot;},{\&quot;key\&quot;:\&quot;Amount $\&quot;,\&quot;value\&quot;:-29.49},{\&quot;key\&quot;:\&quot;Transaction_ID\&quot;,\&quot;value\&quot;:\&quot;893e745d6bf5486aa4dbea0a39c68b8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78},{\&quot;key\&quot;:\&quot;Merchant\&quot;,\&quot;value\&quot;:\&quot;Myfico Com\&quot;},{\&quot;key\&quot;:\&quot;Amount $\&quot;,\&quot;value\&quot;:-31.75},{\&quot;key\&quot;:\&quot;Transaction_ID\&quot;,\&quot;value\&quot;:\&quot;7442da2c287b44e397a4b24a779c9ed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78},{\&quot;key\&quot;:\&quot;Merchant\&quot;,\&quot;value\&quot;:\&quot;Goodwill\&quot;},{\&quot;key\&quot;:\&quot;Amount $\&quot;,\&quot;value\&quot;:-1.24},{\&quot;key\&quot;:\&quot;Transaction_ID\&quot;,\&quot;value\&quot;:\&quot;63e9ed5112ed49eb9dfd5b439e8dad7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78},{\&quot;key\&quot;:\&quot;Merchant\&quot;,\&quot;value\&quot;:\&quot;Jobot Coffee\&quot;},{\&quot;key\&quot;:\&quot;Amount $\&quot;,\&quot;value\&quot;:-8},{\&quot;key\&quot;:\&quot;Transaction_ID\&quot;,\&quot;value\&quot;:\&quot;0048d56b76074c61a5e409e7becc4f9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77},{\&quot;key\&quot;:\&quot;Merchant\&quot;,\&quot;value\&quot;:\&quot;Cash App Shevon Le\&quot;},{\&quot;key\&quot;:\&quot;Amount $\&quot;,\&quot;value\&quot;:-350},{\&quot;key\&quot;:\&quot;Transaction_ID\&quot;,\&quot;value\&quot;:\&quot;881c6fe03920483192a459abc1e9275b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77},{\&quot;key\&quot;:\&quot;Merchant\&quot;,\&quot;value\&quot;:\&quot;Best Buy\&quot;},{\&quot;key\&quot;:\&quot;Amount $\&quot;,\&quot;value\&quot;:-2378.52},{\&quot;key\&quot;:\&quot;Transaction_ID\&quot;,\&quot;value\&quot;:\&quot;6b36bd67e7fa4ff1bfde455016577357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77},{\&quot;key\&quot;:\&quot;Merchant\&quot;,\&quot;value\&quot;:\&quot;Cafe Rio Scottsdale\&quot;},{\&quot;key\&quot;:\&quot;Amount $\&quot;,\&quot;value\&quot;:-12.84},{\&quot;key\&quot;:\&quot;Transaction_ID\&quot;,\&quot;value\&quot;:\&quot;5446a4b2e8704421a01cb84660a298f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77},{\&quot;key\&quot;:\&quot;Merchant\&quot;,\&quot;value\&quot;:\&quot;Viet Shack Llc Tempe\&quot;},{\&quot;key\&quot;:\&quot;Amount $\&quot;,\&quot;value\&quot;:-4.78},{\&quot;key\&quot;:\&quot;Transaction_ID\&quot;,\&quot;value\&quot;:\&quot;1e47c5e4608743c4ae26db64a2fd85e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77},{\&quot;key\&quot;:\&quot;Merchant\&quot;,\&quot;value\&quot;:\&quot;Ccbill\&quot;},{\&quot;key\&quot;:\&quot;Amount $\&quot;,\&quot;value\&quot;:-11},{\&quot;key\&quot;:\&quot;Transaction_ID\&quot;,\&quot;value\&quot;:\&quot;1c65f358d80c44b099c21e1e367d022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76},{\&quot;key\&quot;:\&quot;Merchant\&quot;,\&quot;value\&quot;:\&quot;Online Payment Deerfield Il\&quot;},{\&quot;key\&quot;:\&quot;Amount $\&quot;,\&quot;value\&quot;:2378.52},{\&quot;key\&quot;:\&quot;Transaction_ID\&quot;,\&quot;value\&quot;:\&quot;d0f6b34e153f4310ae3411c133e0a3f7\&quot;},{\&quot;key\&quot;:\&quot;Account_ID\&quot;,\&quot;value\&quot;:\&quot;a82d9aba872e4e9b9684a363d4cc52b5\&quot;},{\&quot;key\&quot;:\&quot;Category_ID\&quot;,\&quot;value\&quot;:\&quot;3dafc6bd8d7c45ae9840ff09e01567d1\&quot;},{\&quot;key\&quot;:\&quot;Subcategory_ID\&quot;,\&quot;value\&quot;:\&quot;\&quot;}],[{\&quot;key\&quot;:\&quot;Date\&quot;,\&quot;value\&quot;:44476},{\&quot;key\&quot;:\&quot;Merchant\&quot;,\&quot;value\&quot;:\&quot;Walmart\&quot;},{\&quot;key\&quot;:\&quot;Amount $\&quot;,\&quot;value\&quot;:-32.09},{\&quot;key\&quot;:\&quot;Transaction_ID\&quot;,\&quot;value\&quot;:\&quot;cddb703b303d42d8bbaa7fa59924c5c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76},{\&quot;key\&quot;:\&quot;Merchant\&quot;,\&quot;value\&quot;:\&quot;Nationwide Payroll Sean Lewis\&quot;},{\&quot;key\&quot;:\&quot;Amount $\&quot;,\&quot;value\&quot;:2029.34},{\&quot;key\&quot;:\&quot;Transaction_ID\&quot;,\&quot;value\&quot;:\&quot;600665ecef3b477fa7d9fc8b02d1ac8f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76},{\&quot;key\&quot;:\&quot;Merchant\&quot;,\&quot;value\&quot;:\&quot;Walmart\&quot;},{\&quot;key\&quot;:\&quot;Amount $\&quot;,\&quot;value\&quot;:-28.19},{\&quot;key\&quot;:\&quot;Transaction_ID\&quot;,\&quot;value\&quot;:\&quot;42b3739c67c5428590e15e2bea13151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76},{\&quot;key\&quot;:\&quot;Merchant\&quot;,\&quot;value\&quot;:\&quot;Cvs\&quot;},{\&quot;key\&quot;:\&quot;Amount $\&quot;,\&quot;value\&quot;:-6},{\&quot;key\&quot;:\&quot;Transaction_ID\&quot;,\&quot;value\&quot;:\&quot;0cca0c3016de452ea3347eaa46e17ab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75},{\&quot;key\&quot;:\&quot;Merchant\&quot;,\&quot;value\&quot;:\&quot;Home Depot\&quot;},{\&quot;key\&quot;:\&quot;Amount $\&quot;,\&quot;value\&quot;:-5.4},{\&quot;key\&quot;:\&quot;Transaction_ID\&quot;,\&quot;value\&quot;:\&quot;f57362d960a34285a49fa74f94ab433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75},{\&quot;key\&quot;:\&quot;Merchant\&quot;,\&quot;value\&quot;:\&quot;Aqua Science\&quot;},{\&quot;key\&quot;:\&quot;Amount $\&quot;,\&quot;value\&quot;:-189.95},{\&quot;key\&quot;:\&quot;Transaction_ID\&quot;,\&quot;value\&quot;:\&quot;8289db22c5b2425e85a1db127704810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75},{\&quot;key\&quot;:\&quot;Merchant\&quot;,\&quot;value\&quot;:\&quot;Walmart\&quot;},{\&quot;key\&quot;:\&quot;Amount $\&quot;,\&quot;value\&quot;:-42.46},{\&quot;key\&quot;:\&quot;Transaction_ID\&quot;,\&quot;value\&quot;:\&quot;493f44bfa7cd442f8a3760bf90136b8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74},{\&quot;key\&quot;:\&quot;Merchant\&quot;,\&quot;value\&quot;:\&quot;Panda Express\&quot;},{\&quot;key\&quot;:\&quot;Amount $\&quot;,\&quot;value\&quot;:-11.21},{\&quot;key\&quot;:\&quot;Transaction_ID\&quot;,\&quot;value\&quot;:\&quot;e13b70eb82454d87a89ac56dd3dbf37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74},{\&quot;key\&quot;:\&quot;Merchant\&quot;,\&quot;value\&quot;:\&quot;Tocaya Kierland Commoms\&quot;},{\&quot;key\&quot;:\&quot;Amount $\&quot;,\&quot;value\&quot;:-13.6},{\&quot;key\&quot;:\&quot;Transaction_ID\&quot;,\&quot;value\&quot;:\&quot;e0b9e3461fae4c9a8f718f00535a169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74},{\&quot;key\&quot;:\&quot;Merchant\&quot;,\&quot;value\&quot;:\&quot;State Farm\&quot;},{\&quot;key\&quot;:\&quot;Amount $\&quot;,\&quot;value\&quot;:-84.85},{\&quot;key\&quot;:\&quot;Transaction_ID\&quot;,\&quot;value\&quot;:\&quot;ba71eca091a74a48a31b3a893a63f1f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74},{\&quot;key\&quot;:\&quot;Merchant\&quot;,\&quot;value\&quot;:\&quot;Money Transfer Authorized On\&quot;},{\&quot;key\&quot;:\&quot;Amount $\&quot;,\&quot;value\&quot;:100},{\&quot;key\&quot;:\&quot;Transaction_ID\&quot;,\&quot;value\&quot;:\&quot;ad732582a760417aab5d0dd5e1c84af7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74},{\&quot;key\&quot;:\&quot;Merchant\&quot;,\&quot;value\&quot;:\&quot;Walmart\&quot;},{\&quot;key\&quot;:\&quot;Amount $\&quot;,\&quot;value\&quot;:-12.97},{\&quot;key\&quot;:\&quot;Transaction_ID\&quot;,\&quot;value\&quot;:\&quot;890b04ca15c740e8a12b9d8d2c0ea22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74},{\&quot;key\&quot;:\&quot;Merchant\&quot;,\&quot;value\&quot;:\&quot;Money Transfer Authorized On\&quot;},{\&quot;key\&quot;:\&quot;Amount $\&quot;,\&quot;value\&quot;:170},{\&quot;key\&quot;:\&quot;Transaction_ID\&quot;,\&quot;value\&quot;:\&quot;53d282abb1e8449887b328f995e25f63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74},{\&quot;key\&quot;:\&quot;Merchant\&quot;,\&quot;value\&quot;:\&quot;Internet Payment\&quot;},{\&quot;key\&quot;:\&quot;Amount $\&quot;,\&quot;value\&quot;:1682.31},{\&quot;key\&quot;:\&quot;Transaction_ID\&quot;,\&quot;value\&quot;:\&quot;26728327e8964b4c844bebb749c7b18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74},{\&quot;key\&quot;:\&quot;Merchant\&quot;,\&quot;value\&quot;:\&quot;Walmart\&quot;},{\&quot;key\&quot;:\&quot;Amount $\&quot;,\&quot;value\&quot;:-23.79},{\&quot;key\&quot;:\&quot;Transaction_ID\&quot;,\&quot;value\&quot;:\&quot;1e25883b67ff4abaa8aaf671c2823c6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73},{\&quot;key\&quot;:\&quot;Merchant\&quot;,\&quot;value\&quot;:\&quot;Safeway\&quot;},{\&quot;key\&quot;:\&quot;Amount $\&quot;,\&quot;value\&quot;:-11.97},{\&quot;key\&quot;:\&quot;Transaction_ID\&quot;,\&quot;value\&quot;:\&quot;fc84bebf6f2e4c93bb1ced8a8eaad55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73},{\&quot;key\&quot;:\&quot;Merchant\&quot;,\&quot;value\&quot;:\&quot;Starbucks\&quot;},{\&quot;key\&quot;:\&quot;Amount $\&quot;,\&quot;value\&quot;:-8.91},{\&quot;key\&quot;:\&quot;Transaction_ID\&quot;,\&quot;value\&quot;:\&quot;7ac2e29daa484d95b3a7e49da0f2d18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73},{\&quot;key\&quot;:\&quot;Merchant\&quot;,\&quot;value\&quot;:\&quot;Venmo\&quot;},{\&quot;key\&quot;:\&quot;Amount $\&quot;,\&quot;value\&quot;:-155},{\&quot;key\&quot;:\&quot;Transaction_ID\&quot;,\&quot;value\&quot;:\&quot;690dc950bb014a58bf622b6bbb07b610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72},{\&quot;key\&quot;:\&quot;Merchant\&quot;,\&quot;value\&quot;:\&quot;Hulu\&quot;},{\&quot;key\&quot;:\&quot;Amount $\&quot;,\&quot;value\&quot;:-11.99},{\&quot;key\&quot;:\&quot;Transaction_ID\&quot;,\&quot;value\&quot;:\&quot;b375ef9e101e405f86fa319713de8d2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72},{\&quot;key\&quot;:\&quot;Merchant\&quot;,\&quot;value\&quot;:\&quot;Comicx Restaurant B\&quot;},{\&quot;key\&quot;:\&quot;Amount $\&quot;,\&quot;value\&quot;:-76.89},{\&quot;key\&quot;:\&quot;Transaction_ID\&quot;,\&quot;value\&quot;:\&quot;51016f617b544070b5c07a947f82662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71},{\&quot;key\&quot;:\&quot;Merchant\&quot;,\&quot;value\&quot;:\&quot;Krystal And Saagar\&quot;},{\&quot;key\&quot;:\&quot;Amount $\&quot;,\&quot;value\&quot;:-10},{\&quot;key\&quot;:\&quot;Transaction_ID\&quot;,\&quot;value\&quot;:\&quot;4bd2546aff2b410792c5aa6b10d2d9e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71},{\&quot;key\&quot;:\&quot;Merchant\&quot;,\&quot;value\&quot;:\&quot;Walgreens\&quot;},{\&quot;key\&quot;:\&quot;Amount $\&quot;,\&quot;value\&quot;:-20.09},{\&quot;key\&quot;:\&quot;Transaction_ID\&quot;,\&quot;value\&quot;:\&quot;32ac202941f9495aa3f8798e77de738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71},{\&quot;key\&quot;:\&quot;Merchant\&quot;,\&quot;value\&quot;:\&quot;Abee Neth Tempe Az\&quot;},{\&quot;key\&quot;:\&quot;Amount $\&quot;,\&quot;value\&quot;:-30.82},{\&quot;key\&quot;:\&quot;Transaction_ID\&quot;,\&quot;value\&quot;:\&quot;05f88099a2264215abe22a89d24b561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70},{\&quot;key\&quot;:\&quot;Merchant\&quot;,\&quot;value\&quot;:\&quot;Gyro 101\&quot;},{\&quot;key\&quot;:\&quot;Amount $\&quot;,\&quot;value\&quot;:-23.2},{\&quot;key\&quot;:\&quot;Transaction_ID\&quot;,\&quot;value\&quot;:\&quot;efc7bb3c187b41cc9aa8a2d89e20f19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70},{\&quot;key\&quot;:\&quot;Merchant\&quot;,\&quot;value\&quot;:\&quot;Venmo\&quot;},{\&quot;key\&quot;:\&quot;Amount $\&quot;,\&quot;value\&quot;:-1866.67},{\&quot;key\&quot;:\&quot;Transaction_ID\&quot;,\&quot;value\&quot;:\&quot;e48e046d7cd449f780a5b99c4b622823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70},{\&quot;key\&quot;:\&quot;Merchant\&quot;,\&quot;value\&quot;:\&quot;Spotify\&quot;},{\&quot;key\&quot;:\&quot;Amount $\&quot;,\&quot;value\&quot;:-9.99},{\&quot;key\&quot;:\&quot;Transaction_ID\&quot;,\&quot;value\&quot;:\&quot;8f3137b10b1a4970b4232af7e0ee10f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70},{\&quot;key\&quot;:\&quot;Merchant\&quot;,\&quot;value\&quot;:\&quot;Railcdc\&quot;},{\&quot;key\&quot;:\&quot;Amount $\&quot;,\&quot;value\&quot;:-100},{\&quot;key\&quot;:\&quot;Transaction_ID\&quot;,\&quot;value\&quot;:\&quot;5ff0de0ed9f64b40ab997d61846f366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70},{\&quot;key\&quot;:\&quot;Merchant\&quot;,\&quot;value\&quot;:\&quot;Netflix\&quot;},{\&quot;key\&quot;:\&quot;Amount $\&quot;,\&quot;value\&quot;:-14.83},{\&quot;key\&quot;:\&quot;Transaction_ID\&quot;,\&quot;value\&quot;:\&quot;165c7aedfd6b472c86ff0c862bc00a1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69},{\&quot;key\&quot;:\&quot;Merchant\&quot;,\&quot;value\&quot;:\&quot;Tempe Mvd\&quot;},{\&quot;key\&quot;:\&quot;Amount $\&quot;,\&quot;value\&quot;:-111.51},{\&quot;key\&quot;:\&quot;Transaction_ID\&quot;,\&quot;value\&quot;:\&quot;809e542111604f02a444c6ad37c8936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69},{\&quot;key\&quot;:\&quot;Merchant\&quot;,\&quot;value\&quot;:\&quot;Jimmy Johns\&quot;},{\&quot;key\&quot;:\&quot;Amount $\&quot;,\&quot;value\&quot;:-24.96},{\&quot;key\&quot;:\&quot;Transaction_ID\&quot;,\&quot;value\&quot;:\&quot;7b80a26a48d54d2eaf165f7dc3955ba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69},{\&quot;key\&quot;:\&quot;Merchant\&quot;,\&quot;value\&quot;:\&quot;Safeway\&quot;},{\&quot;key\&quot;:\&quot;Amount $\&quot;,\&quot;value\&quot;:-4.85},{\&quot;key\&quot;:\&quot;Transaction_ID\&quot;,\&quot;value\&quot;:\&quot;5e7e960e8a9e472abf5853f80d66e0c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69},{\&quot;key\&quot;:\&quot;Merchant\&quot;,\&quot;value\&quot;:\&quot;Ccbill\&quot;},{\&quot;key\&quot;:\&quot;Amount $\&quot;,\&quot;value\&quot;:-4.99},{\&quot;key\&quot;:\&quot;Transaction_ID\&quot;,\&quot;value\&quot;:\&quot;4d830d8c32014a8ca0b013826b906db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68},{\&quot;key\&quot;:\&quot;Merchant\&quot;,\&quot;value\&quot;:\&quot;Az Vehicle Emissions\&quot;},{\&quot;key\&quot;:\&quot;Amount $\&quot;,\&quot;value\&quot;:-17},{\&quot;key\&quot;:\&quot;Transaction_ID\&quot;,\&quot;value\&quot;:\&quot;d5358f5db5c24d5381f1773f5418bf3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68},{\&quot;key\&quot;:\&quot;Merchant\&quot;,\&quot;value\&quot;:\&quot;Best Buy\&quot;},{\&quot;key\&quot;:\&quot;Amount $\&quot;,\&quot;value\&quot;:-203.31},{\&quot;key\&quot;:\&quot;Transaction_ID\&quot;,\&quot;value\&quot;:\&quot;cf018555db1d4a398099150b911e3619\&quot;},{\&quot;key\&quot;:\&quot;Account_ID\&quot;,\&quot;value\&quot;:\&quot;a82d9aba872e4e9b9684a363d4cc52b5\&quot;},{\&quot;key\&quot;:\&quot;Category_ID\&quot;,\&quot;value\&quot;:\&quot;fca5dd8329b743f7b77704e23a1e63ad\&quot;},{\&quot;key\&quot;:\&quot;Subcategory_ID\&quot;,\&quot;value\&quot;:\&quot;\&quot;}],[{\&quot;key\&quot;:\&quot;Date\&quot;,\&quot;value\&quot;:44468},{\&quot;key\&quot;:\&quot;Merchant\&quot;,\&quot;value\&quot;:\&quot;Apple Bill Ca Apple\&quot;},{\&quot;key\&quot;:\&quot;Amount $\&quot;,\&quot;value\&quot;:-10.59},{\&quot;key\&quot;:\&quot;Transaction_ID\&quot;,\&quot;value\&quot;:\&quot;bdb2f2894f994130a6faf978f376bef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68},{\&quot;key\&quot;:\&quot;Merchant\&quot;,\&quot;value\&quot;:\&quot;Best Buy\&quot;},{\&quot;key\&quot;:\&quot;Amount $\&quot;,\&quot;value\&quot;:-812.12},{\&quot;key\&quot;:\&quot;Transaction_ID\&quot;,\&quot;value\&quot;:\&quot;4b83d41a5720469db77715eb0bd5db76\&quot;},{\&quot;key\&quot;:\&quot;Account_ID\&quot;,\&quot;value\&quot;:\&quot;a82d9aba872e4e9b9684a363d4cc52b5\&quot;},{\&quot;key\&quot;:\&quot;Category_ID\&quot;,\&quot;value\&quot;:\&quot;fca5dd8329b743f7b77704e23a1e63ad\&quot;},{\&quot;key\&quot;:\&quot;Subcategory_ID\&quot;,\&quot;value\&quot;:\&quot;\&quot;}],[{\&quot;key\&quot;:\&quot;Date\&quot;,\&quot;value\&quot;:44468},{\&quot;key\&quot;:\&quot;Merchant\&quot;,\&quot;value\&quot;:\&quot;Best Buy\&quot;},{\&quot;key\&quot;:\&quot;Amount $\&quot;,\&quot;value\&quot;:-116.37},{\&quot;key\&quot;:\&quot;Transaction_ID\&quot;,\&quot;value\&quot;:\&quot;3b9fee68b77b43feba4cdb63f7e574bb\&quot;},{\&quot;key\&quot;:\&quot;Account_ID\&quot;,\&quot;value\&quot;:\&quot;a82d9aba872e4e9b9684a363d4cc52b5\&quot;},{\&quot;key\&quot;:\&quot;Category_ID\&quot;,\&quot;value\&quot;:\&quot;fca5dd8329b743f7b77704e23a1e63ad\&quot;},{\&quot;key\&quot;:\&quot;Subcategory_ID\&quot;,\&quot;value\&quot;:\&quot;\&quot;}],[{\&quot;key\&quot;:\&quot;Date\&quot;,\&quot;value\&quot;:44468},{\&quot;key\&quot;:\&quot;Merchant\&quot;,\&quot;value\&quot;:\&quot;Az Mvd Web\&quot;},{\&quot;key\&quot;:\&quot;Amount $\&quot;,\&quot;value\&quot;:-25},{\&quot;key\&quot;:\&quot;Transaction_ID\&quot;,\&quot;value\&quot;:\&quot;35f42ee0a6434ca8bacbaabe7d4ea81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68},{\&quot;key\&quot;:\&quot;Merchant\&quot;,\&quot;value\&quot;:\&quot;Walgreens\&quot;},{\&quot;key\&quot;:\&quot;Amount $\&quot;,\&quot;value\&quot;:-20.71},{\&quot;key\&quot;:\&quot;Transaction_ID\&quot;,\&quot;value\&quot;:\&quot;2c92a352fb71455dbbe4872a6a57dc1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68},{\&quot;key\&quot;:\&quot;Merchant\&quot;,\&quot;value\&quot;:\&quot;Safeway\&quot;},{\&quot;key\&quot;:\&quot;Amount $\&quot;,\&quot;value\&quot;:-18.48},{\&quot;key\&quot;:\&quot;Transaction_ID\&quot;,\&quot;value\&quot;:\&quot;2c0d6d5dcb2448e381ccab18ca0e20a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68},{\&quot;key\&quot;:\&quot;Merchant\&quot;,\&quot;value\&quot;:\&quot;Circle K\&quot;},{\&quot;key\&quot;:\&quot;Amount $\&quot;,\&quot;value\&quot;:-33.01},{\&quot;key\&quot;:\&quot;Transaction_ID\&quot;,\&quot;value\&quot;:\&quot;26e2be488c124b2ca5e25bd55d7cc41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68},{\&quot;key\&quot;:\&quot;Merchant\&quot;,\&quot;value\&quot;:\&quot;Jimmy Johns\&quot;},{\&quot;key\&quot;:\&quot;Amount $\&quot;,\&quot;value\&quot;:-21.44},{\&quot;key\&quot;:\&quot;Transaction_ID\&quot;,\&quot;value\&quot;:\&quot;1c2eb81dde064d539a3648d9af61cc8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67},{\&quot;key\&quot;:\&quot;Merchant\&quot;,\&quot;value\&quot;:\&quot;Usps Change Of Address\&quot;},{\&quot;key\&quot;:\&quot;Amount $\&quot;,\&quot;value\&quot;:-1.1},{\&quot;key\&quot;:\&quot;Transaction_ID\&quot;,\&quot;value\&quot;:\&quot;ddde9ef412ad4dd0894abfb94d0a14c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67},{\&quot;key\&quot;:\&quot;Merchant\&quot;,\&quot;value\&quot;:\&quot;Usps Change Of Address\&quot;},{\&quot;key\&quot;:\&quot;Amount $\&quot;,\&quot;value\&quot;:-1.1},{\&quot;key\&quot;:\&quot;Transaction_ID\&quot;,\&quot;value\&quot;:\&quot;7e9615506c5c43c9bebd4a1a5217b14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67},{\&quot;key\&quot;:\&quot;Merchant\&quot;,\&quot;value\&quot;:\&quot;Usps Change Of Address\&quot;},{\&quot;key\&quot;:\&quot;Amount $\&quot;,\&quot;value\&quot;:-1.1},{\&quot;key\&quot;:\&quot;Transaction_ID\&quot;,\&quot;value\&quot;:\&quot;6cb7bbe415384762ad81dade08491a4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67},{\&quot;key\&quot;:\&quot;Merchant\&quot;,\&quot;value\&quot;:\&quot;Venmo\&quot;},{\&quot;key\&quot;:\&quot;Amount $\&quot;,\&quot;value\&quot;:1866.67},{\&quot;key\&quot;:\&quot;Transaction_ID\&quot;,\&quot;value\&quot;:\&quot;60c8dcc3f85748c4a399b55d0a8f7fb1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67},{\&quot;key\&quot;:\&quot;Merchant\&quot;,\&quot;value\&quot;:\&quot;Transfer From Lewis Sharon\&quot;},{\&quot;key\&quot;:\&quot;Amount $\&quot;,\&quot;value\&quot;:500},{\&quot;key\&quot;:\&quot;Transaction_ID\&quot;,\&quot;value\&quot;:\&quot;565df2fc51ec4f7eb0dffe1427d65cfb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67},{\&quot;key\&quot;:\&quot;Merchant\&quot;,\&quot;value\&quot;:\&quot;Usps Change Of Address\&quot;},{\&quot;key\&quot;:\&quot;Amount $\&quot;,\&quot;value\&quot;:-1.1},{\&quot;key\&quot;:\&quot;Transaction_ID\&quot;,\&quot;value\&quot;:\&quot;4207fba1210e493286895560a172b3b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66},{\&quot;key\&quot;:\&quot;Merchant\&quot;,\&quot;value\&quot;:\&quot;Slice Hotdaisypizza\&quot;},{\&quot;key\&quot;:\&quot;Amount $\&quot;,\&quot;value\&quot;:-39.5},{\&quot;key\&quot;:\&quot;Transaction_ID\&quot;,\&quot;value\&quot;:\&quot;7b420ca2a8e04c4987c440383492dec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66},{\&quot;key\&quot;:\&quot;Merchant\&quot;,\&quot;value\&quot;:\&quot;Venmo\&quot;},{\&quot;key\&quot;:\&quot;Amount $\&quot;,\&quot;value\&quot;:-1551.11},{\&quot;key\&quot;:\&quot;Transaction_ID\&quot;,\&quot;value\&quot;:\&quot;66f20d171e314766863fed66412d3841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66},{\&quot;key\&quot;:\&quot;Merchant\&quot;,\&quot;value\&quot;:\&quot;Venmo\&quot;},{\&quot;key\&quot;:\&quot;Amount $\&quot;,\&quot;value\&quot;:188.34},{\&quot;key\&quot;:\&quot;Transaction_ID\&quot;,\&quot;value\&quot;:\&quot;62a926b4571446e6a28aedbc5fdded05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66},{\&quot;key\&quot;:\&quot;Merchant\&quot;,\&quot;value\&quot;:\&quot;Couplecents\&quot;},{\&quot;key\&quot;:\&quot;Amount $\&quot;,\&quot;value\&quot;:-9.99},{\&quot;key\&quot;:\&quot;Transaction_ID\&quot;,\&quot;value\&quot;:\&quot;54b1fa57875e4d4a8034d11389d848f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66},{\&quot;key\&quot;:\&quot;Merchant\&quot;,\&quot;value\&quot;:\&quot;Discover E Payment Lewis\&quot;},{\&quot;key\&quot;:\&quot;Amount $\&quot;,\&quot;value\&quot;:-1500},{\&quot;key\&quot;:\&quot;Transaction_ID\&quot;,\&quot;value\&quot;:\&quot;45d2c21999664ec78e3735015f1a55d6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66},{\&quot;key\&quot;:\&quot;Merchant\&quot;,\&quot;value\&quot;:\&quot;Safeway\&quot;},{\&quot;key\&quot;:\&quot;Amount $\&quot;,\&quot;value\&quot;:-24.72},{\&quot;key\&quot;:\&quot;Transaction_ID\&quot;,\&quot;value\&quot;:\&quot;3ff71629b1724156970f0e46d4c4c5d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66},{\&quot;key\&quot;:\&quot;Merchant\&quot;,\&quot;value\&quot;:\&quot;Venmo\&quot;},{\&quot;key\&quot;:\&quot;Amount $\&quot;,\&quot;value\&quot;:-101.11},{\&quot;key\&quot;:\&quot;Transaction_ID\&quot;,\&quot;value\&quot;:\&quot;2a0ccb28e3f84fb799c476be9808f52e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66},{\&quot;key\&quot;:\&quot;Merchant\&quot;,\&quot;value\&quot;:\&quot;Nw Trvl Reimb Edi\&quot;},{\&quot;key\&quot;:\&quot;Amount $\&quot;,\&quot;value\&quot;:30},{\&quot;key\&quot;:\&quot;Transaction_ID\&quot;,\&quot;value\&quot;:\&quot;13e47a5e98c045469ebc4c288467b8d3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65},{\&quot;key\&quot;:\&quot;Merchant\&quot;,\&quot;value\&quot;:\&quot;Hot Daisy Pizza Phoenix\&quot;},{\&quot;key\&quot;:\&quot;Amount $\&quot;,\&quot;value\&quot;:-4.34},{\&quot;key\&quot;:\&quot;Transaction_ID\&quot;,\&quot;value\&quot;:\&quot;de215a83de724b8e97bd07ab7adb2b4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65},{\&quot;key\&quot;:\&quot;Merchant\&quot;,\&quot;value\&quot;:\&quot;Walgreens\&quot;},{\&quot;key\&quot;:\&quot;Amount $\&quot;,\&quot;value\&quot;:-33.82},{\&quot;key\&quot;:\&quot;Transaction_ID\&quot;,\&quot;value\&quot;:\&quot;c44fc9e20adc4298a21eb0676c97e46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65},{\&quot;key\&quot;:\&quot;Merchant\&quot;,\&quot;value\&quot;:\&quot;The Arrogant Butcher\&quot;},{\&quot;key\&quot;:\&quot;Amount $\&quot;,\&quot;value\&quot;:-75},{\&quot;key\&quot;:\&quot;Transaction_ID\&quot;,\&quot;value\&quot;:\&quot;af9dd22f61944047b9f846b585ac4c4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64},{\&quot;key\&quot;:\&quot;Merchant\&quot;,\&quot;value\&quot;:\&quot;Amazon\&quot;},{\&quot;key\&quot;:\&quot;Amount $\&quot;,\&quot;value\&quot;:-13.74},{\&quot;key\&quot;:\&quot;Transaction_ID\&quot;,\&quot;value\&quot;:\&quot;c2c6e2de551942b6a0f8aa8225fd243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64},{\&quot;key\&quot;:\&quot;Merchant\&quot;,\&quot;value\&quot;:\&quot;Internet Payment\&quot;},{\&quot;key\&quot;:\&quot;Amount $\&quot;,\&quot;value\&quot;:1500},{\&quot;key\&quot;:\&quot;Transaction_ID\&quot;,\&quot;value\&quot;:\&quot;56da0a0707c64ac5a300b3764f3f7c1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64},{\&quot;key\&quot;:\&quot;Merchant\&quot;,\&quot;value\&quot;:\&quot;Jimmy Johns\&quot;},{\&quot;key\&quot;:\&quot;Amount $\&quot;,\&quot;value\&quot;:-26.97},{\&quot;key\&quot;:\&quot;Transaction_ID\&quot;,\&quot;value\&quot;:\&quot;3f3cd03488b7436e9ffa07f07aef300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64},{\&quot;key\&quot;:\&quot;Merchant\&quot;,\&quot;value\&quot;:\&quot;Clr Stretch Tx Clr\&quot;},{\&quot;key\&quot;:\&quot;Amount $\&quot;,\&quot;value\&quot;:-320},{\&quot;key\&quot;:\&quot;Transaction_ID\&quot;,\&quot;value\&quot;:\&quot;229b859312a64ddb801ddebe5300b14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63},{\&quot;key\&quot;:\&quot;Merchant\&quot;,\&quot;value\&quot;:\&quot;Deposit Made In A\&quot;},{\&quot;key\&quot;:\&quot;Amount $\&quot;,\&quot;value\&quot;:436.2},{\&quot;key\&quot;:\&quot;Transaction_ID\&quot;,\&quot;value\&quot;:\&quot;da023b72962c4c62ae8a088495d81239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63},{\&quot;key\&quot;:\&quot;Merchant\&quot;,\&quot;value\&quot;:\&quot;Target\&quot;},{\&quot;key\&quot;:\&quot;Amount $\&quot;,\&quot;value\&quot;:-71.75},{\&quot;key\&quot;:\&quot;Transaction_ID\&quot;,\&quot;value\&quot;:\&quot;a206e2395b1041989ee83e932b2bed8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63},{\&quot;key\&quot;:\&quot;Merchant\&quot;,\&quot;value\&quot;:\&quot;Jimmy Johns\&quot;},{\&quot;key\&quot;:\&quot;Amount $\&quot;,\&quot;value\&quot;:-20.57},{\&quot;key\&quot;:\&quot;Transaction_ID\&quot;,\&quot;value\&quot;:\&quot;7f1e62f65fcb4cd0893c9c33197ca2a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63},{\&quot;key\&quot;:\&quot;Merchant\&quot;,\&quot;value\&quot;:\&quot;Venmo\&quot;},{\&quot;key\&quot;:\&quot;Amount $\&quot;,\&quot;value\&quot;:-250},{\&quot;key\&quot;:\&quot;Transaction_ID\&quot;,\&quot;value\&quot;:\&quot;6cd1789ba68d44739ed18c02fc6f3c5e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63},{\&quot;key\&quot;:\&quot;Merchant\&quot;,\&quot;value\&quot;:\&quot;National Office Liquid Phoenix\&quot;},{\&quot;key\&quot;:\&quot;Amount $\&quot;,\&quot;value\&quot;:-1246.72},{\&quot;key\&quot;:\&quot;Transaction_ID\&quot;,\&quot;value\&quot;:\&quot;1f1f17b387914915be149d35cb47418e\&quot;},{\&quot;key\&quot;:\&quot;Account_ID\&quot;,\&quot;value\&quot;:\&quot;a82d9aba872e4e9b9684a363d4cc52b5\&quot;},{\&quot;key\&quot;:\&quot;Category_ID\&quot;,\&quot;value\&quot;:\&quot;6385c1768b814d3d89087c436c9cab15\&quot;},{\&quot;key\&quot;:\&quot;Subcategory_ID\&quot;,\&quot;value\&quot;:\&quot;\&quot;}],[{\&quot;key\&quot;:\&quot;Date\&quot;,\&quot;value\&quot;:44463},{\&quot;key\&quot;:\&quot;Merchant\&quot;,\&quot;value\&quot;:\&quot;Cash App Monique D\&quot;},{\&quot;key\&quot;:\&quot;Amount $\&quot;,\&quot;value\&quot;:-95},{\&quot;key\&quot;:\&quot;Transaction_ID\&quot;,\&quot;value\&quot;:\&quot;087ac9e145c04fbaa70f76b16c24b378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63},{\&quot;key\&quot;:\&quot;Merchant\&quot;,\&quot;value\&quot;:\&quot;Circle K\&quot;},{\&quot;key\&quot;:\&quot;Amount $\&quot;,\&quot;value\&quot;:-6.08},{\&quot;key\&quot;:\&quot;Transaction_ID\&quot;,\&quot;value\&quot;:\&quot;01fad93e011044f98ab6d531e7eee36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62},{\&quot;key\&quot;:\&quot;Merchant\&quot;,\&quot;value\&quot;:\&quot;Nationwide Payroll Sean Lewis\&quot;},{\&quot;key\&quot;:\&quot;Amount $\&quot;,\&quot;value\&quot;:2179.34},{\&quot;key\&quot;:\&quot;Transaction_ID\&quot;,\&quot;value\&quot;:\&quot;ad96c4e1a88147d6a02220c44094a69d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62},{\&quot;key\&quot;:\&quot;Merchant\&quot;,\&quot;value\&quot;:\&quot;Transfer To Lewis Sharon\&quot;},{\&quot;key\&quot;:\&quot;Amount $\&quot;,\&quot;value\&quot;:-500},{\&quot;key\&quot;:\&quot;Transaction_ID\&quot;,\&quot;value\&quot;:\&quot;781e43f1afe64515a7e3350e3dade761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62},{\&quot;key\&quot;:\&quot;Merchant\&quot;,\&quot;value\&quot;:\&quot;Walgreens\&quot;},{\&quot;key\&quot;:\&quot;Amount $\&quot;,\&quot;value\&quot;:-37.98},{\&quot;key\&quot;:\&quot;Transaction_ID\&quot;,\&quot;value\&quot;:\&quot;614955aa6d9a4823b775c8b67b2048f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62},{\&quot;key\&quot;:\&quot;Merchant\&quot;,\&quot;value\&quot;:\&quot;Circle K\&quot;},{\&quot;key\&quot;:\&quot;Amount $\&quot;,\&quot;value\&quot;:-32.98},{\&quot;key\&quot;:\&quot;Transaction_ID\&quot;,\&quot;value\&quot;:\&quot;5ef46e72fc364ecf8c0abfeb6913495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62},{\&quot;key\&quot;:\&quot;Merchant\&quot;,\&quot;value\&quot;:\&quot;Cash App Cyanface\&quot;},{\&quot;key\&quot;:\&quot;Amount $\&quot;,\&quot;value\&quot;:-10},{\&quot;key\&quot;:\&quot;Transaction_ID\&quot;,\&quot;value\&quot;:\&quot;597df8e89fc84d6a870941cffc801cd2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62},{\&quot;key\&quot;:\&quot;Merchant\&quot;,\&quot;value\&quot;:\&quot;Caviar Bop And Roll\&quot;},{\&quot;key\&quot;:\&quot;Amount $\&quot;,\&quot;value\&quot;:-47.89},{\&quot;key\&quot;:\&quot;Transaction_ID\&quot;,\&quot;value\&quot;:\&quot;41cf139fb2824b96b3743f4b90d00b4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62},{\&quot;key\&quot;:\&quot;Merchant\&quot;,\&quot;value\&quot;:\&quot;U Haul\&quot;},{\&quot;key\&quot;:\&quot;Amount $\&quot;,\&quot;value\&quot;:-85.79},{\&quot;key\&quot;:\&quot;Transaction_ID\&quot;,\&quot;value\&quot;:\&quot;40be8550b31a4df78049477cb53c2c8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61},{\&quot;key\&quot;:\&quot;Merchant\&quot;,\&quot;value\&quot;:\&quot;Musical Instrument Museu\&quot;},{\&quot;key\&quot;:\&quot;Amount $\&quot;,\&quot;value\&quot;:-67},{\&quot;key\&quot;:\&quot;Transaction_ID\&quot;,\&quot;value\&quot;:\&quot;d846a8266eb54580aab6b9045e86b0d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61},{\&quot;key\&quot;:\&quot;Merchant\&quot;,\&quot;value\&quot;:\&quot;Coconut's Fish Cafe Sco\&quot;},{\&quot;key\&quot;:\&quot;Amount $\&quot;,\&quot;value\&quot;:-30.44},{\&quot;key\&quot;:\&quot;Transaction_ID\&quot;,\&quot;value\&quot;:\&quot;c755dd0a07d44f33bfdeab528b5abb2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61},{\&quot;key\&quot;:\&quot;Merchant\&quot;,\&quot;value\&quot;:\&quot;U Haul\&quot;},{\&quot;key\&quot;:\&quot;Amount $\&quot;,\&quot;value\&quot;:-126.55},{\&quot;key\&quot;:\&quot;Transaction_ID\&quot;,\&quot;value\&quot;:\&quot;b61b8dc5416e4bd0a6d1251ad50acd8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61},{\&quot;key\&quot;:\&quot;Merchant\&quot;,\&quot;value\&quot;:\&quot;Pp Roku For Crunchyr\&quot;},{\&quot;key\&quot;:\&quot;Amount $\&quot;,\&quot;value\&quot;:-7.99},{\&quot;key\&quot;:\&quot;Transaction_ID\&quot;,\&quot;value\&quot;:\&quot;6d6cf701b1f4424b833ef74511f708b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60},{\&quot;key\&quot;:\&quot;Merchant\&quot;,\&quot;value\&quot;:\&quot;Cavasson Eastside Cafe Scottsdale\&quot;},{\&quot;key\&quot;:\&quot;Amount $\&quot;,\&quot;value\&quot;:-6.47},{\&quot;key\&quot;:\&quot;Transaction_ID\&quot;,\&quot;value\&quot;:\&quot;a6b29fefb11c44f2a1b63d705ef34d6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59},{\&quot;key\&quot;:\&quot;Merchant\&quot;,\&quot;value\&quot;:\&quot;Target Phoenix Az Apple\&quot;},{\&quot;key\&quot;:\&quot;Amount $\&quot;,\&quot;value\&quot;:-5.42},{\&quot;key\&quot;:\&quot;Transaction_ID\&quot;,\&quot;value\&quot;:\&quot;e26773e40c1a4e49b9861c776b603eb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59},{\&quot;key\&quot;:\&quot;Merchant\&quot;,\&quot;value\&quot;:\&quot;Discover E Payment Lewis\&quot;},{\&quot;key\&quot;:\&quot;Amount $\&quot;,\&quot;value\&quot;:-925.99},{\&quot;key\&quot;:\&quot;Transaction_ID\&quot;,\&quot;value\&quot;:\&quot;d5c57b1d8db548eb89c85586971127a5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59},{\&quot;key\&quot;:\&quot;Merchant\&quot;,\&quot;value\&quot;:\&quot;Ramen Hood\&quot;},{\&quot;key\&quot;:\&quot;Amount $\&quot;,\&quot;value\&quot;:-18.25},{\&quot;key\&quot;:\&quot;Transaction_ID\&quot;,\&quot;value\&quot;:\&quot;ca0a0f5ccf9b4efc8b6f656289d4e0e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59},{\&quot;key\&quot;:\&quot;Merchant\&quot;,\&quot;value\&quot;:\&quot;Wow Wow Hawaiian Le\&quot;},{\&quot;key\&quot;:\&quot;Amount $\&quot;,\&quot;value\&quot;:-13.29},{\&quot;key\&quot;:\&quot;Transaction_ID\&quot;,\&quot;value\&quot;:\&quot;6e9aeaa184bf4d1790de483fe92f5ad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59},{\&quot;key\&quot;:\&quot;Merchant\&quot;,\&quot;value\&quot;:\&quot;Dominion Energy Billpay Dominion\&quot;},{\&quot;key\&quot;:\&quot;Amount $\&quot;,\&quot;value\&quot;:-120.69},{\&quot;key\&quot;:\&quot;Transaction_ID\&quot;,\&quot;value\&quot;:\&quot;3f979b8c6d0743209afcf9a2d30d57ce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59},{\&quot;key\&quot;:\&quot;Merchant\&quot;,\&quot;value\&quot;:\&quot;Salad And Go\&quot;},{\&quot;key\&quot;:\&quot;Amount $\&quot;,\&quot;value\&quot;:-12.47},{\&quot;key\&quot;:\&quot;Transaction_ID\&quot;,\&quot;value\&quot;:\&quot;1dfce8f4636841f1887d0cc5ebe9a27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58},{\&quot;key\&quot;:\&quot;Merchant\&quot;,\&quot;value\&quot;:\&quot;Safeway\&quot;},{\&quot;key\&quot;:\&quot;Amount $\&quot;,\&quot;value\&quot;:-58.37},{\&quot;key\&quot;:\&quot;Transaction_ID\&quot;,\&quot;value\&quot;:\&quot;d9f2a962fe4444599cb944a336ff7fc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58},{\&quot;key\&quot;:\&quot;Merchant\&quot;,\&quot;value\&quot;:\&quot;Zukis Pita Llc\&quot;},{\&quot;key\&quot;:\&quot;Amount $\&quot;,\&quot;value\&quot;:-30},{\&quot;key\&quot;:\&quot;Transaction_ID\&quot;,\&quot;value\&quot;:\&quot;b66cd8ee9b3d40c5afa990805ecba17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58},{\&quot;key\&quot;:\&quot;Merchant\&quot;,\&quot;value\&quot;:\&quot;Interest Charge On Purchases\&quot;},{\&quot;key\&quot;:\&quot;Amount $\&quot;,\&quot;value\&quot;:0},{\&quot;key\&quot;:\&quot;Transaction_ID\&quot;,\&quot;value\&quot;:\&quot;907605d6776d49629cf28c76d3bffde1\&quot;},{\&quot;key\&quot;:\&quot;Account_ID\&quot;,\&quot;value\&quot;:\&quot;a82d9aba872e4e9b9684a363d4cc52b5\&quot;},{\&quot;key\&quot;:\&quot;Category_ID\&quot;,\&quot;value\&quot;:\&quot;de9b1d2511bc45a9bb2d484aa9e33b31\&quot;},{\&quot;key\&quot;:\&quot;Subcategory_ID\&quot;,\&quot;value\&quot;:\&quot;\&quot;}],[{\&quot;key\&quot;:\&quot;Date\&quot;,\&quot;value\&quot;:44458},{\&quot;key\&quot;:\&quot;Merchant\&quot;,\&quot;value\&quot;:\&quot;Interest Charge On Cash\&quot;},{\&quot;key\&quot;:\&quot;Amount $\&quot;,\&quot;value\&quot;:0},{\&quot;key\&quot;:\&quot;Transaction_ID\&quot;,\&quot;value\&quot;:\&quot;7a79abeb001c4e32820da05685f33b67\&quot;},{\&quot;key\&quot;:\&quot;Account_ID\&quot;,\&quot;value\&quot;:\&quot;a82d9aba872e4e9b9684a363d4cc52b5\&quot;},{\&quot;key\&quot;:\&quot;Category_ID\&quot;,\&quot;value\&quot;:\&quot;de9b1d2511bc45a9bb2d484aa9e33b31\&quot;},{\&quot;key\&quot;:\&quot;Subcategory_ID\&quot;,\&quot;value\&quot;:\&quot;\&quot;}],[{\&quot;key\&quot;:\&quot;Date\&quot;,\&quot;value\&quot;:44458},{\&quot;key\&quot;:\&quot;Merchant\&quot;,\&quot;value\&quot;:\&quot;Walmart\&quot;},{\&quot;key\&quot;:\&quot;Amount $\&quot;,\&quot;value\&quot;:-213.94},{\&quot;key\&quot;:\&quot;Transaction_ID\&quot;,\&quot;value\&quot;:\&quot;17f7092164a54cb59f24fd9de3f40d5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57},{\&quot;key\&quot;:\&quot;Merchant\&quot;,\&quot;value\&quot;:\&quot;Arco\&quot;},{\&quot;key\&quot;:\&quot;Amount $\&quot;,\&quot;value\&quot;:-31.15},{\&quot;key\&quot;:\&quot;Transaction_ID\&quot;,\&quot;value\&quot;:\&quot;9a296fd0aeaf44a59f67de9a0911262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57},{\&quot;key\&quot;:\&quot;Merchant\&quot;,\&quot;value\&quot;:\&quot;Steam Games\&quot;},{\&quot;key\&quot;:\&quot;Amount $\&quot;,\&quot;value\&quot;:-4.99},{\&quot;key\&quot;:\&quot;Transaction_ID\&quot;,\&quot;value\&quot;:\&quot;8e8f4c7f8e22417e95639829c8b702c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57},{\&quot;key\&quot;:\&quot;Merchant\&quot;,\&quot;value\&quot;:\&quot;Worth Takeaway Mesa Az\&quot;},{\&quot;key\&quot;:\&quot;Amount $\&quot;,\&quot;value\&quot;:-15.95},{\&quot;key\&quot;:\&quot;Transaction_ID\&quot;,\&quot;value\&quot;:\&quot;8c455a018c2046deb83051cece8d186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57},{\&quot;key\&quot;:\&quot;Merchant\&quot;,\&quot;value\&quot;:\&quot;Cash App Shevon Le\&quot;},{\&quot;key\&quot;:\&quot;Amount $\&quot;,\&quot;value\&quot;:-60},{\&quot;key\&quot;:\&quot;Transaction_ID\&quot;,\&quot;value\&quot;:\&quot;1fac3edd2a164b4bb1b8a7de7766985b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57},{\&quot;key\&quot;:\&quot;Merchant\&quot;,\&quot;value\&quot;:\&quot;Lyft\&quot;},{\&quot;key\&quot;:\&quot;Amount $\&quot;,\&quot;value\&quot;:-10.67},{\&quot;key\&quot;:\&quot;Transaction_ID\&quot;,\&quot;value\&quot;:\&quot;062a07db87224a8ba6bb7e16a4f0e44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56},{\&quot;key\&quot;:\&quot;Merchant\&quot;,\&quot;value\&quot;:\&quot;Circle K\&quot;},{\&quot;key\&quot;:\&quot;Amount $\&quot;,\&quot;value\&quot;:-21.78},{\&quot;key\&quot;:\&quot;Transaction_ID\&quot;,\&quot;value\&quot;:\&quot;fe2c213f91de42e080ebccbcc4b082a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56},{\&quot;key\&quot;:\&quot;Merchant\&quot;,\&quot;value\&quot;:\&quot;Circle K\&quot;},{\&quot;key\&quot;:\&quot;Amount $\&quot;,\&quot;value\&quot;:-5.78},{\&quot;key\&quot;:\&quot;Transaction_ID\&quot;,\&quot;value\&quot;:\&quot;eee6f1747b9c4368a12c6643b8817df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56},{\&quot;key\&quot;:\&quot;Merchant\&quot;,\&quot;value\&quot;:\&quot;7 Eleven\&quot;},{\&quot;key\&quot;:\&quot;Amount $\&quot;,\&quot;value\&quot;:-1.09},{\&quot;key\&quot;:\&quot;Transaction_ID\&quot;,\&quot;value\&quot;:\&quot;7dfdca832f4f40f8830db61d7c92219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56},{\&quot;key\&quot;:\&quot;Merchant\&quot;,\&quot;value\&quot;:\&quot;Apple Bill Ca Apple\&quot;},{\&quot;key\&quot;:\&quot;Amount $\&quot;,\&quot;value\&quot;:-5.29},{\&quot;key\&quot;:\&quot;Transaction_ID\&quot;,\&quot;value\&quot;:\&quot;6aed0b346bbe4c29b72025b28801daf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56},{\&quot;key\&quot;:\&quot;Merchant\&quot;,\&quot;value\&quot;:\&quot;James Blake Merch\&quot;},{\&quot;key\&quot;:\&quot;Amount $\&quot;,\&quot;value\&quot;:-50},{\&quot;key\&quot;:\&quot;Transaction_ID\&quot;,\&quot;value\&quot;:\&quot;62e85816bf6c417a9ac24303e890278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56},{\&quot;key\&quot;:\&quot;Merchant\&quot;,\&quot;value\&quot;:\&quot;Abc Bicycles &amp; Jet\&quot;},{\&quot;key\&quot;:\&quot;Amount $\&quot;,\&quot;value\&quot;:-59.57},{\&quot;key\&quot;:\&quot;Transaction_ID\&quot;,\&quot;value\&quot;:\&quot;37976ec8d764423891a6fb484d1da02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56},{\&quot;key\&quot;:\&quot;Merchant\&quot;,\&quot;value\&quot;:\&quot;Mesa Drummer Bar &amp;\&quot;},{\&quot;key\&quot;:\&quot;Amount $\&quot;,\&quot;value\&quot;:-20},{\&quot;key\&quot;:\&quot;Transaction_ID\&quot;,\&quot;value\&quot;:\&quot;35a808234f724b178eac59db307dbaf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56},{\&quot;key\&quot;:\&quot;Merchant\&quot;,\&quot;value\&quot;:\&quot;Airbnb Ydhf\&quot;},{\&quot;key\&quot;:\&quot;Amount $\&quot;,\&quot;value\&quot;:-86.74},{\&quot;key\&quot;:\&quot;Transaction_ID\&quot;,\&quot;value\&quot;:\&quot;24d146cb52054154b096aab2e9bc858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56},{\&quot;key\&quot;:\&quot;Merchant\&quot;,\&quot;value\&quot;:\&quot;Mts Pronto Ca\&quot;},{\&quot;key\&quot;:\&quot;Amount $\&quot;,\&quot;value\&quot;:-30},{\&quot;key\&quot;:\&quot;Transaction_ID\&quot;,\&quot;value\&quot;:\&quot;1294770704b04932aedc543ae1ecf17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56},{\&quot;key\&quot;:\&quot;Merchant\&quot;,\&quot;value\&quot;:\&quot;In N Out Burger\&quot;},{\&quot;key\&quot;:\&quot;Amount $\&quot;,\&quot;value\&quot;:-8.62},{\&quot;key\&quot;:\&quot;Transaction_ID\&quot;,\&quot;value\&quot;:\&quot;02ec2e23345e4492b54d6291249a95e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56},{\&quot;key\&quot;:\&quot;Merchant\&quot;,\&quot;value\&quot;:\&quot;Oro Brewing Compan Mesa\&quot;},{\&quot;key\&quot;:\&quot;Amount $\&quot;,\&quot;value\&quot;:-30},{\&quot;key\&quot;:\&quot;Transaction_ID\&quot;,\&quot;value\&quot;:\&quot;01f847b19e294d8abdb182cd947798c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56},{\&quot;key\&quot;:\&quot;Merchant\&quot;,\&quot;value\&quot;:\&quot;Internet Payment\&quot;},{\&quot;key\&quot;:\&quot;Amount $\&quot;,\&quot;value\&quot;:925.99},{\&quot;key\&quot;:\&quot;Transaction_ID\&quot;,\&quot;value\&quot;:\&quot;005e5aa4c62f48a0bfd638227dde43e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55},{\&quot;key\&quot;:\&quot;Merchant\&quot;,\&quot;value\&quot;:\&quot;North End Coffeeho Yuma\&quot;},{\&quot;key\&quot;:\&quot;Amount $\&quot;,\&quot;value\&quot;:-9.63},{\&quot;key\&quot;:\&quot;Transaction_ID\&quot;,\&quot;value\&quot;:\&quot;ec1b0aed73e84c90993995497ede174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55},{\&quot;key\&quot;:\&quot;Merchant\&quot;,\&quot;value\&quot;:\&quot;Observatory North La Mesa\&quot;},{\&quot;key\&quot;:\&quot;Amount $\&quot;,\&quot;value\&quot;:-7},{\&quot;key\&quot;:\&quot;Transaction_ID\&quot;,\&quot;value\&quot;:\&quot;b1495ca17c7e44c7b9ef022efd267b0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55},{\&quot;key\&quot;:\&quot;Merchant\&quot;,\&quot;value\&quot;:\&quot;Shell\&quot;},{\&quot;key\&quot;:\&quot;Amount $\&quot;,\&quot;value\&quot;:-48.02},{\&quot;key\&quot;:\&quot;Transaction_ID\&quot;,\&quot;value\&quot;:\&quot;9428c9af734a4b43a66e27ccdadd5316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55},{\&quot;key\&quot;:\&quot;Merchant\&quot;,\&quot;value\&quot;:\&quot;Shell\&quot;},{\&quot;key\&quot;:\&quot;Amount $\&quot;,\&quot;value\&quot;:-1.61},{\&quot;key\&quot;:\&quot;Transaction_ID\&quot;,\&quot;value\&quot;:\&quot;91d40e1015754a3fb88bf364dc33454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55},{\&quot;key\&quot;:\&quot;Merchant\&quot;,\&quot;value\&quot;:\&quot;Ace Parking\&quot;},{\&quot;key\&quot;:\&quot;Amount $\&quot;,\&quot;value\&quot;:-2},{\&quot;key\&quot;:\&quot;Transaction_ID\&quot;,\&quot;value\&quot;:\&quot;677578d8d3554cea86a66aa78b43857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55},{\&quot;key\&quot;:\&quot;Merchant\&quot;,\&quot;value\&quot;:\&quot;Glenns Market\&quot;},{\&quot;key\&quot;:\&quot;Amount $\&quot;,\&quot;value\&quot;:-7.49},{\&quot;key\&quot;:\&quot;Transaction_ID\&quot;,\&quot;value\&quot;:\&quot;48d32364fedd4150a5cf6319f82de5e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55},{\&quot;key\&quot;:\&quot;Merchant\&quot;,\&quot;value\&quot;:\&quot;Holsem Coffee San Diego\&quot;},{\&quot;key\&quot;:\&quot;Amount $\&quot;,\&quot;value\&quot;:-6.75},{\&quot;key\&quot;:\&quot;Transaction_ID\&quot;,\&quot;value\&quot;:\&quot;45a4cccd7e604aad910124bf1c2c491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55},{\&quot;key\&quot;:\&quot;Merchant\&quot;,\&quot;value\&quot;:\&quot;Roxy's Tacos\&quot;},{\&quot;key\&quot;:\&quot;Amount $\&quot;,\&quot;value\&quot;:-25},{\&quot;key\&quot;:\&quot;Transaction_ID\&quot;,\&quot;value\&quot;:\&quot;1162c8453975444291eef010549073b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55},{\&quot;key\&quot;:\&quot;Merchant\&quot;,\&quot;value\&quot;:\&quot;Bosa 8Th B\&quot;},{\&quot;key\&quot;:\&quot;Amount $\&quot;,\&quot;value\&quot;:-30},{\&quot;key\&quot;:\&quot;Transaction_ID\&quot;,\&quot;value\&quot;:\&quot;0eb76101310f460c8f6a4d03b45a569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55},{\&quot;key\&quot;:\&quot;Merchant\&quot;,\&quot;value\&quot;:\&quot;Shell\&quot;},{\&quot;key\&quot;:\&quot;Amount $\&quot;,\&quot;value\&quot;:-27.38},{\&quot;key\&quot;:\&quot;Transaction_ID\&quot;,\&quot;value\&quot;:\&quot;0625ac823d4846e691b51198e5035e8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54},{\&quot;key\&quot;:\&quot;Merchant\&quot;,\&quot;value\&quot;:\&quot;Wide World Maps &amp;\&quot;},{\&quot;key\&quot;:\&quot;Amount $\&quot;,\&quot;value\&quot;:-82.37},{\&quot;key\&quot;:\&quot;Transaction_ID\&quot;,\&quot;value\&quot;:\&quot;ad568e608fb943ec87ea8db702872c1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54},{\&quot;key\&quot;:\&quot;Merchant\&quot;,\&quot;value\&quot;:\&quot;Taco Bell\&quot;},{\&quot;key\&quot;:\&quot;Amount $\&quot;,\&quot;value\&quot;:-16.81},{\&quot;key\&quot;:\&quot;Transaction_ID\&quot;,\&quot;value\&quot;:\&quot;6b0b147d75cd473981aef40de2b3a86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53},{\&quot;key\&quot;:\&quot;Merchant\&quot;,\&quot;value\&quot;:\&quot;Ccbill\&quot;},{\&quot;key\&quot;:\&quot;Amount $\&quot;,\&quot;value\&quot;:-3},{\&quot;key\&quot;:\&quot;Transaction_ID\&quot;,\&quot;value\&quot;:\&quot;e5b88b99533f4fc4a7d2a43c0b6c5b0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53},{\&quot;key\&quot;:\&quot;Merchant\&quot;,\&quot;value\&quot;:\&quot;Cavasson Eastside Cafe\&quot;},{\&quot;key\&quot;:\&quot;Amount $\&quot;,\&quot;value\&quot;:-8.82},{\&quot;key\&quot;:\&quot;Transaction_ID\&quot;,\&quot;value\&quot;:\&quot;9ee715da23244dce829a603a6d94513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53},{\&quot;key\&quot;:\&quot;Merchant\&quot;,\&quot;value\&quot;:\&quot;Cavasson Eastside Cafe Scottsdale\&quot;},{\&quot;key\&quot;:\&quot;Amount $\&quot;,\&quot;value\&quot;:-5.93},{\&quot;key\&quot;:\&quot;Transaction_ID\&quot;,\&quot;value\&quot;:\&quot;92dbbd930cf84397969de82a6b29014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53},{\&quot;key\&quot;:\&quot;Merchant\&quot;,\&quot;value\&quot;:\&quot;Cavasson Eastside Cafe\&quot;},{\&quot;key\&quot;:\&quot;Amount $\&quot;,\&quot;value\&quot;:-2.7},{\&quot;key\&quot;:\&quot;Transaction_ID\&quot;,\&quot;value\&quot;:\&quot;8373245754a048c888e50f2c22a58cd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53},{\&quot;key\&quot;:\&quot;Merchant\&quot;,\&quot;value\&quot;:\&quot;Venmo\&quot;},{\&quot;key\&quot;:\&quot;Amount $\&quot;,\&quot;value\&quot;:-100},{\&quot;key\&quot;:\&quot;Transaction_ID\&quot;,\&quot;value\&quot;:\&quot;5d71b987d38e4ffb9d0262ff9d592985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52},{\&quot;key\&quot;:\&quot;Merchant\&quot;,\&quot;value\&quot;:\&quot;Staples Glendale Az Apple\&quot;},{\&quot;key\&quot;:\&quot;Amount $\&quot;,\&quot;value\&quot;:-15.27},{\&quot;key\&quot;:\&quot;Transaction_ID\&quot;,\&quot;value\&quot;:\&quot;8d2df0378cc2404685a5039fa7879e3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52},{\&quot;key\&quot;:\&quot;Merchant\&quot;,\&quot;value\&quot;:\&quot;Shell\&quot;},{\&quot;key\&quot;:\&quot;Amount $\&quot;,\&quot;value\&quot;:-35.9},{\&quot;key\&quot;:\&quot;Transaction_ID\&quot;,\&quot;value\&quot;:\&quot;8832bde952b74179b238f0caa34782c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52},{\&quot;key\&quot;:\&quot;Merchant\&quot;,\&quot;value\&quot;:\&quot;Healthequity Inc HealthequiSep Sean\&quot;},{\&quot;key\&quot;:\&quot;Amount $\&quot;,\&quot;value\&quot;:419.93},{\&quot;key\&quot;:\&quot;Transaction_ID\&quot;,\&quot;value\&quot;:\&quot;8498a75db9a44a92a8be9263279cd669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52},{\&quot;key\&quot;:\&quot;Merchant\&quot;,\&quot;value\&quot;:\&quot;Best Buy\&quot;},{\&quot;key\&quot;:\&quot;Amount $\&quot;,\&quot;value\&quot;:-608.14},{\&quot;key\&quot;:\&quot;Transaction_ID\&quot;,\&quot;value\&quot;:\&quot;57b470b28a4d49879cfbdd3a7f3d7347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52},{\&quot;key\&quot;:\&quot;Merchant\&quot;,\&quot;value\&quot;:\&quot;Staples Glendale Az Apple\&quot;},{\&quot;key\&quot;:\&quot;Amount $\&quot;,\&quot;value\&quot;:-1.85},{\&quot;key\&quot;:\&quot;Transaction_ID\&quot;,\&quot;value\&quot;:\&quot;463fc849da174cc7ae9d28a9d81766f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51},{\&quot;key\&quot;:\&quot;Merchant\&quot;,\&quot;value\&quot;:\&quot;U Haul Store\&quot;},{\&quot;key\&quot;:\&quot;Amount $\&quot;,\&quot;value\&quot;:-1130},{\&quot;key\&quot;:\&quot;Transaction_ID\&quot;,\&quot;value\&quot;:\&quot;660e6b304f6644818ee46b7c538bbf6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51},{\&quot;key\&quot;:\&quot;Merchant\&quot;,\&quot;value\&quot;:\&quot;Apple Bill Ca Apple\&quot;},{\&quot;key\&quot;:\&quot;Amount $\&quot;,\&quot;value\&quot;:-15.89},{\&quot;key\&quot;:\&quot;Transaction_ID\&quot;,\&quot;value\&quot;:\&quot;3c9caf34930249f1893be093707c06b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51},{\&quot;key\&quot;:\&quot;Merchant\&quot;,\&quot;value\&quot;:\&quot;Vizmediallc\&quot;},{\&quot;key\&quot;:\&quot;Amount $\&quot;,\&quot;value\&quot;:-1.99},{\&quot;key\&quot;:\&quot;Transaction_ID\&quot;,\&quot;value\&quot;:\&quot;1c6fb5d4ff8b4b9d83772987e7f1610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50},{\&quot;key\&quot;:\&quot;Merchant\&quot;,\&quot;value\&quot;:\&quot;Basilic Vietnamese Bar\&quot;},{\&quot;key\&quot;:\&quot;Amount $\&quot;,\&quot;value\&quot;:-60},{\&quot;key\&quot;:\&quot;Transaction_ID\&quot;,\&quot;value\&quot;:\&quot;cfacdfc2e055458290142ce046b5281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50},{\&quot;key\&quot;:\&quot;Merchant\&quot;,\&quot;value\&quot;:\&quot;Staples Phoenix Az Apple\&quot;},{\&quot;key\&quot;:\&quot;Amount $\&quot;,\&quot;value\&quot;:-144.92},{\&quot;key\&quot;:\&quot;Transaction_ID\&quot;,\&quot;value\&quot;:\&quot;8d411da78fdf415486f5433052626b9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50},{\&quot;key\&quot;:\&quot;Merchant\&quot;,\&quot;value\&quot;:\&quot;Parkmobile Ga Apple Pay\&quot;},{\&quot;key\&quot;:\&quot;Amount $\&quot;,\&quot;value\&quot;:-1.85},{\&quot;key\&quot;:\&quot;Transaction_ID\&quot;,\&quot;value\&quot;:\&quot;7a27b04fada04e3a8a6a1753ddfa7e2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50},{\&quot;key\&quot;:\&quot;Merchant\&quot;,\&quot;value\&quot;:\&quot;Py Az Iclf Az\&quot;},{\&quot;key\&quot;:\&quot;Amount $\&quot;,\&quot;value\&quot;:-80},{\&quot;key\&quot;:\&quot;Transaction_ID\&quot;,\&quot;value\&quot;:\&quot;5f5d6d919f594a7aa89fbe35fe30c4a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50},{\&quot;key\&quot;:\&quot;Merchant\&quot;,\&quot;value\&quot;:\&quot;Parkmobile Ga Apple Pay\&quot;},{\&quot;key\&quot;:\&quot;Amount $\&quot;,\&quot;value\&quot;:-1.85},{\&quot;key\&quot;:\&quot;Transaction_ID\&quot;,\&quot;value\&quot;:\&quot;58a2e64ee59a46e4b37e134d6d60f29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50},{\&quot;key\&quot;:\&quot;Merchant\&quot;,\&quot;value\&quot;:\&quot;Parkmobile Ga Apple Pay\&quot;},{\&quot;key\&quot;:\&quot;Amount $\&quot;,\&quot;value\&quot;:-1.85},{\&quot;key\&quot;:\&quot;Transaction_ID\&quot;,\&quot;value\&quot;:\&quot;3b8a9d71b0b140139cac58c450dae39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50},{\&quot;key\&quot;:\&quot;Merchant\&quot;,\&quot;value\&quot;:\&quot;Apple Bill Ca Apple\&quot;},{\&quot;key\&quot;:\&quot;Amount $\&quot;,\&quot;value\&quot;:-24.36},{\&quot;key\&quot;:\&quot;Transaction_ID\&quot;,\&quot;value\&quot;:\&quot;2d0b64571031471e9a25f156ede1113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50},{\&quot;key\&quot;:\&quot;Merchant\&quot;,\&quot;value\&quot;:\&quot;Giant Coffee Phoenix Az\&quot;},{\&quot;key\&quot;:\&quot;Amount $\&quot;,\&quot;value\&quot;:-10.33},{\&quot;key\&quot;:\&quot;Transaction_ID\&quot;,\&quot;value\&quot;:\&quot;0fbf0d7696794e4595c7a5704c7d16e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50},{\&quot;key\&quot;:\&quot;Merchant\&quot;,\&quot;value\&quot;:\&quot;Mighty Moo Ice Cre\&quot;},{\&quot;key\&quot;:\&quot;Amount $\&quot;,\&quot;value\&quot;:-19.15},{\&quot;key\&quot;:\&quot;Transaction_ID\&quot;,\&quot;value\&quot;:\&quot;0c200160d06c42c68703724a6d2c73a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49},{\&quot;key\&quot;:\&quot;Merchant\&quot;,\&quot;value\&quot;:\&quot;Cafe Rio Scottsdale\&quot;},{\&quot;key\&quot;:\&quot;Amount $\&quot;,\&quot;value\&quot;:-11.87},{\&quot;key\&quot;:\&quot;Transaction_ID\&quot;,\&quot;value\&quot;:\&quot;baf2334cf3bd4a888f649f9f0b00ed3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49},{\&quot;key\&quot;:\&quot;Merchant\&quot;,\&quot;value\&quot;:\&quot;Venmo\&quot;},{\&quot;key\&quot;:\&quot;Amount $\&quot;,\&quot;value\&quot;:282.35},{\&quot;key\&quot;:\&quot;Transaction_ID\&quot;,\&quot;value\&quot;:\&quot;b992bd41ba474e9ea0852ba4e3e2b98a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49},{\&quot;key\&quot;:\&quot;Merchant\&quot;,\&quot;value\&quot;:\&quot;Discover E Payment Lewis\&quot;},{\&quot;key\&quot;:\&quot;Amount $\&quot;,\&quot;value\&quot;:-925.18},{\&quot;key\&quot;:\&quot;Transaction_ID\&quot;,\&quot;value\&quot;:\&quot;9181fde7a1674789b5f3ac91fdaf1db1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49},{\&quot;key\&quot;:\&quot;Merchant\&quot;,\&quot;value\&quot;:\&quot;Internet Payment\&quot;},{\&quot;key\&quot;:\&quot;Amount $\&quot;,\&quot;value\&quot;:925.18},{\&quot;key\&quot;:\&quot;Transaction_ID\&quot;,\&quot;value\&quot;:\&quot;77d9ee678aae46e5b125c199bea0668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49},{\&quot;key\&quot;:\&quot;Merchant\&quot;,\&quot;value\&quot;:\&quot;Cavasson Eastside Cafe Scottsdale\&quot;},{\&quot;key\&quot;:\&quot;Amount $\&quot;,\&quot;value\&quot;:-11.71},{\&quot;key\&quot;:\&quot;Transaction_ID\&quot;,\&quot;value\&quot;:\&quot;683cb3589b5f4db8b5a9aaba90dfb76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49},{\&quot;key\&quot;:\&quot;Merchant\&quot;,\&quot;value\&quot;:\&quot;Wilderness Dtphx\&quot;},{\&quot;key\&quot;:\&quot;Amount $\&quot;,\&quot;value\&quot;:-60},{\&quot;key\&quot;:\&quot;Transaction_ID\&quot;,\&quot;value\&quot;:\&quot;4c8698244f214a5fa5519ecb9dde456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48},{\&quot;key\&quot;:\&quot;Merchant\&quot;,\&quot;value\&quot;:\&quot;Online Payment Deerfield Il\&quot;},{\&quot;key\&quot;:\&quot;Amount $\&quot;,\&quot;value\&quot;:608.14},{\&quot;key\&quot;:\&quot;Transaction_ID\&quot;,\&quot;value\&quot;:\&quot;ccaf59eab75942b2963e0296797817c7\&quot;},{\&quot;key\&quot;:\&quot;Account_ID\&quot;,\&quot;value\&quot;:\&quot;a82d9aba872e4e9b9684a363d4cc52b5\&quot;},{\&quot;key\&quot;:\&quot;Category_ID\&quot;,\&quot;value\&quot;:\&quot;3dafc6bd8d7c45ae9840ff09e01567d1\&quot;},{\&quot;key\&quot;:\&quot;Subcategory_ID\&quot;,\&quot;value\&quot;:\&quot;\&quot;}],[{\&quot;key\&quot;:\&quot;Date\&quot;,\&quot;value\&quot;:44448},{\&quot;key\&quot;:\&quot;Merchant\&quot;,\&quot;value\&quot;:\&quot;Nationwide Payroll Sean Lewis\&quot;},{\&quot;key\&quot;:\&quot;Amount $\&quot;,\&quot;value\&quot;:2033.66},{\&quot;key\&quot;:\&quot;Transaction_ID\&quot;,\&quot;value\&quot;:\&quot;c2b3bd92bab04975b30998e71a3efa10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48},{\&quot;key\&quot;:\&quot;Merchant\&quot;,\&quot;value\&quot;:\&quot;The Taco Spot\&quot;},{\&quot;key\&quot;:\&quot;Amount $\&quot;,\&quot;value\&quot;:-48.5},{\&quot;key\&quot;:\&quot;Transaction_ID\&quot;,\&quot;value\&quot;:\&quot;881a8bd046b44494b9db7eeb4e08989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48},{\&quot;key\&quot;:\&quot;Merchant\&quot;,\&quot;value\&quot;:\&quot;Circle K\&quot;},{\&quot;key\&quot;:\&quot;Amount $\&quot;,\&quot;value\&quot;:-28.76},{\&quot;key\&quot;:\&quot;Transaction_ID\&quot;,\&quot;value\&quot;:\&quot;83322230f0d24feba519accc2b363c8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48},{\&quot;key\&quot;:\&quot;Merchant\&quot;,\&quot;value\&quot;:\&quot;Cavasson Eastside Cafe Scottsdale\&quot;},{\&quot;key\&quot;:\&quot;Amount $\&quot;,\&quot;value\&quot;:-8.59},{\&quot;key\&quot;:\&quot;Transaction_ID\&quot;,\&quot;value\&quot;:\&quot;1cbc8279f6be4cebb1ecc2de6bfd7a7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47},{\&quot;key\&quot;:\&quot;Merchant\&quot;,\&quot;value\&quot;:\&quot;Cvs\&quot;},{\&quot;key\&quot;:\&quot;Amount $\&quot;,\&quot;value\&quot;:-53},{\&quot;key\&quot;:\&quot;Transaction_ID\&quot;,\&quot;value\&quot;:\&quot;ff60965eb14f45c588185e91b6cf077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47},{\&quot;key\&quot;:\&quot;Merchant\&quot;,\&quot;value\&quot;:\&quot;Patientco Hold Web Pmts\&quot;},{\&quot;key\&quot;:\&quot;Amount $\&quot;,\&quot;value\&quot;:-419.93},{\&quot;key\&quot;:\&quot;Transaction_ID\&quot;,\&quot;value\&quot;:\&quot;8102eb79cfd64cf08d8427b0c2dcf3b1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47},{\&quot;key\&quot;:\&quot;Merchant\&quot;,\&quot;value\&quot;:\&quot;Cavasson Eastside Cafe\&quot;},{\&quot;key\&quot;:\&quot;Amount $\&quot;,\&quot;value\&quot;:-8.64},{\&quot;key\&quot;:\&quot;Transaction_ID\&quot;,\&quot;value\&quot;:\&quot;75486e9ec2f542a6a3382fdca945939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47},{\&quot;key\&quot;:\&quot;Merchant\&quot;,\&quot;value\&quot;:\&quot;Cavasson Eastside Cafe\&quot;},{\&quot;key\&quot;:\&quot;Amount $\&quot;,\&quot;value\&quot;:-2.97},{\&quot;key\&quot;:\&quot;Transaction_ID\&quot;,\&quot;value\&quot;:\&quot;388306408d294a749a757b7b29ea330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47},{\&quot;key\&quot;:\&quot;Merchant\&quot;,\&quot;value\&quot;:\&quot;Tmobile Postpaid Pda Wa\&quot;},{\&quot;key\&quot;:\&quot;Amount $\&quot;,\&quot;value\&quot;:-86.25},{\&quot;key\&quot;:\&quot;Transaction_ID\&quot;,\&quot;value\&quot;:\&quot;1f596498cf3c46af9075fd5e1ad485d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47},{\&quot;key\&quot;:\&quot;Merchant\&quot;,\&quot;value\&quot;:\&quot;Fandango\&quot;},{\&quot;key\&quot;:\&quot;Amount $\&quot;,\&quot;value\&quot;:-25.58},{\&quot;key\&quot;:\&quot;Transaction_ID\&quot;,\&quot;value\&quot;:\&quot;13f36eed46504b86834b3d08e17690c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47},{\&quot;key\&quot;:\&quot;Merchant\&quot;,\&quot;value\&quot;:\&quot;Ccbill\&quot;},{\&quot;key\&quot;:\&quot;Amount $\&quot;,\&quot;value\&quot;:-11},{\&quot;key\&quot;:\&quot;Transaction_ID\&quot;,\&quot;value\&quot;:\&quot;08bb1c641b1044029a51b4ee9ede0b3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46},{\&quot;key\&quot;:\&quot;Merchant\&quot;,\&quot;value\&quot;:\&quot;Venmo\&quot;},{\&quot;key\&quot;:\&quot;Amount $\&quot;,\&quot;value\&quot;:-97.02},{\&quot;key\&quot;:\&quot;Transaction_ID\&quot;,\&quot;value\&quot;:\&quot;e49c1317f94f4a169f7a776820db9052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46},{\&quot;key\&quot;:\&quot;Merchant\&quot;,\&quot;value\&quot;:\&quot;Officemax\&quot;},{\&quot;key\&quot;:\&quot;Amount $\&quot;,\&quot;value\&quot;:-30.94},{\&quot;key\&quot;:\&quot;Transaction_ID\&quot;,\&quot;value\&quot;:\&quot;dad28436e65c47a58a1a32b34162e25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46},{\&quot;key\&quot;:\&quot;Merchant\&quot;,\&quot;value\&quot;:\&quot;Venmo\&quot;},{\&quot;key\&quot;:\&quot;Amount $\&quot;,\&quot;value\&quot;:911.7},{\&quot;key\&quot;:\&quot;Transaction_ID\&quot;,\&quot;value\&quot;:\&quot;cd654a9d484942cda016b04600dfff0d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46},{\&quot;key\&quot;:\&quot;Merchant\&quot;,\&quot;value\&quot;:\&quot;Walmart\&quot;},{\&quot;key\&quot;:\&quot;Amount $\&quot;,\&quot;value\&quot;:-122.55},{\&quot;key\&quot;:\&quot;Transaction_ID\&quot;,\&quot;value\&quot;:\&quot;838a0b8374644c7ea993617196d3a33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46},{\&quot;key\&quot;:\&quot;Merchant\&quot;,\&quot;value\&quot;:\&quot;Harkins Christown\&quot;},{\&quot;key\&quot;:\&quot;Amount $\&quot;,\&quot;value\&quot;:-8},{\&quot;key\&quot;:\&quot;Transaction_ID\&quot;,\&quot;value\&quot;:\&quot;7c98783ff41b4d9c83a855bcb3d4f2a4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46},{\&quot;key\&quot;:\&quot;Merchant\&quot;,\&quot;value\&quot;:\&quot;Amazon 2 Amzn Billwa\&quot;},{\&quot;key\&quot;:\&quot;Amount $\&quot;,\&quot;value\&quot;:-27.15},{\&quot;key\&quot;:\&quot;Transaction_ID\&quot;,\&quot;value\&quot;:\&quot;67616f8617f34661b436c665ce5593e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46},{\&quot;key\&quot;:\&quot;Merchant\&quot;,\&quot;value\&quot;:\&quot;Venmo\&quot;},{\&quot;key\&quot;:\&quot;Amount $\&quot;,\&quot;value\&quot;:-32.28},{\&quot;key\&quot;:\&quot;Transaction_ID\&quot;,\&quot;value\&quot;:\&quot;6177eefbb784432f8bfa40ab10f8a711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46},{\&quot;key\&quot;:\&quot;Merchant\&quot;,\&quot;value\&quot;:\&quot;Money Transfer Authorized On\&quot;},{\&quot;key\&quot;:\&quot;Amount $\&quot;,\&quot;value\&quot;:103.42},{\&quot;key\&quot;:\&quot;Transaction_ID\&quot;,\&quot;value\&quot;:\&quot;5cb6a0bfcb414ea3aa87329dd80f64a7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46},{\&quot;key\&quot;:\&quot;Merchant\&quot;,\&quot;value\&quot;:\&quot;Venmo\&quot;},{\&quot;key\&quot;:\&quot;Amount $\&quot;,\&quot;value\&quot;:-92.68},{\&quot;key\&quot;:\&quot;Transaction_ID\&quot;,\&quot;value\&quot;:\&quot;4e4611d2411a4aa9b4a436a92cde033b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46},{\&quot;key\&quot;:\&quot;Merchant\&quot;,\&quot;value\&quot;:\&quot;Best Buy\&quot;},{\&quot;key\&quot;:\&quot;Amount $\&quot;,\&quot;value\&quot;:-190.78},{\&quot;key\&quot;:\&quot;Transaction_ID\&quot;,\&quot;value\&quot;:\&quot;34cb9ae66bec4720b5e8d4eacbfccb3a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46},{\&quot;key\&quot;:\&quot;Merchant\&quot;,\&quot;value\&quot;:\&quot;Discover E Payment Lewis\&quot;},{\&quot;key\&quot;:\&quot;Amount $\&quot;,\&quot;value\&quot;:-1253.96},{\&quot;key\&quot;:\&quot;Transaction_ID\&quot;,\&quot;value\&quot;:\&quot;0ca07870e88048a88c853f3b5cf8f6ac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45},{\&quot;key\&quot;:\&quot;Merchant\&quot;,\&quot;value\&quot;:\&quot;Prime Video 2 Wa\&quot;},{\&quot;key\&quot;:\&quot;Amount $\&quot;,\&quot;value\&quot;:-14.99},{\&quot;key\&quot;:\&quot;Transaction_ID\&quot;,\&quot;value\&quot;:\&quot;be537d0a97f845ab96110bf4c2d8d6e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45},{\&quot;key\&quot;:\&quot;Merchant\&quot;,\&quot;value\&quot;:\&quot;Vegan House\&quot;},{\&quot;key\&quot;:\&quot;Amount $\&quot;,\&quot;value\&quot;:-60},{\&quot;key\&quot;:\&quot;Transaction_ID\&quot;,\&quot;value\&quot;:\&quot;326c5b921e09452ab53635b5d5d832c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44},{\&quot;key\&quot;:\&quot;Merchant\&quot;,\&quot;value\&quot;:\&quot;Walmart\&quot;},{\&quot;key\&quot;:\&quot;Amount $\&quot;,\&quot;value\&quot;:-28.16},{\&quot;key\&quot;:\&quot;Transaction_ID\&quot;,\&quot;value\&quot;:\&quot;c0a66a5a78544d05b2077ab63c6e426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44},{\&quot;key\&quot;:\&quot;Merchant\&quot;,\&quot;value\&quot;:\&quot;Laz Parking Luke\&quot;},{\&quot;key\&quot;:\&quot;Amount $\&quot;,\&quot;value\&quot;:-10},{\&quot;key\&quot;:\&quot;Transaction_ID\&quot;,\&quot;value\&quot;:\&quot;b0258d251c6b472fb09009ed067b416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44},{\&quot;key\&quot;:\&quot;Merchant\&quot;,\&quot;value\&quot;:\&quot;Ainsworth\&quot;},{\&quot;key\&quot;:\&quot;Amount $\&quot;,\&quot;value\&quot;:-80},{\&quot;key\&quot;:\&quot;Transaction_ID\&quot;,\&quot;value\&quot;:\&quot;49e7d2224d114cdeb006bdac45d6a26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44},{\&quot;key\&quot;:\&quot;Merchant\&quot;,\&quot;value\&quot;:\&quot;Internet Payment\&quot;},{\&quot;key\&quot;:\&quot;Amount $\&quot;,\&quot;value\&quot;:1253.96},{\&quot;key\&quot;:\&quot;Transaction_ID\&quot;,\&quot;value\&quot;:\&quot;29d301bcd2534957a00688314ceea27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44},{\&quot;key\&quot;:\&quot;Merchant\&quot;,\&quot;value\&quot;:\&quot;Best Buy\&quot;},{\&quot;key\&quot;:\&quot;Amount $\&quot;,\&quot;value\&quot;:-608.14},{\&quot;key\&quot;:\&quot;Transaction_ID\&quot;,\&quot;value\&quot;:\&quot;2204385ddd3c4c08b358be634210082a\&quot;},{\&quot;key\&quot;:\&quot;Account_ID\&quot;,\&quot;value\&quot;:\&quot;a82d9aba872e4e9b9684a363d4cc52b5\&quot;},{\&quot;key\&quot;:\&quot;Category_ID\&quot;,\&quot;value\&quot;:\&quot;fca5dd8329b743f7b77704e23a1e63ad\&quot;},{\&quot;key\&quot;:\&quot;Subcategory_ID\&quot;,\&quot;value\&quot;:\&quot;\&quot;}],[{\&quot;key\&quot;:\&quot;Date\&quot;,\&quot;value\&quot;:44444},{\&quot;key\&quot;:\&quot;Merchant\&quot;,\&quot;value\&quot;:\&quot;Online Payment Deerfield Il\&quot;},{\&quot;key\&quot;:\&quot;Amount $\&quot;,\&quot;value\&quot;:190.78},{\&quot;key\&quot;:\&quot;Transaction_ID\&quot;,\&quot;value\&quot;:\&quot;09880b15b225463ea73289fd6bbcd023\&quot;},{\&quot;key\&quot;:\&quot;Account_ID\&quot;,\&quot;value\&quot;:\&quot;a82d9aba872e4e9b9684a363d4cc52b5\&quot;},{\&quot;key\&quot;:\&quot;Category_ID\&quot;,\&quot;value\&quot;:\&quot;3dafc6bd8d7c45ae9840ff09e01567d1\&quot;},{\&quot;key\&quot;:\&quot;Subcategory_ID\&quot;,\&quot;value\&quot;:\&quot;\&quot;}],[{\&quot;key\&quot;:\&quot;Date\&quot;,\&quot;value\&quot;:44443},{\&quot;key\&quot;:\&quot;Merchant\&quot;,\&quot;value\&quot;:\&quot;Jiffy Lube\&quot;},{\&quot;key\&quot;:\&quot;Amount $\&quot;,\&quot;value\&quot;:-93.71},{\&quot;key\&quot;:\&quot;Transaction_ID\&quot;,\&quot;value\&quot;:\&quot;e7f9ca80acc64b00a39d496eed2aa4b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42},{\&quot;key\&quot;:\&quot;Merchant\&quot;,\&quot;value\&quot;:\&quot;Best Quality Daught\&quot;},{\&quot;key\&quot;:\&quot;Amount $\&quot;,\&quot;value\&quot;:-125.03},{\&quot;key\&quot;:\&quot;Transaction_ID\&quot;,\&quot;value\&quot;:\&quot;af8c7f35fce24106948172449ae2d5e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42},{\&quot;key\&quot;:\&quot;Merchant\&quot;,\&quot;value\&quot;:\&quot;Speedway N St\&quot;},{\&quot;key\&quot;:\&quot;Amount $\&quot;,\&quot;value\&quot;:-35.38},{\&quot;key\&quot;:\&quot;Transaction_ID\&quot;,\&quot;value\&quot;:\&quot;a855390e2e044032a02a1d67b45abda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42},{\&quot;key\&quot;:\&quot;Merchant\&quot;,\&quot;value\&quot;:\&quot;Exxonmobil\&quot;},{\&quot;key\&quot;:\&quot;Amount $\&quot;,\&quot;value\&quot;:-18.06},{\&quot;key\&quot;:\&quot;Transaction_ID\&quot;,\&quot;value\&quot;:\&quot;a569fad7b8e1439bbe63171ebf3c116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42},{\&quot;key\&quot;:\&quot;Merchant\&quot;,\&quot;value\&quot;:\&quot;State Farm\&quot;},{\&quot;key\&quot;:\&quot;Amount $\&quot;,\&quot;value\&quot;:-68.52},{\&quot;key\&quot;:\&quot;Transaction_ID\&quot;,\&quot;value\&quot;:\&quot;6e819f9323524673bb3f8f87247d44a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42},{\&quot;key\&quot;:\&quot;Merchant\&quot;,\&quot;value\&quot;:\&quot;Hulu\&quot;},{\&quot;key\&quot;:\&quot;Amount $\&quot;,\&quot;value\&quot;:-11.99},{\&quot;key\&quot;:\&quot;Transaction_ID\&quot;,\&quot;value\&quot;:\&quot;1cf622a4514c4a809e4c2bd5d823995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42},{\&quot;key\&quot;:\&quot;Merchant\&quot;,\&quot;value\&quot;:\&quot;Exxonmobil\&quot;},{\&quot;key\&quot;:\&quot;Amount $\&quot;,\&quot;value\&quot;:-39.69},{\&quot;key\&quot;:\&quot;Transaction_ID\&quot;,\&quot;value\&quot;:\&quot;0ecbe41bca4640f4b9e5ee6699d3a3a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42},{\&quot;key\&quot;:\&quot;Merchant\&quot;,\&quot;value\&quot;:\&quot;Mustang Frankling Plaza\&quot;},{\&quot;key\&quot;:\&quot;Amount $\&quot;,\&quot;value\&quot;:-4},{\&quot;key\&quot;:\&quot;Transaction_ID\&quot;,\&quot;value\&quot;:\&quot;0950ad32400b49b6b6fee4c2a2601f3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41},{\&quot;key\&quot;:\&quot;Merchant\&quot;,\&quot;value\&quot;:\&quot;Krystal And Saagar\&quot;},{\&quot;key\&quot;:\&quot;Amount $\&quot;,\&quot;value\&quot;:-10},{\&quot;key\&quot;:\&quot;Transaction_ID\&quot;,\&quot;value\&quot;:\&quot;e71395502a944e96aa2a061c6670318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41},{\&quot;key\&quot;:\&quot;Merchant\&quot;,\&quot;value\&quot;:\&quot;Bird Ride\&quot;},{\&quot;key\&quot;:\&quot;Amount $\&quot;,\&quot;value\&quot;:-20},{\&quot;key\&quot;:\&quot;Transaction_ID\&quot;,\&quot;value\&quot;:\&quot;dd0765234d0340f3aa4b468b012a8da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41},{\&quot;key\&quot;:\&quot;Merchant\&quot;,\&quot;value\&quot;:\&quot;The Alamo\&quot;},{\&quot;key\&quot;:\&quot;Amount $\&quot;,\&quot;value\&quot;:-9},{\&quot;key\&quot;:\&quot;Transaction_ID\&quot;,\&quot;value\&quot;:\&quot;ced819dc6ecc43d093286d50b0c61dc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41},{\&quot;key\&quot;:\&quot;Merchant\&quot;,\&quot;value\&quot;:\&quot;Lids\&quot;},{\&quot;key\&quot;:\&quot;Amount $\&quot;,\&quot;value\&quot;:-37.88},{\&quot;key\&quot;:\&quot;Transaction_ID\&quot;,\&quot;value\&quot;:\&quot;b3341d2ad6474d629e9e15931a834b5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41},{\&quot;key\&quot;:\&quot;Merchant\&quot;,\&quot;value\&quot;:\&quot;Af Nicolan Llc\&quot;},{\&quot;key\&quot;:\&quot;Amount $\&quot;,\&quot;value\&quot;:-40},{\&quot;key\&quot;:\&quot;Transaction_ID\&quot;,\&quot;value\&quot;:\&quot;6cacb924315f44a6aad550e463beb3d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41},{\&quot;key\&quot;:\&quot;Merchant\&quot;,\&quot;value\&quot;:\&quot;Tsfm Online Ticket Sls\&quot;},{\&quot;key\&quot;:\&quot;Amount $\&quot;,\&quot;value\&quot;:-47.5},{\&quot;key\&quot;:\&quot;Transaction_ID\&quot;,\&quot;value\&quot;:\&quot;540dce4c481c4fb09f30fdcc0c4964c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41},{\&quot;key\&quot;:\&quot;Merchant\&quot;,\&quot;value\&quot;:\&quot;Lim Ride Cost\&quot;},{\&quot;key\&quot;:\&quot;Amount $\&quot;,\&quot;value\&quot;:-0.94},{\&quot;key\&quot;:\&quot;Transaction_ID\&quot;,\&quot;value\&quot;:\&quot;5367c8eff261478a929ec8e8f62693f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41},{\&quot;key\&quot;:\&quot;Merchant\&quot;,\&quot;value\&quot;:\&quot;Apple Bill Ca Apple\&quot;},{\&quot;key\&quot;:\&quot;Amount $\&quot;,\&quot;value\&quot;:-11.64},{\&quot;key\&quot;:\&quot;Transaction_ID\&quot;,\&quot;value\&quot;:\&quot;482a710641f246c887b80bf77684a5c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41},{\&quot;key\&quot;:\&quot;Merchant\&quot;,\&quot;value\&quot;:\&quot;The Alamo\&quot;},{\&quot;key\&quot;:\&quot;Amount $\&quot;,\&quot;value\&quot;:-31},{\&quot;key\&quot;:\&quot;Transaction_ID\&quot;,\&quot;value\&quot;:\&quot;463aed9422f14f55afc7d1cecbeb694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41},{\&quot;key\&quot;:\&quot;Merchant\&quot;,\&quot;value\&quot;:\&quot;Wheels Ride In Style\&quot;},{\&quot;key\&quot;:\&quot;Amount $\&quot;,\&quot;value\&quot;:-6.72},{\&quot;key\&quot;:\&quot;Transaction_ID\&quot;,\&quot;value\&quot;:\&quot;4256648eb23644b18cf842e376a683f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41},{\&quot;key\&quot;:\&quot;Merchant\&quot;,\&quot;value\&quot;:\&quot;Starbucks\&quot;},{\&quot;key\&quot;:\&quot;Amount $\&quot;,\&quot;value\&quot;:-2.45},{\&quot;key\&quot;:\&quot;Transaction_ID\&quot;,\&quot;value\&quot;:\&quot;401e45b2e0394fd297997637f484b51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41},{\&quot;key\&quot;:\&quot;Merchant\&quot;,\&quot;value\&quot;:\&quot;Lim Ride Cost\&quot;},{\&quot;key\&quot;:\&quot;Amount $\&quot;,\&quot;value\&quot;:-0.94},{\&quot;key\&quot;:\&quot;Transaction_ID\&quot;,\&quot;value\&quot;:\&quot;2c77e2bb687b46be883b286ef233d4f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41},{\&quot;key\&quot;:\&quot;Merchant\&quot;,\&quot;value\&quot;:\&quot;Lim Ride Cost\&quot;},{\&quot;key\&quot;:\&quot;Amount $\&quot;,\&quot;value\&quot;:-1.57},{\&quot;key\&quot;:\&quot;Transaction_ID\&quot;,\&quot;value\&quot;:\&quot;0809daa02a7641ad9b18c39ecb65c5e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40},{\&quot;key\&quot;:\&quot;Merchant\&quot;,\&quot;value\&quot;:\&quot;Uchi Austin Austin Tx\&quot;},{\&quot;key\&quot;:\&quot;Amount $\&quot;,\&quot;value\&quot;:-80},{\&quot;key\&quot;:\&quot;Transaction_ID\&quot;,\&quot;value\&quot;:\&quot;f6eedab80adc41d9bc5b51be078d7eb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40},{\&quot;key\&quot;:\&quot;Merchant\&quot;,\&quot;value\&quot;:\&quot;Lim Ride Cost\&quot;},{\&quot;key\&quot;:\&quot;Amount $\&quot;,\&quot;value\&quot;:-3.77},{\&quot;key\&quot;:\&quot;Transaction_ID\&quot;,\&quot;value\&quot;:\&quot;e29370f921eb45ffb0c34ae79f7fe9c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40},{\&quot;key\&quot;:\&quot;Merchant\&quot;,\&quot;value\&quot;:\&quot;Spotify\&quot;},{\&quot;key\&quot;:\&quot;Amount $\&quot;,\&quot;value\&quot;:-9.99},{\&quot;key\&quot;:\&quot;Transaction_ID\&quot;,\&quot;value\&quot;:\&quot;75326a722e4645a690fae5e145510d0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40},{\&quot;key\&quot;:\&quot;Merchant\&quot;,\&quot;value\&quot;:\&quot;In N Out Burger\&quot;},{\&quot;key\&quot;:\&quot;Amount $\&quot;,\&quot;value\&quot;:-15.37},{\&quot;key\&quot;:\&quot;Transaction_ID\&quot;,\&quot;value\&quot;:\&quot;5f868c73e4aa44c1b6ca7f7292c7400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40},{\&quot;key\&quot;:\&quot;Merchant\&quot;,\&quot;value\&quot;:\&quot;The Sixth Floor Museum\&quot;},{\&quot;key\&quot;:\&quot;Amount $\&quot;,\&quot;value\&quot;:-10},{\&quot;key\&quot;:\&quot;Transaction_ID\&quot;,\&quot;value\&quot;:\&quot;29cba38cb89046b08bd261bb6ee8e9a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40},{\&quot;key\&quot;:\&quot;Merchant\&quot;,\&quot;value\&quot;:\&quot;Netflix\&quot;},{\&quot;key\&quot;:\&quot;Amount $\&quot;,\&quot;value\&quot;:-14.83},{\&quot;key\&quot;:\&quot;Transaction_ID\&quot;,\&quot;value\&quot;:\&quot;28ecbced47f145cfbf2185e3d1f076b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40},{\&quot;key\&quot;:\&quot;Merchant\&quot;,\&quot;value\&quot;:\&quot;7 Eleven\&quot;},{\&quot;key\&quot;:\&quot;Amount $\&quot;,\&quot;value\&quot;:-5.41},{\&quot;key\&quot;:\&quot;Transaction_ID\&quot;,\&quot;value\&quot;:\&quot;1a289475a6b440c3b798487db0f48ff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39},{\&quot;key\&quot;:\&quot;Merchant\&quot;,\&quot;value\&quot;:\&quot;Cash App Engagetm\&quot;},{\&quot;key\&quot;:\&quot;Amount $\&quot;,\&quot;value\&quot;:-200},{\&quot;key\&quot;:\&quot;Transaction_ID\&quot;,\&quot;value\&quot;:\&quot;f85f1bef8d5c4605af9117b2fe816510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39},{\&quot;key\&quot;:\&quot;Merchant\&quot;,\&quot;value\&quot;:\&quot;Parkmobile Ga Apple Pay\&quot;},{\&quot;key\&quot;:\&quot;Amount $\&quot;,\&quot;value\&quot;:-1},{\&quot;key\&quot;:\&quot;Transaction_ID\&quot;,\&quot;value\&quot;:\&quot;e2e637d05cb9433590d8c70a4986dd0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39},{\&quot;key\&quot;:\&quot;Merchant\&quot;,\&quot;value\&quot;:\&quot;Oozie Restaurant Llc\&quot;},{\&quot;key\&quot;:\&quot;Amount $\&quot;,\&quot;value\&quot;:-50},{\&quot;key\&quot;:\&quot;Transaction_ID\&quot;,\&quot;value\&quot;:\&quot;c1aa0163120c42998aebc2d62244baa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39},{\&quot;key\&quot;:\&quot;Merchant\&quot;,\&quot;value\&quot;:\&quot;Oklahoma City National M\&quot;},{\&quot;key\&quot;:\&quot;Amount $\&quot;,\&quot;value\&quot;:-15},{\&quot;key\&quot;:\&quot;Transaction_ID\&quot;,\&quot;value\&quot;:\&quot;a4780432d9ae4dd2b970cf64e41f12e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39},{\&quot;key\&quot;:\&quot;Merchant\&quot;,\&quot;value\&quot;:\&quot;Lim Ride Cost\&quot;},{\&quot;key\&quot;:\&quot;Amount $\&quot;,\&quot;value\&quot;:-2.44},{\&quot;key\&quot;:\&quot;Transaction_ID\&quot;,\&quot;value\&quot;:\&quot;154333c67d3f4907a171a8e52cc8e24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38},{\&quot;key\&quot;:\&quot;Merchant\&quot;,\&quot;value\&quot;:\&quot;Parkmobile Ga Apple Pay\&quot;},{\&quot;key\&quot;:\&quot;Amount $\&quot;,\&quot;value\&quot;:-1},{\&quot;key\&quot;:\&quot;Transaction_ID\&quot;,\&quot;value\&quot;:\&quot;f5bf0b20c00941b6a043e0a3ef6fb6d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38},{\&quot;key\&quot;:\&quot;Merchant\&quot;,\&quot;value\&quot;:\&quot;Kai Vietnamese Cuisine\&quot;},{\&quot;key\&quot;:\&quot;Amount $\&quot;,\&quot;value\&quot;:-30},{\&quot;key\&quot;:\&quot;Transaction_ID\&quot;,\&quot;value\&quot;:\&quot;f3d26cb6b3704f3d9c885cdde0f6e6e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38},{\&quot;key\&quot;:\&quot;Merchant\&quot;,\&quot;value\&quot;:\&quot;Ccbill\&quot;},{\&quot;key\&quot;:\&quot;Amount $\&quot;,\&quot;value\&quot;:-4.99},{\&quot;key\&quot;:\&quot;Transaction_ID\&quot;,\&quot;value\&quot;:\&quot;05ce112f7ad14d7999e3da83f5080c9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38},{\&quot;key\&quot;:\&quot;Merchant\&quot;,\&quot;value\&quot;:\&quot;Black Wall Street Tulsa\&quot;},{\&quot;key\&quot;:\&quot;Amount $\&quot;,\&quot;value\&quot;:-67.56},{\&quot;key\&quot;:\&quot;Transaction_ID\&quot;,\&quot;value\&quot;:\&quot;040273ab769444939be4824976b39fa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37},{\&quot;key\&quot;:\&quot;Merchant\&quot;,\&quot;value\&quot;:\&quot;Lim Ride Cost\&quot;},{\&quot;key\&quot;:\&quot;Amount $\&quot;,\&quot;value\&quot;:-2.28},{\&quot;key\&quot;:\&quot;Transaction_ID\&quot;,\&quot;value\&quot;:\&quot;db37c6f63ac148a68964336f9875034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37},{\&quot;key\&quot;:\&quot;Merchant\&quot;,\&quot;value\&quot;:\&quot;Lim Ride Cost\&quot;},{\&quot;key\&quot;:\&quot;Amount $\&quot;,\&quot;value\&quot;:-6.34},{\&quot;key\&quot;:\&quot;Transaction_ID\&quot;,\&quot;value\&quot;:\&quot;b6d10f1f47084a8ab6d2dbfe5d8c664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37},{\&quot;key\&quot;:\&quot;Merchant\&quot;,\&quot;value\&quot;:\&quot;Lim Ride Cost\&quot;},{\&quot;key\&quot;:\&quot;Amount $\&quot;,\&quot;value\&quot;:-2.26},{\&quot;key\&quot;:\&quot;Transaction_ID\&quot;,\&quot;value\&quot;:\&quot;ab5dff91f6424c65af3df18cf49f5c4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37},{\&quot;key\&quot;:\&quot;Merchant\&quot;,\&quot;value\&quot;:\&quot;Gateway Arch Museum Stor\&quot;},{\&quot;key\&quot;:\&quot;Amount $\&quot;,\&quot;value\&quot;:-35},{\&quot;key\&quot;:\&quot;Transaction_ID\&quot;,\&quot;value\&quot;:\&quot;6c2cf77ad8ce44cc8915b7360b5061b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37},{\&quot;key\&quot;:\&quot;Merchant\&quot;,\&quot;value\&quot;:\&quot;Apple Bill Ca Apple\&quot;},{\&quot;key\&quot;:\&quot;Amount $\&quot;,\&quot;value\&quot;:-10.59},{\&quot;key\&quot;:\&quot;Transaction_ID\&quot;,\&quot;value\&quot;:\&quot;5d369b0b1cd045438a8cb55dd8ed85c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37},{\&quot;key\&quot;:\&quot;Merchant\&quot;,\&quot;value\&quot;:\&quot;Bp City\&quot;},{\&quot;key\&quot;:\&quot;Amount $\&quot;,\&quot;value\&quot;:-31.13},{\&quot;key\&quot;:\&quot;Transaction_ID\&quot;,\&quot;value\&quot;:\&quot;54737c6a9b774f6a81dae63e6f88bf7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37},{\&quot;key\&quot;:\&quot;Merchant\&quot;,\&quot;value\&quot;:\&quot;Gateway Arch Museum Stor\&quot;},{\&quot;key\&quot;:\&quot;Amount $\&quot;,\&quot;value\&quot;:-30.9},{\&quot;key\&quot;:\&quot;Transaction_ID\&quot;,\&quot;value\&quot;:\&quot;3e0826b8727b4234a94e28c55e48a3b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37},{\&quot;key\&quot;:\&quot;Merchant\&quot;,\&quot;value\&quot;:\&quot;Lim Ride Cost\&quot;},{\&quot;key\&quot;:\&quot;Amount $\&quot;,\&quot;value\&quot;:-3.04},{\&quot;key\&quot;:\&quot;Transaction_ID\&quot;,\&quot;value\&quot;:\&quot;39710b4ea029405fb5a995ff9f3e54e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37},{\&quot;key\&quot;:\&quot;Merchant\&quot;,\&quot;value\&quot;:\&quot;Lim Ride Cost\&quot;},{\&quot;key\&quot;:\&quot;Amount $\&quot;,\&quot;value\&quot;:-4.85},{\&quot;key\&quot;:\&quot;Transaction_ID\&quot;,\&quot;value\&quot;:\&quot;364de959c56c4359b12bd3dfe663da5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37},{\&quot;key\&quot;:\&quot;Merchant\&quot;,\&quot;value\&quot;:\&quot;City Museum Retail\&quot;},{\&quot;key\&quot;:\&quot;Amount $\&quot;,\&quot;value\&quot;:-36.45},{\&quot;key\&quot;:\&quot;Transaction_ID\&quot;,\&quot;value\&quot;:\&quot;25c11970c859460cb57dcce859878ea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36},{\&quot;key\&quot;:\&quot;Merchant\&quot;,\&quot;value\&quot;:\&quot;Vege Licious Llc\&quot;},{\&quot;key\&quot;:\&quot;Amount $\&quot;,\&quot;value\&quot;:-51.53},{\&quot;key\&quot;:\&quot;Transaction_ID\&quot;,\&quot;value\&quot;:\&quot;ff1f51d1186b491ea70fdc2eb594151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36},{\&quot;key\&quot;:\&quot;Merchant\&quot;,\&quot;value\&quot;:\&quot;Shell\&quot;},{\&quot;key\&quot;:\&quot;Amount $\&quot;,\&quot;value\&quot;:-24.34},{\&quot;key\&quot;:\&quot;Transaction_ID\&quot;,\&quot;value\&quot;:\&quot;a9810699c01d4e5bb3e1849245a2459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36},{\&quot;key\&quot;:\&quot;Merchant\&quot;,\&quot;value\&quot;:\&quot;Bp\&quot;},{\&quot;key\&quot;:\&quot;Amount $\&quot;,\&quot;value\&quot;:-19.5},{\&quot;key\&quot;:\&quot;Transaction_ID\&quot;,\&quot;value\&quot;:\&quot;96da6c08d3344620885841ee9bdd0f0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36},{\&quot;key\&quot;:\&quot;Merchant\&quot;,\&quot;value\&quot;:\&quot;G Metro Parks Nashville\&quot;},{\&quot;key\&quot;:\&quot;Amount $\&quot;,\&quot;value\&quot;:-20.46},{\&quot;key\&quot;:\&quot;Transaction_ID\&quot;,\&quot;value\&quot;:\&quot;7682609612fc4f8282a5ce55b75589f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36},{\&quot;key\&quot;:\&quot;Merchant\&quot;,\&quot;value\&quot;:\&quot;In Musicians Hall Fam\&quot;},{\&quot;key\&quot;:\&quot;Amount $\&quot;,\&quot;value\&quot;:-49.99},{\&quot;key\&quot;:\&quot;Transaction_ID\&quot;,\&quot;value\&quot;:\&quot;6e37d70108514041a48a828e29dc2a2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36},{\&quot;key\&quot;:\&quot;Merchant\&quot;,\&quot;value\&quot;:\&quot;Eltoroloco\&quot;},{\&quot;key\&quot;:\&quot;Amount $\&quot;,\&quot;value\&quot;:-32.82},{\&quot;key\&quot;:\&quot;Transaction_ID\&quot;,\&quot;value\&quot;:\&quot;6a97b1ad303e4b97b0452cb9c0755bb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35},{\&quot;key\&quot;:\&quot;Merchant\&quot;,\&quot;value\&quot;:\&quot;Bp Conven\&quot;},{\&quot;key\&quot;:\&quot;Amount $\&quot;,\&quot;value\&quot;:-7.68},{\&quot;key\&quot;:\&quot;Transaction_ID\&quot;,\&quot;value\&quot;:\&quot;c4b8377700e14ec585ab76cd7dd49aa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35},{\&quot;key\&quot;:\&quot;Merchant\&quot;,\&quot;value\&quot;:\&quot;Audible\&quot;},{\&quot;key\&quot;:\&quot;Amount $\&quot;,\&quot;value\&quot;:-22.05},{\&quot;key\&quot;:\&quot;Transaction_ID\&quot;,\&quot;value\&quot;:\&quot;c2d2016ddac64be88fc5901b5e68c96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35},{\&quot;key\&quot;:\&quot;Merchant\&quot;,\&quot;value\&quot;:\&quot;Couplecents\&quot;},{\&quot;key\&quot;:\&quot;Amount $\&quot;,\&quot;value\&quot;:-9.99},{\&quot;key\&quot;:\&quot;Transaction_ID\&quot;,\&quot;value\&quot;:\&quot;709c86d594e84ff28bdb3dc96e7f244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35},{\&quot;key\&quot;:\&quot;Merchant\&quot;,\&quot;value\&quot;:\&quot;New Manchester F Web\&quot;},{\&quot;key\&quot;:\&quot;Amount $\&quot;,\&quot;value\&quot;:-348.05},{\&quot;key\&quot;:\&quot;Transaction_ID\&quot;,\&quot;value\&quot;:\&quot;2f86e20288644934b461f5d625055d2c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35},{\&quot;key\&quot;:\&quot;Merchant\&quot;,\&quot;value\&quot;:\&quot;Moore Street Cafe\&quot;},{\&quot;key\&quot;:\&quot;Amount $\&quot;,\&quot;value\&quot;:-25.54},{\&quot;key\&quot;:\&quot;Transaction_ID\&quot;,\&quot;value\&quot;:\&quot;1e70ede050d249e386326fd9b7fe98f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35},{\&quot;key\&quot;:\&quot;Merchant\&quot;,\&quot;value\&quot;:\&quot;Bp Conven\&quot;},{\&quot;key\&quot;:\&quot;Amount $\&quot;,\&quot;value\&quot;:-20.42},{\&quot;key\&quot;:\&quot;Transaction_ID\&quot;,\&quot;value\&quot;:\&quot;1246d81d89f14dd280d7927acf7e611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35},{\&quot;key\&quot;:\&quot;Merchant\&quot;,\&quot;value\&quot;:\&quot;Wild Bean &amp; Thunde\&quot;},{\&quot;key\&quot;:\&quot;Amount $\&quot;,\&quot;value\&quot;:-35.78},{\&quot;key\&quot;:\&quot;Transaction_ID\&quot;,\&quot;value\&quot;:\&quot;044b66d4a7784fb391e8b4310cdcf7a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34},{\&quot;key\&quot;:\&quot;Merchant\&quot;,\&quot;value\&quot;:\&quot;Ezpassva Auto Replenish\&quot;},{\&quot;key\&quot;:\&quot;Amount $\&quot;,\&quot;value\&quot;:-35},{\&quot;key\&quot;:\&quot;Transaction_ID\&quot;,\&quot;value\&quot;:\&quot;f50b655e2e814f2a805e8fc53745e77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34},{\&quot;key\&quot;:\&quot;Merchant\&quot;,\&quot;value\&quot;:\&quot;Taco Bell\&quot;},{\&quot;key\&quot;:\&quot;Amount $\&quot;,\&quot;value\&quot;:-9.27},{\&quot;key\&quot;:\&quot;Transaction_ID\&quot;,\&quot;value\&quot;:\&quot;a6a2797f9e2245588dd92c59b923064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34},{\&quot;key\&quot;:\&quot;Merchant\&quot;,\&quot;value\&quot;:\&quot;Audible\&quot;},{\&quot;key\&quot;:\&quot;Amount $\&quot;,\&quot;value\&quot;:-17.46},{\&quot;key\&quot;:\&quot;Transaction_ID\&quot;,\&quot;value\&quot;:\&quot;99ef7499c7b84ed38e89c9a8cee639c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34},{\&quot;key\&quot;:\&quot;Merchant\&quot;,\&quot;value\&quot;:\&quot;Walmart\&quot;},{\&quot;key\&quot;:\&quot;Amount $\&quot;,\&quot;value\&quot;:-7.41},{\&quot;key\&quot;:\&quot;Transaction_ID\&quot;,\&quot;value\&quot;:\&quot;7cd81fe250da4bb2b74b1763a66f8b7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34},{\&quot;key\&quot;:\&quot;Merchant\&quot;,\&quot;value\&quot;:\&quot;Nationwide Payroll Sean Lewis\&quot;},{\&quot;key\&quot;:\&quot;Amount $\&quot;,\&quot;value\&quot;:2033.65},{\&quot;key\&quot;:\&quot;Transaction_ID\&quot;,\&quot;value\&quot;:\&quot;27b9d852a3534658bd0109686d2cee95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34},{\&quot;key\&quot;:\&quot;Merchant\&quot;,\&quot;value\&quot;:\&quot;Discover E Payment Lewis\&quot;},{\&quot;key\&quot;:\&quot;Amount $\&quot;,\&quot;value\&quot;:-1040.93},{\&quot;key\&quot;:\&quot;Transaction_ID\&quot;,\&quot;value\&quot;:\&quot;1c1f5c0ecfcc428ba601682a3f9a0d94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34},{\&quot;key\&quot;:\&quot;Merchant\&quot;,\&quot;value\&quot;:\&quot;Internet Payment\&quot;},{\&quot;key\&quot;:\&quot;Amount $\&quot;,\&quot;value\&quot;:1040.93},{\&quot;key\&quot;:\&quot;Transaction_ID\&quot;,\&quot;value\&quot;:\&quot;13d3331610e245269ce293b10645d45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33},{\&quot;key\&quot;:\&quot;Merchant\&quot;,\&quot;value\&quot;:\&quot;Amazon\&quot;},{\&quot;key\&quot;:\&quot;Amount $\&quot;,\&quot;value\&quot;:-10.59},{\&quot;key\&quot;:\&quot;Transaction_ID\&quot;,\&quot;value\&quot;:\&quot;b2360cd03eae4d9dbde0e6fd686f5d6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33},{\&quot;key\&quot;:\&quot;Merchant\&quot;,\&quot;value\&quot;:\&quot;Jimmy Johns\&quot;},{\&quot;key\&quot;:\&quot;Amount $\&quot;,\&quot;value\&quot;:-8.2},{\&quot;key\&quot;:\&quot;Transaction_ID\&quot;,\&quot;value\&quot;:\&quot;98b35067ff534382891d7f7b405cc4a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33},{\&quot;key\&quot;:\&quot;Merchant\&quot;,\&quot;value\&quot;:\&quot;Home Depot\&quot;},{\&quot;key\&quot;:\&quot;Amount $\&quot;,\&quot;value\&quot;:-8.44},{\&quot;key\&quot;:\&quot;Transaction_ID\&quot;,\&quot;value\&quot;:\&quot;034d85cad1744a7ba3cb6cbbe012f74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32},{\&quot;key\&quot;:\&quot;Merchant\&quot;,\&quot;value\&quot;:\&quot;Usps Po Boxes Online\&quot;},{\&quot;key\&quot;:\&quot;Amount $\&quot;,\&quot;value\&quot;:97},{\&quot;key\&quot;:\&quot;Transaction_ID\&quot;,\&quot;value\&quot;:\&quot;9e0d91721d0f4906abecf1c5700a9ae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32},{\&quot;key\&quot;:\&quot;Merchant\&quot;,\&quot;value\&quot;:\&quot;Jimmy Johns\&quot;},{\&quot;key\&quot;:\&quot;Amount $\&quot;,\&quot;value\&quot;:-8.51},{\&quot;key\&quot;:\&quot;Transaction_ID\&quot;,\&quot;value\&quot;:\&quot;49add9c867694b3c9729b595cac4395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32},{\&quot;key\&quot;:\&quot;Merchant\&quot;,\&quot;value\&quot;:\&quot;Home Depot\&quot;},{\&quot;key\&quot;:\&quot;Amount $\&quot;,\&quot;value\&quot;:-81.07},{\&quot;key\&quot;:\&quot;Transaction_ID\&quot;,\&quot;value\&quot;:\&quot;3b14a7c4a597468ba7be25d508ba35a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31},{\&quot;key\&quot;:\&quot;Merchant\&quot;,\&quot;value\&quot;:\&quot;Jimmy Johns\&quot;},{\&quot;key\&quot;:\&quot;Amount $\&quot;,\&quot;value\&quot;:-16.28},{\&quot;key\&quot;:\&quot;Transaction_ID\&quot;,\&quot;value\&quot;:\&quot;94170087f139486982414ac7607b10a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31},{\&quot;key\&quot;:\&quot;Merchant\&quot;,\&quot;value\&quot;:\&quot;Discover E Payment Lewis\&quot;},{\&quot;key\&quot;:\&quot;Amount $\&quot;,\&quot;value\&quot;:-961.14},{\&quot;key\&quot;:\&quot;Transaction_ID\&quot;,\&quot;value\&quot;:\&quot;73ff5f107e664604a163b715ac7311b3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30},{\&quot;key\&quot;:\&quot;Merchant\&quot;,\&quot;value\&quot;:\&quot;Internet Payment\&quot;},{\&quot;key\&quot;:\&quot;Amount $\&quot;,\&quot;value\&quot;:961.14},{\&quot;key\&quot;:\&quot;Transaction_ID\&quot;,\&quot;value\&quot;:\&quot;e700135745b64059a36e181fba60154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30},{\&quot;key\&quot;:\&quot;Merchant\&quot;,\&quot;value\&quot;:\&quot;Cash App Shevon Le\&quot;},{\&quot;key\&quot;:\&quot;Amount $\&quot;,\&quot;value\&quot;:-230},{\&quot;key\&quot;:\&quot;Transaction_ID\&quot;,\&quot;value\&quot;:\&quot;ad9964136abf4df881b70c9ef0861f4d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30},{\&quot;key\&quot;:\&quot;Merchant\&quot;,\&quot;value\&quot;:\&quot;Apple Store\&quot;},{\&quot;key\&quot;:\&quot;Amount $\&quot;,\&quot;value\&quot;:-30.74},{\&quot;key\&quot;:\&quot;Transaction_ID\&quot;,\&quot;value\&quot;:\&quot;a1e7cca233844b60b1066586cd2e37f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30},{\&quot;key\&quot;:\&quot;Merchant\&quot;,\&quot;value\&quot;:\&quot;Reunion Tower Observat Tx\&quot;},{\&quot;key\&quot;:\&quot;Amount $\&quot;,\&quot;value\&quot;:-38.97},{\&quot;key\&quot;:\&quot;Transaction_ID\&quot;,\&quot;value\&quot;:\&quot;5f00ded2c5764e0bab23b481e36f126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30},{\&quot;key\&quot;:\&quot;Merchant\&quot;,\&quot;value\&quot;:\&quot;Cashback Bonus Redemption Pymt\&quot;},{\&quot;key\&quot;:\&quot;Amount $\&quot;,\&quot;value\&quot;:38.86},{\&quot;key\&quot;:\&quot;Transaction_ID\&quot;,\&quot;value\&quot;:\&quot;445bd4f285954686bdd2f8a2a505070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30},{\&quot;key\&quot;:\&quot;Merchant\&quot;,\&quot;value\&quot;:\&quot;Usps Change Of Address\&quot;},{\&quot;key\&quot;:\&quot;Amount $\&quot;,\&quot;value\&quot;:-1.05},{\&quot;key\&quot;:\&quot;Transaction_ID\&quot;,\&quot;value\&quot;:\&quot;3ad12496e28f43e3aeb0c7fdb08ad61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30},{\&quot;key\&quot;:\&quot;Merchant\&quot;,\&quot;value\&quot;:\&quot;Best Buy\&quot;},{\&quot;key\&quot;:\&quot;Amount $\&quot;,\&quot;value\&quot;:-190.78},{\&quot;key\&quot;:\&quot;Transaction_ID\&quot;,\&quot;value\&quot;:\&quot;03e1bd888c1d4df58cbfa0f97257e074\&quot;},{\&quot;key\&quot;:\&quot;Account_ID\&quot;,\&quot;value\&quot;:\&quot;a82d9aba872e4e9b9684a363d4cc52b5\&quot;},{\&quot;key\&quot;:\&quot;Category_ID\&quot;,\&quot;value\&quot;:\&quot;fca5dd8329b743f7b77704e23a1e63ad\&quot;},{\&quot;key\&quot;:\&quot;Subcategory_ID\&quot;,\&quot;value\&quot;:\&quot;\&quot;}],[{\&quot;key\&quot;:\&quot;Date\&quot;,\&quot;value\&quot;:44429},{\&quot;key\&quot;:\&quot;Merchant\&quot;,\&quot;value\&quot;:\&quot;Al Amir Mediterranean Cu\&quot;},{\&quot;key\&quot;:\&quot;Amount $\&quot;,\&quot;value\&quot;:-40},{\&quot;key\&quot;:\&quot;Transaction_ID\&quot;,\&quot;value\&quot;:\&quot;a4b6f6ab47b146efa51f47c76691edf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29},{\&quot;key\&quot;:\&quot;Merchant\&quot;,\&quot;value\&quot;:\&quot;Pp Roku For Crunchyr\&quot;},{\&quot;key\&quot;:\&quot;Amount $\&quot;,\&quot;value\&quot;:-7.99},{\&quot;key\&quot;:\&quot;Transaction_ID\&quot;,\&quot;value\&quot;:\&quot;446463ec60e8474593911c6670f1903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29},{\&quot;key\&quot;:\&quot;Merchant\&quot;,\&quot;value\&quot;:\&quot;Kroger\&quot;},{\&quot;key\&quot;:\&quot;Amount $\&quot;,\&quot;value\&quot;:-28.34},{\&quot;key\&quot;:\&quot;Transaction_ID\&quot;,\&quot;value\&quot;:\&quot;375c8b67194e4ac1926ec1dbe0a518d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29},{\&quot;key\&quot;:\&quot;Merchant\&quot;,\&quot;value\&quot;:\&quot;U Haul Store\&quot;},{\&quot;key\&quot;:\&quot;Amount $\&quot;,\&quot;value\&quot;:-19.26},{\&quot;key\&quot;:\&quot;Transaction_ID\&quot;,\&quot;value\&quot;:\&quot;24f630b7c81043a1ac074ac564d3746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29},{\&quot;key\&quot;:\&quot;Merchant\&quot;,\&quot;value\&quot;:\&quot;Bowlero Richmond\&quot;},{\&quot;key\&quot;:\&quot;Amount $\&quot;,\&quot;value\&quot;:-5.4},{\&quot;key\&quot;:\&quot;Transaction_ID\&quot;,\&quot;value\&quot;:\&quot;1d4272d7556e412fbf803f6f26f74af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28},{\&quot;key\&quot;:\&quot;Merchant\&quot;,\&quot;value\&quot;:\&quot;115 Amf\&quot;},{\&quot;key\&quot;:\&quot;Amount $\&quot;,\&quot;value\&quot;:-27.22},{\&quot;key\&quot;:\&quot;Transaction_ID\&quot;,\&quot;value\&quot;:\&quot;8323a80499684b8788c52df7907c85e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28},{\&quot;key\&quot;:\&quot;Merchant\&quot;,\&quot;value\&quot;:\&quot;U Haul Store\&quot;},{\&quot;key\&quot;:\&quot;Amount $\&quot;,\&quot;value\&quot;:-20.25},{\&quot;key\&quot;:\&quot;Transaction_ID\&quot;,\&quot;value\&quot;:\&quot;6d7cb733c45f41978855aef0bfd3d05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28},{\&quot;key\&quot;:\&quot;Merchant\&quot;,\&quot;value\&quot;:\&quot;Kligg Co Henrico Va\&quot;},{\&quot;key\&quot;:\&quot;Amount $\&quot;,\&quot;value\&quot;:-20},{\&quot;key\&quot;:\&quot;Transaction_ID\&quot;,\&quot;value\&quot;:\&quot;69ae061f49764b3f952cbb5faf2d21d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28},{\&quot;key\&quot;:\&quot;Merchant\&quot;,\&quot;value\&quot;:\&quot;115 Amf\&quot;},{\&quot;key\&quot;:\&quot;Amount $\&quot;,\&quot;value\&quot;:-30},{\&quot;key\&quot;:\&quot;Transaction_ID\&quot;,\&quot;value\&quot;:\&quot;290e36dd72104ebcb179e41755599af5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28},{\&quot;key\&quot;:\&quot;Merchant\&quot;,\&quot;value\&quot;:\&quot;Dominion Energy Billpay Dominion\&quot;},{\&quot;key\&quot;:\&quot;Amount $\&quot;,\&quot;value\&quot;:-86.17},{\&quot;key\&quot;:\&quot;Transaction_ID\&quot;,\&quot;value\&quot;:\&quot;28c7fb63745d484e8484cff2d1433ccf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27},{\&quot;key\&quot;:\&quot;Merchant\&quot;,\&quot;value\&quot;:\&quot;Ezpassva Auto Replenish\&quot;},{\&quot;key\&quot;:\&quot;Amount $\&quot;,\&quot;value\&quot;:-35},{\&quot;key\&quot;:\&quot;Transaction_ID\&quot;,\&quot;value\&quot;:\&quot;ab183d6ae02448a1a842ea33baaa3c4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27},{\&quot;key\&quot;:\&quot;Merchant\&quot;,\&quot;value\&quot;:\&quot;Domoishi\&quot;},{\&quot;key\&quot;:\&quot;Amount $\&quot;,\&quot;value\&quot;:-34.04},{\&quot;key\&quot;:\&quot;Transaction_ID\&quot;,\&quot;value\&quot;:\&quot;8a3cbc75fdd24811ad706046a81782f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27},{\&quot;key\&quot;:\&quot;Merchant\&quot;,\&quot;value\&quot;:\&quot;Shell\&quot;},{\&quot;key\&quot;:\&quot;Amount $\&quot;,\&quot;value\&quot;:-4.61},{\&quot;key\&quot;:\&quot;Transaction_ID\&quot;,\&quot;value\&quot;:\&quot;5257c0eb77d142528940d5967ace683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26},{\&quot;key\&quot;:\&quot;Merchant\&quot;,\&quot;value\&quot;:\&quot;Apple Bill Ca Apple\&quot;},{\&quot;key\&quot;:\&quot;Amount $\&quot;,\&quot;value\&quot;:-42.39},{\&quot;key\&quot;:\&quot;Transaction_ID\&quot;,\&quot;value\&quot;:\&quot;7977d4406779416e898437abae9b423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26},{\&quot;key\&quot;:\&quot;Merchant\&quot;,\&quot;value\&quot;:\&quot;Apple Bill Ca Apple\&quot;},{\&quot;key\&quot;:\&quot;Amount $\&quot;,\&quot;value\&quot;:-8.47},{\&quot;key\&quot;:\&quot;Transaction_ID\&quot;,\&quot;value\&quot;:\&quot;45cd4c4b025146c08aae25d38b91920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24},{\&quot;key\&quot;:\&quot;Merchant\&quot;,\&quot;value\&quot;:\&quot;Fontina Grille\&quot;},{\&quot;key\&quot;:\&quot;Amount $\&quot;,\&quot;value\&quot;:-350},{\&quot;key\&quot;:\&quot;Transaction_ID\&quot;,\&quot;value\&quot;:\&quot;e0f0d5b5bf294fee8559193015f0256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24},{\&quot;key\&quot;:\&quot;Merchant\&quot;,\&quot;value\&quot;:\&quot;Verizon Recurring PayVerizon Fl\&quot;},{\&quot;key\&quot;:\&quot;Amount $\&quot;,\&quot;value\&quot;:-50},{\&quot;key\&quot;:\&quot;Transaction_ID\&quot;,\&quot;value\&quot;:\&quot;dd099da85daa4c5690b59947d40630d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24},{\&quot;key\&quot;:\&quot;Merchant\&quot;,\&quot;value\&quot;:\&quot;Walmart\&quot;},{\&quot;key\&quot;:\&quot;Amount $\&quot;,\&quot;value\&quot;:-27.15},{\&quot;key\&quot;:\&quot;Transaction_ID\&quot;,\&quot;value\&quot;:\&quot;47e7d46de68443c095d4a187516fbac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23},{\&quot;key\&quot;:\&quot;Merchant\&quot;,\&quot;value\&quot;:\&quot;Coffee Republic Rockville Md\&quot;},{\&quot;key\&quot;:\&quot;Amount $\&quot;,\&quot;value\&quot;:-6.3},{\&quot;key\&quot;:\&quot;Transaction_ID\&quot;,\&quot;value\&quot;:\&quot;9ab43897326b47d6a4976ece6e60e0c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23},{\&quot;key\&quot;:\&quot;Merchant\&quot;,\&quot;value\&quot;:\&quot;Coffee Republic Rockville Md\&quot;},{\&quot;key\&quot;:\&quot;Amount $\&quot;,\&quot;value\&quot;:-9.94},{\&quot;key\&quot;:\&quot;Transaction_ID\&quot;,\&quot;value\&quot;:\&quot;00d419549633476db41e340fb9bb844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23},{\&quot;key\&quot;:\&quot;Merchant\&quot;,\&quot;value\&quot;:\&quot;Cash App Cyanface\&quot;},{\&quot;key\&quot;:\&quot;Amount $\&quot;,\&quot;value\&quot;:-200},{\&quot;key\&quot;:\&quot;Transaction_ID\&quot;,\&quot;value\&quot;:\&quot;0039356f8aad4a12b86f5594892cd35b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22},{\&quot;key\&quot;:\&quot;Merchant\&quot;,\&quot;value\&quot;:\&quot;Walmart\&quot;},{\&quot;key\&quot;:\&quot;Amount $\&quot;,\&quot;value\&quot;:-6.83},{\&quot;key\&quot;:\&quot;Transaction_ID\&quot;,\&quot;value\&quot;:\&quot;88f1cc8534b24230982b7ad6f5bd40c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22},{\&quot;key\&quot;:\&quot;Merchant\&quot;,\&quot;value\&quot;:\&quot;Prime Video 2 Wa\&quot;},{\&quot;key\&quot;:\&quot;Amount $\&quot;,\&quot;value\&quot;:-3.99},{\&quot;key\&quot;:\&quot;Transaction_ID\&quot;,\&quot;value\&quot;:\&quot;58382ffaa66b4fa2ad854e3f3418633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22},{\&quot;key\&quot;:\&quot;Merchant\&quot;,\&quot;value\&quot;:\&quot;El Piquin Restaurant Ii\&quot;},{\&quot;key\&quot;:\&quot;Amount $\&quot;,\&quot;value\&quot;:-80},{\&quot;key\&quot;:\&quot;Transaction_ID\&quot;,\&quot;value\&quot;:\&quot;42acd46c2ed94ce782e927e9585d4c7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21},{\&quot;key\&quot;:\&quot;Merchant\&quot;,\&quot;value\&quot;:\&quot;Crystal Car Wash\&quot;},{\&quot;key\&quot;:\&quot;Amount $\&quot;,\&quot;value\&quot;:-31.5},{\&quot;key\&quot;:\&quot;Transaction_ID\&quot;,\&quot;value\&quot;:\&quot;de24af6ad0814744a590a2a56f62193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21},{\&quot;key\&quot;:\&quot;Merchant\&quot;,\&quot;value\&quot;:\&quot;Filomena Ristorante\&quot;},{\&quot;key\&quot;:\&quot;Amount $\&quot;,\&quot;value\&quot;:-134},{\&quot;key\&quot;:\&quot;Transaction_ID\&quot;,\&quot;value\&quot;:\&quot;8ababcaed3974b949e823902dbe6d52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21},{\&quot;key\&quot;:\&quot;Merchant\&quot;,\&quot;value\&quot;:\&quot;Colpark Loc 128\&quot;},{\&quot;key\&quot;:\&quot;Amount $\&quot;,\&quot;value\&quot;:-22},{\&quot;key\&quot;:\&quot;Transaction_ID\&quot;,\&quot;value\&quot;:\&quot;73c15a98430b466b844de9f4df5b579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21},{\&quot;key\&quot;:\&quot;Merchant\&quot;,\&quot;value\&quot;:\&quot;Cash App Don Lewis\&quot;},{\&quot;key\&quot;:\&quot;Amount $\&quot;,\&quot;value\&quot;:-70},{\&quot;key\&quot;:\&quot;Transaction_ID\&quot;,\&quot;value\&quot;:\&quot;259ab2e5b523492ca59928fd0cb253f7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20},{\&quot;key\&quot;:\&quot;Merchant\&quot;,\&quot;value\&quot;:\&quot;Vizmediallc\&quot;},{\&quot;key\&quot;:\&quot;Amount $\&quot;,\&quot;value\&quot;:-1.99},{\&quot;key\&quot;:\&quot;Transaction_ID\&quot;,\&quot;value\&quot;:\&quot;c9026e040a1b4f3bb3353a017582502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20},{\&quot;key\&quot;:\&quot;Merchant\&quot;,\&quot;value\&quot;:\&quot;Nationwide Payroll Sean Lewis\&quot;},{\&quot;key\&quot;:\&quot;Amount $\&quot;,\&quot;value\&quot;:2033.65},{\&quot;key\&quot;:\&quot;Transaction_ID\&quot;,\&quot;value\&quot;:\&quot;829548590a0845f6bc8d9c6690867765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20},{\&quot;key\&quot;:\&quot;Merchant\&quot;,\&quot;value\&quot;:\&quot;Walmart\&quot;},{\&quot;key\&quot;:\&quot;Amount $\&quot;,\&quot;value\&quot;:-42.68},{\&quot;key\&quot;:\&quot;Transaction_ID\&quot;,\&quot;value\&quot;:\&quot;3954e98e7dbf4ab39bbc6fb91202b64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20},{\&quot;key\&quot;:\&quot;Merchant\&quot;,\&quot;value\&quot;:\&quot;Ezpassva Auto Replenish\&quot;},{\&quot;key\&quot;:\&quot;Amount $\&quot;,\&quot;value\&quot;:-35},{\&quot;key\&quot;:\&quot;Transaction_ID\&quot;,\&quot;value\&quot;:\&quot;16c24e8140b64f2191ac3732dcde872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19},{\&quot;key\&quot;:\&quot;Merchant\&quot;,\&quot;value\&quot;:\&quot;Target\&quot;},{\&quot;key\&quot;:\&quot;Amount $\&quot;,\&quot;value\&quot;:-56.36},{\&quot;key\&quot;:\&quot;Transaction_ID\&quot;,\&quot;value\&quot;:\&quot;e004953ee8f7401ca728abeb9d606df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19},{\&quot;key\&quot;:\&quot;Merchant\&quot;,\&quot;value\&quot;:\&quot;Edx Inc\&quot;},{\&quot;key\&quot;:\&quot;Amount $\&quot;,\&quot;value\&quot;:-149},{\&quot;key\&quot;:\&quot;Transaction_ID\&quot;,\&quot;value\&quot;:\&quot;de8c02d3ddc5443aa2bf3c3ebfa15c1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19},{\&quot;key\&quot;:\&quot;Merchant\&quot;,\&quot;value\&quot;:\&quot;Publix\&quot;},{\&quot;key\&quot;:\&quot;Amount $\&quot;,\&quot;value\&quot;:-42.35},{\&quot;key\&quot;:\&quot;Transaction_ID\&quot;,\&quot;value\&quot;:\&quot;6cb23bf8623246598c132c0f6d57712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18},{\&quot;key\&quot;:\&quot;Merchant\&quot;,\&quot;value\&quot;:\&quot;Cash App Kaiya\&quot;},{\&quot;key\&quot;:\&quot;Amount $\&quot;,\&quot;value\&quot;:-20},{\&quot;key\&quot;:\&quot;Transaction_ID\&quot;,\&quot;value\&quot;:\&quot;a9e4974055864adf8aa2c6ddba8812b8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18},{\&quot;key\&quot;:\&quot;Merchant\&quot;,\&quot;value\&quot;:\&quot;Cash App Ezibu Mun\&quot;},{\&quot;key\&quot;:\&quot;Amount $\&quot;,\&quot;value\&quot;:-15},{\&quot;key\&quot;:\&quot;Transaction_ID\&quot;,\&quot;value\&quot;:\&quot;a4ded831fab94179839a904ed274daa9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18},{\&quot;key\&quot;:\&quot;Merchant\&quot;,\&quot;value\&quot;:\&quot;Wawa\&quot;},{\&quot;key\&quot;:\&quot;Amount $\&quot;,\&quot;value\&quot;:-6.94},{\&quot;key\&quot;:\&quot;Transaction_ID\&quot;,\&quot;value\&quot;:\&quot;73f69f64760242b4b1bf2fd7aba28ff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18},{\&quot;key\&quot;:\&quot;Merchant\&quot;,\&quot;value\&quot;:\&quot;Apple Bill Ca Apple\&quot;},{\&quot;key\&quot;:\&quot;Amount $\&quot;,\&quot;value\&quot;:-54.03},{\&quot;key\&quot;:\&quot;Transaction_ID\&quot;,\&quot;value\&quot;:\&quot;5cab6effd25f45418e0a82b49a38702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16},{\&quot;key\&quot;:\&quot;Merchant\&quot;,\&quot;value\&quot;:\&quot;Ccbill\&quot;},{\&quot;key\&quot;:\&quot;Amount $\&quot;,\&quot;value\&quot;:-7.15},{\&quot;key\&quot;:\&quot;Transaction_ID\&quot;,\&quot;value\&quot;:\&quot;d95a067395674ec4a6a1990fc2334f8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16},{\&quot;key\&quot;:\&quot;Merchant\&quot;,\&quot;value\&quot;:\&quot;Steam Games\&quot;},{\&quot;key\&quot;:\&quot;Amount $\&quot;,\&quot;value\&quot;:-12.99},{\&quot;key\&quot;:\&quot;Transaction_ID\&quot;,\&quot;value\&quot;:\&quot;873a2fc736ff4e45ad9710061f456bd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16},{\&quot;key\&quot;:\&quot;Merchant\&quot;,\&quot;value\&quot;:\&quot;Crystal Car Wash\&quot;},{\&quot;key\&quot;:\&quot;Amount $\&quot;,\&quot;value\&quot;:-31.58},{\&quot;key\&quot;:\&quot;Transaction_ID\&quot;,\&quot;value\&quot;:\&quot;710cbd89528d46cbbb5dde2a1e818ea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16},{\&quot;key\&quot;:\&quot;Merchant\&quot;,\&quot;value\&quot;:\&quot;Pizza Johns\&quot;},{\&quot;key\&quot;:\&quot;Amount $\&quot;,\&quot;value\&quot;:-21.73},{\&quot;key\&quot;:\&quot;Transaction_ID\&quot;,\&quot;value\&quot;:\&quot;6968d3eb79284204bdffd4497819929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16},{\&quot;key\&quot;:\&quot;Merchant\&quot;,\&quot;value\&quot;:\&quot;Steam Games\&quot;},{\&quot;key\&quot;:\&quot;Amount $\&quot;,\&quot;value\&quot;:-12.99},{\&quot;key\&quot;:\&quot;Transaction_ID\&quot;,\&quot;value\&quot;:\&quot;10beca4261bd434496a7523671d48bd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16},{\&quot;key\&quot;:\&quot;Merchant\&quot;,\&quot;value\&quot;:\&quot;Steam Games\&quot;},{\&quot;key\&quot;:\&quot;Amount $\&quot;,\&quot;value\&quot;:-130.81},{\&quot;key\&quot;:\&quot;Transaction_ID\&quot;,\&quot;value\&quot;:\&quot;01506379081546aa9320ab6466df409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15},{\&quot;key\&quot;:\&quot;Merchant\&quot;,\&quot;value\&quot;:\&quot;Cash App Engagetm\&quot;},{\&quot;key\&quot;:\&quot;Amount $\&quot;,\&quot;value\&quot;:-40},{\&quot;key\&quot;:\&quot;Transaction_ID\&quot;,\&quot;value\&quot;:\&quot;771153c1a5064112ab6ece03de021fdd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13},{\&quot;key\&quot;:\&quot;Merchant\&quot;,\&quot;value\&quot;:\&quot;Jimmy Johns\&quot;},{\&quot;key\&quot;:\&quot;Amount $\&quot;,\&quot;value\&quot;:-12.59},{\&quot;key\&quot;:\&quot;Transaction_ID\&quot;,\&quot;value\&quot;:\&quot;f5487a610419491eb406774cccf972b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13},{\&quot;key\&quot;:\&quot;Merchant\&quot;,\&quot;value\&quot;:\&quot;Wob Richmond Tampa Fl\&quot;},{\&quot;key\&quot;:\&quot;Amount $\&quot;,\&quot;value\&quot;:-4.75},{\&quot;key\&quot;:\&quot;Transaction_ID\&quot;,\&quot;value\&quot;:\&quot;da8d6dde007f48cebafb17656e47249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12},{\&quot;key\&quot;:\&quot;Merchant\&quot;,\&quot;value\&quot;:\&quot;Apple Bill Ca Apple\&quot;},{\&quot;key\&quot;:\&quot;Amount $\&quot;,\&quot;value\&quot;:-63.59},{\&quot;key\&quot;:\&quot;Transaction_ID\&quot;,\&quot;value\&quot;:\&quot;f48ae938efcc4e05a45f61775ba4d8a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12},{\&quot;key\&quot;:\&quot;Merchant\&quot;,\&quot;value\&quot;:\&quot;Einsteinmobileapp Brooklyn Centmn\&quot;},{\&quot;key\&quot;:\&quot;Amount $\&quot;,\&quot;value\&quot;:-20},{\&quot;key\&quot;:\&quot;Transaction_ID\&quot;,\&quot;value\&quot;:\&quot;ed772665eeb74a0bba935e19d77db11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12},{\&quot;key\&quot;:\&quot;Merchant\&quot;,\&quot;value\&quot;:\&quot;Cash App Shevon Le\&quot;},{\&quot;key\&quot;:\&quot;Amount $\&quot;,\&quot;value\&quot;:-230},{\&quot;key\&quot;:\&quot;Transaction_ID\&quot;,\&quot;value\&quot;:\&quot;a12e12b43db84445aadb774bd3ab4aa7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12},{\&quot;key\&quot;:\&quot;Merchant\&quot;,\&quot;value\&quot;:\&quot;Discover E Payment Lewis\&quot;},{\&quot;key\&quot;:\&quot;Amount $\&quot;,\&quot;value\&quot;:-1173.17},{\&quot;key\&quot;:\&quot;Transaction_ID\&quot;,\&quot;value\&quot;:\&quot;72b891a80c6347d7a846f53e0c9445b4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12},{\&quot;key\&quot;:\&quot;Merchant\&quot;,\&quot;value\&quot;:\&quot;Internet Payment\&quot;},{\&quot;key\&quot;:\&quot;Amount $\&quot;,\&quot;value\&quot;:1173.17},{\&quot;key\&quot;:\&quot;Transaction_ID\&quot;,\&quot;value\&quot;:\&quot;1fffc7ae65d04aed8e994d863aef7c3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11},{\&quot;key\&quot;:\&quot;Merchant\&quot;,\&quot;value\&quot;:\&quot;Kroger\&quot;},{\&quot;key\&quot;:\&quot;Amount $\&quot;,\&quot;value\&quot;:-36.78},{\&quot;key\&quot;:\&quot;Transaction_ID\&quot;,\&quot;value\&quot;:\&quot;fa20a765242f40ea89e029bb19056de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11},{\&quot;key\&quot;:\&quot;Merchant\&quot;,\&quot;value\&quot;:\&quot;Teacherspayteachers\&quot;},{\&quot;key\&quot;:\&quot;Amount $\&quot;,\&quot;value\&quot;:-4.8},{\&quot;key\&quot;:\&quot;Transaction_ID\&quot;,\&quot;value\&quot;:\&quot;f58af88bd6464ec096a47843b750d11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11},{\&quot;key\&quot;:\&quot;Merchant\&quot;,\&quot;value\&quot;:\&quot;State Farm\&quot;},{\&quot;key\&quot;:\&quot;Amount $\&quot;,\&quot;value\&quot;:-92.07},{\&quot;key\&quot;:\&quot;Transaction_ID\&quot;,\&quot;value\&quot;:\&quot;bf0d0d722ca44e54932b07b8a679081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11},{\&quot;key\&quot;:\&quot;Merchant\&quot;,\&quot;value\&quot;:\&quot;Apple Store\&quot;},{\&quot;key\&quot;:\&quot;Amount $\&quot;,\&quot;value\&quot;:-51.94},{\&quot;key\&quot;:\&quot;Transaction_ID\&quot;,\&quot;value\&quot;:\&quot;740c7523ac724a398fa0b5bdbbb5486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11},{\&quot;key\&quot;:\&quot;Merchant\&quot;,\&quot;value\&quot;:\&quot;Kroger\&quot;},{\&quot;key\&quot;:\&quot;Amount $\&quot;,\&quot;value\&quot;:-29.69},{\&quot;key\&quot;:\&quot;Transaction_ID\&quot;,\&quot;value\&quot;:\&quot;5022ad65ae9e4c7ebda490054d9341b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11},{\&quot;key\&quot;:\&quot;Merchant\&quot;,\&quot;value\&quot;:\&quot;Frost Gelato\&quot;},{\&quot;key\&quot;:\&quot;Amount $\&quot;,\&quot;value\&quot;:-4.97},{\&quot;key\&quot;:\&quot;Transaction_ID\&quot;,\&quot;value\&quot;:\&quot;4a6699adb4b64d118fd1120d6bd78a8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11},{\&quot;key\&quot;:\&quot;Merchant\&quot;,\&quot;value\&quot;:\&quot;Apple Bill Ca Apple\&quot;},{\&quot;key\&quot;:\&quot;Amount $\&quot;,\&quot;value\&quot;:-63.59},{\&quot;key\&quot;:\&quot;Transaction_ID\&quot;,\&quot;value\&quot;:\&quot;47782910f50b478988db69c5cdf476c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11},{\&quot;key\&quot;:\&quot;Merchant\&quot;,\&quot;value\&quot;:\&quot;Frost Gelato\&quot;},{\&quot;key\&quot;:\&quot;Amount $\&quot;,\&quot;value\&quot;:-13.72},{\&quot;key\&quot;:\&quot;Transaction_ID\&quot;,\&quot;value\&quot;:\&quot;22c3a94dbc5f400aa217228b9334d7d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11},{\&quot;key\&quot;:\&quot;Merchant\&quot;,\&quot;value\&quot;:\&quot;Hulu\&quot;},{\&quot;key\&quot;:\&quot;Amount $\&quot;,\&quot;value\&quot;:-11.99},{\&quot;key\&quot;:\&quot;Transaction_ID\&quot;,\&quot;value\&quot;:\&quot;0fe6ff196fc949b9a279300de3b3737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10},{\&quot;key\&quot;:\&quot;Merchant\&quot;,\&quot;value\&quot;:\&quot;Apple Bill Ca Apple\&quot;},{\&quot;key\&quot;:\&quot;Amount $\&quot;,\&quot;value\&quot;:-31.79},{\&quot;key\&quot;:\&quot;Transaction_ID\&quot;,\&quot;value\&quot;:\&quot;db21f115918840489cc3aaf26e30fe5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10},{\&quot;key\&quot;:\&quot;Merchant\&quot;,\&quot;value\&quot;:\&quot;Apple Store\&quot;},{\&quot;key\&quot;:\&quot;Amount $\&quot;,\&quot;value\&quot;:-31.75},{\&quot;key\&quot;:\&quot;Transaction_ID\&quot;,\&quot;value\&quot;:\&quot;d1c0274f79494c2ebdabfa84a590034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10},{\&quot;key\&quot;:\&quot;Merchant\&quot;,\&quot;value\&quot;:\&quot;Krystal And Saagar\&quot;},{\&quot;key\&quot;:\&quot;Amount $\&quot;,\&quot;value\&quot;:-10},{\&quot;key\&quot;:\&quot;Transaction_ID\&quot;,\&quot;value\&quot;:\&quot;877942f388794b0fa7b303d2c2619a9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10},{\&quot;key\&quot;:\&quot;Merchant\&quot;,\&quot;value\&quot;:\&quot;Amzn Digital 2 Wa\&quot;},{\&quot;key\&quot;:\&quot;Amount $\&quot;,\&quot;value\&quot;:-15},{\&quot;key\&quot;:\&quot;Transaction_ID\&quot;,\&quot;value\&quot;:\&quot;6a65081ac2f64e64b24a641d366c5c4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10},{\&quot;key\&quot;:\&quot;Merchant\&quot;,\&quot;value\&quot;:\&quot;Audible\&quot;},{\&quot;key\&quot;:\&quot;Amount $\&quot;,\&quot;value\&quot;:-7.49},{\&quot;key\&quot;:\&quot;Transaction_ID\&quot;,\&quot;value\&quot;:\&quot;458b09ce02f1485e992482b5997d719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10},{\&quot;key\&quot;:\&quot;Merchant\&quot;,\&quot;value\&quot;:\&quot;Apple Bill Ca Apple\&quot;},{\&quot;key\&quot;:\&quot;Amount $\&quot;,\&quot;value\&quot;:-21.19},{\&quot;key\&quot;:\&quot;Transaction_ID\&quot;,\&quot;value\&quot;:\&quot;15fc8d1d2dde424db0066ba502f4495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09},{\&quot;key\&quot;:\&quot;Merchant\&quot;,\&quot;value\&quot;:\&quot;Netflix\&quot;},{\&quot;key\&quot;:\&quot;Amount $\&quot;,\&quot;value\&quot;:-14.83},{\&quot;key\&quot;:\&quot;Transaction_ID\&quot;,\&quot;value\&quot;:\&quot;9b5c6dd2565c4750bd8b49d9ba752d0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09},{\&quot;key\&quot;:\&quot;Merchant\&quot;,\&quot;value\&quot;:\&quot;Cell Tech\&quot;},{\&quot;key\&quot;:\&quot;Amount $\&quot;,\&quot;value\&quot;:-17.47},{\&quot;key\&quot;:\&quot;Transaction_ID\&quot;,\&quot;value\&quot;:\&quot;9980c9e47e42405794ca47b9af2e71f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09},{\&quot;key\&quot;:\&quot;Merchant\&quot;,\&quot;value\&quot;:\&quot;Steam Games\&quot;},{\&quot;key\&quot;:\&quot;Amount $\&quot;,\&quot;value\&quot;:-15.98},{\&quot;key\&quot;:\&quot;Transaction_ID\&quot;,\&quot;value\&quot;:\&quot;7f6b98ec98c4423fa964660356be555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09},{\&quot;key\&quot;:\&quot;Merchant\&quot;,\&quot;value\&quot;:\&quot;Otto Turkish Street Charlottesvilva\&quot;},{\&quot;key\&quot;:\&quot;Amount $\&quot;,\&quot;value\&quot;:-30.06},{\&quot;key\&quot;:\&quot;Transaction_ID\&quot;,\&quot;value\&quot;:\&quot;5f26ac4ecda542a28c94a5e326701e3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09},{\&quot;key\&quot;:\&quot;Merchant\&quot;,\&quot;value\&quot;:\&quot;Steam Games\&quot;},{\&quot;key\&quot;:\&quot;Amount $\&quot;,\&quot;value\&quot;:-65.66},{\&quot;key\&quot;:\&quot;Transaction_ID\&quot;,\&quot;value\&quot;:\&quot;4e13eb2a23e74e7f9d1525df1ac8a16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09},{\&quot;key\&quot;:\&quot;Merchant\&quot;,\&quot;value\&quot;:\&quot;Spotify\&quot;},{\&quot;key\&quot;:\&quot;Amount $\&quot;,\&quot;value\&quot;:-9.99},{\&quot;key\&quot;:\&quot;Transaction_ID\&quot;,\&quot;value\&quot;:\&quot;10a94052d0c54c62ae272e3094776f6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08},{\&quot;key\&quot;:\&quot;Merchant\&quot;,\&quot;value\&quot;:\&quot;James Blake Ca\&quot;},{\&quot;key\&quot;:\&quot;Amount $\&quot;,\&quot;value\&quot;:-84},{\&quot;key\&quot;:\&quot;Transaction_ID\&quot;,\&quot;value\&quot;:\&quot;d6e38c5bd22047688a46a38ce41757c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08},{\&quot;key\&quot;:\&quot;Merchant\&quot;,\&quot;value\&quot;:\&quot;Iron Paffles And Charlottesvilva\&quot;},{\&quot;key\&quot;:\&quot;Amount $\&quot;,\&quot;value\&quot;:-12.02},{\&quot;key\&quot;:\&quot;Transaction_ID\&quot;,\&quot;value\&quot;:\&quot;c42c1b4d31fa440ebef7f9023994bdc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08},{\&quot;key\&quot;:\&quot;Merchant\&quot;,\&quot;value\&quot;:\&quot;Cvs\&quot;},{\&quot;key\&quot;:\&quot;Amount $\&quot;,\&quot;value\&quot;:-3.78},{\&quot;key\&quot;:\&quot;Transaction_ID\&quot;,\&quot;value\&quot;:\&quot;a1473f64bd944ede9bc50171f7f73b2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08},{\&quot;key\&quot;:\&quot;Merchant\&quot;,\&quot;value\&quot;:\&quot;Wp First And Market\&quot;},{\&quot;key\&quot;:\&quot;Amount $\&quot;,\&quot;value\&quot;:-9},{\&quot;key\&quot;:\&quot;Transaction_ID\&quot;,\&quot;value\&quot;:\&quot;a131c52212c14bb9a4e4501df988601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07},{\&quot;key\&quot;:\&quot;Merchant\&quot;,\&quot;value\&quot;:\&quot;Allianz Event Ins\&quot;},{\&quot;key\&quot;:\&quot;Amount $\&quot;,\&quot;value\&quot;:-8.3},{\&quot;key\&quot;:\&quot;Transaction_ID\&quot;,\&quot;value\&quot;:\&quot;8836d0e073f54855aaf4b9cbecf67c8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07},{\&quot;key\&quot;:\&quot;Merchant\&quot;,\&quot;value\&quot;:\&quot;Audible\&quot;},{\&quot;key\&quot;:\&quot;Amount $\&quot;,\&quot;value\&quot;:-15.3},{\&quot;key\&quot;:\&quot;Transaction_ID\&quot;,\&quot;value\&quot;:\&quot;16732500977d422da39d5eec4dd6a9a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06},{\&quot;key\&quot;:\&quot;Merchant\&quot;,\&quot;value\&quot;:\&quot;Lyft\&quot;},{\&quot;key\&quot;:\&quot;Amount $\&quot;,\&quot;value\&quot;:-61.97},{\&quot;key\&quot;:\&quot;Transaction_ID\&quot;,\&quot;value\&quot;:\&quot;b8a11240e79746db80233c77723906e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06},{\&quot;key\&quot;:\&quot;Merchant\&quot;,\&quot;value\&quot;:\&quot;Nationwide Payroll Sean Lewis\&quot;},{\&quot;key\&quot;:\&quot;Amount $\&quot;,\&quot;value\&quot;:1733.66},{\&quot;key\&quot;:\&quot;Transaction_ID\&quot;,\&quot;value\&quot;:\&quot;32f9901ee17a49cdaf49fcc6cdb31b30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06},{\&quot;key\&quot;:\&quot;Merchant\&quot;,\&quot;value\&quot;:\&quot;Sushi King &amp; Grill\&quot;},{\&quot;key\&quot;:\&quot;Amount $\&quot;,\&quot;value\&quot;:-30},{\&quot;key\&quot;:\&quot;Transaction_ID\&quot;,\&quot;value\&quot;:\&quot;1297f2cf6a2741c3b66656aa844d857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05},{\&quot;key\&quot;:\&quot;Merchant\&quot;,\&quot;value\&quot;:\&quot;Venmo\&quot;},{\&quot;key\&quot;:\&quot;Amount $\&quot;,\&quot;value\&quot;:162.02},{\&quot;key\&quot;:\&quot;Transaction_ID\&quot;,\&quot;value\&quot;:\&quot;b787b3a9313e42fc87b92f7f2b8db92d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05},{\&quot;key\&quot;:\&quot;Merchant\&quot;,\&quot;value\&quot;:\&quot;Hyman Bros Nissan\&quot;},{\&quot;key\&quot;:\&quot;Amount $\&quot;,\&quot;value\&quot;:-324.04},{\&quot;key\&quot;:\&quot;Transaction_ID\&quot;,\&quot;value\&quot;:\&quot;325514c94c0941bca36d0ec231a87b9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04},{\&quot;key\&quot;:\&quot;Merchant\&quot;,\&quot;value\&quot;:\&quot;Nw Trvl Reimb Edi\&quot;},{\&quot;key\&quot;:\&quot;Amount $\&quot;,\&quot;value\&quot;:30},{\&quot;key\&quot;:\&quot;Transaction_ID\&quot;,\&quot;value\&quot;:\&quot;d85453010d144676be14a307ce6b5709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404},{\&quot;key\&quot;:\&quot;Merchant\&quot;,\&quot;value\&quot;:\&quot;Tcktweb Purityringtour Ca\&quot;},{\&quot;key\&quot;:\&quot;Amount $\&quot;,\&quot;value\&quot;:-29.5},{\&quot;key\&quot;:\&quot;Transaction_ID\&quot;,\&quot;value\&quot;:\&quot;c93ae328ec4941c391a4ee9bf441d41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04},{\&quot;key\&quot;:\&quot;Merchant\&quot;,\&quot;value\&quot;:\&quot;Mcdonald's\&quot;},{\&quot;key\&quot;:\&quot;Amount $\&quot;,\&quot;value\&quot;:-1.12},{\&quot;key\&quot;:\&quot;Transaction_ID\&quot;,\&quot;value\&quot;:\&quot;9297785a66c14376a0c0bbcdeb169ae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04},{\&quot;key\&quot;:\&quot;Merchant\&quot;,\&quot;value\&quot;:\&quot;Couplecents\&quot;},{\&quot;key\&quot;:\&quot;Amount $\&quot;,\&quot;value\&quot;:-9.99},{\&quot;key\&quot;:\&quot;Transaction_ID\&quot;,\&quot;value\&quot;:\&quot;184b53c9251a4f1db5139a334b07e95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02},{\&quot;key\&quot;:\&quot;Merchant\&quot;,\&quot;value\&quot;:\&quot;Autozone\&quot;},{\&quot;key\&quot;:\&quot;Amount $\&quot;,\&quot;value\&quot;:-33.34},{\&quot;key\&quot;:\&quot;Transaction_ID\&quot;,\&quot;value\&quot;:\&quot;adb78b09f74642b18bbdcb3d7732d3e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02},{\&quot;key\&quot;:\&quot;Merchant\&quot;,\&quot;value\&quot;:\&quot;Dominion Car Wash Laburn\&quot;},{\&quot;key\&quot;:\&quot;Amount $\&quot;,\&quot;value\&quot;:-3},{\&quot;key\&quot;:\&quot;Transaction_ID\&quot;,\&quot;value\&quot;:\&quot;4ff3f5bf726d41948982fc6031badf5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02},{\&quot;key\&quot;:\&quot;Merchant\&quot;,\&quot;value\&quot;:\&quot;Cvs\&quot;},{\&quot;key\&quot;:\&quot;Amount $\&quot;,\&quot;value\&quot;:-32.75},{\&quot;key\&quot;:\&quot;Transaction_ID\&quot;,\&quot;value\&quot;:\&quot;29523c52be4543bd8d82e7d57fd278c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400},{\&quot;key\&quot;:\&quot;Merchant\&quot;,\&quot;value\&quot;:\&quot;Uncle Cs Chicken &amp;\&quot;},{\&quot;key\&quot;:\&quot;Amount $\&quot;,\&quot;value\&quot;:-17.99},{\&quot;key\&quot;:\&quot;Transaction_ID\&quot;,\&quot;value\&quot;:\&quot;fd1ca847d4c246e4b1afa346ccdcd48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99},{\&quot;key\&quot;:\&quot;Merchant\&quot;,\&quot;value\&quot;:\&quot;Healthequity Inc HealthequiJul Sean\&quot;},{\&quot;key\&quot;:\&quot;Amount $\&quot;,\&quot;value\&quot;:200},{\&quot;key\&quot;:\&quot;Transaction_ID\&quot;,\&quot;value\&quot;:\&quot;ce6b399a7dd0463980d2e8e1f7ea4351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99},{\&quot;key\&quot;:\&quot;Merchant\&quot;,\&quot;value\&quot;:\&quot;Ezpassva Auto Replenish\&quot;},{\&quot;key\&quot;:\&quot;Amount $\&quot;,\&quot;value\&quot;:-35},{\&quot;key\&quot;:\&quot;Transaction_ID\&quot;,\&quot;value\&quot;:\&quot;78a9599cf5c142b19b6fd434075cf6f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99},{\&quot;key\&quot;:\&quot;Merchant\&quot;,\&quot;value\&quot;:\&quot;Internet Payment\&quot;},{\&quot;key\&quot;:\&quot;Amount $\&quot;,\&quot;value\&quot;:1518.65},{\&quot;key\&quot;:\&quot;Transaction_ID\&quot;,\&quot;value\&quot;:\&quot;781592015b1c48a49a8eb3cd17705aa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99},{\&quot;key\&quot;:\&quot;Merchant\&quot;,\&quot;value\&quot;:\&quot;New Manchester F Web\&quot;},{\&quot;key\&quot;:\&quot;Amount $\&quot;,\&quot;value\&quot;:-1825},{\&quot;key\&quot;:\&quot;Transaction_ID\&quot;,\&quot;value\&quot;:\&quot;42a80177990b4d26a2e1ac20b14fc598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99},{\&quot;key\&quot;:\&quot;Merchant\&quot;,\&quot;value\&quot;:\&quot;Discover E Payment Lewis\&quot;},{\&quot;key\&quot;:\&quot;Amount $\&quot;,\&quot;value\&quot;:-1518.65},{\&quot;key\&quot;:\&quot;Transaction_ID\&quot;,\&quot;value\&quot;:\&quot;2aba64b6f09648018062abbb3f248672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98},{\&quot;key\&quot;:\&quot;Merchant\&quot;,\&quot;value\&quot;:\&quot;Advance Auto Parts\&quot;},{\&quot;key\&quot;:\&quot;Amount $\&quot;,\&quot;value\&quot;:-12.71},{\&quot;key\&quot;:\&quot;Transaction_ID\&quot;,\&quot;value\&quot;:\&quot;e2a0041019cc40feadc1e09f4e088f4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98},{\&quot;key\&quot;:\&quot;Merchant\&quot;,\&quot;value\&quot;:\&quot;Pp Roku For Crunchyr\&quot;},{\&quot;key\&quot;:\&quot;Amount $\&quot;,\&quot;value\&quot;:-7.99},{\&quot;key\&quot;:\&quot;Transaction_ID\&quot;,\&quot;value\&quot;:\&quot;defc4e6ad8564cefa7a10f1cd7772aa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98},{\&quot;key\&quot;:\&quot;Merchant\&quot;,\&quot;value\&quot;:\&quot;Venmo\&quot;},{\&quot;key\&quot;:\&quot;Amount $\&quot;,\&quot;value\&quot;:937.5},{\&quot;key\&quot;:\&quot;Transaction_ID\&quot;,\&quot;value\&quot;:\&quot;d9c24646a4584cdc8c29da304a9cb750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98},{\&quot;key\&quot;:\&quot;Merchant\&quot;,\&quot;value\&quot;:\&quot;Advance Auto Parts\&quot;},{\&quot;key\&quot;:\&quot;Amount $\&quot;,\&quot;value\&quot;:-4.23},{\&quot;key\&quot;:\&quot;Transaction_ID\&quot;,\&quot;value\&quot;:\&quot;5c45f73aa06a456292549bd12a87e42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98},{\&quot;key\&quot;:\&quot;Merchant\&quot;,\&quot;value\&quot;:\&quot;Gasbuddy Gasbuddy Ypkvvp Sean\&quot;},{\&quot;key\&quot;:\&quot;Amount $\&quot;,\&quot;value\&quot;:-29.73},{\&quot;key\&quot;:\&quot;Transaction_ID\&quot;,\&quot;value\&quot;:\&quot;0b8265ec2a3f4adb95723c3eb281f205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97},{\&quot;key\&quot;:\&quot;Merchant\&quot;,\&quot;value\&quot;:\&quot;2M Mediterranean Market\&quot;},{\&quot;key\&quot;:\&quot;Amount $\&quot;,\&quot;value\&quot;:-9.46},{\&quot;key\&quot;:\&quot;Transaction_ID\&quot;,\&quot;value\&quot;:\&quot;d889d5b561c740998716f75dc762bc8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97},{\&quot;key\&quot;:\&quot;Merchant\&quot;,\&quot;value\&quot;:\&quot;Interest Charge On Cash\&quot;},{\&quot;key\&quot;:\&quot;Amount $\&quot;,\&quot;value\&quot;:0},{\&quot;key\&quot;:\&quot;Transaction_ID\&quot;,\&quot;value\&quot;:\&quot;d3d833473e18483fa691f80beca9f4b0\&quot;},{\&quot;key\&quot;:\&quot;Account_ID\&quot;,\&quot;value\&quot;:\&quot;a82d9aba872e4e9b9684a363d4cc52b5\&quot;},{\&quot;key\&quot;:\&quot;Category_ID\&quot;,\&quot;value\&quot;:\&quot;de9b1d2511bc45a9bb2d484aa9e33b31\&quot;},{\&quot;key\&quot;:\&quot;Subcategory_ID\&quot;,\&quot;value\&quot;:\&quot;\&quot;}],[{\&quot;key\&quot;:\&quot;Date\&quot;,\&quot;value\&quot;:44397},{\&quot;key\&quot;:\&quot;Merchant\&quot;,\&quot;value\&quot;:\&quot;InstacartCa Apple Pay Ending\&quot;},{\&quot;key\&quot;:\&quot;Amount $\&quot;,\&quot;value\&quot;:-56.29},{\&quot;key\&quot;:\&quot;Transaction_ID\&quot;,\&quot;value\&quot;:\&quot;cda460c3ba154bf99bb9ce248b3008c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97},{\&quot;key\&quot;:\&quot;Merchant\&quot;,\&quot;value\&quot;:\&quot;Advance Auto Parts\&quot;},{\&quot;key\&quot;:\&quot;Amount $\&quot;,\&quot;value\&quot;:-15.88},{\&quot;key\&quot;:\&quot;Transaction_ID\&quot;,\&quot;value\&quot;:\&quot;bbab33e38db64453b8cab9fff6b35aa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97},{\&quot;key\&quot;:\&quot;Merchant\&quot;,\&quot;value\&quot;:\&quot;2M Mediterranean Market\&quot;},{\&quot;key\&quot;:\&quot;Amount $\&quot;,\&quot;value\&quot;:-70.04},{\&quot;key\&quot;:\&quot;Transaction_ID\&quot;,\&quot;value\&quot;:\&quot;a5f760d012534ba79c8dd06623f05fb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97},{\&quot;key\&quot;:\&quot;Merchant\&quot;,\&quot;value\&quot;:\&quot;Officemax\&quot;},{\&quot;key\&quot;:\&quot;Amount $\&quot;,\&quot;value\&quot;:-20.02},{\&quot;key\&quot;:\&quot;Transaction_ID\&quot;,\&quot;value\&quot;:\&quot;a4b0529d5a02400196f8bd2667b64f1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97},{\&quot;key\&quot;:\&quot;Merchant\&quot;,\&quot;value\&quot;:\&quot;Interest Charge On Purchases\&quot;},{\&quot;key\&quot;:\&quot;Amount $\&quot;,\&quot;value\&quot;:0},{\&quot;key\&quot;:\&quot;Transaction_ID\&quot;,\&quot;value\&quot;:\&quot;57d0430220504f5193428ca664314635\&quot;},{\&quot;key\&quot;:\&quot;Account_ID\&quot;,\&quot;value\&quot;:\&quot;a82d9aba872e4e9b9684a363d4cc52b5\&quot;},{\&quot;key\&quot;:\&quot;Category_ID\&quot;,\&quot;value\&quot;:\&quot;de9b1d2511bc45a9bb2d484aa9e33b31\&quot;},{\&quot;key\&quot;:\&quot;Subcategory_ID\&quot;,\&quot;value\&quot;:\&quot;\&quot;}],[{\&quot;key\&quot;:\&quot;Date\&quot;,\&quot;value\&quot;:44397},{\&quot;key\&quot;:\&quot;Merchant\&quot;,\&quot;value\&quot;:\&quot;Amazon\&quot;},{\&quot;key\&quot;:\&quot;Amount $\&quot;,\&quot;value\&quot;:-28.6},{\&quot;key\&quot;:\&quot;Transaction_ID\&quot;,\&quot;value\&quot;:\&quot;54b16c13ccca4d04a829adc8150471b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97},{\&quot;key\&quot;:\&quot;Merchant\&quot;,\&quot;value\&quot;:\&quot;Flagstop Car Wash\&quot;},{\&quot;key\&quot;:\&quot;Amount $\&quot;,\&quot;value\&quot;:-18},{\&quot;key\&quot;:\&quot;Transaction_ID\&quot;,\&quot;value\&quot;:\&quot;42fd7e1878364f4d9d12a96726ab42e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96},{\&quot;key\&quot;:\&quot;Merchant\&quot;,\&quot;value\&quot;:\&quot;Dominion Energy Billpay Dominion\&quot;},{\&quot;key\&quot;:\&quot;Amount $\&quot;,\&quot;value\&quot;:-120.94},{\&quot;key\&quot;:\&quot;Transaction_ID\&quot;,\&quot;value\&quot;:\&quot;e711e9217c4948858583d18af55ff327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96},{\&quot;key\&quot;:\&quot;Merchant\&quot;,\&quot;value\&quot;:\&quot;Usps Po Boxes Online\&quot;},{\&quot;key\&quot;:\&quot;Amount $\&quot;,\&quot;value\&quot;:-194},{\&quot;key\&quot;:\&quot;Transaction_ID\&quot;,\&quot;value\&quot;:\&quot;cc63f11ced354cb9b308aa7278166ef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96},{\&quot;key\&quot;:\&quot;Merchant\&quot;,\&quot;value\&quot;:\&quot;Usps Po Boxes Online\&quot;},{\&quot;key\&quot;:\&quot;Amount $\&quot;,\&quot;value\&quot;:194},{\&quot;key\&quot;:\&quot;Transaction_ID\&quot;,\&quot;value\&quot;:\&quot;17d1d572e40d48ebb97304db120885e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96},{\&quot;key\&quot;:\&quot;Merchant\&quot;,\&quot;value\&quot;:\&quot;Gumroad Dsadsa\&quot;},{\&quot;key\&quot;:\&quot;Amount $\&quot;,\&quot;value\&quot;:-5},{\&quot;key\&quot;:\&quot;Transaction_ID\&quot;,\&quot;value\&quot;:\&quot;103dbcf25b114bd8a689fbcf7fd0dbd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95},{\&quot;key\&quot;:\&quot;Merchant\&quot;,\&quot;value\&quot;:\&quot;Poke Sushi Bowl\&quot;},{\&quot;key\&quot;:\&quot;Amount $\&quot;,\&quot;value\&quot;:-22.63},{\&quot;key\&quot;:\&quot;Transaction_ID\&quot;,\&quot;value\&quot;:\&quot;ff5c3da1d515496f8fb8c01cfb3f83d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95},{\&quot;key\&quot;:\&quot;Merchant\&quot;,\&quot;value\&quot;:\&quot;Steam Games\&quot;},{\&quot;key\&quot;:\&quot;Amount $\&quot;,\&quot;value\&quot;:-4.79},{\&quot;key\&quot;:\&quot;Transaction_ID\&quot;,\&quot;value\&quot;:\&quot;b89cbe560ae64604913919bae58e1ee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95},{\&quot;key\&quot;:\&quot;Merchant\&quot;,\&quot;value\&quot;:\&quot;Mezeh Reynolds Crossing\&quot;},{\&quot;key\&quot;:\&quot;Amount $\&quot;,\&quot;value\&quot;:-14.06},{\&quot;key\&quot;:\&quot;Transaction_ID\&quot;,\&quot;value\&quot;:\&quot;0e9974d3a1c64d528433522b8c637f7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95},{\&quot;key\&quot;:\&quot;Merchant\&quot;,\&quot;value\&quot;:\&quot;Steam Games\&quot;},{\&quot;key\&quot;:\&quot;Amount $\&quot;,\&quot;value\&quot;:-14.75},{\&quot;key\&quot;:\&quot;Transaction_ID\&quot;,\&quot;value\&quot;:\&quot;025606668018491395ea088acdc01ac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94},{\&quot;key\&quot;:\&quot;Merchant\&quot;,\&quot;value\&quot;:\&quot;Busch Gardens Food Svc\&quot;},{\&quot;key\&quot;:\&quot;Amount $\&quot;,\&quot;value\&quot;:-26.92},{\&quot;key\&quot;:\&quot;Transaction_ID\&quot;,\&quot;value\&quot;:\&quot;f646fd7e7312454cabba25c57f0206f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94},{\&quot;key\&quot;:\&quot;Merchant\&quot;,\&quot;value\&quot;:\&quot;Walgreens\&quot;},{\&quot;key\&quot;:\&quot;Amount $\&quot;,\&quot;value\&quot;:-9.72},{\&quot;key\&quot;:\&quot;Transaction_ID\&quot;,\&quot;value\&quot;:\&quot;f2bc02006ea5440a832999701fc4aab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94},{\&quot;key\&quot;:\&quot;Merchant\&quot;,\&quot;value\&quot;:\&quot;H B Leisure Williamsburg\&quot;},{\&quot;key\&quot;:\&quot;Amount $\&quot;,\&quot;value\&quot;:-10},{\&quot;key\&quot;:\&quot;Transaction_ID\&quot;,\&quot;value\&quot;:\&quot;ebdf4f24935041aaadee2940c8443d3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94},{\&quot;key\&quot;:\&quot;Merchant\&quot;,\&quot;value\&quot;:\&quot;Busch Gardens Parking\&quot;},{\&quot;key\&quot;:\&quot;Amount $\&quot;,\&quot;value\&quot;:-25},{\&quot;key\&quot;:\&quot;Transaction_ID\&quot;,\&quot;value\&quot;:\&quot;e1ed58c86fb84a1984f69480511645d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94},{\&quot;key\&quot;:\&quot;Merchant\&quot;,\&quot;value\&quot;:\&quot;Busch Gardens Gifts\&quot;},{\&quot;key\&quot;:\&quot;Amount $\&quot;,\&quot;value\&quot;:-42.8},{\&quot;key\&quot;:\&quot;Transaction_ID\&quot;,\&quot;value\&quot;:\&quot;e15e64ab3b304cd6b3ee47cc2fb7895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94},{\&quot;key\&quot;:\&quot;Merchant\&quot;,\&quot;value\&quot;:\&quot;Busch Gardens Food Svc\&quot;},{\&quot;key\&quot;:\&quot;Amount $\&quot;,\&quot;value\&quot;:-5.87},{\&quot;key\&quot;:\&quot;Transaction_ID\&quot;,\&quot;value\&quot;:\&quot;c184178773744f1fb68a01d47dfad8c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94},{\&quot;key\&quot;:\&quot;Merchant\&quot;,\&quot;value\&quot;:\&quot;Busch Gardens Food Svc\&quot;},{\&quot;key\&quot;:\&quot;Amount $\&quot;,\&quot;value\&quot;:-8.87},{\&quot;key\&quot;:\&quot;Transaction_ID\&quot;,\&quot;value\&quot;:\&quot;82e8649a4ec242b0978b1f9dd2d9a75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94},{\&quot;key\&quot;:\&quot;Merchant\&quot;,\&quot;value\&quot;:\&quot;Busch Gardens Food Svc\&quot;},{\&quot;key\&quot;:\&quot;Amount $\&quot;,\&quot;value\&quot;:-13.31},{\&quot;key\&quot;:\&quot;Transaction_ID\&quot;,\&quot;value\&quot;:\&quot;588817d410924738b2041e44d9da964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94},{\&quot;key\&quot;:\&quot;Merchant\&quot;,\&quot;value\&quot;:\&quot;Busch Gardens Gifts\&quot;},{\&quot;key\&quot;:\&quot;Amount $\&quot;,\&quot;value\&quot;:-42.79},{\&quot;key\&quot;:\&quot;Transaction_ID\&quot;,\&quot;value\&quot;:\&quot;150f9a48eda84a0281a56ec5a9fa28b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94},{\&quot;key\&quot;:\&quot;Merchant\&quot;,\&quot;value\&quot;:\&quot;Busch Gardens Food Svc\&quot;},{\&quot;key\&quot;:\&quot;Amount $\&quot;,\&quot;value\&quot;:-27.82},{\&quot;key\&quot;:\&quot;Transaction_ID\&quot;,\&quot;value\&quot;:\&quot;056e9a53b0514990a898e1125702f6f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93},{\&quot;key\&quot;:\&quot;Merchant\&quot;,\&quot;value\&quot;:\&quot;Kroger\&quot;},{\&quot;key\&quot;:\&quot;Amount $\&quot;,\&quot;value\&quot;:-30.29},{\&quot;key\&quot;:\&quot;Transaction_ID\&quot;,\&quot;value\&quot;:\&quot;fb3dfbce39f940d98f28e46d5ccc8e3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93},{\&quot;key\&quot;:\&quot;Merchant\&quot;,\&quot;value\&quot;:\&quot;Steam Games\&quot;},{\&quot;key\&quot;:\&quot;Amount $\&quot;,\&quot;value\&quot;:-4.99},{\&quot;key\&quot;:\&quot;Transaction_ID\&quot;,\&quot;value\&quot;:\&quot;ee8377d64c0f41ee8a0e3721f78993b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93},{\&quot;key\&quot;:\&quot;Merchant\&quot;,\&quot;value\&quot;:\&quot;Busch Gardens Va Orlan\&quot;},{\&quot;key\&quot;:\&quot;Amount $\&quot;,\&quot;value\&quot;:-69.98},{\&quot;key\&quot;:\&quot;Transaction_ID\&quot;,\&quot;value\&quot;:\&quot;dfc4a909b3df4f80a0615a3f28811c2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93},{\&quot;key\&quot;:\&quot;Merchant\&quot;,\&quot;value\&quot;:\&quot;Internet Payment\&quot;},{\&quot;key\&quot;:\&quot;Amount $\&quot;,\&quot;value\&quot;:1000},{\&quot;key\&quot;:\&quot;Transaction_ID\&quot;,\&quot;value\&quot;:\&quot;c7ad9f257842444d990824fd59333da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93},{\&quot;key\&quot;:\&quot;Merchant\&quot;,\&quot;value\&quot;:\&quot;InstacartCa Apple Pay Ending\&quot;},{\&quot;key\&quot;:\&quot;Amount $\&quot;,\&quot;value\&quot;:-20.54},{\&quot;key\&quot;:\&quot;Transaction_ID\&quot;,\&quot;value\&quot;:\&quot;b212cf7fa81842d98ab9c4894a77f77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93},{\&quot;key\&quot;:\&quot;Merchant\&quot;,\&quot;value\&quot;:\&quot;InstacartCa Apple Pay Ending\&quot;},{\&quot;key\&quot;:\&quot;Amount $\&quot;,\&quot;value\&quot;:-5.7},{\&quot;key\&quot;:\&quot;Transaction_ID\&quot;,\&quot;value\&quot;:\&quot;786b3992803e492eadc438acfdbae7f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93},{\&quot;key\&quot;:\&quot;Merchant\&quot;,\&quot;value\&quot;:\&quot;Steam Games\&quot;},{\&quot;key\&quot;:\&quot;Amount $\&quot;,\&quot;value\&quot;:-59.99},{\&quot;key\&quot;:\&quot;Transaction_ID\&quot;,\&quot;value\&quot;:\&quot;5fef2477c5e540f9891ed2f8398a430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93},{\&quot;key\&quot;:\&quot;Merchant\&quot;,\&quot;value\&quot;:\&quot;Discover E Payment Lewis\&quot;},{\&quot;key\&quot;:\&quot;Amount $\&quot;,\&quot;value\&quot;:-1000},{\&quot;key\&quot;:\&quot;Transaction_ID\&quot;,\&quot;value\&quot;:\&quot;4f9a063a5d39456cb010e023e0aae75e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93},{\&quot;key\&quot;:\&quot;Merchant\&quot;,\&quot;value\&quot;:\&quot;Amazon\&quot;},{\&quot;key\&quot;:\&quot;Amount $\&quot;,\&quot;value\&quot;:-56.81},{\&quot;key\&quot;:\&quot;Transaction_ID\&quot;,\&quot;value\&quot;:\&quot;2df90d536d634dd8804598fd12b41cc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93},{\&quot;key\&quot;:\&quot;Merchant\&quot;,\&quot;value\&quot;:\&quot;Verizon Recurring PayVerizon Fl\&quot;},{\&quot;key\&quot;:\&quot;Amount $\&quot;,\&quot;value\&quot;:-50},{\&quot;key\&quot;:\&quot;Transaction_ID\&quot;,\&quot;value\&quot;:\&quot;23ae7d6d3c884412a5a968db24011f9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93},{\&quot;key\&quot;:\&quot;Merchant\&quot;,\&quot;value\&quot;:\&quot;Al Amir Mediterranean Cu\&quot;},{\&quot;key\&quot;:\&quot;Amount $\&quot;,\&quot;value\&quot;:-25},{\&quot;key\&quot;:\&quot;Transaction_ID\&quot;,\&quot;value\&quot;:\&quot;20e8c94dba6b469baa3014bd45742d1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93},{\&quot;key\&quot;:\&quot;Merchant\&quot;,\&quot;value\&quot;:\&quot;Amazon\&quot;},{\&quot;key\&quot;:\&quot;Amount $\&quot;,\&quot;value\&quot;:-56.81},{\&quot;key\&quot;:\&quot;Transaction_ID\&quot;,\&quot;value\&quot;:\&quot;13e7b29813b44a2baf7cd53ccddc916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93},{\&quot;key\&quot;:\&quot;Merchant\&quot;,\&quot;value\&quot;:\&quot;Venmo\&quot;},{\&quot;key\&quot;:\&quot;Amount $\&quot;,\&quot;value\&quot;:500},{\&quot;key\&quot;:\&quot;Transaction_ID\&quot;,\&quot;value\&quot;:\&quot;12d675830f2a4837ac2d23614ae731f9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93},{\&quot;key\&quot;:\&quot;Merchant\&quot;,\&quot;value\&quot;:\&quot;Venmo\&quot;},{\&quot;key\&quot;:\&quot;Amount $\&quot;,\&quot;value\&quot;:400},{\&quot;key\&quot;:\&quot;Transaction_ID\&quot;,\&quot;value\&quot;:\&quot;095821990cb24504a2ef6597293bdfbf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92},{\&quot;key\&quot;:\&quot;Merchant\&quot;,\&quot;value\&quot;:\&quot;Manchester Market\&quot;},{\&quot;key\&quot;:\&quot;Amount $\&quot;,\&quot;value\&quot;:-16.6},{\&quot;key\&quot;:\&quot;Transaction_ID\&quot;,\&quot;value\&quot;:\&quot;f8a8f82774cc4c28960b8af892e9ea8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92},{\&quot;key\&quot;:\&quot;Merchant\&quot;,\&quot;value\&quot;:\&quot;Nationwide Payroll Sean Lewis\&quot;},{\&quot;key\&quot;:\&quot;Amount $\&quot;,\&quot;value\&quot;:1583.61},{\&quot;key\&quot;:\&quot;Transaction_ID\&quot;,\&quot;value\&quot;:\&quot;f0b387208d6e4f888b8e3e8cff5244d4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92},{\&quot;key\&quot;:\&quot;Merchant\&quot;,\&quot;value\&quot;:\&quot;Crafty Crab Richmond\&quot;},{\&quot;key\&quot;:\&quot;Amount $\&quot;,\&quot;value\&quot;:-40},{\&quot;key\&quot;:\&quot;Transaction_ID\&quot;,\&quot;value\&quot;:\&quot;8ea45d22126c4670ab86744fb33fab6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92},{\&quot;key\&quot;:\&quot;Merchant\&quot;,\&quot;value\&quot;:\&quot;Venmo\&quot;},{\&quot;key\&quot;:\&quot;Amount $\&quot;,\&quot;value\&quot;:-400},{\&quot;key\&quot;:\&quot;Transaction_ID\&quot;,\&quot;value\&quot;:\&quot;85f0c15cb69448319ce73b3ed9356f0e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92},{\&quot;key\&quot;:\&quot;Merchant\&quot;,\&quot;value\&quot;:\&quot;Cash App Shevon Le\&quot;},{\&quot;key\&quot;:\&quot;Amount $\&quot;,\&quot;value\&quot;:-200},{\&quot;key\&quot;:\&quot;Transaction_ID\&quot;,\&quot;value\&quot;:\&quot;4d92ae5353ab4febb6c11ce74c688cba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91},{\&quot;key\&quot;:\&quot;Merchant\&quot;,\&quot;value\&quot;:\&quot;Venmo\&quot;},{\&quot;key\&quot;:\&quot;Amount $\&quot;,\&quot;value\&quot;:-500},{\&quot;key\&quot;:\&quot;Transaction_ID\&quot;,\&quot;value\&quot;:\&quot;77808329f9af4171888f4f0d2caeed0a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91},{\&quot;key\&quot;:\&quot;Merchant\&quot;,\&quot;value\&quot;:\&quot;Ipanema Cafe\&quot;},{\&quot;key\&quot;:\&quot;Amount $\&quot;,\&quot;value\&quot;:-60},{\&quot;key\&quot;:\&quot;Transaction_ID\&quot;,\&quot;value\&quot;:\&quot;33fcbae988754363805af1fbd6e1156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90},{\&quot;key\&quot;:\&quot;Merchant\&quot;,\&quot;value\&quot;:\&quot;Lyft\&quot;},{\&quot;key\&quot;:\&quot;Amount $\&quot;,\&quot;value\&quot;:-113.96},{\&quot;key\&quot;:\&quot;Transaction_ID\&quot;,\&quot;value\&quot;:\&quot;f2800ed3c50f4c2a89f24520232bd5b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90},{\&quot;key\&quot;:\&quot;Merchant\&quot;,\&quot;value\&quot;:\&quot;Venmo\&quot;},{\&quot;key\&quot;:\&quot;Amount $\&quot;,\&quot;value\&quot;:156.77},{\&quot;key\&quot;:\&quot;Transaction_ID\&quot;,\&quot;value\&quot;:\&quot;bb803d7e899b4e129782aae1394321cf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90},{\&quot;key\&quot;:\&quot;Merchant\&quot;,\&quot;value\&quot;:\&quot;Farm Fresh Richmond\&quot;},{\&quot;key\&quot;:\&quot;Amount $\&quot;,\&quot;value\&quot;:-67.22},{\&quot;key\&quot;:\&quot;Transaction_ID\&quot;,\&quot;value\&quot;:\&quot;7ea89e4489bd4fca8b3a20f85924388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89},{\&quot;key\&quot;:\&quot;Merchant\&quot;,\&quot;value\&quot;:\&quot;Uber\&quot;},{\&quot;key\&quot;:\&quot;Amount $\&quot;,\&quot;value\&quot;:-20},{\&quot;key\&quot;:\&quot;Transaction_ID\&quot;,\&quot;value\&quot;:\&quot;fcdc3527f0d4455da0caa9c90ba0dae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89},{\&quot;key\&quot;:\&quot;Merchant\&quot;,\&quot;value\&quot;:\&quot;Uber\&quot;},{\&quot;key\&quot;:\&quot;Amount $\&quot;,\&quot;value\&quot;:-7.34},{\&quot;key\&quot;:\&quot;Transaction_ID\&quot;,\&quot;value\&quot;:\&quot;ec6efc5f8a9848329107d8f375aab7e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89},{\&quot;key\&quot;:\&quot;Merchant\&quot;,\&quot;value\&quot;:\&quot;Window Tint Specia\&quot;},{\&quot;key\&quot;:\&quot;Amount $\&quot;,\&quot;value\&quot;:-411.99},{\&quot;key\&quot;:\&quot;Transaction_ID\&quot;,\&quot;value\&quot;:\&quot;8ae7b0a1ab344ce5bd3c65fe081f7da0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89},{\&quot;key\&quot;:\&quot;Merchant\&quot;,\&quot;value\&quot;:\&quot;Uber\&quot;},{\&quot;key\&quot;:\&quot;Amount $\&quot;,\&quot;value\&quot;:-16.96},{\&quot;key\&quot;:\&quot;Transaction_ID\&quot;,\&quot;value\&quot;:\&quot;87ab176491bf4c3ea48cfd45893b314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89},{\&quot;key\&quot;:\&quot;Merchant\&quot;,\&quot;value\&quot;:\&quot;Lidl Henrico Va\&quot;},{\&quot;key\&quot;:\&quot;Amount $\&quot;,\&quot;value\&quot;:-6.67},{\&quot;key\&quot;:\&quot;Transaction_ID\&quot;,\&quot;value\&quot;:\&quot;455093cd5e384d42855a2e4b7a647ca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89},{\&quot;key\&quot;:\&quot;Merchant\&quot;,\&quot;value\&quot;:\&quot;Vizmediallc\&quot;},{\&quot;key\&quot;:\&quot;Amount $\&quot;,\&quot;value\&quot;:-1.99},{\&quot;key\&quot;:\&quot;Transaction_ID\&quot;,\&quot;value\&quot;:\&quot;012a88a964a44138995b5c969621088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88},{\&quot;key\&quot;:\&quot;Merchant\&quot;,\&quot;value\&quot;:\&quot;Proper Pie Co Gosq\&quot;},{\&quot;key\&quot;:\&quot;Amount $\&quot;,\&quot;value\&quot;:-16.67},{\&quot;key\&quot;:\&quot;Transaction_ID\&quot;,\&quot;value\&quot;:\&quot;512c1c452949475488f1e74dcda0886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87},{\&quot;key\&quot;:\&quot;Merchant\&quot;,\&quot;value\&quot;:\&quot;Wawa\&quot;},{\&quot;key\&quot;:\&quot;Amount $\&quot;,\&quot;value\&quot;:-8.79},{\&quot;key\&quot;:\&quot;Transaction_ID\&quot;,\&quot;value\&quot;:\&quot;fc04047944e945f88de01ffcbcac613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87},{\&quot;key\&quot;:\&quot;Merchant\&quot;,\&quot;value\&quot;:\&quot;Mike Blendz Barbershop S\&quot;},{\&quot;key\&quot;:\&quot;Amount $\&quot;,\&quot;value\&quot;:-65.15},{\&quot;key\&quot;:\&quot;Transaction_ID\&quot;,\&quot;value\&quot;:\&quot;c1ad4e0cd596446a9369697d0b30f0c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87},{\&quot;key\&quot;:\&quot;Merchant\&quot;,\&quot;value\&quot;:\&quot;Apple Bill Ca Apple\&quot;},{\&quot;key\&quot;:\&quot;Amount $\&quot;,\&quot;value\&quot;:-15.89},{\&quot;key\&quot;:\&quot;Transaction_ID\&quot;,\&quot;value\&quot;:\&quot;4c3380ee877546e299945c28dde5031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87},{\&quot;key\&quot;:\&quot;Merchant\&quot;,\&quot;value\&quot;:\&quot;T Mobile\&quot;},{\&quot;key\&quot;:\&quot;Amount $\&quot;,\&quot;value\&quot;:-86.25},{\&quot;key\&quot;:\&quot;Transaction_ID\&quot;,\&quot;value\&quot;:\&quot;228b68609661417db150a075799fa1d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87},{\&quot;key\&quot;:\&quot;Merchant\&quot;,\&quot;value\&quot;:\&quot;Jeremybusti\&quot;},{\&quot;key\&quot;:\&quot;Amount $\&quot;,\&quot;value\&quot;:-401.51},{\&quot;key\&quot;:\&quot;Transaction_ID\&quot;,\&quot;value\&quot;:\&quot;12253f2c8a024c72b285c2d324b73bf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86},{\&quot;key\&quot;:\&quot;Merchant\&quot;,\&quot;value\&quot;:\&quot;Stitch Fix Inc\&quot;},{\&quot;key\&quot;:\&quot;Amount $\&quot;,\&quot;value\&quot;:-143.24},{\&quot;key\&quot;:\&quot;Transaction_ID\&quot;,\&quot;value\&quot;:\&quot;b5d2d7d33d694070a5d7b2585d731e38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86},{\&quot;key\&quot;:\&quot;Merchant\&quot;,\&quot;value\&quot;:\&quot;Ccbill\&quot;},{\&quot;key\&quot;:\&quot;Amount $\&quot;,\&quot;value\&quot;:-19.99},{\&quot;key\&quot;:\&quot;Transaction_ID\&quot;,\&quot;value\&quot;:\&quot;ab29afaa79ec4152911c58e625a0216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86},{\&quot;key\&quot;:\&quot;Merchant\&quot;,\&quot;value\&quot;:\&quot;Five Guys\&quot;},{\&quot;key\&quot;:\&quot;Amount $\&quot;,\&quot;value\&quot;:-13.12},{\&quot;key\&quot;:\&quot;Transaction_ID\&quot;,\&quot;value\&quot;:\&quot;a411f92e2115452b8f6da09a369291d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86},{\&quot;key\&quot;:\&quot;Merchant\&quot;,\&quot;value\&quot;:\&quot;Publix\&quot;},{\&quot;key\&quot;:\&quot;Amount $\&quot;,\&quot;value\&quot;:-60.82},{\&quot;key\&quot;:\&quot;Transaction_ID\&quot;,\&quot;value\&quot;:\&quot;904b9799f4f7434eb51e12e7e15c671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86},{\&quot;key\&quot;:\&quot;Merchant\&quot;,\&quot;value\&quot;:\&quot;Target\&quot;},{\&quot;key\&quot;:\&quot;Amount $\&quot;,\&quot;value\&quot;:-24.29},{\&quot;key\&quot;:\&quot;Transaction_ID\&quot;,\&quot;value\&quot;:\&quot;86f5ef8a7b2545f2a5379844d137421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86},{\&quot;key\&quot;:\&quot;Merchant\&quot;,\&quot;value\&quot;:\&quot;Ezpassva Auto Replenish\&quot;},{\&quot;key\&quot;:\&quot;Amount $\&quot;,\&quot;value\&quot;:-35},{\&quot;key\&quot;:\&quot;Transaction_ID\&quot;,\&quot;value\&quot;:\&quot;3e376a28aa1c446ebe43830d21f7c38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85},{\&quot;key\&quot;:\&quot;Merchant\&quot;,\&quot;value\&quot;:\&quot;Bp St Bp\&quot;},{\&quot;key\&quot;:\&quot;Amount $\&quot;,\&quot;value\&quot;:-28.1},{\&quot;key\&quot;:\&quot;Transaction_ID\&quot;,\&quot;value\&quot;:\&quot;c0eaa0a8cb8145b4acc587ee842ff5f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85},{\&quot;key\&quot;:\&quot;Merchant\&quot;,\&quot;value\&quot;:\&quot;Lyft\&quot;},{\&quot;key\&quot;:\&quot;Amount $\&quot;,\&quot;value\&quot;:-27.68},{\&quot;key\&quot;:\&quot;Transaction_ID\&quot;,\&quot;value\&quot;:\&quot;9eb51fb7e7fe4479972498dbf16cc21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84},{\&quot;key\&quot;:\&quot;Merchant\&quot;,\&quot;value\&quot;:\&quot;Ccbill\&quot;},{\&quot;key\&quot;:\&quot;Amount $\&quot;,\&quot;value\&quot;:-15},{\&quot;key\&quot;:\&quot;Transaction_ID\&quot;,\&quot;value\&quot;:\&quot;a81f6b75c2b746bba2e3adf19e592d7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84},{\&quot;key\&quot;:\&quot;Merchant\&quot;,\&quot;value\&quot;:\&quot;American Family Fit Shor\&quot;},{\&quot;key\&quot;:\&quot;Amount $\&quot;,\&quot;value\&quot;:-94.95},{\&quot;key\&quot;:\&quot;Transaction_ID\&quot;,\&quot;value\&quot;:\&quot;3d0aae856852449ebf5876258d83365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84},{\&quot;key\&quot;:\&quot;Merchant\&quot;,\&quot;value\&quot;:\&quot;Best Buy\&quot;},{\&quot;key\&quot;:\&quot;Amount $\&quot;,\&quot;value\&quot;:-95.38},{\&quot;key\&quot;:\&quot;Transaction_ID\&quot;,\&quot;value\&quot;:\&quot;1fa73f89e5be4449823810217a534231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84},{\&quot;key\&quot;:\&quot;Merchant\&quot;,\&quot;value\&quot;:\&quot;Men's Wearhouse\&quot;},{\&quot;key\&quot;:\&quot;Amount $\&quot;,\&quot;value\&quot;:-382.98},{\&quot;key\&quot;:\&quot;Transaction_ID\&quot;,\&quot;value\&quot;:\&quot;02ff5d14284d485592eacf292f9c4c9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83},{\&quot;key\&quot;:\&quot;Merchant\&quot;,\&quot;value\&quot;:\&quot;Online Payment Deerfield Il\&quot;},{\&quot;key\&quot;:\&quot;Amount $\&quot;,\&quot;value\&quot;:95.38},{\&quot;key\&quot;:\&quot;Transaction_ID\&quot;,\&quot;value\&quot;:\&quot;d1563ed8585b4f5ea8d407ceb4b0cf61\&quot;},{\&quot;key\&quot;:\&quot;Account_ID\&quot;,\&quot;value\&quot;:\&quot;a82d9aba872e4e9b9684a363d4cc52b5\&quot;},{\&quot;key\&quot;:\&quot;Category_ID\&quot;,\&quot;value\&quot;:\&quot;3dafc6bd8d7c45ae9840ff09e01567d1\&quot;},{\&quot;key\&quot;:\&quot;Subcategory_ID\&quot;,\&quot;value\&quot;:\&quot;\&quot;}],[{\&quot;key\&quot;:\&quot;Date\&quot;,\&quot;value\&quot;:44383},{\&quot;key\&quot;:\&quot;Merchant\&quot;,\&quot;value\&quot;:\&quot;Discover E Payment Lewis\&quot;},{\&quot;key\&quot;:\&quot;Amount $\&quot;,\&quot;value\&quot;:-367.73},{\&quot;key\&quot;:\&quot;Transaction_ID\&quot;,\&quot;value\&quot;:\&quot;90cc0de538c4475996f31c0376c0788c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83},{\&quot;key\&quot;:\&quot;Merchant\&quot;,\&quot;value\&quot;:\&quot;Discover E Payment Lewis\&quot;},{\&quot;key\&quot;:\&quot;Amount $\&quot;,\&quot;value\&quot;:-1854.26},{\&quot;key\&quot;:\&quot;Transaction_ID\&quot;,\&quot;value\&quot;:\&quot;63c28eddd1a44376bd645c493330d73f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83},{\&quot;key\&quot;:\&quot;Merchant\&quot;,\&quot;value\&quot;:\&quot;Pho Que Huong Numb\&quot;},{\&quot;key\&quot;:\&quot;Amount $\&quot;,\&quot;value\&quot;:-30},{\&quot;key\&quot;:\&quot;Transaction_ID\&quot;,\&quot;value\&quot;:\&quot;5c6dc9b9f7f64f32b803d2fe19aeadbc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83},{\&quot;key\&quot;:\&quot;Merchant\&quot;,\&quot;value\&quot;:\&quot;Venmo\&quot;},{\&quot;key\&quot;:\&quot;Amount $\&quot;,\&quot;value\&quot;:1076.88},{\&quot;key\&quot;:\&quot;Transaction_ID\&quot;,\&quot;value\&quot;:\&quot;383bb37e5f6f464097857fd0a58a1a6f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83},{\&quot;key\&quot;:\&quot;Merchant\&quot;,\&quot;value\&quot;:\&quot;Venmo\&quot;},{\&quot;key\&quot;:\&quot;Amount $\&quot;,\&quot;value\&quot;:-32},{\&quot;key\&quot;:\&quot;Transaction_ID\&quot;,\&quot;value\&quot;:\&quot;058405cb56a14037b17244481d750572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82},{\&quot;key\&quot;:\&quot;Merchant\&quot;,\&quot;value\&quot;:\&quot;Safeway\&quot;},{\&quot;key\&quot;:\&quot;Amount $\&quot;,\&quot;value\&quot;:-32.33},{\&quot;key\&quot;:\&quot;Transaction_ID\&quot;,\&quot;value\&quot;:\&quot;f41c8ff4dc2c44369dfda90313a5743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82},{\&quot;key\&quot;:\&quot;Merchant\&quot;,\&quot;value\&quot;:\&quot;Aldi\&quot;},{\&quot;key\&quot;:\&quot;Amount $\&quot;,\&quot;value\&quot;:-26.66},{\&quot;key\&quot;:\&quot;Transaction_ID\&quot;,\&quot;value\&quot;:\&quot;b8a46b7d8d624e4d80be428ce926aecc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82},{\&quot;key\&quot;:\&quot;Merchant\&quot;,\&quot;value\&quot;:\&quot;Mcdonald's\&quot;},{\&quot;key\&quot;:\&quot;Amount $\&quot;,\&quot;value\&quot;:-10.9},{\&quot;key\&quot;:\&quot;Transaction_ID\&quot;,\&quot;value\&quot;:\&quot;9ebf646ad1944ead8e3fb630e44955a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82},{\&quot;key\&quot;:\&quot;Merchant\&quot;,\&quot;value\&quot;:\&quot;Micro Center Fairfax\&quot;},{\&quot;key\&quot;:\&quot;Amount $\&quot;,\&quot;value\&quot;:190.79},{\&quot;key\&quot;:\&quot;Transaction_ID\&quot;,\&quot;value\&quot;:\&quot;9430adae7f024fc8b57077933a43575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82},{\&quot;key\&quot;:\&quot;Merchant\&quot;,\&quot;value\&quot;:\&quot;Kroger\&quot;},{\&quot;key\&quot;:\&quot;Amount $\&quot;,\&quot;value\&quot;:-35.7},{\&quot;key\&quot;:\&quot;Transaction_ID\&quot;,\&quot;value\&quot;:\&quot;45d8a2fb053944589137ace3c0d5c304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82},{\&quot;key\&quot;:\&quot;Merchant\&quot;,\&quot;value\&quot;:\&quot;Internet Payment\&quot;},{\&quot;key\&quot;:\&quot;Amount $\&quot;,\&quot;value\&quot;:367.73},{\&quot;key\&quot;:\&quot;Transaction_ID\&quot;,\&quot;value\&quot;:\&quot;2bf5859887094952bef948f355177f1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82},{\&quot;key\&quot;:\&quot;Merchant\&quot;,\&quot;value\&quot;:\&quot;Uber\&quot;},{\&quot;key\&quot;:\&quot;Amount $\&quot;,\&quot;value\&quot;:-48.99},{\&quot;key\&quot;:\&quot;Transaction_ID\&quot;,\&quot;value\&quot;:\&quot;14944870436747ada182b2d303b2c7f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81},{\&quot;key\&quot;:\&quot;Merchant\&quot;,\&quot;value\&quot;:\&quot;Mta Nyct Paygo New\&quot;},{\&quot;key\&quot;:\&quot;Amount $\&quot;,\&quot;value\&quot;:-2.75},{\&quot;key\&quot;:\&quot;Transaction_ID\&quot;,\&quot;value\&quot;:\&quot;ca7bd8a5f5c541f5873eb2f8a6dba5b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81},{\&quot;key\&quot;:\&quot;Merchant\&quot;,\&quot;value\&quot;:\&quot;Internet Payment\&quot;},{\&quot;key\&quot;:\&quot;Amount $\&quot;,\&quot;value\&quot;:1854.26},{\&quot;key\&quot;:\&quot;Transaction_ID\&quot;,\&quot;value\&quot;:\&quot;8c9e88ab1a1342febd3f1c62dfbfd45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81},{\&quot;key\&quot;:\&quot;Merchant\&quot;,\&quot;value\&quot;:\&quot;Lyft\&quot;},{\&quot;key\&quot;:\&quot;Amount $\&quot;,\&quot;value\&quot;:-78.17},{\&quot;key\&quot;:\&quot;Transaction_ID\&quot;,\&quot;value\&quot;:\&quot;7610164cec9545c196e1ddc1a86bed9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81},{\&quot;key\&quot;:\&quot;Merchant\&quot;,\&quot;value\&quot;:\&quot;Mta Nyct Paygo New\&quot;},{\&quot;key\&quot;:\&quot;Amount $\&quot;,\&quot;value\&quot;:-2.75},{\&quot;key\&quot;:\&quot;Transaction_ID\&quot;,\&quot;value\&quot;:\&quot;684bb11cb6464529acbe84c17488adf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81},{\&quot;key\&quot;:\&quot;Merchant\&quot;,\&quot;value\&quot;:\&quot;Mta Nyct Paygo New\&quot;},{\&quot;key\&quot;:\&quot;Amount $\&quot;,\&quot;value\&quot;:-2.75},{\&quot;key\&quot;:\&quot;Transaction_ID\&quot;,\&quot;value\&quot;:\&quot;5c8cf120e90a467590fe61929cfcda2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81},{\&quot;key\&quot;:\&quot;Merchant\&quot;,\&quot;value\&quot;:\&quot;Mta Nyct Paygo New\&quot;},{\&quot;key\&quot;:\&quot;Amount $\&quot;,\&quot;value\&quot;:-2.75},{\&quot;key\&quot;:\&quot;Transaction_ID\&quot;,\&quot;value\&quot;:\&quot;5bade68da73d4532997c29850792713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81},{\&quot;key\&quot;:\&quot;Merchant\&quot;,\&quot;value\&quot;:\&quot;Elsewhere Brooklyn Ny\&quot;},{\&quot;key\&quot;:\&quot;Amount $\&quot;,\&quot;value\&quot;:-51.44},{\&quot;key\&quot;:\&quot;Transaction_ID\&quot;,\&quot;value\&quot;:\&quot;43fbd8aeb0514ce1914469c17efe1c7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81},{\&quot;key\&quot;:\&quot;Merchant\&quot;,\&quot;value\&quot;:\&quot;Milo S Yard\&quot;},{\&quot;key\&quot;:\&quot;Amount $\&quot;,\&quot;value\&quot;:-37.62},{\&quot;key\&quot;:\&quot;Transaction_ID\&quot;,\&quot;value\&quot;:\&quot;283e9431fce94bf78b0d0a7c3e076cb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80},{\&quot;key\&quot;:\&quot;Merchant\&quot;,\&quot;value\&quot;:\&quot;Hulu\&quot;},{\&quot;key\&quot;:\&quot;Amount $\&quot;,\&quot;value\&quot;:-11.99},{\&quot;key\&quot;:\&quot;Transaction_ID\&quot;,\&quot;value\&quot;:\&quot;e230a97268f44d829a8081b3a044d1a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80},{\&quot;key\&quot;:\&quot;Merchant\&quot;,\&quot;value\&quot;:\&quot;State Farm\&quot;},{\&quot;key\&quot;:\&quot;Amount $\&quot;,\&quot;value\&quot;:-92.07},{\&quot;key\&quot;:\&quot;Transaction_ID\&quot;,\&quot;value\&quot;:\&quot;ca39b50ace0f4e7a89b3073ca5fa970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80},{\&quot;key\&quot;:\&quot;Merchant\&quot;,\&quot;value\&quot;:\&quot;Mta Nyct Paygo Recover\&quot;},{\&quot;key\&quot;:\&quot;Amount $\&quot;,\&quot;value\&quot;:-2.75},{\&quot;key\&quot;:\&quot;Transaction_ID\&quot;,\&quot;value\&quot;:\&quot;c7ac6d1b341f401698093fa390b8145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80},{\&quot;key\&quot;:\&quot;Merchant\&quot;,\&quot;value\&quot;:\&quot;Lyft\&quot;},{\&quot;key\&quot;:\&quot;Amount $\&quot;,\&quot;value\&quot;:-62.54},{\&quot;key\&quot;:\&quot;Transaction_ID\&quot;,\&quot;value\&quot;:\&quot;b26593e891364d6eaaab3cb2051c4f5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80},{\&quot;key\&quot;:\&quot;Merchant\&quot;,\&quot;value\&quot;:\&quot;Mta Nyct Paygo New\&quot;},{\&quot;key\&quot;:\&quot;Amount $\&quot;,\&quot;value\&quot;:-2.75},{\&quot;key\&quot;:\&quot;Transaction_ID\&quot;,\&quot;value\&quot;:\&quot;a5b5bdd4a7054c9db74afcf3b6a9c9e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80},{\&quot;key\&quot;:\&quot;Merchant\&quot;,\&quot;value\&quot;:\&quot;Mta Nyct Paygo New\&quot;},{\&quot;key\&quot;:\&quot;Amount $\&quot;,\&quot;value\&quot;:-2.75},{\&quot;key\&quot;:\&quot;Transaction_ID\&quot;,\&quot;value\&quot;:\&quot;3f7dd4320c944ef2a7217520d3c0f6f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80},{\&quot;key\&quot;:\&quot;Merchant\&quot;,\&quot;value\&quot;:\&quot;Mta Nyct Paygo New\&quot;},{\&quot;key\&quot;:\&quot;Amount $\&quot;,\&quot;value\&quot;:-2.75},{\&quot;key\&quot;:\&quot;Transaction_ID\&quot;,\&quot;value\&quot;:\&quot;192c83143cbe4e269cc3731d4cc6a2b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80},{\&quot;key\&quot;:\&quot;Merchant\&quot;,\&quot;value\&quot;:\&quot;Mta Nyct Paygo New\&quot;},{\&quot;key\&quot;:\&quot;Amount $\&quot;,\&quot;value\&quot;:-2.75},{\&quot;key\&quot;:\&quot;Transaction_ID\&quot;,\&quot;value\&quot;:\&quot;02764460b0264b30bdfcb092e376054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80},{\&quot;key\&quot;:\&quot;Merchant\&quot;,\&quot;value\&quot;:\&quot;Uq Atlantic Term\&quot;},{\&quot;key\&quot;:\&quot;Amount $\&quot;,\&quot;value\&quot;:-29.9},{\&quot;key\&quot;:\&quot;Transaction_ID\&quot;,\&quot;value\&quot;:\&quot;020b22b00c1a4865a3513f9e44cb987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79},{\&quot;key\&quot;:\&quot;Merchant\&quot;,\&quot;value\&quot;:\&quot;Mta Nyct Paygo New\&quot;},{\&quot;key\&quot;:\&quot;Amount $\&quot;,\&quot;value\&quot;:-2.75},{\&quot;key\&quot;:\&quot;Transaction_ID\&quot;,\&quot;value\&quot;:\&quot;f0dbb20d7605401c9123c796f67e870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79},{\&quot;key\&quot;:\&quot;Merchant\&quot;,\&quot;value\&quot;:\&quot;Krystal And Saagar\&quot;},{\&quot;key\&quot;:\&quot;Amount $\&quot;,\&quot;value\&quot;:-10},{\&quot;key\&quot;:\&quot;Transaction_ID\&quot;,\&quot;value\&quot;:\&quot;d3962b29b6104d9d8817688969d3474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79},{\&quot;key\&quot;:\&quot;Merchant\&quot;,\&quot;value\&quot;:\&quot;Bergen Bagel\&quot;},{\&quot;key\&quot;:\&quot;Amount $\&quot;,\&quot;value\&quot;:-13.88},{\&quot;key\&quot;:\&quot;Transaction_ID\&quot;,\&quot;value\&quot;:\&quot;ad4d2dfd229a4e77822853559c54e55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79},{\&quot;key\&quot;:\&quot;Merchant\&quot;,\&quot;value\&quot;:\&quot;Rocky Deli Grocery\&quot;},{\&quot;key\&quot;:\&quot;Amount $\&quot;,\&quot;value\&quot;:-9.36},{\&quot;key\&quot;:\&quot;Transaction_ID\&quot;,\&quot;value\&quot;:\&quot;a8bc75ccb71542c8bc2d1a3031f7b3f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79},{\&quot;key\&quot;:\&quot;Merchant\&quot;,\&quot;value\&quot;:\&quot;Uq Atlantic Term\&quot;},{\&quot;key\&quot;:\&quot;Amount $\&quot;,\&quot;value\&quot;:-199.4},{\&quot;key\&quot;:\&quot;Transaction_ID\&quot;,\&quot;value\&quot;:\&quot;77c792dd2ba34fae8df879b34c31e68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79},{\&quot;key\&quot;:\&quot;Merchant\&quot;,\&quot;value\&quot;:\&quot;Applebee's\&quot;},{\&quot;key\&quot;:\&quot;Amount $\&quot;,\&quot;value\&quot;:-71.78},{\&quot;key\&quot;:\&quot;Transaction_ID\&quot;,\&quot;value\&quot;:\&quot;74092298252f4ad68d400b0ee34e3b2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79},{\&quot;key\&quot;:\&quot;Merchant\&quot;,\&quot;value\&quot;:\&quot;East 7Th Deli &amp;\&quot;},{\&quot;key\&quot;:\&quot;Amount $\&quot;,\&quot;value\&quot;:-6.24},{\&quot;key\&quot;:\&quot;Transaction_ID\&quot;,\&quot;value\&quot;:\&quot;482c7f5cf3e342f2985c8af2400d146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79},{\&quot;key\&quot;:\&quot;Merchant\&quot;,\&quot;value\&quot;:\&quot;The Summit Bar\&quot;},{\&quot;key\&quot;:\&quot;Amount $\&quot;,\&quot;value\&quot;:-222.5},{\&quot;key\&quot;:\&quot;Transaction_ID\&quot;,\&quot;value\&quot;:\&quot;3cf158f7a6c8469c863e31ad84ab0008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79},{\&quot;key\&quot;:\&quot;Merchant\&quot;,\&quot;value\&quot;:\&quot;Mta Nyct Paygo New\&quot;},{\&quot;key\&quot;:\&quot;Amount $\&quot;,\&quot;value\&quot;:-2.75},{\&quot;key\&quot;:\&quot;Transaction_ID\&quot;,\&quot;value\&quot;:\&quot;3adde19609ac42ceb4cb3c32583f24f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79},{\&quot;key\&quot;:\&quot;Merchant\&quot;,\&quot;value\&quot;:\&quot;Mta Metrocard Machine New\&quot;},{\&quot;key\&quot;:\&quot;Amount $\&quot;,\&quot;value\&quot;:-3},{\&quot;key\&quot;:\&quot;Transaction_ID\&quot;,\&quot;value\&quot;:\&quot;12ffc806fbf84a98b236e64859fe7b0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79},{\&quot;key\&quot;:\&quot;Merchant\&quot;,\&quot;value\&quot;:\&quot;Uq Atlantic Term\&quot;},{\&quot;key\&quot;:\&quot;Amount $\&quot;,\&quot;value\&quot;:129.7},{\&quot;key\&quot;:\&quot;Transaction_ID\&quot;,\&quot;value\&quot;:\&quot;0eb6f728a78b40da8e331348a9899cc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78},{\&quot;key\&quot;:\&quot;Merchant\&quot;,\&quot;value\&quot;:\&quot;Discover E Payment Lewis\&quot;},{\&quot;key\&quot;:\&quot;Amount $\&quot;,\&quot;value\&quot;:-871.96},{\&quot;key\&quot;:\&quot;Transaction_ID\&quot;,\&quot;value\&quot;:\&quot;6ec94f3e3b9546acb9f4b5f49978ee7a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78},{\&quot;key\&quot;:\&quot;Merchant\&quot;,\&quot;value\&quot;:\&quot;Airbnb Ydhf\&quot;},{\&quot;key\&quot;:\&quot;Amount $\&quot;,\&quot;value\&quot;:-1380.63},{\&quot;key\&quot;:\&quot;Transaction_ID\&quot;,\&quot;value\&quot;:\&quot;577cf29891ca4e419cb5e94a7c12316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78},{\&quot;key\&quot;:\&quot;Merchant\&quot;,\&quot;value\&quot;:\&quot;Spotify\&quot;},{\&quot;key\&quot;:\&quot;Amount $\&quot;,\&quot;value\&quot;:-9.99},{\&quot;key\&quot;:\&quot;Transaction_ID\&quot;,\&quot;value\&quot;:\&quot;55e176cc347642f7b9569e4b9e014e8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78},{\&quot;key\&quot;:\&quot;Merchant\&quot;,\&quot;value\&quot;:\&quot;Uq Atlantic Term\&quot;},{\&quot;key\&quot;:\&quot;Amount $\&quot;,\&quot;value\&quot;:-129.8},{\&quot;key\&quot;:\&quot;Transaction_ID\&quot;,\&quot;value\&quot;:\&quot;3f359fecb4974bedb8a9093e1f0167e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78},{\&quot;key\&quot;:\&quot;Merchant\&quot;,\&quot;value\&quot;:\&quot;Saraghina\&quot;},{\&quot;key\&quot;:\&quot;Amount $\&quot;,\&quot;value\&quot;:-220},{\&quot;key\&quot;:\&quot;Transaction_ID\&quot;,\&quot;value\&quot;:\&quot;1212be187999478eb8c9b02fcdf93ed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78},{\&quot;key\&quot;:\&quot;Merchant\&quot;,\&quot;value\&quot;:\&quot;Nationwide Payroll Sean Lewis\&quot;},{\&quot;key\&quot;:\&quot;Amount $\&quot;,\&quot;value\&quot;:1583.62},{\&quot;key\&quot;:\&quot;Transaction_ID\&quot;,\&quot;value\&quot;:\&quot;0e3926f939884f58bd650b5ffdb96b8f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78},{\&quot;key\&quot;:\&quot;Merchant\&quot;,\&quot;value\&quot;:\&quot;Internet Payment\&quot;},{\&quot;key\&quot;:\&quot;Amount $\&quot;,\&quot;value\&quot;:871.96},{\&quot;key\&quot;:\&quot;Transaction_ID\&quot;,\&quot;value\&quot;:\&quot;0d4268b661f2425da3fc59dc3134ac7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77},{\&quot;key\&quot;:\&quot;Merchant\&quot;,\&quot;value\&quot;:\&quot;Fresh Vegetables Fish\&quot;},{\&quot;key\&quot;:\&quot;Amount $\&quot;,\&quot;value\&quot;:-6.34},{\&quot;key\&quot;:\&quot;Transaction_ID\&quot;,\&quot;value\&quot;:\&quot;30fe5f845a214d51889ade25b2d0904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77},{\&quot;key\&quot;:\&quot;Merchant\&quot;,\&quot;value\&quot;:\&quot;New Manchester F Web\&quot;},{\&quot;key\&quot;:\&quot;Amount $\&quot;,\&quot;value\&quot;:-1804.34},{\&quot;key\&quot;:\&quot;Transaction_ID\&quot;,\&quot;value\&quot;:\&quot;2d7d57737e884cbb84f900c385231627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76},{\&quot;key\&quot;:\&quot;Merchant\&quot;,\&quot;value\&quot;:\&quot;Premier Food Fresh Marke\&quot;},{\&quot;key\&quot;:\&quot;Amount $\&quot;,\&quot;value\&quot;:-43.54},{\&quot;key\&quot;:\&quot;Transaction_ID\&quot;,\&quot;value\&quot;:\&quot;c167f8bc1b3c4c89a513d3f3e9f25bc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76},{\&quot;key\&quot;:\&quot;Merchant\&quot;,\&quot;value\&quot;:\&quot;Mta Nyct Paygo New\&quot;},{\&quot;key\&quot;:\&quot;Amount $\&quot;,\&quot;value\&quot;:-2.75},{\&quot;key\&quot;:\&quot;Transaction_ID\&quot;,\&quot;value\&quot;:\&quot;558b5c4ca6004537b02e3577e628c5d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76},{\&quot;key\&quot;:\&quot;Merchant\&quot;,\&quot;value\&quot;:\&quot;Mta Nyct Paygo New\&quot;},{\&quot;key\&quot;:\&quot;Amount $\&quot;,\&quot;value\&quot;:-2.75},{\&quot;key\&quot;:\&quot;Transaction_ID\&quot;,\&quot;value\&quot;:\&quot;16bd046748ed4c9ea5f3bb20cdce162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75},{\&quot;key\&quot;:\&quot;Merchant\&quot;,\&quot;value\&quot;:\&quot;Sweet Chick\&quot;},{\&quot;key\&quot;:\&quot;Amount $\&quot;,\&quot;value\&quot;:-52.02},{\&quot;key\&quot;:\&quot;Transaction_ID\&quot;,\&quot;value\&quot;:\&quot;ef48a98ca55a40f1bee88ee9ff9c02d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75},{\&quot;key\&quot;:\&quot;Merchant\&quot;,\&quot;value\&quot;:\&quot;Mta Nyct Paygo New\&quot;},{\&quot;key\&quot;:\&quot;Amount $\&quot;,\&quot;value\&quot;:-2.75},{\&quot;key\&quot;:\&quot;Transaction_ID\&quot;,\&quot;value\&quot;:\&quot;c7c361ec903841f197e09c0f171961f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75},{\&quot;key\&quot;:\&quot;Merchant\&quot;,\&quot;value\&quot;:\&quot;Electronics R Us\&quot;},{\&quot;key\&quot;:\&quot;Amount $\&quot;,\&quot;value\&quot;:-21.77},{\&quot;key\&quot;:\&quot;Transaction_ID\&quot;,\&quot;value\&quot;:\&quot;a2ae365f790d4b10a8f6ce5a2268e87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75},{\&quot;key\&quot;:\&quot;Merchant\&quot;,\&quot;value\&quot;:\&quot;Lyft\&quot;},{\&quot;key\&quot;:\&quot;Amount $\&quot;,\&quot;value\&quot;:-5.38},{\&quot;key\&quot;:\&quot;Transaction_ID\&quot;,\&quot;value\&quot;:\&quot;7d01a6001dad4144ab1517514b340a8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75},{\&quot;key\&quot;:\&quot;Merchant\&quot;,\&quot;value\&quot;:\&quot;Amazon\&quot;},{\&quot;key\&quot;:\&quot;Amount $\&quot;,\&quot;value\&quot;:55.11},{\&quot;key\&quot;:\&quot;Transaction_ID\&quot;,\&quot;value\&quot;:\&quot;15a2dd4ac2cf4f9e830ee002d607253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74},{\&quot;key\&quot;:\&quot;Merchant\&quot;,\&quot;value\&quot;:\&quot;Mta Nyct Paygo New\&quot;},{\&quot;key\&quot;:\&quot;Amount $\&quot;,\&quot;value\&quot;:-2.75},{\&quot;key\&quot;:\&quot;Transaction_ID\&quot;,\&quot;value\&quot;:\&quot;99be48b6138b47a4be634e348c0c2e1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74},{\&quot;key\&quot;:\&quot;Merchant\&quot;,\&quot;value\&quot;:\&quot;City Fresh Market Place\&quot;},{\&quot;key\&quot;:\&quot;Amount $\&quot;,\&quot;value\&quot;:-3.99},{\&quot;key\&quot;:\&quot;Transaction_ID\&quot;,\&quot;value\&quot;:\&quot;4588dfae9c9b48d78487f0afd77cc3a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74},{\&quot;key\&quot;:\&quot;Merchant\&quot;,\&quot;value\&quot;:\&quot;Ccbill\&quot;},{\&quot;key\&quot;:\&quot;Amount $\&quot;,\&quot;value\&quot;:-10},{\&quot;key\&quot;:\&quot;Transaction_ID\&quot;,\&quot;value\&quot;:\&quot;3493b24efdfd41cab4873e46856508f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74},{\&quot;key\&quot;:\&quot;Merchant\&quot;,\&quot;value\&quot;:\&quot;Sunac Food Market\&quot;},{\&quot;key\&quot;:\&quot;Amount $\&quot;,\&quot;value\&quot;:-10.25},{\&quot;key\&quot;:\&quot;Transaction_ID\&quot;,\&quot;value\&quot;:\&quot;2e619185741d460a8143951e6dfedbd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74},{\&quot;key\&quot;:\&quot;Merchant\&quot;,\&quot;value\&quot;:\&quot;Mta Nyct Paygo New\&quot;},{\&quot;key\&quot;:\&quot;Amount $\&quot;,\&quot;value\&quot;:-2.75},{\&quot;key\&quot;:\&quot;Transaction_ID\&quot;,\&quot;value\&quot;:\&quot;16ffdc684db742d2a65d72598b1bc7d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74},{\&quot;key\&quot;:\&quot;Merchant\&quot;,\&quot;value\&quot;:\&quot;Couplecents\&quot;},{\&quot;key\&quot;:\&quot;Amount $\&quot;,\&quot;value\&quot;:-9.99},{\&quot;key\&quot;:\&quot;Transaction_ID\&quot;,\&quot;value\&quot;:\&quot;054ded36c75b4328b0516c48b918202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73},{\&quot;key\&quot;:\&quot;Merchant\&quot;,\&quot;value\&quot;:\&quot;Mta Nyct Paygo New\&quot;},{\&quot;key\&quot;:\&quot;Amount $\&quot;,\&quot;value\&quot;:-2.75},{\&quot;key\&quot;:\&quot;Transaction_ID\&quot;,\&quot;value\&quot;:\&quot;99b1608bdb35400f87b38fdb17b5e90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73},{\&quot;key\&quot;:\&quot;Merchant\&quot;,\&quot;value\&quot;:\&quot;Amazon\&quot;},{\&quot;key\&quot;:\&quot;Amount $\&quot;,\&quot;value\&quot;:5.4},{\&quot;key\&quot;:\&quot;Transaction_ID\&quot;,\&quot;value\&quot;:\&quot;853d3e47b25048cb8dd06e8b44b5aa9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73},{\&quot;key\&quot;:\&quot;Merchant\&quot;,\&quot;value\&quot;:\&quot;Dunkin' Donuts\&quot;},{\&quot;key\&quot;:\&quot;Amount $\&quot;,\&quot;value\&quot;:-9.07},{\&quot;key\&quot;:\&quot;Transaction_ID\&quot;,\&quot;value\&quot;:\&quot;65827ddf688a45b883907e101272e3d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73},{\&quot;key\&quot;:\&quot;Merchant\&quot;,\&quot;value\&quot;:\&quot;Mta Nyct Paygo New\&quot;},{\&quot;key\&quot;:\&quot;Amount $\&quot;,\&quot;value\&quot;:-2.75},{\&quot;key\&quot;:\&quot;Transaction_ID\&quot;,\&quot;value\&quot;:\&quot;1014094d54284432a47129b2cc95436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72},{\&quot;key\&quot;:\&quot;Merchant\&quot;,\&quot;value\&quot;:\&quot;Mcdonald's\&quot;},{\&quot;key\&quot;:\&quot;Amount $\&quot;,\&quot;value\&quot;:-8.63},{\&quot;key\&quot;:\&quot;Transaction_ID\&quot;,\&quot;value\&quot;:\&quot;e27999ecc3ee48f5b9a7ac37c4fcb32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72},{\&quot;key\&quot;:\&quot;Merchant\&quot;,\&quot;value\&quot;:\&quot;Micro Center Fairfax\&quot;},{\&quot;key\&quot;:\&quot;Amount $\&quot;,\&quot;value\&quot;:-268.15},{\&quot;key\&quot;:\&quot;Transaction_ID\&quot;,\&quot;value\&quot;:\&quot;93acab2e1af14e6a992a0383fa41e04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72},{\&quot;key\&quot;:\&quot;Merchant\&quot;,\&quot;value\&quot;:\&quot;Amazon\&quot;},{\&quot;key\&quot;:\&quot;Amount $\&quot;,\&quot;value\&quot;:-55.11},{\&quot;key\&quot;:\&quot;Transaction_ID\&quot;,\&quot;value\&quot;:\&quot;4d44ce88dad144018d12cf67c654f83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71},{\&quot;key\&quot;:\&quot;Merchant\&quot;,\&quot;value\&quot;:\&quot;Mike Blendz Barbershop S\&quot;},{\&quot;key\&quot;:\&quot;Amount $\&quot;,\&quot;value\&quot;:-88.85},{\&quot;key\&quot;:\&quot;Transaction_ID\&quot;,\&quot;value\&quot;:\&quot;fef9cb253fc14100bb67c5f1a964788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71},{\&quot;key\&quot;:\&quot;Merchant\&quot;,\&quot;value\&quot;:\&quot;Kroger\&quot;},{\&quot;key\&quot;:\&quot;Amount $\&quot;,\&quot;value\&quot;:-36.52},{\&quot;key\&quot;:\&quot;Transaction_ID\&quot;,\&quot;value\&quot;:\&quot;c6cbccb5fa2546c7b608100dbd6a4af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70},{\&quot;key\&quot;:\&quot;Merchant\&quot;,\&quot;value\&quot;:\&quot;Discover E Payment Lewis\&quot;},{\&quot;key\&quot;:\&quot;Amount $\&quot;,\&quot;value\&quot;:-1869},{\&quot;key\&quot;:\&quot;Transaction_ID\&quot;,\&quot;value\&quot;:\&quot;d5113ac04e4142699ec4bd2e2ea874f9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70},{\&quot;key\&quot;:\&quot;Merchant\&quot;,\&quot;value\&quot;:\&quot;Principal Trust Dr Cr\&quot;},{\&quot;key\&quot;:\&quot;Amount $\&quot;,\&quot;value\&quot;:198.46},{\&quot;key\&quot;:\&quot;Transaction_ID\&quot;,\&quot;value\&quot;:\&quot;6130e14e0e474f02941e8131f1b14e42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70},{\&quot;key\&quot;:\&quot;Merchant\&quot;,\&quot;value\&quot;:\&quot;New York Deli\&quot;},{\&quot;key\&quot;:\&quot;Amount $\&quot;,\&quot;value\&quot;:-22},{\&quot;key\&quot;:\&quot;Transaction_ID\&quot;,\&quot;value\&quot;:\&quot;302a5914437446e4a7747ceb31ccabd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70},{\&quot;key\&quot;:\&quot;Merchant\&quot;,\&quot;value\&quot;:\&quot;Tio Pablo Taq\&quot;},{\&quot;key\&quot;:\&quot;Amount $\&quot;,\&quot;value\&quot;:-58.57},{\&quot;key\&quot;:\&quot;Transaction_ID\&quot;,\&quot;value\&quot;:\&quot;0f573912367c4a60a50639924d28f94b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70},{\&quot;key\&quot;:\&quot;Merchant\&quot;,\&quot;value\&quot;:\&quot;Internet Payment\&quot;},{\&quot;key\&quot;:\&quot;Amount $\&quot;,\&quot;value\&quot;:1869},{\&quot;key\&quot;:\&quot;Transaction_ID\&quot;,\&quot;value\&quot;:\&quot;002f14ca79fd4647b57a8ee9cc301ad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69},{\&quot;key\&quot;:\&quot;Merchant\&quot;,\&quot;value\&quot;:\&quot;Ezpassva Auto Replenish\&quot;},{\&quot;key\&quot;:\&quot;Amount $\&quot;,\&quot;value\&quot;:-35},{\&quot;key\&quot;:\&quot;Transaction_ID\&quot;,\&quot;value\&quot;:\&quot;f71847fa52be482f991f4cd5a8b90f2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69},{\&quot;key\&quot;:\&quot;Merchant\&quot;,\&quot;value\&quot;:\&quot;Stitch Fix Stylin\&quot;},{\&quot;key\&quot;:\&quot;Amount $\&quot;,\&quot;value\&quot;:-20},{\&quot;key\&quot;:\&quot;Transaction_ID\&quot;,\&quot;value\&quot;:\&quot;c6c39d03bf404020bce4f9a4c8198c93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69},{\&quot;key\&quot;:\&quot;Merchant\&quot;,\&quot;value\&quot;:\&quot;Datacampinc\&quot;},{\&quot;key\&quot;:\&quot;Amount $\&quot;,\&quot;value\&quot;:-199},{\&quot;key\&quot;:\&quot;Transaction_ID\&quot;,\&quot;value\&quot;:\&quot;89744a12443348c69ee503562828d2e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68},{\&quot;key\&quot;:\&quot;Merchant\&quot;,\&quot;value\&quot;:\&quot;Amazon\&quot;},{\&quot;key\&quot;:\&quot;Amount $\&quot;,\&quot;value\&quot;:-5.4},{\&quot;key\&quot;:\&quot;Transaction_ID\&quot;,\&quot;value\&quot;:\&quot;f7fdd62c3aaf457f909280e906c3316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68},{\&quot;key\&quot;:\&quot;Merchant\&quot;,\&quot;value\&quot;:\&quot;Mcdonald's\&quot;},{\&quot;key\&quot;:\&quot;Amount $\&quot;,\&quot;value\&quot;:-3.81},{\&quot;key\&quot;:\&quot;Transaction_ID\&quot;,\&quot;value\&quot;:\&quot;e4d346b187a1405a8b23979bd87eba1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68},{\&quot;key\&quot;:\&quot;Merchant\&quot;,\&quot;value\&quot;:\&quot;Pp Roku For Crunchyr\&quot;},{\&quot;key\&quot;:\&quot;Amount $\&quot;,\&quot;value\&quot;:-7.99},{\&quot;key\&quot;:\&quot;Transaction_ID\&quot;,\&quot;value\&quot;:\&quot;de851240859b4df59e9ee2f544bbfea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68},{\&quot;key\&quot;:\&quot;Merchant\&quot;,\&quot;value\&quot;:\&quot;Venmo\&quot;},{\&quot;key\&quot;:\&quot;Amount $\&quot;,\&quot;value\&quot;:-2738.5},{\&quot;key\&quot;:\&quot;Transaction_ID\&quot;,\&quot;value\&quot;:\&quot;b4c9f8c686ab42f68dc008781d88f5c2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68},{\&quot;key\&quot;:\&quot;Merchant\&quot;,\&quot;value\&quot;:\&quot;Target\&quot;},{\&quot;key\&quot;:\&quot;Amount $\&quot;,\&quot;value\&quot;:-60.38},{\&quot;key\&quot;:\&quot;Transaction_ID\&quot;,\&quot;value\&quot;:\&quot;8d28f09c415c4567a31835b6b046e2a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68},{\&quot;key\&quot;:\&quot;Merchant\&quot;,\&quot;value\&quot;:\&quot;Bp Jessup\&quot;},{\&quot;key\&quot;:\&quot;Amount $\&quot;,\&quot;value\&quot;:-27.87},{\&quot;key\&quot;:\&quot;Transaction_ID\&quot;,\&quot;value\&quot;:\&quot;88dbd86277424f31bda27f6dffe93e9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68},{\&quot;key\&quot;:\&quot;Merchant\&quot;,\&quot;value\&quot;:\&quot;Jeremybusti\&quot;},{\&quot;key\&quot;:\&quot;Amount $\&quot;,\&quot;value\&quot;:-75},{\&quot;key\&quot;:\&quot;Transaction_ID\&quot;,\&quot;value\&quot;:\&quot;6f14976d72bf4c69b3d20fb3bc1f669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68},{\&quot;key\&quot;:\&quot;Merchant\&quot;,\&quot;value\&quot;:\&quot;Two Guys Grill &amp;\&quot;},{\&quot;key\&quot;:\&quot;Amount $\&quot;,\&quot;value\&quot;:-200},{\&quot;key\&quot;:\&quot;Transaction_ID\&quot;,\&quot;value\&quot;:\&quot;65b39ad583b74dd0807a15acde77160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68},{\&quot;key\&quot;:\&quot;Merchant\&quot;,\&quot;value\&quot;:\&quot;Venmo\&quot;},{\&quot;key\&quot;:\&quot;Amount $\&quot;,\&quot;value\&quot;:-615},{\&quot;key\&quot;:\&quot;Transaction_ID\&quot;,\&quot;value\&quot;:\&quot;1e9149f9c94e4818b7db6c1ceb714058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67},{\&quot;key\&quot;:\&quot;Merchant\&quot;,\&quot;value\&quot;:\&quot;Shell\&quot;},{\&quot;key\&quot;:\&quot;Amount $\&quot;,\&quot;value\&quot;:-17.53},{\&quot;key\&quot;:\&quot;Transaction_ID\&quot;,\&quot;value\&quot;:\&quot;fd4ba126ddd94a0e8b1a191c2c9384f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66},{\&quot;key\&quot;:\&quot;Merchant\&quot;,\&quot;value\&quot;:\&quot;Chick Fil A\&quot;},{\&quot;key\&quot;:\&quot;Amount $\&quot;,\&quot;value\&quot;:-11.05},{\&quot;key\&quot;:\&quot;Transaction_ID\&quot;,\&quot;value\&quot;:\&quot;eebe0b988aa34ec6bd2ee5000b77b41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66},{\&quot;key\&quot;:\&quot;Merchant\&quot;,\&quot;value\&quot;:\&quot;Best Buy\&quot;},{\&quot;key\&quot;:\&quot;Amount $\&quot;,\&quot;value\&quot;:-95.38},{\&quot;key\&quot;:\&quot;Transaction_ID\&quot;,\&quot;value\&quot;:\&quot;851eff6ca23748e1aaf17a372e7da0e2\&quot;},{\&quot;key\&quot;:\&quot;Account_ID\&quot;,\&quot;value\&quot;:\&quot;a82d9aba872e4e9b9684a363d4cc52b5\&quot;},{\&quot;key\&quot;:\&quot;Category_ID\&quot;,\&quot;value\&quot;:\&quot;fca5dd8329b743f7b77704e23a1e63ad\&quot;},{\&quot;key\&quot;:\&quot;Subcategory_ID\&quot;,\&quot;value\&quot;:\&quot;\&quot;}],[{\&quot;key\&quot;:\&quot;Date\&quot;,\&quot;value\&quot;:44366},{\&quot;key\&quot;:\&quot;Merchant\&quot;,\&quot;value\&quot;:\&quot;Officemax\&quot;},{\&quot;key\&quot;:\&quot;Amount $\&quot;,\&quot;value\&quot;:-74.19},{\&quot;key\&quot;:\&quot;Transaction_ID\&quot;,\&quot;value\&quot;:\&quot;69efde784d2f40369b4661453a56b0e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65},{\&quot;key\&quot;:\&quot;Merchant\&quot;,\&quot;value\&quot;:\&quot;Principal Trust Dr Cr\&quot;},{\&quot;key\&quot;:\&quot;Amount $\&quot;,\&quot;value\&quot;:3967.1},{\&quot;key\&quot;:\&quot;Transaction_ID\&quot;,\&quot;value\&quot;:\&quot;d3a5b5312e0449719e0882a8a4e799bc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65},{\&quot;key\&quot;:\&quot;Merchant\&quot;,\&quot;value\&quot;:\&quot;Officemax\&quot;},{\&quot;key\&quot;:\&quot;Amount $\&quot;,\&quot;value\&quot;:-7.82},{\&quot;key\&quot;:\&quot;Transaction_ID\&quot;,\&quot;value\&quot;:\&quot;b3d305bd78214632af19aee704d53c7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65},{\&quot;key\&quot;:\&quot;Merchant\&quot;,\&quot;value\&quot;:\&quot;T Mobile\&quot;},{\&quot;key\&quot;:\&quot;Amount $\&quot;,\&quot;value\&quot;:-86.25},{\&quot;key\&quot;:\&quot;Transaction_ID\&quot;,\&quot;value\&quot;:\&quot;61e9e5476e8a4959a4be234a3fb0121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65},{\&quot;key\&quot;:\&quot;Merchant\&quot;,\&quot;value\&quot;:\&quot;Elephant Ins Payroll Lewis\&quot;},{\&quot;key\&quot;:\&quot;Amount $\&quot;,\&quot;value\&quot;:680.02},{\&quot;key\&quot;:\&quot;Transaction_ID\&quot;,\&quot;value\&quot;:\&quot;479cfb21e40c48e2adb9ad6e80e09e38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64},{\&quot;key\&quot;:\&quot;Merchant\&quot;,\&quot;value\&quot;:\&quot;Staples\&quot;},{\&quot;key\&quot;:\&quot;Amount $\&quot;,\&quot;value\&quot;:-3.13},{\&quot;key\&quot;:\&quot;Transaction_ID\&quot;,\&quot;value\&quot;:\&quot;dd39dff4342440e3b39f0f7c1710a8b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64},{\&quot;key\&quot;:\&quot;Merchant\&quot;,\&quot;value\&quot;:\&quot;Verizon Onetimepay Verizon Fl\&quot;},{\&quot;key\&quot;:\&quot;Amount $\&quot;,\&quot;value\&quot;:-50},{\&quot;key\&quot;:\&quot;Transaction_ID\&quot;,\&quot;value\&quot;:\&quot;d2821ff7b7334626a5c9d6ce0da1f6c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64},{\&quot;key\&quot;:\&quot;Merchant\&quot;,\&quot;value\&quot;:\&quot;Nationwide Payroll Sean Lewis\&quot;},{\&quot;key\&quot;:\&quot;Amount $\&quot;,\&quot;value\&quot;:4436.57},{\&quot;key\&quot;:\&quot;Transaction_ID\&quot;,\&quot;value\&quot;:\&quot;b385e292c0104967ab8de1496e778b50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63},{\&quot;key\&quot;:\&quot;Merchant\&quot;,\&quot;value\&quot;:\&quot;Dominion Energy Billpay Dominion\&quot;},{\&quot;key\&quot;:\&quot;Amount $\&quot;,\&quot;value\&quot;:-33.61},{\&quot;key\&quot;:\&quot;Transaction_ID\&quot;,\&quot;value\&quot;:\&quot;ba22119cf7a44c828f36f1bddcf6755e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63},{\&quot;key\&quot;:\&quot;Merchant\&quot;,\&quot;value\&quot;:\&quot;Usps Po Boxes Online\&quot;},{\&quot;key\&quot;:\&quot;Amount $\&quot;,\&quot;value\&quot;:-194},{\&quot;key\&quot;:\&quot;Transaction_ID\&quot;,\&quot;value\&quot;:\&quot;6ccf3d7c0be94525b74e866245d6d34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61},{\&quot;key\&quot;:\&quot;Merchant\&quot;,\&quot;value\&quot;:\&quot;Wawa\&quot;},{\&quot;key\&quot;:\&quot;Amount $\&quot;,\&quot;value\&quot;:-30.12},{\&quot;key\&quot;:\&quot;Transaction_ID\&quot;,\&quot;value\&quot;:\&quot;fb182602d51b437490a9b3ad28e27e5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61},{\&quot;key\&quot;:\&quot;Merchant\&quot;,\&quot;value\&quot;:\&quot;Atm Withdrawal Authorized On\&quot;},{\&quot;key\&quot;:\&quot;Amount $\&quot;,\&quot;value\&quot;:-200},{\&quot;key\&quot;:\&quot;Transaction_ID\&quot;,\&quot;value\&quot;:\&quot;c5b9a6f2521e4f12ac61ec667986d01a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60},{\&quot;key\&quot;:\&quot;Merchant\&quot;,\&quot;value\&quot;:\&quot;Mcdonald's\&quot;},{\&quot;key\&quot;:\&quot;Amount $\&quot;,\&quot;value\&quot;:-2.32},{\&quot;key\&quot;:\&quot;Transaction_ID\&quot;,\&quot;value\&quot;:\&quot;8bff409168184ccaaf72eb42fb73386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59},{\&quot;key\&quot;:\&quot;Merchant\&quot;,\&quot;value\&quot;:\&quot;Vizmediallc\&quot;},{\&quot;key\&quot;:\&quot;Amount $\&quot;,\&quot;value\&quot;:-1.99},{\&quot;key\&quot;:\&quot;Transaction_ID\&quot;,\&quot;value\&quot;:\&quot;cfde7d0d2f5a423fa6aabdfe44b6f13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59},{\&quot;key\&quot;:\&quot;Merchant\&quot;,\&quot;value\&quot;:\&quot;Officemax\&quot;},{\&quot;key\&quot;:\&quot;Amount $\&quot;,\&quot;value\&quot;:-14.18},{\&quot;key\&quot;:\&quot;Transaction_ID\&quot;,\&quot;value\&quot;:\&quot;7837dceb57474edfa77d2e0e328666e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59},{\&quot;key\&quot;:\&quot;Merchant\&quot;,\&quot;value\&quot;:\&quot;Officemax\&quot;},{\&quot;key\&quot;:\&quot;Amount $\&quot;,\&quot;value\&quot;:-0.24},{\&quot;key\&quot;:\&quot;Transaction_ID\&quot;,\&quot;value\&quot;:\&quot;248c8fbc327c489e8f374a9a26c5c5b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59},{\&quot;key\&quot;:\&quot;Merchant\&quot;,\&quot;value\&quot;:\&quot;Barnes &amp; Noble\&quot;},{\&quot;key\&quot;:\&quot;Amount $\&quot;,\&quot;value\&quot;:-8.37},{\&quot;key\&quot;:\&quot;Transaction_ID\&quot;,\&quot;value\&quot;:\&quot;070b601131bf4e9d8e09a013edd1dcf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58},{\&quot;key\&quot;:\&quot;Merchant\&quot;,\&quot;value\&quot;:\&quot;Venmo\&quot;},{\&quot;key\&quot;:\&quot;Amount $\&quot;,\&quot;value\&quot;:-78.75},{\&quot;key\&quot;:\&quot;Transaction_ID\&quot;,\&quot;value\&quot;:\&quot;d326f99abd5e4d37b32ddbb310091a79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58},{\&quot;key\&quot;:\&quot;Merchant\&quot;,\&quot;value\&quot;:\&quot;Jimmy Johns\&quot;},{\&quot;key\&quot;:\&quot;Amount $\&quot;,\&quot;value\&quot;:-16.78},{\&quot;key\&quot;:\&quot;Transaction_ID\&quot;,\&quot;value\&quot;:\&quot;ccbd067125a64c6d9297ac469e3f747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58},{\&quot;key\&quot;:\&quot;Merchant\&quot;,\&quot;value\&quot;:\&quot;Ycc Store\&quot;},{\&quot;key\&quot;:\&quot;Amount $\&quot;,\&quot;value\&quot;:-31.8},{\&quot;key\&quot;:\&quot;Transaction_ID\&quot;,\&quot;value\&quot;:\&quot;b9ba8488655c469cae35adb3b0a6725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58},{\&quot;key\&quot;:\&quot;Merchant\&quot;,\&quot;value\&quot;:\&quot;Apple Bill Ca Apple\&quot;},{\&quot;key\&quot;:\&quot;Amount $\&quot;,\&quot;value\&quot;:-15.89},{\&quot;key\&quot;:\&quot;Transaction_ID\&quot;,\&quot;value\&quot;:\&quot;67bf1a3218da483da2b186592ad6502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58},{\&quot;key\&quot;:\&quot;Merchant\&quot;,\&quot;value\&quot;:\&quot;Barnes &amp; Noble\&quot;},{\&quot;key\&quot;:\&quot;Amount $\&quot;,\&quot;value\&quot;:-52.11},{\&quot;key\&quot;:\&quot;Transaction_ID\&quot;,\&quot;value\&quot;:\&quot;1430ec24d7ba4aafb0334b53cb214ad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57},{\&quot;key\&quot;:\&quot;Merchant\&quot;,\&quot;value\&quot;:\&quot;Ccbill\&quot;},{\&quot;key\&quot;:\&quot;Amount $\&quot;,\&quot;value\&quot;:-9.99},{\&quot;key\&quot;:\&quot;Transaction_ID\&quot;,\&quot;value\&quot;:\&quot;e8a93fe3c9684b4fade9074e272540c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57},{\&quot;key\&quot;:\&quot;Merchant\&quot;,\&quot;value\&quot;:\&quot;Starbucks\&quot;},{\&quot;key\&quot;:\&quot;Amount $\&quot;,\&quot;value\&quot;:-3.13},{\&quot;key\&quot;:\&quot;Transaction_ID\&quot;,\&quot;value\&quot;:\&quot;88536f0d3fdf4633a731eb62d3e361e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57},{\&quot;key\&quot;:\&quot;Merchant\&quot;,\&quot;value\&quot;:\&quot;Ccbill\&quot;},{\&quot;key\&quot;:\&quot;Amount $\&quot;,\&quot;value\&quot;:-6.25},{\&quot;key\&quot;:\&quot;Transaction_ID\&quot;,\&quot;value\&quot;:\&quot;86e18659c66b4b308555cbd37deabda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57},{\&quot;key\&quot;:\&quot;Merchant\&quot;,\&quot;value\&quot;:\&quot;Cava Grill Swift Creek\&quot;},{\&quot;key\&quot;:\&quot;Amount $\&quot;,\&quot;value\&quot;:-25.06},{\&quot;key\&quot;:\&quot;Transaction_ID\&quot;,\&quot;value\&quot;:\&quot;2da6c99182704b11ada16e744dca6c2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57},{\&quot;key\&quot;:\&quot;Merchant\&quot;,\&quot;value\&quot;:\&quot;Ccbill\&quot;},{\&quot;key\&quot;:\&quot;Amount $\&quot;,\&quot;value\&quot;:-11.99},{\&quot;key\&quot;:\&quot;Transaction_ID\&quot;,\&quot;value\&quot;:\&quot;0b90e697e6f64217aa7c2173aed8b2e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56},{\&quot;key\&quot;:\&quot;Merchant\&quot;,\&quot;value\&quot;:\&quot;Ccbill\&quot;},{\&quot;key\&quot;:\&quot;Amount $\&quot;,\&quot;value\&quot;:-4.99},{\&quot;key\&quot;:\&quot;Transaction_ID\&quot;,\&quot;value\&quot;:\&quot;2105b1a46de44720b7bb00fcc418186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56},{\&quot;key\&quot;:\&quot;Merchant\&quot;,\&quot;value\&quot;:\&quot;Robinhood\&quot;},{\&quot;key\&quot;:\&quot;Amount $\&quot;,\&quot;value\&quot;:1158.2},{\&quot;key\&quot;:\&quot;Transaction_ID\&quot;,\&quot;value\&quot;:\&quot;10275ff0c6294ce2bafb54df57e4a0d8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56},{\&quot;key\&quot;:\&quot;Merchant\&quot;,\&quot;value\&quot;:\&quot;Onlyfans\&quot;},{\&quot;key\&quot;:\&quot;Amount $\&quot;,\&quot;value\&quot;:-3.89},{\&quot;key\&quot;:\&quot;Transaction_ID\&quot;,\&quot;value\&quot;:\&quot;09e476766a3645f890be24509a0b72e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55},{\&quot;key\&quot;:\&quot;Merchant\&quot;,\&quot;value\&quot;:\&quot;The Market At 2\&quot;},{\&quot;key\&quot;:\&quot;Amount $\&quot;,\&quot;value\&quot;:-12.17},{\&quot;key\&quot;:\&quot;Transaction_ID\&quot;,\&quot;value\&quot;:\&quot;f21e07e8b8f54f4ea304be61a17cf345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55},{\&quot;key\&quot;:\&quot;Merchant\&quot;,\&quot;value\&quot;:\&quot;Avidia Bank Setl Lewis\&quot;},{\&quot;key\&quot;:\&quot;Amount $\&quot;,\&quot;value\&quot;:415.42},{\&quot;key\&quot;:\&quot;Transaction_ID\&quot;,\&quot;value\&quot;:\&quot;53f5517e4cff4a9bb6495ec1afbc7a29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54},{\&quot;key\&quot;:\&quot;Merchant\&quot;,\&quot;value\&quot;:\&quot;American Family Fit Shor\&quot;},{\&quot;key\&quot;:\&quot;Amount $\&quot;,\&quot;value\&quot;:-94.95},{\&quot;key\&quot;:\&quot;Transaction_ID\&quot;,\&quot;value\&quot;:\&quot;e3c3919e771c411ab0d78e670487c0a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54},{\&quot;key\&quot;:\&quot;Merchant\&quot;,\&quot;value\&quot;:\&quot;Discover E Payment Lewis\&quot;},{\&quot;key\&quot;:\&quot;Amount $\&quot;,\&quot;value\&quot;:-1368.32},{\&quot;key\&quot;:\&quot;Transaction_ID\&quot;,\&quot;value\&quot;:\&quot;bb072ab6590d4592bc9931fee086c569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54},{\&quot;key\&quot;:\&quot;Merchant\&quot;,\&quot;value\&quot;:\&quot;Atm Withdrawal Authorized On\&quot;},{\&quot;key\&quot;:\&quot;Amount $\&quot;,\&quot;value\&quot;:-200},{\&quot;key\&quot;:\&quot;Transaction_ID\&quot;,\&quot;value\&quot;:\&quot;ba555b15c2474b91911b82b4951c3494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54},{\&quot;key\&quot;:\&quot;Merchant\&quot;,\&quot;value\&quot;:\&quot;Venmo\&quot;},{\&quot;key\&quot;:\&quot;Amount $\&quot;,\&quot;value\&quot;:-564.69},{\&quot;key\&quot;:\&quot;Transaction_ID\&quot;,\&quot;value\&quot;:\&quot;ab8dc5d278d34f039b2f7a531e6565c8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54},{\&quot;key\&quot;:\&quot;Merchant\&quot;,\&quot;value\&quot;:\&quot;Venmo\&quot;},{\&quot;key\&quot;:\&quot;Amount $\&quot;,\&quot;value\&quot;:-70.58},{\&quot;key\&quot;:\&quot;Transaction_ID\&quot;,\&quot;value\&quot;:\&quot;a90fd2499c9a45c0a92555c2fa4f761b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54},{\&quot;key\&quot;:\&quot;Merchant\&quot;,\&quot;value\&quot;:\&quot;Bedbath&amp;Beyond\&quot;},{\&quot;key\&quot;:\&quot;Amount $\&quot;,\&quot;value\&quot;:-110.19},{\&quot;key\&quot;:\&quot;Transaction_ID\&quot;,\&quot;value\&quot;:\&quot;a08a0fdf28394e7495bfaff30f543b9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54},{\&quot;key\&quot;:\&quot;Merchant\&quot;,\&quot;value\&quot;:\&quot;Money Transfer Authorized On\&quot;},{\&quot;key\&quot;:\&quot;Amount $\&quot;,\&quot;value\&quot;:128.05},{\&quot;key\&quot;:\&quot;Transaction_ID\&quot;,\&quot;value\&quot;:\&quot;39adf05118974d8b8c38177529aeadff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53},{\&quot;key\&quot;:\&quot;Merchant\&quot;,\&quot;value\&quot;:\&quot;Lyft\&quot;},{\&quot;key\&quot;:\&quot;Amount $\&quot;,\&quot;value\&quot;:-31.77},{\&quot;key\&quot;:\&quot;Transaction_ID\&quot;,\&quot;value\&quot;:\&quot;bcaacf9e06bc49d194a5e5187723db8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53},{\&quot;key\&quot;:\&quot;Merchant\&quot;,\&quot;value\&quot;:\&quot;Target\&quot;},{\&quot;key\&quot;:\&quot;Amount $\&quot;,\&quot;value\&quot;:-192.86},{\&quot;key\&quot;:\&quot;Transaction_ID\&quot;,\&quot;value\&quot;:\&quot;70dcad0a90374a0db5221233a7721a3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52},{\&quot;key\&quot;:\&quot;Merchant\&quot;,\&quot;value\&quot;:\&quot;Usps Change Of Address\&quot;},{\&quot;key\&quot;:\&quot;Amount $\&quot;,\&quot;value\&quot;:-1.05},{\&quot;key\&quot;:\&quot;Transaction_ID\&quot;,\&quot;value\&quot;:\&quot;aee1cad93fc1408fae0539b4b1c62ab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52},{\&quot;key\&quot;:\&quot;Merchant\&quot;,\&quot;value\&quot;:\&quot;Target\&quot;},{\&quot;key\&quot;:\&quot;Amount $\&quot;,\&quot;value\&quot;:-80.55},{\&quot;key\&quot;:\&quot;Transaction_ID\&quot;,\&quot;value\&quot;:\&quot;8eca7a92dddf4662b7c2f5a1f365dd7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52},{\&quot;key\&quot;:\&quot;Merchant\&quot;,\&quot;value\&quot;:\&quot;Panera Bread\&quot;},{\&quot;key\&quot;:\&quot;Amount $\&quot;,\&quot;value\&quot;:-13.72},{\&quot;key\&quot;:\&quot;Transaction_ID\&quot;,\&quot;value\&quot;:\&quot;77fcea8ccfb643bea56b21c41aeb81f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52},{\&quot;key\&quot;:\&quot;Merchant\&quot;,\&quot;value\&quot;:\&quot;Lowe's\&quot;},{\&quot;key\&quot;:\&quot;Amount $\&quot;,\&quot;value\&quot;:-1.36},{\&quot;key\&quot;:\&quot;Transaction_ID\&quot;,\&quot;value\&quot;:\&quot;4b1c6d59e0c64c2799331f57edb54bb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51},{\&quot;key\&quot;:\&quot;Merchant\&quot;,\&quot;value\&quot;:\&quot;Internet Payment\&quot;},{\&quot;key\&quot;:\&quot;Amount $\&quot;,\&quot;value\&quot;:1368.32},{\&quot;key\&quot;:\&quot;Transaction_ID\&quot;,\&quot;value\&quot;:\&quot;d300d84742ba4ac784c6c80802eae42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51},{\&quot;key\&quot;:\&quot;Merchant\&quot;,\&quot;value\&quot;:\&quot;U Haul Store\&quot;},{\&quot;key\&quot;:\&quot;Amount $\&quot;,\&quot;value\&quot;:-88.37},{\&quot;key\&quot;:\&quot;Transaction_ID\&quot;,\&quot;value\&quot;:\&quot;a1c83330eab049a9a7e2b35e29aecd4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51},{\&quot;key\&quot;:\&quot;Merchant\&quot;,\&quot;value\&quot;:\&quot;Venmo\&quot;},{\&quot;key\&quot;:\&quot;Amount $\&quot;,\&quot;value\&quot;:-118},{\&quot;key\&quot;:\&quot;Transaction_ID\&quot;,\&quot;value\&quot;:\&quot;454055df81b3460f83078de52959091b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51},{\&quot;key\&quot;:\&quot;Merchant\&quot;,\&quot;value\&quot;:\&quot;Target\&quot;},{\&quot;key\&quot;:\&quot;Amount $\&quot;,\&quot;value\&quot;:-84.8},{\&quot;key\&quot;:\&quot;Transaction_ID\&quot;,\&quot;value\&quot;:\&quot;3aa2000836934ac39227aa9be564b27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51},{\&quot;key\&quot;:\&quot;Merchant\&quot;,\&quot;value\&quot;:\&quot;Purchase Bank Check Or\&quot;},{\&quot;key\&quot;:\&quot;Amount $\&quot;,\&quot;value\&quot;:-2041.66},{\&quot;key\&quot;:\&quot;Transaction_ID\&quot;,\&quot;value\&quot;:\&quot;35c0deb9da704852bc6332375bece65b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51},{\&quot;key\&quot;:\&quot;Merchant\&quot;,\&quot;value\&quot;:\&quot;Elephant Ins Payroll Lewis\&quot;},{\&quot;key\&quot;:\&quot;Amount $\&quot;,\&quot;value\&quot;:1174.51},{\&quot;key\&quot;:\&quot;Transaction_ID\&quot;,\&quot;value\&quot;:\&quot;14d62e427e634e1a9784f4d1f494c970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50},{\&quot;key\&quot;:\&quot;Merchant\&quot;,\&quot;value\&quot;:\&quot;Hulu\&quot;},{\&quot;key\&quot;:\&quot;Amount $\&quot;,\&quot;value\&quot;:-11.99},{\&quot;key\&quot;:\&quot;Transaction_ID\&quot;,\&quot;value\&quot;:\&quot;f7909cbf4ec746548ad862d08516bd5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50},{\&quot;key\&quot;:\&quot;Merchant\&quot;,\&quot;value\&quot;:\&quot;Public Storage\&quot;},{\&quot;key\&quot;:\&quot;Amount $\&quot;,\&quot;value\&quot;:-78},{\&quot;key\&quot;:\&quot;Transaction_ID\&quot;,\&quot;value\&quot;:\&quot;57c9ddb963414a978818427f863d63a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50},{\&quot;key\&quot;:\&quot;Merchant\&quot;,\&quot;value\&quot;:\&quot;Texas Roadhouse\&quot;},{\&quot;key\&quot;:\&quot;Amount $\&quot;,\&quot;value\&quot;:-105},{\&quot;key\&quot;:\&quot;Transaction_ID\&quot;,\&quot;value\&quot;:\&quot;26a7d0e214284a86ac0e81304e153d9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49},{\&quot;key\&quot;:\&quot;Merchant\&quot;,\&quot;value\&quot;:\&quot;Showtimeppv\&quot;},{\&quot;key\&quot;:\&quot;Amount $\&quot;,\&quot;value\&quot;:-49.99},{\&quot;key\&quot;:\&quot;Transaction_ID\&quot;,\&quot;value\&quot;:\&quot;bdb962d02f5f4ac7a1a93d4c8cf3286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49},{\&quot;key\&quot;:\&quot;Merchant\&quot;,\&quot;value\&quot;:\&quot;Krystal And Saagar\&quot;},{\&quot;key\&quot;:\&quot;Amount $\&quot;,\&quot;value\&quot;:-10},{\&quot;key\&quot;:\&quot;Transaction_ID\&quot;,\&quot;value\&quot;:\&quot;ab781e73857f44dd867ec47a7b5ce0d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49},{\&quot;key\&quot;:\&quot;Merchant\&quot;,\&quot;value\&quot;:\&quot;Hulu\&quot;},{\&quot;key\&quot;:\&quot;Amount $\&quot;,\&quot;value\&quot;:-0.4},{\&quot;key\&quot;:\&quot;Transaction_ID\&quot;,\&quot;value\&quot;:\&quot;7568449df13d48778bed5dda9d61749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49},{\&quot;key\&quot;:\&quot;Merchant\&quot;,\&quot;value\&quot;:\&quot;Webull Tech\&quot;},{\&quot;key\&quot;:\&quot;Amount $\&quot;,\&quot;value\&quot;:-1.99},{\&quot;key\&quot;:\&quot;Transaction_ID\&quot;,\&quot;value\&quot;:\&quot;3311aaebe77e40dc8bb2231467a9b3f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49},{\&quot;key\&quot;:\&quot;Merchant\&quot;,\&quot;value\&quot;:\&quot;Go Mart 94\&quot;},{\&quot;key\&quot;:\&quot;Amount $\&quot;,\&quot;value\&quot;:-29.04},{\&quot;key\&quot;:\&quot;Transaction_ID\&quot;,\&quot;value\&quot;:\&quot;09683afafa7a4ac78efef24f15b28d3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48},{\&quot;key\&quot;:\&quot;Merchant\&quot;,\&quot;value\&quot;:\&quot;Robinhood\&quot;},{\&quot;key\&quot;:\&quot;Amount $\&quot;,\&quot;value\&quot;:2000},{\&quot;key\&quot;:\&quot;Transaction_ID\&quot;,\&quot;value\&quot;:\&quot;87603125c6a84908b74132e29273bb96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48},{\&quot;key\&quot;:\&quot;Merchant\&quot;,\&quot;value\&quot;:\&quot;Spotify\&quot;},{\&quot;key\&quot;:\&quot;Amount $\&quot;,\&quot;value\&quot;:-9.99},{\&quot;key\&quot;:\&quot;Transaction_ID\&quot;,\&quot;value\&quot;:\&quot;508d19d7429944d29681774aa4d1034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48},{\&quot;key\&quot;:\&quot;Merchant\&quot;,\&quot;value\&quot;:\&quot;American Family Fit Shor\&quot;},{\&quot;key\&quot;:\&quot;Amount $\&quot;,\&quot;value\&quot;:-49},{\&quot;key\&quot;:\&quot;Transaction_ID\&quot;,\&quot;value\&quot;:\&quot;334fcfdee9f5419ba6b20e82a24dd0c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48},{\&quot;key\&quot;:\&quot;Merchant\&quot;,\&quot;value\&quot;:\&quot;Netflix\&quot;},{\&quot;key\&quot;:\&quot;Amount $\&quot;,\&quot;value\&quot;:-14.83},{\&quot;key\&quot;:\&quot;Transaction_ID\&quot;,\&quot;value\&quot;:\&quot;05f51bb1e4f54ec2909b3a447ed06c8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47},{\&quot;key\&quot;:\&quot;Merchant\&quot;,\&quot;value\&quot;:\&quot;Aldi\&quot;},{\&quot;key\&quot;:\&quot;Amount $\&quot;,\&quot;value\&quot;:-17.31},{\&quot;key\&quot;:\&quot;Transaction_ID\&quot;,\&quot;value\&quot;:\&quot;a0f9bc1767c540b5bb40b76a68700cf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47},{\&quot;key\&quot;:\&quot;Merchant\&quot;,\&quot;value\&quot;:\&quot;Sheetz\&quot;},{\&quot;key\&quot;:\&quot;Amount $\&quot;,\&quot;value\&quot;:-9.55},{\&quot;key\&quot;:\&quot;Transaction_ID\&quot;,\&quot;value\&quot;:\&quot;5b1c331eadb840c39b05d3b2134f1a4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47},{\&quot;key\&quot;:\&quot;Merchant\&quot;,\&quot;value\&quot;:\&quot;Apple Bill Ca Apple\&quot;},{\&quot;key\&quot;:\&quot;Amount $\&quot;,\&quot;value\&quot;:-37.09},{\&quot;key\&quot;:\&quot;Transaction_ID\&quot;,\&quot;value\&quot;:\&quot;55506a2ef482414abc269f8df208b66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47},{\&quot;key\&quot;:\&quot;Merchant\&quot;,\&quot;value\&quot;:\&quot;Target\&quot;},{\&quot;key\&quot;:\&quot;Amount $\&quot;,\&quot;value\&quot;:-21.18},{\&quot;key\&quot;:\&quot;Transaction_ID\&quot;,\&quot;value\&quot;:\&quot;2cb5f697db3c46508681ac110ba874d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47},{\&quot;key\&quot;:\&quot;Merchant\&quot;,\&quot;value\&quot;:\&quot;U Haul Store\&quot;},{\&quot;key\&quot;:\&quot;Amount $\&quot;,\&quot;value\&quot;:-57.27},{\&quot;key\&quot;:\&quot;Transaction_ID\&quot;,\&quot;value\&quot;:\&quot;228e21f6ceb4497f86b30d507c11659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46},{\&quot;key\&quot;:\&quot;Merchant\&quot;,\&quot;value\&quot;:\&quot;Ezpassva Auto Replenish\&quot;},{\&quot;key\&quot;:\&quot;Amount $\&quot;,\&quot;value\&quot;:-35},{\&quot;key\&quot;:\&quot;Transaction_ID\&quot;,\&quot;value\&quot;:\&quot;ded8b46911644efca13feac0796f037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46},{\&quot;key\&quot;:\&quot;Merchant\&quot;,\&quot;value\&quot;:\&quot;Mcdonald's\&quot;},{\&quot;key\&quot;:\&quot;Amount $\&quot;,\&quot;value\&quot;:-8.28},{\&quot;key\&quot;:\&quot;Transaction_ID\&quot;,\&quot;value\&quot;:\&quot;d5897dba542e4c0ba323a1d1d0ae144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46},{\&quot;key\&quot;:\&quot;Merchant\&quot;,\&quot;value\&quot;:\&quot;Target\&quot;},{\&quot;key\&quot;:\&quot;Amount $\&quot;,\&quot;value\&quot;:-60.92},{\&quot;key\&quot;:\&quot;Transaction_ID\&quot;,\&quot;value\&quot;:\&quot;a0bb7c2cdb984060882f363c2f3c53a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46},{\&quot;key\&quot;:\&quot;Merchant\&quot;,\&quot;value\&quot;:\&quot;Bottoms Up Pizza\&quot;},{\&quot;key\&quot;:\&quot;Amount $\&quot;,\&quot;value\&quot;:-54},{\&quot;key\&quot;:\&quot;Transaction_ID\&quot;,\&quot;value\&quot;:\&quot;6297fa98c8774cd5b2901b64523f07c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45},{\&quot;key\&quot;:\&quot;Merchant\&quot;,\&quot;value\&quot;:\&quot;Uber Eats\&quot;},{\&quot;key\&quot;:\&quot;Amount $\&quot;,\&quot;value\&quot;:-4.15},{\&quot;key\&quot;:\&quot;Transaction_ID\&quot;,\&quot;value\&quot;:\&quot;e1cc7df1abb44e89820cf78884dc1a9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45},{\&quot;key\&quot;:\&quot;Merchant\&quot;,\&quot;value\&quot;:\&quot;Exxonmobil\&quot;},{\&quot;key\&quot;:\&quot;Amount $\&quot;,\&quot;value\&quot;:-28.92},{\&quot;key\&quot;:\&quot;Transaction_ID\&quot;,\&quot;value\&quot;:\&quot;925b8b91a7334afba768ffa13f3e2f3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45},{\&quot;key\&quot;:\&quot;Merchant\&quot;,\&quot;value\&quot;:\&quot;Lyft\&quot;},{\&quot;key\&quot;:\&quot;Amount $\&quot;,\&quot;value\&quot;:-26.84},{\&quot;key\&quot;:\&quot;Transaction_ID\&quot;,\&quot;value\&quot;:\&quot;510c514ad7194798993d8b3556be80c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45},{\&quot;key\&quot;:\&quot;Merchant\&quot;,\&quot;value\&quot;:\&quot;Uber Eats\&quot;},{\&quot;key\&quot;:\&quot;Amount $\&quot;,\&quot;value\&quot;:-23.07},{\&quot;key\&quot;:\&quot;Transaction_ID\&quot;,\&quot;value\&quot;:\&quot;409dedd2090c45448530a664726d91a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45},{\&quot;key\&quot;:\&quot;Merchant\&quot;,\&quot;value\&quot;:\&quot;Target\&quot;},{\&quot;key\&quot;:\&quot;Amount $\&quot;,\&quot;value\&quot;:-39.2},{\&quot;key\&quot;:\&quot;Transaction_ID\&quot;,\&quot;value\&quot;:\&quot;3fed32776398481d8bb94042a9eaf60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44},{\&quot;key\&quot;:\&quot;Merchant\&quot;,\&quot;value\&quot;:\&quot;Carrolls Auto Service\&quot;},{\&quot;key\&quot;:\&quot;Amount $\&quot;,\&quot;value\&quot;:-286.31},{\&quot;key\&quot;:\&quot;Transaction_ID\&quot;,\&quot;value\&quot;:\&quot;e783bb7341bc47cab91869061e242ba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44},{\&quot;key\&quot;:\&quot;Merchant\&quot;,\&quot;value\&quot;:\&quot;Walmart\&quot;},{\&quot;key\&quot;:\&quot;Amount $\&quot;,\&quot;value\&quot;:-51.77},{\&quot;key\&quot;:\&quot;Transaction_ID\&quot;,\&quot;value\&quot;:\&quot;df4ab31d2d8244259aa1719725e965e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44},{\&quot;key\&quot;:\&quot;Merchant\&quot;,\&quot;value\&quot;:\&quot;Cash App Cyanface\&quot;},{\&quot;key\&quot;:\&quot;Amount $\&quot;,\&quot;value\&quot;:-500},{\&quot;key\&quot;:\&quot;Transaction_ID\&quot;,\&quot;value\&quot;:\&quot;42e2c767a04041db882037f478915cea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43},{\&quot;key\&quot;:\&quot;Merchant\&quot;,\&quot;value\&quot;:\&quot;Cash App Shevon Le\&quot;},{\&quot;key\&quot;:\&quot;Amount $\&quot;,\&quot;value\&quot;:-140},{\&quot;key\&quot;:\&quot;Transaction_ID\&quot;,\&quot;value\&quot;:\&quot;eb0aba9c6fd947069f3f0371846a3a1d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43},{\&quot;key\&quot;:\&quot;Merchant\&quot;,\&quot;value\&quot;:\&quot;Usps Po\&quot;},{\&quot;key\&quot;:\&quot;Amount $\&quot;,\&quot;value\&quot;:-26.35},{\&quot;key\&quot;:\&quot;Transaction_ID\&quot;,\&quot;value\&quot;:\&quot;de8dddbb33ae48a79a78a0447a85ac0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43},{\&quot;key\&quot;:\&quot;Merchant\&quot;,\&quot;value\&quot;:\&quot;Couplecents\&quot;},{\&quot;key\&quot;:\&quot;Amount $\&quot;,\&quot;value\&quot;:-9.99},{\&quot;key\&quot;:\&quot;Transaction_ID\&quot;,\&quot;value\&quot;:\&quot;8d1b8b512c9741a28cc491854b3075d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42},{\&quot;key\&quot;:\&quot;Merchant\&quot;,\&quot;value\&quot;:\&quot;Jimmy Johns\&quot;},{\&quot;key\&quot;:\&quot;Amount $\&quot;,\&quot;value\&quot;:-17.37},{\&quot;key\&quot;:\&quot;Transaction_ID\&quot;,\&quot;value\&quot;:\&quot;2cdcaee47bee42469bbab3b6a84c114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41},{\&quot;key\&quot;:\&quot;Merchant\&quot;,\&quot;value\&quot;:\&quot;Apple Bill Ca Apple\&quot;},{\&quot;key\&quot;:\&quot;Amount $\&quot;,\&quot;value\&quot;:-5.29},{\&quot;key\&quot;:\&quot;Transaction_ID\&quot;,\&quot;value\&quot;:\&quot;cd5c6c42e0cf412192a184fe8f8452f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41},{\&quot;key\&quot;:\&quot;Merchant\&quot;,\&quot;value\&quot;:\&quot;Target\&quot;},{\&quot;key\&quot;:\&quot;Amount $\&quot;,\&quot;value\&quot;:-22.25},{\&quot;key\&quot;:\&quot;Transaction_ID\&quot;,\&quot;value\&quot;:\&quot;c9ddedda56f841c1ba81a63417c10a6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41},{\&quot;key\&quot;:\&quot;Merchant\&quot;,\&quot;value\&quot;:\&quot;Jimmy Johns\&quot;},{\&quot;key\&quot;:\&quot;Amount $\&quot;,\&quot;value\&quot;:-12.59},{\&quot;key\&quot;:\&quot;Transaction_ID\&quot;,\&quot;value\&quot;:\&quot;c94383c3a093495b8cabc85d5b1cd32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41},{\&quot;key\&quot;:\&quot;Merchant\&quot;,\&quot;value\&quot;:\&quot;Ezpassva Auto Replenish\&quot;},{\&quot;key\&quot;:\&quot;Amount $\&quot;,\&quot;value\&quot;:-35},{\&quot;key\&quot;:\&quot;Transaction_ID\&quot;,\&quot;value\&quot;:\&quot;6c7888b759804e71a1fbabc4c0a55e1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41},{\&quot;key\&quot;:\&quot;Merchant\&quot;,\&quot;value\&quot;:\&quot;Venmo\&quot;},{\&quot;key\&quot;:\&quot;Amount $\&quot;,\&quot;value\&quot;:-215.27},{\&quot;key\&quot;:\&quot;Transaction_ID\&quot;,\&quot;value\&quot;:\&quot;5cddfd0727e2410e97ceff8ba7c4d0c7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40},{\&quot;key\&quot;:\&quot;Merchant\&quot;,\&quot;value\&quot;:\&quot;Amer Fam Fit Va\&quot;},{\&quot;key\&quot;:\&quot;Amount $\&quot;,\&quot;value\&quot;:-2},{\&quot;key\&quot;:\&quot;Transaction_ID\&quot;,\&quot;value\&quot;:\&quot;e3538cb045db4f7d8d6e6325628c30e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40},{\&quot;key\&quot;:\&quot;Merchant\&quot;,\&quot;value\&quot;:\&quot;Internet Payment\&quot;},{\&quot;key\&quot;:\&quot;Amount $\&quot;,\&quot;value\&quot;:1412.32},{\&quot;key\&quot;:\&quot;Transaction_ID\&quot;,\&quot;value\&quot;:\&quot;71a82e9eace545c9b784c26ee893bc0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40},{\&quot;key\&quot;:\&quot;Merchant\&quot;,\&quot;value\&quot;:\&quot;Venmo\&quot;},{\&quot;key\&quot;:\&quot;Amount $\&quot;,\&quot;value\&quot;:815.63},{\&quot;key\&quot;:\&quot;Transaction_ID\&quot;,\&quot;value\&quot;:\&quot;64d189d85be945f8ba3f2304e691acec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40},{\&quot;key\&quot;:\&quot;Merchant\&quot;,\&quot;value\&quot;:\&quot;Discover E Payment Lewis\&quot;},{\&quot;key\&quot;:\&quot;Amount $\&quot;,\&quot;value\&quot;:-1412.32},{\&quot;key\&quot;:\&quot;Transaction_ID\&quot;,\&quot;value\&quot;:\&quot;18853753f3cd491494a596e5d8293f2c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40},{\&quot;key\&quot;:\&quot;Merchant\&quot;,\&quot;value\&quot;:\&quot;Jimmy Johns\&quot;},{\&quot;key\&quot;:\&quot;Amount $\&quot;,\&quot;value\&quot;:-12.59},{\&quot;key\&quot;:\&quot;Transaction_ID\&quot;,\&quot;value\&quot;:\&quot;0e61c16087464b85ad77da8ed1d6bf6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39},{\&quot;key\&quot;:\&quot;Merchant\&quot;,\&quot;value\&quot;:\&quot;Ezpassva Auto Replenish\&quot;},{\&quot;key\&quot;:\&quot;Amount $\&quot;,\&quot;value\&quot;:-35},{\&quot;key\&quot;:\&quot;Transaction_ID\&quot;,\&quot;value\&quot;:\&quot;5e94aa1597a4454aa8e98969f5c972e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38},{\&quot;key\&quot;:\&quot;Merchant\&quot;,\&quot;value\&quot;:\&quot;Guitar Center\&quot;},{\&quot;key\&quot;:\&quot;Amount $\&quot;,\&quot;value\&quot;:-50.7},{\&quot;key\&quot;:\&quot;Transaction_ID\&quot;,\&quot;value\&quot;:\&quot;c3f373a515ea44cdbc915e95ee3bb62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38},{\&quot;key\&quot;:\&quot;Merchant\&quot;,\&quot;value\&quot;:\&quot;Music &amp; Arts 82\&quot;},{\&quot;key\&quot;:\&quot;Amount $\&quot;,\&quot;value\&quot;:-37.89},{\&quot;key\&quot;:\&quot;Transaction_ID\&quot;,\&quot;value\&quot;:\&quot;abdc174657084b609691c8bcec35795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38},{\&quot;key\&quot;:\&quot;Merchant\&quot;,\&quot;value\&quot;:\&quot;Cash App Tiffany C\&quot;},{\&quot;key\&quot;:\&quot;Amount $\&quot;,\&quot;value\&quot;:-50},{\&quot;key\&quot;:\&quot;Transaction_ID\&quot;,\&quot;value\&quot;:\&quot;1d0196bf0c334eb3af67849461282ade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37},{\&quot;key\&quot;:\&quot;Merchant\&quot;,\&quot;value\&quot;:\&quot;Sunoco\&quot;},{\&quot;key\&quot;:\&quot;Amount $\&quot;,\&quot;value\&quot;:-31.25},{\&quot;key\&quot;:\&quot;Transaction_ID\&quot;,\&quot;value\&quot;:\&quot;f97a413dda8c4937846d687c3c561f5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37},{\&quot;key\&quot;:\&quot;Merchant\&quot;,\&quot;value\&quot;:\&quot;Jimmy T's Soft Serve\&quot;},{\&quot;key\&quot;:\&quot;Amount $\&quot;,\&quot;value\&quot;:-16},{\&quot;key\&quot;:\&quot;Transaction_ID\&quot;,\&quot;value\&quot;:\&quot;f12614bca4eb481dbda2aae4be60c03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37},{\&quot;key\&quot;:\&quot;Merchant\&quot;,\&quot;value\&quot;:\&quot;Cash App Nathaniel\&quot;},{\&quot;key\&quot;:\&quot;Amount $\&quot;,\&quot;value\&quot;:-50},{\&quot;key\&quot;:\&quot;Transaction_ID\&quot;,\&quot;value\&quot;:\&quot;991fe9fee7a249bda4532c24c1b9c3f9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37},{\&quot;key\&quot;:\&quot;Merchant\&quot;,\&quot;value\&quot;:\&quot;Elephant Ins Payroll Lewis\&quot;},{\&quot;key\&quot;:\&quot;Amount $\&quot;,\&quot;value\&quot;:1342.98},{\&quot;key\&quot;:\&quot;Transaction_ID\&quot;,\&quot;value\&quot;:\&quot;89f4e066aab34c8eab498248fc8512a6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37},{\&quot;key\&quot;:\&quot;Merchant\&quot;,\&quot;value\&quot;:\&quot;Cash App Don Lewis\&quot;},{\&quot;key\&quot;:\&quot;Amount $\&quot;,\&quot;value\&quot;:-120},{\&quot;key\&quot;:\&quot;Transaction_ID\&quot;,\&quot;value\&quot;:\&quot;60f6197cb22847e7b373b47644f48d51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37},{\&quot;key\&quot;:\&quot;Merchant\&quot;,\&quot;value\&quot;:\&quot;Pp Roku For Crunchyr\&quot;},{\&quot;key\&quot;:\&quot;Amount $\&quot;,\&quot;value\&quot;:-7.99},{\&quot;key\&quot;:\&quot;Transaction_ID\&quot;,\&quot;value\&quot;:\&quot;4ec5635ce4604ac6adcdc4c38624a64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37},{\&quot;key\&quot;:\&quot;Merchant\&quot;,\&quot;value\&quot;:\&quot;Venmo\&quot;},{\&quot;key\&quot;:\&quot;Amount $\&quot;,\&quot;value\&quot;:-340},{\&quot;key\&quot;:\&quot;Transaction_ID\&quot;,\&quot;value\&quot;:\&quot;3b586e3531c3445499f5cef9367aad36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36},{\&quot;key\&quot;:\&quot;Merchant\&quot;,\&quot;value\&quot;:\&quot;Venmo\&quot;},{\&quot;key\&quot;:\&quot;Amount $\&quot;,\&quot;value\&quot;:-85},{\&quot;key\&quot;:\&quot;Transaction_ID\&quot;,\&quot;value\&quot;:\&quot;acf6778d162146bdbcb4faea9757f533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36},{\&quot;key\&quot;:\&quot;Merchant\&quot;,\&quot;value\&quot;:\&quot;Giant Silver Springmd\&quot;},{\&quot;key\&quot;:\&quot;Amount $\&quot;,\&quot;value\&quot;:-26.97},{\&quot;key\&quot;:\&quot;Transaction_ID\&quot;,\&quot;value\&quot;:\&quot;95459e2fa8194db3aaebf753e20a2e5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36},{\&quot;key\&quot;:\&quot;Merchant\&quot;,\&quot;value\&quot;:\&quot;Exxonmobil\&quot;},{\&quot;key\&quot;:\&quot;Amount $\&quot;,\&quot;value\&quot;:-17.87},{\&quot;key\&quot;:\&quot;Transaction_ID\&quot;,\&quot;value\&quot;:\&quot;25f7d7bccc09405687d8f46240ad158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35},{\&quot;key\&quot;:\&quot;Merchant\&quot;,\&quot;value\&quot;:\&quot;Home Depot\&quot;},{\&quot;key\&quot;:\&quot;Amount $\&quot;,\&quot;value\&quot;:-22.58},{\&quot;key\&quot;:\&quot;Transaction_ID\&quot;,\&quot;value\&quot;:\&quot;d86d487be3d3425da12225d24cdefc9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35},{\&quot;key\&quot;:\&quot;Merchant\&quot;,\&quot;value\&quot;:\&quot;Jcpenney\&quot;},{\&quot;key\&quot;:\&quot;Amount $\&quot;,\&quot;value\&quot;:-91.85},{\&quot;key\&quot;:\&quot;Transaction_ID\&quot;,\&quot;value\&quot;:\&quot;721a4159821c4a2bb933a25828c128d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35},{\&quot;key\&quot;:\&quot;Merchant\&quot;,\&quot;value\&quot;:\&quot;Target\&quot;},{\&quot;key\&quot;:\&quot;Amount $\&quot;,\&quot;value\&quot;:-68.85},{\&quot;key\&quot;:\&quot;Transaction_ID\&quot;,\&quot;value\&quot;:\&quot;319aa920d4054df794e791ee7cc5896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35},{\&quot;key\&quot;:\&quot;Merchant\&quot;,\&quot;value\&quot;:\&quot;Advance Auto Parts\&quot;},{\&quot;key\&quot;:\&quot;Amount $\&quot;,\&quot;value\&quot;:-12.71},{\&quot;key\&quot;:\&quot;Transaction_ID\&quot;,\&quot;value\&quot;:\&quot;014b8bfcafdb441a913d0e40ca51684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34},{\&quot;key\&quot;:\&quot;Merchant\&quot;,\&quot;value\&quot;:\&quot;T Mobile\&quot;},{\&quot;key\&quot;:\&quot;Amount $\&quot;,\&quot;value\&quot;:-86.25},{\&quot;key\&quot;:\&quot;Transaction_ID\&quot;,\&quot;value\&quot;:\&quot;47f4a1c1dd814083987ab77ee5cf5a8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33},{\&quot;key\&quot;:\&quot;Merchant\&quot;,\&quot;value\&quot;:\&quot;Lowe's\&quot;},{\&quot;key\&quot;:\&quot;Amount $\&quot;,\&quot;value\&quot;:-31.79},{\&quot;key\&quot;:\&quot;Transaction_ID\&quot;,\&quot;value\&quot;:\&quot;cb2844ca6544443ca8747266b311e09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33},{\&quot;key\&quot;:\&quot;Merchant\&quot;,\&quot;value\&quot;:\&quot;Venmo\&quot;},{\&quot;key\&quot;:\&quot;Amount $\&quot;,\&quot;value\&quot;:-220},{\&quot;key\&quot;:\&quot;Transaction_ID\&quot;,\&quot;value\&quot;:\&quot;8c3d6d0486e14e10a866f7bae47f7260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33},{\&quot;key\&quot;:\&quot;Merchant\&quot;,\&quot;value\&quot;:\&quot;Target\&quot;},{\&quot;key\&quot;:\&quot;Amount $\&quot;,\&quot;value\&quot;:-22.71},{\&quot;key\&quot;:\&quot;Transaction_ID\&quot;,\&quot;value\&quot;:\&quot;20f757aa1993459aa914ddc40cf02fe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32},{\&quot;key\&quot;:\&quot;Merchant\&quot;,\&quot;value\&quot;:\&quot;Apple Bill Ca Apple\&quot;},{\&quot;key\&quot;:\&quot;Amount $\&quot;,\&quot;value\&quot;:-31.79},{\&quot;key\&quot;:\&quot;Transaction_ID\&quot;,\&quot;value\&quot;:\&quot;8d7a6239fcb149d7966aa633bbb09d5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32},{\&quot;key\&quot;:\&quot;Merchant\&quot;,\&quot;value\&quot;:\&quot;Bodos Bagels Charlottesvilva\&quot;},{\&quot;key\&quot;:\&quot;Amount $\&quot;,\&quot;value\&quot;:-8.27},{\&quot;key\&quot;:\&quot;Transaction_ID\&quot;,\&quot;value\&quot;:\&quot;50decbd42ddd4733a4023a62e56d062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31},{\&quot;key\&quot;:\&quot;Merchant\&quot;,\&quot;value\&quot;:\&quot;Hark Vineyards Earlysville Va\&quot;},{\&quot;key\&quot;:\&quot;Amount $\&quot;,\&quot;value\&quot;:-12.64},{\&quot;key\&quot;:\&quot;Transaction_ID\&quot;,\&quot;value\&quot;:\&quot;f4e7975c5ccf4ebdb5f57918eef312e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30},{\&quot;key\&quot;:\&quot;Merchant\&quot;,\&quot;value\&quot;:\&quot;Gasbuddy Gasbuddy Sean Lewis\&quot;},{\&quot;key\&quot;:\&quot;Amount $\&quot;,\&quot;value\&quot;:-21.39},{\&quot;key\&quot;:\&quot;Transaction_ID\&quot;,\&quot;value\&quot;:\&quot;e030083533e749e5a40782143310426b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30},{\&quot;key\&quot;:\&quot;Merchant\&quot;,\&quot;value\&quot;:\&quot;Jason's Deli\&quot;},{\&quot;key\&quot;:\&quot;Amount $\&quot;,\&quot;value\&quot;:-19.73},{\&quot;key\&quot;:\&quot;Transaction_ID\&quot;,\&quot;value\&quot;:\&quot;d3baa01373b549cfa5b5056e27eb03d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30},{\&quot;key\&quot;:\&quot;Merchant\&quot;,\&quot;value\&quot;:\&quot;Office Depot\&quot;},{\&quot;key\&quot;:\&quot;Amount $\&quot;,\&quot;value\&quot;:-7.61},{\&quot;key\&quot;:\&quot;Transaction_ID\&quot;,\&quot;value\&quot;:\&quot;ac275d79f5d2464aad2b62f9e41ff23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30},{\&quot;key\&quot;:\&quot;Merchant\&quot;,\&quot;value\&quot;:\&quot;Drive Shack Richmond Goochland\&quot;},{\&quot;key\&quot;:\&quot;Amount $\&quot;,\&quot;value\&quot;:-90},{\&quot;key\&quot;:\&quot;Transaction_ID\&quot;,\&quot;value\&quot;:\&quot;a2b93a853f98491481bfb2094ce3a2f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30},{\&quot;key\&quot;:\&quot;Merchant\&quot;,\&quot;value\&quot;:\&quot;Tommys Exp Cw\&quot;},{\&quot;key\&quot;:\&quot;Amount $\&quot;,\&quot;value\&quot;:-16},{\&quot;key\&quot;:\&quot;Transaction_ID\&quot;,\&quot;value\&quot;:\&quot;57b7170d8bd04c4394d999671577684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30},{\&quot;key\&quot;:\&quot;Merchant\&quot;,\&quot;value\&quot;:\&quot;Money Transfer Authorized On\&quot;},{\&quot;key\&quot;:\&quot;Amount $\&quot;,\&quot;value\&quot;:136.14},{\&quot;key\&quot;:\&quot;Transaction_ID\&quot;,\&quot;value\&quot;:\&quot;31fa6642e15e4bbeb2152d805a17fe95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29},{\&quot;key\&quot;:\&quot;Merchant\&quot;,\&quot;value\&quot;:\&quot;Target\&quot;},{\&quot;key\&quot;:\&quot;Amount $\&quot;,\&quot;value\&quot;:-30.28},{\&quot;key\&quot;:\&quot;Transaction_ID\&quot;,\&quot;value\&quot;:\&quot;6fbdea0ae7454ef280b5aaf0b17812e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28},{\&quot;key\&quot;:\&quot;Merchant\&quot;,\&quot;value\&quot;:\&quot;Amer Fam Fit Va\&quot;},{\&quot;key\&quot;:\&quot;Amount $\&quot;,\&quot;value\&quot;:-2},{\&quot;key\&quot;:\&quot;Transaction_ID\&quot;,\&quot;value\&quot;:\&quot;db5b7424c1114940b62f4b7bf4e5b28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28},{\&quot;key\&quot;:\&quot;Merchant\&quot;,\&quot;value\&quot;:\&quot;Venmo\&quot;},{\&quot;key\&quot;:\&quot;Amount $\&quot;,\&quot;value\&quot;:150},{\&quot;key\&quot;:\&quot;Transaction_ID\&quot;,\&quot;value\&quot;:\&quot;75cf72b768b04231890f3cd877c7c593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28},{\&quot;key\&quot;:\&quot;Merchant\&quot;,\&quot;value\&quot;:\&quot;Vizmediallc\&quot;},{\&quot;key\&quot;:\&quot;Amount $\&quot;,\&quot;value\&quot;:-1.99},{\&quot;key\&quot;:\&quot;Transaction_ID\&quot;,\&quot;value\&quot;:\&quot;243bad4911174a2cb356f7d7db2ed7f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27},{\&quot;key\&quot;:\&quot;Merchant\&quot;,\&quot;value\&quot;:\&quot;Gasbuddy Gasbuddy Sean Lewis\&quot;},{\&quot;key\&quot;:\&quot;Amount $\&quot;,\&quot;value\&quot;:-28.93},{\&quot;key\&quot;:\&quot;Transaction_ID\&quot;,\&quot;value\&quot;:\&quot;aba5219d20a747ed838c598f7448910b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27},{\&quot;key\&quot;:\&quot;Merchant\&quot;,\&quot;value\&quot;:\&quot;Amer Fam Fit Va\&quot;},{\&quot;key\&quot;:\&quot;Amount $\&quot;,\&quot;value\&quot;:-1.52},{\&quot;key\&quot;:\&quot;Transaction_ID\&quot;,\&quot;value\&quot;:\&quot;4c67fe71dfe242fcb7c683ffa900da4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27},{\&quot;key\&quot;:\&quot;Merchant\&quot;,\&quot;value\&quot;:\&quot;Target\&quot;},{\&quot;key\&quot;:\&quot;Amount $\&quot;,\&quot;value\&quot;:-13.86},{\&quot;key\&quot;:\&quot;Transaction_ID\&quot;,\&quot;value\&quot;:\&quot;4304f3edbf934ae6bd5590634832c20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27},{\&quot;key\&quot;:\&quot;Merchant\&quot;,\&quot;value\&quot;:\&quot;Take 5 232\&quot;},{\&quot;key\&quot;:\&quot;Amount $\&quot;,\&quot;value\&quot;:-86.17},{\&quot;key\&quot;:\&quot;Transaction_ID\&quot;,\&quot;value\&quot;:\&quot;3ebb7f9eed1a4ca5a6e5f02086a686e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27},{\&quot;key\&quot;:\&quot;Merchant\&quot;,\&quot;value\&quot;:\&quot;Taco Bell\&quot;},{\&quot;key\&quot;:\&quot;Amount $\&quot;,\&quot;value\&quot;:-14.39},{\&quot;key\&quot;:\&quot;Transaction_ID\&quot;,\&quot;value\&quot;:\&quot;0a3122add3c54c71ae577f84a5b1808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26},{\&quot;key\&quot;:\&quot;Merchant\&quot;,\&quot;value\&quot;:\&quot;Venmo\&quot;},{\&quot;key\&quot;:\&quot;Amount $\&quot;,\&quot;value\&quot;:-150},{\&quot;key\&quot;:\&quot;Transaction_ID\&quot;,\&quot;value\&quot;:\&quot;558dda38f25a4e30b36638e6c073d665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26},{\&quot;key\&quot;:\&quot;Merchant\&quot;,\&quot;value\&quot;:\&quot;Apple Bill Ca Apple\&quot;},{\&quot;key\&quot;:\&quot;Amount $\&quot;,\&quot;value\&quot;:-15.89},{\&quot;key\&quot;:\&quot;Transaction_ID\&quot;,\&quot;value\&quot;:\&quot;369b732972c34c33bac30f66995a0fa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26},{\&quot;key\&quot;:\&quot;Merchant\&quot;,\&quot;value\&quot;:\&quot;Venmo\&quot;},{\&quot;key\&quot;:\&quot;Amount $\&quot;,\&quot;value\&quot;:-136.14},{\&quot;key\&quot;:\&quot;Transaction_ID\&quot;,\&quot;value\&quot;:\&quot;0b7366a5baff469eb5125e080d8a7cf1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26},{\&quot;key\&quot;:\&quot;Merchant\&quot;,\&quot;value\&quot;:\&quot;Square Enix Ca Square\&quot;},{\&quot;key\&quot;:\&quot;Amount $\&quot;,\&quot;value\&quot;:-77.94},{\&quot;key\&quot;:\&quot;Transaction_ID\&quot;,\&quot;value\&quot;:\&quot;06259a7fac6e4fa9820e6ff3f465d0b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23},{\&quot;key\&quot;:\&quot;Merchant\&quot;,\&quot;value\&quot;:\&quot;Elephant Ins Payroll Lewis\&quot;},{\&quot;key\&quot;:\&quot;Amount $\&quot;,\&quot;value\&quot;:1174.52},{\&quot;key\&quot;:\&quot;Transaction_ID\&quot;,\&quot;value\&quot;:\&quot;f21078f6fa0b4214911c46ceb45c6934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23},{\&quot;key\&quot;:\&quot;Merchant\&quot;,\&quot;value\&quot;:\&quot;American Family Fit Shor\&quot;},{\&quot;key\&quot;:\&quot;Amount $\&quot;,\&quot;value\&quot;:-94.95},{\&quot;key\&quot;:\&quot;Transaction_ID\&quot;,\&quot;value\&quot;:\&quot;d02dfc6054e448e1a857903a1eb5ea8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23},{\&quot;key\&quot;:\&quot;Merchant\&quot;,\&quot;value\&quot;:\&quot;Avidia Bank Setl Lewis\&quot;},{\&quot;key\&quot;:\&quot;Amount $\&quot;,\&quot;value\&quot;:803.91},{\&quot;key\&quot;:\&quot;Transaction_ID\&quot;,\&quot;value\&quot;:\&quot;b36d8d9cfd164ad1a9fd439272020acf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23},{\&quot;key\&quot;:\&quot;Merchant\&quot;,\&quot;value\&quot;:\&quot;Banners Hallmark 54\&quot;},{\&quot;key\&quot;:\&quot;Amount $\&quot;,\&quot;value\&quot;:-98.48},{\&quot;key\&quot;:\&quot;Transaction_ID\&quot;,\&quot;value\&quot;:\&quot;8597b87bf3a54df59c6b104f96714f7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23},{\&quot;key\&quot;:\&quot;Merchant\&quot;,\&quot;value\&quot;:\&quot;Aldi\&quot;},{\&quot;key\&quot;:\&quot;Amount $\&quot;,\&quot;value\&quot;:-10.48},{\&quot;key\&quot;:\&quot;Transaction_ID\&quot;,\&quot;value\&quot;:\&quot;6ace05bad24d414fa6aae61859c1ddb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22},{\&quot;key\&quot;:\&quot;Merchant\&quot;,\&quot;value\&quot;:\&quot;New Manchester F Web\&quot;},{\&quot;key\&quot;:\&quot;Amount $\&quot;,\&quot;value\&quot;:-200},{\&quot;key\&quot;:\&quot;Transaction_ID\&quot;,\&quot;value\&quot;:\&quot;7807a7cb901142d88c657ed985f4c673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22},{\&quot;key\&quot;:\&quot;Merchant\&quot;,\&quot;value\&quot;:\&quot;New Manchester F Web\&quot;},{\&quot;key\&quot;:\&quot;Amount $\&quot;,\&quot;value\&quot;:-200},{\&quot;key\&quot;:\&quot;Transaction_ID\&quot;,\&quot;value\&quot;:\&quot;194076d77368422e89b5c20d3cd25754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21},{\&quot;key\&quot;:\&quot;Merchant\&quot;,\&quot;value\&quot;:\&quot;Discover E Payment Lewis\&quot;},{\&quot;key\&quot;:\&quot;Amount $\&quot;,\&quot;value\&quot;:-1404.1},{\&quot;key\&quot;:\&quot;Transaction_ID\&quot;,\&quot;value\&quot;:\&quot;7c4e322b5db74a3fa6375c2b680c0d85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21},{\&quot;key\&quot;:\&quot;Merchant\&quot;,\&quot;value\&quot;:\&quot;Internet Payment\&quot;},{\&quot;key\&quot;:\&quot;Amount $\&quot;,\&quot;value\&quot;:1404.1},{\&quot;key\&quot;:\&quot;Transaction_ID\&quot;,\&quot;value\&quot;:\&quot;7bea2ff147be451394217857e392464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20},{\&quot;key\&quot;:\&quot;Merchant\&quot;,\&quot;value\&quot;:\&quot;State Farm\&quot;},{\&quot;key\&quot;:\&quot;Amount $\&quot;,\&quot;value\&quot;:-91.78},{\&quot;key\&quot;:\&quot;Transaction_ID\&quot;,\&quot;value\&quot;:\&quot;3f8620ede04c49399cd1b3126f940d9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19},{\&quot;key\&quot;:\&quot;Merchant\&quot;,\&quot;value\&quot;:\&quot;Exxonmobil\&quot;},{\&quot;key\&quot;:\&quot;Amount $\&quot;,\&quot;value\&quot;:-27.57},{\&quot;key\&quot;:\&quot;Transaction_ID\&quot;,\&quot;value\&quot;:\&quot;f3121982c80e4343b4405f2f596b566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19},{\&quot;key\&quot;:\&quot;Merchant\&quot;,\&quot;value\&quot;:\&quot;Amc Richmond 10\&quot;},{\&quot;key\&quot;:\&quot;Amount $\&quot;,\&quot;value\&quot;:-30.73},{\&quot;key\&quot;:\&quot;Transaction_ID\&quot;,\&quot;value\&quot;:\&quot;e121b598874c48499d897a74c0e45d0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19},{\&quot;key\&quot;:\&quot;Merchant\&quot;,\&quot;value\&quot;:\&quot;Cor Mobile App Meter\&quot;},{\&quot;key\&quot;:\&quot;Amount $\&quot;,\&quot;value\&quot;:-1.5},{\&quot;key\&quot;:\&quot;Transaction_ID\&quot;,\&quot;value\&quot;:\&quot;9e236dd3633d413abed5741243be53e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19},{\&quot;key\&quot;:\&quot;Merchant\&quot;,\&quot;value\&quot;:\&quot;Venmo\&quot;},{\&quot;key\&quot;:\&quot;Amount $\&quot;,\&quot;value\&quot;:-50},{\&quot;key\&quot;:\&quot;Transaction_ID\&quot;,\&quot;value\&quot;:\&quot;9afbbe96f2cc4ea5a1ad450f04bdfe7e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19},{\&quot;key\&quot;:\&quot;Merchant\&quot;,\&quot;value\&quot;:\&quot;Hulu\&quot;},{\&quot;key\&quot;:\&quot;Amount $\&quot;,\&quot;value\&quot;:-5.99},{\&quot;key\&quot;:\&quot;Transaction_ID\&quot;,\&quot;value\&quot;:\&quot;8c1dd4fb214247cda67ff9fe88a06fa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19},{\&quot;key\&quot;:\&quot;Merchant\&quot;,\&quot;value\&quot;:\&quot;Public Storage\&quot;},{\&quot;key\&quot;:\&quot;Amount $\&quot;,\&quot;value\&quot;:-54.6},{\&quot;key\&quot;:\&quot;Transaction_ID\&quot;,\&quot;value\&quot;:\&quot;87e712b7304f4b0287fef4807427760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19},{\&quot;key\&quot;:\&quot;Merchant\&quot;,\&quot;value\&quot;:\&quot;Whole Foods\&quot;},{\&quot;key\&quot;:\&quot;Amount $\&quot;,\&quot;value\&quot;:-73.37},{\&quot;key\&quot;:\&quot;Transaction_ID\&quot;,\&quot;value\&quot;:\&quot;15bd723c2ae04b8689a066bae664e32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18},{\&quot;key\&quot;:\&quot;Merchant\&quot;,\&quot;value\&quot;:\&quot;Fandango\&quot;},{\&quot;key\&quot;:\&quot;Amount $\&quot;,\&quot;value\&quot;:38.74},{\&quot;key\&quot;:\&quot;Transaction_ID\&quot;,\&quot;value\&quot;:\&quot;ff889fa58a694edea7f006db01b143b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18},{\&quot;key\&quot;:\&quot;Merchant\&quot;,\&quot;value\&quot;:\&quot;Fandango\&quot;},{\&quot;key\&quot;:\&quot;Amount $\&quot;,\&quot;value\&quot;:-38.74},{\&quot;key\&quot;:\&quot;Transaction_ID\&quot;,\&quot;value\&quot;:\&quot;ca0010b33b394a91ae78b7c191d285b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18},{\&quot;key\&quot;:\&quot;Merchant\&quot;,\&quot;value\&quot;:\&quot;Fandango\&quot;},{\&quot;key\&quot;:\&quot;Amount $\&quot;,\&quot;value\&quot;:-18.96},{\&quot;key\&quot;:\&quot;Transaction_ID\&quot;,\&quot;value\&quot;:\&quot;7fe8c9381ce746f088a94842c925691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18},{\&quot;key\&quot;:\&quot;Merchant\&quot;,\&quot;value\&quot;:\&quot;Webull Tech\&quot;},{\&quot;key\&quot;:\&quot;Amount $\&quot;,\&quot;value\&quot;:-1.99},{\&quot;key\&quot;:\&quot;Transaction_ID\&quot;,\&quot;value\&quot;:\&quot;57d58e6596bd4a69a953abd2eac3be2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17},{\&quot;key\&quot;:\&quot;Merchant\&quot;,\&quot;value\&quot;:\&quot;Tan A Supermarket\&quot;},{\&quot;key\&quot;:\&quot;Amount $\&quot;,\&quot;value\&quot;:-69.52},{\&quot;key\&quot;:\&quot;Transaction_ID\&quot;,\&quot;value\&quot;:\&quot;be232c232f734c369cc2943cf3c1c1a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17},{\&quot;key\&quot;:\&quot;Merchant\&quot;,\&quot;value\&quot;:\&quot;Netflix\&quot;},{\&quot;key\&quot;:\&quot;Amount $\&quot;,\&quot;value\&quot;:-14.83},{\&quot;key\&quot;:\&quot;Transaction_ID\&quot;,\&quot;value\&quot;:\&quot;9cbc6312ead44e03b9bdce069a1256b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17},{\&quot;key\&quot;:\&quot;Merchant\&quot;,\&quot;value\&quot;:\&quot;Spotify\&quot;},{\&quot;key\&quot;:\&quot;Amount $\&quot;,\&quot;value\&quot;:-9.99},{\&quot;key\&quot;:\&quot;Transaction_ID\&quot;,\&quot;value\&quot;:\&quot;8244bce49e834d30a53bb9312d734fb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17},{\&quot;key\&quot;:\&quot;Merchant\&quot;,\&quot;value\&quot;:\&quot;Narwhals Rolled Ic Richmond\&quot;},{\&quot;key\&quot;:\&quot;Amount $\&quot;,\&quot;value\&quot;:-18.4},{\&quot;key\&quot;:\&quot;Transaction_ID\&quot;,\&quot;value\&quot;:\&quot;59e8bc4c0bca48739821c1ab3addaeb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17},{\&quot;key\&quot;:\&quot;Merchant\&quot;,\&quot;value\&quot;:\&quot;Aldi\&quot;},{\&quot;key\&quot;:\&quot;Amount $\&quot;,\&quot;value\&quot;:-49.53},{\&quot;key\&quot;:\&quot;Transaction_ID\&quot;,\&quot;value\&quot;:\&quot;4c777aa1b92d46e19326457939eeff5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17},{\&quot;key\&quot;:\&quot;Merchant\&quot;,\&quot;value\&quot;:\&quot;Jimmy Johns\&quot;},{\&quot;key\&quot;:\&quot;Amount $\&quot;,\&quot;value\&quot;:-7.54},{\&quot;key\&quot;:\&quot;Transaction_ID\&quot;,\&quot;value\&quot;:\&quot;43fc134bc83441e3afe65753c47293c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17},{\&quot;key\&quot;:\&quot;Merchant\&quot;,\&quot;value\&quot;:\&quot;Ust Usta Membership Ny\&quot;},{\&quot;key\&quot;:\&quot;Amount $\&quot;,\&quot;value\&quot;:-44},{\&quot;key\&quot;:\&quot;Transaction_ID\&quot;,\&quot;value\&quot;:\&quot;3536fc578c9a43e394469231356b006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17},{\&quot;key\&quot;:\&quot;Merchant\&quot;,\&quot;value\&quot;:\&quot;Target\&quot;},{\&quot;key\&quot;:\&quot;Amount $\&quot;,\&quot;value\&quot;:-42.38},{\&quot;key\&quot;:\&quot;Transaction_ID\&quot;,\&quot;value\&quot;:\&quot;2c449d66bfe349f4a5e28f3a3ef59bf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17},{\&quot;key\&quot;:\&quot;Merchant\&quot;,\&quot;value\&quot;:\&quot;Target\&quot;},{\&quot;key\&quot;:\&quot;Amount $\&quot;,\&quot;value\&quot;:-25.42},{\&quot;key\&quot;:\&quot;Transaction_ID\&quot;,\&quot;value\&quot;:\&quot;0b8cf690c8134b5eaf63037fa343f3d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16},{\&quot;key\&quot;:\&quot;Merchant\&quot;,\&quot;value\&quot;:\&quot;Aldi\&quot;},{\&quot;key\&quot;:\&quot;Amount $\&quot;,\&quot;value\&quot;:-20.92},{\&quot;key\&quot;:\&quot;Transaction_ID\&quot;,\&quot;value\&quot;:\&quot;b3a573cebf004f9da13bbea6f973ead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16},{\&quot;key\&quot;:\&quot;Merchant\&quot;,\&quot;value\&quot;:\&quot;Amer Fam Fit Va\&quot;},{\&quot;key\&quot;:\&quot;Amount $\&quot;,\&quot;value\&quot;:-2.12},{\&quot;key\&quot;:\&quot;Transaction_ID\&quot;,\&quot;value\&quot;:\&quot;66693fe7e1884b31a2eeeec1599e8d9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15},{\&quot;key\&quot;:\&quot;Merchant\&quot;,\&quot;value\&quot;:\&quot;Cash App Engagetm\&quot;},{\&quot;key\&quot;:\&quot;Amount $\&quot;,\&quot;value\&quot;:-50},{\&quot;key\&quot;:\&quot;Transaction_ID\&quot;,\&quot;value\&quot;:\&quot;cc1d344889c54a37818a4776e1e55fe6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14},{\&quot;key\&quot;:\&quot;Merchant\&quot;,\&quot;value\&quot;:\&quot;Organic Krush\&quot;},{\&quot;key\&quot;:\&quot;Amount $\&quot;,\&quot;value\&quot;:-55.66},{\&quot;key\&quot;:\&quot;Transaction_ID\&quot;,\&quot;value\&quot;:\&quot;9dd18436339d4d5d854be93033eab9a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14},{\&quot;key\&quot;:\&quot;Merchant\&quot;,\&quot;value\&quot;:\&quot;Jimmy Johns\&quot;},{\&quot;key\&quot;:\&quot;Amount $\&quot;,\&quot;value\&quot;:-23.95},{\&quot;key\&quot;:\&quot;Transaction_ID\&quot;,\&quot;value\&quot;:\&quot;3e1768a455ff4a999ec00fb4cb63d36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14},{\&quot;key\&quot;:\&quot;Merchant\&quot;,\&quot;value\&quot;:\&quot;Cvs\&quot;},{\&quot;key\&quot;:\&quot;Amount $\&quot;,\&quot;value\&quot;:-28.54},{\&quot;key\&quot;:\&quot;Transaction_ID\&quot;,\&quot;value\&quot;:\&quot;3a6f24ac8cb847d4b82d00451e7cef2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14},{\&quot;key\&quot;:\&quot;Merchant\&quot;,\&quot;value\&quot;:\&quot;American Family Fit Shor\&quot;},{\&quot;key\&quot;:\&quot;Amount $\&quot;,\&quot;value\&quot;:-2.12},{\&quot;key\&quot;:\&quot;Transaction_ID\&quot;,\&quot;value\&quot;:\&quot;30e901b5b08c49c6ba6b693ccb7f5fc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13},{\&quot;key\&quot;:\&quot;Merchant\&quot;,\&quot;value\&quot;:\&quot;7 Eleven\&quot;},{\&quot;key\&quot;:\&quot;Amount $\&quot;,\&quot;value\&quot;:-26.97},{\&quot;key\&quot;:\&quot;Transaction_ID\&quot;,\&quot;value\&quot;:\&quot;b60053786286443a9f95df961166f33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13},{\&quot;key\&quot;:\&quot;Merchant\&quot;,\&quot;value\&quot;:\&quot;Couplecents\&quot;},{\&quot;key\&quot;:\&quot;Amount $\&quot;,\&quot;value\&quot;:-9.99},{\&quot;key\&quot;:\&quot;Transaction_ID\&quot;,\&quot;value\&quot;:\&quot;85d2604c93484fa19a06a81cd62bb96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13},{\&quot;key\&quot;:\&quot;Merchant\&quot;,\&quot;value\&quot;:\&quot;Cvs\&quot;},{\&quot;key\&quot;:\&quot;Amount $\&quot;,\&quot;value\&quot;:-5},{\&quot;key\&quot;:\&quot;Transaction_ID\&quot;,\&quot;value\&quot;:\&quot;5dd8c701cff64f74b8d7807b7a60cfa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12},{\&quot;key\&quot;:\&quot;Merchant\&quot;,\&quot;value\&quot;:\&quot;Mcdonald's\&quot;},{\&quot;key\&quot;:\&quot;Amount $\&quot;,\&quot;value\&quot;:-13.27},{\&quot;key\&quot;:\&quot;Transaction_ID\&quot;,\&quot;value\&quot;:\&quot;46001b60212f49d2932ea82f1d29385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10},{\&quot;key\&quot;:\&quot;Merchant\&quot;,\&quot;value\&quot;:\&quot;Lowe's\&quot;},{\&quot;key\&quot;:\&quot;Amount $\&quot;,\&quot;value\&quot;:-84.67},{\&quot;key\&quot;:\&quot;Transaction_ID\&quot;,\&quot;value\&quot;:\&quot;c00894447b884dfa99c741056850757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10},{\&quot;key\&quot;:\&quot;Merchant\&quot;,\&quot;value\&quot;:\&quot;Capitol Waffle Sho Richmond\&quot;},{\&quot;key\&quot;:\&quot;Amount $\&quot;,\&quot;value\&quot;:-5.78},{\&quot;key\&quot;:\&quot;Transaction_ID\&quot;,\&quot;value\&quot;:\&quot;a9fc1ec721064805b86472b453729de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10},{\&quot;key\&quot;:\&quot;Merchant\&quot;,\&quot;value\&quot;:\&quot;Capitol Waffle Sho Richmond\&quot;},{\&quot;key\&quot;:\&quot;Amount $\&quot;,\&quot;value\&quot;:-12.24},{\&quot;key\&quot;:\&quot;Transaction_ID\&quot;,\&quot;value\&quot;:\&quot;1c4c28cb43e44a3e95d18af9c2d1622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09},{\&quot;key\&quot;:\&quot;Merchant\&quot;,\&quot;value\&quot;:\&quot;Venmo\&quot;},{\&quot;key\&quot;:\&quot;Amount $\&quot;,\&quot;value\&quot;:-700},{\&quot;key\&quot;:\&quot;Transaction_ID\&quot;,\&quot;value\&quot;:\&quot;b6596648c8874eaaa363b0cdc3fa1f03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09},{\&quot;key\&quot;:\&quot;Merchant\&quot;,\&quot;value\&quot;:\&quot;Elephant Ins Payroll Lewis\&quot;},{\&quot;key\&quot;:\&quot;Amount $\&quot;,\&quot;value\&quot;:1174.51},{\&quot;key\&quot;:\&quot;Transaction_ID\&quot;,\&quot;value\&quot;:\&quot;94ddaaffc6c54016aa6c1926106cd153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09},{\&quot;key\&quot;:\&quot;Merchant\&quot;,\&quot;value\&quot;:\&quot;Bonchon Mechanicsville Mechanicsvillva\&quot;},{\&quot;key\&quot;:\&quot;Amount $\&quot;,\&quot;value\&quot;:-47.61},{\&quot;key\&quot;:\&quot;Transaction_ID\&quot;,\&quot;value\&quot;:\&quot;61d9d89d35d74c23acdb4643279f9a9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08},{\&quot;key\&quot;:\&quot;Merchant\&quot;,\&quot;value\&quot;:\&quot;Dick's Sporting Go\&quot;},{\&quot;key\&quot;:\&quot;Amount $\&quot;,\&quot;value\&quot;:-10.6},{\&quot;key\&quot;:\&quot;Transaction_ID\&quot;,\&quot;value\&quot;:\&quot;5bef01f2d86448e8a63dec924ec4db8f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07},{\&quot;key\&quot;:\&quot;Merchant\&quot;,\&quot;value\&quot;:\&quot;Kingsisle Pi Tx\&quot;},{\&quot;key\&quot;:\&quot;Amount $\&quot;,\&quot;value\&quot;:-9.95},{\&quot;key\&quot;:\&quot;Transaction_ID\&quot;,\&quot;value\&quot;:\&quot;bb3c7261bba14c3d9242bb39e1188e6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07},{\&quot;key\&quot;:\&quot;Merchant\&quot;,\&quot;value\&quot;:\&quot;Amer Fam Fit Va\&quot;},{\&quot;key\&quot;:\&quot;Amount $\&quot;,\&quot;value\&quot;:-4.24},{\&quot;key\&quot;:\&quot;Transaction_ID\&quot;,\&quot;value\&quot;:\&quot;baeaf210aff548bb91d651c161a595a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07},{\&quot;key\&quot;:\&quot;Merchant\&quot;,\&quot;value\&quot;:\&quot;Pp Roku For Crunchyr\&quot;},{\&quot;key\&quot;:\&quot;Amount $\&quot;,\&quot;value\&quot;:-7.99},{\&quot;key\&quot;:\&quot;Transaction_ID\&quot;,\&quot;value\&quot;:\&quot;9ece22fb9cde4157b83b13d47dd7d61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07},{\&quot;key\&quot;:\&quot;Merchant\&quot;,\&quot;value\&quot;:\&quot;Uber Eats\&quot;},{\&quot;key\&quot;:\&quot;Amount $\&quot;,\&quot;value\&quot;:-44.61},{\&quot;key\&quot;:\&quot;Transaction_ID\&quot;,\&quot;value\&quot;:\&quot;83b1092f5f08419589485524290b2ce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06},{\&quot;key\&quot;:\&quot;Merchant\&quot;,\&quot;value\&quot;:\&quot;Wolframalpha\&quot;},{\&quot;key\&quot;:\&quot;Amount $\&quot;,\&quot;value\&quot;:-6.99},{\&quot;key\&quot;:\&quot;Transaction_ID\&quot;,\&quot;value\&quot;:\&quot;e5bf389426914d3cae345554d3f3e2f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06},{\&quot;key\&quot;:\&quot;Merchant\&quot;,\&quot;value\&quot;:\&quot;Exxonmobil\&quot;},{\&quot;key\&quot;:\&quot;Amount $\&quot;,\&quot;value\&quot;:-26.08},{\&quot;key\&quot;:\&quot;Transaction_ID\&quot;,\&quot;value\&quot;:\&quot;d2000787dd4a4b81bdbf786ebee9682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06},{\&quot;key\&quot;:\&quot;Merchant\&quot;,\&quot;value\&quot;:\&quot;Money Transfer Authorized On\&quot;},{\&quot;key\&quot;:\&quot;Amount $\&quot;,\&quot;value\&quot;:189},{\&quot;key\&quot;:\&quot;Transaction_ID\&quot;,\&quot;value\&quot;:\&quot;44e825cd909541558afe962c356550b4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05},{\&quot;key\&quot;:\&quot;Merchant\&quot;,\&quot;value\&quot;:\&quot;Mobile Deposit Ref Number\&quot;},{\&quot;key\&quot;:\&quot;Amount $\&quot;,\&quot;value\&quot;:30},{\&quot;key\&quot;:\&quot;Transaction_ID\&quot;,\&quot;value\&quot;:\&quot;de58669af1f84bb6bfd029b2227e3b57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05},{\&quot;key\&quot;:\&quot;Merchant\&quot;,\&quot;value\&quot;:\&quot;Cowaymega\&quot;},{\&quot;key\&quot;:\&quot;Amount $\&quot;,\&quot;value\&quot;:-159},{\&quot;key\&quot;:\&quot;Transaction_ID\&quot;,\&quot;value\&quot;:\&quot;887a0c873c514f85953d265d7f51ce6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05},{\&quot;key\&quot;:\&quot;Merchant\&quot;,\&quot;value\&quot;:\&quot;Venmo\&quot;},{\&quot;key\&quot;:\&quot;Amount $\&quot;,\&quot;value\&quot;:50},{\&quot;key\&quot;:\&quot;Transaction_ID\&quot;,\&quot;value\&quot;:\&quot;526b44c5af7b4f0a9a7e919246660d25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304},{\&quot;key\&quot;:\&quot;Merchant\&quot;,\&quot;value\&quot;:\&quot;Healing Spa\&quot;},{\&quot;key\&quot;:\&quot;Amount $\&quot;,\&quot;value\&quot;:-30},{\&quot;key\&quot;:\&quot;Transaction_ID\&quot;,\&quot;value\&quot;:\&quot;074ca013f05f49969fe193d21715cf9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03},{\&quot;key\&quot;:\&quot;Merchant\&quot;,\&quot;value\&quot;:\&quot;Jimmy Johns\&quot;},{\&quot;key\&quot;:\&quot;Amount $\&quot;,\&quot;value\&quot;:-17.14},{\&quot;key\&quot;:\&quot;Transaction_ID\&quot;,\&quot;value\&quot;:\&quot;6d2bf8c9b0a144f782cf6b540a684f2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03},{\&quot;key\&quot;:\&quot;Merchant\&quot;,\&quot;value\&quot;:\&quot;Amer Fam Fit Midlothian\&quot;},{\&quot;key\&quot;:\&quot;Amount $\&quot;,\&quot;value\&quot;:-3.63},{\&quot;key\&quot;:\&quot;Transaction_ID\&quot;,\&quot;value\&quot;:\&quot;375ffa7fd246443986080aa2202a897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03},{\&quot;key\&quot;:\&quot;Merchant\&quot;,\&quot;value\&quot;:\&quot;Public Storage\&quot;},{\&quot;key\&quot;:\&quot;Amount $\&quot;,\&quot;value\&quot;:21.05},{\&quot;key\&quot;:\&quot;Transaction_ID\&quot;,\&quot;value\&quot;:\&quot;10648b51ba1e4b6081621d6ffe17d30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01},{\&quot;key\&quot;:\&quot;Merchant\&quot;,\&quot;value\&quot;:\&quot;Mcdonald's\&quot;},{\&quot;key\&quot;:\&quot;Amount $\&quot;,\&quot;value\&quot;:-25.51},{\&quot;key\&quot;:\&quot;Transaction_ID\&quot;,\&quot;value\&quot;:\&quot;f6b42dee743c409b8539b132f04b3a4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01},{\&quot;key\&quot;:\&quot;Merchant\&quot;,\&quot;value\&quot;:\&quot;U Haul Store\&quot;},{\&quot;key\&quot;:\&quot;Amount $\&quot;,\&quot;value\&quot;:-26.4},{\&quot;key\&quot;:\&quot;Transaction_ID\&quot;,\&quot;value\&quot;:\&quot;4e0fb6210f1146598a3f798269303bc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00},{\&quot;key\&quot;:\&quot;Merchant\&quot;,\&quot;value\&quot;:\&quot;Amer Fam Fit Mechanicsvi\&quot;},{\&quot;key\&quot;:\&quot;Amount $\&quot;,\&quot;value\&quot;:-7.67},{\&quot;key\&quot;:\&quot;Transaction_ID\&quot;,\&quot;value\&quot;:\&quot;6ddbe1d48e224b948a9f285071cfa67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00},{\&quot;key\&quot;:\&quot;Merchant\&quot;,\&quot;value\&quot;:\&quot;Apple Bill Ca Apple\&quot;},{\&quot;key\&quot;:\&quot;Amount $\&quot;,\&quot;value\&quot;:-15.89},{\&quot;key\&quot;:\&quot;Transaction_ID\&quot;,\&quot;value\&quot;:\&quot;66798509f35c47129d87475f27337d3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00},{\&quot;key\&quot;:\&quot;Merchant\&quot;,\&quot;value\&quot;:\&quot;Taco Bell\&quot;},{\&quot;key\&quot;:\&quot;Amount $\&quot;,\&quot;value\&quot;:-26.47},{\&quot;key\&quot;:\&quot;Transaction_ID\&quot;,\&quot;value\&quot;:\&quot;3d706e2e29d54e3180ec7e97b6de84f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300},{\&quot;key\&quot;:\&quot;Merchant\&quot;,\&quot;value\&quot;:\&quot;Kroger\&quot;},{\&quot;key\&quot;:\&quot;Amount $\&quot;,\&quot;value\&quot;:-25.71},{\&quot;key\&quot;:\&quot;Transaction_ID\&quot;,\&quot;value\&quot;:\&quot;24e038df30f747f796799e6df17edbf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99},{\&quot;key\&quot;:\&quot;Merchant\&quot;,\&quot;value\&quot;:\&quot;Ezpassva Auto Replenish\&quot;},{\&quot;key\&quot;:\&quot;Amount $\&quot;,\&quot;value\&quot;:-35},{\&quot;key\&quot;:\&quot;Transaction_ID\&quot;,\&quot;value\&quot;:\&quot;dbfa71b5b9014e26ae094b3bcb1965e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99},{\&quot;key\&quot;:\&quot;Merchant\&quot;,\&quot;value\&quot;:\&quot;Stella S Grocery\&quot;},{\&quot;key\&quot;:\&quot;Amount $\&quot;,\&quot;value\&quot;:-4.4},{\&quot;key\&quot;:\&quot;Transaction_ID\&quot;,\&quot;value\&quot;:\&quot;6eaa1e6540e14e9999d31c185d57d13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98},{\&quot;key\&quot;:\&quot;Merchant\&quot;,\&quot;value\&quot;:\&quot;Cor Mobile App Meter\&quot;},{\&quot;key\&quot;:\&quot;Amount $\&quot;,\&quot;value\&quot;:-3},{\&quot;key\&quot;:\&quot;Transaction_ID\&quot;,\&quot;value\&quot;:\&quot;ffb03d6dc0e44ab29812f6b89278d8b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98},{\&quot;key\&quot;:\&quot;Merchant\&quot;,\&quot;value\&quot;:\&quot;Vizmediallc\&quot;},{\&quot;key\&quot;:\&quot;Amount $\&quot;,\&quot;value\&quot;:-1.99},{\&quot;key\&quot;:\&quot;Transaction_ID\&quot;,\&quot;value\&quot;:\&quot;e06dcb510b0a46cfadf2a5bbf1aacf3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98},{\&quot;key\&quot;:\&quot;Merchant\&quot;,\&quot;value\&quot;:\&quot;Jimmy Johns\&quot;},{\&quot;key\&quot;:\&quot;Amount $\&quot;,\&quot;value\&quot;:-9.3},{\&quot;key\&quot;:\&quot;Transaction_ID\&quot;,\&quot;value\&quot;:\&quot;c3048a2327a34c7396077b20076fa10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98},{\&quot;key\&quot;:\&quot;Merchant\&quot;,\&quot;value\&quot;:\&quot;Venmo\&quot;},{\&quot;key\&quot;:\&quot;Amount $\&quot;,\&quot;value\&quot;:-100},{\&quot;key\&quot;:\&quot;Transaction_ID\&quot;,\&quot;value\&quot;:\&quot;8bdc28ec101347c298c387c7d173a33d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98},{\&quot;key\&quot;:\&quot;Merchant\&quot;,\&quot;value\&quot;:\&quot;Public Storage\&quot;},{\&quot;key\&quot;:\&quot;Amount $\&quot;,\&quot;value\&quot;:-61.05},{\&quot;key\&quot;:\&quot;Transaction_ID\&quot;,\&quot;value\&quot;:\&quot;7e2adf38df1a404ba7c7976bf757c2d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98},{\&quot;key\&quot;:\&quot;Merchant\&quot;,\&quot;value\&quot;:\&quot;Venmo\&quot;},{\&quot;key\&quot;:\&quot;Amount $\&quot;,\&quot;value\&quot;:-138.52},{\&quot;key\&quot;:\&quot;Transaction_ID\&quot;,\&quot;value\&quot;:\&quot;6247dfeb6b6b4935a6f774fda52f8796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98},{\&quot;key\&quot;:\&quot;Merchant\&quot;,\&quot;value\&quot;:\&quot;Home Depot\&quot;},{\&quot;key\&quot;:\&quot;Amount $\&quot;,\&quot;value\&quot;:-7.91},{\&quot;key\&quot;:\&quot;Transaction_ID\&quot;,\&quot;value\&quot;:\&quot;3cbac09c03e841dbad22a4751314fdb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97},{\&quot;key\&quot;:\&quot;Merchant\&quot;,\&quot;value\&quot;:\&quot;Cash App Engagetm\&quot;},{\&quot;key\&quot;:\&quot;Amount $\&quot;,\&quot;value\&quot;:-250},{\&quot;key\&quot;:\&quot;Transaction_ID\&quot;,\&quot;value\&quot;:\&quot;f51059c34d5640d984c8c5d8dfae57db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97},{\&quot;key\&quot;:\&quot;Merchant\&quot;,\&quot;value\&quot;:\&quot;Amoco Amo\&quot;},{\&quot;key\&quot;:\&quot;Amount $\&quot;,\&quot;value\&quot;:-16.37},{\&quot;key\&quot;:\&quot;Transaction_ID\&quot;,\&quot;value\&quot;:\&quot;d70f347b41104a769a67901f0bf3323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96},{\&quot;key\&quot;:\&quot;Merchant\&quot;,\&quot;value\&quot;:\&quot;Colpark Loc 989\&quot;},{\&quot;key\&quot;:\&quot;Amount $\&quot;,\&quot;value\&quot;:-15},{\&quot;key\&quot;:\&quot;Transaction_ID\&quot;,\&quot;value\&quot;:\&quot;c7f4c70d7c4048ccaec52e72d884d32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96},{\&quot;key\&quot;:\&quot;Merchant\&quot;,\&quot;value\&quot;:\&quot;Dominion Car Wash Laburn\&quot;},{\&quot;key\&quot;:\&quot;Amount $\&quot;,\&quot;value\&quot;:-5.65},{\&quot;key\&quot;:\&quot;Transaction_ID\&quot;,\&quot;value\&quot;:\&quot;990709a79ad54dca9114c6b01d00210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96},{\&quot;key\&quot;:\&quot;Merchant\&quot;,\&quot;value\&quot;:\&quot;Sheetz\&quot;},{\&quot;key\&quot;:\&quot;Amount $\&quot;,\&quot;value\&quot;:-5.66},{\&quot;key\&quot;:\&quot;Transaction_ID\&quot;,\&quot;value\&quot;:\&quot;61cf15d8125a4a07af7fa1629a4c0d4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96},{\&quot;key\&quot;:\&quot;Merchant\&quot;,\&quot;value\&quot;:\&quot;Sheetz\&quot;},{\&quot;key\&quot;:\&quot;Amount $\&quot;,\&quot;value\&quot;:-4.5},{\&quot;key\&quot;:\&quot;Transaction_ID\&quot;,\&quot;value\&quot;:\&quot;4fd28eedc21c400f95444b3c89d789f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95},{\&quot;key\&quot;:\&quot;Merchant\&quot;,\&quot;value\&quot;:\&quot;Cvs\&quot;},{\&quot;key\&quot;:\&quot;Amount $\&quot;,\&quot;value\&quot;:-117.8},{\&quot;key\&quot;:\&quot;Transaction_ID\&quot;,\&quot;value\&quot;:\&quot;95fc5720c37640a0887264d11aae794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95},{\&quot;key\&quot;:\&quot;Merchant\&quot;,\&quot;value\&quot;:\&quot;Internet Payment\&quot;},{\&quot;key\&quot;:\&quot;Amount $\&quot;,\&quot;value\&quot;:450.02},{\&quot;key\&quot;:\&quot;Transaction_ID\&quot;,\&quot;value\&quot;:\&quot;2c7b9103b57a476c8b8aa514efa9967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95},{\&quot;key\&quot;:\&quot;Merchant\&quot;,\&quot;value\&quot;:\&quot;Discover E Payment Lewis\&quot;},{\&quot;key\&quot;:\&quot;Amount $\&quot;,\&quot;value\&quot;:-450.02},{\&quot;key\&quot;:\&quot;Transaction_ID\&quot;,\&quot;value\&quot;:\&quot;1b2da4a1566b4f47b8f815dc5f40a4ca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94},{\&quot;key\&quot;:\&quot;Merchant\&quot;,\&quot;value\&quot;:\&quot;Amer Fam Fit Va\&quot;},{\&quot;key\&quot;:\&quot;Amount $\&quot;,\&quot;value\&quot;:-4.24},{\&quot;key\&quot;:\&quot;Transaction_ID\&quot;,\&quot;value\&quot;:\&quot;44fd2b416a3840f1b89e68ae8f3ed7a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93},{\&quot;key\&quot;:\&quot;Merchant\&quot;,\&quot;value\&quot;:\&quot;Jimmy Johns\&quot;},{\&quot;key\&quot;:\&quot;Amount $\&quot;,\&quot;value\&quot;:-7.43},{\&quot;key\&quot;:\&quot;Transaction_ID\&quot;,\&quot;value\&quot;:\&quot;4a2ba21910a14187a5c8f76b933cc9d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93},{\&quot;key\&quot;:\&quot;Merchant\&quot;,\&quot;value\&quot;:\&quot;American Family Fit Shor\&quot;},{\&quot;key\&quot;:\&quot;Amount $\&quot;,\&quot;value\&quot;:-4.24},{\&quot;key\&quot;:\&quot;Transaction_ID\&quot;,\&quot;value\&quot;:\&quot;28a55a46d2eb424abd148218d11dede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93},{\&quot;key\&quot;:\&quot;Merchant\&quot;,\&quot;value\&quot;:\&quot;American Family Fit Shor\&quot;},{\&quot;key\&quot;:\&quot;Amount $\&quot;,\&quot;value\&quot;:-84.95},{\&quot;key\&quot;:\&quot;Transaction_ID\&quot;,\&quot;value\&quot;:\&quot;22cfeed66ba74e91b7193b8cb619a5e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91},{\&quot;key\&quot;:\&quot;Merchant\&quot;,\&quot;value\&quot;:\&quot;Mcdonald's\&quot;},{\&quot;key\&quot;:\&quot;Amount $\&quot;,\&quot;value\&quot;:-10.88},{\&quot;key\&quot;:\&quot;Transaction_ID\&quot;,\&quot;value\&quot;:\&quot;0310c337d4d0447cacb07210736647a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90},{\&quot;key\&quot;:\&quot;Merchant\&quot;,\&quot;value\&quot;:\&quot;Hulu\&quot;},{\&quot;key\&quot;:\&quot;Amount $\&quot;,\&quot;value\&quot;:-0.99},{\&quot;key\&quot;:\&quot;Transaction_ID\&quot;,\&quot;value\&quot;:\&quot;6aaa8591c71f498db0de8768d8cb573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90},{\&quot;key\&quot;:\&quot;Merchant\&quot;,\&quot;value\&quot;:\&quot;Uber Eats\&quot;},{\&quot;key\&quot;:\&quot;Amount $\&quot;,\&quot;value\&quot;:-169.85},{\&quot;key\&quot;:\&quot;Transaction_ID\&quot;,\&quot;value\&quot;:\&quot;0c5ed315361d4965abbf6c602481236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89},{\&quot;key\&quot;:\&quot;Merchant\&quot;,\&quot;value\&quot;:\&quot;State Farm\&quot;},{\&quot;key\&quot;:\&quot;Amount $\&quot;,\&quot;value\&quot;:-91.78},{\&quot;key\&quot;:\&quot;Transaction_ID\&quot;,\&quot;value\&quot;:\&quot;93090889dd8f4d25ad809e46e284fa7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89},{\&quot;key\&quot;:\&quot;Merchant\&quot;,\&quot;value\&quot;:\&quot;Colpark Loc 989\&quot;},{\&quot;key\&quot;:\&quot;Amount $\&quot;,\&quot;value\&quot;:-15},{\&quot;key\&quot;:\&quot;Transaction_ID\&quot;,\&quot;value\&quot;:\&quot;8ee357e80d74414b977b0b35d059998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89},{\&quot;key\&quot;:\&quot;Merchant\&quot;,\&quot;value\&quot;:\&quot;Mcdonald's\&quot;},{\&quot;key\&quot;:\&quot;Amount $\&quot;,\&quot;value\&quot;:-17.43},{\&quot;key\&quot;:\&quot;Transaction_ID\&quot;,\&quot;value\&quot;:\&quot;63b4bcabd4c64661afe3d813f73e9c5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89},{\&quot;key\&quot;:\&quot;Merchant\&quot;,\&quot;value\&quot;:\&quot;Marathon P\&quot;},{\&quot;key\&quot;:\&quot;Amount $\&quot;,\&quot;value\&quot;:-20.66},{\&quot;key\&quot;:\&quot;Transaction_ID\&quot;,\&quot;value\&quot;:\&quot;4c82f80d310249b79c568562bde93d3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88},{\&quot;key\&quot;:\&quot;Merchant\&quot;,\&quot;value\&quot;:\&quot;Webull Tech\&quot;},{\&quot;key\&quot;:\&quot;Amount $\&quot;,\&quot;value\&quot;:-1.99},{\&quot;key\&quot;:\&quot;Transaction_ID\&quot;,\&quot;value\&quot;:\&quot;931433fa30264997bed3d9a614b0096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87},{\&quot;key\&quot;:\&quot;Merchant\&quot;,\&quot;value\&quot;:\&quot;Spotify\&quot;},{\&quot;key\&quot;:\&quot;Amount $\&quot;,\&quot;value\&quot;:-9.99},{\&quot;key\&quot;:\&quot;Transaction_ID\&quot;,\&quot;value\&quot;:\&quot;86e0ff65f568457495fdf681e437f1b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87},{\&quot;key\&quot;:\&quot;Merchant\&quot;,\&quot;value\&quot;:\&quot;Netflix\&quot;},{\&quot;key\&quot;:\&quot;Amount $\&quot;,\&quot;value\&quot;:-14.83},{\&quot;key\&quot;:\&quot;Transaction_ID\&quot;,\&quot;value\&quot;:\&quot;316bc13a259e465088a14328a5eeff9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86},{\&quot;key\&quot;:\&quot;Merchant\&quot;,\&quot;value\&quot;:\&quot;Cash App Shevon Le\&quot;},{\&quot;key\&quot;:\&quot;Amount $\&quot;,\&quot;value\&quot;:-400},{\&quot;key\&quot;:\&quot;Transaction_ID\&quot;,\&quot;value\&quot;:\&quot;64b5cc6722e649f19b2392850775631a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86},{\&quot;key\&quot;:\&quot;Merchant\&quot;,\&quot;value\&quot;:\&quot;Discover E Payment Lewis\&quot;},{\&quot;key\&quot;:\&quot;Amount $\&quot;,\&quot;value\&quot;:-465.03},{\&quot;key\&quot;:\&quot;Transaction_ID\&quot;,\&quot;value\&quot;:\&quot;5676c0cdfe7343dd8981945c8be64556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86},{\&quot;key\&quot;:\&quot;Merchant\&quot;,\&quot;value\&quot;:\&quot;Internet Payment\&quot;},{\&quot;key\&quot;:\&quot;Amount $\&quot;,\&quot;value\&quot;:465.03},{\&quot;key\&quot;:\&quot;Transaction_ID\&quot;,\&quot;value\&quot;:\&quot;28f1646f30b74cb1a72a349ed98244c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84},{\&quot;key\&quot;:\&quot;Merchant\&quot;,\&quot;value\&quot;:\&quot;Deli 48\&quot;},{\&quot;key\&quot;:\&quot;Amount $\&quot;,\&quot;value\&quot;:-23.65},{\&quot;key\&quot;:\&quot;Transaction_ID\&quot;,\&quot;value\&quot;:\&quot;f41148fdad0d42968a45e5a6774eee7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84},{\&quot;key\&quot;:\&quot;Merchant\&quot;,\&quot;value\&quot;:\&quot;Deli 48\&quot;},{\&quot;key\&quot;:\&quot;Amount $\&quot;,\&quot;value\&quot;:-48.22},{\&quot;key\&quot;:\&quot;Transaction_ID\&quot;,\&quot;value\&quot;:\&quot;d5e8f9b0dff64a74904c423fe98a5cb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84},{\&quot;key\&quot;:\&quot;Merchant\&quot;,\&quot;value\&quot;:\&quot;Venmo\&quot;},{\&quot;key\&quot;:\&quot;Amount $\&quot;,\&quot;value\&quot;:-20},{\&quot;key\&quot;:\&quot;Transaction_ID\&quot;,\&quot;value\&quot;:\&quot;c4bad3f1cd2b4e869706dd936bbd2589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83},{\&quot;key\&quot;:\&quot;Merchant\&quot;,\&quot;value\&quot;:\&quot;Gong Cha Times Sq\&quot;},{\&quot;key\&quot;:\&quot;Amount $\&quot;,\&quot;value\&quot;:-8.13},{\&quot;key\&quot;:\&quot;Transaction_ID\&quot;,\&quot;value\&quot;:\&quot;dc05ba9b4a4548c7b4a66c31e23206a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83},{\&quot;key\&quot;:\&quot;Merchant\&quot;,\&quot;value\&quot;:\&quot;Crunch Fitness Va Crunch\&quot;},{\&quot;key\&quot;:\&quot;Amount $\&quot;,\&quot;value\&quot;:-9.95},{\&quot;key\&quot;:\&quot;Transaction_ID\&quot;,\&quot;value\&quot;:\&quot;0198f9982e3a48bba706c2a6f128770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82},{\&quot;key\&quot;:\&quot;Merchant\&quot;,\&quot;value\&quot;:\&quot;Mta Nyct Paygo New\&quot;},{\&quot;key\&quot;:\&quot;Amount $\&quot;,\&quot;value\&quot;:-2.75},{\&quot;key\&quot;:\&quot;Transaction_ID\&quot;,\&quot;value\&quot;:\&quot;fd167f1f1d8c4c29a10b6b86d263681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82},{\&quot;key\&quot;:\&quot;Merchant\&quot;,\&quot;value\&quot;:\&quot;Mta Nyct Paygo New\&quot;},{\&quot;key\&quot;:\&quot;Amount $\&quot;,\&quot;value\&quot;:-2.75},{\&quot;key\&quot;:\&quot;Transaction_ID\&quot;,\&quot;value\&quot;:\&quot;f1dc1dbfd71f40159f8cb317bc19e3a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82},{\&quot;key\&quot;:\&quot;Merchant\&quot;,\&quot;value\&quot;:\&quot;Couplecents\&quot;},{\&quot;key\&quot;:\&quot;Amount $\&quot;,\&quot;value\&quot;:-9.99},{\&quot;key\&quot;:\&quot;Transaction_ID\&quot;,\&quot;value\&quot;:\&quot;a1cdfdedf8c1426e984baafdca49dbb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82},{\&quot;key\&quot;:\&quot;Merchant\&quot;,\&quot;value\&quot;:\&quot;Wafels &amp; Dinges New\&quot;},{\&quot;key\&quot;:\&quot;Amount $\&quot;,\&quot;value\&quot;:-15.94},{\&quot;key\&quot;:\&quot;Transaction_ID\&quot;,\&quot;value\&quot;:\&quot;69702eb61bb94b4c8368b221ae65b3b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82},{\&quot;key\&quot;:\&quot;Merchant\&quot;,\&quot;value\&quot;:\&quot;Duane Reade\&quot;},{\&quot;key\&quot;:\&quot;Amount $\&quot;,\&quot;value\&quot;:-22.94},{\&quot;key\&quot;:\&quot;Transaction_ID\&quot;,\&quot;value\&quot;:\&quot;4b56c65b5f124453916f0aa2af014bf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82},{\&quot;key\&quot;:\&quot;Merchant\&quot;,\&quot;value\&quot;:\&quot;Cvs\&quot;},{\&quot;key\&quot;:\&quot;Amount $\&quot;,\&quot;value\&quot;:-5},{\&quot;key\&quot;:\&quot;Transaction_ID\&quot;,\&quot;value\&quot;:\&quot;39c69ea44f34401a884cb45d34a80b7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81},{\&quot;key\&quot;:\&quot;Merchant\&quot;,\&quot;value\&quot;:\&quot;Apple Bill Ca Apple\&quot;},{\&quot;key\&quot;:\&quot;Amount $\&quot;,\&quot;value\&quot;:-14.99},{\&quot;key\&quot;:\&quot;Transaction_ID\&quot;,\&quot;value\&quot;:\&quot;fa948de976264d838e55bcb2bceb97f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81},{\&quot;key\&quot;:\&quot;Merchant\&quot;,\&quot;value\&quot;:\&quot;Champs\&quot;},{\&quot;key\&quot;:\&quot;Amount $\&quot;,\&quot;value\&quot;:-141.59},{\&quot;key\&quot;:\&quot;Transaction_ID\&quot;,\&quot;value\&quot;:\&quot;cd6559a931b54c46a2df2ac67ce8f80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81},{\&quot;key\&quot;:\&quot;Merchant\&quot;,\&quot;value\&quot;:\&quot;Elephant Ins Payroll Lewis\&quot;},{\&quot;key\&quot;:\&quot;Amount $\&quot;,\&quot;value\&quot;:1457.82},{\&quot;key\&quot;:\&quot;Transaction_ID\&quot;,\&quot;value\&quot;:\&quot;cb354a015f3848ad97b0caf54e07538a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81},{\&quot;key\&quot;:\&quot;Merchant\&quot;,\&quot;value\&quot;:\&quot;Mta Nyct Paygo New\&quot;},{\&quot;key\&quot;:\&quot;Amount $\&quot;,\&quot;value\&quot;:-2.75},{\&quot;key\&quot;:\&quot;Transaction_ID\&quot;,\&quot;value\&quot;:\&quot;c049b53830b04d6d88c59d56086bc3e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81},{\&quot;key\&quot;:\&quot;Merchant\&quot;,\&quot;value\&quot;:\&quot;Internet Payment\&quot;},{\&quot;key\&quot;:\&quot;Amount $\&quot;,\&quot;value\&quot;:264.6},{\&quot;key\&quot;:\&quot;Transaction_ID\&quot;,\&quot;value\&quot;:\&quot;a39f1c78a38e49f490e917d543ea8c1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81},{\&quot;key\&quot;:\&quot;Merchant\&quot;,\&quot;value\&quot;:\&quot;Discover E Payment Lewis\&quot;},{\&quot;key\&quot;:\&quot;Amount $\&quot;,\&quot;value\&quot;:-264.6},{\&quot;key\&quot;:\&quot;Transaction_ID\&quot;,\&quot;value\&quot;:\&quot;3391ec44b3c24833a9e66d5b98995f14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81},{\&quot;key\&quot;:\&quot;Merchant\&quot;,\&quot;value\&quot;:\&quot;Mta Nyct Paygo New\&quot;},{\&quot;key\&quot;:\&quot;Amount $\&quot;,\&quot;value\&quot;:-2.75},{\&quot;key\&quot;:\&quot;Transaction_ID\&quot;,\&quot;value\&quot;:\&quot;1b86d843d985443d8d21b0dc3c7aeb3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80},{\&quot;key\&quot;:\&quot;Merchant\&quot;,\&quot;value\&quot;:\&quot;Duane Reade\&quot;},{\&quot;key\&quot;:\&quot;Amount $\&quot;,\&quot;value\&quot;:-16.94},{\&quot;key\&quot;:\&quot;Transaction_ID\&quot;,\&quot;value\&quot;:\&quot;fee7e4c89ac84370882b836461bcd97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80},{\&quot;key\&quot;:\&quot;Merchant\&quot;,\&quot;value\&quot;:\&quot;Five Guys\&quot;},{\&quot;key\&quot;:\&quot;Amount $\&quot;,\&quot;value\&quot;:-16.69},{\&quot;key\&quot;:\&quot;Transaction_ID\&quot;,\&quot;value\&quot;:\&quot;7d472fa2dca0484fba5bef2fcbdbe51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80},{\&quot;key\&quot;:\&quot;Merchant\&quot;,\&quot;value\&quot;:\&quot;Warby Parker\&quot;},{\&quot;key\&quot;:\&quot;Amount $\&quot;,\&quot;value\&quot;:-120},{\&quot;key\&quot;:\&quot;Transaction_ID\&quot;,\&quot;value\&quot;:\&quot;76e9c9d44cb74140acfd1414780e154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78},{\&quot;key\&quot;:\&quot;Merchant\&quot;,\&quot;value\&quot;:\&quot;Venmo\&quot;},{\&quot;key\&quot;:\&quot;Amount $\&quot;,\&quot;value\&quot;:-40},{\&quot;key\&quot;:\&quot;Transaction_ID\&quot;,\&quot;value\&quot;:\&quot;ca3a79090ac241dbb11fff61b26e2ced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78},{\&quot;key\&quot;:\&quot;Merchant\&quot;,\&quot;value\&quot;:\&quot;Mta Nyct Paygo New\&quot;},{\&quot;key\&quot;:\&quot;Amount $\&quot;,\&quot;value\&quot;:-2.75},{\&quot;key\&quot;:\&quot;Transaction_ID\&quot;,\&quot;value\&quot;:\&quot;728b9c1abe964a1597c22c1edf19d04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78},{\&quot;key\&quot;:\&quot;Merchant\&quot;,\&quot;value\&quot;:\&quot;New York Kimchi\&quot;},{\&quot;key\&quot;:\&quot;Amount $\&quot;,\&quot;value\&quot;:-14.1},{\&quot;key\&quot;:\&quot;Transaction_ID\&quot;,\&quot;value\&quot;:\&quot;605b3f2d90a147e3b80a4a0e0cb89c7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78},{\&quot;key\&quot;:\&quot;Merchant\&quot;,\&quot;value\&quot;:\&quot;Venmo\&quot;},{\&quot;key\&quot;:\&quot;Amount $\&quot;,\&quot;value\&quot;:-59},{\&quot;key\&quot;:\&quot;Transaction_ID\&quot;,\&quot;value\&quot;:\&quot;5a95a7a4dcde4764947e9db2b15ae7cc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78},{\&quot;key\&quot;:\&quot;Merchant\&quot;,\&quot;value\&quot;:\&quot;Venmo\&quot;},{\&quot;key\&quot;:\&quot;Amount $\&quot;,\&quot;value\&quot;:-8.33},{\&quot;key\&quot;:\&quot;Transaction_ID\&quot;,\&quot;value\&quot;:\&quot;17f137ff70dd4702a7d6919626c25187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76},{\&quot;key\&quot;:\&quot;Merchant\&quot;,\&quot;value\&quot;:\&quot;Pp Roku For Crunchyr\&quot;},{\&quot;key\&quot;:\&quot;Amount $\&quot;,\&quot;value\&quot;:-7.99},{\&quot;key\&quot;:\&quot;Transaction_ID\&quot;,\&quot;value\&quot;:\&quot;a44139f018004906844d6ddaad566ed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76},{\&quot;key\&quot;:\&quot;Merchant\&quot;,\&quot;value\&quot;:\&quot;Duane Reade\&quot;},{\&quot;key\&quot;:\&quot;Amount $\&quot;,\&quot;value\&quot;:-27.76},{\&quot;key\&quot;:\&quot;Transaction_ID\&quot;,\&quot;value\&quot;:\&quot;924ce29507464da0864804eb56a7317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76},{\&quot;key\&quot;:\&quot;Merchant\&quot;,\&quot;value\&quot;:\&quot;Kingsisle Pi Tx\&quot;},{\&quot;key\&quot;:\&quot;Amount $\&quot;,\&quot;value\&quot;:-9.95},{\&quot;key\&quot;:\&quot;Transaction_ID\&quot;,\&quot;value\&quot;:\&quot;837e5374fd36482891adbac4fb68ae6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76},{\&quot;key\&quot;:\&quot;Merchant\&quot;,\&quot;value\&quot;:\&quot;Google Google Youtub\&quot;},{\&quot;key\&quot;:\&quot;Amount $\&quot;,\&quot;value\&quot;:-64.99},{\&quot;key\&quot;:\&quot;Transaction_ID\&quot;,\&quot;value\&quot;:\&quot;088189ec15ba42f0bc0c66cb6df3aee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75},{\&quot;key\&quot;:\&quot;Merchant\&quot;,\&quot;value\&quot;:\&quot;Mta Nyct Paygo New\&quot;},{\&quot;key\&quot;:\&quot;Amount $\&quot;,\&quot;value\&quot;:-2.75},{\&quot;key\&quot;:\&quot;Transaction_ID\&quot;,\&quot;value\&quot;:\&quot;ebef9b8752924fdfb9abe2ff7f084ea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75},{\&quot;key\&quot;:\&quot;Merchant\&quot;,\&quot;value\&quot;:\&quot;Mta Nyct Paygo New\&quot;},{\&quot;key\&quot;:\&quot;Amount $\&quot;,\&quot;value\&quot;:-2.75},{\&quot;key\&quot;:\&quot;Transaction_ID\&quot;,\&quot;value\&quot;:\&quot;d4095f78e41646e39d412acfbc1b428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75},{\&quot;key\&quot;:\&quot;Merchant\&quot;,\&quot;value\&quot;:\&quot;Wolframalpha\&quot;},{\&quot;key\&quot;:\&quot;Amount $\&quot;,\&quot;value\&quot;:-6.99},{\&quot;key\&quot;:\&quot;Transaction_ID\&quot;,\&quot;value\&quot;:\&quot;a86342ba13f944c09fd9d336be436c3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75},{\&quot;key\&quot;:\&quot;Merchant\&quot;,\&quot;value\&quot;:\&quot;Mta Nyct Paygo New\&quot;},{\&quot;key\&quot;:\&quot;Amount $\&quot;,\&quot;value\&quot;:-2.75},{\&quot;key\&quot;:\&quot;Transaction_ID\&quot;,\&quot;value\&quot;:\&quot;6b95563e613247d0af83461ce1ad110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75},{\&quot;key\&quot;:\&quot;Merchant\&quot;,\&quot;value\&quot;:\&quot;Amtrak\&quot;},{\&quot;key\&quot;:\&quot;Amount $\&quot;,\&quot;value\&quot;:-10.5},{\&quot;key\&quot;:\&quot;Transaction_ID\&quot;,\&quot;value\&quot;:\&quot;64b2c3e8e81a4c558e6886f747cf07a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74},{\&quot;key\&quot;:\&quot;Merchant\&quot;,\&quot;value\&quot;:\&quot;Internet Payment\&quot;},{\&quot;key\&quot;:\&quot;Amount $\&quot;,\&quot;value\&quot;:50.34},{\&quot;key\&quot;:\&quot;Transaction_ID\&quot;,\&quot;value\&quot;:\&quot;fc7561ae750542ec8ea4559e84606bd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74},{\&quot;key\&quot;:\&quot;Merchant\&quot;,\&quot;value\&quot;:\&quot;Discover E Payment Lewis\&quot;},{\&quot;key\&quot;:\&quot;Amount $\&quot;,\&quot;value\&quot;:-50.34},{\&quot;key\&quot;:\&quot;Transaction_ID\&quot;,\&quot;value\&quot;:\&quot;fa4c24a0082e4cbf87aa51d26aea22c2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74},{\&quot;key\&quot;:\&quot;Merchant\&quot;,\&quot;value\&quot;:\&quot;Skrimp Shack\&quot;},{\&quot;key\&quot;:\&quot;Amount $\&quot;,\&quot;value\&quot;:-24.75},{\&quot;key\&quot;:\&quot;Transaction_ID\&quot;,\&quot;value\&quot;:\&quot;b92be0876e66463bb8530ab999fc477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74},{\&quot;key\&quot;:\&quot;Merchant\&quot;,\&quot;value\&quot;:\&quot;Whole Foods\&quot;},{\&quot;key\&quot;:\&quot;Amount $\&quot;,\&quot;value\&quot;:-86.57},{\&quot;key\&quot;:\&quot;Transaction_ID\&quot;,\&quot;value\&quot;:\&quot;4497f967ec0b42419910b455c84f318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72},{\&quot;key\&quot;:\&quot;Merchant\&quot;,\&quot;value\&quot;:\&quot;Cashback Bonus Redemption Pymt\&quot;},{\&quot;key\&quot;:\&quot;Amount $\&quot;,\&quot;value\&quot;:14.05},{\&quot;key\&quot;:\&quot;Transaction_ID\&quot;,\&quot;value\&quot;:\&quot;cf7e4dea06d54470a0c00c2a3485a7f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72},{\&quot;key\&quot;:\&quot;Merchant\&quot;,\&quot;value\&quot;:\&quot;Transfer From Lewis Sharon\&quot;},{\&quot;key\&quot;:\&quot;Amount $\&quot;,\&quot;value\&quot;:1000},{\&quot;key\&quot;:\&quot;Transaction_ID\&quot;,\&quot;value\&quot;:\&quot;c8d56f72ea724e60967553d421e46c3a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72},{\&quot;key\&quot;:\&quot;Merchant\&quot;,\&quot;value\&quot;:\&quot;Venmo\&quot;},{\&quot;key\&quot;:\&quot;Amount $\&quot;,\&quot;value\&quot;:-700},{\&quot;key\&quot;:\&quot;Transaction_ID\&quot;,\&quot;value\&quot;:\&quot;b520aa567f774112b1e5997e9fcd7b93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72},{\&quot;key\&quot;:\&quot;Merchant\&quot;,\&quot;value\&quot;:\&quot;Irs TreasTa Lewis Sean\&quot;},{\&quot;key\&quot;:\&quot;Amount $\&quot;,\&quot;value\&quot;:2800},{\&quot;key\&quot;:\&quot;Transaction_ID\&quot;,\&quot;value\&quot;:\&quot;a57c491489084ee89fbdcdadc193bc49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72},{\&quot;key\&quot;:\&quot;Merchant\&quot;,\&quot;value\&quot;:\&quot;Venmo\&quot;},{\&quot;key\&quot;:\&quot;Amount $\&quot;,\&quot;value\&quot;:-39.7},{\&quot;key\&quot;:\&quot;Transaction_ID\&quot;,\&quot;value\&quot;:\&quot;7434bf5ef7ef4e5c84edee156f9615eb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72},{\&quot;key\&quot;:\&quot;Merchant\&quot;,\&quot;value\&quot;:\&quot;Discover E Payment Lewis\&quot;},{\&quot;key\&quot;:\&quot;Amount $\&quot;,\&quot;value\&quot;:-471.27},{\&quot;key\&quot;:\&quot;Transaction_ID\&quot;,\&quot;value\&quot;:\&quot;4e3b71e705004ed4b7a15d7dc2104885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72},{\&quot;key\&quot;:\&quot;Merchant\&quot;,\&quot;value\&quot;:\&quot;Transfer To Lewis Sharon\&quot;},{\&quot;key\&quot;:\&quot;Amount $\&quot;,\&quot;value\&quot;:-1000},{\&quot;key\&quot;:\&quot;Transaction_ID\&quot;,\&quot;value\&quot;:\&quot;2a27e370f2c441928c74772a90600dd8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72},{\&quot;key\&quot;:\&quot;Merchant\&quot;,\&quot;value\&quot;:\&quot;Internet Payment\&quot;},{\&quot;key\&quot;:\&quot;Amount $\&quot;,\&quot;value\&quot;:471.27},{\&quot;key\&quot;:\&quot;Transaction_ID\&quot;,\&quot;value\&quot;:\&quot;274efda69b3941e3add3f63bdf680d7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71},{\&quot;key\&quot;:\&quot;Merchant\&quot;,\&quot;value\&quot;:\&quot;Gasbuddy Gasbuddy I Sean\&quot;},{\&quot;key\&quot;:\&quot;Amount $\&quot;,\&quot;value\&quot;:-25.57},{\&quot;key\&quot;:\&quot;Transaction_ID\&quot;,\&quot;value\&quot;:\&quot;d34fe248596c4c22896002345eecaf91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71},{\&quot;key\&quot;:\&quot;Merchant\&quot;,\&quot;value\&quot;:\&quot;Aldi\&quot;},{\&quot;key\&quot;:\&quot;Amount $\&quot;,\&quot;value\&quot;:-30.34},{\&quot;key\&quot;:\&quot;Transaction_ID\&quot;,\&quot;value\&quot;:\&quot;20742ddfc2ba40ec9b285ce2a40d9f0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70},{\&quot;key\&quot;:\&quot;Merchant\&quot;,\&quot;value\&quot;:\&quot;Fersguide Llc\&quot;},{\&quot;key\&quot;:\&quot;Amount $\&quot;,\&quot;value\&quot;:-20},{\&quot;key\&quot;:\&quot;Transaction_ID\&quot;,\&quot;value\&quot;:\&quot;f41b0212d3954611bc65ab605219cf4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69},{\&quot;key\&quot;:\&quot;Merchant\&quot;,\&quot;value\&quot;:\&quot;Apple Bill Ca Apple\&quot;},{\&quot;key\&quot;:\&quot;Amount $\&quot;,\&quot;value\&quot;:-79.99},{\&quot;key\&quot;:\&quot;Transaction_ID\&quot;,\&quot;value\&quot;:\&quot;cd1978ab88674cf7bbf0a6be4c32ad3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69},{\&quot;key\&quot;:\&quot;Merchant\&quot;,\&quot;value\&quot;:\&quot;T Mobile\&quot;},{\&quot;key\&quot;:\&quot;Amount $\&quot;,\&quot;value\&quot;:-86.25},{\&quot;key\&quot;:\&quot;Transaction_ID\&quot;,\&quot;value\&quot;:\&quot;7c736b4740914b9e9013f83c58188da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69},{\&quot;key\&quot;:\&quot;Merchant\&quot;,\&quot;value\&quot;:\&quot;Exxonmobil\&quot;},{\&quot;key\&quot;:\&quot;Amount $\&quot;,\&quot;value\&quot;:-7.54},{\&quot;key\&quot;:\&quot;Transaction_ID\&quot;,\&quot;value\&quot;:\&quot;49435cf3937445ee8e561103f6a69a5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69},{\&quot;key\&quot;:\&quot;Merchant\&quot;,\&quot;value\&quot;:\&quot;Exxonmobil\&quot;},{\&quot;key\&quot;:\&quot;Amount $\&quot;,\&quot;value\&quot;:-26.08},{\&quot;key\&quot;:\&quot;Transaction_ID\&quot;,\&quot;value\&quot;:\&quot;413bf765553c4992a89cbdd1df2c969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69},{\&quot;key\&quot;:\&quot;Merchant\&quot;,\&quot;value\&quot;:\&quot;Fubotv\&quot;},{\&quot;key\&quot;:\&quot;Amount $\&quot;,\&quot;value\&quot;:-75.98},{\&quot;key\&quot;:\&quot;Transaction_ID\&quot;,\&quot;value\&quot;:\&quot;083a246fca0f410c98df9a34cbaa20f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68},{\&quot;key\&quot;:\&quot;Merchant\&quot;,\&quot;value\&quot;:\&quot;Amtrak\&quot;},{\&quot;key\&quot;:\&quot;Amount $\&quot;,\&quot;value\&quot;:-17},{\&quot;key\&quot;:\&quot;Transaction_ID\&quot;,\&quot;value\&quot;:\&quot;ee3bada9058140e5b114a6cd8ecfc58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68},{\&quot;key\&quot;:\&quot;Merchant\&quot;,\&quot;value\&quot;:\&quot;Steam Games\&quot;},{\&quot;key\&quot;:\&quot;Amount $\&quot;,\&quot;value\&quot;:-5},{\&quot;key\&quot;:\&quot;Transaction_ID\&quot;,\&quot;value\&quot;:\&quot;c0b5ca6118834276a6b58bb152c0c62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68},{\&quot;key\&quot;:\&quot;Merchant\&quot;,\&quot;value\&quot;:\&quot;Hardee's\&quot;},{\&quot;key\&quot;:\&quot;Amount $\&quot;,\&quot;value\&quot;:-10.17},{\&quot;key\&quot;:\&quot;Transaction_ID\&quot;,\&quot;value\&quot;:\&quot;8dc890ebdb244f7fbaaf770dcebe38c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67},{\&quot;key\&quot;:\&quot;Merchant\&quot;,\&quot;value\&quot;:\&quot;Panda Express\&quot;},{\&quot;key\&quot;:\&quot;Amount $\&quot;,\&quot;value\&quot;:-11},{\&quot;key\&quot;:\&quot;Transaction_ID\&quot;,\&quot;value\&quot;:\&quot;9a2e5f2c95b849b887562975af33d49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67},{\&quot;key\&quot;:\&quot;Merchant\&quot;,\&quot;value\&quot;:\&quot;Elephant Ins Payroll Lewis\&quot;},{\&quot;key\&quot;:\&quot;Amount $\&quot;,\&quot;value\&quot;:1459.64},{\&quot;key\&quot;:\&quot;Transaction_ID\&quot;,\&quot;value\&quot;:\&quot;9913041ffc184caa990c22c03031437c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67},{\&quot;key\&quot;:\&quot;Merchant\&quot;,\&quot;value\&quot;:\&quot;Vizmediallc\&quot;},{\&quot;key\&quot;:\&quot;Amount $\&quot;,\&quot;value\&quot;:-1.99},{\&quot;key\&quot;:\&quot;Transaction_ID\&quot;,\&quot;value\&quot;:\&quot;6d30eba35a6e4381bba8aa4e186a6ac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67},{\&quot;key\&quot;:\&quot;Merchant\&quot;,\&quot;value\&quot;:\&quot;Discover E Payment Lewis\&quot;},{\&quot;key\&quot;:\&quot;Amount $\&quot;,\&quot;value\&quot;:-1160.38},{\&quot;key\&quot;:\&quot;Transaction_ID\&quot;,\&quot;value\&quot;:\&quot;4f0d4c10eb5a43beb2b9cc9aa481d48e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67},{\&quot;key\&quot;:\&quot;Merchant\&quot;,\&quot;value\&quot;:\&quot;Internet Payment\&quot;},{\&quot;key\&quot;:\&quot;Amount $\&quot;,\&quot;value\&quot;:1160.38},{\&quot;key\&quot;:\&quot;Transaction_ID\&quot;,\&quot;value\&quot;:\&quot;4d1fc2d5cf6341bc8597fd91383593a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67},{\&quot;key\&quot;:\&quot;Merchant\&quot;,\&quot;value\&quot;:\&quot;Apple Bill Ca Apple\&quot;},{\&quot;key\&quot;:\&quot;Amount $\&quot;,\&quot;value\&quot;:-14.99},{\&quot;key\&quot;:\&quot;Transaction_ID\&quot;,\&quot;value\&quot;:\&quot;13413b676c4e4a5dbe25ef9af0605f2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67},{\&quot;key\&quot;:\&quot;Merchant\&quot;,\&quot;value\&quot;:\&quot;Sheetz\&quot;},{\&quot;key\&quot;:\&quot;Amount $\&quot;,\&quot;value\&quot;:-19.99},{\&quot;key\&quot;:\&quot;Transaction_ID\&quot;,\&quot;value\&quot;:\&quot;028462f5caa44f30a5c2875f5fc1dc4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66},{\&quot;key\&quot;:\&quot;Merchant\&quot;,\&quot;value\&quot;:\&quot;Walmart\&quot;},{\&quot;key\&quot;:\&quot;Amount $\&quot;,\&quot;value\&quot;:-15.66},{\&quot;key\&quot;:\&quot;Transaction_ID\&quot;,\&quot;value\&quot;:\&quot;628d60ab1b03491cadb34deda3db468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66},{\&quot;key\&quot;:\&quot;Merchant\&quot;,\&quot;value\&quot;:\&quot;Exxonmobil\&quot;},{\&quot;key\&quot;:\&quot;Amount $\&quot;,\&quot;value\&quot;:-26.45},{\&quot;key\&quot;:\&quot;Transaction_ID\&quot;,\&quot;value\&quot;:\&quot;4e6b3b4cdf614588b7132ded41507d7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65},{\&quot;key\&quot;:\&quot;Merchant\&quot;,\&quot;value\&quot;:\&quot;Robinhood\&quot;},{\&quot;key\&quot;:\&quot;Amount $\&quot;,\&quot;value\&quot;:-200},{\&quot;key\&quot;:\&quot;Transaction_ID\&quot;,\&quot;value\&quot;:\&quot;ed6cfd1281eb49d289ccae22998516e2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65},{\&quot;key\&quot;:\&quot;Merchant\&quot;,\&quot;value\&quot;:\&quot;Micro Center Fairfax\&quot;},{\&quot;key\&quot;:\&quot;Amount $\&quot;,\&quot;value\&quot;:-37.07},{\&quot;key\&quot;:\&quot;Transaction_ID\&quot;,\&quot;value\&quot;:\&quot;acd7c95b295740b78bbb9c48847e3c1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65},{\&quot;key\&quot;:\&quot;Merchant\&quot;,\&quot;value\&quot;:\&quot;Lyft\&quot;},{\&quot;key\&quot;:\&quot;Amount $\&quot;,\&quot;value\&quot;:-33.74},{\&quot;key\&quot;:\&quot;Transaction_ID\&quot;,\&quot;value\&quot;:\&quot;9342196d967e44eaacd2102d5d0f125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65},{\&quot;key\&quot;:\&quot;Merchant\&quot;,\&quot;value\&quot;:\&quot;Lyft\&quot;},{\&quot;key\&quot;:\&quot;Amount $\&quot;,\&quot;value\&quot;:-28.3},{\&quot;key\&quot;:\&quot;Transaction_ID\&quot;,\&quot;value\&quot;:\&quot;812060754bb742fdaeecd5bbaeb470f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65},{\&quot;key\&quot;:\&quot;Merchant\&quot;,\&quot;value\&quot;:\&quot;Steam Games\&quot;},{\&quot;key\&quot;:\&quot;Amount $\&quot;,\&quot;value\&quot;:-19.79},{\&quot;key\&quot;:\&quot;Transaction_ID\&quot;,\&quot;value\&quot;:\&quot;558b50b228974743a98d67d74ca0180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65},{\&quot;key\&quot;:\&quot;Merchant\&quot;,\&quot;value\&quot;:\&quot;Money Transfer Authorized On\&quot;},{\&quot;key\&quot;:\&quot;Amount $\&quot;,\&quot;value\&quot;:227.35},{\&quot;key\&quot;:\&quot;Transaction_ID\&quot;,\&quot;value\&quot;:\&quot;508bdd6ef0a54dea9b8292158d2b5cda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65},{\&quot;key\&quot;:\&quot;Merchant\&quot;,\&quot;value\&quot;:\&quot;Firehouse Subs\&quot;},{\&quot;key\&quot;:\&quot;Amount $\&quot;,\&quot;value\&quot;:-13.45},{\&quot;key\&quot;:\&quot;Transaction_ID\&quot;,\&quot;value\&quot;:\&quot;30b607ca8c30471a9fac38b0d21f423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65},{\&quot;key\&quot;:\&quot;Merchant\&quot;,\&quot;value\&quot;:\&quot;Mcdonald's\&quot;},{\&quot;key\&quot;:\&quot;Amount $\&quot;,\&quot;value\&quot;:-9.19},{\&quot;key\&quot;:\&quot;Transaction_ID\&quot;,\&quot;value\&quot;:\&quot;30514fa546044148be370312ad3b45a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64},{\&quot;key\&quot;:\&quot;Merchant\&quot;,\&quot;value\&quot;:\&quot;Take 5 232\&quot;},{\&quot;key\&quot;:\&quot;Amount $\&quot;,\&quot;value\&quot;:-86.17},{\&quot;key\&quot;:\&quot;Transaction_ID\&quot;,\&quot;value\&quot;:\&quot;b68218dfb66547f89aae770c214d14b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64},{\&quot;key\&quot;:\&quot;Merchant\&quot;,\&quot;value\&quot;:\&quot;Walmart\&quot;},{\&quot;key\&quot;:\&quot;Amount $\&quot;,\&quot;value\&quot;:-3.99},{\&quot;key\&quot;:\&quot;Transaction_ID\&quot;,\&quot;value\&quot;:\&quot;9462969bf83c4979b96922251651c11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64},{\&quot;key\&quot;:\&quot;Merchant\&quot;,\&quot;value\&quot;:\&quot;Va Dept Taxation Vasttaxrfd\&quot;},{\&quot;key\&quot;:\&quot;Amount $\&quot;,\&quot;value\&quot;:55},{\&quot;key\&quot;:\&quot;Transaction_ID\&quot;,\&quot;value\&quot;:\&quot;60c2a29bb1e54cb8bc5274df29cf492b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64},{\&quot;key\&quot;:\&quot;Merchant\&quot;,\&quot;value\&quot;:\&quot;Walmart\&quot;},{\&quot;key\&quot;:\&quot;Amount $\&quot;,\&quot;value\&quot;:-18.34},{\&quot;key\&quot;:\&quot;Transaction_ID\&quot;,\&quot;value\&quot;:\&quot;405cf233ad6a4a0dbe87fd0b6f75d71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64},{\&quot;key\&quot;:\&quot;Merchant\&quot;,\&quot;value\&quot;:\&quot;Venmo\&quot;},{\&quot;key\&quot;:\&quot;Amount $\&quot;,\&quot;value\&quot;:-150},{\&quot;key\&quot;:\&quot;Transaction_ID\&quot;,\&quot;value\&quot;:\&quot;30891357f8d4456cac3db72eebcb1a6a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63},{\&quot;key\&quot;:\&quot;Merchant\&quot;,\&quot;value\&quot;:\&quot;Bottoms Up Pizza\&quot;},{\&quot;key\&quot;:\&quot;Amount $\&quot;,\&quot;value\&quot;:-55},{\&quot;key\&quot;:\&quot;Transaction_ID\&quot;,\&quot;value\&quot;:\&quot;1928800effa84c04bfa055d0da79740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62},{\&quot;key\&quot;:\&quot;Merchant\&quot;,\&quot;value\&quot;:\&quot;Google Youtube Subsc\&quot;},{\&quot;key\&quot;:\&quot;Amount $\&quot;,\&quot;value\&quot;:-1},{\&quot;key\&quot;:\&quot;Transaction_ID\&quot;,\&quot;value\&quot;:\&quot;e0403632ecd94cf48404f21103d9250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62},{\&quot;key\&quot;:\&quot;Merchant\&quot;,\&quot;value\&quot;:\&quot;Google Youtube Subsc\&quot;},{\&quot;key\&quot;:\&quot;Amount $\&quot;,\&quot;value\&quot;:1},{\&quot;key\&quot;:\&quot;Transaction_ID\&quot;,\&quot;value\&quot;:\&quot;89275bc6c0c6452597e674a470e0a0e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62},{\&quot;key\&quot;:\&quot;Merchant\&quot;,\&quot;value\&quot;:\&quot;Google Google Youtub\&quot;},{\&quot;key\&quot;:\&quot;Amount $\&quot;,\&quot;value\&quot;:-1},{\&quot;key\&quot;:\&quot;Transaction_ID\&quot;,\&quot;value\&quot;:\&quot;768db350b6af49d7ba9805c21a6f245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62},{\&quot;key\&quot;:\&quot;Merchant\&quot;,\&quot;value\&quot;:\&quot;Google Google Youtub\&quot;},{\&quot;key\&quot;:\&quot;Amount $\&quot;,\&quot;value\&quot;:1},{\&quot;key\&quot;:\&quot;Transaction_ID\&quot;,\&quot;value\&quot;:\&quot;50d86630b35b49e2881e383d29f5d12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62},{\&quot;key\&quot;:\&quot;Merchant\&quot;,\&quot;value\&quot;:\&quot;Walmart\&quot;},{\&quot;key\&quot;:\&quot;Amount $\&quot;,\&quot;value\&quot;:-90.38},{\&quot;key\&quot;:\&quot;Transaction_ID\&quot;,\&quot;value\&quot;:\&quot;4acb400276c84b6190e10a399502324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61},{\&quot;key\&quot;:\&quot;Merchant\&quot;,\&quot;value\&quot;:\&quot;Mellow Mushroom\&quot;},{\&quot;key\&quot;:\&quot;Amount $\&quot;,\&quot;value\&quot;:-70},{\&quot;key\&quot;:\&quot;Transaction_ID\&quot;,\&quot;value\&quot;:\&quot;c20bc6790e344f9e9de2544ee17ebff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60},{\&quot;key\&quot;:\&quot;Merchant\&quot;,\&quot;value\&quot;:\&quot;Interactive\&quot;},{\&quot;key\&quot;:\&quot;Amount $\&quot;,\&quot;value\&quot;:-350},{\&quot;key\&quot;:\&quot;Transaction_ID\&quot;,\&quot;value\&quot;:\&quot;8901e90fad7a487b8dfe0d6747added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59},{\&quot;key\&quot;:\&quot;Merchant\&quot;,\&quot;value\&quot;:\&quot;Avidia Bank Setl Lewis\&quot;},{\&quot;key\&quot;:\&quot;Amount $\&quot;,\&quot;value\&quot;:138.47},{\&quot;key\&quot;:\&quot;Transaction_ID\&quot;,\&quot;value\&quot;:\&quot;cd814e0e878145369c8686718a29eaa9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59},{\&quot;key\&quot;:\&quot;Merchant\&quot;,\&quot;value\&quot;:\&quot;State Farm\&quot;},{\&quot;key\&quot;:\&quot;Amount $\&quot;,\&quot;value\&quot;:-91.78},{\&quot;key\&quot;:\&quot;Transaction_ID\&quot;,\&quot;value\&quot;:\&quot;5dce8b4421294bbca4cc9569c3cda74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57},{\&quot;key\&quot;:\&quot;Merchant\&quot;,\&quot;value\&quot;:\&quot;Robinhood\&quot;},{\&quot;key\&quot;:\&quot;Amount $\&quot;,\&quot;value\&quot;:-500},{\&quot;key\&quot;:\&quot;Transaction_ID\&quot;,\&quot;value\&quot;:\&quot;c945c20c34044463b0ad62ab2341708f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57},{\&quot;key\&quot;:\&quot;Merchant\&quot;,\&quot;value\&quot;:\&quot;Spotify\&quot;},{\&quot;key\&quot;:\&quot;Amount $\&quot;,\&quot;value\&quot;:-9.99},{\&quot;key\&quot;:\&quot;Transaction_ID\&quot;,\&quot;value\&quot;:\&quot;b9146809216e415a9d2a2bb0e00d1f5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57},{\&quot;key\&quot;:\&quot;Merchant\&quot;,\&quot;value\&quot;:\&quot;Robinhood\&quot;},{\&quot;key\&quot;:\&quot;Amount $\&quot;,\&quot;value\&quot;:-1000},{\&quot;key\&quot;:\&quot;Transaction_ID\&quot;,\&quot;value\&quot;:\&quot;ae93c71d6a574b9eab7d19d64530983b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56},{\&quot;key\&quot;:\&quot;Merchant\&quot;,\&quot;value\&quot;:\&quot;Disneyplus Ca Disneyplus\&quot;},{\&quot;key\&quot;:\&quot;Amount $\&quot;,\&quot;value\&quot;:-69.99},{\&quot;key\&quot;:\&quot;Transaction_ID\&quot;,\&quot;value\&quot;:\&quot;fedaaafd61f44f58bff8aa61f1ddae6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56},{\&quot;key\&quot;:\&quot;Merchant\&quot;,\&quot;value\&quot;:\&quot;Robinhood\&quot;},{\&quot;key\&quot;:\&quot;Amount $\&quot;,\&quot;value\&quot;:-200},{\&quot;key\&quot;:\&quot;Transaction_ID\&quot;,\&quot;value\&quot;:\&quot;f88fda83411045a1b7277d851c3815d2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56},{\&quot;key\&quot;:\&quot;Merchant\&quot;,\&quot;value\&quot;:\&quot;Netflix\&quot;},{\&quot;key\&quot;:\&quot;Amount $\&quot;,\&quot;value\&quot;:-13.99},{\&quot;key\&quot;:\&quot;Transaction_ID\&quot;,\&quot;value\&quot;:\&quot;d59645568c37438fa0b18327e0c628e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56},{\&quot;key\&quot;:\&quot;Merchant\&quot;,\&quot;value\&quot;:\&quot;Robinhood\&quot;},{\&quot;key\&quot;:\&quot;Amount $\&quot;,\&quot;value\&quot;:-200},{\&quot;key\&quot;:\&quot;Transaction_ID\&quot;,\&quot;value\&quot;:\&quot;745c0b67ac7445479c50472fffbb61e6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55},{\&quot;key\&quot;:\&quot;Merchant\&quot;,\&quot;value\&quot;:\&quot;Del Sauce Llc\&quot;},{\&quot;key\&quot;:\&quot;Amount $\&quot;,\&quot;value\&quot;:-78.69},{\&quot;key\&quot;:\&quot;Transaction_ID\&quot;,\&quot;value\&quot;:\&quot;c405ff79b71e44e68147cb1155766db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55},{\&quot;key\&quot;:\&quot;Merchant\&quot;,\&quot;value\&quot;:\&quot;Department Motor Vehicle\&quot;},{\&quot;key\&quot;:\&quot;Amount $\&quot;,\&quot;value\&quot;:-40.15},{\&quot;key\&quot;:\&quot;Transaction_ID\&quot;,\&quot;value\&quot;:\&quot;4fc5a4cde2744d67a0151927da20a44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55},{\&quot;key\&quot;:\&quot;Merchant\&quot;,\&quot;value\&quot;:\&quot;Walmart\&quot;},{\&quot;key\&quot;:\&quot;Amount $\&quot;,\&quot;value\&quot;:-5.17},{\&quot;key\&quot;:\&quot;Transaction_ID\&quot;,\&quot;value\&quot;:\&quot;2b7f5c61f96b4a84b7ffdea604bbb31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55},{\&quot;key\&quot;:\&quot;Merchant\&quot;,\&quot;value\&quot;:\&quot;Crunch Fitness Va Crunch\&quot;},{\&quot;key\&quot;:\&quot;Amount $\&quot;,\&quot;value\&quot;:-9.95},{\&quot;key\&quot;:\&quot;Transaction_ID\&quot;,\&quot;value\&quot;:\&quot;25750f0ddb6f4fbe8cea62f2bbfb8a5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55},{\&quot;key\&quot;:\&quot;Merchant\&quot;,\&quot;value\&quot;:\&quot;Bp Mile Bp\&quot;},{\&quot;key\&quot;:\&quot;Amount $\&quot;,\&quot;value\&quot;:-25.88},{\&quot;key\&quot;:\&quot;Transaction_ID\&quot;,\&quot;value\&quot;:\&quot;0019973643454bfaae7d179e4036ffb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54},{\&quot;key\&quot;:\&quot;Merchant\&quot;,\&quot;value\&quot;:\&quot;Apple Bill Ca Apple\&quot;},{\&quot;key\&quot;:\&quot;Amount $\&quot;,\&quot;value\&quot;:-1.99},{\&quot;key\&quot;:\&quot;Transaction_ID\&quot;,\&quot;value\&quot;:\&quot;fb2b8580417347ffb3b7e963e2b1008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54},{\&quot;key\&quot;:\&quot;Merchant\&quot;,\&quot;value\&quot;:\&quot;Cvs\&quot;},{\&quot;key\&quot;:\&quot;Amount $\&quot;,\&quot;value\&quot;:-5},{\&quot;key\&quot;:\&quot;Transaction_ID\&quot;,\&quot;value\&quot;:\&quot;627e0ed2081f4ccdb4f62003a2bdab1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54},{\&quot;key\&quot;:\&quot;Merchant\&quot;,\&quot;value\&quot;:\&quot;Couplecents\&quot;},{\&quot;key\&quot;:\&quot;Amount $\&quot;,\&quot;value\&quot;:-9.99},{\&quot;key\&quot;:\&quot;Transaction_ID\&quot;,\&quot;value\&quot;:\&quot;555daf7ffc7d42f29f3eff31786ff15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54},{\&quot;key\&quot;:\&quot;Merchant\&quot;,\&quot;value\&quot;:\&quot;Taco Bell\&quot;},{\&quot;key\&quot;:\&quot;Amount $\&quot;,\&quot;value\&quot;:-11.54},{\&quot;key\&quot;:\&quot;Transaction_ID\&quot;,\&quot;value\&quot;:\&quot;41e52b109f5545a483cb7f87234ee65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54},{\&quot;key\&quot;:\&quot;Merchant\&quot;,\&quot;value\&quot;:\&quot;Cash App Jayelin L\&quot;},{\&quot;key\&quot;:\&quot;Amount $\&quot;,\&quot;value\&quot;:-500},{\&quot;key\&quot;:\&quot;Transaction_ID\&quot;,\&quot;value\&quot;:\&quot;27ea67ba2e1a448a8dc9773108e7f3c3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54},{\&quot;key\&quot;:\&quot;Merchant\&quot;,\&quot;value\&quot;:\&quot;Sheetz\&quot;},{\&quot;key\&quot;:\&quot;Amount $\&quot;,\&quot;value\&quot;:-16.24},{\&quot;key\&quot;:\&quot;Transaction_ID\&quot;,\&quot;value\&quot;:\&quot;1f2aedaa4c8e46da90579059d17e228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53},{\&quot;key\&quot;:\&quot;Merchant\&quot;,\&quot;value\&quot;:\&quot;Disneyplus Ca Disneyplus\&quot;},{\&quot;key\&quot;:\&quot;Amount $\&quot;,\&quot;value\&quot;:-6.99},{\&quot;key\&quot;:\&quot;Transaction_ID\&quot;,\&quot;value\&quot;:\&quot;f8511b27f921439cb8a8b7c1a6a7140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53},{\&quot;key\&quot;:\&quot;Merchant\&quot;,\&quot;value\&quot;:\&quot;Discover E Payment Lewis\&quot;},{\&quot;key\&quot;:\&quot;Amount $\&quot;,\&quot;value\&quot;:-770.55},{\&quot;key\&quot;:\&quot;Transaction_ID\&quot;,\&quot;value\&quot;:\&quot;dba954df60b1402d9e306664267049fe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53},{\&quot;key\&quot;:\&quot;Merchant\&quot;,\&quot;value\&quot;:\&quot;Walmart\&quot;},{\&quot;key\&quot;:\&quot;Amount $\&quot;,\&quot;value\&quot;:-13.67},{\&quot;key\&quot;:\&quot;Transaction_ID\&quot;,\&quot;value\&quot;:\&quot;cb9cb5507cca4d5a9400b560b532675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53},{\&quot;key\&quot;:\&quot;Merchant\&quot;,\&quot;value\&quot;:\&quot;Irs TreasTax Ref Lewis\&quot;},{\&quot;key\&quot;:\&quot;Amount $\&quot;,\&quot;value\&quot;:2420},{\&quot;key\&quot;:\&quot;Transaction_ID\&quot;,\&quot;value\&quot;:\&quot;394f7d80a4ca4ff89f18070f25323723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53},{\&quot;key\&quot;:\&quot;Merchant\&quot;,\&quot;value\&quot;:\&quot;Internet Payment\&quot;},{\&quot;key\&quot;:\&quot;Amount $\&quot;,\&quot;value\&quot;:770.55},{\&quot;key\&quot;:\&quot;Transaction_ID\&quot;,\&quot;value\&quot;:\&quot;1d2f4a1fe0c84943afe0d11ac149285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53},{\&quot;key\&quot;:\&quot;Merchant\&quot;,\&quot;value\&quot;:\&quot;Venmo\&quot;},{\&quot;key\&quot;:\&quot;Amount $\&quot;,\&quot;value\&quot;:-700},{\&quot;key\&quot;:\&quot;Transaction_ID\&quot;,\&quot;value\&quot;:\&quot;1137dcf13e6547f78e95dae3fd04832f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53},{\&quot;key\&quot;:\&quot;Merchant\&quot;,\&quot;value\&quot;:\&quot;Elephant Ins Payroll Lewis\&quot;},{\&quot;key\&quot;:\&quot;Amount $\&quot;,\&quot;value\&quot;:1459.65},{\&quot;key\&quot;:\&quot;Transaction_ID\&quot;,\&quot;value\&quot;:\&quot;0f9e33ec7454435eb334a527936984d5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51},{\&quot;key\&quot;:\&quot;Merchant\&quot;,\&quot;value\&quot;:\&quot;Coaching Actuaries\&quot;},{\&quot;key\&quot;:\&quot;Amount $\&quot;,\&quot;value\&quot;:-215},{\&quot;key\&quot;:\&quot;Transaction_ID\&quot;,\&quot;value\&quot;:\&quot;3bc89068b9f94b6996e4c8e2be6c111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50},{\&quot;key\&quot;:\&quot;Merchant\&quot;,\&quot;value\&quot;:\&quot;Webull Tech\&quot;},{\&quot;key\&quot;:\&quot;Amount $\&quot;,\&quot;value\&quot;:-1.99},{\&quot;key\&quot;:\&quot;Transaction_ID\&quot;,\&quot;value\&quot;:\&quot;f3c4e19bb92441279298d5a1acfd575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50},{\&quot;key\&quot;:\&quot;Merchant\&quot;,\&quot;value\&quot;:\&quot;Gasbuddy Gasbuddy Ivrvonzyl Sean\&quot;},{\&quot;key\&quot;:\&quot;Amount $\&quot;,\&quot;value\&quot;:-0.01},{\&quot;key\&quot;:\&quot;Transaction_ID\&quot;,\&quot;value\&quot;:\&quot;ab2886006701478087158469ac356fbe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50},{\&quot;key\&quot;:\&quot;Merchant\&quot;,\&quot;value\&quot;:\&quot;Gasbuddy Gasbuddy\&quot;},{\&quot;key\&quot;:\&quot;Amount $\&quot;,\&quot;value\&quot;:0.01},{\&quot;key\&quot;:\&quot;Transaction_ID\&quot;,\&quot;value\&quot;:\&quot;3d052f677950438e82211723ac4b3f36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49},{\&quot;key\&quot;:\&quot;Merchant\&quot;,\&quot;value\&quot;:\&quot;Venmo\&quot;},{\&quot;key\&quot;:\&quot;Amount $\&quot;,\&quot;value\&quot;:-81.32},{\&quot;key\&quot;:\&quot;Transaction_ID\&quot;,\&quot;value\&quot;:\&quot;b2d3fd4589374c979ed7f247e67f4095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48},{\&quot;key\&quot;:\&quot;Merchant\&quot;,\&quot;value\&quot;:\&quot;Sunoco\&quot;},{\&quot;key\&quot;:\&quot;Amount $\&quot;,\&quot;value\&quot;:-25.35},{\&quot;key\&quot;:\&quot;Transaction_ID\&quot;,\&quot;value\&quot;:\&quot;ca740ce348ab41b98b787950eff8afd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48},{\&quot;key\&quot;:\&quot;Merchant\&quot;,\&quot;value\&quot;:\&quot;Kingsisle Pi Tx\&quot;},{\&quot;key\&quot;:\&quot;Amount $\&quot;,\&quot;value\&quot;:-9.95},{\&quot;key\&quot;:\&quot;Transaction_ID\&quot;,\&quot;value\&quot;:\&quot;9e1f4a7e4ebe400b9acaa0334a01753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48},{\&quot;key\&quot;:\&quot;Merchant\&quot;,\&quot;value\&quot;:\&quot;Walmart\&quot;},{\&quot;key\&quot;:\&quot;Amount $\&quot;,\&quot;value\&quot;:-20.14},{\&quot;key\&quot;:\&quot;Transaction_ID\&quot;,\&quot;value\&quot;:\&quot;900907aad99e4dc9892b8e18b60a762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48},{\&quot;key\&quot;:\&quot;Merchant\&quot;,\&quot;value\&quot;:\&quot;Chipotle Mexican Grill\&quot;},{\&quot;key\&quot;:\&quot;Amount $\&quot;,\&quot;value\&quot;:-8.23},{\&quot;key\&quot;:\&quot;Transaction_ID\&quot;,\&quot;value\&quot;:\&quot;5fd0beb2db404a67a752f70c384e02e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48},{\&quot;key\&quot;:\&quot;Merchant\&quot;,\&quot;value\&quot;:\&quot;Pp Roku For Crunchyr\&quot;},{\&quot;key\&quot;:\&quot;Amount $\&quot;,\&quot;value\&quot;:-7.99},{\&quot;key\&quot;:\&quot;Transaction_ID\&quot;,\&quot;value\&quot;:\&quot;4733911232dd4bcb91ccc9bac79a613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48},{\&quot;key\&quot;:\&quot;Merchant\&quot;,\&quot;value\&quot;:\&quot;Walmart\&quot;},{\&quot;key\&quot;:\&quot;Amount $\&quot;,\&quot;value\&quot;:-11.64},{\&quot;key\&quot;:\&quot;Transaction_ID\&quot;,\&quot;value\&quot;:\&quot;3bfb5d1f2c0d468dbe346b0f62fead3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48},{\&quot;key\&quot;:\&quot;Merchant\&quot;,\&quot;value\&quot;:\&quot;Walmart\&quot;},{\&quot;key\&quot;:\&quot;Amount $\&quot;,\&quot;value\&quot;:-21.14},{\&quot;key\&quot;:\&quot;Transaction_ID\&quot;,\&quot;value\&quot;:\&quot;350b6f456ba24742a7781919d8f36aa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47},{\&quot;key\&quot;:\&quot;Merchant\&quot;,\&quot;value\&quot;:\&quot;The Market\&quot;},{\&quot;key\&quot;:\&quot;Amount $\&quot;,\&quot;value\&quot;:-10.64},{\&quot;key\&quot;:\&quot;Transaction_ID\&quot;,\&quot;value\&quot;:\&quot;c00f6aefe86b457e8a751ac3c4d5cf9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47},{\&quot;key\&quot;:\&quot;Merchant\&quot;,\&quot;value\&quot;:\&quot;Wolframalpha\&quot;},{\&quot;key\&quot;:\&quot;Amount $\&quot;,\&quot;value\&quot;:-6.99},{\&quot;key\&quot;:\&quot;Transaction_ID\&quot;,\&quot;value\&quot;:\&quot;81f1f813e5474bbfa358f8fc0a751a6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47},{\&quot;key\&quot;:\&quot;Merchant\&quot;,\&quot;value\&quot;:\&quot;Publix\&quot;},{\&quot;key\&quot;:\&quot;Amount $\&quot;,\&quot;value\&quot;:-135.35},{\&quot;key\&quot;:\&quot;Transaction_ID\&quot;,\&quot;value\&quot;:\&quot;7dd23eb162464b61bdd826e5377c059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47},{\&quot;key\&quot;:\&quot;Merchant\&quot;,\&quot;value\&quot;:\&quot;T Mobile\&quot;},{\&quot;key\&quot;:\&quot;Amount $\&quot;,\&quot;value\&quot;:-86.25},{\&quot;key\&quot;:\&quot;Transaction_ID\&quot;,\&quot;value\&quot;:\&quot;15d7a677030d48889be4483944d460a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46},{\&quot;key\&quot;:\&quot;Merchant\&quot;,\&quot;value\&quot;:\&quot;Robinhood\&quot;},{\&quot;key\&quot;:\&quot;Amount $\&quot;,\&quot;value\&quot;:-100},{\&quot;key\&quot;:\&quot;Transaction_ID\&quot;,\&quot;value\&quot;:\&quot;d8e74515b1da421686ab71f2d4d375e6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46},{\&quot;key\&quot;:\&quot;Merchant\&quot;,\&quot;value\&quot;:\&quot;Avidia Bank Setl Lewis\&quot;},{\&quot;key\&quot;:\&quot;Amount $\&quot;,\&quot;value\&quot;:138.47},{\&quot;key\&quot;:\&quot;Transaction_ID\&quot;,\&quot;value\&quot;:\&quot;bea8905e08994c468a0bf7eb0cef0660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46},{\&quot;key\&quot;:\&quot;Merchant\&quot;,\&quot;value\&quot;:\&quot;Pupatella 2\&quot;},{\&quot;key\&quot;:\&quot;Amount $\&quot;,\&quot;value\&quot;:-40.42},{\&quot;key\&quot;:\&quot;Transaction_ID\&quot;,\&quot;value\&quot;:\&quot;2682819987594a14b7de8f12d94992f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44},{\&quot;key\&quot;:\&quot;Merchant\&quot;,\&quot;value\&quot;:\&quot;Interest Charge On Cash\&quot;},{\&quot;key\&quot;:\&quot;Amount $\&quot;,\&quot;value\&quot;:0},{\&quot;key\&quot;:\&quot;Transaction_ID\&quot;,\&quot;value\&quot;:\&quot;d4f4a7bd5f2948dcb731804338e5ee5f\&quot;},{\&quot;key\&quot;:\&quot;Account_ID\&quot;,\&quot;value\&quot;:\&quot;a82d9aba872e4e9b9684a363d4cc52b5\&quot;},{\&quot;key\&quot;:\&quot;Category_ID\&quot;,\&quot;value\&quot;:\&quot;de9b1d2511bc45a9bb2d484aa9e33b31\&quot;},{\&quot;key\&quot;:\&quot;Subcategory_ID\&quot;,\&quot;value\&quot;:\&quot;\&quot;}],[{\&quot;key\&quot;:\&quot;Date\&quot;,\&quot;value\&quot;:44244},{\&quot;key\&quot;:\&quot;Merchant\&quot;,\&quot;value\&quot;:\&quot;Target\&quot;},{\&quot;key\&quot;:\&quot;Amount $\&quot;,\&quot;value\&quot;:-76.3},{\&quot;key\&quot;:\&quot;Transaction_ID\&quot;,\&quot;value\&quot;:\&quot;ccb97ad56c2e47d4af52d9c28b73f12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44},{\&quot;key\&quot;:\&quot;Merchant\&quot;,\&quot;value\&quot;:\&quot;Robinhood\&quot;},{\&quot;key\&quot;:\&quot;Amount $\&quot;,\&quot;value\&quot;:-150},{\&quot;key\&quot;:\&quot;Transaction_ID\&quot;,\&quot;value\&quot;:\&quot;c438d763fe25412b8471feba0185e48b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44},{\&quot;key\&quot;:\&quot;Merchant\&quot;,\&quot;value\&quot;:\&quot;Interest Charge On Purchases\&quot;},{\&quot;key\&quot;:\&quot;Amount $\&quot;,\&quot;value\&quot;:0},{\&quot;key\&quot;:\&quot;Transaction_ID\&quot;,\&quot;value\&quot;:\&quot;b2ba202630404846a79eb2c31e874651\&quot;},{\&quot;key\&quot;:\&quot;Account_ID\&quot;,\&quot;value\&quot;:\&quot;a82d9aba872e4e9b9684a363d4cc52b5\&quot;},{\&quot;key\&quot;:\&quot;Category_ID\&quot;,\&quot;value\&quot;:\&quot;de9b1d2511bc45a9bb2d484aa9e33b31\&quot;},{\&quot;key\&quot;:\&quot;Subcategory_ID\&quot;,\&quot;value\&quot;:\&quot;\&quot;}],[{\&quot;key\&quot;:\&quot;Date\&quot;,\&quot;value\&quot;:44244},{\&quot;key\&quot;:\&quot;Merchant\&quot;,\&quot;value\&quot;:\&quot;Robinhood\&quot;},{\&quot;key\&quot;:\&quot;Amount $\&quot;,\&quot;value\&quot;:-50},{\&quot;key\&quot;:\&quot;Transaction_ID\&quot;,\&quot;value\&quot;:\&quot;8131c47900c341339691ffc42efac2ec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44},{\&quot;key\&quot;:\&quot;Merchant\&quot;,\&quot;value\&quot;:\&quot;Webull Financial Feb Sean\&quot;},{\&quot;key\&quot;:\&quot;Amount $\&quot;,\&quot;value\&quot;:56.74},{\&quot;key\&quot;:\&quot;Transaction_ID\&quot;,\&quot;value\&quot;:\&quot;595e06c584e04fd28771815529364acb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44},{\&quot;key\&quot;:\&quot;Merchant\&quot;,\&quot;value\&quot;:\&quot;Robinhood\&quot;},{\&quot;key\&quot;:\&quot;Amount $\&quot;,\&quot;value\&quot;:-300},{\&quot;key\&quot;:\&quot;Transaction_ID\&quot;,\&quot;value\&quot;:\&quot;0f29a6e070d84f55aade339742b02311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43},{\&quot;key\&quot;:\&quot;Merchant\&quot;,\&quot;value\&quot;:\&quot;Venmo\&quot;},{\&quot;key\&quot;:\&quot;Amount $\&quot;,\&quot;value\&quot;:-500},{\&quot;key\&quot;:\&quot;Transaction_ID\&quot;,\&quot;value\&quot;:\&quot;e97f15a4b3554732a39360320d572a91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43},{\&quot;key\&quot;:\&quot;Merchant\&quot;,\&quot;value\&quot;:\&quot;Td Ameritrade In Pgb\&quot;},{\&quot;key\&quot;:\&quot;Amount $\&quot;,\&quot;value\&quot;:-100},{\&quot;key\&quot;:\&quot;Transaction_ID\&quot;,\&quot;value\&quot;:\&quot;ab12557a7179443ca87e7cfd42daac56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43},{\&quot;key\&quot;:\&quot;Merchant\&quot;,\&quot;value\&quot;:\&quot;Money Transfer Authorized On\&quot;},{\&quot;key\&quot;:\&quot;Amount $\&quot;,\&quot;value\&quot;:492.5},{\&quot;key\&quot;:\&quot;Transaction_ID\&quot;,\&quot;value\&quot;:\&quot;682919b2cf6c45559c466a333dba4828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43},{\&quot;key\&quot;:\&quot;Merchant\&quot;,\&quot;value\&quot;:\&quot;Robinhood\&quot;},{\&quot;key\&quot;:\&quot;Amount $\&quot;,\&quot;value\&quot;:-100},{\&quot;key\&quot;:\&quot;Transaction_ID\&quot;,\&quot;value\&quot;:\&quot;172af250d84844e9893f503e3b77200d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41},{\&quot;key\&quot;:\&quot;Merchant\&quot;,\&quot;value\&quot;:\&quot;Apple Bill Ca Apple\&quot;},{\&quot;key\&quot;:\&quot;Amount $\&quot;,\&quot;value\&quot;:-14.99},{\&quot;key\&quot;:\&quot;Transaction_ID\&quot;,\&quot;value\&quot;:\&quot;cfcf8a9b3ce645f1bd06ac6fa4416b9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41},{\&quot;key\&quot;:\&quot;Merchant\&quot;,\&quot;value\&quot;:\&quot;The Market\&quot;},{\&quot;key\&quot;:\&quot;Amount $\&quot;,\&quot;value\&quot;:-7.88},{\&quot;key\&quot;:\&quot;Transaction_ID\&quot;,\&quot;value\&quot;:\&quot;b3bc604d256e48109e406f760d292ed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41},{\&quot;key\&quot;:\&quot;Merchant\&quot;,\&quot;value\&quot;:\&quot;Walmart\&quot;},{\&quot;key\&quot;:\&quot;Amount $\&quot;,\&quot;value\&quot;:-48.58},{\&quot;key\&quot;:\&quot;Transaction_ID\&quot;,\&quot;value\&quot;:\&quot;a45c68171a4b4224a17f202796885c9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39},{\&quot;key\&quot;:\&quot;Merchant\&quot;,\&quot;value\&quot;:\&quot;Venmo\&quot;},{\&quot;key\&quot;:\&quot;Amount $\&quot;,\&quot;value\&quot;:-350},{\&quot;key\&quot;:\&quot;Transaction_ID\&quot;,\&quot;value\&quot;:\&quot;d7b62d8d305e4b75b402bb60ca42235b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39},{\&quot;key\&quot;:\&quot;Merchant\&quot;,\&quot;value\&quot;:\&quot;Elephant Ins Payroll Lewis\&quot;},{\&quot;key\&quot;:\&quot;Amount $\&quot;,\&quot;value\&quot;:1809.65},{\&quot;key\&quot;:\&quot;Transaction_ID\&quot;,\&quot;value\&quot;:\&quot;c62389e3242745c3bb8ac1a473a6224a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39},{\&quot;key\&quot;:\&quot;Merchant\&quot;,\&quot;value\&quot;:\&quot;Vizmediallc\&quot;},{\&quot;key\&quot;:\&quot;Amount $\&quot;,\&quot;value\&quot;:-1.99},{\&quot;key\&quot;:\&quot;Transaction_ID\&quot;,\&quot;value\&quot;:\&quot;bb25fcfc225843afb91d8c935ed6465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39},{\&quot;key\&quot;:\&quot;Merchant\&quot;,\&quot;value\&quot;:\&quot;Robinhood\&quot;},{\&quot;key\&quot;:\&quot;Amount $\&quot;,\&quot;value\&quot;:-100},{\&quot;key\&quot;:\&quot;Transaction_ID\&quot;,\&quot;value\&quot;:\&quot;b1ba5ebaba5d4f6f8214fed002824c54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39},{\&quot;key\&quot;:\&quot;Merchant\&quot;,\&quot;value\&quot;:\&quot;Internet Payment\&quot;},{\&quot;key\&quot;:\&quot;Amount $\&quot;,\&quot;value\&quot;:715.37},{\&quot;key\&quot;:\&quot;Transaction_ID\&quot;,\&quot;value\&quot;:\&quot;ab9c38edfa2a474a973a2e5fa6e2b10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39},{\&quot;key\&quot;:\&quot;Merchant\&quot;,\&quot;value\&quot;:\&quot;Discover E Payment Lewis\&quot;},{\&quot;key\&quot;:\&quot;Amount $\&quot;,\&quot;value\&quot;:-715.37},{\&quot;key\&quot;:\&quot;Transaction_ID\&quot;,\&quot;value\&quot;:\&quot;3900880f2ddb47d196b9d9d2dbddf92f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39},{\&quot;key\&quot;:\&quot;Merchant\&quot;,\&quot;value\&quot;:\&quot;Cashback Bonus Redemption Pymt\&quot;},{\&quot;key\&quot;:\&quot;Amount $\&quot;,\&quot;value\&quot;:14},{\&quot;key\&quot;:\&quot;Transaction_ID\&quot;,\&quot;value\&quot;:\&quot;094301b79cfd41d5a562ccc049678a0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38},{\&quot;key\&quot;:\&quot;Merchant\&quot;,\&quot;value\&quot;:\&quot;Bird App\&quot;},{\&quot;key\&quot;:\&quot;Amount $\&quot;,\&quot;value\&quot;:-5},{\&quot;key\&quot;:\&quot;Transaction_ID\&quot;,\&quot;value\&quot;:\&quot;62ce3a53bc1847e298eae5221e4b3f1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38},{\&quot;key\&quot;:\&quot;Merchant\&quot;,\&quot;value\&quot;:\&quot;Bird App\&quot;},{\&quot;key\&quot;:\&quot;Amount $\&quot;,\&quot;value\&quot;:-5},{\&quot;key\&quot;:\&quot;Transaction_ID\&quot;,\&quot;value\&quot;:\&quot;3ea4c6dbc287401ba342023c3d0ce30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38},{\&quot;key\&quot;:\&quot;Merchant\&quot;,\&quot;value\&quot;:\&quot;Bird App\&quot;},{\&quot;key\&quot;:\&quot;Amount $\&quot;,\&quot;value\&quot;:-5},{\&quot;key\&quot;:\&quot;Transaction_ID\&quot;,\&quot;value\&quot;:\&quot;37e82c3f6ec84489ae9c6fcab9a3cdb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37},{\&quot;key\&quot;:\&quot;Merchant\&quot;,\&quot;value\&quot;:\&quot;Apple Bill Ca Apple\&quot;},{\&quot;key\&quot;:\&quot;Amount $\&quot;,\&quot;value\&quot;:-3.99},{\&quot;key\&quot;:\&quot;Transaction_ID\&quot;,\&quot;value\&quot;:\&quot;e9d984b6b05b4c3da46a8ad455d1503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37},{\&quot;key\&quot;:\&quot;Merchant\&quot;,\&quot;value\&quot;:\&quot;Cvs\&quot;},{\&quot;key\&quot;:\&quot;Amount $\&quot;,\&quot;value\&quot;:-4.73},{\&quot;key\&quot;:\&quot;Transaction_ID\&quot;,\&quot;value\&quot;:\&quot;aed0580099da4cc7b4e07d7107f2289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36},{\&quot;key\&quot;:\&quot;Merchant\&quot;,\&quot;value\&quot;:\&quot;Avidia Bank Setl Lewis\&quot;},{\&quot;key\&quot;:\&quot;Amount $\&quot;,\&quot;value\&quot;:138.48},{\&quot;key\&quot;:\&quot;Transaction_ID\&quot;,\&quot;value\&quot;:\&quot;64ac0f59e59c4950894dbf0384065a35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35},{\&quot;key\&quot;:\&quot;Merchant\&quot;,\&quot;value\&quot;:\&quot;Robinhood\&quot;},{\&quot;key\&quot;:\&quot;Amount $\&quot;,\&quot;value\&quot;:-10},{\&quot;key\&quot;:\&quot;Transaction_ID\&quot;,\&quot;value\&quot;:\&quot;811a1dabdc5f4155a983d44251a9502a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35},{\&quot;key\&quot;:\&quot;Merchant\&quot;,\&quot;value\&quot;:\&quot;Robinhood\&quot;},{\&quot;key\&quot;:\&quot;Amount $\&quot;,\&quot;value\&quot;:-40},{\&quot;key\&quot;:\&quot;Transaction_ID\&quot;,\&quot;value\&quot;:\&quot;70eb2df0e6054221956d3c13e038a23b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34},{\&quot;key\&quot;:\&quot;Merchant\&quot;,\&quot;value\&quot;:\&quot;Chipotle Mexican Grill\&quot;},{\&quot;key\&quot;:\&quot;Amount $\&quot;,\&quot;value\&quot;:-9.36},{\&quot;key\&quot;:\&quot;Transaction_ID\&quot;,\&quot;value\&quot;:\&quot;d357cf8984c84cd7bd99d3db2669831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32},{\&quot;key\&quot;:\&quot;Merchant\&quot;,\&quot;value\&quot;:\&quot;Cvs\&quot;},{\&quot;key\&quot;:\&quot;Amount $\&quot;,\&quot;value\&quot;:-2.45},{\&quot;key\&quot;:\&quot;Transaction_ID\&quot;,\&quot;value\&quot;:\&quot;8e89882692944a1fb09f6d0adc66cb7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32},{\&quot;key\&quot;:\&quot;Merchant\&quot;,\&quot;value\&quot;:\&quot;Cvs\&quot;},{\&quot;key\&quot;:\&quot;Amount $\&quot;,\&quot;value\&quot;:-1.63},{\&quot;key\&quot;:\&quot;Transaction_ID\&quot;,\&quot;value\&quot;:\&quot;5d9ce708052240e5901256498b3e610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31},{\&quot;key\&quot;:\&quot;Merchant\&quot;,\&quot;value\&quot;:\&quot;Robinhood\&quot;},{\&quot;key\&quot;:\&quot;Amount $\&quot;,\&quot;value\&quot;:-50},{\&quot;key\&quot;:\&quot;Transaction_ID\&quot;,\&quot;value\&quot;:\&quot;3b13e9f2f0384031973d9b33e5bd0b69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30},{\&quot;key\&quot;:\&quot;Merchant\&quot;,\&quot;value\&quot;:\&quot;The Market\&quot;},{\&quot;key\&quot;:\&quot;Amount $\&quot;,\&quot;value\&quot;:-15.09},{\&quot;key\&quot;:\&quot;Transaction_ID\&quot;,\&quot;value\&quot;:\&quot;fa37590e4c3248ad9b6b3fd49cf6cce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30},{\&quot;key\&quot;:\&quot;Merchant\&quot;,\&quot;value\&quot;:\&quot;Best Buy\&quot;},{\&quot;key\&quot;:\&quot;Amount $\&quot;,\&quot;value\&quot;:-157.47},{\&quot;key\&quot;:\&quot;Transaction_ID\&quot;,\&quot;value\&quot;:\&quot;9fa9a0e5912643fd924cd902dae3c312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30},{\&quot;key\&quot;:\&quot;Merchant\&quot;,\&quot;value\&quot;:\&quot;State Farm\&quot;},{\&quot;key\&quot;:\&quot;Amount $\&quot;,\&quot;value\&quot;:-91.78},{\&quot;key\&quot;:\&quot;Transaction_ID\&quot;,\&quot;value\&quot;:\&quot;29d3474c43fd47dabcc6ccea6789f6d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29},{\&quot;key\&quot;:\&quot;Merchant\&quot;,\&quot;value\&quot;:\&quot;Online Payment Deerfield Il\&quot;},{\&quot;key\&quot;:\&quot;Amount $\&quot;,\&quot;value\&quot;:157.47},{\&quot;key\&quot;:\&quot;Transaction_ID\&quot;,\&quot;value\&quot;:\&quot;d1845365df0140e0a4804490a8e78ec6\&quot;},{\&quot;key\&quot;:\&quot;Account_ID\&quot;,\&quot;value\&quot;:\&quot;a82d9aba872e4e9b9684a363d4cc52b5\&quot;},{\&quot;key\&quot;:\&quot;Category_ID\&quot;,\&quot;value\&quot;:\&quot;3dafc6bd8d7c45ae9840ff09e01567d1\&quot;},{\&quot;key\&quot;:\&quot;Subcategory_ID\&quot;,\&quot;value\&quot;:\&quot;\&quot;}],[{\&quot;key\&quot;:\&quot;Date\&quot;,\&quot;value\&quot;:44229},{\&quot;key\&quot;:\&quot;Merchant\&quot;,\&quot;value\&quot;:\&quot;Credit Karma Transfer Sean\&quot;},{\&quot;key\&quot;:\&quot;Amount $\&quot;,\&quot;value\&quot;:-1},{\&quot;key\&quot;:\&quot;Transaction_ID\&quot;,\&quot;value\&quot;:\&quot;bd2a4a0c988f4f559d514e86cbaccc2f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29},{\&quot;key\&quot;:\&quot;Merchant\&quot;,\&quot;value\&quot;:\&quot;Dayneinvest\&quot;},{\&quot;key\&quot;:\&quot;Amount $\&quot;,\&quot;value\&quot;:-10},{\&quot;key\&quot;:\&quot;Transaction_ID\&quot;,\&quot;value\&quot;:\&quot;998402992f974b3d928ababc56a9012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29},{\&quot;key\&quot;:\&quot;Merchant\&quot;,\&quot;value\&quot;:\&quot;Cvs\&quot;},{\&quot;key\&quot;:\&quot;Amount $\&quot;,\&quot;value\&quot;:-36.84},{\&quot;key\&quot;:\&quot;Transaction_ID\&quot;,\&quot;value\&quot;:\&quot;529d3dfba5734c268aabbda781ebaa42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29},{\&quot;key\&quot;:\&quot;Merchant\&quot;,\&quot;value\&quot;:\&quot;Venmo\&quot;},{\&quot;key\&quot;:\&quot;Amount $\&quot;,\&quot;value\&quot;:495},{\&quot;key\&quot;:\&quot;Transaction_ID\&quot;,\&quot;value\&quot;:\&quot;356d9b9a15774609b284b5eeb0029c75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29},{\&quot;key\&quot;:\&quot;Merchant\&quot;,\&quot;value\&quot;:\&quot;Cvs\&quot;},{\&quot;key\&quot;:\&quot;Amount $\&quot;,\&quot;value\&quot;:-37.01},{\&quot;key\&quot;:\&quot;Transaction_ID\&quot;,\&quot;value\&quot;:\&quot;32ed008b88ff4be29146bba54e45cbe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29},{\&quot;key\&quot;:\&quot;Merchant\&quot;,\&quot;value\&quot;:\&quot;Cash App Don\&quot;},{\&quot;key\&quot;:\&quot;Amount $\&quot;,\&quot;value\&quot;:-600},{\&quot;key\&quot;:\&quot;Transaction_ID\&quot;,\&quot;value\&quot;:\&quot;19f7db312d0a4d23806228b3c830025d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28},{\&quot;key\&quot;:\&quot;Merchant\&quot;,\&quot;value\&quot;:\&quot;Spotify\&quot;},{\&quot;key\&quot;:\&quot;Amount $\&quot;,\&quot;value\&quot;:-9.99},{\&quot;key\&quot;:\&quot;Transaction_ID\&quot;,\&quot;value\&quot;:\&quot;370cc7b8a9264179ade0a19dc27e6ee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28},{\&quot;key\&quot;:\&quot;Merchant\&quot;,\&quot;value\&quot;:\&quot;Cvs\&quot;},{\&quot;key\&quot;:\&quot;Amount $\&quot;,\&quot;value\&quot;:-15.92},{\&quot;key\&quot;:\&quot;Transaction_ID\&quot;,\&quot;value\&quot;:\&quot;19276328924743c590181de11135b4d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27},{\&quot;key\&quot;:\&quot;Merchant\&quot;,\&quot;value\&quot;:\&quot;Walmart\&quot;},{\&quot;key\&quot;:\&quot;Amount $\&quot;,\&quot;value\&quot;:-19.22},{\&quot;key\&quot;:\&quot;Transaction_ID\&quot;,\&quot;value\&quot;:\&quot;d78f31ff4b304a51b7296ef080dd310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27},{\&quot;key\&quot;:\&quot;Merchant\&quot;,\&quot;value\&quot;:\&quot;Dc Charbroiled Chicken\&quot;},{\&quot;key\&quot;:\&quot;Amount $\&quot;,\&quot;value\&quot;:-9.89},{\&quot;key\&quot;:\&quot;Transaction_ID\&quot;,\&quot;value\&quot;:\&quot;81355d8abe7f409983bdc4b708218b5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26},{\&quot;key\&quot;:\&quot;Merchant\&quot;,\&quot;value\&quot;:\&quot;The Market\&quot;},{\&quot;key\&quot;:\&quot;Amount $\&quot;,\&quot;value\&quot;:-7.42},{\&quot;key\&quot;:\&quot;Transaction_ID\&quot;,\&quot;value\&quot;:\&quot;bbc0f583aa114f31a58ee08b1357d05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25},{\&quot;key\&quot;:\&quot;Merchant\&quot;,\&quot;value\&quot;:\&quot;Venmo\&quot;},{\&quot;key\&quot;:\&quot;Amount $\&quot;,\&quot;value\&quot;:-728.15},{\&quot;key\&quot;:\&quot;Transaction_ID\&quot;,\&quot;value\&quot;:\&quot;a4c2bdf657a240d3992dad91645d423b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25},{\&quot;key\&quot;:\&quot;Merchant\&quot;,\&quot;value\&quot;:\&quot;Venmo\&quot;},{\&quot;key\&quot;:\&quot;Amount $\&quot;,\&quot;value\&quot;:-700},{\&quot;key\&quot;:\&quot;Transaction_ID\&quot;,\&quot;value\&quot;:\&quot;4a7d7b128ad5448794a65a4e13f16d88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25},{\&quot;key\&quot;:\&quot;Merchant\&quot;,\&quot;value\&quot;:\&quot;Elephant Ins Payroll Lewis\&quot;},{\&quot;key\&quot;:\&quot;Amount $\&quot;,\&quot;value\&quot;:1459.64},{\&quot;key\&quot;:\&quot;Transaction_ID\&quot;,\&quot;value\&quot;:\&quot;4862c5d01c0a4631b1a97f1c9ef423c5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24},{\&quot;key\&quot;:\&quot;Merchant\&quot;,\&quot;value\&quot;:\&quot;Atm Check Deposit On\&quot;},{\&quot;key\&quot;:\&quot;Amount $\&quot;,\&quot;value\&quot;:388.47},{\&quot;key\&quot;:\&quot;Transaction_ID\&quot;,\&quot;value\&quot;:\&quot;f486ac8c25e04ee788f309f71151a058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24},{\&quot;key\&quot;:\&quot;Merchant\&quot;,\&quot;value\&quot;:\&quot;Robinhood\&quot;},{\&quot;key\&quot;:\&quot;Amount $\&quot;,\&quot;value\&quot;:-100},{\&quot;key\&quot;:\&quot;Transaction_ID\&quot;,\&quot;value\&quot;:\&quot;e0543b8dfc2a4b87a8bf3ddaa69dc2fe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24},{\&quot;key\&quot;:\&quot;Merchant\&quot;,\&quot;value\&quot;:\&quot;Crunch Fitness Va Crunch\&quot;},{\&quot;key\&quot;:\&quot;Amount $\&quot;,\&quot;value\&quot;:-9.95},{\&quot;key\&quot;:\&quot;Transaction_ID\&quot;,\&quot;value\&quot;:\&quot;5cd6cec032564cbca32963cceee0f6e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24},{\&quot;key\&quot;:\&quot;Merchant\&quot;,\&quot;value\&quot;:\&quot;Robinhood\&quot;},{\&quot;key\&quot;:\&quot;Amount $\&quot;,\&quot;value\&quot;:-50},{\&quot;key\&quot;:\&quot;Transaction_ID\&quot;,\&quot;value\&quot;:\&quot;47cf900423854cfc805bead39b4b4efd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23},{\&quot;key\&quot;:\&quot;Merchant\&quot;,\&quot;value\&quot;:\&quot;Cvs\&quot;},{\&quot;key\&quot;:\&quot;Amount $\&quot;,\&quot;value\&quot;:-2.24},{\&quot;key\&quot;:\&quot;Transaction_ID\&quot;,\&quot;value\&quot;:\&quot;fa3707c3c3204763bfc382d0331d94c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23},{\&quot;key\&quot;:\&quot;Merchant\&quot;,\&quot;value\&quot;:\&quot;Publix\&quot;},{\&quot;key\&quot;:\&quot;Amount $\&quot;,\&quot;value\&quot;:-4.75},{\&quot;key\&quot;:\&quot;Transaction_ID\&quot;,\&quot;value\&quot;:\&quot;f8d30b3d3aef451c8b206d67a173838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23},{\&quot;key\&quot;:\&quot;Merchant\&quot;,\&quot;value\&quot;:\&quot;Cvs\&quot;},{\&quot;key\&quot;:\&quot;Amount $\&quot;,\&quot;value\&quot;:-1.51},{\&quot;key\&quot;:\&quot;Transaction_ID\&quot;,\&quot;value\&quot;:\&quot;9742bc65d34f42f98eee8bc2c0a1647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22},{\&quot;key\&quot;:\&quot;Merchant\&quot;,\&quot;value\&quot;:\&quot;Chipotle Mexican Grill\&quot;},{\&quot;key\&quot;:\&quot;Amount $\&quot;,\&quot;value\&quot;:-8.23},{\&quot;key\&quot;:\&quot;Transaction_ID\&quot;,\&quot;value\&quot;:\&quot;94b7b5a079dc45b8b452869978fae97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22},{\&quot;key\&quot;:\&quot;Merchant\&quot;,\&quot;value\&quot;:\&quot;Whole Foods\&quot;},{\&quot;key\&quot;:\&quot;Amount $\&quot;,\&quot;value\&quot;:-63.87},{\&quot;key\&quot;:\&quot;Transaction_ID\&quot;,\&quot;value\&quot;:\&quot;81c8e2cd958c475890479bdb6a3271d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22},{\&quot;key\&quot;:\&quot;Merchant\&quot;,\&quot;value\&quot;:\&quot;Money Transfer Authorized On\&quot;},{\&quot;key\&quot;:\&quot;Amount $\&quot;,\&quot;value\&quot;:155},{\&quot;key\&quot;:\&quot;Transaction_ID\&quot;,\&quot;value\&quot;:\&quot;642d85c4606b47c7b56e7a224a7d3dc5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21},{\&quot;key\&quot;:\&quot;Merchant\&quot;,\&quot;value\&quot;:\&quot;Exxonmobil\&quot;},{\&quot;key\&quot;:\&quot;Amount $\&quot;,\&quot;value\&quot;:-2.76},{\&quot;key\&quot;:\&quot;Transaction_ID\&quot;,\&quot;value\&quot;:\&quot;f872d7ac5b3a4f8390584cd401eed1c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21},{\&quot;key\&quot;:\&quot;Merchant\&quot;,\&quot;value\&quot;:\&quot;Exxonmobil\&quot;},{\&quot;key\&quot;:\&quot;Amount $\&quot;,\&quot;value\&quot;:-22.97},{\&quot;key\&quot;:\&quot;Transaction_ID\&quot;,\&quot;value\&quot;:\&quot;806588377cd244d193ab6925709fdfd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19},{\&quot;key\&quot;:\&quot;Merchant\&quot;,\&quot;value\&quot;:\&quot;521 Biscuits &amp; Waff\&quot;},{\&quot;key\&quot;:\&quot;Amount $\&quot;,\&quot;value\&quot;:-14.68},{\&quot;key\&quot;:\&quot;Transaction_ID\&quot;,\&quot;value\&quot;:\&quot;bf44594346cf43efa3843b5e03d63c5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19},{\&quot;key\&quot;:\&quot;Merchant\&quot;,\&quot;value\&quot;:\&quot;Cityparking Inc Va Apple\&quot;},{\&quot;key\&quot;:\&quot;Amount $\&quot;,\&quot;value\&quot;:-3.35},{\&quot;key\&quot;:\&quot;Transaction_ID\&quot;,\&quot;value\&quot;:\&quot;820a89f5e2224259b50f980f07d39c5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19},{\&quot;key\&quot;:\&quot;Merchant\&quot;,\&quot;value\&quot;:\&quot;Bedbath&amp;Beyond\&quot;},{\&quot;key\&quot;:\&quot;Amount $\&quot;,\&quot;value\&quot;:-84.43},{\&quot;key\&quot;:\&quot;Transaction_ID\&quot;,\&quot;value\&quot;:\&quot;3a5c44cc11ba4fab872bfff61a6dc09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18},{\&quot;key\&quot;:\&quot;Merchant\&quot;,\&quot;value\&quot;:\&quot;The Market\&quot;},{\&quot;key\&quot;:\&quot;Amount $\&quot;,\&quot;value\&quot;:-15.61},{\&quot;key\&quot;:\&quot;Transaction_ID\&quot;,\&quot;value\&quot;:\&quot;6e105d81d32f41bf9c7dba0b630795b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17},{\&quot;key\&quot;:\&quot;Merchant\&quot;,\&quot;value\&quot;:\&quot;Pp Roku For Crunchyr\&quot;},{\&quot;key\&quot;:\&quot;Amount $\&quot;,\&quot;value\&quot;:-7.99},{\&quot;key\&quot;:\&quot;Transaction_ID\&quot;,\&quot;value\&quot;:\&quot;f161e60155db4c5095d2e7305d85481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17},{\&quot;key\&quot;:\&quot;Merchant\&quot;,\&quot;value\&quot;:\&quot;Society Of Actuari\&quot;},{\&quot;key\&quot;:\&quot;Amount $\&quot;,\&quot;value\&quot;:-75},{\&quot;key\&quot;:\&quot;Transaction_ID\&quot;,\&quot;value\&quot;:\&quot;d7d38a0c966946848ce0640c1259c788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17},{\&quot;key\&quot;:\&quot;Merchant\&quot;,\&quot;value\&quot;:\&quot;Kingsisle Pi Tx\&quot;},{\&quot;key\&quot;:\&quot;Amount $\&quot;,\&quot;value\&quot;:-9.95},{\&quot;key\&quot;:\&quot;Transaction_ID\&quot;,\&quot;value\&quot;:\&quot;962d00421dce437a94d5b6bb9db9f56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16},{\&quot;key\&quot;:\&quot;Merchant\&quot;,\&quot;value\&quot;:\&quot;Interest Charge On Purchases\&quot;},{\&quot;key\&quot;:\&quot;Amount $\&quot;,\&quot;value\&quot;:0},{\&quot;key\&quot;:\&quot;Transaction_ID\&quot;,\&quot;value\&quot;:\&quot;fe64473169ed4ac38245823b33d5d4b5\&quot;},{\&quot;key\&quot;:\&quot;Account_ID\&quot;,\&quot;value\&quot;:\&quot;a82d9aba872e4e9b9684a363d4cc52b5\&quot;},{\&quot;key\&quot;:\&quot;Category_ID\&quot;,\&quot;value\&quot;:\&quot;de9b1d2511bc45a9bb2d484aa9e33b31\&quot;},{\&quot;key\&quot;:\&quot;Subcategory_ID\&quot;,\&quot;value\&quot;:\&quot;\&quot;}],[{\&quot;key\&quot;:\&quot;Date\&quot;,\&quot;value\&quot;:44216},{\&quot;key\&quot;:\&quot;Merchant\&quot;,\&quot;value\&quot;:\&quot;Cash App\&quot;},{\&quot;key\&quot;:\&quot;Amount $\&quot;,\&quot;value\&quot;:-155},{\&quot;key\&quot;:\&quot;Transaction_ID\&quot;,\&quot;value\&quot;:\&quot;2a1c99cd4fee43589c1924d20ad7d3c4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16},{\&quot;key\&quot;:\&quot;Merchant\&quot;,\&quot;value\&quot;:\&quot;Interest Charge On Cash\&quot;},{\&quot;key\&quot;:\&quot;Amount $\&quot;,\&quot;value\&quot;:0},{\&quot;key\&quot;:\&quot;Transaction_ID\&quot;,\&quot;value\&quot;:\&quot;256463f0d8664b9381e9dedb86550992\&quot;},{\&quot;key\&quot;:\&quot;Account_ID\&quot;,\&quot;value\&quot;:\&quot;a82d9aba872e4e9b9684a363d4cc52b5\&quot;},{\&quot;key\&quot;:\&quot;Category_ID\&quot;,\&quot;value\&quot;:\&quot;de9b1d2511bc45a9bb2d484aa9e33b31\&quot;},{\&quot;key\&quot;:\&quot;Subcategory_ID\&quot;,\&quot;value\&quot;:\&quot;\&quot;}],[{\&quot;key\&quot;:\&quot;Date\&quot;,\&quot;value\&quot;:44216},{\&quot;key\&quot;:\&quot;Merchant\&quot;,\&quot;value\&quot;:\&quot;The Market\&quot;},{\&quot;key\&quot;:\&quot;Amount $\&quot;,\&quot;value\&quot;:-15.15},{\&quot;key\&quot;:\&quot;Transaction_ID\&quot;,\&quot;value\&quot;:\&quot;10cf817c32b84b3394f93f8939d3322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15},{\&quot;key\&quot;:\&quot;Merchant\&quot;,\&quot;value\&quot;:\&quot;Venmo\&quot;},{\&quot;key\&quot;:\&quot;Amount $\&quot;,\&quot;value\&quot;:150},{\&quot;key\&quot;:\&quot;Transaction_ID\&quot;,\&quot;value\&quot;:\&quot;dcdf68d79f9d48d9846729ac6eef0827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15},{\&quot;key\&quot;:\&quot;Merchant\&quot;,\&quot;value\&quot;:\&quot;Venmo\&quot;},{\&quot;key\&quot;:\&quot;Amount $\&quot;,\&quot;value\&quot;:-78.86},{\&quot;key\&quot;:\&quot;Transaction_ID\&quot;,\&quot;value\&quot;:\&quot;dca598cb004c4c7ca14f2249540c8c1b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15},{\&quot;key\&quot;:\&quot;Merchant\&quot;,\&quot;value\&quot;:\&quot;Venmo\&quot;},{\&quot;key\&quot;:\&quot;Amount $\&quot;,\&quot;value\&quot;:-569.12},{\&quot;key\&quot;:\&quot;Transaction_ID\&quot;,\&quot;value\&quot;:\&quot;bd4072dc6fe44af3980b083d29fd0180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15},{\&quot;key\&quot;:\&quot;Merchant\&quot;,\&quot;value\&quot;:\&quot;Ilf Llc\&quot;},{\&quot;key\&quot;:\&quot;Amount $\&quot;,\&quot;value\&quot;:-99.9},{\&quot;key\&quot;:\&quot;Transaction_ID\&quot;,\&quot;value\&quot;:\&quot;66be87078e984e7f881dec3be6bc183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15},{\&quot;key\&quot;:\&quot;Merchant\&quot;,\&quot;value\&quot;:\&quot;Cvs\&quot;},{\&quot;key\&quot;:\&quot;Amount $\&quot;,\&quot;value\&quot;:-2.86},{\&quot;key\&quot;:\&quot;Transaction_ID\&quot;,\&quot;value\&quot;:\&quot;64a2d7f7dc574bd0bc6c6ce80e2a664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15},{\&quot;key\&quot;:\&quot;Merchant\&quot;,\&quot;value\&quot;:\&quot;Chipotle Mexican Grill\&quot;},{\&quot;key\&quot;:\&quot;Amount $\&quot;,\&quot;value\&quot;:-8.23},{\&quot;key\&quot;:\&quot;Transaction_ID\&quot;,\&quot;value\&quot;:\&quot;4713b418f0ba4a7abc2b9ba6a793506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12},{\&quot;key\&quot;:\&quot;Merchant\&quot;,\&quot;value\&quot;:\&quot;Amazon\&quot;},{\&quot;key\&quot;:\&quot;Amount $\&quot;,\&quot;value\&quot;:-58.29},{\&quot;key\&quot;:\&quot;Transaction_ID\&quot;,\&quot;value\&quot;:\&quot;df2d53e6af864ffda35561b225f8a34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11},{\&quot;key\&quot;:\&quot;Merchant\&quot;,\&quot;value\&quot;:\&quot;Internet Payment\&quot;},{\&quot;key\&quot;:\&quot;Amount $\&quot;,\&quot;value\&quot;:729.23},{\&quot;key\&quot;:\&quot;Transaction_ID\&quot;,\&quot;value\&quot;:\&quot;fa6e77b16768402c8a199ac19be407a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11},{\&quot;key\&quot;:\&quot;Merchant\&quot;,\&quot;value\&quot;:\&quot;Walgreens\&quot;},{\&quot;key\&quot;:\&quot;Amount $\&quot;,\&quot;value\&quot;:-21.19},{\&quot;key\&quot;:\&quot;Transaction_ID\&quot;,\&quot;value\&quot;:\&quot;a27aa4d51a514f3fb9f14577ec61ac3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11},{\&quot;key\&quot;:\&quot;Merchant\&quot;,\&quot;value\&quot;:\&quot;Directpay Full Balance See\&quot;},{\&quot;key\&quot;:\&quot;Amount $\&quot;,\&quot;value\&quot;:728.15},{\&quot;key\&quot;:\&quot;Transaction_ID\&quot;,\&quot;value\&quot;:\&quot;8c584eb39f11412e8fbdfe8c7e929ef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11},{\&quot;key\&quot;:\&quot;Merchant\&quot;,\&quot;value\&quot;:\&quot;Discover E Payment Lewis\&quot;},{\&quot;key\&quot;:\&quot;Amount $\&quot;,\&quot;value\&quot;:-729.23},{\&quot;key\&quot;:\&quot;Transaction_ID\&quot;,\&quot;value\&quot;:\&quot;8c3888d298d54f03ab58596528719791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11},{\&quot;key\&quot;:\&quot;Merchant\&quot;,\&quot;value\&quot;:\&quot;Cashback Bonus Redemption Pymt\&quot;},{\&quot;key\&quot;:\&quot;Amount $\&quot;,\&quot;value\&quot;:22.18},{\&quot;key\&quot;:\&quot;Transaction_ID\&quot;,\&quot;value\&quot;:\&quot;8215cdfbd0014486933ebf73f8be422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11},{\&quot;key\&quot;:\&quot;Merchant\&quot;,\&quot;value\&quot;:\&quot;Mcdonald's\&quot;},{\&quot;key\&quot;:\&quot;Amount $\&quot;,\&quot;value\&quot;:-4.32},{\&quot;key\&quot;:\&quot;Transaction_ID\&quot;,\&quot;value\&quot;:\&quot;818c6a1306634c76bcf377e0aaebbf0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11},{\&quot;key\&quot;:\&quot;Merchant\&quot;,\&quot;value\&quot;:\&quot;Elephant Ins Payroll Lewis\&quot;},{\&quot;key\&quot;:\&quot;Amount $\&quot;,\&quot;value\&quot;:1459.65},{\&quot;key\&quot;:\&quot;Transaction_ID\&quot;,\&quot;value\&quot;:\&quot;73cfb1bc7bb14eeb85dc4bafcb27dfff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11},{\&quot;key\&quot;:\&quot;Merchant\&quot;,\&quot;value\&quot;:\&quot;Walmart\&quot;},{\&quot;key\&quot;:\&quot;Amount $\&quot;,\&quot;value\&quot;:-19.4},{\&quot;key\&quot;:\&quot;Transaction_ID\&quot;,\&quot;value\&quot;:\&quot;367fe33435b44d3e99720b1e9c4bb37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10},{\&quot;key\&quot;:\&quot;Merchant\&quot;,\&quot;value\&quot;:\&quot;Chick Fil A\&quot;},{\&quot;key\&quot;:\&quot;Amount $\&quot;,\&quot;value\&quot;:-8.72},{\&quot;key\&quot;:\&quot;Transaction_ID\&quot;,\&quot;value\&quot;:\&quot;db3615b6bead4d409dc70adf366506f9\&quot;},{\&quot;key\&quot;:\&quot;Account_ID\&quot;,\&quot;value\&quot;:\&quot;a82d9aba872e4e9b9684a363d4cc52b5\&quot;},{\&quot;key\&quot;:\&quot;Category_ID\&quot;,\&quot;value\&quot;:\&quot;6385c1768b814d3d89087c436c9cab15\&quot;},{\&quot;key\&quot;:\&quot;Subcategory_ID\&quot;,\&quot;value\&quot;:\&quot;\&quot;}],[{\&quot;key\&quot;:\&quot;Date\&quot;,\&quot;value\&quot;:44210},{\&quot;key\&quot;:\&quot;Merchant\&quot;,\&quot;value\&quot;:\&quot;Cvs\&quot;},{\&quot;key\&quot;:\&quot;Amount $\&quot;,\&quot;value\&quot;:-4.42},{\&quot;key\&quot;:\&quot;Transaction_ID\&quot;,\&quot;value\&quot;:\&quot;8c4bede186704f5c8c3791603664acac\&quot;},{\&quot;key\&quot;:\&quot;Account_ID\&quot;,\&quot;value\&quot;:\&quot;a82d9aba872e4e9b9684a363d4cc52b5\&quot;},{\&quot;key\&quot;:\&quot;Category_ID\&quot;,\&quot;value\&quot;:\&quot;fca5dd8329b743f7b77704e23a1e63ad\&quot;},{\&quot;key\&quot;:\&quot;Subcategory_ID\&quot;,\&quot;value\&quot;:\&quot;\&quot;}],[{\&quot;key\&quot;:\&quot;Date\&quot;,\&quot;value\&quot;:44210},{\&quot;key\&quot;:\&quot;Merchant\&quot;,\&quot;value\&quot;:\&quot;Hollister\&quot;},{\&quot;key\&quot;:\&quot;Amount $\&quot;,\&quot;value\&quot;:-116.46},{\&quot;key\&quot;:\&quot;Transaction_ID\&quot;,\&quot;value\&quot;:\&quot;4438e86f081c4546922192f6df3306cb\&quot;},{\&quot;key\&quot;:\&quot;Account_ID\&quot;,\&quot;value\&quot;:\&quot;a82d9aba872e4e9b9684a363d4cc52b5\&quot;},{\&quot;key\&quot;:\&quot;Category_ID\&quot;,\&quot;value\&quot;:\&quot;fca5dd8329b743f7b77704e23a1e63ad\&quot;},{\&quot;key\&quot;:\&quot;Subcategory_ID\&quot;,\&quot;value\&quot;:\&quot;\&quot;}],[{\&quot;key\&quot;:\&quot;Date\&quot;,\&quot;value\&quot;:44210},{\&quot;key\&quot;:\&quot;Merchant\&quot;,\&quot;value\&quot;:\&quot;Apple Bill Ca Sale\&quot;},{\&quot;key\&quot;:\&quot;Amount $\&quot;,\&quot;value\&quot;:-19.99},{\&quot;key\&quot;:\&quot;Transaction_ID\&quot;,\&quot;value\&quot;:\&quot;3402aa8b7b5040e6b6b11910d9dba9c8\&quot;},{\&quot;key\&quot;:\&quot;Account_ID\&quot;,\&quot;value\&quot;:\&quot;a82d9aba872e4e9b9684a363d4cc52b5\&quot;},{\&quot;key\&quot;:\&quot;Category_ID\&quot;,\&quot;value\&quot;:\&quot;fca5dd8329b743f7b77704e23a1e63ad\&quot;},{\&quot;key\&quot;:\&quot;Subcategory_ID\&quot;,\&quot;value\&quot;:\&quot;\&quot;}],[{\&quot;key\&quot;:\&quot;Date\&quot;,\&quot;value\&quot;:44210},{\&quot;key\&quot;:\&quot;Merchant\&quot;,\&quot;value\&quot;:\&quot;Farm Fresh Richmond Richmond\&quot;},{\&quot;key\&quot;:\&quot;Amount $\&quot;,\&quot;value\&quot;:-7.88},{\&quot;key\&quot;:\&quot;Transaction_ID\&quot;,\&quot;value\&quot;:\&quot;29c711cc89004cfcaae39abf01b0c859\&quot;},{\&quot;key\&quot;:\&quot;Account_ID\&quot;,\&quot;value\&quot;:\&quot;a82d9aba872e4e9b9684a363d4cc52b5\&quot;},{\&quot;key\&quot;:\&quot;Category_ID\&quot;,\&quot;value\&quot;:\&quot;9fa283df10474311b55af8d4cf39d146\&quot;},{\&quot;key\&quot;:\&quot;Subcategory_ID\&quot;,\&quot;value\&quot;:\&quot;\&quot;}],[{\&quot;key\&quot;:\&quot;Date\&quot;,\&quot;value\&quot;:44209},{\&quot;key\&quot;:\&quot;Merchant\&quot;,\&quot;value\&quot;:\&quot;Drop Ca Return\&quot;},{\&quot;key\&quot;:\&quot;Amount $\&quot;,\&quot;value\&quot;:199.14},{\&quot;key\&quot;:\&quot;Transaction_ID\&quot;,\&quot;value\&quot;:\&quot;a0b6c72270f24030a40c25417a8b6aa4\&quot;},{\&quot;key\&quot;:\&quot;Account_ID\&quot;,\&quot;value\&quot;:\&quot;a82d9aba872e4e9b9684a363d4cc52b5\&quot;},{\&quot;key\&quot;:\&quot;Category_ID\&quot;,\&quot;value\&quot;:\&quot;fca5dd8329b743f7b77704e23a1e63ad\&quot;},{\&quot;key\&quot;:\&quot;Subcategory_ID\&quot;,\&quot;value\&quot;:\&quot;\&quot;}],[{\&quot;key\&quot;:\&quot;Date\&quot;,\&quot;value\&quot;:44208},{\&quot;key\&quot;:\&quot;Merchant\&quot;,\&quot;value\&quot;:\&quot;Family Dollar\&quot;},{\&quot;key\&quot;:\&quot;Amount $\&quot;,\&quot;value\&quot;:-3.33},{\&quot;key\&quot;:\&quot;Transaction_ID\&quot;,\&quot;value\&quot;:\&quot;bcd055a16825478e98304bf77306817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08},{\&quot;key\&quot;:\&quot;Merchant\&quot;,\&quot;value\&quot;:\&quot;Exxonmobil\&quot;},{\&quot;key\&quot;:\&quot;Amount $\&quot;,\&quot;value\&quot;:-23.27},{\&quot;key\&quot;:\&quot;Transaction_ID\&quot;,\&quot;value\&quot;:\&quot;b2ba9effcd13476bbf00636023e4a00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08},{\&quot;key\&quot;:\&quot;Merchant\&quot;,\&quot;value\&quot;:\&quot;Vizmediallc\&quot;},{\&quot;key\&quot;:\&quot;Amount $\&quot;,\&quot;value\&quot;:-1.99},{\&quot;key\&quot;:\&quot;Transaction_ID\&quot;,\&quot;value\&quot;:\&quot;a1acadfea7f748839565941af1bb50f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07},{\&quot;key\&quot;:\&quot;Merchant\&quot;,\&quot;value\&quot;:\&quot;Etchedactua\&quot;},{\&quot;key\&quot;:\&quot;Amount $\&quot;,\&quot;value\&quot;:-49},{\&quot;key\&quot;:\&quot;Transaction_ID\&quot;,\&quot;value\&quot;:\&quot;c5dd810452bb437aa907c89c11fce27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07},{\&quot;key\&quot;:\&quot;Merchant\&quot;,\&quot;value\&quot;:\&quot;Cash App Shevon Lew\&quot;},{\&quot;key\&quot;:\&quot;Amount $\&quot;,\&quot;value\&quot;:-103},{\&quot;key\&quot;:\&quot;Transaction_ID\&quot;,\&quot;value\&quot;:\&quot;0cc5acf63bd94639a492f6ecb9dab81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06},{\&quot;key\&quot;:\&quot;Merchant\&quot;,\&quot;value\&quot;:\&quot;Apple Bill Ca Apple\&quot;},{\&quot;key\&quot;:\&quot;Amount $\&quot;,\&quot;value\&quot;:-14.99},{\&quot;key\&quot;:\&quot;Transaction_ID\&quot;,\&quot;value\&quot;:\&quot;f7d4a04da6464e36b9f114781b3abdf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06},{\&quot;key\&quot;:\&quot;Merchant\&quot;,\&quot;value\&quot;:\&quot;Fedex\&quot;},{\&quot;key\&quot;:\&quot;Amount $\&quot;,\&quot;value\&quot;:-14.47},{\&quot;key\&quot;:\&quot;Transaction_ID\&quot;,\&quot;value\&quot;:\&quot;c78b47bc80cf4ad0a93df4212208f16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06},{\&quot;key\&quot;:\&quot;Merchant\&quot;,\&quot;value\&quot;:\&quot;Walmart\&quot;},{\&quot;key\&quot;:\&quot;Amount $\&quot;,\&quot;value\&quot;:-74.16},{\&quot;key\&quot;:\&quot;Transaction_ID\&quot;,\&quot;value\&quot;:\&quot;7ac746ca309d4ae39844d13d05593d2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06},{\&quot;key\&quot;:\&quot;Merchant\&quot;,\&quot;value\&quot;:\&quot;Fedex\&quot;},{\&quot;key\&quot;:\&quot;Amount $\&quot;,\&quot;value\&quot;:-11.45},{\&quot;key\&quot;:\&quot;Transaction_ID\&quot;,\&quot;value\&quot;:\&quot;426048d35b2740158e7c96dd418102a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05},{\&quot;key\&quot;:\&quot;Merchant\&quot;,\&quot;value\&quot;:\&quot;Walmart\&quot;},{\&quot;key\&quot;:\&quot;Amount $\&quot;,\&quot;value\&quot;:-37.5},{\&quot;key\&quot;:\&quot;Transaction_ID\&quot;,\&quot;value\&quot;:\&quot;6932b4c1e7ce471498c87876695208b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05},{\&quot;key\&quot;:\&quot;Merchant\&quot;,\&quot;value\&quot;:\&quot;Bingo Beer Co Games\&quot;},{\&quot;key\&quot;:\&quot;Amount $\&quot;,\&quot;value\&quot;:-30},{\&quot;key\&quot;:\&quot;Transaction_ID\&quot;,\&quot;value\&quot;:\&quot;4b6aafa3e7df4294a0844b0c95c9f2e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04},{\&quot;key\&quot;:\&quot;Merchant\&quot;,\&quot;value\&quot;:\&quot;Drop dropdotcca Sale\&quot;},{\&quot;key\&quot;:\&quot;Amount $\&quot;,\&quot;value\&quot;:-199.14},{\&quot;key\&quot;:\&quot;Transaction_ID\&quot;,\&quot;value\&quot;:\&quot;f48eb9cb2682464baf04e854e5538381\&quot;},{\&quot;key\&quot;:\&quot;Account_ID\&quot;,\&quot;value\&quot;:\&quot;a82d9aba872e4e9b9684a363d4cc52b5\&quot;},{\&quot;key\&quot;:\&quot;Category_ID\&quot;,\&quot;value\&quot;:\&quot;fca5dd8329b743f7b77704e23a1e63ad\&quot;},{\&quot;key\&quot;:\&quot;Subcategory_ID\&quot;,\&quot;value\&quot;:\&quot;\&quot;}],[{\&quot;key\&quot;:\&quot;Date\&quot;,\&quot;value\&quot;:44204},{\&quot;key\&quot;:\&quot;Merchant\&quot;,\&quot;value\&quot;:\&quot;Labcorp Pscc 2 Nc\&quot;},{\&quot;key\&quot;:\&quot;Amount $\&quot;,\&quot;value\&quot;:-40.51},{\&quot;key\&quot;:\&quot;Transaction_ID\&quot;,\&quot;value\&quot;:\&quot;8f4b5c4b7eaf4be9ab72b1cb6b9ef5f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04},{\&quot;key\&quot;:\&quot;Merchant\&quot;,\&quot;value\&quot;:\&quot;Cvs\&quot;},{\&quot;key\&quot;:\&quot;Amount $\&quot;,\&quot;value\&quot;:-3.37},{\&quot;key\&quot;:\&quot;Transaction_ID\&quot;,\&quot;value\&quot;:\&quot;1564b65181744ed2b3b219260684093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03},{\&quot;key\&quot;:\&quot;Merchant\&quot;,\&quot;value\&quot;:\&quot;The Market\&quot;},{\&quot;key\&quot;:\&quot;Amount $\&quot;,\&quot;value\&quot;:-14.52},{\&quot;key\&quot;:\&quot;Transaction_ID\&quot;,\&quot;value\&quot;:\&quot;9ca6ac374cea496d9be503373cce63d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03},{\&quot;key\&quot;:\&quot;Merchant\&quot;,\&quot;value\&quot;:\&quot;Go Dragon Asian Grill\&quot;},{\&quot;key\&quot;:\&quot;Amount $\&quot;,\&quot;value\&quot;:-44},{\&quot;key\&quot;:\&quot;Transaction_ID\&quot;,\&quot;value\&quot;:\&quot;945bfa3802924446822c5118cfb5b49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03},{\&quot;key\&quot;:\&quot;Merchant\&quot;,\&quot;value\&quot;:\&quot;America's Best Wings\&quot;},{\&quot;key\&quot;:\&quot;Amount $\&quot;,\&quot;value\&quot;:-12.09},{\&quot;key\&quot;:\&quot;Transaction_ID\&quot;,\&quot;value\&quot;:\&quot;4cb9399005484dffb944481fbea49e4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02},{\&quot;key\&quot;:\&quot;Merchant\&quot;,\&quot;value\&quot;:\&quot;The Market\&quot;},{\&quot;key\&quot;:\&quot;Amount $\&quot;,\&quot;value\&quot;:-24.24},{\&quot;key\&quot;:\&quot;Transaction_ID\&quot;,\&quot;value\&quot;:\&quot;6bb5e83046b3416294936bbc738cca6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02},{\&quot;key\&quot;:\&quot;Merchant\&quot;,\&quot;value\&quot;:\&quot;Livecareer Pr\&quot;},{\&quot;key\&quot;:\&quot;Amount $\&quot;,\&quot;value\&quot;:-24.95},{\&quot;key\&quot;:\&quot;Transaction_ID\&quot;,\&quot;value\&quot;:\&quot;5c1d3c6a301a4ab892fe6943fffacdb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02},{\&quot;key\&quot;:\&quot;Merchant\&quot;,\&quot;value\&quot;:\&quot;River Run Short Pump\&quot;},{\&quot;key\&quot;:\&quot;Amount $\&quot;,\&quot;value\&quot;:-30},{\&quot;key\&quot;:\&quot;Transaction_ID\&quot;,\&quot;value\&quot;:\&quot;02d0432f8cc84d109a941351e58c3e7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01},{\&quot;key\&quot;:\&quot;Merchant\&quot;,\&quot;value\&quot;:\&quot;Steam Games\&quot;},{\&quot;key\&quot;:\&quot;Amount $\&quot;,\&quot;value\&quot;:-19.99},{\&quot;key\&quot;:\&quot;Transaction_ID\&quot;,\&quot;value\&quot;:\&quot;d0c9d21555c841a487f68c07611c95d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01},{\&quot;key\&quot;:\&quot;Merchant\&quot;,\&quot;value\&quot;:\&quot;State Farm\&quot;},{\&quot;key\&quot;:\&quot;Amount $\&quot;,\&quot;value\&quot;:-91.78},{\&quot;key\&quot;:\&quot;Transaction_ID\&quot;,\&quot;value\&quot;:\&quot;87e0bae3e2e64ddf90353a63131b9d0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01},{\&quot;key\&quot;:\&quot;Merchant\&quot;,\&quot;value\&quot;:\&quot;Myfico Com\&quot;},{\&quot;key\&quot;:\&quot;Amount $\&quot;,\&quot;value\&quot;:-39.95},{\&quot;key\&quot;:\&quot;Transaction_ID\&quot;,\&quot;value\&quot;:\&quot;0bb27ed2fb384b539c9aaa8c186acb5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200},{\&quot;key\&quot;:\&quot;Merchant\&quot;,\&quot;value\&quot;:\&quot;Discover E Payment Lewis\&quot;},{\&quot;key\&quot;:\&quot;Amount $\&quot;,\&quot;value\&quot;:-700},{\&quot;key\&quot;:\&quot;Transaction_ID\&quot;,\&quot;value\&quot;:\&quot;c461a6a78e3d416d8d489a0197706b8c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200},{\&quot;key\&quot;:\&quot;Merchant\&quot;,\&quot;value\&quot;:\&quot;Irs TreasXxta Lewis Sean\&quot;},{\&quot;key\&quot;:\&quot;Amount $\&quot;,\&quot;value\&quot;:600},{\&quot;key\&quot;:\&quot;Transaction_ID\&quot;,\&quot;value\&quot;:\&quot;69caa5601bd94ebb8e7f75482cdca265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97},{\&quot;key\&quot;:\&quot;Merchant\&quot;,\&quot;value\&quot;:\&quot;Netflix\&quot;},{\&quot;key\&quot;:\&quot;Amount $\&quot;,\&quot;value\&quot;:-13.99},{\&quot;key\&quot;:\&quot;Transaction_ID\&quot;,\&quot;value\&quot;:\&quot;5a0acc9aaa2a490b8804f6d497f8b8c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97},{\&quot;key\&quot;:\&quot;Merchant\&quot;,\&quot;value\&quot;:\&quot;Internet Payment\&quot;},{\&quot;key\&quot;:\&quot;Amount $\&quot;,\&quot;value\&quot;:700},{\&quot;key\&quot;:\&quot;Transaction_ID\&quot;,\&quot;value\&quot;:\&quot;30debbf8b3be4a04b5feaff16def941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97},{\&quot;key\&quot;:\&quot;Merchant\&quot;,\&quot;value\&quot;:\&quot;Wawa\&quot;},{\&quot;key\&quot;:\&quot;Amount $\&quot;,\&quot;value\&quot;:-18.87},{\&quot;key\&quot;:\&quot;Transaction_ID\&quot;,\&quot;value\&quot;:\&quot;1678b0438fe14364ae24ce51b87dbbe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96},{\&quot;key\&quot;:\&quot;Merchant\&quot;,\&quot;value\&quot;:\&quot;Transfer To Lewis Sharon\&quot;},{\&quot;key\&quot;:\&quot;Amount $\&quot;,\&quot;value\&quot;:-1000},{\&quot;key\&quot;:\&quot;Transaction_ID\&quot;,\&quot;value\&quot;:\&quot;f66a5c32c93248969790db8a18d00653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96},{\&quot;key\&quot;:\&quot;Merchant\&quot;,\&quot;value\&quot;:\&quot;Venmo\&quot;},{\&quot;key\&quot;:\&quot;Amount $\&quot;,\&quot;value\&quot;:156.2},{\&quot;key\&quot;:\&quot;Transaction_ID\&quot;,\&quot;value\&quot;:\&quot;e33590f2655144f68e930e7d7b17390e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96},{\&quot;key\&quot;:\&quot;Merchant\&quot;,\&quot;value\&quot;:\&quot;Venmo\&quot;},{\&quot;key\&quot;:\&quot;Amount $\&quot;,\&quot;value\&quot;:-700},{\&quot;key\&quot;:\&quot;Transaction_ID\&quot;,\&quot;value\&quot;:\&quot;d7ce3dab55a8448e97c4f3e47ff74f97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96},{\&quot;key\&quot;:\&quot;Merchant\&quot;,\&quot;value\&quot;:\&quot;Elephant Ins Payroll Lewis\&quot;},{\&quot;key\&quot;:\&quot;Amount $\&quot;,\&quot;value\&quot;:1538.5},{\&quot;key\&quot;:\&quot;Transaction_ID\&quot;,\&quot;value\&quot;:\&quot;61bd241a823948bea15ba97c370c45a2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96},{\&quot;key\&quot;:\&quot;Merchant\&quot;,\&quot;value\&quot;:\&quot;Amazon Prime\&quot;},{\&quot;key\&quot;:\&quot;Amount $\&quot;,\&quot;value\&quot;:-119},{\&quot;key\&quot;:\&quot;Transaction_ID\&quot;,\&quot;value\&quot;:\&quot;0eb530f4ac68445698e0ea082fc79d7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95},{\&quot;key\&quot;:\&quot;Merchant\&quot;,\&quot;value\&quot;:\&quot;The Market\&quot;},{\&quot;key\&quot;:\&quot;Amount $\&quot;,\&quot;value\&quot;:-18.16},{\&quot;key\&quot;:\&quot;Transaction_ID\&quot;,\&quot;value\&quot;:\&quot;1569042042ff4c569cde3cf1738a63b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95},{\&quot;key\&quot;:\&quot;Merchant\&quot;,\&quot;value\&quot;:\&quot;The Market\&quot;},{\&quot;key\&quot;:\&quot;Amount $\&quot;,\&quot;value\&quot;:-6.85},{\&quot;key\&quot;:\&quot;Transaction_ID\&quot;,\&quot;value\&quot;:\&quot;0a7029ace127436d945db429480221c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94},{\&quot;key\&quot;:\&quot;Merchant\&quot;,\&quot;value\&quot;:\&quot;Google Wallet_Cas Sean E\&quot;},{\&quot;key\&quot;:\&quot;Amount $\&quot;,\&quot;value\&quot;:105},{\&quot;key\&quot;:\&quot;Transaction_ID\&quot;,\&quot;value\&quot;:\&quot;c682895a0a2f4b82a4e3b451d3f96945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93},{\&quot;key\&quot;:\&quot;Merchant\&quot;,\&quot;value\&quot;:\&quot;Transfer To Lewis Sharon\&quot;},{\&quot;key\&quot;:\&quot;Amount $\&quot;,\&quot;value\&quot;:-300},{\&quot;key\&quot;:\&quot;Transaction_ID\&quot;,\&quot;value\&quot;:\&quot;ba1ecf8e9e4a4888bc02964dc3333ec7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93},{\&quot;key\&quot;:\&quot;Merchant\&quot;,\&quot;value\&quot;:\&quot;Crunch Fitness Va Crunch\&quot;},{\&quot;key\&quot;:\&quot;Amount $\&quot;,\&quot;value\&quot;:-9.95},{\&quot;key\&quot;:\&quot;Transaction_ID\&quot;,\&quot;value\&quot;:\&quot;3bb04fbdf7824249b6a90a73619fea1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93},{\&quot;key\&quot;:\&quot;Merchant\&quot;,\&quot;value\&quot;:\&quot;The Market\&quot;},{\&quot;key\&quot;:\&quot;Amount $\&quot;,\&quot;value\&quot;:-11.56},{\&quot;key\&quot;:\&quot;Transaction_ID\&quot;,\&quot;value\&quot;:\&quot;1c7dff67922a4d4ba442b0b9842e3cb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92},{\&quot;key\&quot;:\&quot;Merchant\&quot;,\&quot;value\&quot;:\&quot;The Market\&quot;},{\&quot;key\&quot;:\&quot;Amount $\&quot;,\&quot;value\&quot;:-27.03},{\&quot;key\&quot;:\&quot;Transaction_ID\&quot;,\&quot;value\&quot;:\&quot;f5f92e4df3ba45749a14b2090f697d2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92},{\&quot;key\&quot;:\&quot;Merchant\&quot;,\&quot;value\&quot;:\&quot;Exxonmobil\&quot;},{\&quot;key\&quot;:\&quot;Amount $\&quot;,\&quot;value\&quot;:-22.32},{\&quot;key\&quot;:\&quot;Transaction_ID\&quot;,\&quot;value\&quot;:\&quot;f1a020c39ddb43ecb8e0cd8c79e1377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92},{\&quot;key\&quot;:\&quot;Merchant\&quot;,\&quot;value\&quot;:\&quot;The Market\&quot;},{\&quot;key\&quot;:\&quot;Amount $\&quot;,\&quot;value\&quot;:-4.36},{\&quot;key\&quot;:\&quot;Transaction_ID\&quot;,\&quot;value\&quot;:\&quot;ce02b56cb2b4410abb58181cfa55b1b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89},{\&quot;key\&quot;:\&quot;Merchant\&quot;,\&quot;value\&quot;:\&quot;Microsoft Microsoft 36\&quot;},{\&quot;key\&quot;:\&quot;Amount $\&quot;,\&quot;value\&quot;:-99.99},{\&quot;key\&quot;:\&quot;Transaction_ID\&quot;,\&quot;value\&quot;:\&quot;c2ff92f5d7194ddaa41577f45940c8a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89},{\&quot;key\&quot;:\&quot;Merchant\&quot;,\&quot;value\&quot;:\&quot;The Market\&quot;},{\&quot;key\&quot;:\&quot;Amount $\&quot;,\&quot;value\&quot;:-17.19},{\&quot;key\&quot;:\&quot;Transaction_ID\&quot;,\&quot;value\&quot;:\&quot;7539f36cd831435c87b040e1283fc17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89},{\&quot;key\&quot;:\&quot;Merchant\&quot;,\&quot;value\&quot;:\&quot;Mcdonald's\&quot;},{\&quot;key\&quot;:\&quot;Amount $\&quot;,\&quot;value\&quot;:-5.7},{\&quot;key\&quot;:\&quot;Transaction_ID\&quot;,\&quot;value\&quot;:\&quot;521fbf2def7b412490764e89546e389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88},{\&quot;key\&quot;:\&quot;Merchant\&quot;,\&quot;value\&quot;:\&quot;Mcdonald's\&quot;},{\&quot;key\&quot;:\&quot;Amount $\&quot;,\&quot;value\&quot;:-13.25},{\&quot;key\&quot;:\&quot;Transaction_ID\&quot;,\&quot;value\&quot;:\&quot;9e62649a69a04573a9afab9058a687e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87},{\&quot;key\&quot;:\&quot;Merchant\&quot;,\&quot;value\&quot;:\&quot;Dick's Sporting Goods\&quot;},{\&quot;key\&quot;:\&quot;Amount $\&quot;,\&quot;value\&quot;:-133.51},{\&quot;key\&quot;:\&quot;Transaction_ID\&quot;,\&quot;value\&quot;:\&quot;f72847d45bd3474f96abd4d14726974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87},{\&quot;key\&quot;:\&quot;Merchant\&quot;,\&quot;value\&quot;:\&quot;Dick's Sporting Goods\&quot;},{\&quot;key\&quot;:\&quot;Amount $\&quot;,\&quot;value\&quot;:-169.57},{\&quot;key\&quot;:\&quot;Transaction_ID\&quot;,\&quot;value\&quot;:\&quot;a435e1e4d76140abafa37e3d0f229e0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87},{\&quot;key\&quot;:\&quot;Merchant\&quot;,\&quot;value\&quot;:\&quot;Dick's Sporting Goods\&quot;},{\&quot;key\&quot;:\&quot;Amount $\&quot;,\&quot;value\&quot;:84.79},{\&quot;key\&quot;:\&quot;Transaction_ID\&quot;,\&quot;value\&quot;:\&quot;5b7c1b05256747b1b69b08668644b2d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86},{\&quot;key\&quot;:\&quot;Merchant\&quot;,\&quot;value\&quot;:\&quot;Synchrony Bank Cc Pymt\&quot;},{\&quot;key\&quot;:\&quot;Amount $\&quot;,\&quot;value\&quot;:-1231},{\&quot;key\&quot;:\&quot;Transaction_ID\&quot;,\&quot;value\&quot;:\&quot;e8e2f4fb0bcd46288756ee2ecff4b86b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86},{\&quot;key\&quot;:\&quot;Merchant\&quot;,\&quot;value\&quot;:\&quot;Family Dollar\&quot;},{\&quot;key\&quot;:\&quot;Amount $\&quot;,\&quot;value\&quot;:-3.98},{\&quot;key\&quot;:\&quot;Transaction_ID\&quot;,\&quot;value\&quot;:\&quot;d7b693facfc14119bcc1fcd90a8afa6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86},{\&quot;key\&quot;:\&quot;Merchant\&quot;,\&quot;value\&quot;:\&quot;Zaxby's\&quot;},{\&quot;key\&quot;:\&quot;Amount $\&quot;,\&quot;value\&quot;:-15.66},{\&quot;key\&quot;:\&quot;Transaction_ID\&quot;,\&quot;value\&quot;:\&quot;d15153a1626440a1b5817bfe4885f93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86},{\&quot;key\&quot;:\&quot;Merchant\&quot;,\&quot;value\&quot;:\&quot;Family Dollar\&quot;},{\&quot;key\&quot;:\&quot;Amount $\&quot;,\&quot;value\&quot;:-2.05},{\&quot;key\&quot;:\&quot;Transaction_ID\&quot;,\&quot;value\&quot;:\&quot;beede293ecb94291839fb6e035e63b7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86},{\&quot;key\&quot;:\&quot;Merchant\&quot;,\&quot;value\&quot;:\&quot;Venmo\&quot;},{\&quot;key\&quot;:\&quot;Amount $\&quot;,\&quot;value\&quot;:-60},{\&quot;key\&quot;:\&quot;Transaction_ID\&quot;,\&quot;value\&quot;:\&quot;a03b25c818bc42ff8bc5db4ae1775530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86},{\&quot;key\&quot;:\&quot;Merchant\&quot;,\&quot;value\&quot;:\&quot;The Market\&quot;},{\&quot;key\&quot;:\&quot;Amount $\&quot;,\&quot;value\&quot;:-84.01},{\&quot;key\&quot;:\&quot;Transaction_ID\&quot;,\&quot;value\&quot;:\&quot;74ed7659f62948d3a79533efbe462f4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86},{\&quot;key\&quot;:\&quot;Merchant\&quot;,\&quot;value\&quot;:\&quot;Scott Motor Company\&quot;},{\&quot;key\&quot;:\&quot;Amount $\&quot;,\&quot;value\&quot;:-20},{\&quot;key\&quot;:\&quot;Transaction_ID\&quot;,\&quot;value\&quot;:\&quot;6e3014428eb4463e95faa6471c8177a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86},{\&quot;key\&quot;:\&quot;Merchant\&quot;,\&quot;value\&quot;:\&quot;Pp Roku For Crunchyr\&quot;},{\&quot;key\&quot;:\&quot;Amount $\&quot;,\&quot;value\&quot;:-7.99},{\&quot;key\&quot;:\&quot;Transaction_ID\&quot;,\&quot;value\&quot;:\&quot;5cd4f25dd17d4da1a3bd09111a1b811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85},{\&quot;key\&quot;:\&quot;Merchant\&quot;,\&quot;value\&quot;:\&quot;Yahoofantas Fan\&quot;},{\&quot;key\&quot;:\&quot;Amount $\&quot;,\&quot;value\&quot;:-50},{\&quot;key\&quot;:\&quot;Transaction_ID\&quot;,\&quot;value\&quot;:\&quot;b1c50ab76c76493c8e031dafa7cff12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84},{\&quot;key\&quot;:\&quot;Merchant\&quot;,\&quot;value\&quot;:\&quot;Lyft\&quot;},{\&quot;key\&quot;:\&quot;Amount $\&quot;,\&quot;value\&quot;:-9.99},{\&quot;key\&quot;:\&quot;Transaction_ID\&quot;,\&quot;value\&quot;:\&quot;219a885fe4b74fc5a663b7f6eb5b201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84},{\&quot;key\&quot;:\&quot;Merchant\&quot;,\&quot;value\&quot;:\&quot;Burlington\&quot;},{\&quot;key\&quot;:\&quot;Amount $\&quot;,\&quot;value\&quot;:-52.99},{\&quot;key\&quot;:\&quot;Transaction_ID\&quot;,\&quot;value\&quot;:\&quot;0cac771d833f47be97125d434275873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83},{\&quot;key\&quot;:\&quot;Merchant\&quot;,\&quot;value\&quot;:\&quot;Uber\&quot;},{\&quot;key\&quot;:\&quot;Amount $\&quot;,\&quot;value\&quot;:-9.64},{\&quot;key\&quot;:\&quot;Transaction_ID\&quot;,\&quot;value\&quot;:\&quot;b6c2a8480b1b4a218062f44e053d14f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83},{\&quot;key\&quot;:\&quot;Merchant\&quot;,\&quot;value\&quot;:\&quot;The Market\&quot;},{\&quot;key\&quot;:\&quot;Amount $\&quot;,\&quot;value\&quot;:-5.92},{\&quot;key\&quot;:\&quot;Transaction_ID\&quot;,\&quot;value\&quot;:\&quot;a785289ee82e485fa84a7dbfe3c751d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83},{\&quot;key\&quot;:\&quot;Merchant\&quot;,\&quot;value\&quot;:\&quot;Zorba's Greek Italian\&quot;},{\&quot;key\&quot;:\&quot;Amount $\&quot;,\&quot;value\&quot;:-40},{\&quot;key\&quot;:\&quot;Transaction_ID\&quot;,\&quot;value\&quot;:\&quot;7936d381f83643829c3070714fab1c6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83},{\&quot;key\&quot;:\&quot;Merchant\&quot;,\&quot;value\&quot;:\&quot;Elephant Ins Payroll Lewis\&quot;},{\&quot;key\&quot;:\&quot;Amount $\&quot;,\&quot;value\&quot;:1669.27},{\&quot;key\&quot;:\&quot;Transaction_ID\&quot;,\&quot;value\&quot;:\&quot;63a9a8eb8d6143c796205d1898638ddc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82},{\&quot;key\&quot;:\&quot;Merchant\&quot;,\&quot;value\&quot;:\&quot;Google Wallet_Top Sean E\&quot;},{\&quot;key\&quot;:\&quot;Amount $\&quot;,\&quot;value\&quot;:-20},{\&quot;key\&quot;:\&quot;Transaction_ID\&quot;,\&quot;value\&quot;:\&quot;ce9bdd1809094ad5a52be242338f7ef0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82},{\&quot;key\&quot;:\&quot;Merchant\&quot;,\&quot;value\&quot;:\&quot;Square Inc Cash App\&quot;},{\&quot;key\&quot;:\&quot;Amount $\&quot;,\&quot;value\&quot;:80},{\&quot;key\&quot;:\&quot;Transaction_ID\&quot;,\&quot;value\&quot;:\&quot;6a90556e513a40d7bd847be69319ad58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82},{\&quot;key\&quot;:\&quot;Merchant\&quot;,\&quot;value\&quot;:\&quot;Chick Fil A\&quot;},{\&quot;key\&quot;:\&quot;Amount $\&quot;,\&quot;value\&quot;:-28.92},{\&quot;key\&quot;:\&quot;Transaction_ID\&quot;,\&quot;value\&quot;:\&quot;42ab0dbdda0e478a9e9110e29a5ceab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81},{\&quot;key\&quot;:\&quot;Merchant\&quot;,\&quot;value\&quot;:\&quot;Venmo\&quot;},{\&quot;key\&quot;:\&quot;Amount $\&quot;,\&quot;value\&quot;:-36.75},{\&quot;key\&quot;:\&quot;Transaction_ID\&quot;,\&quot;value\&quot;:\&quot;70c79e28739348649e62920835458796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80},{\&quot;key\&quot;:\&quot;Merchant\&quot;,\&quot;value\&quot;:\&quot;Directpay Full Balance See\&quot;},{\&quot;key\&quot;:\&quot;Amount $\&quot;,\&quot;value\&quot;:569.12},{\&quot;key\&quot;:\&quot;Transaction_ID\&quot;,\&quot;value\&quot;:\&quot;ed1af3d0455045ec9437a5191c74331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80},{\&quot;key\&quot;:\&quot;Merchant\&quot;,\&quot;value\&quot;:\&quot;Discover E Payment Lewis\&quot;},{\&quot;key\&quot;:\&quot;Amount $\&quot;,\&quot;value\&quot;:-400},{\&quot;key\&quot;:\&quot;Transaction_ID\&quot;,\&quot;value\&quot;:\&quot;aa0d4fa0955e4d049186451df52981b6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80},{\&quot;key\&quot;:\&quot;Merchant\&quot;,\&quot;value\&quot;:\&quot;Internet Payment\&quot;},{\&quot;key\&quot;:\&quot;Amount $\&quot;,\&quot;value\&quot;:400},{\&quot;key\&quot;:\&quot;Transaction_ID\&quot;,\&quot;value\&quot;:\&quot;634058a0052c47c8a9326b06d201b7a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80},{\&quot;key\&quot;:\&quot;Merchant\&quot;,\&quot;value\&quot;:\&quot;Amazon Amzn Billwa\&quot;},{\&quot;key\&quot;:\&quot;Amount $\&quot;,\&quot;value\&quot;:-67.16},{\&quot;key\&quot;:\&quot;Transaction_ID\&quot;,\&quot;value\&quot;:\&quot;560fa03d3be149f080d4a01211c32d4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79},{\&quot;key\&quot;:\&quot;Merchant\&quot;,\&quot;value\&quot;:\&quot;Steam Games\&quot;},{\&quot;key\&quot;:\&quot;Amount $\&quot;,\&quot;value\&quot;:-59.99},{\&quot;key\&quot;:\&quot;Transaction_ID\&quot;,\&quot;value\&quot;:\&quot;563f8224a99446e18960367e1ac0fc2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79},{\&quot;key\&quot;:\&quot;Merchant\&quot;,\&quot;value\&quot;:\&quot;Cou G W\&quot;},{\&quot;key\&quot;:\&quot;Amount $\&quot;,\&quot;value\&quot;:-49},{\&quot;key\&quot;:\&quot;Transaction_ID\&quot;,\&quot;value\&quot;:\&quot;396379cc4ee1440faca37335b8cb56bc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77},{\&quot;key\&quot;:\&quot;Merchant\&quot;,\&quot;value\&quot;:\&quot;Mcdonald's\&quot;},{\&quot;key\&quot;:\&quot;Amount $\&quot;,\&quot;value\&quot;:-5.59},{\&quot;key\&quot;:\&quot;Transaction_ID\&quot;,\&quot;value\&quot;:\&quot;f6d9343b88ed474993020ce3b2a0dcf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77},{\&quot;key\&quot;:\&quot;Merchant\&quot;,\&quot;value\&quot;:\&quot;Uber\&quot;},{\&quot;key\&quot;:\&quot;Amount $\&quot;,\&quot;value\&quot;:-11.91},{\&quot;key\&quot;:\&quot;Transaction_ID\&quot;,\&quot;value\&quot;:\&quot;be62249eef3e4c7c98d32ab1183e00d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77},{\&quot;key\&quot;:\&quot;Merchant\&quot;,\&quot;value\&quot;:\&quot;Vizmediallc\&quot;},{\&quot;key\&quot;:\&quot;Amount $\&quot;,\&quot;value\&quot;:-1.99},{\&quot;key\&quot;:\&quot;Transaction_ID\&quot;,\&quot;value\&quot;:\&quot;874b2cc2a7124845a25f206ed0714e8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77},{\&quot;key\&quot;:\&quot;Merchant\&quot;,\&quot;value\&quot;:\&quot;Uber\&quot;},{\&quot;key\&quot;:\&quot;Amount $\&quot;,\&quot;value\&quot;:-5},{\&quot;key\&quot;:\&quot;Transaction_ID\&quot;,\&quot;value\&quot;:\&quot;682f36a94f184ba9b89ea4a509e25ac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77},{\&quot;key\&quot;:\&quot;Merchant\&quot;,\&quot;value\&quot;:\&quot;Uber\&quot;},{\&quot;key\&quot;:\&quot;Amount $\&quot;,\&quot;value\&quot;:-5},{\&quot;key\&quot;:\&quot;Transaction_ID\&quot;,\&quot;value\&quot;:\&quot;29c85d26d81443d58c425bb7d434544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77},{\&quot;key\&quot;:\&quot;Merchant\&quot;,\&quot;value\&quot;:\&quot;Walmart\&quot;},{\&quot;key\&quot;:\&quot;Amount $\&quot;,\&quot;value\&quot;:-69.13},{\&quot;key\&quot;:\&quot;Transaction_ID\&quot;,\&quot;value\&quot;:\&quot;00675fe7188e498d8a5579d39b562f2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76},{\&quot;key\&quot;:\&quot;Merchant\&quot;,\&quot;value\&quot;:\&quot;Square Enix Ca Square\&quot;},{\&quot;key\&quot;:\&quot;Amount $\&quot;,\&quot;value\&quot;:-77.94},{\&quot;key\&quot;:\&quot;Transaction_ID\&quot;,\&quot;value\&quot;:\&quot;c138ff0eca82458eaf4ddaf2bb095d8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76},{\&quot;key\&quot;:\&quot;Merchant\&quot;,\&quot;value\&quot;:\&quot;Robinhood\&quot;},{\&quot;key\&quot;:\&quot;Amount $\&quot;,\&quot;value\&quot;:-50},{\&quot;key\&quot;:\&quot;Transaction_ID\&quot;,\&quot;value\&quot;:\&quot;3aaf91327e864d1f93bae5c707e52a8a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75},{\&quot;key\&quot;:\&quot;Merchant\&quot;,\&quot;value\&quot;:\&quot;The Market\&quot;},{\&quot;key\&quot;:\&quot;Amount $\&quot;,\&quot;value\&quot;:-6.55},{\&quot;key\&quot;:\&quot;Transaction_ID\&quot;,\&quot;value\&quot;:\&quot;c417960c9eba4a2ea7e3a28d32c0a8d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75},{\&quot;key\&quot;:\&quot;Merchant\&quot;,\&quot;value\&quot;:\&quot;Hart Nissan Mechanicsvillva\&quot;},{\&quot;key\&quot;:\&quot;Amount $\&quot;,\&quot;value\&quot;:-20},{\&quot;key\&quot;:\&quot;Transaction_ID\&quot;,\&quot;value\&quot;:\&quot;85575fe11fac4b5dbbd924f4220a00f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75},{\&quot;key\&quot;:\&quot;Merchant\&quot;,\&quot;value\&quot;:\&quot;Uber\&quot;},{\&quot;key\&quot;:\&quot;Amount $\&quot;,\&quot;value\&quot;:-15.03},{\&quot;key\&quot;:\&quot;Transaction_ID\&quot;,\&quot;value\&quot;:\&quot;7a193a53c8f4406b93b6d50e329339a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75},{\&quot;key\&quot;:\&quot;Merchant\&quot;,\&quot;value\&quot;:\&quot;Lyft\&quot;},{\&quot;key\&quot;:\&quot;Amount $\&quot;,\&quot;value\&quot;:-19.99},{\&quot;key\&quot;:\&quot;Transaction_ID\&quot;,\&quot;value\&quot;:\&quot;5bdb061c52664b338a9c884b2a9d7c7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75},{\&quot;key\&quot;:\&quot;Merchant\&quot;,\&quot;value\&quot;:\&quot;Apple Bill Ca Apple\&quot;},{\&quot;key\&quot;:\&quot;Amount $\&quot;,\&quot;value\&quot;:-14.99},{\&quot;key\&quot;:\&quot;Transaction_ID\&quot;,\&quot;value\&quot;:\&quot;3587706bb02e4bbbbf3efe256acd273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75},{\&quot;key\&quot;:\&quot;Merchant\&quot;,\&quot;value\&quot;:\&quot;Walgreens\&quot;},{\&quot;key\&quot;:\&quot;Amount $\&quot;,\&quot;value\&quot;:-13.46},{\&quot;key\&quot;:\&quot;Transaction_ID\&quot;,\&quot;value\&quot;:\&quot;262cfae458e54cc2a7c7df64b2616a1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74},{\&quot;key\&quot;:\&quot;Merchant\&quot;,\&quot;value\&quot;:\&quot;Family Dollar\&quot;},{\&quot;key\&quot;:\&quot;Amount $\&quot;,\&quot;value\&quot;:-13.76},{\&quot;key\&quot;:\&quot;Transaction_ID\&quot;,\&quot;value\&quot;:\&quot;aa337b2e3ffc4a2b850361c3659c3f7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74},{\&quot;key\&quot;:\&quot;Merchant\&quot;,\&quot;value\&quot;:\&quot;Livecareer Pr\&quot;},{\&quot;key\&quot;:\&quot;Amount $\&quot;,\&quot;value\&quot;:-24.95},{\&quot;key\&quot;:\&quot;Transaction_ID\&quot;,\&quot;value\&quot;:\&quot;5fe7ef82f0104692a12f25df0077785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74},{\&quot;key\&quot;:\&quot;Merchant\&quot;,\&quot;value\&quot;:\&quot;Venmo\&quot;},{\&quot;key\&quot;:\&quot;Amount $\&quot;,\&quot;value\&quot;:-25},{\&quot;key\&quot;:\&quot;Transaction_ID\&quot;,\&quot;value\&quot;:\&quot;12c365123cda4cd5bf8fa62d5bb10461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73},{\&quot;key\&quot;:\&quot;Merchant\&quot;,\&quot;value\&quot;:\&quot;T Mobile\&quot;},{\&quot;key\&quot;:\&quot;Amount $\&quot;,\&quot;value\&quot;:-86.25},{\&quot;key\&quot;:\&quot;Transaction_ID\&quot;,\&quot;value\&quot;:\&quot;09c781510eb049f5864493bf4801653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72},{\&quot;key\&quot;:\&quot;Merchant\&quot;,\&quot;value\&quot;:\&quot;Discover E Payment Lewis\&quot;},{\&quot;key\&quot;:\&quot;Amount $\&quot;,\&quot;value\&quot;:-300},{\&quot;key\&quot;:\&quot;Transaction_ID\&quot;,\&quot;value\&quot;:\&quot;c9130adcc1d942b6aeaf4a7b3e632cbf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72},{\&quot;key\&quot;:\&quot;Merchant\&quot;,\&quot;value\&quot;:\&quot;Internet Payment\&quot;},{\&quot;key\&quot;:\&quot;Amount $\&quot;,\&quot;value\&quot;:300},{\&quot;key\&quot;:\&quot;Transaction_ID\&quot;,\&quot;value\&quot;:\&quot;8c2fff55ba694384bc0a31408eaf55c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72},{\&quot;key\&quot;:\&quot;Merchant\&quot;,\&quot;value\&quot;:\&quot;Venmo\&quot;},{\&quot;key\&quot;:\&quot;Amount $\&quot;,\&quot;value\&quot;:519.65},{\&quot;key\&quot;:\&quot;Transaction_ID\&quot;,\&quot;value\&quot;:\&quot;7de7ba8b7a7d4d28ad0ac3a5b67c08a8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72},{\&quot;key\&quot;:\&quot;Merchant\&quot;,\&quot;value\&quot;:\&quot;The Market\&quot;},{\&quot;key\&quot;:\&quot;Amount $\&quot;,\&quot;value\&quot;:-2.2},{\&quot;key\&quot;:\&quot;Transaction_ID\&quot;,\&quot;value\&quot;:\&quot;7bf12a3c120541b5aca017d2f401433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71},{\&quot;key\&quot;:\&quot;Merchant\&quot;,\&quot;value\&quot;:\&quot;Ezpassva Auto Replenish\&quot;},{\&quot;key\&quot;:\&quot;Amount $\&quot;,\&quot;value\&quot;:-35},{\&quot;key\&quot;:\&quot;Transaction_ID\&quot;,\&quot;value\&quot;:\&quot;d657d771bec346dcb1835bb7e765b1c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70},{\&quot;key\&quot;:\&quot;Merchant\&quot;,\&quot;value\&quot;:\&quot;Five Guys\&quot;},{\&quot;key\&quot;:\&quot;Amount $\&quot;,\&quot;value\&quot;:-16.72},{\&quot;key\&quot;:\&quot;Transaction_ID\&quot;,\&quot;value\&quot;:\&quot;f3123a5d8f44494db61a390a9bcc5c6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70},{\&quot;key\&quot;:\&quot;Merchant\&quot;,\&quot;value\&quot;:\&quot;The Market\&quot;},{\&quot;key\&quot;:\&quot;Amount $\&quot;,\&quot;value\&quot;:-19.05},{\&quot;key\&quot;:\&quot;Transaction_ID\&quot;,\&quot;value\&quot;:\&quot;adb812fe217f4ca4bf56852e08db02a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70},{\&quot;key\&quot;:\&quot;Merchant\&quot;,\&quot;value\&quot;:\&quot;Cash App\&quot;},{\&quot;key\&quot;:\&quot;Amount $\&quot;,\&quot;value\&quot;:-80},{\&quot;key\&quot;:\&quot;Transaction_ID\&quot;,\&quot;value\&quot;:\&quot;917bd452db2642ce815412ecccfcba3f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70},{\&quot;key\&quot;:\&quot;Merchant\&quot;,\&quot;value\&quot;:\&quot;Amtrak\&quot;},{\&quot;key\&quot;:\&quot;Amount $\&quot;,\&quot;value\&quot;:-18.5},{\&quot;key\&quot;:\&quot;Transaction_ID\&quot;,\&quot;value\&quot;:\&quot;85bf499b09794f6697cfe39d6d501e2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70},{\&quot;key\&quot;:\&quot;Merchant\&quot;,\&quot;value\&quot;:\&quot;Uber\&quot;},{\&quot;key\&quot;:\&quot;Amount $\&quot;,\&quot;value\&quot;:-5.98},{\&quot;key\&quot;:\&quot;Transaction_ID\&quot;,\&quot;value\&quot;:\&quot;551bd5db1761435c8976c3a9a003e58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70},{\&quot;key\&quot;:\&quot;Merchant\&quot;,\&quot;value\&quot;:\&quot;Myfico Com\&quot;},{\&quot;key\&quot;:\&quot;Amount $\&quot;,\&quot;value\&quot;:-39.95},{\&quot;key\&quot;:\&quot;Transaction_ID\&quot;,\&quot;value\&quot;:\&quot;510ae525f380436fbce1214a6052017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70},{\&quot;key\&quot;:\&quot;Merchant\&quot;,\&quot;value\&quot;:\&quot;Wawa\&quot;},{\&quot;key\&quot;:\&quot;Amount $\&quot;,\&quot;value\&quot;:-17.94},{\&quot;key\&quot;:\&quot;Transaction_ID\&quot;,\&quot;value\&quot;:\&quot;4908e8a94f614f429016401f45eab74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70},{\&quot;key\&quot;:\&quot;Merchant\&quot;,\&quot;value\&quot;:\&quot;Uber\&quot;},{\&quot;key\&quot;:\&quot;Amount $\&quot;,\&quot;value\&quot;:-23.95},{\&quot;key\&quot;:\&quot;Transaction_ID\&quot;,\&quot;value\&quot;:\&quot;2adc00088f1442a8915e708f0bebfef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70},{\&quot;key\&quot;:\&quot;Merchant\&quot;,\&quot;value\&quot;:\&quot;Apple Bill Ca Y\&quot;},{\&quot;key\&quot;:\&quot;Amount $\&quot;,\&quot;value\&quot;:-9.99},{\&quot;key\&quot;:\&quot;Transaction_ID\&quot;,\&quot;value\&quot;:\&quot;26841dd23d2543ae84ca812c5489d9d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69},{\&quot;key\&quot;:\&quot;Merchant\&quot;,\&quot;value\&quot;:\&quot;Apple Bill Ca\&quot;},{\&quot;key\&quot;:\&quot;Amount $\&quot;,\&quot;value\&quot;:-0.99},{\&quot;key\&quot;:\&quot;Transaction_ID\&quot;,\&quot;value\&quot;:\&quot;f5bdb06ad5dc4702a0e6ac952152622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69},{\&quot;key\&quot;:\&quot;Merchant\&quot;,\&quot;value\&quot;:\&quot;Apple Bill Ca\&quot;},{\&quot;key\&quot;:\&quot;Amount $\&quot;,\&quot;value\&quot;:-4.99},{\&quot;key\&quot;:\&quot;Transaction_ID\&quot;,\&quot;value\&quot;:\&quot;f23cc4063ff147e48c927e9d89293c8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69},{\&quot;key\&quot;:\&quot;Merchant\&quot;,\&quot;value\&quot;:\&quot;Alamo Bbq\&quot;},{\&quot;key\&quot;:\&quot;Amount $\&quot;,\&quot;value\&quot;:-17.92},{\&quot;key\&quot;:\&quot;Transaction_ID\&quot;,\&quot;value\&quot;:\&quot;dd98960871854ab898da24e54bd9477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69},{\&quot;key\&quot;:\&quot;Merchant\&quot;,\&quot;value\&quot;:\&quot;Venmo\&quot;},{\&quot;key\&quot;:\&quot;Amount $\&quot;,\&quot;value\&quot;:-1000},{\&quot;key\&quot;:\&quot;Transaction_ID\&quot;,\&quot;value\&quot;:\&quot;795083e9bc494fce84fcd0ae547231dd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69},{\&quot;key\&quot;:\&quot;Merchant\&quot;,\&quot;value\&quot;:\&quot;Apple Bill Ca M\&quot;},{\&quot;key\&quot;:\&quot;Amount $\&quot;,\&quot;value\&quot;:-19.99},{\&quot;key\&quot;:\&quot;Transaction_ID\&quot;,\&quot;value\&quot;:\&quot;68a4dbdeac2d4070a4fa3fdf16a3536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69},{\&quot;key\&quot;:\&quot;Merchant\&quot;,\&quot;value\&quot;:\&quot;Elephant Ins Payroll Lewis\&quot;},{\&quot;key\&quot;:\&quot;Amount $\&quot;,\&quot;value\&quot;:1490.77},{\&quot;key\&quot;:\&quot;Transaction_ID\&quot;,\&quot;value\&quot;:\&quot;01f9f843981241a296744979f7c20405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68},{\&quot;key\&quot;:\&quot;Merchant\&quot;,\&quot;value\&quot;:\&quot;State Farm\&quot;},{\&quot;key\&quot;:\&quot;Amount $\&quot;,\&quot;value\&quot;:-97.25},{\&quot;key\&quot;:\&quot;Transaction_ID\&quot;,\&quot;value\&quot;:\&quot;75ed68d8c0ff4ac59ef28a171af96f2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67},{\&quot;key\&quot;:\&quot;Merchant\&quot;,\&quot;value\&quot;:\&quot;Union Market Gosq Va\&quot;},{\&quot;key\&quot;:\&quot;Amount $\&quot;,\&quot;value\&quot;:-29.7},{\&quot;key\&quot;:\&quot;Transaction_ID\&quot;,\&quot;value\&quot;:\&quot;e169f337df7d46ee8e058e083938206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67},{\&quot;key\&quot;:\&quot;Merchant\&quot;,\&quot;value\&quot;:\&quot;Union Market Gosq Va\&quot;},{\&quot;key\&quot;:\&quot;Amount $\&quot;,\&quot;value\&quot;:-13.35},{\&quot;key\&quot;:\&quot;Transaction_ID\&quot;,\&quot;value\&quot;:\&quot;c9d3e1a6f44e4bb1babd125e73178de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67},{\&quot;key\&quot;:\&quot;Merchant\&quot;,\&quot;value\&quot;:\&quot;Coaching Actuaries\&quot;},{\&quot;key\&quot;:\&quot;Amount $\&quot;,\&quot;value\&quot;:-25},{\&quot;key\&quot;:\&quot;Transaction_ID\&quot;,\&quot;value\&quot;:\&quot;bdc9ef5bcedd4e42ba582c9c1d70b2c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66},{\&quot;key\&quot;:\&quot;Merchant\&quot;,\&quot;value\&quot;:\&quot;Amtrak\&quot;},{\&quot;key\&quot;:\&quot;Amount $\&quot;,\&quot;value\&quot;:-31},{\&quot;key\&quot;:\&quot;Transaction_ID\&quot;,\&quot;value\&quot;:\&quot;e150203874894aecbd6b4314b1d5896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66},{\&quot;key\&quot;:\&quot;Merchant\&quot;,\&quot;value\&quot;:\&quot;Spotify\&quot;},{\&quot;key\&quot;:\&quot;Amount $\&quot;,\&quot;value\&quot;:-9.99},{\&quot;key\&quot;:\&quot;Transaction_ID\&quot;,\&quot;value\&quot;:\&quot;de36ada50b65464f8075c3e3887465a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66},{\&quot;key\&quot;:\&quot;Merchant\&quot;,\&quot;value\&quot;:\&quot;Starbucks\&quot;},{\&quot;key\&quot;:\&quot;Amount $\&quot;,\&quot;value\&quot;:-6.19},{\&quot;key\&quot;:\&quot;Transaction_ID\&quot;,\&quot;value\&quot;:\&quot;79310c64d0e642b6992af632cabfc8f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66},{\&quot;key\&quot;:\&quot;Merchant\&quot;,\&quot;value\&quot;:\&quot;Netflix\&quot;},{\&quot;key\&quot;:\&quot;Amount $\&quot;,\&quot;value\&quot;:-12.99},{\&quot;key\&quot;:\&quot;Transaction_ID\&quot;,\&quot;value\&quot;:\&quot;56526f4ef2a644a688cae014c4b309a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64},{\&quot;key\&quot;:\&quot;Merchant\&quot;,\&quot;value\&quot;:\&quot;The Market\&quot;},{\&quot;key\&quot;:\&quot;Amount $\&quot;,\&quot;value\&quot;:-9.41},{\&quot;key\&quot;:\&quot;Transaction_ID\&quot;,\&quot;value\&quot;:\&quot;febb758f51f546089b55208e60dca19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64},{\&quot;key\&quot;:\&quot;Merchant\&quot;,\&quot;value\&quot;:\&quot;Uber\&quot;},{\&quot;key\&quot;:\&quot;Amount $\&quot;,\&quot;value\&quot;:-3},{\&quot;key\&quot;:\&quot;Transaction_ID\&quot;,\&quot;value\&quot;:\&quot;d132d1e1136b475aaec3471a3689f68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64},{\&quot;key\&quot;:\&quot;Merchant\&quot;,\&quot;value\&quot;:\&quot;Uber\&quot;},{\&quot;key\&quot;:\&quot;Amount $\&quot;,\&quot;value\&quot;:-13.98},{\&quot;key\&quot;:\&quot;Transaction_ID\&quot;,\&quot;value\&quot;:\&quot;91a9acfa694d43339076dacd0f5a8b2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64},{\&quot;key\&quot;:\&quot;Merchant\&quot;,\&quot;value\&quot;:\&quot;Uber\&quot;},{\&quot;key\&quot;:\&quot;Amount $\&quot;,\&quot;value\&quot;:-5},{\&quot;key\&quot;:\&quot;Transaction_ID\&quot;,\&quot;value\&quot;:\&quot;2dba4bed4fde43f4b0465ba0e8b14ff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64},{\&quot;key\&quot;:\&quot;Merchant\&quot;,\&quot;value\&quot;:\&quot;Uber\&quot;},{\&quot;key\&quot;:\&quot;Amount $\&quot;,\&quot;value\&quot;:-13.86},{\&quot;key\&quot;:\&quot;Transaction_ID\&quot;,\&quot;value\&quot;:\&quot;0f4198090c9f4d4abced4a4f69d7f2a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63},{\&quot;key\&quot;:\&quot;Merchant\&quot;,\&quot;value\&quot;:\&quot;Crunch Fitness Va Crunch\&quot;},{\&quot;key\&quot;:\&quot;Amount $\&quot;,\&quot;value\&quot;:-9.95},{\&quot;key\&quot;:\&quot;Transaction_ID\&quot;,\&quot;value\&quot;:\&quot;ff3e7b273bd84898999c7bbd6d4360c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63},{\&quot;key\&quot;:\&quot;Merchant\&quot;,\&quot;value\&quot;:\&quot;Home Depot\&quot;},{\&quot;key\&quot;:\&quot;Amount $\&quot;,\&quot;value\&quot;:-22.2},{\&quot;key\&quot;:\&quot;Transaction_ID\&quot;,\&quot;value\&quot;:\&quot;ebcb9f1377184a409a5dbe6ee3a4929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63},{\&quot;key\&quot;:\&quot;Merchant\&quot;,\&quot;value\&quot;:\&quot;Amazon\&quot;},{\&quot;key\&quot;:\&quot;Amount $\&quot;,\&quot;value\&quot;:-63.55},{\&quot;key\&quot;:\&quot;Transaction_ID\&quot;,\&quot;value\&quot;:\&quot;b6e89326d42e4f378179895ea22c07b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61},{\&quot;key\&quot;:\&quot;Merchant\&quot;,\&quot;value\&quot;:\&quot;The Market\&quot;},{\&quot;key\&quot;:\&quot;Amount $\&quot;,\&quot;value\&quot;:-16.56},{\&quot;key\&quot;:\&quot;Transaction_ID\&quot;,\&quot;value\&quot;:\&quot;be94e4c42f4a4bb3ab0653a81dadf8f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60},{\&quot;key\&quot;:\&quot;Merchant\&quot;,\&quot;value\&quot;:\&quot;The Market\&quot;},{\&quot;key\&quot;:\&quot;Amount $\&quot;,\&quot;value\&quot;:-43.99},{\&quot;key\&quot;:\&quot;Transaction_ID\&quot;,\&quot;value\&quot;:\&quot;b29ed17b69d84d7b95189a4161387a9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60},{\&quot;key\&quot;:\&quot;Merchant\&quot;,\&quot;value\&quot;:\&quot;The Market\&quot;},{\&quot;key\&quot;:\&quot;Amount $\&quot;,\&quot;value\&quot;:-3.16},{\&quot;key\&quot;:\&quot;Transaction_ID\&quot;,\&quot;value\&quot;:\&quot;6b3696f39a6440d2a2c4022a1edf35c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59},{\&quot;key\&quot;:\&quot;Merchant\&quot;,\&quot;value\&quot;:\&quot;Mcdonald's\&quot;},{\&quot;key\&quot;:\&quot;Amount $\&quot;,\&quot;value\&quot;:-14.94},{\&quot;key\&quot;:\&quot;Transaction_ID\&quot;,\&quot;value\&quot;:\&quot;ea115b624c014c558304ea4f18145bc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59},{\&quot;key\&quot;:\&quot;Merchant\&quot;,\&quot;value\&quot;:\&quot;Cvs\&quot;},{\&quot;key\&quot;:\&quot;Amount $\&quot;,\&quot;value\&quot;:-6.13},{\&quot;key\&quot;:\&quot;Transaction_ID\&quot;,\&quot;value\&quot;:\&quot;e588d39bb06c42428c801c8520dd828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59},{\&quot;key\&quot;:\&quot;Merchant\&quot;,\&quot;value\&quot;:\&quot;Livecareer Pr\&quot;},{\&quot;key\&quot;:\&quot;Amount $\&quot;,\&quot;value\&quot;:-1},{\&quot;key\&quot;:\&quot;Transaction_ID\&quot;,\&quot;value\&quot;:\&quot;498b817622bf42288ebe2ea05edfe49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59},{\&quot;key\&quot;:\&quot;Merchant\&quot;,\&quot;value\&quot;:\&quot;Livecareer Pr\&quot;},{\&quot;key\&quot;:\&quot;Amount $\&quot;,\&quot;value\&quot;:-1.95},{\&quot;key\&quot;:\&quot;Transaction_ID\&quot;,\&quot;value\&quot;:\&quot;44c6cfd12b68460781218840b2cc073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59},{\&quot;key\&quot;:\&quot;Merchant\&quot;,\&quot;value\&quot;:\&quot;Target\&quot;},{\&quot;key\&quot;:\&quot;Amount $\&quot;,\&quot;value\&quot;:-10.6},{\&quot;key\&quot;:\&quot;Transaction_ID\&quot;,\&quot;value\&quot;:\&quot;3d311880119b4693acce875b0c60d90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58},{\&quot;key\&quot;:\&quot;Merchant\&quot;,\&quot;value\&quot;:\&quot;Lyft\&quot;},{\&quot;key\&quot;:\&quot;Amount $\&quot;,\&quot;value\&quot;:-23.46},{\&quot;key\&quot;:\&quot;Transaction_ID\&quot;,\&quot;value\&quot;:\&quot;ef99810f1a60491eac359b42d82a8d5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58},{\&quot;key\&quot;:\&quot;Merchant\&quot;,\&quot;value\&quot;:\&quot;Uber\&quot;},{\&quot;key\&quot;:\&quot;Amount $\&quot;,\&quot;value\&quot;:-1},{\&quot;key\&quot;:\&quot;Transaction_ID\&quot;,\&quot;value\&quot;:\&quot;ef37f25b76144cc4a1cf72f9a7bf489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58},{\&quot;key\&quot;:\&quot;Merchant\&quot;,\&quot;value\&quot;:\&quot;Uber\&quot;},{\&quot;key\&quot;:\&quot;Amount $\&quot;,\&quot;value\&quot;:-19.23},{\&quot;key\&quot;:\&quot;Transaction_ID\&quot;,\&quot;value\&quot;:\&quot;cd33ba9fc6db46eeafa2d1e83d493c5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58},{\&quot;key\&quot;:\&quot;Merchant\&quot;,\&quot;value\&quot;:\&quot;Family Dollar\&quot;},{\&quot;key\&quot;:\&quot;Amount $\&quot;,\&quot;value\&quot;:-11.96},{\&quot;key\&quot;:\&quot;Transaction_ID\&quot;,\&quot;value\&quot;:\&quot;ba5af524f0414eaba98d503c13dcd73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58},{\&quot;key\&quot;:\&quot;Merchant\&quot;,\&quot;value\&quot;:\&quot;Uber\&quot;},{\&quot;key\&quot;:\&quot;Amount $\&quot;,\&quot;value\&quot;:-5},{\&quot;key\&quot;:\&quot;Transaction_ID\&quot;,\&quot;value\&quot;:\&quot;9eaf016d03fe4fc99e212db8cb50013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58},{\&quot;key\&quot;:\&quot;Merchant\&quot;,\&quot;value\&quot;:\&quot;Nissan Of Richmond\&quot;},{\&quot;key\&quot;:\&quot;Amount $\&quot;,\&quot;value\&quot;:-175},{\&quot;key\&quot;:\&quot;Transaction_ID\&quot;,\&quot;value\&quot;:\&quot;777978cd375c490ea119cf62f85f776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58},{\&quot;key\&quot;:\&quot;Merchant\&quot;,\&quot;value\&quot;:\&quot;Venmo\&quot;},{\&quot;key\&quot;:\&quot;Amount $\&quot;,\&quot;value\&quot;:-659.67},{\&quot;key\&quot;:\&quot;Transaction_ID\&quot;,\&quot;value\&quot;:\&quot;4e18c332b40b466fbc0f8989f1fffed1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58},{\&quot;key\&quot;:\&quot;Merchant\&quot;,\&quot;value\&quot;:\&quot;Neemb Llc Distill Io\&quot;},{\&quot;key\&quot;:\&quot;Amount $\&quot;,\&quot;value\&quot;:-15},{\&quot;key\&quot;:\&quot;Transaction_ID\&quot;,\&quot;value\&quot;:\&quot;45ee1321a59c46c6b18ea28dd917d8c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58},{\&quot;key\&quot;:\&quot;Merchant\&quot;,\&quot;value\&quot;:\&quot;Square Enix Ca Square\&quot;},{\&quot;key\&quot;:\&quot;Amount $\&quot;,\&quot;value\&quot;:-10},{\&quot;key\&quot;:\&quot;Transaction_ID\&quot;,\&quot;value\&quot;:\&quot;027840ca70d6409d892b960744ad439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56},{\&quot;key\&quot;:\&quot;Merchant\&quot;,\&quot;value\&quot;:\&quot;Shell\&quot;},{\&quot;key\&quot;:\&quot;Amount $\&quot;,\&quot;value\&quot;:-19.42},{\&quot;key\&quot;:\&quot;Transaction_ID\&quot;,\&quot;value\&quot;:\&quot;dbb5bab49d084b48bc3553858312cce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56},{\&quot;key\&quot;:\&quot;Merchant\&quot;,\&quot;value\&quot;:\&quot;Va Dmv Richmond Central\&quot;},{\&quot;key\&quot;:\&quot;Amount $\&quot;,\&quot;value\&quot;:-26},{\&quot;key\&quot;:\&quot;Transaction_ID\&quot;,\&quot;value\&quot;:\&quot;c1a7943df8094ae082b093583e4e555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56},{\&quot;key\&quot;:\&quot;Merchant\&quot;,\&quot;value\&quot;:\&quot;Family Dollar\&quot;},{\&quot;key\&quot;:\&quot;Amount $\&quot;,\&quot;value\&quot;:-2.09},{\&quot;key\&quot;:\&quot;Transaction_ID\&quot;,\&quot;value\&quot;:\&quot;63c8a074d91c41d197f86271ae9ab12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56},{\&quot;key\&quot;:\&quot;Merchant\&quot;,\&quot;value\&quot;:\&quot;The Market\&quot;},{\&quot;key\&quot;:\&quot;Amount $\&quot;,\&quot;value\&quot;:-13.7},{\&quot;key\&quot;:\&quot;Transaction_ID\&quot;,\&quot;value\&quot;:\&quot;037f9116971b4cd898f96e3f32b6933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56},{\&quot;key\&quot;:\&quot;Merchant\&quot;,\&quot;value\&quot;:\&quot;Advance Auto Parts\&quot;},{\&quot;key\&quot;:\&quot;Amount $\&quot;,\&quot;value\&quot;:-181.94},{\&quot;key\&quot;:\&quot;Transaction_ID\&quot;,\&quot;value\&quot;:\&quot;009818fc8b1b412e91d5e19f321ce95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55},{\&quot;key\&quot;:\&quot;Merchant\&quot;,\&quot;value\&quot;:\&quot;Internet Payment\&quot;},{\&quot;key\&quot;:\&quot;Amount $\&quot;,\&quot;value\&quot;:974.05},{\&quot;key\&quot;:\&quot;Transaction_ID\&quot;,\&quot;value\&quot;:\&quot;d50ad2bafaf247ea924f2c92940d0d9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55},{\&quot;key\&quot;:\&quot;Merchant\&quot;,\&quot;value\&quot;:\&quot;Apple Bill Ca Sbk\&quot;},{\&quot;key\&quot;:\&quot;Amount $\&quot;,\&quot;value\&quot;:-9.99},{\&quot;key\&quot;:\&quot;Transaction_ID\&quot;,\&quot;value\&quot;:\&quot;9a72efd61d7f4cccad9a93b48897f03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55},{\&quot;key\&quot;:\&quot;Merchant\&quot;,\&quot;value\&quot;:\&quot;Venmo\&quot;},{\&quot;key\&quot;:\&quot;Amount $\&quot;,\&quot;value\&quot;:-700},{\&quot;key\&quot;:\&quot;Transaction_ID\&quot;,\&quot;value\&quot;:\&quot;85d736f75d334fd28c63bfaf949f72e8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55},{\&quot;key\&quot;:\&quot;Merchant\&quot;,\&quot;value\&quot;:\&quot;Apple Bill Ca\&quot;},{\&quot;key\&quot;:\&quot;Amount $\&quot;,\&quot;value\&quot;:-24.98},{\&quot;key\&quot;:\&quot;Transaction_ID\&quot;,\&quot;value\&quot;:\&quot;804bd20669784f3c9df5ac5ffd9006e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55},{\&quot;key\&quot;:\&quot;Merchant\&quot;,\&quot;value\&quot;:\&quot;Discover E Payment Lewis\&quot;},{\&quot;key\&quot;:\&quot;Amount $\&quot;,\&quot;value\&quot;:-974.05},{\&quot;key\&quot;:\&quot;Transaction_ID\&quot;,\&quot;value\&quot;:\&quot;7c4b08380e4543a2af7734d74e3ddc1b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55},{\&quot;key\&quot;:\&quot;Merchant\&quot;,\&quot;value\&quot;:\&quot;Panera Bread\&quot;},{\&quot;key\&quot;:\&quot;Amount $\&quot;,\&quot;value\&quot;:-12.76},{\&quot;key\&quot;:\&quot;Transaction_ID\&quot;,\&quot;value\&quot;:\&quot;57616b79fd6b4aa2b9dc70c3531cbe4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55},{\&quot;key\&quot;:\&quot;Merchant\&quot;,\&quot;value\&quot;:\&quot;Elephant Ins Payroll Lewis\&quot;},{\&quot;key\&quot;:\&quot;Amount $\&quot;,\&quot;value\&quot;:2263.65},{\&quot;key\&quot;:\&quot;Transaction_ID\&quot;,\&quot;value\&quot;:\&quot;280434013bc94c3f8f85e28c70b70c57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54},{\&quot;key\&quot;:\&quot;Merchant\&quot;,\&quot;value\&quot;:\&quot;Family Dollar\&quot;},{\&quot;key\&quot;:\&quot;Amount $\&quot;,\&quot;value\&quot;:-7.84},{\&quot;key\&quot;:\&quot;Transaction_ID\&quot;,\&quot;value\&quot;:\&quot;d1554430433d4c20b3d849dc0c146fd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54},{\&quot;key\&quot;:\&quot;Merchant\&quot;,\&quot;value\&quot;:\&quot;Lowe's\&quot;},{\&quot;key\&quot;:\&quot;Amount $\&quot;,\&quot;value\&quot;:-16.49},{\&quot;key\&quot;:\&quot;Transaction_ID\&quot;,\&quot;value\&quot;:\&quot;876dc12e2daf4b14a7fe16cd4d3261e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51},{\&quot;key\&quot;:\&quot;Merchant\&quot;,\&quot;value\&quot;:\&quot;Money Transfer Authorized On\&quot;},{\&quot;key\&quot;:\&quot;Amount $\&quot;,\&quot;value\&quot;:78.8},{\&quot;key\&quot;:\&quot;Transaction_ID\&quot;,\&quot;value\&quot;:\&quot;f986d15f202a48bb8ef5549a6c6179dd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51},{\&quot;key\&quot;:\&quot;Merchant\&quot;,\&quot;value\&quot;:\&quot;Venmo\&quot;},{\&quot;key\&quot;:\&quot;Amount $\&quot;,\&quot;value\&quot;:-153.35},{\&quot;key\&quot;:\&quot;Transaction_ID\&quot;,\&quot;value\&quot;:\&quot;f1721dd8a6c54dce987a2ea54b4a600a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51},{\&quot;key\&quot;:\&quot;Merchant\&quot;,\&quot;value\&quot;:\&quot;Money Transfer Authorized On\&quot;},{\&quot;key\&quot;:\&quot;Amount $\&quot;,\&quot;value\&quot;:78.8},{\&quot;key\&quot;:\&quot;Transaction_ID\&quot;,\&quot;value\&quot;:\&quot;e3052b4899c741a88e1943c8011ea5b8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51},{\&quot;key\&quot;:\&quot;Merchant\&quot;,\&quot;value\&quot;:\&quot;Cash App Engagetm\&quot;},{\&quot;key\&quot;:\&quot;Amount $\&quot;,\&quot;value\&quot;:-82.4},{\&quot;key\&quot;:\&quot;Transaction_ID\&quot;,\&quot;value\&quot;:\&quot;b56b722058c246b9937e649550e1e2d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51},{\&quot;key\&quot;:\&quot;Merchant\&quot;,\&quot;value\&quot;:\&quot;Square Enix Ca Square\&quot;},{\&quot;key\&quot;:\&quot;Amount $\&quot;,\&quot;value\&quot;:-10},{\&quot;key\&quot;:\&quot;Transaction_ID\&quot;,\&quot;value\&quot;:\&quot;4fda3b2bac6942d29b30f225a8c8d39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51},{\&quot;key\&quot;:\&quot;Merchant\&quot;,\&quot;value\&quot;:\&quot;Steam Games\&quot;},{\&quot;key\&quot;:\&quot;Amount $\&quot;,\&quot;value\&quot;:-14.99},{\&quot;key\&quot;:\&quot;Transaction_ID\&quot;,\&quot;value\&quot;:\&quot;1f333295e9014aa38bf481ffa4b7849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50},{\&quot;key\&quot;:\&quot;Merchant\&quot;,\&quot;value\&quot;:\&quot;The Market\&quot;},{\&quot;key\&quot;:\&quot;Amount $\&quot;,\&quot;value\&quot;:-21.15},{\&quot;key\&quot;:\&quot;Transaction_ID\&quot;,\&quot;value\&quot;:\&quot;fad10c37f8fa496d8fd298c4a61a4fd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50},{\&quot;key\&quot;:\&quot;Merchant\&quot;,\&quot;value\&quot;:\&quot;Walmart\&quot;},{\&quot;key\&quot;:\&quot;Amount $\&quot;,\&quot;value\&quot;:-14.48},{\&quot;key\&quot;:\&quot;Transaction_ID\&quot;,\&quot;value\&quot;:\&quot;99ac57b882094720a85becb0a51d53f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50},{\&quot;key\&quot;:\&quot;Merchant\&quot;,\&quot;value\&quot;:\&quot;Walmart\&quot;},{\&quot;key\&quot;:\&quot;Amount $\&quot;,\&quot;value\&quot;:-8.42},{\&quot;key\&quot;:\&quot;Transaction_ID\&quot;,\&quot;value\&quot;:\&quot;719cb508c88a4d2081c7e6a760ca024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50},{\&quot;key\&quot;:\&quot;Merchant\&quot;,\&quot;value\&quot;:\&quot;Directpay Full Balance See\&quot;},{\&quot;key\&quot;:\&quot;Amount $\&quot;,\&quot;value\&quot;:659.67},{\&quot;key\&quot;:\&quot;Transaction_ID\&quot;,\&quot;value\&quot;:\&quot;54e3aab3a217457b9a52e77993715b9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50},{\&quot;key\&quot;:\&quot;Merchant\&quot;,\&quot;value\&quot;:\&quot;Rva Bike Share\&quot;},{\&quot;key\&quot;:\&quot;Amount $\&quot;,\&quot;value\&quot;:-4.75},{\&quot;key\&quot;:\&quot;Transaction_ID\&quot;,\&quot;value\&quot;:\&quot;08abdba0439c43baa463e2f4dac409b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49},{\&quot;key\&quot;:\&quot;Merchant\&quot;,\&quot;value\&quot;:\&quot;Family Dollar\&quot;},{\&quot;key\&quot;:\&quot;Amount $\&quot;,\&quot;value\&quot;:-1.03},{\&quot;key\&quot;:\&quot;Transaction_ID\&quot;,\&quot;value\&quot;:\&quot;96004b382272403fb6391ee2b9ac799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49},{\&quot;key\&quot;:\&quot;Merchant\&quot;,\&quot;value\&quot;:\&quot;Apple Bill Ca\&quot;},{\&quot;key\&quot;:\&quot;Amount $\&quot;,\&quot;value\&quot;:-9.99},{\&quot;key\&quot;:\&quot;Transaction_ID\&quot;,\&quot;value\&quot;:\&quot;63456c64ba9049359bfe0f159d96e1c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49},{\&quot;key\&quot;:\&quot;Merchant\&quot;,\&quot;value\&quot;:\&quot;Fedex\&quot;},{\&quot;key\&quot;:\&quot;Amount $\&quot;,\&quot;value\&quot;:-24.16},{\&quot;key\&quot;:\&quot;Transaction_ID\&quot;,\&quot;value\&quot;:\&quot;2f90e669ef9e4daabd64093f945ddad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49},{\&quot;key\&quot;:\&quot;Merchant\&quot;,\&quot;value\&quot;:\&quot;Apple Bill Ca Apple\&quot;},{\&quot;key\&quot;:\&quot;Amount $\&quot;,\&quot;value\&quot;:-14.99},{\&quot;key\&quot;:\&quot;Transaction_ID\&quot;,\&quot;value\&quot;:\&quot;07267922384d4bf08ce810fe11d858a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48},{\&quot;key\&quot;:\&quot;Merchant\&quot;,\&quot;value\&quot;:\&quot;Venmo\&quot;},{\&quot;key\&quot;:\&quot;Amount $\&quot;,\&quot;value\&quot;:-500},{\&quot;key\&quot;:\&quot;Transaction_ID\&quot;,\&quot;value\&quot;:\&quot;caa4b684dccf4b84a541ab05dbe5d58e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48},{\&quot;key\&quot;:\&quot;Merchant\&quot;,\&quot;value\&quot;:\&quot;Rva Bike Share\&quot;},{\&quot;key\&quot;:\&quot;Amount $\&quot;,\&quot;value\&quot;:-1.75},{\&quot;key\&quot;:\&quot;Transaction_ID\&quot;,\&quot;value\&quot;:\&quot;b8c67fe190904ca5bdad7e6b26ec89b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48},{\&quot;key\&quot;:\&quot;Merchant\&quot;,\&quot;value\&quot;:\&quot;Rva Bike Share\&quot;},{\&quot;key\&quot;:\&quot;Amount $\&quot;,\&quot;value\&quot;:-1.75},{\&quot;key\&quot;:\&quot;Transaction_ID\&quot;,\&quot;value\&quot;:\&quot;9c54c15fbd6b439b9b9a814646a4e02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48},{\&quot;key\&quot;:\&quot;Merchant\&quot;,\&quot;value\&quot;:\&quot;Venmo\&quot;},{\&quot;key\&quot;:\&quot;Amount $\&quot;,\&quot;value\&quot;:-56.01},{\&quot;key\&quot;:\&quot;Transaction_ID\&quot;,\&quot;value\&quot;:\&quot;8ea5399ddc2048af9d162ba555b6fbc9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48},{\&quot;key\&quot;:\&quot;Merchant\&quot;,\&quot;value\&quot;:\&quot;Apple Bill Ca\&quot;},{\&quot;key\&quot;:\&quot;Amount $\&quot;,\&quot;value\&quot;:-19.99},{\&quot;key\&quot;:\&quot;Transaction_ID\&quot;,\&quot;value\&quot;:\&quot;8c75190baf404dd0ba0fd1f6a3663bf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48},{\&quot;key\&quot;:\&quot;Merchant\&quot;,\&quot;value\&quot;:\&quot;Square Inc Cash App\&quot;},{\&quot;key\&quot;:\&quot;Amount $\&quot;,\&quot;value\&quot;:90},{\&quot;key\&quot;:\&quot;Transaction_ID\&quot;,\&quot;value\&quot;:\&quot;81dea8a661a14a6fa221e49d0c0c666b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48},{\&quot;key\&quot;:\&quot;Merchant\&quot;,\&quot;value\&quot;:\&quot;Legends Brewing Co\&quot;},{\&quot;key\&quot;:\&quot;Amount $\&quot;,\&quot;value\&quot;:-64.48},{\&quot;key\&quot;:\&quot;Transaction_ID\&quot;,\&quot;value\&quot;:\&quot;66b7b69d81224d138002df2585a18f6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48},{\&quot;key\&quot;:\&quot;Merchant\&quot;,\&quot;value\&quot;:\&quot;Best Buy\&quot;},{\&quot;key\&quot;:\&quot;Amount $\&quot;,\&quot;value\&quot;:-26.22},{\&quot;key\&quot;:\&quot;Transaction_ID\&quot;,\&quot;value\&quot;:\&quot;4e365a5005c34f4d86fe9027b90133e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48},{\&quot;key\&quot;:\&quot;Merchant\&quot;,\&quot;value\&quot;:\&quot;Taco Bell\&quot;},{\&quot;key\&quot;:\&quot;Amount $\&quot;,\&quot;value\&quot;:-8.26},{\&quot;key\&quot;:\&quot;Transaction_ID\&quot;,\&quot;value\&quot;:\&quot;369a8292852f4e3ca64aa2055da8914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48},{\&quot;key\&quot;:\&quot;Merchant\&quot;,\&quot;value\&quot;:\&quot;Rtp From Paypal On\&quot;},{\&quot;key\&quot;:\&quot;Amount $\&quot;,\&quot;value\&quot;:513.8},{\&quot;key\&quot;:\&quot;Transaction_ID\&quot;,\&quot;value\&quot;:\&quot;2fea7c04652141d18748f5b2fce38721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48},{\&quot;key\&quot;:\&quot;Merchant\&quot;,\&quot;value\&quot;:\&quot;Venmo\&quot;},{\&quot;key\&quot;:\&quot;Amount $\&quot;,\&quot;value\&quot;:-30},{\&quot;key\&quot;:\&quot;Transaction_ID\&quot;,\&quot;value\&quot;:\&quot;08c8cdff3a6e4756ab4c2a69ff467703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47},{\&quot;key\&quot;:\&quot;Merchant\&quot;,\&quot;value\&quot;:\&quot;Internet Payment\&quot;},{\&quot;key\&quot;:\&quot;Amount $\&quot;,\&quot;value\&quot;:300},{\&quot;key\&quot;:\&quot;Transaction_ID\&quot;,\&quot;value\&quot;:\&quot;dd3245bd0d4040d1b8f3ea9ee13cc2c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47},{\&quot;key\&quot;:\&quot;Merchant\&quot;,\&quot;value\&quot;:\&quot;Rva Bike Share\&quot;},{\&quot;key\&quot;:\&quot;Amount $\&quot;,\&quot;value\&quot;:-1.75},{\&quot;key\&quot;:\&quot;Transaction_ID\&quot;,\&quot;value\&quot;:\&quot;d0d5eac1e8b94ee59bbc10fc87869c6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47},{\&quot;key\&quot;:\&quot;Merchant\&quot;,\&quot;value\&quot;:\&quot;Vizmediallc\&quot;},{\&quot;key\&quot;:\&quot;Amount $\&quot;,\&quot;value\&quot;:-1.99},{\&quot;key\&quot;:\&quot;Transaction_ID\&quot;,\&quot;value\&quot;:\&quot;24108e0ab1cd4751bb2f9b2b03c2ffa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47},{\&quot;key\&quot;:\&quot;Merchant\&quot;,\&quot;value\&quot;:\&quot;Mcdonald's\&quot;},{\&quot;key\&quot;:\&quot;Amount $\&quot;,\&quot;value\&quot;:-7.7},{\&quot;key\&quot;:\&quot;Transaction_ID\&quot;,\&quot;value\&quot;:\&quot;19cc4b69d6624ff18df449cb7393b79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47},{\&quot;key\&quot;:\&quot;Merchant\&quot;,\&quot;value\&quot;:\&quot;Discover E Payment Lewis\&quot;},{\&quot;key\&quot;:\&quot;Amount $\&quot;,\&quot;value\&quot;:-300},{\&quot;key\&quot;:\&quot;Transaction_ID\&quot;,\&quot;value\&quot;:\&quot;0536ed583ac645838970976dee65120e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46},{\&quot;key\&quot;:\&quot;Merchant\&quot;,\&quot;value\&quot;:\&quot;Walmart\&quot;},{\&quot;key\&quot;:\&quot;Amount $\&quot;,\&quot;value\&quot;:-41.68},{\&quot;key\&quot;:\&quot;Transaction_ID\&quot;,\&quot;value\&quot;:\&quot;9e165afc04a841e3830654dbcf09196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46},{\&quot;key\&quot;:\&quot;Merchant\&quot;,\&quot;value\&quot;:\&quot;Amazon\&quot;},{\&quot;key\&quot;:\&quot;Amount $\&quot;,\&quot;value\&quot;:-17.73},{\&quot;key\&quot;:\&quot;Transaction_ID\&quot;,\&quot;value\&quot;:\&quot;821ce5512b274e0f98b81d441314763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46},{\&quot;key\&quot;:\&quot;Merchant\&quot;,\&quot;value\&quot;:\&quot;The Market\&quot;},{\&quot;key\&quot;:\&quot;Amount $\&quot;,\&quot;value\&quot;:-1.42},{\&quot;key\&quot;:\&quot;Transaction_ID\&quot;,\&quot;value\&quot;:\&quot;4ce277496f5c477fb1779aee7f81459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46},{\&quot;key\&quot;:\&quot;Merchant\&quot;,\&quot;value\&quot;:\&quot;Mike Blendz Barbershop S\&quot;},{\&quot;key\&quot;:\&quot;Amount $\&quot;,\&quot;value\&quot;:-43.2},{\&quot;key\&quot;:\&quot;Transaction_ID\&quot;,\&quot;value\&quot;:\&quot;37f59953bfe541cbb4981942adaf843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46},{\&quot;key\&quot;:\&quot;Merchant\&quot;,\&quot;value\&quot;:\&quot;The Market\&quot;},{\&quot;key\&quot;:\&quot;Amount $\&quot;,\&quot;value\&quot;:-6.55},{\&quot;key\&quot;:\&quot;Transaction_ID\&quot;,\&quot;value\&quot;:\&quot;2b27e7d0007249ad815af1577128d0a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45},{\&quot;key\&quot;:\&quot;Merchant\&quot;,\&quot;value\&quot;:\&quot;Robinhood\&quot;},{\&quot;key\&quot;:\&quot;Amount $\&quot;,\&quot;value\&quot;:-20},{\&quot;key\&quot;:\&quot;Transaction_ID\&quot;,\&quot;value\&quot;:\&quot;ab7c99ad61e04c53aaa883ceb106721b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45},{\&quot;key\&quot;:\&quot;Merchant\&quot;,\&quot;value\&quot;:\&quot;Scalefast\&quot;},{\&quot;key\&quot;:\&quot;Amount $\&quot;,\&quot;value\&quot;:-59.99},{\&quot;key\&quot;:\&quot;Transaction_ID\&quot;,\&quot;value\&quot;:\&quot;79e613c9d6db4c088fb17c8c39f3099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45},{\&quot;key\&quot;:\&quot;Merchant\&quot;,\&quot;value\&quot;:\&quot;Square Enix Ca Square\&quot;},{\&quot;key\&quot;:\&quot;Amount $\&quot;,\&quot;value\&quot;:-77.94},{\&quot;key\&quot;:\&quot;Transaction_ID\&quot;,\&quot;value\&quot;:\&quot;5849d988013f4671b091da6a42764d9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44},{\&quot;key\&quot;:\&quot;Merchant\&quot;,\&quot;value\&quot;:\&quot;Apple Bill Ca\&quot;},{\&quot;key\&quot;:\&quot;Amount $\&quot;,\&quot;value\&quot;:-79.99},{\&quot;key\&quot;:\&quot;Transaction_ID\&quot;,\&quot;value\&quot;:\&quot;ecb67f891b8a4d988efefbe6f7f1a28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44},{\&quot;key\&quot;:\&quot;Merchant\&quot;,\&quot;value\&quot;:\&quot;Rva Bike Share\&quot;},{\&quot;key\&quot;:\&quot;Amount $\&quot;,\&quot;value\&quot;:-1.75},{\&quot;key\&quot;:\&quot;Transaction_ID\&quot;,\&quot;value\&quot;:\&quot;dc6dda6f233c4a3aad1c2e71908a7a5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44},{\&quot;key\&quot;:\&quot;Merchant\&quot;,\&quot;value\&quot;:\&quot;Cvs\&quot;},{\&quot;key\&quot;:\&quot;Amount $\&quot;,\&quot;value\&quot;:-7.36},{\&quot;key\&quot;:\&quot;Transaction_ID\&quot;,\&quot;value\&quot;:\&quot;d4bcc7ee0994421da1622862d86341f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44},{\&quot;key\&quot;:\&quot;Merchant\&quot;,\&quot;value\&quot;:\&quot;Credit One Bank Payment\&quot;},{\&quot;key\&quot;:\&quot;Amount $\&quot;,\&quot;value\&quot;:-75.53},{\&quot;key\&quot;:\&quot;Transaction_ID\&quot;,\&quot;value\&quot;:\&quot;9ad2dd917af64f64ae024f24930059d6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44},{\&quot;key\&quot;:\&quot;Merchant\&quot;,\&quot;value\&quot;:\&quot;Cash App\&quot;},{\&quot;key\&quot;:\&quot;Amount $\&quot;,\&quot;value\&quot;:-50},{\&quot;key\&quot;:\&quot;Transaction_ID\&quot;,\&quot;value\&quot;:\&quot;850df6a9081e42f2b2241fb3191b58eb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44},{\&quot;key\&quot;:\&quot;Merchant\&quot;,\&quot;value\&quot;:\&quot;Venmo\&quot;},{\&quot;key\&quot;:\&quot;Amount $\&quot;,\&quot;value\&quot;:-41.19},{\&quot;key\&quot;:\&quot;Transaction_ID\&quot;,\&quot;value\&quot;:\&quot;3f4df0f70d854df395cacbb621268616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44},{\&quot;key\&quot;:\&quot;Merchant\&quot;,\&quot;value\&quot;:\&quot;Synchrony Bank Cc Pymt\&quot;},{\&quot;key\&quot;:\&quot;Amount $\&quot;,\&quot;value\&quot;:-300},{\&quot;key\&quot;:\&quot;Transaction_ID\&quot;,\&quot;value\&quot;:\&quot;303c42f442194bc28408dc79a2337a99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43},{\&quot;key\&quot;:\&quot;Merchant\&quot;,\&quot;value\&quot;:\&quot;Septa Fare Machine\&quot;},{\&quot;key\&quot;:\&quot;Amount $\&quot;,\&quot;value\&quot;:-15},{\&quot;key\&quot;:\&quot;Transaction_ID\&quot;,\&quot;value\&quot;:\&quot;e7042665d9c94a85a0e5f1d351a63b80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43},{\&quot;key\&quot;:\&quot;Merchant\&quot;,\&quot;value\&quot;:\&quot;Dri Nvidia Store Nvidia\&quot;},{\&quot;key\&quot;:\&quot;Amount $\&quot;,\&quot;value\&quot;:-4.99},{\&quot;key\&quot;:\&quot;Transaction_ID\&quot;,\&quot;value\&quot;:\&quot;61dcfc5b95474f4ab89493047b76d18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42},{\&quot;key\&quot;:\&quot;Merchant\&quot;,\&quot;value\&quot;:\&quot;Apple Bill Ca D\&quot;},{\&quot;key\&quot;:\&quot;Amount $\&quot;,\&quot;value\&quot;:-9.99},{\&quot;key\&quot;:\&quot;Transaction_ID\&quot;,\&quot;value\&quot;:\&quot;db916ec763764fd1aef814b4e7c552d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42},{\&quot;key\&quot;:\&quot;Merchant\&quot;,\&quot;value\&quot;:\&quot;Cvs\&quot;},{\&quot;key\&quot;:\&quot;Amount $\&quot;,\&quot;value\&quot;:-2.89},{\&quot;key\&quot;:\&quot;Transaction_ID\&quot;,\&quot;value\&quot;:\&quot;b70e0a4222ad4471bd2505165b217c8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42},{\&quot;key\&quot;:\&quot;Merchant\&quot;,\&quot;value\&quot;:\&quot;Uber\&quot;},{\&quot;key\&quot;:\&quot;Amount $\&quot;,\&quot;value\&quot;:-10.12},{\&quot;key\&quot;:\&quot;Transaction_ID\&quot;,\&quot;value\&quot;:\&quot;1e02a22da7214069b5f3fe4ecf24f26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41},{\&quot;key\&quot;:\&quot;Merchant\&quot;,\&quot;value\&quot;:\&quot;Venmo\&quot;},{\&quot;key\&quot;:\&quot;Amount $\&quot;,\&quot;value\&quot;:-30},{\&quot;key\&quot;:\&quot;Transaction_ID\&quot;,\&quot;value\&quot;:\&quot;fa3e339c614a45c6861b724d9fc1e209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41},{\&quot;key\&quot;:\&quot;Merchant\&quot;,\&quot;value\&quot;:\&quot;Atm Withdrawal Authorized On\&quot;},{\&quot;key\&quot;:\&quot;Amount $\&quot;,\&quot;value\&quot;:-150},{\&quot;key\&quot;:\&quot;Transaction_ID\&quot;,\&quot;value\&quot;:\&quot;f45486c8d5b44a9788dcefc14cc4b09c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41},{\&quot;key\&quot;:\&quot;Merchant\&quot;,\&quot;value\&quot;:\&quot;Elephant Ins Payroll Lewis\&quot;},{\&quot;key\&quot;:\&quot;Amount $\&quot;,\&quot;value\&quot;:1599.18},{\&quot;key\&quot;:\&quot;Transaction_ID\&quot;,\&quot;value\&quot;:\&quot;c299f05c081b4339800118e0d2ba2488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41},{\&quot;key\&quot;:\&quot;Merchant\&quot;,\&quot;value\&quot;:\&quot;Brave New Worlds\&quot;},{\&quot;key\&quot;:\&quot;Amount $\&quot;,\&quot;value\&quot;:-51.8},{\&quot;key\&quot;:\&quot;Transaction_ID\&quot;,\&quot;value\&quot;:\&quot;c1e49580ea2a46ca90b04e6b36860731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41},{\&quot;key\&quot;:\&quot;Merchant\&quot;,\&quot;value\&quot;:\&quot;Discover E Payment Lewis\&quot;},{\&quot;key\&quot;:\&quot;Amount $\&quot;,\&quot;value\&quot;:-600},{\&quot;key\&quot;:\&quot;Transaction_ID\&quot;,\&quot;value\&quot;:\&quot;ae3a02d977e741dc937b479a74f174cb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41},{\&quot;key\&quot;:\&quot;Merchant\&quot;,\&quot;value\&quot;:\&quot;Amtrak\&quot;},{\&quot;key\&quot;:\&quot;Amount $\&quot;,\&quot;value\&quot;:-18.5},{\&quot;key\&quot;:\&quot;Transaction_ID\&quot;,\&quot;value\&quot;:\&quot;8ddf2238aef24611931ce51f8fa83f84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41},{\&quot;key\&quot;:\&quot;Merchant\&quot;,\&quot;value\&quot;:\&quot;Venmo\&quot;},{\&quot;key\&quot;:\&quot;Amount $\&quot;,\&quot;value\&quot;:-58.95},{\&quot;key\&quot;:\&quot;Transaction_ID\&quot;,\&quot;value\&quot;:\&quot;74c2ae656dbd4874826311c9e9c7c882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41},{\&quot;key\&quot;:\&quot;Merchant\&quot;,\&quot;value\&quot;:\&quot;Internet Payment\&quot;},{\&quot;key\&quot;:\&quot;Amount $\&quot;,\&quot;value\&quot;:600},{\&quot;key\&quot;:\&quot;Transaction_ID\&quot;,\&quot;value\&quot;:\&quot;66491b456e3149fb887abf1ef4a1c88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41},{\&quot;key\&quot;:\&quot;Merchant\&quot;,\&quot;value\&quot;:\&quot;Cash App\&quot;},{\&quot;key\&quot;:\&quot;Amount $\&quot;,\&quot;value\&quot;:-40},{\&quot;key\&quot;:\&quot;Transaction_ID\&quot;,\&quot;value\&quot;:\&quot;213e108f281647a5b473c920dc15eda4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41},{\&quot;key\&quot;:\&quot;Merchant\&quot;,\&quot;value\&quot;:\&quot;Avidia Bank Setl Lewis\&quot;},{\&quot;key\&quot;:\&quot;Amount $\&quot;,\&quot;value\&quot;:160},{\&quot;key\&quot;:\&quot;Transaction_ID\&quot;,\&quot;value\&quot;:\&quot;197d5ce7a5ca478390136c7f558112b8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40},{\&quot;key\&quot;:\&quot;Merchant\&quot;,\&quot;value\&quot;:\&quot;Purchase Return Authorized On\&quot;},{\&quot;key\&quot;:\&quot;Amount $\&quot;,\&quot;value\&quot;:25},{\&quot;key\&quot;:\&quot;Transaction_ID\&quot;,\&quot;value\&quot;:\&quot;bc5e1c0880dd4a8fab683c5ca52c1b19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40},{\&quot;key\&quot;:\&quot;Merchant\&quot;,\&quot;value\&quot;:\&quot;Myfico Com\&quot;},{\&quot;key\&quot;:\&quot;Amount $\&quot;,\&quot;value\&quot;:-39.95},{\&quot;key\&quot;:\&quot;Transaction_ID\&quot;,\&quot;value\&quot;:\&quot;b990d2a22977454a989a7945a10dc85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40},{\&quot;key\&quot;:\&quot;Merchant\&quot;,\&quot;value\&quot;:\&quot;Crunch Fitness Va Crunch\&quot;},{\&quot;key\&quot;:\&quot;Amount $\&quot;,\&quot;value\&quot;:-58.95},{\&quot;key\&quot;:\&quot;Transaction_ID\&quot;,\&quot;value\&quot;:\&quot;62505d9024c54693ad1d917f1345863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40},{\&quot;key\&quot;:\&quot;Merchant\&quot;,\&quot;value\&quot;:\&quot;The Market\&quot;},{\&quot;key\&quot;:\&quot;Amount $\&quot;,\&quot;value\&quot;:-14.42},{\&quot;key\&quot;:\&quot;Transaction_ID\&quot;,\&quot;value\&quot;:\&quot;497431f0bec94d84b2c73998f6227e4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40},{\&quot;key\&quot;:\&quot;Merchant\&quot;,\&quot;value\&quot;:\&quot;Ups 1\&quot;},{\&quot;key\&quot;:\&quot;Amount $\&quot;,\&quot;value\&quot;:-5.99},{\&quot;key\&quot;:\&quot;Transaction_ID\&quot;,\&quot;value\&quot;:\&quot;1a358c6671f34a1dbe63a5f63d001be2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38},{\&quot;key\&quot;:\&quot;Merchant\&quot;,\&quot;value\&quot;:\&quot;State Farm\&quot;},{\&quot;key\&quot;:\&quot;Amount $\&quot;,\&quot;value\&quot;:-97.25},{\&quot;key\&quot;:\&quot;Transaction_ID\&quot;,\&quot;value\&quot;:\&quot;e51cfec7059541fda0073ab086e6dd1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36},{\&quot;key\&quot;:\&quot;Merchant\&quot;,\&quot;value\&quot;:\&quot;Netflix\&quot;},{\&quot;key\&quot;:\&quot;Amount $\&quot;,\&quot;value\&quot;:-12.99},{\&quot;key\&quot;:\&quot;Transaction_ID\&quot;,\&quot;value\&quot;:\&quot;e1582291244f436d9448df149b96a34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36},{\&quot;key\&quot;:\&quot;Merchant\&quot;,\&quot;value\&quot;:\&quot;Spotify\&quot;},{\&quot;key\&quot;:\&quot;Amount $\&quot;,\&quot;value\&quot;:-9.99},{\&quot;key\&quot;:\&quot;Transaction_ID\&quot;,\&quot;value\&quot;:\&quot;8fa544984dd64c27ac8fa10d66c592d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36},{\&quot;key\&quot;:\&quot;Merchant\&quot;,\&quot;value\&quot;:\&quot;Exxonmobil\&quot;},{\&quot;key\&quot;:\&quot;Amount $\&quot;,\&quot;value\&quot;:-22.4},{\&quot;key\&quot;:\&quot;Transaction_ID\&quot;,\&quot;value\&quot;:\&quot;640aa46ed33c494eba0d513aa4abcef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36},{\&quot;key\&quot;:\&quot;Merchant\&quot;,\&quot;value\&quot;:\&quot;The Market\&quot;},{\&quot;key\&quot;:\&quot;Amount $\&quot;,\&quot;value\&quot;:-35.23},{\&quot;key\&quot;:\&quot;Transaction_ID\&quot;,\&quot;value\&quot;:\&quot;387739cbe97c482b87ef3c4142561cf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36},{\&quot;key\&quot;:\&quot;Merchant\&quot;,\&quot;value\&quot;:\&quot;Amazon\&quot;},{\&quot;key\&quot;:\&quot;Amount $\&quot;,\&quot;value\&quot;:-28.87},{\&quot;key\&quot;:\&quot;Transaction_ID\&quot;,\&quot;value\&quot;:\&quot;09168c2a317f43c6902469e2ee46a43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35},{\&quot;key\&quot;:\&quot;Merchant\&quot;,\&quot;value\&quot;:\&quot;Sunoco\&quot;},{\&quot;key\&quot;:\&quot;Amount $\&quot;,\&quot;value\&quot;:-17.37},{\&quot;key\&quot;:\&quot;Transaction_ID\&quot;,\&quot;value\&quot;:\&quot;4eef1631a9184107b2c05afefdcffb0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34},{\&quot;key\&quot;:\&quot;Merchant\&quot;,\&quot;value\&quot;:\&quot;Havana 59\&quot;},{\&quot;key\&quot;:\&quot;Amount $\&quot;,\&quot;value\&quot;:-50.86},{\&quot;key\&quot;:\&quot;Transaction_ID\&quot;,\&quot;value\&quot;:\&quot;d772ea8080fe4d4a916209b9156c645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34},{\&quot;key\&quot;:\&quot;Merchant\&quot;,\&quot;value\&quot;:\&quot;Apple Bill Ca J\&quot;},{\&quot;key\&quot;:\&quot;Amount $\&quot;,\&quot;value\&quot;:-9.99},{\&quot;key\&quot;:\&quot;Transaction_ID\&quot;,\&quot;value\&quot;:\&quot;cf0dc09e66d347c6904b7c9d776a7d9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34},{\&quot;key\&quot;:\&quot;Merchant\&quot;,\&quot;value\&quot;:\&quot;Maymont Foundation Richmond Va\&quot;},{\&quot;key\&quot;:\&quot;Amount $\&quot;,\&quot;value\&quot;:-14},{\&quot;key\&quot;:\&quot;Transaction_ID\&quot;,\&quot;value\&quot;:\&quot;9090029e875240f585a66067a4c274b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34},{\&quot;key\&quot;:\&quot;Merchant\&quot;,\&quot;value\&quot;:\&quot;Apple Bill Ca\&quot;},{\&quot;key\&quot;:\&quot;Amount $\&quot;,\&quot;value\&quot;:-14.98},{\&quot;key\&quot;:\&quot;Transaction_ID\&quot;,\&quot;value\&quot;:\&quot;722a47a315d04d0aab5f2daca9e8e06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33},{\&quot;key\&quot;:\&quot;Merchant\&quot;,\&quot;value\&quot;:\&quot;Venmo\&quot;},{\&quot;key\&quot;:\&quot;Amount $\&quot;,\&quot;value\&quot;:-545.9},{\&quot;key\&quot;:\&quot;Transaction_ID\&quot;,\&quot;value\&quot;:\&quot;da68d83f373847f6b5c5572ee1c9ba3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33},{\&quot;key\&quot;:\&quot;Merchant\&quot;,\&quot;value\&quot;:\&quot;E Z Pass Va\&quot;},{\&quot;key\&quot;:\&quot;Amount $\&quot;,\&quot;value\&quot;:-35},{\&quot;key\&quot;:\&quot;Transaction_ID\&quot;,\&quot;value\&quot;:\&quot;4bd858c3b6d84f4eb34945e145d03a8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33},{\&quot;key\&quot;:\&quot;Merchant\&quot;,\&quot;value\&quot;:\&quot;Staples\&quot;},{\&quot;key\&quot;:\&quot;Amount $\&quot;,\&quot;value\&quot;:-0.64},{\&quot;key\&quot;:\&quot;Transaction_ID\&quot;,\&quot;value\&quot;:\&quot;28f1d76c4fba483382a3e5f63fbe0fd7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32},{\&quot;key\&quot;:\&quot;Merchant\&quot;,\&quot;value\&quot;:\&quot;Mcdonald's\&quot;},{\&quot;key\&quot;:\&quot;Amount $\&quot;,\&quot;value\&quot;:-3.06},{\&quot;key\&quot;:\&quot;Transaction_ID\&quot;,\&quot;value\&quot;:\&quot;d91853b269ba498ea6fc3ff500440a5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31},{\&quot;key\&quot;:\&quot;Merchant\&quot;,\&quot;value\&quot;:\&quot;The Market\&quot;},{\&quot;key\&quot;:\&quot;Amount $\&quot;,\&quot;value\&quot;:-2.82},{\&quot;key\&quot;:\&quot;Transaction_ID\&quot;,\&quot;value\&quot;:\&quot;dc8f392d43af456985f89fe0acc6e57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31},{\&quot;key\&quot;:\&quot;Merchant\&quot;,\&quot;value\&quot;:\&quot;Cvs\&quot;},{\&quot;key\&quot;:\&quot;Amount $\&quot;,\&quot;value\&quot;:-18.15},{\&quot;key\&quot;:\&quot;Transaction_ID\&quot;,\&quot;value\&quot;:\&quot;8d5de6fa615c4637b308271595d1e03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31},{\&quot;key\&quot;:\&quot;Merchant\&quot;,\&quot;value\&quot;:\&quot;NStreet Market\&quot;},{\&quot;key\&quot;:\&quot;Amount $\&quot;,\&quot;value\&quot;:-2.18},{\&quot;key\&quot;:\&quot;Transaction_ID\&quot;,\&quot;value\&quot;:\&quot;1aba44fdce724451a421234041ff933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30},{\&quot;key\&quot;:\&quot;Merchant\&quot;,\&quot;value\&quot;:\&quot;The Market\&quot;},{\&quot;key\&quot;:\&quot;Amount $\&quot;,\&quot;value\&quot;:-11.97},{\&quot;key\&quot;:\&quot;Transaction_ID\&quot;,\&quot;value\&quot;:\&quot;ab115720c99446468e9959f84ff3b3f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30},{\&quot;key\&quot;:\&quot;Merchant\&quot;,\&quot;value\&quot;:\&quot;Discover E Payment Lewis\&quot;},{\&quot;key\&quot;:\&quot;Amount $\&quot;,\&quot;value\&quot;:-300},{\&quot;key\&quot;:\&quot;Transaction_ID\&quot;,\&quot;value\&quot;:\&quot;994ef3ab97494801b4a04f5c117d6201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30},{\&quot;key\&quot;:\&quot;Merchant\&quot;,\&quot;value\&quot;:\&quot;Synchrony Bank Cc Pymt\&quot;},{\&quot;key\&quot;:\&quot;Amount $\&quot;,\&quot;value\&quot;:-300},{\&quot;key\&quot;:\&quot;Transaction_ID\&quot;,\&quot;value\&quot;:\&quot;8b3154b3a8934efdbaa1b02dfb25c725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29},{\&quot;key\&quot;:\&quot;Merchant\&quot;,\&quot;value\&quot;:\&quot;Amazon\&quot;},{\&quot;key\&quot;:\&quot;Amount $\&quot;,\&quot;value\&quot;:-21.18},{\&quot;key\&quot;:\&quot;Transaction_ID\&quot;,\&quot;value\&quot;:\&quot;88722c2f32f44206af1d57ff99c080f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28},{\&quot;key\&quot;:\&quot;Merchant\&quot;,\&quot;value\&quot;:\&quot;Usps Po\&quot;},{\&quot;key\&quot;:\&quot;Amount $\&quot;,\&quot;value\&quot;:-7.75},{\&quot;key\&quot;:\&quot;Transaction_ID\&quot;,\&quot;value\&quot;:\&quot;f598acff01ce4ba9bba37107b8e5f2d7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28},{\&quot;key\&quot;:\&quot;Merchant\&quot;,\&quot;value\&quot;:\&quot;Neemb Llc Distill Io\&quot;},{\&quot;key\&quot;:\&quot;Amount $\&quot;,\&quot;value\&quot;:-15},{\&quot;key\&quot;:\&quot;Transaction_ID\&quot;,\&quot;value\&quot;:\&quot;e340c1fe67824abdb047dfc07b6d93d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28},{\&quot;key\&quot;:\&quot;Merchant\&quot;,\&quot;value\&quot;:\&quot;Virginia Tech Transcript\&quot;},{\&quot;key\&quot;:\&quot;Amount $\&quot;,\&quot;value\&quot;:-10},{\&quot;key\&quot;:\&quot;Transaction_ID\&quot;,\&quot;value\&quot;:\&quot;bd323e4e4fd34abe8377b153fac30fb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28},{\&quot;key\&quot;:\&quot;Merchant\&quot;,\&quot;value\&quot;:\&quot;The Market\&quot;},{\&quot;key\&quot;:\&quot;Amount $\&quot;,\&quot;value\&quot;:-22.2},{\&quot;key\&quot;:\&quot;Transaction_ID\&quot;,\&quot;value\&quot;:\&quot;8edcdf2e361e40b790a88ead142168c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28},{\&quot;key\&quot;:\&quot;Merchant\&quot;,\&quot;value\&quot;:\&quot;Andar\&quot;},{\&quot;key\&quot;:\&quot;Amount $\&quot;,\&quot;value\&quot;:-50.15},{\&quot;key\&quot;:\&quot;Transaction_ID\&quot;,\&quot;value\&quot;:\&quot;23c315e763ad4705808d984509d4ce4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27},{\&quot;key\&quot;:\&quot;Merchant\&quot;,\&quot;value\&quot;:\&quot;Venmo\&quot;},{\&quot;key\&quot;:\&quot;Amount $\&quot;,\&quot;value\&quot;:-716.13},{\&quot;key\&quot;:\&quot;Transaction_ID\&quot;,\&quot;value\&quot;:\&quot;f7fde624002a4231af44e415a1e3d857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27},{\&quot;key\&quot;:\&quot;Merchant\&quot;,\&quot;value\&quot;:\&quot;Chick Fil A\&quot;},{\&quot;key\&quot;:\&quot;Amount $\&quot;,\&quot;value\&quot;:-22.25},{\&quot;key\&quot;:\&quot;Transaction_ID\&quot;,\&quot;value\&quot;:\&quot;d2ae16018a224789bdad551de3e9a45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27},{\&quot;key\&quot;:\&quot;Merchant\&quot;,\&quot;value\&quot;:\&quot;Amazon\&quot;},{\&quot;key\&quot;:\&quot;Amount $\&quot;,\&quot;value\&quot;:-58.25},{\&quot;key\&quot;:\&quot;Transaction_ID\&quot;,\&quot;value\&quot;:\&quot;6dd2dabbff39475e82686165ce6f801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27},{\&quot;key\&quot;:\&quot;Merchant\&quot;,\&quot;value\&quot;:\&quot;Elephant Ins Payroll Lewis\&quot;},{\&quot;key\&quot;:\&quot;Amount $\&quot;,\&quot;value\&quot;:1780.3},{\&quot;key\&quot;:\&quot;Transaction_ID\&quot;,\&quot;value\&quot;:\&quot;62b5b46a003f4bc881c03aaa57910176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27},{\&quot;key\&quot;:\&quot;Merchant\&quot;,\&quot;value\&quot;:\&quot;Office Depot\&quot;},{\&quot;key\&quot;:\&quot;Amount $\&quot;,\&quot;value\&quot;:-14.83},{\&quot;key\&quot;:\&quot;Transaction_ID\&quot;,\&quot;value\&quot;:\&quot;5955aa50c0dc406e970024c98585482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27},{\&quot;key\&quot;:\&quot;Merchant\&quot;,\&quot;value\&quot;:\&quot;Internet Payment\&quot;},{\&quot;key\&quot;:\&quot;Amount $\&quot;,\&quot;value\&quot;:300},{\&quot;key\&quot;:\&quot;Transaction_ID\&quot;,\&quot;value\&quot;:\&quot;3d6365fbb442437cb30c4a03543135e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26},{\&quot;key\&quot;:\&quot;Merchant\&quot;,\&quot;value\&quot;:\&quot;Venmo\&quot;},{\&quot;key\&quot;:\&quot;Amount $\&quot;,\&quot;value\&quot;:116.82},{\&quot;key\&quot;:\&quot;Transaction_ID\&quot;,\&quot;value\&quot;:\&quot;d603f2c76d0c4e0cbd0042dfe8cee8fa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26},{\&quot;key\&quot;:\&quot;Merchant\&quot;,\&quot;value\&quot;:\&quot;Family Dollar\&quot;},{\&quot;key\&quot;:\&quot;Amount $\&quot;,\&quot;value\&quot;:-11.83},{\&quot;key\&quot;:\&quot;Transaction_ID\&quot;,\&quot;value\&quot;:\&quot;c8849c3e365e4976a7358e101958af4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26},{\&quot;key\&quot;:\&quot;Merchant\&quot;,\&quot;value\&quot;:\&quot;Newegg Inc City Of\&quot;},{\&quot;key\&quot;:\&quot;Amount $\&quot;,\&quot;value\&quot;:235.35},{\&quot;key\&quot;:\&quot;Transaction_ID\&quot;,\&quot;value\&quot;:\&quot;657925f99d5b423faa60dc4b049ec65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25},{\&quot;key\&quot;:\&quot;Merchant\&quot;,\&quot;value\&quot;:\&quot;Family Dollar\&quot;},{\&quot;key\&quot;:\&quot;Amount $\&quot;,\&quot;value\&quot;:-3.47},{\&quot;key\&quot;:\&quot;Transaction_ID\&quot;,\&quot;value\&quot;:\&quot;fcb413120b224858b482a001cb81364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25},{\&quot;key\&quot;:\&quot;Merchant\&quot;,\&quot;value\&quot;:\&quot;Capitol Waffle Sho Richmond\&quot;},{\&quot;key\&quot;:\&quot;Amount $\&quot;,\&quot;value\&quot;:-9.46},{\&quot;key\&quot;:\&quot;Transaction_ID\&quot;,\&quot;value\&quot;:\&quot;7096a80a0ff24aec9cf73388464185c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25},{\&quot;key\&quot;:\&quot;Merchant\&quot;,\&quot;value\&quot;:\&quot;Aramark\&quot;},{\&quot;key\&quot;:\&quot;Amount $\&quot;,\&quot;value\&quot;:-10.44},{\&quot;key\&quot;:\&quot;Transaction_ID\&quot;,\&quot;value\&quot;:\&quot;45f8b06691ed4226b55cf8f1ec9a95b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25},{\&quot;key\&quot;:\&quot;Merchant\&quot;,\&quot;value\&quot;:\&quot;The Market\&quot;},{\&quot;key\&quot;:\&quot;Amount $\&quot;,\&quot;value\&quot;:-2.92},{\&quot;key\&quot;:\&quot;Transaction_ID\&quot;,\&quot;value\&quot;:\&quot;31e2599c451d487dac9eac9e3d751d2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25},{\&quot;key\&quot;:\&quot;Merchant\&quot;,\&quot;value\&quot;:\&quot;Usps Po Mpos Richmondva\&quot;},{\&quot;key\&quot;:\&quot;Amount $\&quot;,\&quot;value\&quot;:-7.75},{\&quot;key\&quot;:\&quot;Transaction_ID\&quot;,\&quot;value\&quot;:\&quot;06dc4d48856a4ccdbb42748bae9f190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24},{\&quot;key\&quot;:\&quot;Merchant\&quot;,\&quot;value\&quot;:\&quot;Cash App Engagetm\&quot;},{\&quot;key\&quot;:\&quot;Amount $\&quot;,\&quot;value\&quot;:-25},{\&quot;key\&quot;:\&quot;Transaction_ID\&quot;,\&quot;value\&quot;:\&quot;19a3f660c932449aa6ef014185ea670b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23},{\&quot;key\&quot;:\&quot;Merchant\&quot;,\&quot;value\&quot;:\&quot;Avidia Bank Setl Lewis\&quot;},{\&quot;key\&quot;:\&quot;Amount $\&quot;,\&quot;value\&quot;:285},{\&quot;key\&quot;:\&quot;Transaction_ID\&quot;,\&quot;value\&quot;:\&quot;d6729a51fb6d46d7ad9195b98fc1007d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23},{\&quot;key\&quot;:\&quot;Merchant\&quot;,\&quot;value\&quot;:\&quot;The Market\&quot;},{\&quot;key\&quot;:\&quot;Amount $\&quot;,\&quot;value\&quot;:-12.02},{\&quot;key\&quot;:\&quot;Transaction_ID\&quot;,\&quot;value\&quot;:\&quot;98ea1303b1224cc3b52486675794a81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23},{\&quot;key\&quot;:\&quot;Merchant\&quot;,\&quot;value\&quot;:\&quot;Newegg Inc\&quot;},{\&quot;key\&quot;:\&quot;Amount $\&quot;,\&quot;value\&quot;:-180.19},{\&quot;key\&quot;:\&quot;Transaction_ID\&quot;,\&quot;value\&quot;:\&quot;804cd2e2894e45c28f3bcc1a3b3ddf1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23},{\&quot;key\&quot;:\&quot;Merchant\&quot;,\&quot;value\&quot;:\&quot;Amazon\&quot;},{\&quot;key\&quot;:\&quot;Amount $\&quot;,\&quot;value\&quot;:-2.48},{\&quot;key\&quot;:\&quot;Transaction_ID\&quot;,\&quot;value\&quot;:\&quot;5f9761d26c3c4ba79e12ffd1e524a28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23},{\&quot;key\&quot;:\&quot;Merchant\&quot;,\&quot;value\&quot;:\&quot;Amazon\&quot;},{\&quot;key\&quot;:\&quot;Amount $\&quot;,\&quot;value\&quot;:-46.11},{\&quot;key\&quot;:\&quot;Transaction_ID\&quot;,\&quot;value\&quot;:\&quot;0eade3099ecf404a92b6b9cf66104d5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23},{\&quot;key\&quot;:\&quot;Merchant\&quot;,\&quot;value\&quot;:\&quot;Cash App Shevon Le\&quot;},{\&quot;key\&quot;:\&quot;Amount $\&quot;,\&quot;value\&quot;:-100},{\&quot;key\&quot;:\&quot;Transaction_ID\&quot;,\&quot;value\&quot;:\&quot;03ecf5330662459cbda93ba8ba6d9048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22},{\&quot;key\&quot;:\&quot;Merchant\&quot;,\&quot;value\&quot;:\&quot;Professor Messer\&quot;},{\&quot;key\&quot;:\&quot;Amount $\&quot;,\&quot;value\&quot;:-40},{\&quot;key\&quot;:\&quot;Transaction_ID\&quot;,\&quot;value\&quot;:\&quot;c07a96cb4813476a894eb5954ee08db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22},{\&quot;key\&quot;:\&quot;Merchant\&quot;,\&quot;value\&quot;:\&quot;Ardent Craft Ales\&quot;},{\&quot;key\&quot;:\&quot;Amount $\&quot;,\&quot;value\&quot;:-8.31},{\&quot;key\&quot;:\&quot;Transaction_ID\&quot;,\&quot;value\&quot;:\&quot;4823fce49367480cb669591b02b78a5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21},{\&quot;key\&quot;:\&quot;Merchant\&quot;,\&quot;value\&quot;:\&quot;Lyft\&quot;},{\&quot;key\&quot;:\&quot;Amount $\&quot;,\&quot;value\&quot;:-12.23},{\&quot;key\&quot;:\&quot;Transaction_ID\&quot;,\&quot;value\&quot;:\&quot;9e1eb720e3ff48088b8af6abc59eb98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21},{\&quot;key\&quot;:\&quot;Merchant\&quot;,\&quot;value\&quot;:\&quot;Dipanshu\&quot;},{\&quot;key\&quot;:\&quot;Amount $\&quot;,\&quot;value\&quot;:-29},{\&quot;key\&quot;:\&quot;Transaction_ID\&quot;,\&quot;value\&quot;:\&quot;8bccec4d869b4055bf6fb713062cd80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21},{\&quot;key\&quot;:\&quot;Merchant\&quot;,\&quot;value\&quot;:\&quot;Neweggcom\&quot;},{\&quot;key\&quot;:\&quot;Amount $\&quot;,\&quot;value\&quot;:-24.37},{\&quot;key\&quot;:\&quot;Transaction_ID\&quot;,\&quot;value\&quot;:\&quot;4dc38cfd6ff24c63936752b31b9081f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21},{\&quot;key\&quot;:\&quot;Merchant\&quot;,\&quot;value\&quot;:\&quot;The Market\&quot;},{\&quot;key\&quot;:\&quot;Amount $\&quot;,\&quot;value\&quot;:-14.82},{\&quot;key\&quot;:\&quot;Transaction_ID\&quot;,\&quot;value\&quot;:\&quot;383643b7e9fd4718ae78774e0ab6c54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21},{\&quot;key\&quot;:\&quot;Merchant\&quot;,\&quot;value\&quot;:\&quot;Hot Chick\&quot;},{\&quot;key\&quot;:\&quot;Amount $\&quot;,\&quot;value\&quot;:-32.69},{\&quot;key\&quot;:\&quot;Transaction_ID\&quot;,\&quot;value\&quot;:\&quot;3752ce4fa49944158d3207ed81450cd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20},{\&quot;key\&quot;:\&quot;Merchant\&quot;,\&quot;value\&quot;:\&quot;Uber\&quot;},{\&quot;key\&quot;:\&quot;Amount $\&quot;,\&quot;value\&quot;:-12.49},{\&quot;key\&quot;:\&quot;Transaction_ID\&quot;,\&quot;value\&quot;:\&quot;b6b33b04e47d47709b03bf25bc9a4d8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20},{\&quot;key\&quot;:\&quot;Merchant\&quot;,\&quot;value\&quot;:\&quot;Cash App\&quot;},{\&quot;key\&quot;:\&quot;Amount $\&quot;,\&quot;value\&quot;:-80},{\&quot;key\&quot;:\&quot;Transaction_ID\&quot;,\&quot;value\&quot;:\&quot;b258fd5489d94bdc8896dd20c165b807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20},{\&quot;key\&quot;:\&quot;Merchant\&quot;,\&quot;value\&quot;:\&quot;Cvs\&quot;},{\&quot;key\&quot;:\&quot;Amount $\&quot;,\&quot;value\&quot;:-27.34},{\&quot;key\&quot;:\&quot;Transaction_ID\&quot;,\&quot;value\&quot;:\&quot;b00ca771c1b440f9b1a4260c4601792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20},{\&quot;key\&quot;:\&quot;Merchant\&quot;,\&quot;value\&quot;:\&quot;Alamobbq Richmond Va\&quot;},{\&quot;key\&quot;:\&quot;Amount $\&quot;,\&quot;value\&quot;:-22.74},{\&quot;key\&quot;:\&quot;Transaction_ID\&quot;,\&quot;value\&quot;:\&quot;ac406e47dfe04e8e9ce0a98241fe508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20},{\&quot;key\&quot;:\&quot;Merchant\&quot;,\&quot;value\&quot;:\&quot;Apple Bill Ca\&quot;},{\&quot;key\&quot;:\&quot;Amount $\&quot;,\&quot;value\&quot;:-9.99},{\&quot;key\&quot;:\&quot;Transaction_ID\&quot;,\&quot;value\&quot;:\&quot;993b3933fe8841c0817b5c7b51c1491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20},{\&quot;key\&quot;:\&quot;Merchant\&quot;,\&quot;value\&quot;:\&quot;Alamobbq Richmond Va\&quot;},{\&quot;key\&quot;:\&quot;Amount $\&quot;,\&quot;value\&quot;:-11.68},{\&quot;key\&quot;:\&quot;Transaction_ID\&quot;,\&quot;value\&quot;:\&quot;54209ae3d6f24ba6b25ecbe2001ecc6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20},{\&quot;key\&quot;:\&quot;Merchant\&quot;,\&quot;value\&quot;:\&quot;Uber\&quot;},{\&quot;key\&quot;:\&quot;Amount $\&quot;,\&quot;value\&quot;:-1},{\&quot;key\&quot;:\&quot;Transaction_ID\&quot;,\&quot;value\&quot;:\&quot;0787c9b10ddb4e878b0dc9128b465de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19},{\&quot;key\&quot;:\&quot;Merchant\&quot;,\&quot;value\&quot;:\&quot;The Market\&quot;},{\&quot;key\&quot;:\&quot;Amount $\&quot;,\&quot;value\&quot;:-9.31},{\&quot;key\&quot;:\&quot;Transaction_ID\&quot;,\&quot;value\&quot;:\&quot;d0153a4529654d0d866deafb45d1957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19},{\&quot;key\&quot;:\&quot;Merchant\&quot;,\&quot;value\&quot;:\&quot;Synchrony Bank Cc Pymt\&quot;},{\&quot;key\&quot;:\&quot;Amount $\&quot;,\&quot;value\&quot;:-600},{\&quot;key\&quot;:\&quot;Transaction_ID\&quot;,\&quot;value\&quot;:\&quot;8f9caa5791f44992ba651d1cc3caa66b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18},{\&quot;key\&quot;:\&quot;Merchant\&quot;,\&quot;value\&quot;:\&quot;Apple Bill Ca Apple\&quot;},{\&quot;key\&quot;:\&quot;Amount $\&quot;,\&quot;value\&quot;:-14.99},{\&quot;key\&quot;:\&quot;Transaction_ID\&quot;,\&quot;value\&quot;:\&quot;f482c1337f3642bfba5c4e9e40aa240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18},{\&quot;key\&quot;:\&quot;Merchant\&quot;,\&quot;value\&quot;:\&quot;The Market\&quot;},{\&quot;key\&quot;:\&quot;Amount $\&quot;,\&quot;value\&quot;:-10.23},{\&quot;key\&quot;:\&quot;Transaction_ID\&quot;,\&quot;value\&quot;:\&quot;1802ddc6e0b64332ac7ced7f2dec4c0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18},{\&quot;key\&quot;:\&quot;Merchant\&quot;,\&quot;value\&quot;:\&quot;Take 5 Oil Change\&quot;},{\&quot;key\&quot;:\&quot;Amount $\&quot;,\&quot;value\&quot;:-85.8},{\&quot;key\&quot;:\&quot;Transaction_ID\&quot;,\&quot;value\&quot;:\&quot;031d3d63b95547e19a980d78b2271f1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17},{\&quot;key\&quot;:\&quot;Merchant\&quot;,\&quot;value\&quot;:\&quot;Family Dollar\&quot;},{\&quot;key\&quot;:\&quot;Amount $\&quot;,\&quot;value\&quot;:-4.39},{\&quot;key\&quot;:\&quot;Transaction_ID\&quot;,\&quot;value\&quot;:\&quot;864ed842f83747f580654ba056d02c1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17},{\&quot;key\&quot;:\&quot;Merchant\&quot;,\&quot;value\&quot;:\&quot;Discover E Payment Lewis\&quot;},{\&quot;key\&quot;:\&quot;Amount $\&quot;,\&quot;value\&quot;:-477.49},{\&quot;key\&quot;:\&quot;Transaction_ID\&quot;,\&quot;value\&quot;:\&quot;639b8fbc147545d9a355fefec8831879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17},{\&quot;key\&quot;:\&quot;Merchant\&quot;,\&quot;value\&quot;:\&quot;State Farm\&quot;},{\&quot;key\&quot;:\&quot;Amount $\&quot;,\&quot;value\&quot;:-110.21},{\&quot;key\&quot;:\&quot;Transaction_ID\&quot;,\&quot;value\&quot;:\&quot;31105cc1c68647529ee0e96f9521227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16},{\&quot;key\&quot;:\&quot;Merchant\&quot;,\&quot;value\&quot;:\&quot;Vizmediallc\&quot;},{\&quot;key\&quot;:\&quot;Amount $\&quot;,\&quot;value\&quot;:-1.99},{\&quot;key\&quot;:\&quot;Transaction_ID\&quot;,\&quot;value\&quot;:\&quot;9686d1558b034f579d81a80ac8a25f4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16},{\&quot;key\&quot;:\&quot;Merchant\&quot;,\&quot;value\&quot;:\&quot;Bp\&quot;},{\&quot;key\&quot;:\&quot;Amount $\&quot;,\&quot;value\&quot;:-21.78},{\&quot;key\&quot;:\&quot;Transaction_ID\&quot;,\&quot;value\&quot;:\&quot;79ca3c8bfde94b43b19c9e3ee0c6713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16},{\&quot;key\&quot;:\&quot;Merchant\&quot;,\&quot;value\&quot;:\&quot;Internet Payment\&quot;},{\&quot;key\&quot;:\&quot;Amount $\&quot;,\&quot;value\&quot;:477.49},{\&quot;key\&quot;:\&quot;Transaction_ID\&quot;,\&quot;value\&quot;:\&quot;606678962fd6422cb44260a2f963390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16},{\&quot;key\&quot;:\&quot;Merchant\&quot;,\&quot;value\&quot;:\&quot;Cvs\&quot;},{\&quot;key\&quot;:\&quot;Amount $\&quot;,\&quot;value\&quot;:-30},{\&quot;key\&quot;:\&quot;Transaction_ID\&quot;,\&quot;value\&quot;:\&quot;4b4de5fb1b254e2ea4048261c325ceb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13},{\&quot;key\&quot;:\&quot;Merchant\&quot;,\&quot;value\&quot;:\&quot;Shenandoah Retail Luray Va\&quot;},{\&quot;key\&quot;:\&quot;Amount $\&quot;,\&quot;value\&quot;:-14.64},{\&quot;key\&quot;:\&quot;Transaction_ID\&quot;,\&quot;value\&quot;:\&quot;eaa1684f4791472d85eb3b731e2e661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13},{\&quot;key\&quot;:\&quot;Merchant\&quot;,\&quot;value\&quot;:\&quot;Dri Nvidia Store Orderfindmn\&quot;},{\&quot;key\&quot;:\&quot;Amount $\&quot;,\&quot;value\&quot;:-4.99},{\&quot;key\&quot;:\&quot;Transaction_ID\&quot;,\&quot;value\&quot;:\&quot;e8d4b6f75a5249a8896fc342fe542f3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13},{\&quot;key\&quot;:\&quot;Merchant\&quot;,\&quot;value\&quot;:\&quot;1 TheRuckersville Va\&quot;},{\&quot;key\&quot;:\&quot;Amount $\&quot;,\&quot;value\&quot;:-8},{\&quot;key\&quot;:\&quot;Transaction_ID\&quot;,\&quot;value\&quot;:\&quot;e193d063f2844de8acef12cfda9564c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13},{\&quot;key\&quot;:\&quot;Merchant\&quot;,\&quot;value\&quot;:\&quot;Elephant Ins Payroll Lewis\&quot;},{\&quot;key\&quot;:\&quot;Amount $\&quot;,\&quot;value\&quot;:1461.69},{\&quot;key\&quot;:\&quot;Transaction_ID\&quot;,\&quot;value\&quot;:\&quot;bfc5f546ef3e4c2c927ab13dd85818cf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13},{\&quot;key\&quot;:\&quot;Merchant\&quot;,\&quot;value\&quot;:\&quot;Discover E Payment Lewis\&quot;},{\&quot;key\&quot;:\&quot;Amount $\&quot;,\&quot;value\&quot;:-572.31},{\&quot;key\&quot;:\&quot;Transaction_ID\&quot;,\&quot;value\&quot;:\&quot;87f139caded146798bd976c16be772c5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13},{\&quot;key\&quot;:\&quot;Merchant\&quot;,\&quot;value\&quot;:\&quot;Walmart\&quot;},{\&quot;key\&quot;:\&quot;Amount $\&quot;,\&quot;value\&quot;:-81.16},{\&quot;key\&quot;:\&quot;Transaction_ID\&quot;,\&quot;value\&quot;:\&quot;74b650d051c5455480ef7e2370ef3fa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13},{\&quot;key\&quot;:\&quot;Merchant\&quot;,\&quot;value\&quot;:\&quot;Internet Payment\&quot;},{\&quot;key\&quot;:\&quot;Amount $\&quot;,\&quot;value\&quot;:572.31},{\&quot;key\&quot;:\&quot;Transaction_ID\&quot;,\&quot;value\&quot;:\&quot;517b50452b2f472e944d2a6a0d3dd6b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13},{\&quot;key\&quot;:\&quot;Merchant\&quot;,\&quot;value\&quot;:\&quot;Shenandoah Np Swiftrun E\&quot;},{\&quot;key\&quot;:\&quot;Amount $\&quot;,\&quot;value\&quot;:-30},{\&quot;key\&quot;:\&quot;Transaction_ID\&quot;,\&quot;value\&quot;:\&quot;4d88ad9b8ff8497bb4dd0ad130b4d06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13},{\&quot;key\&quot;:\&quot;Merchant\&quot;,\&quot;value\&quot;:\&quot;The Ups Store Richmond\&quot;},{\&quot;key\&quot;:\&quot;Amount $\&quot;,\&quot;value\&quot;:-5.52},{\&quot;key\&quot;:\&quot;Transaction_ID\&quot;,\&quot;value\&quot;:\&quot;44e0784dce9e4e60890590762804c5b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13},{\&quot;key\&quot;:\&quot;Merchant\&quot;,\&quot;value\&quot;:\&quot;Atm Withdrawal Authorized On\&quot;},{\&quot;key\&quot;:\&quot;Amount $\&quot;,\&quot;value\&quot;:-20},{\&quot;key\&quot;:\&quot;Transaction_ID\&quot;,\&quot;value\&quot;:\&quot;33f6acc884194949a7d819a4acfd62f5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13},{\&quot;key\&quot;:\&quot;Merchant\&quot;,\&quot;value\&quot;:\&quot;Wegmans\&quot;},{\&quot;key\&quot;:\&quot;Amount $\&quot;,\&quot;value\&quot;:-24.06},{\&quot;key\&quot;:\&quot;Transaction_ID\&quot;,\&quot;value\&quot;:\&quot;25978c469e044503b07de30d676c7f7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13},{\&quot;key\&quot;:\&quot;Merchant\&quot;,\&quot;value\&quot;:\&quot;Apple Bill Ca Kx\&quot;},{\&quot;key\&quot;:\&quot;Amount $\&quot;,\&quot;value\&quot;:-10.98},{\&quot;key\&quot;:\&quot;Transaction_ID\&quot;,\&quot;value\&quot;:\&quot;0bff8b5bd232410abf25f53e6293f9f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12},{\&quot;key\&quot;:\&quot;Merchant\&quot;,\&quot;value\&quot;:\&quot;Walmart\&quot;},{\&quot;key\&quot;:\&quot;Amount $\&quot;,\&quot;value\&quot;:-277.63},{\&quot;key\&quot;:\&quot;Transaction_ID\&quot;,\&quot;value\&quot;:\&quot;da68e7b15176409880429ae46bc28bd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12},{\&quot;key\&quot;:\&quot;Merchant\&quot;,\&quot;value\&quot;:\&quot;Apple Bill Ca\&quot;},{\&quot;key\&quot;:\&quot;Amount $\&quot;,\&quot;value\&quot;:-4.99},{\&quot;key\&quot;:\&quot;Transaction_ID\&quot;,\&quot;value\&quot;:\&quot;b0f2bb925db541cabcce2e53c5cbfe2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12},{\&quot;key\&quot;:\&quot;Merchant\&quot;,\&quot;value\&quot;:\&quot;Square Inc Cash App\&quot;},{\&quot;key\&quot;:\&quot;Amount $\&quot;,\&quot;value\&quot;:95},{\&quot;key\&quot;:\&quot;Transaction_ID\&quot;,\&quot;value\&quot;:\&quot;a03203aef8024b2b999ea795912340c2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12},{\&quot;key\&quot;:\&quot;Merchant\&quot;,\&quot;value\&quot;:\&quot;Apple Bill Ca\&quot;},{\&quot;key\&quot;:\&quot;Amount $\&quot;,\&quot;value\&quot;:-9.99},{\&quot;key\&quot;:\&quot;Transaction_ID\&quot;,\&quot;value\&quot;:\&quot;6b88cb0cbaae45849e84bb2a9dbab75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12},{\&quot;key\&quot;:\&quot;Merchant\&quot;,\&quot;value\&quot;:\&quot;Apple Bill Ca\&quot;},{\&quot;key\&quot;:\&quot;Amount $\&quot;,\&quot;value\&quot;:2.5},{\&quot;key\&quot;:\&quot;Transaction_ID\&quot;,\&quot;value\&quot;:\&quot;2f83bf92eb304f01984678816a7011a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11},{\&quot;key\&quot;:\&quot;Merchant\&quot;,\&quot;value\&quot;:\&quot;Amazon\&quot;},{\&quot;key\&quot;:\&quot;Amount $\&quot;,\&quot;value\&quot;:189.53},{\&quot;key\&quot;:\&quot;Transaction_ID\&quot;,\&quot;value\&quot;:\&quot;f7622998334142e1a992a51b9c90b8e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11},{\&quot;key\&quot;:\&quot;Merchant\&quot;,\&quot;value\&quot;:\&quot;Avidia Bank Setl Lewis\&quot;},{\&quot;key\&quot;:\&quot;Amount $\&quot;,\&quot;value\&quot;:160.01},{\&quot;key\&quot;:\&quot;Transaction_ID\&quot;,\&quot;value\&quot;:\&quot;b336f01edfae4f27ab04a6b670ffe3a6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11},{\&quot;key\&quot;:\&quot;Merchant\&quot;,\&quot;value\&quot;:\&quot;Mcdonald's\&quot;},{\&quot;key\&quot;:\&quot;Amount $\&quot;,\&quot;value\&quot;:-8.03},{\&quot;key\&quot;:\&quot;Transaction_ID\&quot;,\&quot;value\&quot;:\&quot;609e9bd117344313a95a72006be7dad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10},{\&quot;key\&quot;:\&quot;Merchant\&quot;,\&quot;value\&quot;:\&quot;Apple Bill Ca Mm\&quot;},{\&quot;key\&quot;:\&quot;Amount $\&quot;,\&quot;value\&quot;:-9.99},{\&quot;key\&quot;:\&quot;Transaction_ID\&quot;,\&quot;value\&quot;:\&quot;60135067e06545e88ce6060b02aff96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09},{\&quot;key\&quot;:\&quot;Merchant\&quot;,\&quot;value\&quot;:\&quot;The Market\&quot;},{\&quot;key\&quot;:\&quot;Amount $\&quot;,\&quot;value\&quot;:-8.01},{\&quot;key\&quot;:\&quot;Transaction_ID\&quot;,\&quot;value\&quot;:\&quot;fd4651796c25468f947bdc6c1164788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09},{\&quot;key\&quot;:\&quot;Merchant\&quot;,\&quot;value\&quot;:\&quot;Atm Cash Deposit On\&quot;},{\&quot;key\&quot;:\&quot;Amount $\&quot;,\&quot;value\&quot;:100},{\&quot;key\&quot;:\&quot;Transaction_ID\&quot;,\&quot;value\&quot;:\&quot;976eaefd935644d48e73758c9aec6f9f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09},{\&quot;key\&quot;:\&quot;Merchant\&quot;,\&quot;value\&quot;:\&quot;Invoice Cloud Epaymentl Lewis\&quot;},{\&quot;key\&quot;:\&quot;Amount $\&quot;,\&quot;value\&quot;:-0.95},{\&quot;key\&quot;:\&quot;Transaction_ID\&quot;,\&quot;value\&quot;:\&quot;7fc05a5a66e44cc5b1a6118e8772d860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09},{\&quot;key\&quot;:\&quot;Merchant\&quot;,\&quot;value\&quot;:\&quot;Family Dollar\&quot;},{\&quot;key\&quot;:\&quot;Amount $\&quot;,\&quot;value\&quot;:-14.31},{\&quot;key\&quot;:\&quot;Transaction_ID\&quot;,\&quot;value\&quot;:\&quot;6e69280ff0de4f9f95a2a549cf606f5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09},{\&quot;key\&quot;:\&quot;Merchant\&quot;,\&quot;value\&quot;:\&quot;Myfico Com\&quot;},{\&quot;key\&quot;:\&quot;Amount $\&quot;,\&quot;value\&quot;:-39.95},{\&quot;key\&quot;:\&quot;Transaction_ID\&quot;,\&quot;value\&quot;:\&quot;58c0850e54b34e889a712697cdb9040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09},{\&quot;key\&quot;:\&quot;Merchant\&quot;,\&quot;value\&quot;:\&quot;Coaching Actuaries\&quot;},{\&quot;key\&quot;:\&quot;Amount $\&quot;,\&quot;value\&quot;:-25},{\&quot;key\&quot;:\&quot;Transaction_ID\&quot;,\&quot;value\&quot;:\&quot;17c920891dfa4d769097c9e9ef8fa30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09},{\&quot;key\&quot;:\&quot;Merchant\&quot;,\&quot;value\&quot;:\&quot;Discover E Payment Lewis\&quot;},{\&quot;key\&quot;:\&quot;Amount $\&quot;,\&quot;value\&quot;:-500},{\&quot;key\&quot;:\&quot;Transaction_ID\&quot;,\&quot;value\&quot;:\&quot;1306b01469bc43488f1b5d0a8776d036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09},{\&quot;key\&quot;:\&quot;Merchant\&quot;,\&quot;value\&quot;:\&quot;City Of Richmond Tax\&quot;},{\&quot;key\&quot;:\&quot;Amount $\&quot;,\&quot;value\&quot;:-99.45},{\&quot;key\&quot;:\&quot;Transaction_ID\&quot;,\&quot;value\&quot;:\&quot;11940b79fadc45a4bfc44217f95fddf7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08},{\&quot;key\&quot;:\&quot;Merchant\&quot;,\&quot;value\&quot;:\&quot;Cashback Bonus Redemption Pymt\&quot;},{\&quot;key\&quot;:\&quot;Amount $\&quot;,\&quot;value\&quot;:25.22},{\&quot;key\&quot;:\&quot;Transaction_ID\&quot;,\&quot;value\&quot;:\&quot;5d47054f1867401281c2692804ab534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08},{\&quot;key\&quot;:\&quot;Merchant\&quot;,\&quot;value\&quot;:\&quot;T Mobile\&quot;},{\&quot;key\&quot;:\&quot;Amount $\&quot;,\&quot;value\&quot;:-86.25},{\&quot;key\&quot;:\&quot;Transaction_ID\&quot;,\&quot;value\&quot;:\&quot;52f9c98fbc414758b09c2cc3eb583f5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08},{\&quot;key\&quot;:\&quot;Merchant\&quot;,\&quot;value\&quot;:\&quot;The Market\&quot;},{\&quot;key\&quot;:\&quot;Amount $\&quot;,\&quot;value\&quot;:-17.24},{\&quot;key\&quot;:\&quot;Transaction_ID\&quot;,\&quot;value\&quot;:\&quot;238b3295810c43f2bf59b4484e618cc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08},{\&quot;key\&quot;:\&quot;Merchant\&quot;,\&quot;value\&quot;:\&quot;Cash App\&quot;},{\&quot;key\&quot;:\&quot;Amount $\&quot;,\&quot;value\&quot;:-20},{\&quot;key\&quot;:\&quot;Transaction_ID\&quot;,\&quot;value\&quot;:\&quot;0d9439bb5a024a45a5cf1b9653a84144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08},{\&quot;key\&quot;:\&quot;Merchant\&quot;,\&quot;value\&quot;:\&quot;Internet Payment\&quot;},{\&quot;key\&quot;:\&quot;Amount $\&quot;,\&quot;value\&quot;:500},{\&quot;key\&quot;:\&quot;Transaction_ID\&quot;,\&quot;value\&quot;:\&quot;0c90bde43b4c4a29988a1fe16a3b049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07},{\&quot;key\&quot;:\&quot;Merchant\&quot;,\&quot;value\&quot;:\&quot;Mcdonald's\&quot;},{\&quot;key\&quot;:\&quot;Amount $\&quot;,\&quot;value\&quot;:-6.23},{\&quot;key\&quot;:\&quot;Transaction_ID\&quot;,\&quot;value\&quot;:\&quot;94c409a065b549d1b72da9be9c17820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06},{\&quot;key\&quot;:\&quot;Merchant\&quot;,\&quot;value\&quot;:\&quot;Cash App\&quot;},{\&quot;key\&quot;:\&quot;Amount $\&quot;,\&quot;value\&quot;:-75},{\&quot;key\&quot;:\&quot;Transaction_ID\&quot;,\&quot;value\&quot;:\&quot;9f2fb83b7d5f4865bdc4c2d1d38ae7b3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06},{\&quot;key\&quot;:\&quot;Merchant\&quot;,\&quot;value\&quot;:\&quot;Venmo\&quot;},{\&quot;key\&quot;:\&quot;Amount $\&quot;,\&quot;value\&quot;:-23.9},{\&quot;key\&quot;:\&quot;Transaction_ID\&quot;,\&quot;value\&quot;:\&quot;579617a5222445d3966b0d3f539d861d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05},{\&quot;key\&quot;:\&quot;Merchant\&quot;,\&quot;value\&quot;:\&quot;Bolt Add Balance\&quot;},{\&quot;key\&quot;:\&quot;Amount $\&quot;,\&quot;value\&quot;:-10},{\&quot;key\&quot;:\&quot;Transaction_ID\&quot;,\&quot;value\&quot;:\&quot;f9034174a6f04cd387671c6f432b0c4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05},{\&quot;key\&quot;:\&quot;Merchant\&quot;,\&quot;value\&quot;:\&quot;Apple Bill Ca Apple\&quot;},{\&quot;key\&quot;:\&quot;Amount $\&quot;,\&quot;value\&quot;:-39.99},{\&quot;key\&quot;:\&quot;Transaction_ID\&quot;,\&quot;value\&quot;:\&quot;9f137f3a0a48434596d2c23f0611f64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05},{\&quot;key\&quot;:\&quot;Merchant\&quot;,\&quot;value\&quot;:\&quot;Bolt Add Balance\&quot;},{\&quot;key\&quot;:\&quot;Amount $\&quot;,\&quot;value\&quot;:-10},{\&quot;key\&quot;:\&quot;Transaction_ID\&quot;,\&quot;value\&quot;:\&quot;5b0b07ddb5794e72921e93c50b995c4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05},{\&quot;key\&quot;:\&quot;Merchant\&quot;,\&quot;value\&quot;:\&quot;Bolt Add Balance\&quot;},{\&quot;key\&quot;:\&quot;Amount $\&quot;,\&quot;value\&quot;:-20},{\&quot;key\&quot;:\&quot;Transaction_ID\&quot;,\&quot;value\&quot;:\&quot;271589c944ef42f1b6b8ba77594b794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05},{\&quot;key\&quot;:\&quot;Merchant\&quot;,\&quot;value\&quot;:\&quot;Whole Foods\&quot;},{\&quot;key\&quot;:\&quot;Amount $\&quot;,\&quot;value\&quot;:-5.11},{\&quot;key\&quot;:\&quot;Transaction_ID\&quot;,\&quot;value\&quot;:\&quot;21e6be180def43cf88df0865eff2995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05},{\&quot;key\&quot;:\&quot;Merchant\&quot;,\&quot;value\&quot;:\&quot;Netflix\&quot;},{\&quot;key\&quot;:\&quot;Amount $\&quot;,\&quot;value\&quot;:-12.99},{\&quot;key\&quot;:\&quot;Transaction_ID\&quot;,\&quot;value\&quot;:\&quot;14646de5ecfd47ff85aa684a4953171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04},{\&quot;key\&quot;:\&quot;Merchant\&quot;,\&quot;value\&quot;:\&quot;Bolt Add Balance\&quot;},{\&quot;key\&quot;:\&quot;Amount $\&quot;,\&quot;value\&quot;:-10},{\&quot;key\&quot;:\&quot;Transaction_ID\&quot;,\&quot;value\&quot;:\&quot;bac68915facd4eb0b7cc159d71ac953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04},{\&quot;key\&quot;:\&quot;Merchant\&quot;,\&quot;value\&quot;:\&quot;Amazon Prime\&quot;},{\&quot;key\&quot;:\&quot;Amount $\&quot;,\&quot;value\&quot;:119},{\&quot;key\&quot;:\&quot;Transaction_ID\&quot;,\&quot;value\&quot;:\&quot;99c196dda9584d2dbfbf0bdb903696b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04},{\&quot;key\&quot;:\&quot;Merchant\&quot;,\&quot;value\&quot;:\&quot;Amazon Prime\&quot;},{\&quot;key\&quot;:\&quot;Amount $\&quot;,\&quot;value\&quot;:-119},{\&quot;key\&quot;:\&quot;Transaction_ID\&quot;,\&quot;value\&quot;:\&quot;185f579bf37441dc9fad2102fd201a1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03},{\&quot;key\&quot;:\&quot;Merchant\&quot;,\&quot;value\&quot;:\&quot;Julzcaggian\&quot;},{\&quot;key\&quot;:\&quot;Amount $\&quot;,\&quot;value\&quot;:-55},{\&quot;key\&quot;:\&quot;Transaction_ID\&quot;,\&quot;value\&quot;:\&quot;b429dfe3325e445dbaad23fe42a2f37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02},{\&quot;key\&quot;:\&quot;Merchant\&quot;,\&quot;value\&quot;:\&quot;Atm Check Deposit On\&quot;},{\&quot;key\&quot;:\&quot;Amount $\&quot;,\&quot;value\&quot;:520},{\&quot;key\&quot;:\&quot;Transaction_ID\&quot;,\&quot;value\&quot;:\&quot;fae1dff0605f4d50aa61845362732095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02},{\&quot;key\&quot;:\&quot;Merchant\&quot;,\&quot;value\&quot;:\&quot;Ny Times Nytime\&quot;},{\&quot;key\&quot;:\&quot;Amount $\&quot;,\&quot;value\&quot;:-5},{\&quot;key\&quot;:\&quot;Transaction_ID\&quot;,\&quot;value\&quot;:\&quot;c72f923e00fd423986b733bb2a49eda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02},{\&quot;key\&quot;:\&quot;Merchant\&quot;,\&quot;value\&quot;:\&quot;Venmo\&quot;},{\&quot;key\&quot;:\&quot;Amount $\&quot;,\&quot;value\&quot;:74.2},{\&quot;key\&quot;:\&quot;Transaction_ID\&quot;,\&quot;value\&quot;:\&quot;bdec715dc6b04e8ba2716cb40758d038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02},{\&quot;key\&quot;:\&quot;Merchant\&quot;,\&quot;value\&quot;:\&quot;Crunch Fitness\&quot;},{\&quot;key\&quot;:\&quot;Amount $\&quot;,\&quot;value\&quot;:-9.95},{\&quot;key\&quot;:\&quot;Transaction_ID\&quot;,\&quot;value\&quot;:\&quot;465c5652f80049ffbb224956725d83f8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102},{\&quot;key\&quot;:\&quot;Merchant\&quot;,\&quot;value\&quot;:\&quot;The Market\&quot;},{\&quot;key\&quot;:\&quot;Amount $\&quot;,\&quot;value\&quot;:-2.04},{\&quot;key\&quot;:\&quot;Transaction_ID\&quot;,\&quot;value\&quot;:\&quot;30ce17c34d6f49419cd5dce0a94743a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01},{\&quot;key\&quot;:\&quot;Merchant\&quot;,\&quot;value\&quot;:\&quot;Food Lion\&quot;},{\&quot;key\&quot;:\&quot;Amount $\&quot;,\&quot;value\&quot;:-54.45},{\&quot;key\&quot;:\&quot;Transaction_ID\&quot;,\&quot;value\&quot;:\&quot;e94c5580e6d947adb3426e084b4c230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01},{\&quot;key\&quot;:\&quot;Merchant\&quot;,\&quot;value\&quot;:\&quot;Amazon\&quot;},{\&quot;key\&quot;:\&quot;Amount $\&quot;,\&quot;value\&quot;:147.41},{\&quot;key\&quot;:\&quot;Transaction_ID\&quot;,\&quot;value\&quot;:\&quot;7c6d275791c64fa883f31233321ccd6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101},{\&quot;key\&quot;:\&quot;Merchant\&quot;,\&quot;value\&quot;:\&quot;Apple Bill Ca\&quot;},{\&quot;key\&quot;:\&quot;Amount $\&quot;,\&quot;value\&quot;:-9.97},{\&quot;key\&quot;:\&quot;Transaction_ID\&quot;,\&quot;value\&quot;:\&quot;603b86742f89499288f248fd1c314a8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99},{\&quot;key\&quot;:\&quot;Merchant\&quot;,\&quot;value\&quot;:\&quot;Internet Payment\&quot;},{\&quot;key\&quot;:\&quot;Amount $\&quot;,\&quot;value\&quot;:800},{\&quot;key\&quot;:\&quot;Transaction_ID\&quot;,\&quot;value\&quot;:\&quot;f28cc50e6ef64ab3b5b2a796dcb31bb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99},{\&quot;key\&quot;:\&quot;Merchant\&quot;,\&quot;value\&quot;:\&quot;Venmo\&quot;},{\&quot;key\&quot;:\&quot;Amount $\&quot;,\&quot;value\&quot;:-57.89},{\&quot;key\&quot;:\&quot;Transaction_ID\&quot;,\&quot;value\&quot;:\&quot;e3485222e73e4660b2d0f4d1fe1ffb96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99},{\&quot;key\&quot;:\&quot;Merchant\&quot;,\&quot;value\&quot;:\&quot;Va Dept Of Taxatio\&quot;},{\&quot;key\&quot;:\&quot;Amount $\&quot;,\&quot;value\&quot;:-3.95},{\&quot;key\&quot;:\&quot;Transaction_ID\&quot;,\&quot;value\&quot;:\&quot;d1919394bad24a6c841538fb5039e9f3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99},{\&quot;key\&quot;:\&quot;Merchant\&quot;,\&quot;value\&quot;:\&quot;Target\&quot;},{\&quot;key\&quot;:\&quot;Amount $\&quot;,\&quot;value\&quot;:14.73},{\&quot;key\&quot;:\&quot;Transaction_ID\&quot;,\&quot;value\&quot;:\&quot;b89e4215e1c84727adfafb0067b4505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99},{\&quot;key\&quot;:\&quot;Merchant\&quot;,\&quot;value\&quot;:\&quot;Target\&quot;},{\&quot;key\&quot;:\&quot;Amount $\&quot;,\&quot;value\&quot;:-24.2},{\&quot;key\&quot;:\&quot;Transaction_ID\&quot;,\&quot;value\&quot;:\&quot;a570dbacc62f4c15b4f3d3f80704561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99},{\&quot;key\&quot;:\&quot;Merchant\&quot;,\&quot;value\&quot;:\&quot;Virginia Departmen\&quot;},{\&quot;key\&quot;:\&quot;Amount $\&quot;,\&quot;value\&quot;:-9.36},{\&quot;key\&quot;:\&quot;Transaction_ID\&quot;,\&quot;value\&quot;:\&quot;9d9c44a3daac4327ac021970462f9d97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99},{\&quot;key\&quot;:\&quot;Merchant\&quot;,\&quot;value\&quot;:\&quot;Discover E Payment Lewis\&quot;},{\&quot;key\&quot;:\&quot;Amount $\&quot;,\&quot;value\&quot;:-800},{\&quot;key\&quot;:\&quot;Transaction_ID\&quot;,\&quot;value\&quot;:\&quot;9c021f8c00c64b0a80c9fa7f5961854b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99},{\&quot;key\&quot;:\&quot;Merchant\&quot;,\&quot;value\&quot;:\&quot;Target\&quot;},{\&quot;key\&quot;:\&quot;Amount $\&quot;,\&quot;value\&quot;:-23.69},{\&quot;key\&quot;:\&quot;Transaction_ID\&quot;,\&quot;value\&quot;:\&quot;547f07b17bb940ac8399970f3b4179e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99},{\&quot;key\&quot;:\&quot;Merchant\&quot;,\&quot;value\&quot;:\&quot;Venmo\&quot;},{\&quot;key\&quot;:\&quot;Amount $\&quot;,\&quot;value\&quot;:-700},{\&quot;key\&quot;:\&quot;Transaction_ID\&quot;,\&quot;value\&quot;:\&quot;34ab4ed511f4442d93996dc032883b14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99},{\&quot;key\&quot;:\&quot;Merchant\&quot;,\&quot;value\&quot;:\&quot;Elephant Ins Payroll Lewis\&quot;},{\&quot;key\&quot;:\&quot;Amount $\&quot;,\&quot;value\&quot;:1450.14},{\&quot;key\&quot;:\&quot;Transaction_ID\&quot;,\&quot;value\&quot;:\&quot;0960a4dcb33e4145bffa3f48e4e1c0c3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99},{\&quot;key\&quot;:\&quot;Merchant\&quot;,\&quot;value\&quot;:\&quot;Newegg Inc\&quot;},{\&quot;key\&quot;:\&quot;Amount $\&quot;,\&quot;value\&quot;:-247.44},{\&quot;key\&quot;:\&quot;Transaction_ID\&quot;,\&quot;value\&quot;:\&quot;08826c35d3334cdca00f2c21eb9f233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97},{\&quot;key\&quot;:\&quot;Merchant\&quot;,\&quot;value\&quot;:\&quot;Pump And Church Au\&quot;},{\&quot;key\&quot;:\&quot;Amount $\&quot;,\&quot;value\&quot;:-2.03},{\&quot;key\&quot;:\&quot;Transaction_ID\&quot;,\&quot;value\&quot;:\&quot;edd0de08c56a4d0798414b576cf49595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97},{\&quot;key\&quot;:\&quot;Merchant\&quot;,\&quot;value\&quot;:\&quot;Jimmy Johns\&quot;},{\&quot;key\&quot;:\&quot;Amount $\&quot;,\&quot;value\&quot;:-14.76},{\&quot;key\&quot;:\&quot;Transaction_ID\&quot;,\&quot;value\&quot;:\&quot;ca8807b88e6e4209b990a08e4dedb59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96},{\&quot;key\&quot;:\&quot;Merchant\&quot;,\&quot;value\&quot;:\&quot;Avidia Bank Setl Lewis\&quot;},{\&quot;key\&quot;:\&quot;Amount $\&quot;,\&quot;value\&quot;:160},{\&quot;key\&quot;:\&quot;Transaction_ID\&quot;,\&quot;value\&quot;:\&quot;8e90c766dfa44a65ae93b0dd2165a391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96},{\&quot;key\&quot;:\&quot;Merchant\&quot;,\&quot;value\&quot;:\&quot;Bp Conven\&quot;},{\&quot;key\&quot;:\&quot;Amount $\&quot;,\&quot;value\&quot;:-22.01},{\&quot;key\&quot;:\&quot;Transaction_ID\&quot;,\&quot;value\&quot;:\&quot;807c96276f524a708f4cc6581e9771b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96},{\&quot;key\&quot;:\&quot;Merchant\&quot;,\&quot;value\&quot;:\&quot;Spotify\&quot;},{\&quot;key\&quot;:\&quot;Amount $\&quot;,\&quot;value\&quot;:-9.99},{\&quot;key\&quot;:\&quot;Transaction_ID\&quot;,\&quot;value\&quot;:\&quot;5511c0f3dee44e0aa0de9efc969998f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95},{\&quot;key\&quot;:\&quot;Merchant\&quot;,\&quot;value\&quot;:\&quot;The Market\&quot;},{\&quot;key\&quot;:\&quot;Amount $\&quot;,\&quot;value\&quot;:-12.76},{\&quot;key\&quot;:\&quot;Transaction_ID\&quot;,\&quot;value\&quot;:\&quot;f16a6caf99a04a26a6a8e2d66f6a6fa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95},{\&quot;key\&quot;:\&quot;Merchant\&quot;,\&quot;value\&quot;:\&quot;The Market\&quot;},{\&quot;key\&quot;:\&quot;Amount $\&quot;,\&quot;value\&quot;:-10.37},{\&quot;key\&quot;:\&quot;Transaction_ID\&quot;,\&quot;value\&quot;:\&quot;799c3927864e479bac6a04e89911efe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95},{\&quot;key\&quot;:\&quot;Merchant\&quot;,\&quot;value\&quot;:\&quot;Thdgodud\&quot;},{\&quot;key\&quot;:\&quot;Amount $\&quot;,\&quot;value\&quot;:-175},{\&quot;key\&quot;:\&quot;Transaction_ID\&quot;,\&quot;value\&quot;:\&quot;67cb38b485ad4520ad24f94c15733b9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95},{\&quot;key\&quot;:\&quot;Merchant\&quot;,\&quot;value\&quot;:\&quot;The Market\&quot;},{\&quot;key\&quot;:\&quot;Amount $\&quot;,\&quot;value\&quot;:-26.92},{\&quot;key\&quot;:\&quot;Transaction_ID\&quot;,\&quot;value\&quot;:\&quot;00cad1bd866b4037bcd8b3e00846456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94},{\&quot;key\&quot;:\&quot;Merchant\&quot;,\&quot;value\&quot;:\&quot;Tio Pablo\&quot;},{\&quot;key\&quot;:\&quot;Amount $\&quot;,\&quot;value\&quot;:-25.79},{\&quot;key\&quot;:\&quot;Transaction_ID\&quot;,\&quot;value\&quot;:\&quot;7843c7fdf3704399b84534b0110945d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93},{\&quot;key\&quot;:\&quot;Merchant\&quot;,\&quot;value\&quot;:\&quot;Target\&quot;},{\&quot;key\&quot;:\&quot;Amount $\&quot;,\&quot;value\&quot;:-57.87},{\&quot;key\&quot;:\&quot;Transaction_ID\&quot;,\&quot;value\&quot;:\&quot;4411e0bd9e36448c89bd18da1da9f66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93},{\&quot;key\&quot;:\&quot;Merchant\&quot;,\&quot;value\&quot;:\&quot;T Mobile\&quot;},{\&quot;key\&quot;:\&quot;Amount $\&quot;,\&quot;value\&quot;:-86.25},{\&quot;key\&quot;:\&quot;Transaction_ID\&quot;,\&quot;value\&quot;:\&quot;229ff6d57c354bac90a156ba7338de2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93},{\&quot;key\&quot;:\&quot;Merchant\&quot;,\&quot;value\&quot;:\&quot;Vitamin Shoppe\&quot;},{\&quot;key\&quot;:\&quot;Amount $\&quot;,\&quot;value\&quot;:-56.87},{\&quot;key\&quot;:\&quot;Transaction_ID\&quot;,\&quot;value\&quot;:\&quot;1b21e41cc5684ceb9485230ac00a5e8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93},{\&quot;key\&quot;:\&quot;Merchant\&quot;,\&quot;value\&quot;:\&quot;Qdoba\&quot;},{\&quot;key\&quot;:\&quot;Amount $\&quot;,\&quot;value\&quot;:-19.84},{\&quot;key\&quot;:\&quot;Transaction_ID\&quot;,\&quot;value\&quot;:\&quot;10c3b7066d3b4cb18fb19fc16d2653f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92},{\&quot;key\&quot;:\&quot;Merchant\&quot;,\&quot;value\&quot;:\&quot;Tazza Kitchen\&quot;},{\&quot;key\&quot;:\&quot;Amount $\&quot;,\&quot;value\&quot;:-24.04},{\&quot;key\&quot;:\&quot;Transaction_ID\&quot;,\&quot;value\&quot;:\&quot;c4bb2ba1a6e94a71a88a78f32b245bd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92},{\&quot;key\&quot;:\&quot;Merchant\&quot;,\&quot;value\&quot;:\&quot;Sub Rosa Bakery Gosq\&quot;},{\&quot;key\&quot;:\&quot;Amount $\&quot;,\&quot;value\&quot;:-15.9},{\&quot;key\&quot;:\&quot;Transaction_ID\&quot;,\&quot;value\&quot;:\&quot;97fac1d9cf0743aeb5f7b55aee23a57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90},{\&quot;key\&quot;:\&quot;Merchant\&quot;,\&quot;value\&quot;:\&quot;Bolt Add Balance\&quot;},{\&quot;key\&quot;:\&quot;Amount $\&quot;,\&quot;value\&quot;:-10},{\&quot;key\&quot;:\&quot;Transaction_ID\&quot;,\&quot;value\&quot;:\&quot;d992e4ae3a144f3ca5963896f486ebe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90},{\&quot;key\&quot;:\&quot;Merchant\&quot;,\&quot;value\&quot;:\&quot;Pticket Redwoo\&quot;},{\&quot;key\&quot;:\&quot;Amount $\&quot;,\&quot;value\&quot;:-43.95},{\&quot;key\&quot;:\&quot;Transaction_ID\&quot;,\&quot;value\&quot;:\&quot;cf05563714fe4afd8567586accaf08bb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90},{\&quot;key\&quot;:\&quot;Merchant\&quot;,\&quot;value\&quot;:\&quot;Taco Bell\&quot;},{\&quot;key\&quot;:\&quot;Amount $\&quot;,\&quot;value\&quot;:-12.11},{\&quot;key\&quot;:\&quot;Transaction_ID\&quot;,\&quot;value\&quot;:\&quot;a5e5ed38f06942ae80726053a541517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90},{\&quot;key\&quot;:\&quot;Merchant\&quot;,\&quot;value\&quot;:\&quot;The Market\&quot;},{\&quot;key\&quot;:\&quot;Amount $\&quot;,\&quot;value\&quot;:-12.59},{\&quot;key\&quot;:\&quot;Transaction_ID\&quot;,\&quot;value\&quot;:\&quot;4b94705097ec44e7ba9c20edd104286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90},{\&quot;key\&quot;:\&quot;Merchant\&quot;,\&quot;value\&quot;:\&quot;Dc Gov'T Payment\&quot;},{\&quot;key\&quot;:\&quot;Amount $\&quot;,\&quot;value\&quot;:-100},{\&quot;key\&quot;:\&quot;Transaction_ID\&quot;,\&quot;value\&quot;:\&quot;4a45cba138774e6eab43179e2efba141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90},{\&quot;key\&quot;:\&quot;Merchant\&quot;,\&quot;value\&quot;:\&quot;Amazon\&quot;},{\&quot;key\&quot;:\&quot;Amount $\&quot;,\&quot;value\&quot;:-336.94},{\&quot;key\&quot;:\&quot;Transaction_ID\&quot;,\&quot;value\&quot;:\&quot;4466e716cc134befa5beaa54128f219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89},{\&quot;key\&quot;:\&quot;Merchant\&quot;,\&quot;value\&quot;:\&quot;Apple Bill Ca\&quot;},{\&quot;key\&quot;:\&quot;Amount $\&quot;,\&quot;value\&quot;:-4.99},{\&quot;key\&quot;:\&quot;Transaction_ID\&quot;,\&quot;value\&quot;:\&quot;a6da5654cc944a0a9641c2ba4b5368c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89},{\&quot;key\&quot;:\&quot;Merchant\&quot;,\&quot;value\&quot;:\&quot;Chick Fil A\&quot;},{\&quot;key\&quot;:\&quot;Amount $\&quot;,\&quot;value\&quot;:-25.01},{\&quot;key\&quot;:\&quot;Transaction_ID\&quot;,\&quot;value\&quot;:\&quot;7b48574e2fa5435284a158060900aa1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88},{\&quot;key\&quot;:\&quot;Merchant\&quot;,\&quot;value\&quot;:\&quot;Panda Express\&quot;},{\&quot;key\&quot;:\&quot;Amount $\&quot;,\&quot;value\&quot;:-10},{\&quot;key\&quot;:\&quot;Transaction_ID\&quot;,\&quot;value\&quot;:\&quot;dd8e7c9b2a7b443dbb6ef8056e096a0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88},{\&quot;key\&quot;:\&quot;Merchant\&quot;,\&quot;value\&quot;:\&quot;Bolt Add Balance\&quot;},{\&quot;key\&quot;:\&quot;Amount $\&quot;,\&quot;value\&quot;:-10},{\&quot;key\&quot;:\&quot;Transaction_ID\&quot;,\&quot;value\&quot;:\&quot;6c4cef1c60964ad1a15183357c12169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88},{\&quot;key\&quot;:\&quot;Merchant\&quot;,\&quot;value\&quot;:\&quot;Discover E Payment Lewis\&quot;},{\&quot;key\&quot;:\&quot;Amount $\&quot;,\&quot;value\&quot;:-63.44},{\&quot;key\&quot;:\&quot;Transaction_ID\&quot;,\&quot;value\&quot;:\&quot;01f1a60b73f3487b850f4dba506943b0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87},{\&quot;key\&quot;:\&quot;Merchant\&quot;,\&quot;value\&quot;:\&quot;Amazon Amzn Billwa\&quot;},{\&quot;key\&quot;:\&quot;Amount $\&quot;,\&quot;value\&quot;:-136.88},{\&quot;key\&quot;:\&quot;Transaction_ID\&quot;,\&quot;value\&quot;:\&quot;e40b278b76c84798b2ca2a70bf20de2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87},{\&quot;key\&quot;:\&quot;Merchant\&quot;,\&quot;value\&quot;:\&quot;Target\&quot;},{\&quot;key\&quot;:\&quot;Amount $\&quot;,\&quot;value\&quot;:-107.36},{\&quot;key\&quot;:\&quot;Transaction_ID\&quot;,\&quot;value\&quot;:\&quot;19ffda21e3a54156bc94ab9c18d4e2c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86},{\&quot;key\&quot;:\&quot;Merchant\&quot;,\&quot;value\&quot;:\&quot;Usps Po Mpos Richmondva\&quot;},{\&quot;key\&quot;:\&quot;Amount $\&quot;,\&quot;value\&quot;:-17.35},{\&quot;key\&quot;:\&quot;Transaction_ID\&quot;,\&quot;value\&quot;:\&quot;d2046ba7d4f64f8aa035e721c429f54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86},{\&quot;key\&quot;:\&quot;Merchant\&quot;,\&quot;value\&quot;:\&quot;Shein United Statesil\&quot;},{\&quot;key\&quot;:\&quot;Amount $\&quot;,\&quot;value\&quot;:-33.41},{\&quot;key\&quot;:\&quot;Transaction_ID\&quot;,\&quot;value\&quot;:\&quot;c1385759c5e141f6ae38b928f91339c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86},{\&quot;key\&quot;:\&quot;Merchant\&quot;,\&quot;value\&quot;:\&quot;Internet Payment\&quot;},{\&quot;key\&quot;:\&quot;Amount $\&quot;,\&quot;value\&quot;:63.44},{\&quot;key\&quot;:\&quot;Transaction_ID\&quot;,\&quot;value\&quot;:\&quot;84fc739d5664453ca5d0097d7c1b5de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86},{\&quot;key\&quot;:\&quot;Merchant\&quot;,\&quot;value\&quot;:\&quot;Jimmy Johns\&quot;},{\&quot;key\&quot;:\&quot;Amount $\&quot;,\&quot;value\&quot;:-16.67},{\&quot;key\&quot;:\&quot;Transaction_ID\&quot;,\&quot;value\&quot;:\&quot;6b4859df4e54409ab2d3c944de8138a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86},{\&quot;key\&quot;:\&quot;Merchant\&quot;,\&quot;value\&quot;:\&quot;Dick's Clothing&amp;Sporting\&quot;},{\&quot;key\&quot;:\&quot;Amount $\&quot;,\&quot;value\&quot;:-36.84},{\&quot;key\&quot;:\&quot;Transaction_ID\&quot;,\&quot;value\&quot;:\&quot;4524947c2e7b48e1a8c1381249d980d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86},{\&quot;key\&quot;:\&quot;Merchant\&quot;,\&quot;value\&quot;:\&quot;The Market\&quot;},{\&quot;key\&quot;:\&quot;Amount $\&quot;,\&quot;value\&quot;:-28.74},{\&quot;key\&quot;:\&quot;Transaction_ID\&quot;,\&quot;value\&quot;:\&quot;268e7febd20f44f89e2cd7d6f719a76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85},{\&quot;key\&quot;:\&quot;Merchant\&quot;,\&quot;value\&quot;:\&quot;Discover E Payment Lewis\&quot;},{\&quot;key\&quot;:\&quot;Amount $\&quot;,\&quot;value\&quot;:-1437.1},{\&quot;key\&quot;:\&quot;Transaction_ID\&quot;,\&quot;value\&quot;:\&quot;c9cf499a99364c848a14e41e12a8c44c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85},{\&quot;key\&quot;:\&quot;Merchant\&quot;,\&quot;value\&quot;:\&quot;Cashback Bonus Redemption Pymt\&quot;},{\&quot;key\&quot;:\&quot;Amount $\&quot;,\&quot;value\&quot;:32.44},{\&quot;key\&quot;:\&quot;Transaction_ID\&quot;,\&quot;value\&quot;:\&quot;9a5fe54cd57d469184d8e1170012db2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85},{\&quot;key\&quot;:\&quot;Merchant\&quot;,\&quot;value\&quot;:\&quot;Yahoo Fin Prem Va\&quot;},{\&quot;key\&quot;:\&quot;Amount $\&quot;,\&quot;value\&quot;:-34.99},{\&quot;key\&quot;:\&quot;Transaction_ID\&quot;,\&quot;value\&quot;:\&quot;99dbb4bf57044f43940e39310e9d7f0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85},{\&quot;key\&quot;:\&quot;Merchant\&quot;,\&quot;value\&quot;:\&quot;State Farm\&quot;},{\&quot;key\&quot;:\&quot;Amount $\&quot;,\&quot;value\&quot;:-110.21},{\&quot;key\&quot;:\&quot;Transaction_ID\&quot;,\&quot;value\&quot;:\&quot;9098e7926d6e4eb8a80bceeb8e565b1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85},{\&quot;key\&quot;:\&quot;Merchant\&quot;,\&quot;value\&quot;:\&quot;Jimmy Johns\&quot;},{\&quot;key\&quot;:\&quot;Amount $\&quot;,\&quot;value\&quot;:-14.99},{\&quot;key\&quot;:\&quot;Transaction_ID\&quot;,\&quot;value\&quot;:\&quot;893a15e6f5d24446acaba830ebb36bc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85},{\&quot;key\&quot;:\&quot;Merchant\&quot;,\&quot;value\&quot;:\&quot;Internet Payment\&quot;},{\&quot;key\&quot;:\&quot;Amount $\&quot;,\&quot;value\&quot;:1437.1},{\&quot;key\&quot;:\&quot;Transaction_ID\&quot;,\&quot;value\&quot;:\&quot;7faa45cd16bd41b1b474f38c594caa7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85},{\&quot;key\&quot;:\&quot;Merchant\&quot;,\&quot;value\&quot;:\&quot;Bolt Add Balance\&quot;},{\&quot;key\&quot;:\&quot;Amount $\&quot;,\&quot;value\&quot;:-10},{\&quot;key\&quot;:\&quot;Transaction_ID\&quot;,\&quot;value\&quot;:\&quot;4c9d6244371c4627ae50d08876e4866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85},{\&quot;key\&quot;:\&quot;Merchant\&quot;,\&quot;value\&quot;:\&quot;Elephant Ins Payroll Lewis\&quot;},{\&quot;key\&quot;:\&quot;Amount $\&quot;,\&quot;value\&quot;:1450.14},{\&quot;key\&quot;:\&quot;Transaction_ID\&quot;,\&quot;value\&quot;:\&quot;0ef48e89ea2b40cfb08ed29169a8e10b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84},{\&quot;key\&quot;:\&quot;Merchant\&quot;,\&quot;value\&quot;:\&quot;Apple Bill Ca Apple\&quot;},{\&quot;key\&quot;:\&quot;Amount $\&quot;,\&quot;value\&quot;:-14.99},{\&quot;key\&quot;:\&quot;Transaction_ID\&quot;,\&quot;value\&quot;:\&quot;bbcb011042854d219170749e55710d7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84},{\&quot;key\&quot;:\&quot;Merchant\&quot;,\&quot;value\&quot;:\&quot;Apple Bill Ca\&quot;},{\&quot;key\&quot;:\&quot;Amount $\&quot;,\&quot;value\&quot;:-12.98},{\&quot;key\&quot;:\&quot;Transaction_ID\&quot;,\&quot;value\&quot;:\&quot;49bed47e29d0471a94c0be1f3b198df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82},{\&quot;key\&quot;:\&quot;Merchant\&quot;,\&quot;value\&quot;:\&quot;Avidia Bank Setl Lewis\&quot;},{\&quot;key\&quot;:\&quot;Amount $\&quot;,\&quot;value\&quot;:160},{\&quot;key\&quot;:\&quot;Transaction_ID\&quot;,\&quot;value\&quot;:\&quot;67e834757e504474a406de7d274a808b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82},{\&quot;key\&quot;:\&quot;Merchant\&quot;,\&quot;value\&quot;:\&quot;Dri Nvidia Store Orderfindmn\&quot;},{\&quot;key\&quot;:\&quot;Amount $\&quot;,\&quot;value\&quot;:-4.99},{\&quot;key\&quot;:\&quot;Transaction_ID\&quot;,\&quot;value\&quot;:\&quot;405641bd9880479290390d7e2b25959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82},{\&quot;key\&quot;:\&quot;Merchant\&quot;,\&quot;value\&quot;:\&quot;Bolt Add Balance\&quot;},{\&quot;key\&quot;:\&quot;Amount $\&quot;,\&quot;value\&quot;:-10},{\&quot;key\&quot;:\&quot;Transaction_ID\&quot;,\&quot;value\&quot;:\&quot;1a5a833d34204bb5933c56ce90f1d90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82},{\&quot;key\&quot;:\&quot;Merchant\&quot;,\&quot;value\&quot;:\&quot;Crunchyroll\&quot;},{\&quot;key\&quot;:\&quot;Amount $\&quot;,\&quot;value\&quot;:-7.99},{\&quot;key\&quot;:\&quot;Transaction_ID\&quot;,\&quot;value\&quot;:\&quot;16be6e8b46104531ad840caaa465245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81},{\&quot;key\&quot;:\&quot;Merchant\&quot;,\&quot;value\&quot;:\&quot;Cvs\&quot;},{\&quot;key\&quot;:\&quot;Amount $\&quot;,\&quot;value\&quot;:-16},{\&quot;key\&quot;:\&quot;Transaction_ID\&quot;,\&quot;value\&quot;:\&quot;6727cc047bdf4944a07dcbb4beca251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80},{\&quot;key\&quot;:\&quot;Merchant\&quot;,\&quot;value\&quot;:\&quot;Bev's Homemade Ice Richmond\&quot;},{\&quot;key\&quot;:\&quot;Amount $\&quot;,\&quot;value\&quot;:-15.47},{\&quot;key\&quot;:\&quot;Transaction_ID\&quot;,\&quot;value\&quot;:\&quot;fe71a48256ed47fea4bca8af552a991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80},{\&quot;key\&quot;:\&quot;Merchant\&quot;,\&quot;value\&quot;:\&quot;Strangeways Brewin Richmond Va\&quot;},{\&quot;key\&quot;:\&quot;Amount $\&quot;,\&quot;value\&quot;:-15.57},{\&quot;key\&quot;:\&quot;Transaction_ID\&quot;,\&quot;value\&quot;:\&quot;9599126f28a241ed8b7fc0ced4b1e43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80},{\&quot;key\&quot;:\&quot;Merchant\&quot;,\&quot;value\&quot;:\&quot;Kroger\&quot;},{\&quot;key\&quot;:\&quot;Amount $\&quot;,\&quot;value\&quot;:-21.17},{\&quot;key\&quot;:\&quot;Transaction_ID\&quot;,\&quot;value\&quot;:\&quot;7322fd0b5bba49c1bb26e678460e052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79},{\&quot;key\&quot;:\&quot;Merchant\&quot;,\&quot;value\&quot;:\&quot;Reg Shortpump\&quot;},{\&quot;key\&quot;:\&quot;Amount $\&quot;,\&quot;value\&quot;:-11.04},{\&quot;key\&quot;:\&quot;Transaction_ID\&quot;,\&quot;value\&quot;:\&quot;ec104bced8084a1abfde3eff6a52763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79},{\&quot;key\&quot;:\&quot;Merchant\&quot;,\&quot;value\&quot;:\&quot;Family Dollar\&quot;},{\&quot;key\&quot;:\&quot;Amount $\&quot;,\&quot;value\&quot;:-7.69},{\&quot;key\&quot;:\&quot;Transaction_ID\&quot;,\&quot;value\&quot;:\&quot;80eb912a0b314451989430b1c7105ea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79},{\&quot;key\&quot;:\&quot;Merchant\&quot;,\&quot;value\&quot;:\&quot;Myfico Com\&quot;},{\&quot;key\&quot;:\&quot;Amount $\&quot;,\&quot;value\&quot;:-39.95},{\&quot;key\&quot;:\&quot;Transaction_ID\&quot;,\&quot;value\&quot;:\&quot;5dc79190b7c64965aab21b9fdf3c586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79},{\&quot;key\&quot;:\&quot;Merchant\&quot;,\&quot;value\&quot;:\&quot;Staples\&quot;},{\&quot;key\&quot;:\&quot;Amount $\&quot;,\&quot;value\&quot;:-0.88},{\&quot;key\&quot;:\&quot;Transaction_ID\&quot;,\&quot;value\&quot;:\&quot;40921bb99f5946e2af82457805755c0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79},{\&quot;key\&quot;:\&quot;Merchant\&quot;,\&quot;value\&quot;:\&quot;Staples\&quot;},{\&quot;key\&quot;:\&quot;Amount $\&quot;,\&quot;value\&quot;:-11.89},{\&quot;key\&quot;:\&quot;Transaction_ID\&quot;,\&quot;value\&quot;:\&quot;13a3cc3c67fd4166bf30eead481d00d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78},{\&quot;key\&quot;:\&quot;Merchant\&quot;,\&quot;value\&quot;:\&quot;Staples\&quot;},{\&quot;key\&quot;:\&quot;Amount $\&quot;,\&quot;value\&quot;:-14.85},{\&quot;key\&quot;:\&quot;Transaction_ID\&quot;,\&quot;value\&quot;:\&quot;dd096f6c5cc54bedb05d42e62bcb881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78},{\&quot;key\&quot;:\&quot;Merchant\&quot;,\&quot;value\&quot;:\&quot;Staples\&quot;},{\&quot;key\&quot;:\&quot;Amount $\&quot;,\&quot;value\&quot;:-17.48},{\&quot;key\&quot;:\&quot;Transaction_ID\&quot;,\&quot;value\&quot;:\&quot;bad8503763544f32b5aed8401fab6b9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78},{\&quot;key\&quot;:\&quot;Merchant\&quot;,\&quot;value\&quot;:\&quot;Staples\&quot;},{\&quot;key\&quot;:\&quot;Amount $\&quot;,\&quot;value\&quot;:-3.29},{\&quot;key\&quot;:\&quot;Transaction_ID\&quot;,\&quot;value\&quot;:\&quot;9da8dc30628f462a8e81cb9b2a5e728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78},{\&quot;key\&quot;:\&quot;Merchant\&quot;,\&quot;value\&quot;:\&quot;Apple Bill Ca\&quot;},{\&quot;key\&quot;:\&quot;Amount $\&quot;,\&quot;value\&quot;:-1.99},{\&quot;key\&quot;:\&quot;Transaction_ID\&quot;,\&quot;value\&quot;:\&quot;60041d84cf9847289310e587d599940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78},{\&quot;key\&quot;:\&quot;Merchant\&quot;,\&quot;value\&quot;:\&quot;Dollar Tree\&quot;},{\&quot;key\&quot;:\&quot;Amount $\&quot;,\&quot;value\&quot;:-7.37},{\&quot;key\&quot;:\&quot;Transaction_ID\&quot;,\&quot;value\&quot;:\&quot;3ded276d9e7a4e5d9bc5692c3aad8a0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78},{\&quot;key\&quot;:\&quot;Merchant\&quot;,\&quot;value\&quot;:\&quot;Staples\&quot;},{\&quot;key\&quot;:\&quot;Amount $\&quot;,\&quot;value\&quot;:-0.74},{\&quot;key\&quot;:\&quot;Transaction_ID\&quot;,\&quot;value\&quot;:\&quot;090e3c956d4c4641972860031557a1d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78},{\&quot;key\&quot;:\&quot;Merchant\&quot;,\&quot;value\&quot;:\&quot;Staples\&quot;},{\&quot;key\&quot;:\&quot;Amount $\&quot;,\&quot;value\&quot;:-5.25},{\&quot;key\&quot;:\&quot;Transaction_ID\&quot;,\&quot;value\&quot;:\&quot;030b5c168cf44becb3340746d400a75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78},{\&quot;key\&quot;:\&quot;Merchant\&quot;,\&quot;value\&quot;:\&quot;Staples\&quot;},{\&quot;key\&quot;:\&quot;Amount $\&quot;,\&quot;value\&quot;:-4.84},{\&quot;key\&quot;:\&quot;Transaction_ID\&quot;,\&quot;value\&quot;:\&quot;00ebc8696bd34674895ee20395e057e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77},{\&quot;key\&quot;:\&quot;Merchant\&quot;,\&quot;value\&quot;:\&quot;Romwe United Statesil\&quot;},{\&quot;key\&quot;:\&quot;Amount $\&quot;,\&quot;value\&quot;:-64.2},{\&quot;key\&quot;:\&quot;Transaction_ID\&quot;,\&quot;value\&quot;:\&quot;b77b4c0a5e3743e8a66291b5fcdca50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77},{\&quot;key\&quot;:\&quot;Merchant\&quot;,\&quot;value\&quot;:\&quot;Webull Financial Sep Sean\&quot;},{\&quot;key\&quot;:\&quot;Amount $\&quot;,\&quot;value\&quot;:8.16},{\&quot;key\&quot;:\&quot;Transaction_ID\&quot;,\&quot;value\&quot;:\&quot;aa1106a7960c46a7b62574cdb7a914c0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76},{\&quot;key\&quot;:\&quot;Merchant\&quot;,\&quot;value\&quot;:\&quot;Ny Times Nytime\&quot;},{\&quot;key\&quot;:\&quot;Amount $\&quot;,\&quot;value\&quot;:-5},{\&quot;key\&quot;:\&quot;Transaction_ID\&quot;,\&quot;value\&quot;:\&quot;b6cba895a2474ed9afdb9448a4563ff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75},{\&quot;key\&quot;:\&quot;Merchant\&quot;,\&quot;value\&quot;:\&quot;Robinhood\&quot;},{\&quot;key\&quot;:\&quot;Amount $\&quot;,\&quot;value\&quot;:-200},{\&quot;key\&quot;:\&quot;Transaction_ID\&quot;,\&quot;value\&quot;:\&quot;dd8b057ff0ff453c8fffbe416a0a37c4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75},{\&quot;key\&quot;:\&quot;Merchant\&quot;,\&quot;value\&quot;:\&quot;Netflix\&quot;},{\&quot;key\&quot;:\&quot;Amount $\&quot;,\&quot;value\&quot;:-12.99},{\&quot;key\&quot;:\&quot;Transaction_ID\&quot;,\&quot;value\&quot;:\&quot;4628ab95e2d8450c8c25e80d2ed1e39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75},{\&quot;key\&quot;:\&quot;Merchant\&quot;,\&quot;value\&quot;:\&quot;Fandango\&quot;},{\&quot;key\&quot;:\&quot;Amount $\&quot;,\&quot;value\&quot;:-60.12},{\&quot;key\&quot;:\&quot;Transaction_ID\&quot;,\&quot;value\&quot;:\&quot;3fca4f379e6f46c0a96435a9298c2f1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75},{\&quot;key\&quot;:\&quot;Merchant\&quot;,\&quot;value\&quot;:\&quot;Venmo\&quot;},{\&quot;key\&quot;:\&quot;Amount $\&quot;,\&quot;value\&quot;:-700},{\&quot;key\&quot;:\&quot;Transaction_ID\&quot;,\&quot;value\&quot;:\&quot;3a669e4051454c6d97958cad204ddb63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75},{\&quot;key\&quot;:\&quot;Merchant\&quot;,\&quot;value\&quot;:\&quot;Amazon\&quot;},{\&quot;key\&quot;:\&quot;Amount $\&quot;,\&quot;value\&quot;:-73.7},{\&quot;key\&quot;:\&quot;Transaction_ID\&quot;,\&quot;value\&quot;:\&quot;1279944299074fc6bf18b49a4b459db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75},{\&quot;key\&quot;:\&quot;Merchant\&quot;,\&quot;value\&quot;:\&quot;Amazon\&quot;},{\&quot;key\&quot;:\&quot;Amount $\&quot;,\&quot;value\&quot;:-38},{\&quot;key\&quot;:\&quot;Transaction_ID\&quot;,\&quot;value\&quot;:\&quot;05cab5dd46564e55931c1d72cedf479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74},{\&quot;key\&quot;:\&quot;Merchant\&quot;,\&quot;value\&quot;:\&quot;Synchrony Bank Cc Pymt\&quot;},{\&quot;key\&quot;:\&quot;Amount $\&quot;,\&quot;value\&quot;:-300},{\&quot;key\&quot;:\&quot;Transaction_ID\&quot;,\&quot;value\&quot;:\&quot;f1c38872a13e497b9e7733c7dc3bdd77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74},{\&quot;key\&quot;:\&quot;Merchant\&quot;,\&quot;value\&quot;:\&quot;Venmo\&quot;},{\&quot;key\&quot;:\&quot;Amount $\&quot;,\&quot;value\&quot;:700},{\&quot;key\&quot;:\&quot;Transaction_ID\&quot;,\&quot;value\&quot;:\&quot;cd0223a90ce542d5bfa236d689bb522f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74},{\&quot;key\&quot;:\&quot;Merchant\&quot;,\&quot;value\&quot;:\&quot;Robinhood\&quot;},{\&quot;key\&quot;:\&quot;Amount $\&quot;,\&quot;value\&quot;:-25},{\&quot;key\&quot;:\&quot;Transaction_ID\&quot;,\&quot;value\&quot;:\&quot;97d1d638af244f2b97a268dbddca09e1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72},{\&quot;key\&quot;:\&quot;Merchant\&quot;,\&quot;value\&quot;:\&quot;Rapidaddresschange De\&quot;},{\&quot;key\&quot;:\&quot;Amount $\&quot;,\&quot;value\&quot;:-29.95},{\&quot;key\&quot;:\&quot;Transaction_ID\&quot;,\&quot;value\&quot;:\&quot;852c7b130797445fbbfef98400ef4e6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72},{\&quot;key\&quot;:\&quot;Merchant\&quot;,\&quot;value\&quot;:\&quot;Apple Bill Ca\&quot;},{\&quot;key\&quot;:\&quot;Amount $\&quot;,\&quot;value\&quot;:2.99},{\&quot;key\&quot;:\&quot;Transaction_ID\&quot;,\&quot;value\&quot;:\&quot;7fc75aea9b2149eaaaa0e52759ce572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72},{\&quot;key\&quot;:\&quot;Merchant\&quot;,\&quot;value\&quot;:\&quot;Apple Bill Ca\&quot;},{\&quot;key\&quot;:\&quot;Amount $\&quot;,\&quot;value\&quot;:-20.96},{\&quot;key\&quot;:\&quot;Transaction_ID\&quot;,\&quot;value\&quot;:\&quot;3e04b4d1fc31470195f8bd48285fef8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71},{\&quot;key\&quot;:\&quot;Merchant\&quot;,\&quot;value\&quot;:\&quot;Elephant Ins Payroll Lewis\&quot;},{\&quot;key\&quot;:\&quot;Amount $\&quot;,\&quot;value\&quot;:1450.15},{\&quot;key\&quot;:\&quot;Transaction_ID\&quot;,\&quot;value\&quot;:\&quot;fd2bcbc6e6f148a1aa18c91a91a25a13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71},{\&quot;key\&quot;:\&quot;Merchant\&quot;,\&quot;value\&quot;:\&quot;The Market\&quot;},{\&quot;key\&quot;:\&quot;Amount $\&quot;,\&quot;value\&quot;:-52.82},{\&quot;key\&quot;:\&quot;Transaction_ID\&quot;,\&quot;value\&quot;:\&quot;fbea7e8a51554b51843f795787090c5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71},{\&quot;key\&quot;:\&quot;Merchant\&quot;,\&quot;value\&quot;:\&quot;Internet Payment\&quot;},{\&quot;key\&quot;:\&quot;Amount $\&quot;,\&quot;value\&quot;:800},{\&quot;key\&quot;:\&quot;Transaction_ID\&quot;,\&quot;value\&quot;:\&quot;cacccea142e345a384c741f19c3ef34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71},{\&quot;key\&quot;:\&quot;Merchant\&quot;,\&quot;value\&quot;:\&quot;Transfer To Lewis Sharon\&quot;},{\&quot;key\&quot;:\&quot;Amount $\&quot;,\&quot;value\&quot;:-50},{\&quot;key\&quot;:\&quot;Transaction_ID\&quot;,\&quot;value\&quot;:\&quot;c8b0f206055d4098bf2a1f908f836061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71},{\&quot;key\&quot;:\&quot;Merchant\&quot;,\&quot;value\&quot;:\&quot;Discover E Payment Lewis\&quot;},{\&quot;key\&quot;:\&quot;Amount $\&quot;,\&quot;value\&quot;:-800},{\&quot;key\&quot;:\&quot;Transaction_ID\&quot;,\&quot;value\&quot;:\&quot;b18afa29637648a4ba88d719e63815ae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71},{\&quot;key\&quot;:\&quot;Merchant\&quot;,\&quot;value\&quot;:\&quot;The Market\&quot;},{\&quot;key\&quot;:\&quot;Amount $\&quot;,\&quot;value\&quot;:-13.94},{\&quot;key\&quot;:\&quot;Transaction_ID\&quot;,\&quot;value\&quot;:\&quot;99cfb207c0204434b0085e4e069ad5a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71},{\&quot;key\&quot;:\&quot;Merchant\&quot;,\&quot;value\&quot;:\&quot;Bolt N 1 Tm\&quot;},{\&quot;key\&quot;:\&quot;Amount $\&quot;,\&quot;value\&quot;:-3.38},{\&quot;key\&quot;:\&quot;Transaction_ID\&quot;,\&quot;value\&quot;:\&quot;927424bfdd104eb9abab8ba5d60e4c9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71},{\&quot;key\&quot;:\&quot;Merchant\&quot;,\&quot;value\&quot;:\&quot;Walmart\&quot;},{\&quot;key\&quot;:\&quot;Amount $\&quot;,\&quot;value\&quot;:-67.38},{\&quot;key\&quot;:\&quot;Transaction_ID\&quot;,\&quot;value\&quot;:\&quot;8c5d45c7c0814ae98d4b3b0056f8bf6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71},{\&quot;key\&quot;:\&quot;Merchant\&quot;,\&quot;value\&quot;:\&quot;Bolt Add Balance\&quot;},{\&quot;key\&quot;:\&quot;Amount $\&quot;,\&quot;value\&quot;:-10},{\&quot;key\&quot;:\&quot;Transaction_ID\&quot;,\&quot;value\&quot;:\&quot;8235864e725d4032944c43cfe0e6373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71},{\&quot;key\&quot;:\&quot;Merchant\&quot;,\&quot;value\&quot;:\&quot;Crunch Fitness\&quot;},{\&quot;key\&quot;:\&quot;Amount $\&quot;,\&quot;value\&quot;:-9.95},{\&quot;key\&quot;:\&quot;Transaction_ID\&quot;,\&quot;value\&quot;:\&quot;7d0276cf7658499aac8d3641505b19c9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71},{\&quot;key\&quot;:\&quot;Merchant\&quot;,\&quot;value\&quot;:\&quot;Robinhood\&quot;},{\&quot;key\&quot;:\&quot;Amount $\&quot;,\&quot;value\&quot;:-10},{\&quot;key\&quot;:\&quot;Transaction_ID\&quot;,\&quot;value\&quot;:\&quot;6f3ecd57a05d40e2945072532c237759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71},{\&quot;key\&quot;:\&quot;Merchant\&quot;,\&quot;value\&quot;:\&quot;The Market\&quot;},{\&quot;key\&quot;:\&quot;Amount $\&quot;,\&quot;value\&quot;:-18.18},{\&quot;key\&quot;:\&quot;Transaction_ID\&quot;,\&quot;value\&quot;:\&quot;234d0be58f474a62a3556e9d7c03058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70},{\&quot;key\&quot;:\&quot;Merchant\&quot;,\&quot;value\&quot;:\&quot;Apple Bill Ca\&quot;},{\&quot;key\&quot;:\&quot;Amount $\&quot;,\&quot;value\&quot;:-10.98},{\&quot;key\&quot;:\&quot;Transaction_ID\&quot;,\&quot;value\&quot;:\&quot;444ef4e13d6747d7a4167e363be27ce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70},{\&quot;key\&quot;:\&quot;Merchant\&quot;,\&quot;value\&quot;:\&quot;Apple Bill\&quot;},{\&quot;key\&quot;:\&quot;Amount $\&quot;,\&quot;value\&quot;:-24.98},{\&quot;key\&quot;:\&quot;Transaction_ID\&quot;,\&quot;value\&quot;:\&quot;18b4937cddc842e08c2fa852b3df523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69},{\&quot;key\&quot;:\&quot;Merchant\&quot;,\&quot;value\&quot;:\&quot;Family Dollar\&quot;},{\&quot;key\&quot;:\&quot;Amount $\&quot;,\&quot;value\&quot;:-33.43},{\&quot;key\&quot;:\&quot;Transaction_ID\&quot;,\&quot;value\&quot;:\&quot;e438472686254de4a3b03b2ba0c81db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69},{\&quot;key\&quot;:\&quot;Merchant\&quot;,\&quot;value\&quot;:\&quot;Exxonmobil\&quot;},{\&quot;key\&quot;:\&quot;Amount $\&quot;,\&quot;value\&quot;:-24.01},{\&quot;key\&quot;:\&quot;Transaction_ID\&quot;,\&quot;value\&quot;:\&quot;6f2e2ffab91e421dbb1c1317a6fc03f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69},{\&quot;key\&quot;:\&quot;Merchant\&quot;,\&quot;value\&quot;:\&quot;Newegg Inc\&quot;},{\&quot;key\&quot;:\&quot;Amount $\&quot;,\&quot;value\&quot;:-70.22},{\&quot;key\&quot;:\&quot;Transaction_ID\&quot;,\&quot;value\&quot;:\&quot;15dd034dae6846dcb4628707d610560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68},{\&quot;key\&quot;:\&quot;Merchant\&quot;,\&quot;value\&quot;:\&quot;Newegg Inc\&quot;},{\&quot;key\&quot;:\&quot;Amount $\&quot;,\&quot;value\&quot;:-103.75},{\&quot;key\&quot;:\&quot;Transaction_ID\&quot;,\&quot;value\&quot;:\&quot;fb3b895b5aec4f369bb02ac08c1c088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68},{\&quot;key\&quot;:\&quot;Merchant\&quot;,\&quot;value\&quot;:\&quot;Amazon\&quot;},{\&quot;key\&quot;:\&quot;Amount $\&quot;,\&quot;value\&quot;:-32.6},{\&quot;key\&quot;:\&quot;Transaction_ID\&quot;,\&quot;value\&quot;:\&quot;e7044af71bcf47df8a3612ae812b5b2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68},{\&quot;key\&quot;:\&quot;Merchant\&quot;,\&quot;value\&quot;:\&quot;Amazon\&quot;},{\&quot;key\&quot;:\&quot;Amount $\&quot;,\&quot;value\&quot;:-26.33},{\&quot;key\&quot;:\&quot;Transaction_ID\&quot;,\&quot;value\&quot;:\&quot;c6a060536ee543a4937ebcaf951616d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68},{\&quot;key\&quot;:\&quot;Merchant\&quot;,\&quot;value\&quot;:\&quot;Discover E Payment Lewis\&quot;},{\&quot;key\&quot;:\&quot;Amount $\&quot;,\&quot;value\&quot;:-300},{\&quot;key\&quot;:\&quot;Transaction_ID\&quot;,\&quot;value\&quot;:\&quot;8b741f80aca444f3afd5c19f2faae597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68},{\&quot;key\&quot;:\&quot;Merchant\&quot;,\&quot;value\&quot;:\&quot;Avidia Bank Setl Lewis\&quot;},{\&quot;key\&quot;:\&quot;Amount $\&quot;,\&quot;value\&quot;:234.1},{\&quot;key\&quot;:\&quot;Transaction_ID\&quot;,\&quot;value\&quot;:\&quot;80cdda70b87d44a2b67d54faa74bd4cf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68},{\&quot;key\&quot;:\&quot;Merchant\&quot;,\&quot;value\&quot;:\&quot;Internet Payment\&quot;},{\&quot;key\&quot;:\&quot;Amount $\&quot;,\&quot;value\&quot;:300},{\&quot;key\&quot;:\&quot;Transaction_ID\&quot;,\&quot;value\&quot;:\&quot;58c434c0f2af4b95b365bdfec2af0eb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68},{\&quot;key\&quot;:\&quot;Merchant\&quot;,\&quot;value\&quot;:\&quot;The Actuarial Bookstore\&quot;},{\&quot;key\&quot;:\&quot;Amount $\&quot;,\&quot;value\&quot;:-178.5},{\&quot;key\&quot;:\&quot;Transaction_ID\&quot;,\&quot;value\&quot;:\&quot;062d44a6bf2c4c55a0b1c20f29eb20a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67},{\&quot;key\&quot;:\&quot;Merchant\&quot;,\&quot;value\&quot;:\&quot;Popeyes\&quot;},{\&quot;key\&quot;:\&quot;Amount $\&quot;,\&quot;value\&quot;:-26.15},{\&quot;key\&quot;:\&quot;Transaction_ID\&quot;,\&quot;value\&quot;:\&quot;f54ad691f0f54bcabcbabdcf9986f8d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67},{\&quot;key\&quot;:\&quot;Merchant\&quot;,\&quot;value\&quot;:\&quot;Apple Bill Ca\&quot;},{\&quot;key\&quot;:\&quot;Amount $\&quot;,\&quot;value\&quot;:-19.99},{\&quot;key\&quot;:\&quot;Transaction_ID\&quot;,\&quot;value\&quot;:\&quot;9104b53ad2fe422e82d76a3a04c683b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67},{\&quot;key\&quot;:\&quot;Merchant\&quot;,\&quot;value\&quot;:\&quot;Walmart\&quot;},{\&quot;key\&quot;:\&quot;Amount $\&quot;,\&quot;value\&quot;:-3.29},{\&quot;key\&quot;:\&quot;Transaction_ID\&quot;,\&quot;value\&quot;:\&quot;7ce1a610a622473ebb17f0748a4af65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67},{\&quot;key\&quot;:\&quot;Merchant\&quot;,\&quot;value\&quot;:\&quot;Robinhood\&quot;},{\&quot;key\&quot;:\&quot;Amount $\&quot;,\&quot;value\&quot;:-200},{\&quot;key\&quot;:\&quot;Transaction_ID\&quot;,\&quot;value\&quot;:\&quot;5ee17857a3104ad98ca055e103e89f86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67},{\&quot;key\&quot;:\&quot;Merchant\&quot;,\&quot;value\&quot;:\&quot;Vcn D C Vital\&quot;},{\&quot;key\&quot;:\&quot;Amount $\&quot;,\&quot;value\&quot;:-58.95},{\&quot;key\&quot;:\&quot;Transaction_ID\&quot;,\&quot;value\&quot;:\&quot;53fbc18ee0f74b189aa948bc550a570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67},{\&quot;key\&quot;:\&quot;Merchant\&quot;,\&quot;value\&quot;:\&quot;Bird App\&quot;},{\&quot;key\&quot;:\&quot;Amount $\&quot;,\&quot;value\&quot;:-3.92},{\&quot;key\&quot;:\&quot;Transaction_ID\&quot;,\&quot;value\&quot;:\&quot;3495c413286b42c6ab4a2226b8d3e9e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67},{\&quot;key\&quot;:\&quot;Merchant\&quot;,\&quot;value\&quot;:\&quot;Officemax\&quot;},{\&quot;key\&quot;:\&quot;Amount $\&quot;,\&quot;value\&quot;:-73.7},{\&quot;key\&quot;:\&quot;Transaction_ID\&quot;,\&quot;value\&quot;:\&quot;1242b133628044879d785a24c3779b8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67},{\&quot;key\&quot;:\&quot;Merchant\&quot;,\&quot;value\&quot;:\&quot;Family Dollar\&quot;},{\&quot;key\&quot;:\&quot;Amount $\&quot;,\&quot;value\&quot;:-28.82},{\&quot;key\&quot;:\&quot;Transaction_ID\&quot;,\&quot;value\&quot;:\&quot;091af99906654f5a8589d358cd739cb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66},{\&quot;key\&quot;:\&quot;Merchant\&quot;,\&quot;value\&quot;:\&quot;Walmart\&quot;},{\&quot;key\&quot;:\&quot;Amount $\&quot;,\&quot;value\&quot;:-17.87},{\&quot;key\&quot;:\&quot;Transaction_ID\&quot;,\&quot;value\&quot;:\&quot;fa2d49337dd742b2b11fa7c28dedec7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66},{\&quot;key\&quot;:\&quot;Merchant\&quot;,\&quot;value\&quot;:\&quot;Best Buy\&quot;},{\&quot;key\&quot;:\&quot;Amount $\&quot;,\&quot;value\&quot;:-26.31},{\&quot;key\&quot;:\&quot;Transaction_ID\&quot;,\&quot;value\&quot;:\&quot;efb97477dd4445a68be9017fc6ec77d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66},{\&quot;key\&quot;:\&quot;Merchant\&quot;,\&quot;value\&quot;:\&quot;Walmart\&quot;},{\&quot;key\&quot;:\&quot;Amount $\&quot;,\&quot;value\&quot;:-138.56},{\&quot;key\&quot;:\&quot;Transaction_ID\&quot;,\&quot;value\&quot;:\&quot;92f216911f024055a0d3157e4a20146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66},{\&quot;key\&quot;:\&quot;Merchant\&quot;,\&quot;value\&quot;:\&quot;Coaching Actuaries\&quot;},{\&quot;key\&quot;:\&quot;Amount $\&quot;,\&quot;value\&quot;:-599},{\&quot;key\&quot;:\&quot;Transaction_ID\&quot;,\&quot;value\&quot;:\&quot;7162835ee76549b485ad8a75d07abf7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66},{\&quot;key\&quot;:\&quot;Merchant\&quot;,\&quot;value\&quot;:\&quot;Vcn D C Vital\&quot;},{\&quot;key\&quot;:\&quot;Amount $\&quot;,\&quot;value\&quot;:-15.95},{\&quot;key\&quot;:\&quot;Transaction_ID\&quot;,\&quot;value\&quot;:\&quot;30716e6bbd6a4fb5be2bf3580abd59d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66},{\&quot;key\&quot;:\&quot;Merchant\&quot;,\&quot;value\&quot;:\&quot;Apple Bill Ca\&quot;},{\&quot;key\&quot;:\&quot;Amount $\&quot;,\&quot;value\&quot;:-19.99},{\&quot;key\&quot;:\&quot;Transaction_ID\&quot;,\&quot;value\&quot;:\&quot;0a613bedb8e145dbabaed2fc19fea7a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65},{\&quot;key\&quot;:\&quot;Merchant\&quot;,\&quot;value\&quot;:\&quot;Old Bridge Fastfuel\&quot;},{\&quot;key\&quot;:\&quot;Amount $\&quot;,\&quot;value\&quot;:-17.01},{\&quot;key\&quot;:\&quot;Transaction_ID\&quot;,\&quot;value\&quot;:\&quot;fb9c2298731b411499c13a71e1b9a80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65},{\&quot;key\&quot;:\&quot;Merchant\&quot;,\&quot;value\&quot;:\&quot;Jimmy Johns\&quot;},{\&quot;key\&quot;:\&quot;Amount $\&quot;,\&quot;value\&quot;:-7.41},{\&quot;key\&quot;:\&quot;Transaction_ID\&quot;,\&quot;value\&quot;:\&quot;c7e1d4bb9b0045f9b550953883bdc66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65},{\&quot;key\&quot;:\&quot;Merchant\&quot;,\&quot;value\&quot;:\&quot;Bird App\&quot;},{\&quot;key\&quot;:\&quot;Amount $\&quot;,\&quot;value\&quot;:-10},{\&quot;key\&quot;:\&quot;Transaction_ID\&quot;,\&quot;value\&quot;:\&quot;c556d9778da246db911a8751e0a5e84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65},{\&quot;key\&quot;:\&quot;Merchant\&quot;,\&quot;value\&quot;:\&quot;Apple Bill Ca\&quot;},{\&quot;key\&quot;:\&quot;Amount $\&quot;,\&quot;value\&quot;:-4.99},{\&quot;key\&quot;:\&quot;Transaction_ID\&quot;,\&quot;value\&quot;:\&quot;b5cd8bc4277b4b39b837e78640a39bd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65},{\&quot;key\&quot;:\&quot;Merchant\&quot;,\&quot;value\&quot;:\&quot;Stafford Place O\&quot;},{\&quot;key\&quot;:\&quot;Amount $\&quot;,\&quot;value\&quot;:-20},{\&quot;key\&quot;:\&quot;Transaction_ID\&quot;,\&quot;value\&quot;:\&quot;b48139cc5e1f471eb5e06d34ef8a24d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65},{\&quot;key\&quot;:\&quot;Merchant\&quot;,\&quot;value\&quot;:\&quot;Apple Bill Ca\&quot;},{\&quot;key\&quot;:\&quot;Amount $\&quot;,\&quot;value\&quot;:-4.99},{\&quot;key\&quot;:\&quot;Transaction_ID\&quot;,\&quot;value\&quot;:\&quot;acd07327773c4a8dafa16d8b898c001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65},{\&quot;key\&quot;:\&quot;Merchant\&quot;,\&quot;value\&quot;:\&quot;Citgo\&quot;},{\&quot;key\&quot;:\&quot;Amount $\&quot;,\&quot;value\&quot;:-2.04},{\&quot;key\&quot;:\&quot;Transaction_ID\&quot;,\&quot;value\&quot;:\&quot;61bf76c8817e40a8977da85d0fd4fd0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65},{\&quot;key\&quot;:\&quot;Merchant\&quot;,\&quot;value\&quot;:\&quot;Family Dollar\&quot;},{\&quot;key\&quot;:\&quot;Amount $\&quot;,\&quot;value\&quot;:-9.32},{\&quot;key\&quot;:\&quot;Transaction_ID\&quot;,\&quot;value\&quot;:\&quot;5aa21f196b9d4b38a2a6d40b3f28a35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65},{\&quot;key\&quot;:\&quot;Merchant\&quot;,\&quot;value\&quot;:\&quot;Bird App\&quot;},{\&quot;key\&quot;:\&quot;Amount $\&quot;,\&quot;value\&quot;:-10},{\&quot;key\&quot;:\&quot;Transaction_ID\&quot;,\&quot;value\&quot;:\&quot;4d8806f3e916485f88effb2c8cf6c81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65},{\&quot;key\&quot;:\&quot;Merchant\&quot;,\&quot;value\&quot;:\&quot;Panera Bread\&quot;},{\&quot;key\&quot;:\&quot;Amount $\&quot;,\&quot;value\&quot;:-9.46},{\&quot;key\&quot;:\&quot;Transaction_ID\&quot;,\&quot;value\&quot;:\&quot;231a793540744e71b0a322b81dc69b5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65},{\&quot;key\&quot;:\&quot;Merchant\&quot;,\&quot;value\&quot;:\&quot;Spotify\&quot;},{\&quot;key\&quot;:\&quot;Amount $\&quot;,\&quot;value\&quot;:-9.99},{\&quot;key\&quot;:\&quot;Transaction_ID\&quot;,\&quot;value\&quot;:\&quot;1838f690fec74e52abe4d427d4d076d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64},{\&quot;key\&quot;:\&quot;Merchant\&quot;,\&quot;value\&quot;:\&quot;Cvs\&quot;},{\&quot;key\&quot;:\&quot;Amount $\&quot;,\&quot;value\&quot;:-15},{\&quot;key\&quot;:\&quot;Transaction_ID\&quot;,\&quot;value\&quot;:\&quot;a330ce7584fb41c7b6530aa8b6670f1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64},{\&quot;key\&quot;:\&quot;Merchant\&quot;,\&quot;value\&quot;:\&quot;We The Pizza\&quot;},{\&quot;key\&quot;:\&quot;Amount $\&quot;,\&quot;value\&quot;:-10},{\&quot;key\&quot;:\&quot;Transaction_ID\&quot;,\&quot;value\&quot;:\&quot;71824c06345347ebbc66a25a4f9077a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63},{\&quot;key\&quot;:\&quot;Merchant\&quot;,\&quot;value\&quot;:\&quot;Discover E Payment Lewis\&quot;},{\&quot;key\&quot;:\&quot;Amount $\&quot;,\&quot;value\&quot;:-393.63},{\&quot;key\&quot;:\&quot;Transaction_ID\&quot;,\&quot;value\&quot;:\&quot;dc87242cd88f4a118d3ea97a8e563daa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63},{\&quot;key\&quot;:\&quot;Merchant\&quot;,\&quot;value\&quot;:\&quot;Market Place 14\&quot;},{\&quot;key\&quot;:\&quot;Amount $\&quot;,\&quot;value\&quot;:-5.1},{\&quot;key\&quot;:\&quot;Transaction_ID\&quot;,\&quot;value\&quot;:\&quot;d4a3d760d9cc4b6e8577fb230b47675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63},{\&quot;key\&quot;:\&quot;Merchant\&quot;,\&quot;value\&quot;:\&quot;Apple Bill Ca Mm\&quot;},{\&quot;key\&quot;:\&quot;Amount $\&quot;,\&quot;value\&quot;:-1.99},{\&quot;key\&quot;:\&quot;Transaction_ID\&quot;,\&quot;value\&quot;:\&quot;cea2c40dc37243d687e431813ad482f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63},{\&quot;key\&quot;:\&quot;Merchant\&quot;,\&quot;value\&quot;:\&quot;Apple Bill Ca\&quot;},{\&quot;key\&quot;:\&quot;Amount $\&quot;,\&quot;value\&quot;:-14.99},{\&quot;key\&quot;:\&quot;Transaction_ID\&quot;,\&quot;value\&quot;:\&quot;996f3973cb9b430b9daedeac21398c3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63},{\&quot;key\&quot;:\&quot;Merchant\&quot;,\&quot;value\&quot;:\&quot;Cava Grill Ballston\&quot;},{\&quot;key\&quot;:\&quot;Amount $\&quot;,\&quot;value\&quot;:-15.53},{\&quot;key\&quot;:\&quot;Transaction_ID\&quot;,\&quot;value\&quot;:\&quot;8ad1310bae004a40940b6419d48b1fd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63},{\&quot;key\&quot;:\&quot;Merchant\&quot;,\&quot;value\&quot;:\&quot;Cam?S Kettle Coffe Arlington\&quot;},{\&quot;key\&quot;:\&quot;Amount $\&quot;,\&quot;value\&quot;:-7.4},{\&quot;key\&quot;:\&quot;Transaction_ID\&quot;,\&quot;value\&quot;:\&quot;7b6bfdcfa8a14ab183215a40c5473c0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63},{\&quot;key\&quot;:\&quot;Merchant\&quot;,\&quot;value\&quot;:\&quot;Internet Payment\&quot;},{\&quot;key\&quot;:\&quot;Amount $\&quot;,\&quot;value\&quot;:393.63},{\&quot;key\&quot;:\&quot;Transaction_ID\&quot;,\&quot;value\&quot;:\&quot;763a9f1256b5424fa91291d2bc3384c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63},{\&quot;key\&quot;:\&quot;Merchant\&quot;,\&quot;value\&quot;:\&quot;Bolt Add Balance\&quot;},{\&quot;key\&quot;:\&quot;Amount $\&quot;,\&quot;value\&quot;:-10},{\&quot;key\&quot;:\&quot;Transaction_ID\&quot;,\&quot;value\&quot;:\&quot;37d966531b534bb78af9b63bd4f1c56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63},{\&quot;key\&quot;:\&quot;Merchant\&quot;,\&quot;value\&quot;:\&quot;Apple Bill Ca\&quot;},{\&quot;key\&quot;:\&quot;Amount $\&quot;,\&quot;value\&quot;:-19.99},{\&quot;key\&quot;:\&quot;Transaction_ID\&quot;,\&quot;value\&quot;:\&quot;1684e6d13a344f6488e5d7c7c438b54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63},{\&quot;key\&quot;:\&quot;Merchant\&quot;,\&quot;value\&quot;:\&quot;Bolt Add Balance\&quot;},{\&quot;key\&quot;:\&quot;Amount $\&quot;,\&quot;value\&quot;:-10},{\&quot;key\&quot;:\&quot;Transaction_ID\&quot;,\&quot;value\&quot;:\&quot;1311b6050d954595a61793067b61094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62},{\&quot;key\&quot;:\&quot;Merchant\&quot;,\&quot;value\&quot;:\&quot;Venmo\&quot;},{\&quot;key\&quot;:\&quot;Amount $\&quot;,\&quot;value\&quot;:300},{\&quot;key\&quot;:\&quot;Transaction_ID\&quot;,\&quot;value\&quot;:\&quot;2acd188a27fb45afbeec88ecb46e62cd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62},{\&quot;key\&quot;:\&quot;Merchant\&quot;,\&quot;value\&quot;:\&quot;Cash App Don Lewis\&quot;},{\&quot;key\&quot;:\&quot;Amount $\&quot;,\&quot;value\&quot;:-10},{\&quot;key\&quot;:\&quot;Transaction_ID\&quot;,\&quot;value\&quot;:\&quot;231b7f6072974b2a8b88b49c81c02f7b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62},{\&quot;key\&quot;:\&quot;Merchant\&quot;,\&quot;value\&quot;:\&quot;Robinhood\&quot;},{\&quot;key\&quot;:\&quot;Amount $\&quot;,\&quot;value\&quot;:-500},{\&quot;key\&quot;:\&quot;Transaction_ID\&quot;,\&quot;value\&quot;:\&quot;19746e0bbab14f5488b24a7a18901201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62},{\&quot;key\&quot;:\&quot;Merchant\&quot;,\&quot;value\&quot;:\&quot;Amazon\&quot;},{\&quot;key\&quot;:\&quot;Amount $\&quot;,\&quot;value\&quot;:-38.42},{\&quot;key\&quot;:\&quot;Transaction_ID\&quot;,\&quot;value\&quot;:\&quot;180504985cbc4b77a71dcadadf2efd9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61},{\&quot;key\&quot;:\&quot;Merchant\&quot;,\&quot;value\&quot;:\&quot;Venmo\&quot;},{\&quot;key\&quot;:\&quot;Amount $\&quot;,\&quot;value\&quot;:-300},{\&quot;key\&quot;:\&quot;Transaction_ID\&quot;,\&quot;value\&quot;:\&quot;fccd4fdafee74f278852f01eb0d7eb82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61},{\&quot;key\&quot;:\&quot;Merchant\&quot;,\&quot;value\&quot;:\&quot;Walmart\&quot;},{\&quot;key\&quot;:\&quot;Amount $\&quot;,\&quot;value\&quot;:-10.15},{\&quot;key\&quot;:\&quot;Transaction_ID\&quot;,\&quot;value\&quot;:\&quot;d990ebec5a6b4110a48c1700ebdbbdb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61},{\&quot;key\&quot;:\&quot;Merchant\&quot;,\&quot;value\&quot;:\&quot;Square Inc Cash App\&quot;},{\&quot;key\&quot;:\&quot;Amount $\&quot;,\&quot;value\&quot;:800},{\&quot;key\&quot;:\&quot;Transaction_ID\&quot;,\&quot;value\&quot;:\&quot;704acc6f87c844bd8c90cca44dfa0bb0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61},{\&quot;key\&quot;:\&quot;Merchant\&quot;,\&quot;value\&quot;:\&quot;Cash App Don\&quot;},{\&quot;key\&quot;:\&quot;Amount $\&quot;,\&quot;value\&quot;:-210},{\&quot;key\&quot;:\&quot;Transaction_ID\&quot;,\&quot;value\&quot;:\&quot;5e7f22eed9ee44918d47d588469ccef4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61},{\&quot;key\&quot;:\&quot;Merchant\&quot;,\&quot;value\&quot;:\&quot;Walmart\&quot;},{\&quot;key\&quot;:\&quot;Amount $\&quot;,\&quot;value\&quot;:-27.38},{\&quot;key\&quot;:\&quot;Transaction_ID\&quot;,\&quot;value\&quot;:\&quot;33e016b3b5a54becad60ab19fbc098b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60},{\&quot;key\&quot;:\&quot;Merchant\&quot;,\&quot;value\&quot;:\&quot;Transfer From Lewis Sharon\&quot;},{\&quot;key\&quot;:\&quot;Amount $\&quot;,\&quot;value\&quot;:80},{\&quot;key\&quot;:\&quot;Transaction_ID\&quot;,\&quot;value\&quot;:\&quot;c428541f7b55416f984f1326a0a3c0fc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60},{\&quot;key\&quot;:\&quot;Merchant\&quot;,\&quot;value\&quot;:\&quot;Synchrony Bank Cc Pymt\&quot;},{\&quot;key\&quot;:\&quot;Amount $\&quot;,\&quot;value\&quot;:-300},{\&quot;key\&quot;:\&quot;Transaction_ID\&quot;,\&quot;value\&quot;:\&quot;5cf1463231fe402ca40fcaae90c3fe3a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59},{\&quot;key\&quot;:\&quot;Merchant\&quot;,\&quot;value\&quot;:\&quot;Walmart\&quot;},{\&quot;key\&quot;:\&quot;Amount $\&quot;,\&quot;value\&quot;:-50.98},{\&quot;key\&quot;:\&quot;Transaction_ID\&quot;,\&quot;value\&quot;:\&quot;83dc80f1e6a24a46b6b5f467709f997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59},{\&quot;key\&quot;:\&quot;Merchant\&quot;,\&quot;value\&quot;:\&quot;Cool Lane Express\&quot;},{\&quot;key\&quot;:\&quot;Amount $\&quot;,\&quot;value\&quot;:-20.2},{\&quot;key\&quot;:\&quot;Transaction_ID\&quot;,\&quot;value\&quot;:\&quot;79ad9fd7d2444592a049b31a9512b27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57},{\&quot;key\&quot;:\&quot;Merchant\&quot;,\&quot;value\&quot;:\&quot;Transfer To Lewis Sharon\&quot;},{\&quot;key\&quot;:\&quot;Amount $\&quot;,\&quot;value\&quot;:-80},{\&quot;key\&quot;:\&quot;Transaction_ID\&quot;,\&quot;value\&quot;:\&quot;f7df0f3baf4c458c91ebf4b99c817a6a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57},{\&quot;key\&quot;:\&quot;Merchant\&quot;,\&quot;value\&quot;:\&quot;Elephant Ins Payroll Lewis\&quot;},{\&quot;key\&quot;:\&quot;Amount $\&quot;,\&quot;value\&quot;:1454.6},{\&quot;key\&quot;:\&quot;Transaction_ID\&quot;,\&quot;value\&quot;:\&quot;cb811003a31d49ceac022f1e85bcddb4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57},{\&quot;key\&quot;:\&quot;Merchant\&quot;,\&quot;value\&quot;:\&quot;Walgreens\&quot;},{\&quot;key\&quot;:\&quot;Amount $\&quot;,\&quot;value\&quot;:-36.2},{\&quot;key\&quot;:\&quot;Transaction_ID\&quot;,\&quot;value\&quot;:\&quot;ca4664bdaa7441c79d847076d518b95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57},{\&quot;key\&quot;:\&quot;Merchant\&quot;,\&quot;value\&quot;:\&quot;Discover E Payment Lewis\&quot;},{\&quot;key\&quot;:\&quot;Amount $\&quot;,\&quot;value\&quot;:-520.29},{\&quot;key\&quot;:\&quot;Transaction_ID\&quot;,\&quot;value\&quot;:\&quot;c2e8537db2a9438d9aabc87b99df3d81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57},{\&quot;key\&quot;:\&quot;Merchant\&quot;,\&quot;value\&quot;:\&quot;T Mobile\&quot;},{\&quot;key\&quot;:\&quot;Amount $\&quot;,\&quot;value\&quot;:-86.25},{\&quot;key\&quot;:\&quot;Transaction_ID\&quot;,\&quot;value\&quot;:\&quot;869ff6a2a7cb4880a569dc7a13a0e09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57},{\&quot;key\&quot;:\&quot;Merchant\&quot;,\&quot;value\&quot;:\&quot;Venmo\&quot;},{\&quot;key\&quot;:\&quot;Amount $\&quot;,\&quot;value\&quot;:-50},{\&quot;key\&quot;:\&quot;Transaction_ID\&quot;,\&quot;value\&quot;:\&quot;4dfe72fc5c6141c99ff84b599f06d0dd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57},{\&quot;key\&quot;:\&quot;Merchant\&quot;,\&quot;value\&quot;:\&quot;Walmart\&quot;},{\&quot;key\&quot;:\&quot;Amount $\&quot;,\&quot;value\&quot;:-7.1},{\&quot;key\&quot;:\&quot;Transaction_ID\&quot;,\&quot;value\&quot;:\&quot;25ddd6c3e5b3446097520b3d607b29c2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57},{\&quot;key\&quot;:\&quot;Merchant\&quot;,\&quot;value\&quot;:\&quot;Returned Internet Pmt\&quot;},{\&quot;key\&quot;:\&quot;Amount $\&quot;,\&quot;value\&quot;:-200},{\&quot;key\&quot;:\&quot;Transaction_ID\&quot;,\&quot;value\&quot;:\&quot;071cd159725b4d5dad04e3d86486324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57},{\&quot;key\&quot;:\&quot;Merchant\&quot;,\&quot;value\&quot;:\&quot;Internet Payment\&quot;},{\&quot;key\&quot;:\&quot;Amount $\&quot;,\&quot;value\&quot;:520.29},{\&quot;key\&quot;:\&quot;Transaction_ID\&quot;,\&quot;value\&quot;:\&quot;04d035421ad44ff3ba2ad8eabb170a1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55},{\&quot;key\&quot;:\&quot;Merchant\&quot;,\&quot;value\&quot;:\&quot;Returned Check Charge\&quot;},{\&quot;key\&quot;:\&quot;Amount $\&quot;,\&quot;value\&quot;:-35},{\&quot;key\&quot;:\&quot;Transaction_ID\&quot;,\&quot;value\&quot;:\&quot;96c55abfb60844cb94c238fcae789fa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55},{\&quot;key\&quot;:\&quot;Merchant\&quot;,\&quot;value\&quot;:\&quot;Represented Internet Payment\&quot;},{\&quot;key\&quot;:\&quot;Amount $\&quot;,\&quot;value\&quot;:200},{\&quot;key\&quot;:\&quot;Transaction_ID\&quot;,\&quot;value\&quot;:\&quot;761778d765c3439488211727a17771f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55},{\&quot;key\&quot;:\&quot;Merchant\&quot;,\&quot;value\&quot;:\&quot;Lyft\&quot;},{\&quot;key\&quot;:\&quot;Amount $\&quot;,\&quot;value\&quot;:-22.16},{\&quot;key\&quot;:\&quot;Transaction_ID\&quot;,\&quot;value\&quot;:\&quot;6c654e1f14774a26955a6a82c382e7a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55},{\&quot;key\&quot;:\&quot;Merchant\&quot;,\&quot;value\&quot;:\&quot;Returned Internet Pmt\&quot;},{\&quot;key\&quot;:\&quot;Amount $\&quot;,\&quot;value\&quot;:-200},{\&quot;key\&quot;:\&quot;Transaction_ID\&quot;,\&quot;value\&quot;:\&quot;52b1cf5aae5e4e77820e6f9de64ae92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54},{\&quot;key\&quot;:\&quot;Merchant\&quot;,\&quot;value\&quot;:\&quot;Cook Out\&quot;},{\&quot;key\&quot;:\&quot;Amount $\&quot;,\&quot;value\&quot;:-18.65},{\&quot;key\&quot;:\&quot;Transaction_ID\&quot;,\&quot;value\&quot;:\&quot;e9a1a8930f284ba49ee5629be66d0e6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54},{\&quot;key\&quot;:\&quot;Merchant\&quot;,\&quot;value\&quot;:\&quot;Dick's Clothing&amp;Sporting\&quot;},{\&quot;key\&quot;:\&quot;Amount $\&quot;,\&quot;value\&quot;:-15},{\&quot;key\&quot;:\&quot;Transaction_ID\&quot;,\&quot;value\&quot;:\&quot;d144e17052854c0dba8db0f346c06ae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54},{\&quot;key\&quot;:\&quot;Merchant\&quot;,\&quot;value\&quot;:\&quot;7 Eleven\&quot;},{\&quot;key\&quot;:\&quot;Amount $\&quot;,\&quot;value\&quot;:-0.62},{\&quot;key\&quot;:\&quot;Transaction_ID\&quot;,\&quot;value\&quot;:\&quot;6b7dc56467214f079cdee7b9a4b9608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54},{\&quot;key\&quot;:\&quot;Merchant\&quot;,\&quot;value\&quot;:\&quot;Hardee's\&quot;},{\&quot;key\&quot;:\&quot;Amount $\&quot;,\&quot;value\&quot;:-3.78},{\&quot;key\&quot;:\&quot;Transaction_ID\&quot;,\&quot;value\&quot;:\&quot;43a9ca83f7334056b5e567f596d9ba5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54},{\&quot;key\&quot;:\&quot;Merchant\&quot;,\&quot;value\&quot;:\&quot;Yahoo Fin Prem Va\&quot;},{\&quot;key\&quot;:\&quot;Amount $\&quot;,\&quot;value\&quot;:-34.99},{\&quot;key\&quot;:\&quot;Transaction_ID\&quot;,\&quot;value\&quot;:\&quot;328b1cf2c9994a568ccda1faf7aa6e9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54},{\&quot;key\&quot;:\&quot;Merchant\&quot;,\&quot;value\&quot;:\&quot;State Farm\&quot;},{\&quot;key\&quot;:\&quot;Amount $\&quot;,\&quot;value\&quot;:-117.01},{\&quot;key\&quot;:\&quot;Transaction_ID\&quot;,\&quot;value\&quot;:\&quot;2e45212b9a164228b9bd473a8541adc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53},{\&quot;key\&quot;:\&quot;Merchant\&quot;,\&quot;value\&quot;:\&quot;Internet Payment\&quot;},{\&quot;key\&quot;:\&quot;Amount $\&quot;,\&quot;value\&quot;:200},{\&quot;key\&quot;:\&quot;Transaction_ID\&quot;,\&quot;value\&quot;:\&quot;cdb9da4629844cc3bf154daab4167b6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53},{\&quot;key\&quot;:\&quot;Merchant\&quot;,\&quot;value\&quot;:\&quot;Apple Bill Ca Apple\&quot;},{\&quot;key\&quot;:\&quot;Amount $\&quot;,\&quot;value\&quot;:-14.99},{\&quot;key\&quot;:\&quot;Transaction_ID\&quot;,\&quot;value\&quot;:\&quot;ccea2fb9da314b8980a709b5d1d5ef9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53},{\&quot;key\&quot;:\&quot;Merchant\&quot;,\&quot;value\&quot;:\&quot;Usps Change Of Address\&quot;},{\&quot;key\&quot;:\&quot;Amount $\&quot;,\&quot;value\&quot;:-1.05},{\&quot;key\&quot;:\&quot;Transaction_ID\&quot;,\&quot;value\&quot;:\&quot;28a2318f2c124541a06b5ed4cc9d918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53},{\&quot;key\&quot;:\&quot;Merchant\&quot;,\&quot;value\&quot;:\&quot;Amazon R\&quot;},{\&quot;key\&quot;:\&quot;Amount $\&quot;,\&quot;value\&quot;:-6.25},{\&quot;key\&quot;:\&quot;Transaction_ID\&quot;,\&quot;value\&quot;:\&quot;2130a5b49f4d42e8b88c26eddfbc3f1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53},{\&quot;key\&quot;:\&quot;Merchant\&quot;,\&quot;value\&quot;:\&quot;Robinhood\&quot;},{\&quot;key\&quot;:\&quot;Amount $\&quot;,\&quot;value\&quot;:-400},{\&quot;key\&quot;:\&quot;Transaction_ID\&quot;,\&quot;value\&quot;:\&quot;10ba909b10044443ade239f6367be0d1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52},{\&quot;key\&quot;:\&quot;Merchant\&quot;,\&quot;value\&quot;:\&quot;Bon Chon\&quot;},{\&quot;key\&quot;:\&quot;Amount $\&quot;,\&quot;value\&quot;:-35.72},{\&quot;key\&quot;:\&quot;Transaction_ID\&quot;,\&quot;value\&quot;:\&quot;a97b6523e96d4b1da7a9c330ff44735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52},{\&quot;key\&quot;:\&quot;Merchant\&quot;,\&quot;value\&quot;:\&quot;Barnes &amp; Noble\&quot;},{\&quot;key\&quot;:\&quot;Amount $\&quot;,\&quot;value\&quot;:-5.01},{\&quot;key\&quot;:\&quot;Transaction_ID\&quot;,\&quot;value\&quot;:\&quot;678b3fd8763543639be4f0f09b18567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52},{\&quot;key\&quot;:\&quot;Merchant\&quot;,\&quot;value\&quot;:\&quot;Crunchyroll\&quot;},{\&quot;key\&quot;:\&quot;Amount $\&quot;,\&quot;value\&quot;:-7.99},{\&quot;key\&quot;:\&quot;Transaction_ID\&quot;,\&quot;value\&quot;:\&quot;190008c1709f4bf98be2df1788bf68a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52},{\&quot;key\&quot;:\&quot;Merchant\&quot;,\&quot;value\&quot;:\&quot;Publix\&quot;},{\&quot;key\&quot;:\&quot;Amount $\&quot;,\&quot;value\&quot;:-35.43},{\&quot;key\&quot;:\&quot;Transaction_ID\&quot;,\&quot;value\&quot;:\&quot;0c49a1d9a31c4a1c88abd291c4dd974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51},{\&quot;key\&quot;:\&quot;Merchant\&quot;,\&quot;value\&quot;:\&quot;Marathon P Fredericksburva\&quot;},{\&quot;key\&quot;:\&quot;Amount $\&quot;,\&quot;value\&quot;:-16.91},{\&quot;key\&quot;:\&quot;Transaction_ID\&quot;,\&quot;value\&quot;:\&quot;4ebab0a15abf4c46bb4e29ce10fb3de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51},{\&quot;key\&quot;:\&quot;Merchant\&quot;,\&quot;value\&quot;:\&quot;Mcdonald's\&quot;},{\&quot;key\&quot;:\&quot;Amount $\&quot;,\&quot;value\&quot;:-8.3},{\&quot;key\&quot;:\&quot;Transaction_ID\&quot;,\&quot;value\&quot;:\&quot;08eaac92e34d4509bf2f4a48f2f2a19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50},{\&quot;key\&quot;:\&quot;Merchant\&quot;,\&quot;value\&quot;:\&quot;Avidia Bank Setl Lewis\&quot;},{\&quot;key\&quot;:\&quot;Amount $\&quot;,\&quot;value\&quot;:300},{\&quot;key\&quot;:\&quot;Transaction_ID\&quot;,\&quot;value\&quot;:\&quot;d2b68dea19c84f1a93b55cfd6a9c06af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49},{\&quot;key\&quot;:\&quot;Merchant\&quot;,\&quot;value\&quot;:\&quot;Popeyes\&quot;},{\&quot;key\&quot;:\&quot;Amount $\&quot;,\&quot;value\&quot;:-14.98},{\&quot;key\&quot;:\&quot;Transaction_ID\&quot;,\&quot;value\&quot;:\&quot;93f742a25cbc48f08c0017e2c355d19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49},{\&quot;key\&quot;:\&quot;Merchant\&quot;,\&quot;value\&quot;:\&quot;Dri Nvidia Store Orderfind\&quot;},{\&quot;key\&quot;:\&quot;Amount $\&quot;,\&quot;value\&quot;:-4.99},{\&quot;key\&quot;:\&quot;Transaction_ID\&quot;,\&quot;value\&quot;:\&quot;37c185a42b104ac291bf730876f7bd8e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49},{\&quot;key\&quot;:\&quot;Merchant\&quot;,\&quot;value\&quot;:\&quot;Walmart\&quot;},{\&quot;key\&quot;:\&quot;Amount $\&quot;,\&quot;value\&quot;:-57.36},{\&quot;key\&quot;:\&quot;Transaction_ID\&quot;,\&quot;value\&quot;:\&quot;2ad7e1facae64062b40bad48e399c54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48},{\&quot;key\&quot;:\&quot;Merchant\&quot;,\&quot;value\&quot;:\&quot;Synchrony Bank Cc Pymt\&quot;},{\&quot;key\&quot;:\&quot;Amount $\&quot;,\&quot;value\&quot;:-300},{\&quot;key\&quot;:\&quot;Transaction_ID\&quot;,\&quot;value\&quot;:\&quot;e6a4df0d94c34cbd8cd4eac189742277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48},{\&quot;key\&quot;:\&quot;Merchant\&quot;,\&quot;value\&quot;:\&quot;Myfico Com\&quot;},{\&quot;key\&quot;:\&quot;Amount $\&quot;,\&quot;value\&quot;:-39.95},{\&quot;key\&quot;:\&quot;Transaction_ID\&quot;,\&quot;value\&quot;:\&quot;92495127a1d149e8be223692d0d36ce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47},{\&quot;key\&quot;:\&quot;Merchant\&quot;,\&quot;value\&quot;:\&quot;Square Inc Cash App\&quot;},{\&quot;key\&quot;:\&quot;Amount $\&quot;,\&quot;value\&quot;:210},{\&quot;key\&quot;:\&quot;Transaction_ID\&quot;,\&quot;value\&quot;:\&quot;2448e26648154d088ef07444a58d5ee5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46},{\&quot;key\&quot;:\&quot;Merchant\&quot;,\&quot;value\&quot;:\&quot;Woot Inc Woot Tx\&quot;},{\&quot;key\&quot;:\&quot;Amount $\&quot;,\&quot;value\&quot;:-63.17},{\&quot;key\&quot;:\&quot;Transaction_ID\&quot;,\&quot;value\&quot;:\&quot;5e62b44fd3cf462c968fb677de87048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46},{\&quot;key\&quot;:\&quot;Merchant\&quot;,\&quot;value\&quot;:\&quot;Venmo\&quot;},{\&quot;key\&quot;:\&quot;Amount $\&quot;,\&quot;value\&quot;:-407.24},{\&quot;key\&quot;:\&quot;Transaction_ID\&quot;,\&quot;value\&quot;:\&quot;410dad7e42ad4e2291ff0040542890d1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45},{\&quot;key\&quot;:\&quot;Merchant\&quot;,\&quot;value\&quot;:\&quot;Target\&quot;},{\&quot;key\&quot;:\&quot;Amount $\&quot;,\&quot;value\&quot;:-122.19},{\&quot;key\&quot;:\&quot;Transaction_ID\&quot;,\&quot;value\&quot;:\&quot;9814113fdfd44384a4f50a2d6789f14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44},{\&quot;key\&quot;:\&quot;Merchant\&quot;,\&quot;value\&quot;:\&quot;Netflix\&quot;},{\&quot;key\&quot;:\&quot;Amount $\&quot;,\&quot;value\&quot;:-12.99},{\&quot;key\&quot;:\&quot;Transaction_ID\&quot;,\&quot;value\&quot;:\&quot;66fe1f0c56b9428289cf19e730d9794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43},{\&quot;key\&quot;:\&quot;Merchant\&quot;,\&quot;value\&quot;:\&quot;Internet Payment\&quot;},{\&quot;key\&quot;:\&quot;Amount $\&quot;,\&quot;value\&quot;:620.02},{\&quot;key\&quot;:\&quot;Transaction_ID\&quot;,\&quot;value\&quot;:\&quot;6b07776d5f974f12b4f2932cc6c6f1d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43},{\&quot;key\&quot;:\&quot;Merchant\&quot;,\&quot;value\&quot;:\&quot;Elephant Ins Payroll Lewis\&quot;},{\&quot;key\&quot;:\&quot;Amount $\&quot;,\&quot;value\&quot;:1450.14},{\&quot;key\&quot;:\&quot;Transaction_ID\&quot;,\&quot;value\&quot;:\&quot;2f50f2b86a5645c4a0a6df902f87328e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43},{\&quot;key\&quot;:\&quot;Merchant\&quot;,\&quot;value\&quot;:\&quot;Venmo\&quot;},{\&quot;key\&quot;:\&quot;Amount $\&quot;,\&quot;value\&quot;:-700},{\&quot;key\&quot;:\&quot;Transaction_ID\&quot;,\&quot;value\&quot;:\&quot;26f9c18d12e843fba3adc72e4314b716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43},{\&quot;key\&quot;:\&quot;Merchant\&quot;,\&quot;value\&quot;:\&quot;Discover E Payment Lewis\&quot;},{\&quot;key\&quot;:\&quot;Amount $\&quot;,\&quot;value\&quot;:-620.02},{\&quot;key\&quot;:\&quot;Transaction_ID\&quot;,\&quot;value\&quot;:\&quot;1845afd472b14234b02adc22fad48cab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42},{\&quot;key\&quot;:\&quot;Merchant\&quot;,\&quot;value\&quot;:\&quot;Cash App Don\&quot;},{\&quot;key\&quot;:\&quot;Amount $\&quot;,\&quot;value\&quot;:-50},{\&quot;key\&quot;:\&quot;Transaction_ID\&quot;,\&quot;value\&quot;:\&quot;5b59c98781534d5f8403a096d274b997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42},{\&quot;key\&quot;:\&quot;Merchant\&quot;,\&quot;value\&quot;:\&quot;Americas Best Wings\&quot;},{\&quot;key\&quot;:\&quot;Amount $\&quot;,\&quot;value\&quot;:-25.28},{\&quot;key\&quot;:\&quot;Transaction_ID\&quot;,\&quot;value\&quot;:\&quot;4848c332773e4026909ab752fe01332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41},{\&quot;key\&quot;:\&quot;Merchant\&quot;,\&quot;value\&quot;:\&quot;Walmart\&quot;},{\&quot;key\&quot;:\&quot;Amount $\&quot;,\&quot;value\&quot;:-11.51},{\&quot;key\&quot;:\&quot;Transaction_ID\&quot;,\&quot;value\&quot;:\&quot;2c10d6aa455c4c2b8c758b165ff1652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40},{\&quot;key\&quot;:\&quot;Merchant\&quot;,\&quot;value\&quot;:\&quot;Crunch Fitness\&quot;},{\&quot;key\&quot;:\&quot;Amount $\&quot;,\&quot;value\&quot;:-9.95},{\&quot;key\&quot;:\&quot;Transaction_ID\&quot;,\&quot;value\&quot;:\&quot;62a5b59028c3455ba7732af8cc52fbc9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40},{\&quot;key\&quot;:\&quot;Merchant\&quot;,\&quot;value\&quot;:\&quot;Cash App Don\&quot;},{\&quot;key\&quot;:\&quot;Amount $\&quot;,\&quot;value\&quot;:-210},{\&quot;key\&quot;:\&quot;Transaction_ID\&quot;,\&quot;value\&quot;:\&quot;237fc5f08c4b4f7fadebf38852cecd10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38},{\&quot;key\&quot;:\&quot;Merchant\&quot;,\&quot;value\&quot;:\&quot;Publix\&quot;},{\&quot;key\&quot;:\&quot;Amount $\&quot;,\&quot;value\&quot;:-112.1},{\&quot;key\&quot;:\&quot;Transaction_ID\&quot;,\&quot;value\&quot;:\&quot;bdf7e28422c44e61b6f1607d27af9ae8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38},{\&quot;key\&quot;:\&quot;Merchant\&quot;,\&quot;value\&quot;:\&quot;Walmart\&quot;},{\&quot;key\&quot;:\&quot;Amount $\&quot;,\&quot;value\&quot;:-62.75},{\&quot;key\&quot;:\&quot;Transaction_ID\&quot;,\&quot;value\&quot;:\&quot;66db093beefb4f929a0636059ce81ad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37},{\&quot;key\&quot;:\&quot;Merchant\&quot;,\&quot;value\&quot;:\&quot;Brueggers\&quot;},{\&quot;key\&quot;:\&quot;Amount $\&quot;,\&quot;value\&quot;:-25.77},{\&quot;key\&quot;:\&quot;Transaction_ID\&quot;,\&quot;value\&quot;:\&quot;a951472a1c94445cb2c76404ea59cc55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37},{\&quot;key\&quot;:\&quot;Merchant\&quot;,\&quot;value\&quot;:\&quot;Brueggers\&quot;},{\&quot;key\&quot;:\&quot;Amount $\&quot;,\&quot;value\&quot;:-11.31},{\&quot;key\&quot;:\&quot;Transaction_ID\&quot;,\&quot;value\&quot;:\&quot;7234a3241f704fa5853bafaf390ce5bd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37},{\&quot;key\&quot;:\&quot;Merchant\&quot;,\&quot;value\&quot;:\&quot;Pupatella Wilson B Gosq\&quot;},{\&quot;key\&quot;:\&quot;Amount $\&quot;,\&quot;value\&quot;:-43.2},{\&quot;key\&quot;:\&quot;Transaction_ID\&quot;,\&quot;value\&quot;:\&quot;614c59679ebd47e9a1464b247d67839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37},{\&quot;key\&quot;:\&quot;Merchant\&quot;,\&quot;value\&quot;:\&quot;Exxonmobil\&quot;},{\&quot;key\&quot;:\&quot;Amount $\&quot;,\&quot;value\&quot;:-20.05},{\&quot;key\&quot;:\&quot;Transaction_ID\&quot;,\&quot;value\&quot;:\&quot;19cefc109e374c61806cfd4db5e614e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36},{\&quot;key\&quot;:\&quot;Merchant\&quot;,\&quot;value\&quot;:\&quot;Venmo\&quot;},{\&quot;key\&quot;:\&quot;Amount $\&quot;,\&quot;value\&quot;:-150},{\&quot;key\&quot;:\&quot;Transaction_ID\&quot;,\&quot;value\&quot;:\&quot;5436e51a22a946bdbd0875a71faf09e5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36},{\&quot;key\&quot;:\&quot;Merchant\&quot;,\&quot;value\&quot;:\&quot;Discover E Payment Lewis\&quot;},{\&quot;key\&quot;:\&quot;Amount $\&quot;,\&quot;value\&quot;:-197.57},{\&quot;key\&quot;:\&quot;Transaction_ID\&quot;,\&quot;value\&quot;:\&quot;2ea0cf6df360469a9986dde92792e2fc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36},{\&quot;key\&quot;:\&quot;Merchant\&quot;,\&quot;value\&quot;:\&quot;Internet Payment\&quot;},{\&quot;key\&quot;:\&quot;Amount $\&quot;,\&quot;value\&quot;:197.57},{\&quot;key\&quot;:\&quot;Transaction_ID\&quot;,\&quot;value\&quot;:\&quot;2cd6681e691f4d428355d54410d07e6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35},{\&quot;key\&quot;:\&quot;Merchant\&quot;,\&quot;value\&quot;:\&quot;7 Eleven\&quot;},{\&quot;key\&quot;:\&quot;Amount $\&quot;,\&quot;value\&quot;:-20.87},{\&quot;key\&quot;:\&quot;Transaction_ID\&quot;,\&quot;value\&quot;:\&quot;f69c6108f18442d2bd2014a231fb568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35},{\&quot;key\&quot;:\&quot;Merchant\&quot;,\&quot;value\&quot;:\&quot;River Run Dental\&quot;},{\&quot;key\&quot;:\&quot;Amount $\&quot;,\&quot;value\&quot;:-280},{\&quot;key\&quot;:\&quot;Transaction_ID\&quot;,\&quot;value\&quot;:\&quot;84327ebb2e7444b59bd7b53d1381c6e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35},{\&quot;key\&quot;:\&quot;Merchant\&quot;,\&quot;value\&quot;:\&quot;Target\&quot;},{\&quot;key\&quot;:\&quot;Amount $\&quot;,\&quot;value\&quot;:-193.15},{\&quot;key\&quot;:\&quot;Transaction_ID\&quot;,\&quot;value\&quot;:\&quot;46598873cff94dd18ebcdcfa7fc831d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34},{\&quot;key\&quot;:\&quot;Merchant\&quot;,\&quot;value\&quot;:\&quot;Walmart\&quot;},{\&quot;key\&quot;:\&quot;Amount $\&quot;,\&quot;value\&quot;:-65.54},{\&quot;key\&quot;:\&quot;Transaction_ID\&quot;,\&quot;value\&quot;:\&quot;c48118f120f94f90852d26c4c47cf2b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34},{\&quot;key\&quot;:\&quot;Merchant\&quot;,\&quot;value\&quot;:\&quot;Spotify\&quot;},{\&quot;key\&quot;:\&quot;Amount $\&quot;,\&quot;value\&quot;:-9.99},{\&quot;key\&quot;:\&quot;Transaction_ID\&quot;,\&quot;value\&quot;:\&quot;84f0ab7b67314fcabb236ebccd3a81e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32},{\&quot;key\&quot;:\&quot;Merchant\&quot;,\&quot;value\&quot;:\&quot;Taxing Authority Billpay Lewis\&quot;},{\&quot;key\&quot;:\&quot;Amount $\&quot;,\&quot;value\&quot;:-103.93},{\&quot;key\&quot;:\&quot;Transaction_ID\&quot;,\&quot;value\&quot;:\&quot;6cc5223227bf41c282abd21380f5a65b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31},{\&quot;key\&quot;:\&quot;Merchant\&quot;,\&quot;value\&quot;:\&quot;Nates Bagels\&quot;},{\&quot;key\&quot;:\&quot;Amount $\&quot;,\&quot;value\&quot;:-5.64},{\&quot;key\&quot;:\&quot;Transaction_ID\&quot;,\&quot;value\&quot;:\&quot;72d53b4599444d0a8d974fc57614e8bc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30},{\&quot;key\&quot;:\&quot;Merchant\&quot;,\&quot;value\&quot;:\&quot;Dc Gov'T Payment\&quot;},{\&quot;key\&quot;:\&quot;Amount $\&quot;,\&quot;value\&quot;:-100},{\&quot;key\&quot;:\&quot;Transaction_ID\&quot;,\&quot;value\&quot;:\&quot;d5b5d0f3e9d942339057a2e6b6fc85de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30},{\&quot;key\&quot;:\&quot;Merchant\&quot;,\&quot;value\&quot;:\&quot;Whole Foods\&quot;},{\&quot;key\&quot;:\&quot;Amount $\&quot;,\&quot;value\&quot;:-122.04},{\&quot;key\&quot;:\&quot;Transaction_ID\&quot;,\&quot;value\&quot;:\&quot;bf906fb1e5084cc0a648356fc43da8b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29},{\&quot;key\&quot;:\&quot;Merchant\&quot;,\&quot;value\&quot;:\&quot;Discover E Payment Lewis\&quot;},{\&quot;key\&quot;:\&quot;Amount $\&quot;,\&quot;value\&quot;:-234},{\&quot;key\&quot;:\&quot;Transaction_ID\&quot;,\&quot;value\&quot;:\&quot;efe7ab8e9ad941f0bda2879f14b1ca58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29},{\&quot;key\&quot;:\&quot;Merchant\&quot;,\&quot;value\&quot;:\&quot;Elephant Ins Payroll Lewis\&quot;},{\&quot;key\&quot;:\&quot;Amount $\&quot;,\&quot;value\&quot;:974.28},{\&quot;key\&quot;:\&quot;Transaction_ID\&quot;,\&quot;value\&quot;:\&quot;b71e372e82b94f469f2499ebf656dcf6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29},{\&quot;key\&quot;:\&quot;Merchant\&quot;,\&quot;value\&quot;:\&quot;Cash App Shevon Le\&quot;},{\&quot;key\&quot;:\&quot;Amount $\&quot;,\&quot;value\&quot;:-150},{\&quot;key\&quot;:\&quot;Transaction_ID\&quot;,\&quot;value\&quot;:\&quot;78e082cab82440b68b4bd53daabb05c0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29},{\&quot;key\&quot;:\&quot;Merchant\&quot;,\&quot;value\&quot;:\&quot;Internet Payment\&quot;},{\&quot;key\&quot;:\&quot;Amount $\&quot;,\&quot;value\&quot;:234},{\&quot;key\&quot;:\&quot;Transaction_ID\&quot;,\&quot;value\&quot;:\&quot;00b7d07af60c441cbf2579396342a6b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27},{\&quot;key\&quot;:\&quot;Merchant\&quot;,\&quot;value\&quot;:\&quot;Directpay Full Balance See\&quot;},{\&quot;key\&quot;:\&quot;Amount $\&quot;,\&quot;value\&quot;:407.24},{\&quot;key\&quot;:\&quot;Transaction_ID\&quot;,\&quot;value\&quot;:\&quot;dcaa3d6675354d1eab6b2f8ddafa577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25},{\&quot;key\&quot;:\&quot;Merchant\&quot;,\&quot;value\&quot;:\&quot;The Market\&quot;},{\&quot;key\&quot;:\&quot;Amount $\&quot;,\&quot;value\&quot;:-59.33},{\&quot;key\&quot;:\&quot;Transaction_ID\&quot;,\&quot;value\&quot;:\&quot;cf76242b2efa4835a656879530107f3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23},{\&quot;key\&quot;:\&quot;Merchant\&quot;,\&quot;value\&quot;:\&quot;State Farm\&quot;},{\&quot;key\&quot;:\&quot;Amount $\&quot;,\&quot;value\&quot;:-29.37},{\&quot;key\&quot;:\&quot;Transaction_ID\&quot;,\&quot;value\&quot;:\&quot;1088e605bf4d4f999ea4f06619a5a94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23},{\&quot;key\&quot;:\&quot;Merchant\&quot;,\&quot;value\&quot;:\&quot;Cash App Shevon Le\&quot;},{\&quot;key\&quot;:\&quot;Amount $\&quot;,\&quot;value\&quot;:-180},{\&quot;key\&quot;:\&quot;Transaction_ID\&quot;,\&quot;value\&quot;:\&quot;05929a1d377e4f748f16e9bae9af6ea8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22},{\&quot;key\&quot;:\&quot;Merchant\&quot;,\&quot;value\&quot;:\&quot;Apple Bill Ca Apple\&quot;},{\&quot;key\&quot;:\&quot;Amount $\&quot;,\&quot;value\&quot;:-14.99},{\&quot;key\&quot;:\&quot;Transaction_ID\&quot;,\&quot;value\&quot;:\&quot;b9ed33a2688445aca6a72f15483b47f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22},{\&quot;key\&quot;:\&quot;Merchant\&quot;,\&quot;value\&quot;:\&quot;Crunchyroll\&quot;},{\&quot;key\&quot;:\&quot;Amount $\&quot;,\&quot;value\&quot;:-7.99},{\&quot;key\&quot;:\&quot;Transaction_ID\&quot;,\&quot;value\&quot;:\&quot;063cb8dbd45b4cffb1a6df1c2401acb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21},{\&quot;key\&quot;:\&quot;Merchant\&quot;,\&quot;value\&quot;:\&quot;Amazon\&quot;},{\&quot;key\&quot;:\&quot;Amount $\&quot;,\&quot;value\&quot;:-25.5},{\&quot;key\&quot;:\&quot;Transaction_ID\&quot;,\&quot;value\&quot;:\&quot;8a08778a809e424490ab12fd39bfede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20},{\&quot;key\&quot;:\&quot;Merchant\&quot;,\&quot;value\&quot;:\&quot;Represented Internet Payment\&quot;},{\&quot;key\&quot;:\&quot;Amount $\&quot;,\&quot;value\&quot;:108},{\&quot;key\&quot;:\&quot;Transaction_ID\&quot;,\&quot;value\&quot;:\&quot;9f86a07a567a495a8f2664dbdb57884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20},{\&quot;key\&quot;:\&quot;Merchant\&quot;,\&quot;value\&quot;:\&quot;Returned Check Charge\&quot;},{\&quot;key\&quot;:\&quot;Amount $\&quot;,\&quot;value\&quot;:-29},{\&quot;key\&quot;:\&quot;Transaction_ID\&quot;,\&quot;value\&quot;:\&quot;74b9dd6b1c1e44009e287d0fc9f2c98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20},{\&quot;key\&quot;:\&quot;Merchant\&quot;,\&quot;value\&quot;:\&quot;Internet Payment\&quot;},{\&quot;key\&quot;:\&quot;Amount $\&quot;,\&quot;value\&quot;:80},{\&quot;key\&quot;:\&quot;Transaction_ID\&quot;,\&quot;value\&quot;:\&quot;0896f2a1579d4d9f90304738f0f90f4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20},{\&quot;key\&quot;:\&quot;Merchant\&quot;,\&quot;value\&quot;:\&quot;Returned Internet Pmt\&quot;},{\&quot;key\&quot;:\&quot;Amount $\&quot;,\&quot;value\&quot;:-108},{\&quot;key\&quot;:\&quot;Transaction_ID\&quot;,\&quot;value\&quot;:\&quot;033d67e45ce14230b68ee6e10261702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18},{\&quot;key\&quot;:\&quot;Merchant\&quot;,\&quot;value\&quot;:\&quot;Dri Nvidia Store Orderfind\&quot;},{\&quot;key\&quot;:\&quot;Amount $\&quot;,\&quot;value\&quot;:-4.99},{\&quot;key\&quot;:\&quot;Transaction_ID\&quot;,\&quot;value\&quot;:\&quot;2fde0797860943d4b716481ae65dbeb8\&quot;},{\&quot;key\&quot;:\&quot;Account_ID\&quot;,\&quot;value\&quot;:\&quot;4918dbe6db3e4b9384fdfe7083417a5f\&quot;},{\&quot;key\&quot;:\&quot;Category_ID\&quot;,\&quot;value\&quot;:\&quot;e0bb920d647a52cd84280e8c3044ff66\&quot;},{\&quot;key\&quot;:\&quot;Subcategory_ID\&quot;,\&quot;value\&quot;:\&quot;\&quot;}],[{\&quot;key\&quot;:\&quot;Date\&quot;,\&quot;value\&quot;:44017},{\&quot;key\&quot;:\&quot;Merchant\&quot;,\&quot;value\&quot;:\&quot;Myfico Com\&quot;},{\&quot;key\&quot;:\&quot;Amount $\&quot;,\&quot;value\&quot;:-39.95},{\&quot;key\&quot;:\&quot;Transaction_ID\&quot;,\&quot;value\&quot;:\&quot;abff5fc956a0405ba38cf017ebe94e5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16},{\&quot;key\&quot;:\&quot;Merchant\&quot;,\&quot;value\&quot;:\&quot;Lim Ride Cost\&quot;},{\&quot;key\&quot;:\&quot;Amount $\&quot;,\&quot;value\&quot;:-7.5},{\&quot;key\&quot;:\&quot;Transaction_ID\&quot;,\&quot;value\&quot;:\&quot;a596ef5f5cd14c979182f7c20170a0e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16},{\&quot;key\&quot;:\&quot;Merchant\&quot;,\&quot;value\&quot;:\&quot;A Couple Cents\&quot;},{\&quot;key\&quot;:\&quot;Amount $\&quot;,\&quot;value\&quot;:-7.49},{\&quot;key\&quot;:\&quot;Transaction_ID\&quot;,\&quot;value\&quot;:\&quot;880a1ee563f04592a84fb5149d600b6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16},{\&quot;key\&quot;:\&quot;Merchant\&quot;,\&quot;value\&quot;:\&quot;Sunoco\&quot;},{\&quot;key\&quot;:\&quot;Amount $\&quot;,\&quot;value\&quot;:-0.94},{\&quot;key\&quot;:\&quot;Transaction_ID\&quot;,\&quot;value\&quot;:\&quot;40f64f4962de45b1968f270c9f76a28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16},{\&quot;key\&quot;:\&quot;Merchant\&quot;,\&quot;value\&quot;:\&quot;Sunoco\&quot;},{\&quot;key\&quot;:\&quot;Amount $\&quot;,\&quot;value\&quot;:-25.5},{\&quot;key\&quot;:\&quot;Transaction_ID\&quot;,\&quot;value\&quot;:\&quot;1686b35fe6d7470e9fd759d148fbc0f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15},{\&quot;key\&quot;:\&quot;Merchant\&quot;,\&quot;value\&quot;:\&quot;Internet Payment\&quot;},{\&quot;key\&quot;:\&quot;Amount $\&quot;,\&quot;value\&quot;:89.95},{\&quot;key\&quot;:\&quot;Transaction_ID\&quot;,\&quot;value\&quot;:\&quot;c6615816320f4c58a109cf53347ee47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15},{\&quot;key\&quot;:\&quot;Merchant\&quot;,\&quot;value\&quot;:\&quot;Cvs\&quot;},{\&quot;key\&quot;:\&quot;Amount $\&quot;,\&quot;value\&quot;:-7.6},{\&quot;key\&quot;:\&quot;Transaction_ID\&quot;,\&quot;value\&quot;:\&quot;9f8664534f174b6d85957811b040a97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15},{\&quot;key\&quot;:\&quot;Merchant\&quot;,\&quot;value\&quot;:\&quot;Cashback Bonus Redemption Pymt\&quot;},{\&quot;key\&quot;:\&quot;Amount $\&quot;,\&quot;value\&quot;:25.96},{\&quot;key\&quot;:\&quot;Transaction_ID\&quot;,\&quot;value\&quot;:\&quot;1d793c8acc0e40efaf26763e10e822c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15},{\&quot;key\&quot;:\&quot;Merchant\&quot;,\&quot;value\&quot;:\&quot;Lim Ride Cost\&quot;},{\&quot;key\&quot;:\&quot;Amount $\&quot;,\&quot;value\&quot;:-7.84},{\&quot;key\&quot;:\&quot;Transaction_ID\&quot;,\&quot;value\&quot;:\&quot;13cf96dc78dd4269a1dd8eda8fba7b4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13},{\&quot;key\&quot;:\&quot;Merchant\&quot;,\&quot;value\&quot;:\&quot;Netflix\&quot;},{\&quot;key\&quot;:\&quot;Amount $\&quot;,\&quot;value\&quot;:-12.99},{\&quot;key\&quot;:\&quot;Transaction_ID\&quot;,\&quot;value\&quot;:\&quot;e279913fb8bf45128221cedf4c16510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11},{\&quot;key\&quot;:\&quot;Merchant\&quot;,\&quot;value\&quot;:\&quot;Whole Foods\&quot;},{\&quot;key\&quot;:\&quot;Amount $\&quot;,\&quot;value\&quot;:-50.55},{\&quot;key\&quot;:\&quot;Transaction_ID\&quot;,\&quot;value\&quot;:\&quot;f867dce7edde47eaa94ee630c0e02ec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11},{\&quot;key\&quot;:\&quot;Merchant\&quot;,\&quot;value\&quot;:\&quot;Bedbath&amp;Beyond\&quot;},{\&quot;key\&quot;:\&quot;Amount $\&quot;,\&quot;value\&quot;:-21.05},{\&quot;key\&quot;:\&quot;Transaction_ID\&quot;,\&quot;value\&quot;:\&quot;c7c586d62fa9405795b0b79003ee2a0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11},{\&quot;key\&quot;:\&quot;Merchant\&quot;,\&quot;value\&quot;:\&quot;Lidl Richmond Va\&quot;},{\&quot;key\&quot;:\&quot;Amount $\&quot;,\&quot;value\&quot;:-5.99},{\&quot;key\&quot;:\&quot;Transaction_ID\&quot;,\&quot;value\&quot;:\&quot;5d6d04f0b128449c87f4cce2d8db02f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11},{\&quot;key\&quot;:\&quot;Merchant\&quot;,\&quot;value\&quot;:\&quot;Fas Mart 74\&quot;},{\&quot;key\&quot;:\&quot;Amount $\&quot;,\&quot;value\&quot;:-18.78},{\&quot;key\&quot;:\&quot;Transaction_ID\&quot;,\&quot;value\&quot;:\&quot;0ee78ec83b2b48278c08679cbeaeb1c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09},{\&quot;key\&quot;:\&quot;Merchant\&quot;,\&quot;value\&quot;:\&quot;Panda Express\&quot;},{\&quot;key\&quot;:\&quot;Amount $\&quot;,\&quot;value\&quot;:-23.89},{\&quot;key\&quot;:\&quot;Transaction_ID\&quot;,\&quot;value\&quot;:\&quot;b6c406c402a7495bb03f9b2da520d22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09},{\&quot;key\&quot;:\&quot;Merchant\&quot;,\&quot;value\&quot;:\&quot;Sunoco\&quot;},{\&quot;key\&quot;:\&quot;Amount $\&quot;,\&quot;value\&quot;:-5.13},{\&quot;key\&quot;:\&quot;Transaction_ID\&quot;,\&quot;value\&quot;:\&quot;a1b8cd7f29684e288f376d22ba2c020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09},{\&quot;key\&quot;:\&quot;Merchant\&quot;,\&quot;value\&quot;:\&quot;Kroger\&quot;},{\&quot;key\&quot;:\&quot;Amount $\&quot;,\&quot;value\&quot;:-15.76},{\&quot;key\&quot;:\&quot;Transaction_ID\&quot;,\&quot;value\&quot;:\&quot;73729edb69eb425d9ddc346cc738d6b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08},{\&quot;key\&quot;:\&quot;Merchant\&quot;,\&quot;value\&quot;:\&quot;Crunchyroll Auth Ca A\&quot;},{\&quot;key\&quot;:\&quot;Amount $\&quot;,\&quot;value\&quot;:1},{\&quot;key\&quot;:\&quot;Transaction_ID\&quot;,\&quot;value\&quot;:\&quot;d726dbed50c6461f8d9082bb6c46fa4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08},{\&quot;key\&quot;:\&quot;Merchant\&quot;,\&quot;value\&quot;:\&quot;Crunchyroll Auth Ca $\&quot;},{\&quot;key\&quot;:\&quot;Amount $\&quot;,\&quot;value\&quot;:1},{\&quot;key\&quot;:\&quot;Transaction_ID\&quot;,\&quot;value\&quot;:\&quot;901740bd7e2e4a789b5f3506cd5a611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08},{\&quot;key\&quot;:\&quot;Merchant\&quot;,\&quot;value\&quot;:\&quot;Crunchyroll Auth Ca $\&quot;},{\&quot;key\&quot;:\&quot;Amount $\&quot;,\&quot;value\&quot;:1},{\&quot;key\&quot;:\&quot;Transaction_ID\&quot;,\&quot;value\&quot;:\&quot;35c9fe6237a74485b57b62f77851d48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08},{\&quot;key\&quot;:\&quot;Merchant\&quot;,\&quot;value\&quot;:\&quot;Whole Foods\&quot;},{\&quot;key\&quot;:\&quot;Amount $\&quot;,\&quot;value\&quot;:-39.47},{\&quot;key\&quot;:\&quot;Transaction_ID\&quot;,\&quot;value\&quot;:\&quot;25c744ced727432f94bd87953284129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07},{\&quot;key\&quot;:\&quot;Merchant\&quot;,\&quot;value\&quot;:\&quot;Walmart\&quot;},{\&quot;key\&quot;:\&quot;Amount $\&quot;,\&quot;value\&quot;:-35.39},{\&quot;key\&quot;:\&quot;Transaction_ID\&quot;,\&quot;value\&quot;:\&quot;bff332ee14e54cd98755fb6103c7727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07},{\&quot;key\&quot;:\&quot;Merchant\&quot;,\&quot;value\&quot;:\&quot;Walmart\&quot;},{\&quot;key\&quot;:\&quot;Amount $\&quot;,\&quot;value\&quot;:-8.52},{\&quot;key\&quot;:\&quot;Transaction_ID\&quot;,\&quot;value\&quot;:\&quot;7e39d5f6f40a4081ae9b26dc64013d6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04},{\&quot;key\&quot;:\&quot;Merchant\&quot;,\&quot;value\&quot;:\&quot;Spotify\&quot;},{\&quot;key\&quot;:\&quot;Amount $\&quot;,\&quot;value\&quot;:-9.99},{\&quot;key\&quot;:\&quot;Transaction_ID\&quot;,\&quot;value\&quot;:\&quot;91513c6514274e7a88aa0fc4004d1c6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03},{\&quot;key\&quot;:\&quot;Merchant\&quot;,\&quot;value\&quot;:\&quot;The Kabul\&quot;},{\&quot;key\&quot;:\&quot;Amount $\&quot;,\&quot;value\&quot;:-18.02},{\&quot;key\&quot;:\&quot;Transaction_ID\&quot;,\&quot;value\&quot;:\&quot;ef7fa066f8a842eea636160b96b1862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03},{\&quot;key\&quot;:\&quot;Merchant\&quot;,\&quot;value\&quot;:\&quot;Amazon B\&quot;},{\&quot;key\&quot;:\&quot;Amount $\&quot;,\&quot;value\&quot;:-46.32},{\&quot;key\&quot;:\&quot;Transaction_ID\&quot;,\&quot;value\&quot;:\&quot;943b4a5ef64848c881b1ec33e6228c7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03},{\&quot;key\&quot;:\&quot;Merchant\&quot;,\&quot;value\&quot;:\&quot;Remitonlinecom Rchmnd Pr Co\&quot;},{\&quot;key\&quot;:\&quot;Amount $\&quot;,\&quot;value\&quot;:-43.95},{\&quot;key\&quot;:\&quot;Transaction_ID\&quot;,\&quot;value\&quot;:\&quot;0879639022c64869bdea88dec0deeb1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02},{\&quot;key\&quot;:\&quot;Merchant\&quot;,\&quot;value\&quot;:\&quot;Crystal Car Wash\&quot;},{\&quot;key\&quot;:\&quot;Amount $\&quot;,\&quot;value\&quot;:-22.69},{\&quot;key\&quot;:\&quot;Transaction_ID\&quot;,\&quot;value\&quot;:\&quot;efbdc28c8b0444ad949eed997277770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02},{\&quot;key\&quot;:\&quot;Merchant\&quot;,\&quot;value\&quot;:\&quot;Harbor Park Garage Llc\&quot;},{\&quot;key\&quot;:\&quot;Amount $\&quot;,\&quot;value\&quot;:-10},{\&quot;key\&quot;:\&quot;Transaction_ID\&quot;,\&quot;value\&quot;:\&quot;d04e969d42b543b39380b74e28329c8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02},{\&quot;key\&quot;:\&quot;Merchant\&quot;,\&quot;value\&quot;:\&quot;Lyft\&quot;},{\&quot;key\&quot;:\&quot;Amount $\&quot;,\&quot;value\&quot;:-2.04},{\&quot;key\&quot;:\&quot;Transaction_ID\&quot;,\&quot;value\&quot;:\&quot;9da75e20def648dd938de8f5df7fc24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02},{\&quot;key\&quot;:\&quot;Merchant\&quot;,\&quot;value\&quot;:\&quot;Lyft\&quot;},{\&quot;key\&quot;:\&quot;Amount $\&quot;,\&quot;value\&quot;:-19.6},{\&quot;key\&quot;:\&quot;Transaction_ID\&quot;,\&quot;value\&quot;:\&quot;856282d19ec247c6bffe471e88eea8c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02},{\&quot;key\&quot;:\&quot;Merchant\&quot;,\&quot;value\&quot;:\&quot;Barnes &amp; Noble\&quot;},{\&quot;key\&quot;:\&quot;Amount $\&quot;,\&quot;value\&quot;:-42.88},{\&quot;key\&quot;:\&quot;Transaction_ID\&quot;,\&quot;value\&quot;:\&quot;2b40d9e09253457489bdace59c8a0c0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01},{\&quot;key\&quot;:\&quot;Merchant\&quot;,\&quot;value\&quot;:\&quot;Internet Payment\&quot;},{\&quot;key\&quot;:\&quot;Amount $\&quot;,\&quot;value\&quot;:608.48},{\&quot;key\&quot;:\&quot;Transaction_ID\&quot;,\&quot;value\&quot;:\&quot;f28b93fb02704d61a1ab45b17d83dbf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01},{\&quot;key\&quot;:\&quot;Merchant\&quot;,\&quot;value\&quot;:\&quot;Advance Auto Parts\&quot;},{\&quot;key\&quot;:\&quot;Amount $\&quot;,\&quot;value\&quot;:-15.49},{\&quot;key\&quot;:\&quot;Transaction_ID\&quot;,\&quot;value\&quot;:\&quot;87ba986692db49609c8d46ce0b2d90f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01},{\&quot;key\&quot;:\&quot;Merchant\&quot;,\&quot;value\&quot;:\&quot;Walmart\&quot;},{\&quot;key\&quot;:\&quot;Amount $\&quot;,\&quot;value\&quot;:-92.97},{\&quot;key\&quot;:\&quot;Transaction_ID\&quot;,\&quot;value\&quot;:\&quot;78f427a104aa48d0a8f159e11d601f3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01},{\&quot;key\&quot;:\&quot;Merchant\&quot;,\&quot;value\&quot;:\&quot;Lyft\&quot;},{\&quot;key\&quot;:\&quot;Amount $\&quot;,\&quot;value\&quot;:-22.25},{\&quot;key\&quot;:\&quot;Transaction_ID\&quot;,\&quot;value\&quot;:\&quot;2cb6f3f521144a91afc8fd795792d57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01},{\&quot;key\&quot;:\&quot;Merchant\&quot;,\&quot;value\&quot;:\&quot;Cashback Bonus Redemption Pymt\&quot;},{\&quot;key\&quot;:\&quot;Amount $\&quot;,\&quot;value\&quot;:4.11},{\&quot;key\&quot;:\&quot;Transaction_ID\&quot;,\&quot;value\&quot;:\&quot;1fa9873c0c1d41b7833d5a276c338cb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00},{\&quot;key\&quot;:\&quot;Merchant\&quot;,\&quot;value\&quot;:\&quot;Uber Eats\&quot;},{\&quot;key\&quot;:\&quot;Amount $\&quot;,\&quot;value\&quot;:-3.59},{\&quot;key\&quot;:\&quot;Transaction_ID\&quot;,\&quot;value\&quot;:\&quot;8f1c26865ada498d85147e1eaad01de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00},{\&quot;key\&quot;:\&quot;Merchant\&quot;,\&quot;value\&quot;:\&quot;T Mobile\&quot;},{\&quot;key\&quot;:\&quot;Amount $\&quot;,\&quot;value\&quot;:-86.25},{\&quot;key\&quot;:\&quot;Transaction_ID\&quot;,\&quot;value\&quot;:\&quot;7f7ec8a8f7a14040975ca6a81e8d2a7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4000},{\&quot;key\&quot;:\&quot;Merchant\&quot;,\&quot;value\&quot;:\&quot;Uber Eats\&quot;},{\&quot;key\&quot;:\&quot;Amount $\&quot;,\&quot;value\&quot;:-22.97},{\&quot;key\&quot;:\&quot;Transaction_ID\&quot;,\&quot;value\&quot;:\&quot;3302ebef46634598a41c88c4a179c09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99},{\&quot;key\&quot;:\&quot;Merchant\&quot;,\&quot;value\&quot;:\&quot;Marathon P\&quot;},{\&quot;key\&quot;:\&quot;Amount $\&quot;,\&quot;value\&quot;:-17.62},{\&quot;key\&quot;:\&quot;Transaction_ID\&quot;,\&quot;value\&quot;:\&quot;ae9df564acd74171b72d56087e2ee83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97},{\&quot;key\&quot;:\&quot;Merchant\&quot;,\&quot;value\&quot;:\&quot;Target\&quot;},{\&quot;key\&quot;:\&quot;Amount $\&quot;,\&quot;value\&quot;:-55.72},{\&quot;key\&quot;:\&quot;Transaction_ID\&quot;,\&quot;value\&quot;:\&quot;d94d1d033caa4b08a46faa1942f65b6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97},{\&quot;key\&quot;:\&quot;Merchant\&quot;,\&quot;value\&quot;:\&quot;Bedbath&amp;Beyond\&quot;},{\&quot;key\&quot;:\&quot;Amount $\&quot;,\&quot;value\&quot;:-55.79},{\&quot;key\&quot;:\&quot;Transaction_ID\&quot;,\&quot;value\&quot;:\&quot;ad705487ff1d47d19bb6b4290cdc34d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96},{\&quot;key\&quot;:\&quot;Merchant\&quot;,\&quot;value\&quot;:\&quot;Target\&quot;},{\&quot;key\&quot;:\&quot;Amount $\&quot;,\&quot;value\&quot;:-72.5},{\&quot;key\&quot;:\&quot;Transaction_ID\&quot;,\&quot;value\&quot;:\&quot;c0156f1a15c54df89164b501e2d0f21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95},{\&quot;key\&quot;:\&quot;Merchant\&quot;,\&quot;value\&quot;:\&quot;Walmart\&quot;},{\&quot;key\&quot;:\&quot;Amount $\&quot;,\&quot;value\&quot;:-18.75},{\&quot;key\&quot;:\&quot;Transaction_ID\&quot;,\&quot;value\&quot;:\&quot;6065919996a9455fbaefe4ed23b1b38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95},{\&quot;key\&quot;:\&quot;Merchant\&quot;,\&quot;value\&quot;:\&quot;Take 5 Oil Change\&quot;},{\&quot;key\&quot;:\&quot;Amount $\&quot;,\&quot;value\&quot;:-86.42},{\&quot;key\&quot;:\&quot;Transaction_ID\&quot;,\&quot;value\&quot;:\&quot;4cfe2e7c573940a094835299d2f62b0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94},{\&quot;key\&quot;:\&quot;Merchant\&quot;,\&quot;value\&quot;:\&quot;Chicanos Cocina Bar &amp;\&quot;},{\&quot;key\&quot;:\&quot;Amount $\&quot;,\&quot;value\&quot;:-35.95},{\&quot;key\&quot;:\&quot;Transaction_ID\&quot;,\&quot;value\&quot;:\&quot;ad4ce8e046f64d728cdae6505dd8d76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94},{\&quot;key\&quot;:\&quot;Merchant\&quot;,\&quot;value\&quot;:\&quot;Legends Brewing Co\&quot;},{\&quot;key\&quot;:\&quot;Amount $\&quot;,\&quot;value\&quot;:-17.61},{\&quot;key\&quot;:\&quot;Transaction_ID\&quot;,\&quot;value\&quot;:\&quot;97f219b4cf494169b4e6784a80bb2b6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94},{\&quot;key\&quot;:\&quot;Merchant\&quot;,\&quot;value\&quot;:\&quot;Apple Bill Ca Apple\&quot;},{\&quot;key\&quot;:\&quot;Amount $\&quot;,\&quot;value\&quot;:-14.99},{\&quot;key\&quot;:\&quot;Transaction_ID\&quot;,\&quot;value\&quot;:\&quot;4af1f04d439f45d6bc5b20da04305b2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92},{\&quot;key\&quot;:\&quot;Merchant\&quot;,\&quot;value\&quot;:\&quot;Sine Irish Pub\&quot;},{\&quot;key\&quot;:\&quot;Amount $\&quot;,\&quot;value\&quot;:-42.54},{\&quot;key\&quot;:\&quot;Transaction_ID\&quot;,\&quot;value\&quot;:\&quot;30c849827f5d4ef1a0de2b94b1a881a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91},{\&quot;key\&quot;:\&quot;Merchant\&quot;,\&quot;value\&quot;:\&quot;Lowe's\&quot;},{\&quot;key\&quot;:\&quot;Amount $\&quot;,\&quot;value\&quot;:-47.36},{\&quot;key\&quot;:\&quot;Transaction_ID\&quot;,\&quot;value\&quot;:\&quot;dad811c1401b47bf86864eeba5f222f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90},{\&quot;key\&quot;:\&quot;Merchant\&quot;,\&quot;value\&quot;:\&quot;Tu Transunion Ca\&quot;},{\&quot;key\&quot;:\&quot;Amount $\&quot;,\&quot;value\&quot;:-29.95},{\&quot;key\&quot;:\&quot;Transaction_ID\&quot;,\&quot;value\&quot;:\&quot;b43cb0089aa049cc9e542fe9dcab6ef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90},{\&quot;key\&quot;:\&quot;Merchant\&quot;,\&quot;value\&quot;:\&quot;Marathon P\&quot;},{\&quot;key\&quot;:\&quot;Amount $\&quot;,\&quot;value\&quot;:-16.68},{\&quot;key\&quot;:\&quot;Transaction_ID\&quot;,\&quot;value\&quot;:\&quot;a8e998b817534d5a9e2318fb0138d9d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90},{\&quot;key\&quot;:\&quot;Merchant\&quot;,\&quot;value\&quot;:\&quot;Tu Transunion Ca\&quot;},{\&quot;key\&quot;:\&quot;Amount $\&quot;,\&quot;value\&quot;:-24.95},{\&quot;key\&quot;:\&quot;Transaction_ID\&quot;,\&quot;value\&quot;:\&quot;a449f7e7550d4c6ab72f4a2e66603dc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87},{\&quot;key\&quot;:\&quot;Merchant\&quot;,\&quot;value\&quot;:\&quot;State Farm\&quot;},{\&quot;key\&quot;:\&quot;Amount $\&quot;,\&quot;value\&quot;:-90.79},{\&quot;key\&quot;:\&quot;Transaction_ID\&quot;,\&quot;value\&quot;:\&quot;ee8f9be455f941f7ac8637b5090e19e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87},{\&quot;key\&quot;:\&quot;Merchant\&quot;,\&quot;value\&quot;:\&quot;Netflix\&quot;},{\&quot;key\&quot;:\&quot;Amount $\&quot;,\&quot;value\&quot;:-2.59},{\&quot;key\&quot;:\&quot;Transaction_ID\&quot;,\&quot;value\&quot;:\&quot;b3b26774befd449d8b8e171d97a725c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87},{\&quot;key\&quot;:\&quot;Merchant\&quot;,\&quot;value\&quot;:\&quot;Internet Payment\&quot;},{\&quot;key\&quot;:\&quot;Amount $\&quot;,\&quot;value\&quot;:646.18},{\&quot;key\&quot;:\&quot;Transaction_ID\&quot;,\&quot;value\&quot;:\&quot;3ac8c98d8ffa4b7f9cea80e7cdebb3e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85},{\&quot;key\&quot;:\&quot;Merchant\&quot;,\&quot;value\&quot;:\&quot;Target\&quot;},{\&quot;key\&quot;:\&quot;Amount $\&quot;,\&quot;value\&quot;:-73.7},{\&quot;key\&quot;:\&quot;Transaction_ID\&quot;,\&quot;value\&quot;:\&quot;8f4cff6d2c6040099d9320b66abd468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84},{\&quot;key\&quot;:\&quot;Merchant\&quot;,\&quot;value\&quot;:\&quot;Usps Change Of Address\&quot;},{\&quot;key\&quot;:\&quot;Amount $\&quot;,\&quot;value\&quot;:-1.05},{\&quot;key\&quot;:\&quot;Transaction_ID\&quot;,\&quot;value\&quot;:\&quot;e32f298cabe343dd8c9ed4fd393a94a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83},{\&quot;key\&quot;:\&quot;Merchant\&quot;,\&quot;value\&quot;:\&quot;Target\&quot;},{\&quot;key\&quot;:\&quot;Amount $\&quot;,\&quot;value\&quot;:-9.97},{\&quot;key\&quot;:\&quot;Transaction_ID\&quot;,\&quot;value\&quot;:\&quot;3add53d327ff4c48acfb8557d155117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82},{\&quot;key\&quot;:\&quot;Merchant\&quot;,\&quot;value\&quot;:\&quot;Rich Rental\&quot;},{\&quot;key\&quot;:\&quot;Amount $\&quot;,\&quot;value\&quot;:-63.41},{\&quot;key\&quot;:\&quot;Transaction_ID\&quot;,\&quot;value\&quot;:\&quot;fb536a35121a4e7b8b58abbe0e3a0b8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82},{\&quot;key\&quot;:\&quot;Merchant\&quot;,\&quot;value\&quot;:\&quot;Mcdonald's\&quot;},{\&quot;key\&quot;:\&quot;Amount $\&quot;,\&quot;value\&quot;:-11.67},{\&quot;key\&quot;:\&quot;Transaction_ID\&quot;,\&quot;value\&quot;:\&quot;d4920aef18dc49e7a4dafb7eadf2700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82},{\&quot;key\&quot;:\&quot;Merchant\&quot;,\&quot;value\&quot;:\&quot;Walmart\&quot;},{\&quot;key\&quot;:\&quot;Amount $\&quot;,\&quot;value\&quot;:-14.68},{\&quot;key\&quot;:\&quot;Transaction_ID\&quot;,\&quot;value\&quot;:\&quot;9e55501fbd774d3bb2c76dc643f8033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82},{\&quot;key\&quot;:\&quot;Merchant\&quot;,\&quot;value\&quot;:\&quot;Lowe's\&quot;},{\&quot;key\&quot;:\&quot;Amount $\&quot;,\&quot;value\&quot;:-13.84},{\&quot;key\&quot;:\&quot;Transaction_ID\&quot;,\&quot;value\&quot;:\&quot;22ee39b24cd549adbc109af70d4ff61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81},{\&quot;key\&quot;:\&quot;Merchant\&quot;,\&quot;value\&quot;:\&quot;Bp Bp\&quot;},{\&quot;key\&quot;:\&quot;Amount $\&quot;,\&quot;value\&quot;:-2.55},{\&quot;key\&quot;:\&quot;Transaction_ID\&quot;,\&quot;value\&quot;:\&quot;efcccd76edfc4d88822cc49817925c3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81},{\&quot;key\&quot;:\&quot;Merchant\&quot;,\&quot;value\&quot;:\&quot;Walgreens\&quot;},{\&quot;key\&quot;:\&quot;Amount $\&quot;,\&quot;value\&quot;:-61.98},{\&quot;key\&quot;:\&quot;Transaction_ID\&quot;,\&quot;value\&quot;:\&quot;d45dfe3ebc814604b8e0c2768d50132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81},{\&quot;key\&quot;:\&quot;Merchant\&quot;,\&quot;value\&quot;:\&quot;Mcdonald's\&quot;},{\&quot;key\&quot;:\&quot;Amount $\&quot;,\&quot;value\&quot;:-22.25},{\&quot;key\&quot;:\&quot;Transaction_ID\&quot;,\&quot;value\&quot;:\&quot;abbf6e976cf6440f9da2b74abc2e6b2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81},{\&quot;key\&quot;:\&quot;Merchant\&quot;,\&quot;value\&quot;:\&quot;Cvs\&quot;},{\&quot;key\&quot;:\&quot;Amount $\&quot;,\&quot;value\&quot;:-63.56},{\&quot;key\&quot;:\&quot;Transaction_ID\&quot;,\&quot;value\&quot;:\&quot;a5b39548458f497fbf51866cbd5368f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81},{\&quot;key\&quot;:\&quot;Merchant\&quot;,\&quot;value\&quot;:\&quot;Bp Bp\&quot;},{\&quot;key\&quot;:\&quot;Amount $\&quot;,\&quot;value\&quot;:-17.78},{\&quot;key\&quot;:\&quot;Transaction_ID\&quot;,\&quot;value\&quot;:\&quot;134a20c9b6674e5481285091612ffb9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80},{\&quot;key\&quot;:\&quot;Merchant\&quot;,\&quot;value\&quot;:\&quot;Rich Rental\&quot;},{\&quot;key\&quot;:\&quot;Amount $\&quot;,\&quot;value\&quot;:-83},{\&quot;key\&quot;:\&quot;Transaction_ID\&quot;,\&quot;value\&quot;:\&quot;8a57104cc2d44eaf9e130c6aea68a8f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80},{\&quot;key\&quot;:\&quot;Merchant\&quot;,\&quot;value\&quot;:\&quot;Lowe's\&quot;},{\&quot;key\&quot;:\&quot;Amount $\&quot;,\&quot;value\&quot;:-13.2},{\&quot;key\&quot;:\&quot;Transaction_ID\&quot;,\&quot;value\&quot;:\&quot;815069555629425e8791fde518ee13d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78},{\&quot;key\&quot;:\&quot;Merchant\&quot;,\&quot;value\&quot;:\&quot;Lost Tribe Skin C\&quot;},{\&quot;key\&quot;:\&quot;Amount $\&quot;,\&quot;value\&quot;:-23.9},{\&quot;key\&quot;:\&quot;Transaction_ID\&quot;,\&quot;value\&quot;:\&quot;cbbbd699af164eab846202a083effc9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75},{\&quot;key\&quot;:\&quot;Merchant\&quot;,\&quot;value\&quot;:\&quot;Sunoco\&quot;},{\&quot;key\&quot;:\&quot;Amount $\&quot;,\&quot;value\&quot;:-18.33},{\&quot;key\&quot;:\&quot;Transaction_ID\&quot;,\&quot;value\&quot;:\&quot;e5942dd396a44bb181e7f5165bc0395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75},{\&quot;key\&quot;:\&quot;Merchant\&quot;,\&quot;value\&quot;:\&quot;Sunoco\&quot;},{\&quot;key\&quot;:\&quot;Amount $\&quot;,\&quot;value\&quot;:-4.23},{\&quot;key\&quot;:\&quot;Transaction_ID\&quot;,\&quot;value\&quot;:\&quot;a04816164eca48a7b147b5ab8257b63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75},{\&quot;key\&quot;:\&quot;Merchant\&quot;,\&quot;value\&quot;:\&quot;Uber Eats\&quot;},{\&quot;key\&quot;:\&quot;Amount $\&quot;,\&quot;value\&quot;:-61.09},{\&quot;key\&quot;:\&quot;Transaction_ID\&quot;,\&quot;value\&quot;:\&quot;1895681061cc479eaf531f3346fc511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73},{\&quot;key\&quot;:\&quot;Merchant\&quot;,\&quot;value\&quot;:\&quot;Panda Express\&quot;},{\&quot;key\&quot;:\&quot;Amount $\&quot;,\&quot;value\&quot;:-23.06},{\&quot;key\&quot;:\&quot;Transaction_ID\&quot;,\&quot;value\&quot;:\&quot;fad77f709dd94ae8be7e545c749c97d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73},{\&quot;key\&quot;:\&quot;Merchant\&quot;,\&quot;value\&quot;:\&quot;Internet Payment\&quot;},{\&quot;key\&quot;:\&quot;Amount $\&quot;,\&quot;value\&quot;:447.94},{\&quot;key\&quot;:\&quot;Transaction_ID\&quot;,\&quot;value\&quot;:\&quot;bd4a81a6f6c64163996109a503ab654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73},{\&quot;key\&quot;:\&quot;Merchant\&quot;,\&quot;value\&quot;:\&quot;Kroger\&quot;},{\&quot;key\&quot;:\&quot;Amount $\&quot;,\&quot;value\&quot;:-18},{\&quot;key\&quot;:\&quot;Transaction_ID\&quot;,\&quot;value\&quot;:\&quot;6849f1f17a0b40b58c8f1abe8e38984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71},{\&quot;key\&quot;:\&quot;Merchant\&quot;,\&quot;value\&quot;:\&quot;Target\&quot;},{\&quot;key\&quot;:\&quot;Amount $\&quot;,\&quot;value\&quot;:-58.73},{\&quot;key\&quot;:\&quot;Transaction_ID\&quot;,\&quot;value\&quot;:\&quot;fdd2f0196dc4421289b7cad9c7c230e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71},{\&quot;key\&quot;:\&quot;Merchant\&quot;,\&quot;value\&quot;:\&quot;Crazy Thai Fusion Restau\&quot;},{\&quot;key\&quot;:\&quot;Amount $\&quot;,\&quot;value\&quot;:-44.93},{\&quot;key\&quot;:\&quot;Transaction_ID\&quot;,\&quot;value\&quot;:\&quot;ae90deda51c14729a4ef44dbe9b2914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71},{\&quot;key\&quot;:\&quot;Merchant\&quot;,\&quot;value\&quot;:\&quot;Target\&quot;},{\&quot;key\&quot;:\&quot;Amount $\&quot;,\&quot;value\&quot;:-66.96},{\&quot;key\&quot;:\&quot;Transaction_ID\&quot;,\&quot;value\&quot;:\&quot;83bd13ffdc3f41fb9c67ca1ce7c0811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70},{\&quot;key\&quot;:\&quot;Merchant\&quot;,\&quot;value\&quot;:\&quot;Taco Bell\&quot;},{\&quot;key\&quot;:\&quot;Amount $\&quot;,\&quot;value\&quot;:-7.09},{\&quot;key\&quot;:\&quot;Transaction_ID\&quot;,\&quot;value\&quot;:\&quot;a423c4bf17ec4099bfe1f4a7c7c9a40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69},{\&quot;key\&quot;:\&quot;Merchant\&quot;,\&quot;value\&quot;:\&quot;Target\&quot;},{\&quot;key\&quot;:\&quot;Amount $\&quot;,\&quot;value\&quot;:-30.58},{\&quot;key\&quot;:\&quot;Transaction_ID\&quot;,\&quot;value\&quot;:\&quot;7e21a2c3a0ec4d39af18b434f20b3fd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68},{\&quot;key\&quot;:\&quot;Merchant\&quot;,\&quot;value\&quot;:\&quot;Wegmans\&quot;},{\&quot;key\&quot;:\&quot;Amount $\&quot;,\&quot;value\&quot;:-110.87},{\&quot;key\&quot;:\&quot;Transaction_ID\&quot;,\&quot;value\&quot;:\&quot;cecc7d3ce4d04a2abae53c27b35fafa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68},{\&quot;key\&quot;:\&quot;Merchant\&quot;,\&quot;value\&quot;:\&quot;Tmobile Postpaid Pda Wa\&quot;},{\&quot;key\&quot;:\&quot;Amount $\&quot;,\&quot;value\&quot;:-86.25},{\&quot;key\&quot;:\&quot;Transaction_ID\&quot;,\&quot;value\&quot;:\&quot;bcea223cdcfe456ba6803efa9e6cd53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67},{\&quot;key\&quot;:\&quot;Merchant\&quot;,\&quot;value\&quot;:\&quot;Mcdonald's\&quot;},{\&quot;key\&quot;:\&quot;Amount $\&quot;,\&quot;value\&quot;:-9.52},{\&quot;key\&quot;:\&quot;Transaction_ID\&quot;,\&quot;value\&quot;:\&quot;7ac3f79129a44405933d316a010279e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65},{\&quot;key\&quot;:\&quot;Merchant\&quot;,\&quot;value\&quot;:\&quot;Square Enix Ca Square\&quot;},{\&quot;key\&quot;:\&quot;Amount $\&quot;,\&quot;value\&quot;:-77.94},{\&quot;key\&quot;:\&quot;Transaction_ID\&quot;,\&quot;value\&quot;:\&quot;890bc8e84ca5463f92b35a0f17f66e8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54},{\&quot;key\&quot;:\&quot;Merchant\&quot;,\&quot;value\&quot;:\&quot;Credit Balance Refund\&quot;},{\&quot;key\&quot;:\&quot;Amount $\&quot;,\&quot;value\&quot;:-157.59},{\&quot;key\&quot;:\&quot;Transaction_ID\&quot;,\&quot;value\&quot;:\&quot;ae0142f1f035404a9150698b3bcee48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36},{\&quot;key\&quot;:\&quot;Merchant\&quot;,\&quot;value\&quot;:\&quot;Internet Payment\&quot;},{\&quot;key\&quot;:\&quot;Amount $\&quot;,\&quot;value\&quot;:243.76},{\&quot;key\&quot;:\&quot;Transaction_ID\&quot;,\&quot;value\&quot;:\&quot;b6adaba4d78e42178f9f6eafdff9dcb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36},{\&quot;key\&quot;:\&quot;Merchant\&quot;,\&quot;value\&quot;:\&quot;Directpay Full Balance See\&quot;},{\&quot;key\&quot;:\&quot;Amount $\&quot;,\&quot;value\&quot;:157.59},{\&quot;key\&quot;:\&quot;Transaction_ID\&quot;,\&quot;value\&quot;:\&quot;2aba1c0010fa4e3cab39ace0a9312d4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34},{\&quot;key\&quot;:\&quot;Merchant\&quot;,\&quot;value\&quot;:\&quot;Internet Payment\&quot;},{\&quot;key\&quot;:\&quot;Amount $\&quot;,\&quot;value\&quot;:486.55},{\&quot;key\&quot;:\&quot;Transaction_ID\&quot;,\&quot;value\&quot;:\&quot;4ec6ee2ba42b48e6a52280574b0dd5e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34},{\&quot;key\&quot;:\&quot;Merchant\&quot;,\&quot;value\&quot;:\&quot;Cashback Bonus Redemption Pymt\&quot;},{\&quot;key\&quot;:\&quot;Amount $\&quot;,\&quot;value\&quot;:13.45},{\&quot;key\&quot;:\&quot;Transaction_ID\&quot;,\&quot;value\&quot;:\&quot;23ebef1dd72841c8afd00fdd8efd116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30},{\&quot;key\&quot;:\&quot;Merchant\&quot;,\&quot;value\&quot;:\&quot;Safeway\&quot;},{\&quot;key\&quot;:\&quot;Amount $\&quot;,\&quot;value\&quot;:-0.36},{\&quot;key\&quot;:\&quot;Transaction_ID\&quot;,\&quot;value\&quot;:\&quot;9f8303239f6c49c296fa4390bd9b790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16},{\&quot;key\&quot;:\&quot;Merchant\&quot;,\&quot;value\&quot;:\&quot;LuckyRedwood Cityca\&quot;},{\&quot;key\&quot;:\&quot;Amount $\&quot;,\&quot;value\&quot;:-57.89},{\&quot;key\&quot;:\&quot;Transaction_ID\&quot;,\&quot;value\&quot;:\&quot;91456056bc5b4090ac060b0732336b7d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16},{\&quot;key\&quot;:\&quot;Merchant\&quot;,\&quot;value\&quot;:\&quot;Safeway\&quot;},{\&quot;key\&quot;:\&quot;Amount $\&quot;,\&quot;value\&quot;:-19.43},{\&quot;key\&quot;:\&quot;Transaction_ID\&quot;,\&quot;value\&quot;:\&quot;1a33e363ff744e359f0056f850df89c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15},{\&quot;key\&quot;:\&quot;Merchant\&quot;,\&quot;value\&quot;:\&quot;Safeway\&quot;},{\&quot;key\&quot;:\&quot;Amount $\&quot;,\&quot;value\&quot;:-8.49},{\&quot;key\&quot;:\&quot;Transaction_ID\&quot;,\&quot;value\&quot;:\&quot;f653679bcc7a4aafb03433b0575600f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05},{\&quot;key\&quot;:\&quot;Merchant\&quot;,\&quot;value\&quot;:\&quot;Directpay Full Balance See\&quot;},{\&quot;key\&quot;:\&quot;Amount $\&quot;,\&quot;value\&quot;:52.96},{\&quot;key\&quot;:\&quot;Transaction_ID\&quot;,\&quot;value\&quot;:\&quot;4c6b1920ec154da2a9d5fd54d82fe95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03},{\&quot;key\&quot;:\&quot;Merchant\&quot;,\&quot;value\&quot;:\&quot;La Baguette\&quot;},{\&quot;key\&quot;:\&quot;Amount $\&quot;,\&quot;value\&quot;:-5},{\&quot;key\&quot;:\&quot;Transaction_ID\&quot;,\&quot;value\&quot;:\&quot;232e512cffea46318dd31a76f641efcb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02},{\&quot;key\&quot;:\&quot;Merchant\&quot;,\&quot;value\&quot;:\&quot;Urban Outfitters\&quot;},{\&quot;key\&quot;:\&quot;Amount $\&quot;,\&quot;value\&quot;:-65.38},{\&quot;key\&quot;:\&quot;Transaction_ID\&quot;,\&quot;value\&quot;:\&quot;3866ecb607514598bc5de6833245349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900},{\&quot;key\&quot;:\&quot;Merchant\&quot;,\&quot;value\&quot;:\&quot;Whole Foods\&quot;},{\&quot;key\&quot;:\&quot;Amount $\&quot;,\&quot;value\&quot;:-19.6},{\&quot;key\&quot;:\&quot;Transaction_ID\&quot;,\&quot;value\&quot;:\&quot;374013d6f050454ebb128f91bb4c26a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891},{\&quot;key\&quot;:\&quot;Merchant\&quot;,\&quot;value\&quot;:\&quot;Stafford Place O\&quot;},{\&quot;key\&quot;:\&quot;Amount $\&quot;,\&quot;value\&quot;:-31},{\&quot;key\&quot;:\&quot;Transaction_ID\&quot;,\&quot;value\&quot;:\&quot;6578768cfadf40a9ac5b033ba343439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891},{\&quot;key\&quot;:\&quot;Merchant\&quot;,\&quot;value\&quot;:\&quot;Target\&quot;},{\&quot;key\&quot;:\&quot;Amount $\&quot;,\&quot;value\&quot;:-112.99},{\&quot;key\&quot;:\&quot;Transaction_ID\&quot;,\&quot;value\&quot;:\&quot;42723498c4514663b2cccf4b529abbda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891},{\&quot;key\&quot;:\&quot;Merchant\&quot;,\&quot;value\&quot;:\&quot;Sheetz\&quot;},{\&quot;key\&quot;:\&quot;Amount $\&quot;,\&quot;value\&quot;:-15.11},{\&quot;key\&quot;:\&quot;Transaction_ID\&quot;,\&quot;value\&quot;:\&quot;31050e96464047c99c6a81a25863852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889},{\&quot;key\&quot;:\&quot;Merchant\&quot;,\&quot;value\&quot;:\&quot;Chipotle Mexican Grill\&quot;},{\&quot;key\&quot;:\&quot;Amount $\&quot;,\&quot;value\&quot;:-13.33},{\&quot;key\&quot;:\&quot;Transaction_ID\&quot;,\&quot;value\&quot;:\&quot;f0361a88be1a44a6b4797e2fe7ee816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889},{\&quot;key\&quot;:\&quot;Merchant\&quot;,\&quot;value\&quot;:\&quot;Shake Shack\&quot;},{\&quot;key\&quot;:\&quot;Amount $\&quot;,\&quot;value\&quot;:-4.39},{\&quot;key\&quot;:\&quot;Transaction_ID\&quot;,\&quot;value\&quot;:\&quot;b49425d33fc541e6a4ac0be2eb6a9807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888},{\&quot;key\&quot;:\&quot;Merchant\&quot;,\&quot;value\&quot;:\&quot;Aramark\&quot;},{\&quot;key\&quot;:\&quot;Amount $\&quot;,\&quot;value\&quot;:-9.39},{\&quot;key\&quot;:\&quot;Transaction_ID\&quot;,\&quot;value\&quot;:\&quot;659a1cc6c53e436a8c8c2d9be593f6b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888},{\&quot;key\&quot;:\&quot;Merchant\&quot;,\&quot;value\&quot;:\&quot;Target\&quot;},{\&quot;key\&quot;:\&quot;Amount $\&quot;,\&quot;value\&quot;:-45.26},{\&quot;key\&quot;:\&quot;Transaction_ID\&quot;,\&quot;value\&quot;:\&quot;2f7218d5dd8742a4b488d32ca0dd02dc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887},{\&quot;key\&quot;:\&quot;Merchant\&quot;,\&quot;value\&quot;:\&quot;Bp Pit St\&quot;},{\&quot;key\&quot;:\&quot;Amount $\&quot;,\&quot;value\&quot;:-22.31},{\&quot;key\&quot;:\&quot;Transaction_ID\&quot;,\&quot;value\&quot;:\&quot;d4bf5a56e5e94469a9c752e4a1d3cc2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887},{\&quot;key\&quot;:\&quot;Merchant\&quot;,\&quot;value\&quot;:\&quot;Wob Richmond Tampa Fl\&quot;},{\&quot;key\&quot;:\&quot;Amount $\&quot;,\&quot;value\&quot;:-15},{\&quot;key\&quot;:\&quot;Transaction_ID\&quot;,\&quot;value\&quot;:\&quot;5f0a29a142714527977f1a0f4785ad7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887},{\&quot;key\&quot;:\&quot;Merchant\&quot;,\&quot;value\&quot;:\&quot;Reg Shortpump\&quot;},{\&quot;key\&quot;:\&quot;Amount $\&quot;,\&quot;value\&quot;:-11.04},{\&quot;key\&quot;:\&quot;Transaction_ID\&quot;,\&quot;value\&quot;:\&quot;4d8ddb61949f483ab31b3dcb70ba079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886},{\&quot;key\&quot;:\&quot;Merchant\&quot;,\&quot;value\&quot;:\&quot;Aldi\&quot;},{\&quot;key\&quot;:\&quot;Amount $\&quot;,\&quot;value\&quot;:-21.77},{\&quot;key\&quot;:\&quot;Transaction_ID\&quot;,\&quot;value\&quot;:\&quot;df6b2b29df8f4e9989420a6208af568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886},{\&quot;key\&quot;:\&quot;Merchant\&quot;,\&quot;value\&quot;:\&quot;Carytown Burgers &amp;\&quot;},{\&quot;key\&quot;:\&quot;Amount $\&quot;,\&quot;value\&quot;:-20},{\&quot;key\&quot;:\&quot;Transaction_ID\&quot;,\&quot;value\&quot;:\&quot;8e75254238e9444f880401174f59cac8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885},{\&quot;key\&quot;:\&quot;Merchant\&quot;,\&quot;value\&quot;:\&quot;Brunch\&quot;},{\&quot;key\&quot;:\&quot;Amount $\&quot;,\&quot;value\&quot;:-25},{\&quot;key\&quot;:\&quot;Transaction_ID\&quot;,\&quot;value\&quot;:\&quot;a2cde2ab195748b1b91d09697a0a507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884},{\&quot;key\&quot;:\&quot;Merchant\&quot;,\&quot;value\&quot;:\&quot;Sauce &amp; Toss 2\&quot;},{\&quot;key\&quot;:\&quot;Amount $\&quot;,\&quot;value\&quot;:-29.33},{\&quot;key\&quot;:\&quot;Transaction_ID\&quot;,\&quot;value\&quot;:\&quot;5904dc7aae5149d091e8debd1068876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883},{\&quot;key\&quot;:\&quot;Merchant\&quot;,\&quot;value\&quot;:\&quot;Bp Bp\&quot;},{\&quot;key\&quot;:\&quot;Amount $\&quot;,\&quot;value\&quot;:-20.51},{\&quot;key\&quot;:\&quot;Transaction_ID\&quot;,\&quot;value\&quot;:\&quot;fef50a265b6f4fd489ac777922a88fc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883},{\&quot;key\&quot;:\&quot;Merchant\&quot;,\&quot;value\&quot;:\&quot;Panera Bread\&quot;},{\&quot;key\&quot;:\&quot;Amount $\&quot;,\&quot;value\&quot;:-22.52},{\&quot;key\&quot;:\&quot;Transaction_ID\&quot;,\&quot;value\&quot;:\&quot;5bf07360ee0f4f45bc1eea2a15b7d901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883},{\&quot;key\&quot;:\&quot;Merchant\&quot;,\&quot;value\&quot;:\&quot;Gabriel Bros\&quot;},{\&quot;key\&quot;:\&quot;Amount $\&quot;,\&quot;value\&quot;:-28.61},{\&quot;key\&quot;:\&quot;Transaction_ID\&quot;,\&quot;value\&quot;:\&quot;4f4c9e4d62f44412a5d9e33387e31b00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883},{\&quot;key\&quot;:\&quot;Merchant\&quot;,\&quot;value\&quot;:\&quot;Aromas Coffeehouse Nn\&quot;},{\&quot;key\&quot;:\&quot;Amount $\&quot;,\&quot;value\&quot;:-50.57},{\&quot;key\&quot;:\&quot;Transaction_ID\&quot;,\&quot;value\&quot;:\&quot;09c7816b61cc4928965ac2073de53d12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882},{\&quot;key\&quot;:\&quot;Merchant\&quot;,\&quot;value\&quot;:\&quot;Target\&quot;},{\&quot;key\&quot;:\&quot;Amount $\&quot;,\&quot;value\&quot;:-69.48},{\&quot;key\&quot;:\&quot;Transaction_ID\&quot;,\&quot;value\&quot;:\&quot;e9e3068ef4464cf8b721a30c1a819a9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878},{\&quot;key\&quot;:\&quot;Merchant\&quot;,\&quot;value\&quot;:\&quot;Aramark\&quot;},{\&quot;key\&quot;:\&quot;Amount $\&quot;,\&quot;value\&quot;:-1.4},{\&quot;key\&quot;:\&quot;Transaction_ID\&quot;,\&quot;value\&quot;:\&quot;ecfad79eb30a4867a544c16e9bef98d5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877},{\&quot;key\&quot;:\&quot;Merchant\&quot;,\&quot;value\&quot;:\&quot;Aldi\&quot;},{\&quot;key\&quot;:\&quot;Amount $\&quot;,\&quot;value\&quot;:-51.56},{\&quot;key\&quot;:\&quot;Transaction_ID\&quot;,\&quot;value\&quot;:\&quot;d0b07ab739194cb78f0e72756ec465df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873},{\&quot;key\&quot;:\&quot;Merchant\&quot;,\&quot;value\&quot;:\&quot;Internet Payment\&quot;},{\&quot;key\&quot;:\&quot;Amount $\&quot;,\&quot;value\&quot;:816.9},{\&quot;key\&quot;:\&quot;Transaction_ID\&quot;,\&quot;value\&quot;:\&quot;f2522e2a847b44d0927cbb5ce236b0fe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854},{\&quot;key\&quot;:\&quot;Merchant\&quot;,\&quot;value\&quot;:\&quot;Allianz Travel Ins\&quot;},{\&quot;key\&quot;:\&quot;Amount $\&quot;,\&quot;value\&quot;:-23.63},{\&quot;key\&quot;:\&quot;Transaction_ID\&quot;,\&quot;value\&quot;:\&quot;0820f0e7f7ad4074bbd0bd56c3f7b3c9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853},{\&quot;key\&quot;:\&quot;Merchant\&quot;,\&quot;value\&quot;:\&quot;Jetblue\&quot;},{\&quot;key\&quot;:\&quot;Amount $\&quot;,\&quot;value\&quot;:-310.41},{\&quot;key\&quot;:\&quot;Transaction_ID\&quot;,\&quot;value\&quot;:\&quot;f62a072ae8954e298978e716f72c33c6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851},{\&quot;key\&quot;:\&quot;Merchant\&quot;,\&quot;value\&quot;:\&quot;Internet Payment\&quot;},{\&quot;key\&quot;:\&quot;Amount $\&quot;,\&quot;value\&quot;:189.87},{\&quot;key\&quot;:\&quot;Transaction_ID\&quot;,\&quot;value\&quot;:\&quot;e1588d7a956b4d2bb6f4356f47852253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,[{\&quot;key\&quot;:\&quot;Date\&quot;,\&quot;value\&quot;:43851},{\&quot;key\&quot;:\&quot;Merchant\&quot;,\&quot;value\&quot;:\&quot;Cashback Bonus Redemption Pymt\&quot;},{\&quot;key\&quot;:\&quot;Amount $\&quot;,\&quot;value\&quot;:10.13},{\&quot;key\&quot;:\&quot;Transaction_ID\&quot;,\&quot;value\&quot;:\&quot;8c5fee76d03949c3ac80e4e89d657b54\&quot;},{\&quot;key\&quot;:\&quot;Account_ID\&quot;,\&quot;value\&quot;:\&quot;0048d75f4d1d47f3b69428db4a68f3dd\&quot;},{\&quot;key\&quot;:\&quot;Category_ID\&quot;,\&quot;value\&quot;:\&quot;e0bb920d647a52cd84280e8c3044ff66\&quot;},{\&quot;key\&quot;:\&quot;Subcategory_ID\&quot;,\&quot;value\&quot;:\&quot;\&quot;}]]],[\&quot;MonthlyBudgetTable\&quot;,[[{\&quot;key\&quot;:\&quot;Budget\&quot;,\&quot;value\&quot;:166.67},{\&quot;key\&quot;:\&quot;Id\&quot;,\&quot;value\&quot;:\&quot;4bad4fab9cef37652129e2fb9ae412bd\&quot;},{\&quot;key\&quot;:\&quot;CategoryId\&quot;,\&quot;value\&quot;:\&quot;013119218f2e4bdd86aa9097992873f8\&quot;}],[{\&quot;key\&quot;:\&quot;Budget\&quot;,\&quot;value\&quot;:0},{\&quot;key\&quot;:\&quot;Id\&quot;,\&quot;value\&quot;:\&quot;8bf2fa3c422ce7c01aa729b86fd317ca\&quot;},{\&quot;key\&quot;:\&quot;CategoryId\&quot;,\&quot;value\&quot;:\&quot;9fa283df10474311b55af8d4cf39d146\&quot;}],[{\&quot;key\&quot;:\&quot;Budget\&quot;,\&quot;value\&quot;:0},{\&quot;key\&quot;:\&quot;Id\&quot;,\&quot;value\&quot;:\&quot;9a17813416cd2f73e1a3b05ecd95b030\&quot;},{\&quot;key\&quot;:\&quot;CategoryId\&quot;,\&quot;value\&quot;:\&quot;1c7ed344fd3c47f1b0c4926eb05c305c\&quot;}],[{\&quot;key\&quot;:\&quot;Budget\&quot;,\&quot;value\&quot;:0},{\&quot;key\&quot;:\&quot;Id\&quot;,\&quot;value\&quot;:\&quot;9b7ea94e1ac9c9f0049843a4fb9f75cc\&quot;},{\&quot;key\&quot;:\&quot;CategoryId\&quot;,\&quot;value\&quot;:\&quot;cc336735a5324e28bf4f3414f7548cf1\&quot;}],[{\&quot;key\&quot;:\&quot;Budget\&quot;,\&quot;value\&quot;:0},{\&quot;key\&quot;:\&quot;Id\&quot;,\&quot;value\&quot;:\&quot;e86f3711b54c5c619040b4f3b1030c8b\&quot;},{\&quot;key\&quot;:\&quot;CategoryId\&quot;,\&quot;value\&quot;:\&quot;ca8ac7c19b84437194c3fe5508eb8bda\&quot;}],[{\&quot;key\&quot;:\&quot;Budget\&quot;,\&quot;value\&quot;:0},{\&quot;key\&quot;:\&quot;Id\&quot;,\&quot;value\&quot;:\&quot;8bf2fa3c422ce7c01aa729b86fd317ca\&quot;},{\&quot;key\&quot;:\&quot;CategoryId\&quot;,\&quot;value\&quot;:\&quot;9fa283df10474311b55af8d4cf39d146\&quot;}],[{\&quot;key\&quot;:\&quot;Budget\&quot;,\&quot;value\&quot;:583.33},{\&quot;key\&quot;:\&quot;Id\&quot;,\&quot;value\&quot;:\&quot;425f0e5d1891a2356bf02b1bacf97582\&quot;},{\&quot;key\&quot;:\&quot;CategoryId\&quot;,\&quot;value\&quot;:\&quot;fec746a44521f2118fef19237dbf4f91\&quot;}],[{\&quot;key\&quot;:\&quot;Budget\&quot;,\&quot;value\&quot;:0},{\&quot;key\&quot;:\&quot;Id\&quot;,\&quot;value\&quot;:\&quot;9a17813416cd2f73e1a3b05ecd95b030\&quot;},{\&quot;key\&quot;:\&quot;CategoryId\&quot;,\&quot;value\&quot;:\&quot;1c7ed344fd3c47f1b0c4926eb05c305c\&quot;}],[{\&quot;key\&quot;:\&quot;Budget\&quot;,\&quot;value\&quot;:933.34},{\&quot;key\&quot;:\&quot;Id\&quot;,\&quot;value\&quot;:\&quot;ab6a434403fb7a1c3d0a7a939c69f212\&quot;},{\&quot;key\&quot;:\&quot;CategoryId\&quot;,\&quot;value\&quot;:\&quot;0613345f0a8b4edfb294d0fdc6fe7382\&quot;}],[{\&quot;key\&quot;:\&quot;Budget\&quot;,\&quot;value\&quot;:83.33},{\&quot;key\&quot;:\&quot;Id\&quot;,\&quot;value\&quot;:\&quot;3344ca939b86fe6f3b5a598106d01851\&quot;},{\&quot;key\&quot;:\&quot;CategoryId\&quot;,\&quot;value\&quot;:\&quot;fc644bd9ea3a9fa6cdcd5fd08cd93f11\&quot;}],[{\&quot;key\&quot;:\&quot;Budget\&quot;,\&quot;value\&quot;:250},{\&quot;key\&quot;:\&quot;Id\&quot;,\&quot;value\&quot;:\&quot;3840bcf04fc0fec5cfdfdc530fed7f54\&quot;},{\&quot;key\&quot;:\&quot;CategoryId\&quot;,\&quot;value\&quot;:\&quot;fb81ce070826aab24513c89fbfe939e9\&quot;}],[{\&quot;key\&quot;:\&quot;Budget\&quot;,\&quot;value\&quot;:166.67},{\&quot;key\&quot;:\&quot;Id\&quot;,\&quot;value\&quot;:\&quot;4bad4fab9cef37652129e2fb9ae412bd\&quot;},{\&quot;key\&quot;:\&quot;CategoryId\&quot;,\&quot;value\&quot;:\&quot;013119218f2e4bdd86aa9097992873f8\&quot;}],[{\&quot;key\&quot;:\&quot;Budget\&quot;,\&quot;value\&quot;:250},{\&quot;key\&quot;:\&quot;Id\&quot;,\&quot;value\&quot;:\&quot;60fcc6d310f407e2235bd78359788891\&quot;},{\&quot;key\&quot;:\&quot;CategoryId\&quot;,\&quot;value\&quot;:\&quot;f9fd776a16da81a948d166fcd5952d14\&quot;}],[{\&quot;key\&quot;:\&quot;Budget\&quot;,\&quot;value\&quot;:0},{\&quot;key\&quot;:\&quot;Id\&quot;,\&quot;value\&quot;:\&quot;9b7ea94e1ac9c9f0049843a4fb9f75cc\&quot;},{\&quot;key\&quot;:\&quot;CategoryId\&quot;,\&quot;value\&quot;:\&quot;cc336735a5324e28bf4f3414f7548cf1\&quot;}],[{\&quot;key\&quot;:\&quot;Budget\&quot;,\&quot;value\&quot;:250},{\&quot;key\&quot;:\&quot;Id\&quot;,\&quot;value\&quot;:\&quot;c6971a0cf0b82e2c67fa887136ee4ea2\&quot;},{\&quot;key\&quot;:\&quot;CategoryId\&quot;,\&quot;value\&quot;:\&quot;1c99e2ba30f14dbfb79dfa7d009e0924\&quot;}]]],[\&quot;MonthlyBudget!MonthlyBudgetFavoriteCategory1\&quot;,[[\&quot;Groceries\&quot;]]],[\&quot;MonthlyBudget!MonthlyBudgetFavoriteCategory2\&quot;,[[\&quot;Shopping\&quot;]]]]&quot;"/>
    <we:property name="populated" value="true"/>
    <we:property name="templateVersion" value="&quot;4.0.0&quot;"/>
  </we:properties>
  <we:bindings>
    <we:binding id="NotificationCategoryCustom" type="matrix" appref="{6D445C20-6454-40EE-9973-8EC62192A72C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30C10-BA6A-4ABC-981C-519A6B09C03D}">
  <dimension ref="A1:Q26"/>
  <sheetViews>
    <sheetView topLeftCell="B1" zoomScale="70" zoomScaleNormal="70" workbookViewId="0">
      <selection activeCell="P17" sqref="P17"/>
    </sheetView>
  </sheetViews>
  <sheetFormatPr defaultRowHeight="15"/>
  <cols>
    <col min="1" max="1" width="27.140625" style="167" bestFit="1" customWidth="1"/>
    <col min="2" max="14" width="27.140625" style="167" customWidth="1"/>
    <col min="15" max="15" width="27.85546875" style="167" customWidth="1"/>
    <col min="16" max="16" width="30.42578125" style="167" customWidth="1"/>
    <col min="17" max="17" width="28" style="167" customWidth="1"/>
    <col min="18" max="16384" width="9.140625" style="167"/>
  </cols>
  <sheetData>
    <row r="1" spans="1:17" ht="72.75" customHeight="1" thickBot="1">
      <c r="A1" s="165"/>
      <c r="B1" s="163" t="s">
        <v>3380</v>
      </c>
      <c r="C1" s="163" t="s">
        <v>3381</v>
      </c>
      <c r="D1" s="163" t="s">
        <v>3382</v>
      </c>
      <c r="E1" s="163" t="s">
        <v>3383</v>
      </c>
      <c r="F1" s="163" t="s">
        <v>3384</v>
      </c>
      <c r="G1" s="163" t="s">
        <v>3385</v>
      </c>
      <c r="H1" s="161" t="s">
        <v>3386</v>
      </c>
      <c r="I1" s="163" t="s">
        <v>3387</v>
      </c>
      <c r="J1" s="163" t="s">
        <v>3388</v>
      </c>
      <c r="K1" s="163" t="s">
        <v>3389</v>
      </c>
      <c r="L1" s="163" t="s">
        <v>3390</v>
      </c>
      <c r="M1" s="163" t="s">
        <v>3391</v>
      </c>
      <c r="N1" s="163" t="s">
        <v>3392</v>
      </c>
      <c r="O1" s="163" t="s">
        <v>3393</v>
      </c>
      <c r="P1" s="163" t="s">
        <v>3394</v>
      </c>
      <c r="Q1" s="159"/>
    </row>
    <row r="2" spans="1:17" ht="15.75" thickBot="1">
      <c r="A2" s="157" t="s">
        <v>3395</v>
      </c>
      <c r="B2" s="157"/>
      <c r="C2" s="157"/>
      <c r="D2" s="157"/>
      <c r="E2" s="157"/>
      <c r="F2" s="157"/>
      <c r="G2" s="157"/>
      <c r="H2" s="157"/>
      <c r="I2" s="157"/>
      <c r="J2" s="157"/>
      <c r="K2" s="166"/>
      <c r="L2" s="166"/>
      <c r="M2" s="166"/>
      <c r="N2" s="157"/>
      <c r="O2" s="166"/>
      <c r="P2" s="166"/>
      <c r="Q2" s="164"/>
    </row>
    <row r="3" spans="1:17" ht="17.25" customHeight="1" thickBot="1">
      <c r="A3" s="162" t="s">
        <v>3396</v>
      </c>
      <c r="B3" s="162"/>
      <c r="C3" s="162"/>
      <c r="D3" s="162"/>
      <c r="E3" s="162"/>
      <c r="F3" s="162"/>
      <c r="G3" s="162"/>
      <c r="H3" s="162"/>
      <c r="I3" s="162"/>
      <c r="J3" s="160">
        <v>0</v>
      </c>
      <c r="K3" s="160">
        <v>0</v>
      </c>
      <c r="L3" s="160">
        <v>0</v>
      </c>
      <c r="M3" s="158">
        <v>0</v>
      </c>
      <c r="N3" s="160">
        <v>0</v>
      </c>
      <c r="O3" s="160">
        <v>0</v>
      </c>
      <c r="P3" s="156">
        <v>1200</v>
      </c>
      <c r="Q3" s="169"/>
    </row>
    <row r="4" spans="1:17" ht="15" customHeight="1" thickBot="1">
      <c r="A4" s="170" t="s">
        <v>3397</v>
      </c>
      <c r="B4" s="171">
        <v>4098.37</v>
      </c>
      <c r="C4" s="170"/>
      <c r="D4" s="170"/>
      <c r="E4" s="170"/>
      <c r="F4" s="170"/>
      <c r="G4" s="170"/>
      <c r="H4" s="170"/>
      <c r="I4" s="170"/>
      <c r="J4" s="170"/>
      <c r="K4" s="171">
        <v>224.74</v>
      </c>
      <c r="L4" s="171"/>
      <c r="M4" s="171"/>
      <c r="N4" s="171"/>
      <c r="O4" s="171"/>
      <c r="P4" s="171"/>
      <c r="Q4" s="171"/>
    </row>
    <row r="5" spans="1:17" ht="15" customHeight="1" thickBot="1">
      <c r="A5" s="162" t="s">
        <v>3398</v>
      </c>
      <c r="B5" s="160">
        <v>0</v>
      </c>
      <c r="C5" s="171">
        <v>4.8600000000000003</v>
      </c>
      <c r="D5" s="171">
        <v>4.8600000000000003</v>
      </c>
      <c r="E5" s="171">
        <v>4.8600000000000003</v>
      </c>
      <c r="F5" s="171">
        <v>4.8600000000000003</v>
      </c>
      <c r="G5" s="171">
        <v>4.8600000000000003</v>
      </c>
      <c r="H5" s="171">
        <v>4.8600000000000003</v>
      </c>
      <c r="I5" s="171">
        <v>4.8600000000000003</v>
      </c>
      <c r="J5" s="171">
        <v>4.8600000000000003</v>
      </c>
      <c r="K5" s="156">
        <v>4.8600000000000003</v>
      </c>
      <c r="L5" s="171">
        <v>4.8600000000000003</v>
      </c>
      <c r="M5" s="171">
        <v>4.8600000000000003</v>
      </c>
      <c r="N5" s="171">
        <v>4.8600000000000003</v>
      </c>
      <c r="O5" s="171">
        <v>4.8600000000000003</v>
      </c>
      <c r="P5" s="171">
        <v>4.8600000000000003</v>
      </c>
      <c r="Q5" s="172"/>
    </row>
    <row r="6" spans="1:17" ht="15" customHeight="1" thickBot="1">
      <c r="A6" s="170" t="s">
        <v>3399</v>
      </c>
      <c r="B6" s="173">
        <v>0</v>
      </c>
      <c r="C6" s="156">
        <v>20</v>
      </c>
      <c r="D6" s="156">
        <v>20</v>
      </c>
      <c r="E6" s="156">
        <v>20</v>
      </c>
      <c r="F6" s="156">
        <v>20</v>
      </c>
      <c r="G6" s="156">
        <v>20</v>
      </c>
      <c r="H6" s="156">
        <v>20</v>
      </c>
      <c r="I6" s="156">
        <v>20</v>
      </c>
      <c r="J6" s="156">
        <v>20</v>
      </c>
      <c r="K6" s="171">
        <v>20</v>
      </c>
      <c r="L6" s="156">
        <v>20</v>
      </c>
      <c r="M6" s="156">
        <v>20</v>
      </c>
      <c r="N6" s="156">
        <v>20</v>
      </c>
      <c r="O6" s="156">
        <v>20</v>
      </c>
      <c r="P6" s="156">
        <v>20</v>
      </c>
      <c r="Q6" s="169"/>
    </row>
    <row r="7" spans="1:17" ht="15.75" thickBot="1">
      <c r="A7" s="162" t="s">
        <v>3400</v>
      </c>
      <c r="B7" s="156">
        <v>2700</v>
      </c>
      <c r="C7" s="171">
        <v>3000</v>
      </c>
      <c r="D7" s="171">
        <v>3000</v>
      </c>
      <c r="E7" s="171">
        <v>3000</v>
      </c>
      <c r="F7" s="171">
        <v>3000</v>
      </c>
      <c r="G7" s="171">
        <v>3000</v>
      </c>
      <c r="H7" s="171">
        <v>3000</v>
      </c>
      <c r="I7" s="171">
        <v>3000</v>
      </c>
      <c r="J7" s="171">
        <v>3000</v>
      </c>
      <c r="K7" s="156">
        <v>3000</v>
      </c>
      <c r="L7" s="171">
        <v>3000</v>
      </c>
      <c r="M7" s="171">
        <v>3000</v>
      </c>
      <c r="N7" s="171">
        <v>3000</v>
      </c>
      <c r="O7" s="171">
        <v>3000</v>
      </c>
      <c r="P7" s="171">
        <v>3076.93</v>
      </c>
      <c r="Q7" s="172"/>
    </row>
    <row r="8" spans="1:17" ht="15.75" thickBot="1">
      <c r="A8" s="174" t="s">
        <v>3401</v>
      </c>
      <c r="B8" s="174"/>
      <c r="C8" s="174"/>
      <c r="D8" s="174"/>
      <c r="E8" s="174"/>
      <c r="F8" s="174"/>
      <c r="G8" s="174"/>
      <c r="H8" s="174"/>
      <c r="I8" s="174"/>
      <c r="J8" s="174"/>
      <c r="K8" s="175"/>
      <c r="L8" s="175"/>
      <c r="M8" s="175"/>
      <c r="N8" s="175"/>
      <c r="O8" s="175"/>
      <c r="P8" s="175"/>
      <c r="Q8" s="176"/>
    </row>
    <row r="9" spans="1:17" ht="17.25" customHeight="1" thickBot="1">
      <c r="A9" s="162" t="s">
        <v>3402</v>
      </c>
      <c r="B9" s="162"/>
      <c r="C9" s="162"/>
      <c r="D9" s="162"/>
      <c r="E9" s="162"/>
      <c r="F9" s="162"/>
      <c r="G9" s="162"/>
      <c r="H9" s="162"/>
      <c r="I9" s="162"/>
      <c r="J9" s="162"/>
      <c r="K9" s="156">
        <v>150</v>
      </c>
      <c r="L9" s="156"/>
      <c r="M9" s="156"/>
      <c r="N9" s="156"/>
      <c r="O9" s="156"/>
      <c r="P9" s="156"/>
      <c r="Q9" s="156"/>
    </row>
    <row r="10" spans="1:17" ht="15" customHeight="1" thickBot="1">
      <c r="A10" s="170" t="s">
        <v>3403</v>
      </c>
      <c r="B10" s="170"/>
      <c r="C10" s="170"/>
      <c r="D10" s="170"/>
      <c r="E10" s="170"/>
      <c r="F10" s="170"/>
      <c r="G10" s="170"/>
      <c r="H10" s="170"/>
      <c r="I10" s="170"/>
      <c r="J10" s="170"/>
      <c r="K10" s="171">
        <v>38.47</v>
      </c>
      <c r="L10" s="171">
        <v>38.47</v>
      </c>
      <c r="M10" s="171">
        <v>38.47</v>
      </c>
      <c r="N10" s="171">
        <v>38.47</v>
      </c>
      <c r="O10" s="171">
        <v>38.47</v>
      </c>
      <c r="P10" s="171">
        <v>38.47</v>
      </c>
      <c r="Q10" s="172"/>
    </row>
    <row r="11" spans="1:17" ht="15" customHeight="1" thickBot="1">
      <c r="A11" s="162" t="s">
        <v>3404</v>
      </c>
      <c r="B11" s="171">
        <v>1225.93</v>
      </c>
      <c r="C11" s="156">
        <v>363.68</v>
      </c>
      <c r="D11" s="156">
        <v>363.68</v>
      </c>
      <c r="E11" s="156">
        <v>363.64</v>
      </c>
      <c r="F11" s="156">
        <v>363.64</v>
      </c>
      <c r="G11" s="156">
        <v>363.64</v>
      </c>
      <c r="H11" s="156">
        <v>363.64</v>
      </c>
      <c r="I11" s="156">
        <v>363.64</v>
      </c>
      <c r="J11" s="156">
        <v>363.64</v>
      </c>
      <c r="K11" s="156">
        <v>413.09</v>
      </c>
      <c r="L11" s="156">
        <v>363.64</v>
      </c>
      <c r="M11" s="156">
        <v>363.64</v>
      </c>
      <c r="N11" s="156">
        <v>310.83999999999997</v>
      </c>
      <c r="O11" s="156">
        <v>310.83999999999997</v>
      </c>
      <c r="P11" s="156">
        <v>569.29</v>
      </c>
      <c r="Q11" s="169"/>
    </row>
    <row r="12" spans="1:17" ht="17.25" customHeight="1" thickBot="1">
      <c r="A12" s="170" t="s">
        <v>3405</v>
      </c>
      <c r="B12" s="160">
        <v>0</v>
      </c>
      <c r="C12" s="171">
        <v>54.77</v>
      </c>
      <c r="D12" s="171">
        <v>54.77</v>
      </c>
      <c r="E12" s="171">
        <v>54.77</v>
      </c>
      <c r="F12" s="171">
        <v>54.77</v>
      </c>
      <c r="G12" s="171">
        <v>54.77</v>
      </c>
      <c r="H12" s="171">
        <v>54.77</v>
      </c>
      <c r="I12" s="171">
        <v>54.77</v>
      </c>
      <c r="J12" s="171">
        <v>54.77</v>
      </c>
      <c r="K12" s="171">
        <v>54.77</v>
      </c>
      <c r="L12" s="171">
        <v>54.77</v>
      </c>
      <c r="M12" s="171">
        <v>54.77</v>
      </c>
      <c r="N12" s="171">
        <v>54.77</v>
      </c>
      <c r="O12" s="171">
        <v>54.77</v>
      </c>
      <c r="P12" s="171">
        <v>54.77</v>
      </c>
      <c r="Q12" s="172"/>
    </row>
    <row r="13" spans="1:17" ht="15" customHeight="1" thickBot="1">
      <c r="A13" s="162" t="s">
        <v>3406</v>
      </c>
      <c r="B13" s="173">
        <v>0</v>
      </c>
      <c r="C13" s="156">
        <v>1.1299999999999999</v>
      </c>
      <c r="D13" s="156">
        <v>1.1299999999999999</v>
      </c>
      <c r="E13" s="156">
        <v>1.1299999999999999</v>
      </c>
      <c r="F13" s="156">
        <v>1.1299999999999999</v>
      </c>
      <c r="G13" s="156">
        <v>1.1299999999999999</v>
      </c>
      <c r="H13" s="156">
        <v>1.1299999999999999</v>
      </c>
      <c r="I13" s="156">
        <v>1.1299999999999999</v>
      </c>
      <c r="J13" s="156">
        <v>1.1299999999999999</v>
      </c>
      <c r="K13" s="156">
        <v>1.1299999999999999</v>
      </c>
      <c r="L13" s="156">
        <v>1.1299999999999999</v>
      </c>
      <c r="M13" s="156">
        <v>1.1299999999999999</v>
      </c>
      <c r="N13" s="156">
        <v>1.1299999999999999</v>
      </c>
      <c r="O13" s="156">
        <v>1.1299999999999999</v>
      </c>
      <c r="P13" s="156">
        <v>1.1299999999999999</v>
      </c>
      <c r="Q13" s="169"/>
    </row>
    <row r="14" spans="1:17" ht="15" customHeight="1" thickBot="1">
      <c r="A14" s="170" t="s">
        <v>3407</v>
      </c>
      <c r="B14" s="160">
        <v>0</v>
      </c>
      <c r="C14" s="171">
        <v>9.69</v>
      </c>
      <c r="D14" s="171">
        <v>9.69</v>
      </c>
      <c r="E14" s="171">
        <v>9.69</v>
      </c>
      <c r="F14" s="171">
        <v>9.69</v>
      </c>
      <c r="G14" s="171">
        <v>9.69</v>
      </c>
      <c r="H14" s="171">
        <v>9.69</v>
      </c>
      <c r="I14" s="171">
        <v>9.69</v>
      </c>
      <c r="J14" s="171">
        <v>9.69</v>
      </c>
      <c r="K14" s="171">
        <v>9.69</v>
      </c>
      <c r="L14" s="171">
        <v>9.69</v>
      </c>
      <c r="M14" s="171">
        <v>9.69</v>
      </c>
      <c r="N14" s="171">
        <v>9.69</v>
      </c>
      <c r="O14" s="171">
        <v>9.69</v>
      </c>
      <c r="P14" s="171">
        <v>9.69</v>
      </c>
      <c r="Q14" s="172"/>
    </row>
    <row r="15" spans="1:17" ht="15" customHeight="1" thickBot="1">
      <c r="A15" s="162" t="s">
        <v>3408</v>
      </c>
      <c r="B15" s="173">
        <v>0</v>
      </c>
      <c r="C15" s="156">
        <v>87</v>
      </c>
      <c r="D15" s="156">
        <v>87</v>
      </c>
      <c r="E15" s="156">
        <v>87</v>
      </c>
      <c r="F15" s="156">
        <v>87</v>
      </c>
      <c r="G15" s="156">
        <v>87</v>
      </c>
      <c r="H15" s="156">
        <v>87</v>
      </c>
      <c r="I15" s="156">
        <v>87</v>
      </c>
      <c r="J15" s="156">
        <v>87</v>
      </c>
      <c r="K15" s="156">
        <v>87</v>
      </c>
      <c r="L15" s="156">
        <v>87</v>
      </c>
      <c r="M15" s="156">
        <v>87</v>
      </c>
      <c r="N15" s="156">
        <v>87</v>
      </c>
      <c r="O15" s="156">
        <v>87</v>
      </c>
      <c r="P15" s="156">
        <v>87</v>
      </c>
      <c r="Q15" s="169"/>
    </row>
    <row r="16" spans="1:17" ht="17.25" customHeight="1" thickBot="1">
      <c r="A16" s="170" t="s">
        <v>3409</v>
      </c>
      <c r="B16" s="156">
        <v>98.58</v>
      </c>
      <c r="C16" s="171">
        <v>41.74</v>
      </c>
      <c r="D16" s="171">
        <v>41.75</v>
      </c>
      <c r="E16" s="171">
        <v>41.74</v>
      </c>
      <c r="F16" s="171">
        <v>41.75</v>
      </c>
      <c r="G16" s="171">
        <v>41.75</v>
      </c>
      <c r="H16" s="171">
        <v>41.74</v>
      </c>
      <c r="I16" s="171">
        <v>41.75</v>
      </c>
      <c r="J16" s="171">
        <v>41.75</v>
      </c>
      <c r="K16" s="171">
        <v>45</v>
      </c>
      <c r="L16" s="171">
        <v>41.75</v>
      </c>
      <c r="M16" s="171">
        <v>41.74</v>
      </c>
      <c r="N16" s="171">
        <v>41.75</v>
      </c>
      <c r="O16" s="171">
        <v>41.74</v>
      </c>
      <c r="P16" s="171">
        <v>60.27</v>
      </c>
      <c r="Q16" s="172"/>
    </row>
    <row r="17" spans="1:17" ht="15" customHeight="1" thickBot="1">
      <c r="A17" s="162" t="s">
        <v>3410</v>
      </c>
      <c r="B17" s="173">
        <v>0</v>
      </c>
      <c r="C17" s="160">
        <v>0</v>
      </c>
      <c r="D17" s="160">
        <v>0</v>
      </c>
      <c r="E17" s="160">
        <v>0</v>
      </c>
      <c r="F17" s="160">
        <v>0</v>
      </c>
      <c r="G17" s="160">
        <v>0</v>
      </c>
      <c r="H17" s="160">
        <v>0</v>
      </c>
      <c r="I17" s="160">
        <v>0</v>
      </c>
      <c r="J17" s="160">
        <v>0</v>
      </c>
      <c r="K17" s="160">
        <v>0</v>
      </c>
      <c r="L17" s="160">
        <v>0</v>
      </c>
      <c r="M17" s="160">
        <v>0</v>
      </c>
      <c r="N17" s="156">
        <v>240</v>
      </c>
      <c r="O17" s="156">
        <v>240</v>
      </c>
      <c r="P17" s="156">
        <v>342.15</v>
      </c>
      <c r="Q17" s="169"/>
    </row>
    <row r="18" spans="1:17" ht="17.25" customHeight="1" thickBot="1">
      <c r="A18" s="170" t="s">
        <v>3411</v>
      </c>
      <c r="B18" s="156"/>
      <c r="C18" s="171">
        <v>450</v>
      </c>
      <c r="D18" s="171">
        <v>450</v>
      </c>
      <c r="E18" s="171">
        <v>300</v>
      </c>
      <c r="F18" s="171"/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1"/>
    </row>
    <row r="19" spans="1:17" ht="17.25" customHeight="1" thickBot="1">
      <c r="A19" s="170" t="s">
        <v>3412</v>
      </c>
      <c r="B19" s="156">
        <v>421.5</v>
      </c>
      <c r="C19" s="156">
        <v>178.5</v>
      </c>
      <c r="D19" s="156">
        <v>178.5</v>
      </c>
      <c r="E19" s="171">
        <v>178.5</v>
      </c>
      <c r="F19" s="171">
        <v>178.5</v>
      </c>
      <c r="G19" s="171">
        <v>178.5</v>
      </c>
      <c r="H19" s="171">
        <v>178.5</v>
      </c>
      <c r="I19" s="171">
        <v>178.5</v>
      </c>
      <c r="J19" s="171">
        <v>178.5</v>
      </c>
      <c r="K19" s="171">
        <v>192.44</v>
      </c>
      <c r="L19" s="171">
        <v>178.5</v>
      </c>
      <c r="M19" s="171">
        <v>178.5</v>
      </c>
      <c r="N19" s="171">
        <v>178.5</v>
      </c>
      <c r="O19" s="171">
        <v>178.5</v>
      </c>
      <c r="P19" s="171">
        <v>257.67</v>
      </c>
      <c r="Q19" s="172"/>
    </row>
    <row r="20" spans="1:17" ht="17.25" customHeight="1" thickBot="1">
      <c r="A20" s="162" t="s">
        <v>3413</v>
      </c>
      <c r="B20" s="156"/>
      <c r="C20" s="171"/>
      <c r="D20" s="171"/>
      <c r="E20" s="156"/>
      <c r="F20" s="177"/>
      <c r="G20" s="156"/>
      <c r="H20" s="156"/>
      <c r="I20" s="177"/>
      <c r="J20" s="177">
        <v>150</v>
      </c>
      <c r="K20" s="156">
        <v>240</v>
      </c>
      <c r="L20" s="156">
        <v>240</v>
      </c>
      <c r="M20" s="156">
        <v>240</v>
      </c>
      <c r="N20" s="156"/>
      <c r="O20" s="156"/>
      <c r="P20" s="156"/>
      <c r="Q20" s="156"/>
    </row>
    <row r="21" spans="1:17" ht="17.25" customHeight="1" thickBot="1">
      <c r="A21" s="170" t="s">
        <v>3414</v>
      </c>
      <c r="B21" s="171">
        <v>371.05</v>
      </c>
      <c r="C21" s="171">
        <v>145.69</v>
      </c>
      <c r="D21" s="171">
        <v>145.69</v>
      </c>
      <c r="E21" s="171">
        <v>145.69</v>
      </c>
      <c r="F21" s="178">
        <v>145.69</v>
      </c>
      <c r="G21" s="179">
        <v>145.69</v>
      </c>
      <c r="H21" s="156">
        <v>145.69</v>
      </c>
      <c r="I21" s="171"/>
      <c r="J21" s="171"/>
      <c r="K21" s="171"/>
      <c r="L21" s="171"/>
      <c r="M21" s="171"/>
      <c r="N21" s="171"/>
      <c r="O21" s="171"/>
      <c r="P21" s="171"/>
      <c r="Q21" s="171"/>
    </row>
    <row r="22" spans="1:17" ht="15.75" thickBot="1">
      <c r="A22" s="170" t="s">
        <v>3415</v>
      </c>
      <c r="B22" s="156">
        <v>244.74</v>
      </c>
      <c r="C22" s="179">
        <v>103.65</v>
      </c>
      <c r="D22" s="156">
        <v>103.65</v>
      </c>
      <c r="E22" s="156">
        <v>103.65</v>
      </c>
      <c r="F22" s="180">
        <v>103.65</v>
      </c>
      <c r="G22" s="180">
        <v>103.65</v>
      </c>
      <c r="H22" s="171">
        <v>103.65</v>
      </c>
      <c r="I22" s="177">
        <v>103.65</v>
      </c>
      <c r="J22" s="171">
        <v>103.65</v>
      </c>
      <c r="K22" s="171">
        <v>111.74</v>
      </c>
      <c r="L22" s="171">
        <v>103.65</v>
      </c>
      <c r="M22" s="171">
        <v>103.65</v>
      </c>
      <c r="N22" s="156">
        <v>95.01</v>
      </c>
      <c r="O22" s="156">
        <v>95.01</v>
      </c>
      <c r="P22" s="156">
        <v>137.30000000000001</v>
      </c>
      <c r="Q22" s="169"/>
    </row>
    <row r="23" spans="1:17" ht="15" customHeight="1" thickBot="1">
      <c r="A23" s="162" t="s">
        <v>3416</v>
      </c>
      <c r="B23" s="158">
        <v>0</v>
      </c>
      <c r="C23" s="180">
        <v>1.6</v>
      </c>
      <c r="D23" s="180">
        <v>1.6</v>
      </c>
      <c r="E23" s="180">
        <v>1.6</v>
      </c>
      <c r="F23" s="179">
        <v>1.6</v>
      </c>
      <c r="G23" s="179">
        <v>1.6</v>
      </c>
      <c r="H23" s="156">
        <v>1.6</v>
      </c>
      <c r="I23" s="180">
        <v>1.6</v>
      </c>
      <c r="J23" s="156">
        <v>1.6</v>
      </c>
      <c r="K23" s="156">
        <v>1.6</v>
      </c>
      <c r="L23" s="156">
        <v>1.6</v>
      </c>
      <c r="M23" s="156">
        <v>1.6</v>
      </c>
      <c r="N23" s="171">
        <v>1.6</v>
      </c>
      <c r="O23" s="171">
        <v>1.6</v>
      </c>
      <c r="P23" s="171">
        <v>1.6</v>
      </c>
      <c r="Q23" s="172"/>
    </row>
    <row r="24" spans="1:17">
      <c r="A24" s="170" t="s">
        <v>3417</v>
      </c>
      <c r="B24" s="170">
        <v>0</v>
      </c>
      <c r="C24" s="179">
        <v>3.79</v>
      </c>
      <c r="D24" s="179">
        <v>3.79</v>
      </c>
      <c r="E24" s="179">
        <v>3.79</v>
      </c>
      <c r="F24" s="180">
        <v>3.79</v>
      </c>
      <c r="G24" s="180">
        <v>3.79</v>
      </c>
      <c r="H24" s="171">
        <v>3.79</v>
      </c>
      <c r="I24" s="179">
        <v>3.79</v>
      </c>
      <c r="J24" s="180">
        <v>3.79</v>
      </c>
      <c r="K24" s="180">
        <v>3.79</v>
      </c>
      <c r="L24" s="171">
        <v>3.79</v>
      </c>
      <c r="M24" s="171">
        <v>3.79</v>
      </c>
      <c r="N24" s="177">
        <v>3.79</v>
      </c>
      <c r="O24" s="156">
        <v>3.79</v>
      </c>
      <c r="P24" s="156">
        <v>3.79</v>
      </c>
      <c r="Q24" s="169"/>
    </row>
    <row r="26" spans="1:17">
      <c r="A26" s="222" t="s">
        <v>3482</v>
      </c>
      <c r="B26" s="181">
        <f t="shared" ref="B26:O26" si="0">SUM(B3:B7)-SUM(B9:B24)</f>
        <v>4436.57</v>
      </c>
      <c r="C26" s="181">
        <f t="shared" si="0"/>
        <v>1583.6200000000001</v>
      </c>
      <c r="D26" s="181">
        <f t="shared" si="0"/>
        <v>1583.6100000000001</v>
      </c>
      <c r="E26" s="181">
        <f t="shared" si="0"/>
        <v>1733.66</v>
      </c>
      <c r="F26" s="181">
        <f t="shared" si="0"/>
        <v>2033.65</v>
      </c>
      <c r="G26" s="181">
        <f t="shared" si="0"/>
        <v>2033.65</v>
      </c>
      <c r="H26" s="181">
        <f t="shared" si="0"/>
        <v>2033.66</v>
      </c>
      <c r="I26" s="181">
        <f t="shared" si="0"/>
        <v>2179.34</v>
      </c>
      <c r="J26" s="181">
        <f t="shared" si="0"/>
        <v>2029.3400000000001</v>
      </c>
      <c r="K26" s="181">
        <f t="shared" si="0"/>
        <v>1900.88</v>
      </c>
      <c r="L26" s="181">
        <f t="shared" si="0"/>
        <v>1900.8700000000001</v>
      </c>
      <c r="M26" s="181">
        <f t="shared" si="0"/>
        <v>1900.88</v>
      </c>
      <c r="N26" s="181">
        <f t="shared" si="0"/>
        <v>1962.3100000000004</v>
      </c>
      <c r="O26" s="181">
        <f t="shared" si="0"/>
        <v>1962.3200000000004</v>
      </c>
      <c r="P26" s="181">
        <f>SUM(P3:P7)-SUM(P9:P24)</f>
        <v>2738.66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71E34-955C-4F80-B554-59820120072A}">
  <dimension ref="A1:AY200"/>
  <sheetViews>
    <sheetView showGridLines="0" zoomScaleNormal="100" workbookViewId="0">
      <pane ySplit="5" topLeftCell="A18" activePane="bottomLeft" state="frozen"/>
      <selection pane="bottomLeft" activeCell="C2" sqref="C2:P2"/>
    </sheetView>
  </sheetViews>
  <sheetFormatPr defaultColWidth="11.28515625" defaultRowHeight="15" outlineLevelCol="1"/>
  <cols>
    <col min="1" max="1" width="3.42578125" style="13" customWidth="1"/>
    <col min="2" max="2" width="0.28515625" style="13" hidden="1" customWidth="1" outlineLevel="1"/>
    <col min="3" max="3" width="1.42578125" style="13" customWidth="1" collapsed="1"/>
    <col min="4" max="4" width="11.28515625" style="13" customWidth="1"/>
    <col min="5" max="6" width="11.28515625" style="13"/>
    <col min="7" max="7" width="11.28515625" style="13" bestFit="1" customWidth="1"/>
    <col min="8" max="8" width="11.28515625" style="13"/>
    <col min="9" max="9" width="10.28515625" style="13" customWidth="1"/>
    <col min="10" max="10" width="1.42578125" style="13" customWidth="1"/>
    <col min="11" max="11" width="2.42578125" style="13" customWidth="1"/>
    <col min="12" max="12" width="1.42578125" style="13" customWidth="1"/>
    <col min="13" max="14" width="11.28515625" style="13"/>
    <col min="15" max="15" width="8.28515625" style="13" customWidth="1"/>
    <col min="16" max="16" width="3.42578125" style="13" customWidth="1"/>
    <col min="17" max="17" width="11.42578125" style="13" customWidth="1"/>
    <col min="18" max="18" width="11.28515625" style="13"/>
    <col min="19" max="19" width="10.28515625" style="13" customWidth="1"/>
    <col min="20" max="20" width="2.28515625" style="13" customWidth="1"/>
    <col min="21" max="21" width="11.28515625" style="13" customWidth="1"/>
    <col min="22" max="22" width="12.28515625" style="13" hidden="1" customWidth="1" outlineLevel="1"/>
    <col min="23" max="23" width="14.42578125" style="13" hidden="1" customWidth="1" outlineLevel="1"/>
    <col min="24" max="24" width="1.42578125" hidden="1" customWidth="1" outlineLevel="1"/>
    <col min="25" max="27" width="11.28515625" style="13" hidden="1" customWidth="1" outlineLevel="1"/>
    <col min="28" max="28" width="1.42578125" hidden="1" customWidth="1" outlineLevel="1"/>
    <col min="29" max="34" width="11.28515625" style="13" hidden="1" customWidth="1" outlineLevel="1"/>
    <col min="35" max="35" width="1.42578125" style="13" hidden="1" customWidth="1" outlineLevel="1"/>
    <col min="36" max="36" width="10" style="13" hidden="1" customWidth="1" outlineLevel="1"/>
    <col min="37" max="44" width="11.28515625" style="13" hidden="1" customWidth="1" outlineLevel="1"/>
    <col min="45" max="45" width="1.42578125" style="13" hidden="1" customWidth="1" outlineLevel="1"/>
    <col min="46" max="50" width="11.28515625" style="13" hidden="1" customWidth="1" outlineLevel="1"/>
    <col min="51" max="51" width="11.28515625" style="13" collapsed="1"/>
    <col min="52" max="16384" width="11.28515625" style="13"/>
  </cols>
  <sheetData>
    <row r="1" spans="1:50" s="5" customFormat="1" ht="5.0999999999999996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X1" s="6"/>
      <c r="AB1" s="6"/>
    </row>
    <row r="2" spans="1:50" ht="40.5" customHeight="1">
      <c r="A2" s="7"/>
      <c r="B2" s="8"/>
      <c r="C2" s="224" t="s">
        <v>0</v>
      </c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9" t="s">
        <v>1</v>
      </c>
      <c r="R2" s="10"/>
      <c r="S2" s="10"/>
      <c r="T2" s="11"/>
      <c r="U2" s="8"/>
      <c r="V2" s="12"/>
      <c r="AK2" s="12"/>
      <c r="AM2" s="14"/>
      <c r="AN2" s="14"/>
      <c r="AO2" s="15"/>
    </row>
    <row r="3" spans="1:50" ht="4.3499999999999996" customHeight="1" thickBot="1">
      <c r="A3" s="7"/>
      <c r="B3" s="8"/>
      <c r="C3" s="146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T3" s="11"/>
      <c r="U3" s="8"/>
      <c r="AK3" s="12"/>
      <c r="AM3" s="14"/>
      <c r="AN3" s="14"/>
      <c r="AO3" s="15"/>
    </row>
    <row r="4" spans="1:50" ht="40.5" customHeight="1" thickTop="1" thickBot="1">
      <c r="A4" s="7"/>
      <c r="B4" s="8"/>
      <c r="C4" s="229" t="s">
        <v>2</v>
      </c>
      <c r="D4" s="230"/>
      <c r="E4" s="230"/>
      <c r="F4" s="230"/>
      <c r="G4" s="230"/>
      <c r="H4" s="230"/>
      <c r="I4" s="225"/>
      <c r="J4" s="225"/>
      <c r="K4" s="225"/>
      <c r="L4" s="225"/>
      <c r="M4" s="225"/>
      <c r="N4" s="225"/>
      <c r="O4" s="225"/>
      <c r="Q4" s="226" t="s">
        <v>3379</v>
      </c>
      <c r="R4" s="227"/>
      <c r="S4" s="228"/>
      <c r="T4" s="11"/>
      <c r="U4" s="147"/>
      <c r="W4" s="16">
        <f>_xlfn.XLOOKUP(TEXT(Q4,"mmmm yyyy"),$V$7:$V$200,$W$7:$W$200)</f>
        <v>44562</v>
      </c>
      <c r="Y4" s="13" t="s">
        <v>3</v>
      </c>
      <c r="AC4" s="13" t="s">
        <v>4</v>
      </c>
      <c r="AD4" s="13" t="s">
        <v>5</v>
      </c>
      <c r="AE4" s="13" t="s">
        <v>6</v>
      </c>
      <c r="AF4" s="13" t="s">
        <v>7</v>
      </c>
      <c r="AG4" s="13" t="s">
        <v>4</v>
      </c>
      <c r="AH4" s="13" t="s">
        <v>8</v>
      </c>
      <c r="AJ4" s="17" t="s">
        <v>9</v>
      </c>
      <c r="AK4" s="17" t="s">
        <v>10</v>
      </c>
      <c r="AL4" s="17" t="s">
        <v>8</v>
      </c>
      <c r="AM4" s="17" t="str">
        <f>TEXT(AK6,"MMMM")&amp;" Spending"</f>
        <v>January Spending</v>
      </c>
      <c r="AN4" s="17" t="s">
        <v>11</v>
      </c>
      <c r="AO4" s="17" t="s">
        <v>12</v>
      </c>
      <c r="AP4" s="17" t="s">
        <v>8</v>
      </c>
      <c r="AQ4" s="17" t="str">
        <f>TEXT(AO6,"MMMM")&amp;" Spending"</f>
        <v>December Spending</v>
      </c>
      <c r="AR4" s="17" t="s">
        <v>11</v>
      </c>
      <c r="AS4" s="18"/>
      <c r="AT4" s="13" t="s">
        <v>13</v>
      </c>
      <c r="AU4" s="13" t="s">
        <v>8</v>
      </c>
      <c r="AV4" s="13" t="s">
        <v>14</v>
      </c>
      <c r="AW4" s="13" t="s">
        <v>15</v>
      </c>
      <c r="AX4" s="13" t="s">
        <v>16</v>
      </c>
    </row>
    <row r="5" spans="1:50" customFormat="1" ht="4.3499999999999996" customHeight="1" thickTop="1">
      <c r="A5" s="19"/>
      <c r="B5" s="20"/>
      <c r="C5" s="20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20"/>
    </row>
    <row r="6" spans="1:50" ht="14.85" customHeight="1" thickBot="1">
      <c r="A6" s="21"/>
      <c r="G6" s="22"/>
      <c r="V6" s="23" t="s">
        <v>17</v>
      </c>
      <c r="W6" s="23" t="s">
        <v>18</v>
      </c>
      <c r="Y6" s="24" t="str">
        <f>TEXT(ABS(Z9),"$#,##0")&amp;" "&amp;IF(Z7&gt;Z8,"less was spent compared to last month","more was spent compared to last month")</f>
        <v>$127 more was spent compared to last month</v>
      </c>
      <c r="Z6" s="25"/>
      <c r="AA6" s="25"/>
      <c r="AC6" s="26" t="str" cm="1">
        <f t="array" ref="AC6:AC31">_xlfn.UNIQUE(INDEX(_xlfn._xlws.FILTER(CategoriesTable[],(CategoriesTable[Category type]="expense")*(NOT(CategoriesTable[ID]=0)),""),0,2),FALSE)</f>
        <v>Auto/Transport</v>
      </c>
      <c r="AD6" s="27">
        <f>SUMIFS(Table1[Amount $],Table1[Category],Snapshot!AC6,Table1[Month],Snapshot!$W$4)*-1</f>
        <v>0</v>
      </c>
      <c r="AE6" s="24">
        <f>RANK(AD6,$AD$6:$AD$35,0)+COUNTIF(AD6:$AD$6,AD6)-1</f>
        <v>5</v>
      </c>
      <c r="AF6" s="24">
        <v>1</v>
      </c>
      <c r="AG6" s="24" t="str" cm="1">
        <f t="array" ref="AG6">IF(INDEX($AD$6:$AD$35,MATCH(AF6,$AE$6:$AE$35,0),0)=0,"",INDEX($AC$6:$AC$35,MATCH(AF6,$AE$6:$AE$35,0),0))</f>
        <v>Home</v>
      </c>
      <c r="AH6" s="27" cm="1">
        <f t="array" ref="AH6">IF(INDEX($AD$6:$AD$35,MATCH(AF6,$AE$6:$AE$35,0),0)=0,0,INDEX($AD$6:$AD$35,MATCH(AF6,$AE$6:$AE$35,0),0))</f>
        <v>485</v>
      </c>
      <c r="AI6" s="28"/>
      <c r="AJ6" s="29">
        <f>DATE(2000,1,1)</f>
        <v>36526</v>
      </c>
      <c r="AK6" s="29">
        <f>DATE(YEAR(W4),MONTH(W4),DAY(W4))</f>
        <v>44562</v>
      </c>
      <c r="AL6" s="30">
        <f>SUMIFS(Table1[Amount $],Table1[Category Type],"Expense",Table1[Date],Snapshot!AK6)*-1</f>
        <v>102.83999999999999</v>
      </c>
      <c r="AM6" s="30">
        <f ca="1">IF(AK6&gt;TODAY(),NA(),SUM(AL6:$AL$6))</f>
        <v>102.83999999999999</v>
      </c>
      <c r="AN6" s="30" t="e">
        <f ca="1">IF(OR(AK6=EOMONTH($AK$6,0),AK6=TODAY()),AM6,NA())</f>
        <v>#N/A</v>
      </c>
      <c r="AO6" s="29">
        <f>DATE(YEAR(AK6),MONTH(AK6)-1,DAY(AK6))</f>
        <v>44531</v>
      </c>
      <c r="AP6" s="30">
        <f>SUMIFS(Table1[Amount $],Table1[Category Type],"Expense",Table1[Date],Snapshot!AO6)*-1</f>
        <v>156.42000000000002</v>
      </c>
      <c r="AQ6" s="30">
        <f>IF(AO6&lt;=EOMONTH($AO$6,0),SUM(AP$6:$AP6),NA())</f>
        <v>156.42000000000002</v>
      </c>
      <c r="AR6" s="30" t="e">
        <f>IF(AO6=EOMONTH($AO$6,0),AQ6,NA())</f>
        <v>#N/A</v>
      </c>
      <c r="AT6" s="24" t="str" cm="1">
        <f t="array" ref="AT6:AT15">_xlfn.UNIQUE(_xlfn._xlws.FILTER(Table1[Merchant],(Table1[Merchant]&lt;&gt;"")*(Table1[Amount $]&lt;0)*(Table1[Month]=Snapshot!$W$4)*(Table1[Category Type]="Expense")))</f>
        <v>Best Buy</v>
      </c>
      <c r="AU6" s="31">
        <f>IF(ISBLANK(AT6),"",SUMIFS(Table1[Amount $],Table1[Merchant],Snapshot!AT6,Table1[Month],Snapshot!$W$4)*-1)</f>
        <v>241.99</v>
      </c>
      <c r="AV6" s="24">
        <f>IF(ISBLANK(AT6),"",COUNTIFS(Table1[Merchant],Snapshot!AT6,Table1[Month],Snapshot!$W$4))</f>
        <v>1</v>
      </c>
      <c r="AW6" s="24">
        <f>IFERROR(RANK(AV6,$AV$6:$AV$200)+COUNTIF($AV$6:AV6,AV6)-1,"")</f>
        <v>1</v>
      </c>
      <c r="AX6" s="24">
        <f>IFERROR(RANK(AU6,$AU$6:$AU$200)+COUNTIF($AU$6:AU6,AU6)-1,"")</f>
        <v>3</v>
      </c>
    </row>
    <row r="7" spans="1:50" ht="20.100000000000001" customHeight="1">
      <c r="A7" s="21"/>
      <c r="C7" s="32"/>
      <c r="D7" s="33" t="s">
        <v>19</v>
      </c>
      <c r="E7" s="34"/>
      <c r="F7" s="34"/>
      <c r="G7" s="34"/>
      <c r="H7" s="35"/>
      <c r="I7" s="34"/>
      <c r="J7" s="36"/>
      <c r="L7" s="32"/>
      <c r="M7" s="33" t="s">
        <v>20</v>
      </c>
      <c r="N7" s="34"/>
      <c r="O7" s="34"/>
      <c r="P7" s="34"/>
      <c r="Q7" s="34"/>
      <c r="R7" s="34"/>
      <c r="S7" s="34"/>
      <c r="T7" s="36"/>
      <c r="V7" s="37" t="str">
        <f t="shared" ref="V7:V8" si="0">IF(ISBLANK(W7),"--",TEXT(W7,"mmmm")&amp;" "&amp;TEXT(W7,"YYYY"))</f>
        <v>January 2022</v>
      </c>
      <c r="W7" s="37" cm="1">
        <f t="array" ref="W7:W31">_xlfn._xlws.SORT(_xlfn.UNIQUE(_xlfn._xlws.FILTER(Table1[Month],Table1[Month]&lt;&gt;"",)),1,-1)</f>
        <v>44562</v>
      </c>
      <c r="X7" s="38"/>
      <c r="Y7" s="26" t="str">
        <f>IFERROR(TEXT(AO6,"mmmm"),"--")</f>
        <v>December</v>
      </c>
      <c r="Z7" s="39">
        <f>SUMIFS(Table1[Amount $],Table1[Category Type],"Expense",Table1[Month],DATE(YEAR(Snapshot!$W$4),MONTH(Snapshot!$W$4)-1,DAY(Snapshot!$W$4)))*-1</f>
        <v>-177.54999999999978</v>
      </c>
      <c r="AA7" s="39"/>
      <c r="AB7" s="38"/>
      <c r="AC7" s="26" t="str">
        <v>Bills/Utilities</v>
      </c>
      <c r="AD7" s="27">
        <f>SUMIFS(Table1[Amount $],Table1[Category],Snapshot!AC7,Table1[Month],Snapshot!$W$4)*-1</f>
        <v>0</v>
      </c>
      <c r="AE7" s="24">
        <f>RANK(AD7,$AD$6:$AD$35,0)+COUNTIF(AD$6:$AD7,AD7)-1</f>
        <v>6</v>
      </c>
      <c r="AF7" s="24">
        <v>2</v>
      </c>
      <c r="AG7" s="24" t="str" cm="1">
        <f t="array" ref="AG7">IF(INDEX($AD$6:$AD$35,MATCH(AF7,$AE$6:$AE$35,0),0)=0,"",INDEX($AC$6:$AC$35,MATCH(AF7,$AE$6:$AE$35,0),0))</f>
        <v>Restaurants/Dining</v>
      </c>
      <c r="AH7" s="27" cm="1">
        <f t="array" ref="AH7">IF(INDEX($AD$6:$AD$35,MATCH(AF7,$AE$6:$AE$35,0),0)=0,0,INDEX($AD$6:$AD$35,MATCH(AF7,$AE$6:$AE$35,0),0))</f>
        <v>88.02</v>
      </c>
      <c r="AI7" s="28"/>
      <c r="AJ7" s="29">
        <f>DATE(YEAR(AJ6),MONTH(AJ6),DAY(AJ6)+1)</f>
        <v>36527</v>
      </c>
      <c r="AK7" s="29">
        <f>IF(MONTH(AK6)=MONTH(DATE(YEAR(AK6),MONTH(AK6),DAY(AK6)+1)),DATE(YEAR(AK6),MONTH(AK6),DAY(AK6)+1),NA())</f>
        <v>44563</v>
      </c>
      <c r="AL7" s="30">
        <f>SUMIFS(Table1[Amount $],Table1[Category Type],"Expense",Table1[Date],Snapshot!AK7)*-1</f>
        <v>-2031.99</v>
      </c>
      <c r="AM7" s="30">
        <f ca="1">IF(AK7&gt;TODAY(),NA(),SUM(AL$6:$AL7))</f>
        <v>-1929.15</v>
      </c>
      <c r="AN7" s="30" t="e">
        <f t="shared" ref="AN7:AN36" ca="1" si="1">IF(OR(AK7=EOMONTH($AK$6,0),AK7=TODAY()),AM7,NA())</f>
        <v>#N/A</v>
      </c>
      <c r="AO7" s="29">
        <f>IF(MONTH(AO6)=MONTH(DATE(YEAR(AO6),MONTH(AO6),DAY(AO6)+1)),DATE(YEAR(AO6),MONTH(AO6),DAY(AO6)+1),NA())</f>
        <v>44532</v>
      </c>
      <c r="AP7" s="30">
        <f>SUMIFS(Table1[Amount $],Table1[Category Type],"Expense",Table1[Date],Snapshot!AO7)*-1</f>
        <v>-1939.09</v>
      </c>
      <c r="AQ7" s="30">
        <f>IF(AO7&lt;=EOMONTH($AO$6,0),SUM(AP$6:$AP7),NA())</f>
        <v>-1782.6699999999998</v>
      </c>
      <c r="AR7" s="30" t="e">
        <f t="shared" ref="AR7:AR36" si="2">IF(AO7=EOMONTH($AO$6,0),AQ7,NA())</f>
        <v>#N/A</v>
      </c>
      <c r="AT7" s="24" t="str">
        <v>Discover E Payment Lewis</v>
      </c>
      <c r="AU7" s="31">
        <f>IF(ISBLANK(AT7),"",SUMIFS(Table1[Amount $],Table1[Merchant],Snapshot!AT7,Table1[Month],Snapshot!$W$4)*-1)</f>
        <v>1800</v>
      </c>
      <c r="AV7" s="24">
        <f>IF(ISBLANK(AT7),"",COUNTIFS(Table1[Merchant],Snapshot!AT7,Table1[Month],Snapshot!$W$4))</f>
        <v>1</v>
      </c>
      <c r="AW7" s="24">
        <f>IFERROR(RANK(AV7,$AV$6:$AV$200)+COUNTIF($AV$6:AV7,AV7)-1,"")</f>
        <v>2</v>
      </c>
      <c r="AX7" s="24">
        <f>IFERROR(RANK(AU7,$AU$6:$AU$200)+COUNTIF($AU$6:AU7,AU7)-1,"")</f>
        <v>1</v>
      </c>
    </row>
    <row r="8" spans="1:50" ht="14.85" customHeight="1">
      <c r="A8" s="21"/>
      <c r="C8" s="40"/>
      <c r="D8" s="41" t="str">
        <f>Y6</f>
        <v>$127 more was spent compared to last month</v>
      </c>
      <c r="H8"/>
      <c r="J8" s="42"/>
      <c r="L8" s="40"/>
      <c r="M8" s="41" t="str">
        <f>Q10&amp;" accounts for "&amp;TEXT(S10/S22,"0%")&amp;" of money spent this month"</f>
        <v>Home accounts for -953% of money spent this month</v>
      </c>
      <c r="T8" s="42"/>
      <c r="V8" s="37" t="str">
        <f t="shared" si="0"/>
        <v>December 2021</v>
      </c>
      <c r="W8" s="37">
        <v>44531</v>
      </c>
      <c r="X8" s="38"/>
      <c r="Y8" s="24" t="str">
        <f>IFERROR(TEXT(AK6,"mmmm"),"--")</f>
        <v>January</v>
      </c>
      <c r="Z8" s="39">
        <f>SUMIFS(Table1[Amount $],Table1[Category Type],"Expense",Table1[Month],Snapshot!$W$4)*-1</f>
        <v>-50.900000000000226</v>
      </c>
      <c r="AA8" s="39"/>
      <c r="AB8" s="38"/>
      <c r="AC8" s="26" t="str">
        <v>Entertainment</v>
      </c>
      <c r="AD8" s="27">
        <f>SUMIFS(Table1[Amount $],Table1[Category],Snapshot!AC8,Table1[Month],Snapshot!$W$4)*-1</f>
        <v>0</v>
      </c>
      <c r="AE8" s="24">
        <f>RANK(AD8,$AD$6:$AD$35,0)+COUNTIF(AD$6:$AD8,AD8)-1</f>
        <v>7</v>
      </c>
      <c r="AF8" s="24">
        <v>3</v>
      </c>
      <c r="AG8" s="24" t="str" cm="1">
        <f t="array" ref="AG8">IF(INDEX($AD$6:$AD$35,MATCH(AF8,$AE$6:$AE$35,0),0)=0,"",INDEX($AC$6:$AC$35,MATCH(AF8,$AE$6:$AE$35,0),0))</f>
        <v>Shopping</v>
      </c>
      <c r="AH8" s="27" cm="1">
        <f t="array" ref="AH8">IF(INDEX($AD$6:$AD$35,MATCH(AF8,$AE$6:$AE$35,0),0)=0,0,INDEX($AD$6:$AD$35,MATCH(AF8,$AE$6:$AE$35,0),0))</f>
        <v>37.81</v>
      </c>
      <c r="AI8" s="28"/>
      <c r="AJ8" s="29">
        <f t="shared" ref="AJ8:AJ36" si="3">DATE(YEAR(AJ7),MONTH(AJ7),DAY(AJ7)+1)</f>
        <v>36528</v>
      </c>
      <c r="AK8" s="29">
        <f t="shared" ref="AK8:AK36" si="4">IF(MONTH(AK7)=MONTH(DATE(YEAR(AK7),MONTH(AK7),DAY(AK7)+1)),DATE(YEAR(AK7),MONTH(AK7),DAY(AK7)+1),NA())</f>
        <v>44564</v>
      </c>
      <c r="AL8" s="30">
        <f>SUMIFS(Table1[Amount $],Table1[Category Type],"Expense",Table1[Date],Snapshot!AK8)*-1</f>
        <v>1878.2499999999998</v>
      </c>
      <c r="AM8" s="30">
        <f ca="1">IF(AK8&gt;TODAY(),NA(),SUM(AL$6:$AL8))</f>
        <v>-50.900000000000318</v>
      </c>
      <c r="AN8" s="30" t="e">
        <f t="shared" ca="1" si="1"/>
        <v>#N/A</v>
      </c>
      <c r="AO8" s="29">
        <f t="shared" ref="AO8:AO36" si="5">IF(MONTH(AO7)=MONTH(DATE(YEAR(AO7),MONTH(AO7),DAY(AO7)+1)),DATE(YEAR(AO7),MONTH(AO7),DAY(AO7)+1),NA())</f>
        <v>44533</v>
      </c>
      <c r="AP8" s="30">
        <f>SUMIFS(Table1[Amount $],Table1[Category Type],"Expense",Table1[Date],Snapshot!AO8)*-1</f>
        <v>250.76999999999998</v>
      </c>
      <c r="AQ8" s="30">
        <f>IF(AO8&lt;=EOMONTH($AO$6,0),SUM(AP$6:$AP8),NA())</f>
        <v>-1531.8999999999999</v>
      </c>
      <c r="AR8" s="30" t="e">
        <f t="shared" si="2"/>
        <v>#N/A</v>
      </c>
      <c r="AT8" s="24" t="str">
        <v>Paypal Inst Xfer Louisck</v>
      </c>
      <c r="AU8" s="31">
        <f>IF(ISBLANK(AT8),"",SUMIFS(Table1[Amount $],Table1[Merchant],Snapshot!AT8,Table1[Month],Snapshot!$W$4)*-1)</f>
        <v>10</v>
      </c>
      <c r="AV8" s="24">
        <f>IF(ISBLANK(AT8),"",COUNTIFS(Table1[Merchant],Snapshot!AT8,Table1[Month],Snapshot!$W$4))</f>
        <v>1</v>
      </c>
      <c r="AW8" s="24">
        <f>IFERROR(RANK(AV8,$AV$6:$AV$200)+COUNTIF($AV$6:AV8,AV8)-1,"")</f>
        <v>3</v>
      </c>
      <c r="AX8" s="24">
        <f>IFERROR(RANK(AU8,$AU$6:$AU$200)+COUNTIF($AU$6:AU8,AU8)-1,"")</f>
        <v>8</v>
      </c>
    </row>
    <row r="9" spans="1:50" ht="14.85" customHeight="1">
      <c r="A9" s="21"/>
      <c r="C9" s="40"/>
      <c r="H9"/>
      <c r="J9" s="42"/>
      <c r="L9" s="40"/>
      <c r="O9"/>
      <c r="T9" s="42"/>
      <c r="V9" s="37" t="str">
        <f>IF(ISBLANK(W9),"--",TEXT(W9,"mmmm")&amp;" "&amp;TEXT(W9,"YYYY"))</f>
        <v>November 2021</v>
      </c>
      <c r="W9" s="37">
        <v>44501</v>
      </c>
      <c r="X9" s="38"/>
      <c r="Y9" s="24" t="s">
        <v>21</v>
      </c>
      <c r="Z9" s="39">
        <f>Z8-Z7</f>
        <v>126.64999999999955</v>
      </c>
      <c r="AA9" s="39"/>
      <c r="AB9" s="38"/>
      <c r="AC9" s="26" t="str">
        <v>Fees/Charges</v>
      </c>
      <c r="AD9" s="27">
        <f>SUMIFS(Table1[Amount $],Table1[Category],Snapshot!AC9,Table1[Month],Snapshot!$W$4)*-1</f>
        <v>0</v>
      </c>
      <c r="AE9" s="24">
        <f>RANK(AD9,$AD$6:$AD$35,0)+COUNTIF(AD$6:$AD9,AD9)-1</f>
        <v>8</v>
      </c>
      <c r="AF9" s="24">
        <v>4</v>
      </c>
      <c r="AG9" s="24" t="str" cm="1">
        <f t="array" ref="AG9">IF(INDEX($AD$6:$AD$35,MATCH(AF9,$AE$6:$AE$35,0),0)=0,"",INDEX($AC$6:$AC$35,MATCH(AF9,$AE$6:$AE$35,0),0))</f>
        <v>Payment</v>
      </c>
      <c r="AH9" s="27" cm="1">
        <f t="array" ref="AH9">IF(INDEX($AD$6:$AD$35,MATCH(AF9,$AE$6:$AE$35,0),0)=0,0,INDEX($AD$6:$AD$35,MATCH(AF9,$AE$6:$AE$35,0),0))</f>
        <v>10</v>
      </c>
      <c r="AJ9" s="29">
        <f t="shared" si="3"/>
        <v>36529</v>
      </c>
      <c r="AK9" s="29">
        <f t="shared" si="4"/>
        <v>44565</v>
      </c>
      <c r="AL9" s="30">
        <f>SUMIFS(Table1[Amount $],Table1[Category Type],"Expense",Table1[Date],Snapshot!AK9)*-1</f>
        <v>0</v>
      </c>
      <c r="AM9" s="30">
        <f ca="1">IF(AK9&gt;TODAY(),NA(),SUM(AL$6:$AL9))</f>
        <v>-50.900000000000318</v>
      </c>
      <c r="AN9" s="30" t="e">
        <f t="shared" ca="1" si="1"/>
        <v>#N/A</v>
      </c>
      <c r="AO9" s="29">
        <f t="shared" si="5"/>
        <v>44534</v>
      </c>
      <c r="AP9" s="30">
        <f>SUMIFS(Table1[Amount $],Table1[Category Type],"Expense",Table1[Date],Snapshot!AO9)*-1</f>
        <v>76.039999999999992</v>
      </c>
      <c r="AQ9" s="30">
        <f>IF(AO9&lt;=EOMONTH($AO$6,0),SUM(AP$6:$AP9),NA())</f>
        <v>-1455.86</v>
      </c>
      <c r="AR9" s="30" t="e">
        <f t="shared" si="2"/>
        <v>#N/A</v>
      </c>
      <c r="AT9" s="24" t="str">
        <v>Transfer To Lewis Sharon</v>
      </c>
      <c r="AU9" s="31">
        <f>IF(ISBLANK(AT9),"",SUMIFS(Table1[Amount $],Table1[Merchant],Snapshot!AT9,Table1[Month],Snapshot!$W$4)*-1)</f>
        <v>485</v>
      </c>
      <c r="AV9" s="24">
        <f>IF(ISBLANK(AT9),"",COUNTIFS(Table1[Merchant],Snapshot!AT9,Table1[Month],Snapshot!$W$4))</f>
        <v>1</v>
      </c>
      <c r="AW9" s="24">
        <f>IFERROR(RANK(AV9,$AV$6:$AV$200)+COUNTIF($AV$6:AV9,AV9)-1,"")</f>
        <v>4</v>
      </c>
      <c r="AX9" s="24">
        <f>IFERROR(RANK(AU9,$AU$6:$AU$200)+COUNTIF($AU$6:AU9,AU9)-1,"")</f>
        <v>2</v>
      </c>
    </row>
    <row r="10" spans="1:50" ht="14.85" customHeight="1">
      <c r="A10" s="21"/>
      <c r="C10" s="40"/>
      <c r="D10" s="147"/>
      <c r="E10" s="147"/>
      <c r="F10" s="147"/>
      <c r="G10" s="147"/>
      <c r="H10"/>
      <c r="J10" s="42"/>
      <c r="L10" s="40"/>
      <c r="O10"/>
      <c r="P10" s="43"/>
      <c r="Q10" s="44" t="str" cm="1">
        <f t="array" ref="Q10">INDEX($AG$6:$AG$11,MATCH(1,$AF$6:$AF$11,0),0)</f>
        <v>Home</v>
      </c>
      <c r="R10" s="45"/>
      <c r="S10" s="46" cm="1">
        <f t="array" ref="S10">INDEX($AH$6:$AH$11,MATCH(1,$AF$6:$AF$11,0),0)</f>
        <v>485</v>
      </c>
      <c r="T10" s="42"/>
      <c r="V10" s="37" t="str">
        <f t="shared" ref="V10:V64" si="6">IF(ISBLANK(W10),"--",TEXT(W10,"mmmm")&amp;" "&amp;TEXT(W10,"YYYY"))</f>
        <v>October 2021</v>
      </c>
      <c r="W10" s="37">
        <v>44470</v>
      </c>
      <c r="X10" s="38"/>
      <c r="Z10"/>
      <c r="AA10"/>
      <c r="AB10" s="38"/>
      <c r="AC10" s="26" t="str">
        <v>Groceries</v>
      </c>
      <c r="AD10" s="27">
        <f>SUMIFS(Table1[Amount $],Table1[Category],Snapshot!AC10,Table1[Month],Snapshot!$W$4)*-1</f>
        <v>0</v>
      </c>
      <c r="AE10" s="24">
        <f>RANK(AD10,$AD$6:$AD$35,0)+COUNTIF(AD$6:$AD10,AD10)-1</f>
        <v>9</v>
      </c>
      <c r="AF10" s="24">
        <v>5</v>
      </c>
      <c r="AG10" s="24" t="str" cm="1">
        <f t="array" ref="AG10">IF(INDEX($AD$6:$AD$35,MATCH(AF10,$AE$6:$AE$35,0),0)=0,"",INDEX($AC$6:$AC$35,MATCH(AF10,$AE$6:$AE$35,0),0))</f>
        <v/>
      </c>
      <c r="AH10" s="27" cm="1">
        <f t="array" ref="AH10">IF(INDEX($AD$6:$AD$35,MATCH(AF10,$AE$6:$AE$35,0),0)=0,0,INDEX($AD$6:$AD$35,MATCH(AF10,$AE$6:$AE$35,0),0))</f>
        <v>0</v>
      </c>
      <c r="AJ10" s="29">
        <f t="shared" si="3"/>
        <v>36530</v>
      </c>
      <c r="AK10" s="29">
        <f t="shared" si="4"/>
        <v>44566</v>
      </c>
      <c r="AL10" s="30">
        <f>SUMIFS(Table1[Amount $],Table1[Category Type],"Expense",Table1[Date],Snapshot!AK10)*-1</f>
        <v>0</v>
      </c>
      <c r="AM10" s="30">
        <f ca="1">IF(AK10&gt;TODAY(),NA(),SUM(AL$6:$AL10))</f>
        <v>-50.900000000000318</v>
      </c>
      <c r="AN10" s="30" t="e">
        <f t="shared" ca="1" si="1"/>
        <v>#N/A</v>
      </c>
      <c r="AO10" s="29">
        <f t="shared" si="5"/>
        <v>44535</v>
      </c>
      <c r="AP10" s="30">
        <f>SUMIFS(Table1[Amount $],Table1[Category Type],"Expense",Table1[Date],Snapshot!AO10)*-1</f>
        <v>255.37000000000006</v>
      </c>
      <c r="AQ10" s="30">
        <f>IF(AO10&lt;=EOMONTH($AO$6,0),SUM(AP$6:$AP10),NA())</f>
        <v>-1200.4899999999998</v>
      </c>
      <c r="AR10" s="30" t="e">
        <f t="shared" si="2"/>
        <v>#N/A</v>
      </c>
      <c r="AT10" s="24" t="str">
        <v>Hulu</v>
      </c>
      <c r="AU10" s="31">
        <f>IF(ISBLANK(AT10),"",SUMIFS(Table1[Amount $],Table1[Merchant],Snapshot!AT10,Table1[Month],Snapshot!$W$4)*-1)</f>
        <v>12.99</v>
      </c>
      <c r="AV10" s="24">
        <f>IF(ISBLANK(AT10),"",COUNTIFS(Table1[Merchant],Snapshot!AT10,Table1[Month],Snapshot!$W$4))</f>
        <v>1</v>
      </c>
      <c r="AW10" s="24">
        <f>IFERROR(RANK(AV10,$AV$6:$AV$200)+COUNTIF($AV$6:AV10,AV10)-1,"")</f>
        <v>5</v>
      </c>
      <c r="AX10" s="24">
        <f>IFERROR(RANK(AU10,$AU$6:$AU$200)+COUNTIF($AU$6:AU10,AU10)-1,"")</f>
        <v>7</v>
      </c>
    </row>
    <row r="11" spans="1:50" ht="14.85" customHeight="1">
      <c r="A11" s="21"/>
      <c r="C11" s="40"/>
      <c r="D11" s="47"/>
      <c r="E11" s="47"/>
      <c r="F11" s="47"/>
      <c r="G11" s="48"/>
      <c r="H11"/>
      <c r="J11" s="42"/>
      <c r="L11" s="40"/>
      <c r="O11"/>
      <c r="Q11" s="49"/>
      <c r="T11" s="42"/>
      <c r="V11" s="37" t="str">
        <f t="shared" si="6"/>
        <v>September 2021</v>
      </c>
      <c r="W11" s="37">
        <v>44440</v>
      </c>
      <c r="X11" s="38"/>
      <c r="Y11" s="50"/>
      <c r="Z11"/>
      <c r="AA11"/>
      <c r="AB11" s="38"/>
      <c r="AC11" s="26" t="str">
        <v>Health/Fitness</v>
      </c>
      <c r="AD11" s="27">
        <f>SUMIFS(Table1[Amount $],Table1[Category],Snapshot!AC11,Table1[Month],Snapshot!$W$4)*-1</f>
        <v>0</v>
      </c>
      <c r="AE11" s="24">
        <f>RANK(AD11,$AD$6:$AD$35,0)+COUNTIF(AD$6:$AD11,AD11)-1</f>
        <v>10</v>
      </c>
      <c r="AF11" s="24">
        <v>6</v>
      </c>
      <c r="AG11" s="51" t="str">
        <f>IF(SUM(AH6:AH10)=SUM(AD6:AD35),"","All Other Categories")</f>
        <v>All Other Categories</v>
      </c>
      <c r="AH11" s="52">
        <f>SUM(AD6:AD35)-SUM(AH6:AH10)</f>
        <v>-671.7299999999999</v>
      </c>
      <c r="AJ11" s="29">
        <f t="shared" si="3"/>
        <v>36531</v>
      </c>
      <c r="AK11" s="29">
        <f t="shared" si="4"/>
        <v>44567</v>
      </c>
      <c r="AL11" s="30">
        <f>SUMIFS(Table1[Amount $],Table1[Category Type],"Expense",Table1[Date],Snapshot!AK11)*-1</f>
        <v>0</v>
      </c>
      <c r="AM11" s="30">
        <f ca="1">IF(AK11&gt;TODAY(),NA(),SUM(AL$6:$AL11))</f>
        <v>-50.900000000000318</v>
      </c>
      <c r="AN11" s="30">
        <f t="shared" ca="1" si="1"/>
        <v>-50.900000000000318</v>
      </c>
      <c r="AO11" s="29">
        <f t="shared" si="5"/>
        <v>44536</v>
      </c>
      <c r="AP11" s="30">
        <f>SUMIFS(Table1[Amount $],Table1[Category Type],"Expense",Table1[Date],Snapshot!AO11)*-1</f>
        <v>1012.43</v>
      </c>
      <c r="AQ11" s="30">
        <f>IF(AO11&lt;=EOMONTH($AO$6,0),SUM(AP$6:$AP11),NA())</f>
        <v>-188.05999999999983</v>
      </c>
      <c r="AR11" s="30" t="e">
        <f t="shared" si="2"/>
        <v>#N/A</v>
      </c>
      <c r="AT11" s="24" t="str">
        <v>Krystal And Saagar Dc</v>
      </c>
      <c r="AU11" s="31">
        <f>IF(ISBLANK(AT11),"",SUMIFS(Table1[Amount $],Table1[Merchant],Snapshot!AT11,Table1[Month],Snapshot!$W$4)*-1)</f>
        <v>10</v>
      </c>
      <c r="AV11" s="24">
        <f>IF(ISBLANK(AT11),"",COUNTIFS(Table1[Merchant],Snapshot!AT11,Table1[Month],Snapshot!$W$4))</f>
        <v>1</v>
      </c>
      <c r="AW11" s="24">
        <f>IFERROR(RANK(AV11,$AV$6:$AV$200)+COUNTIF($AV$6:AV11,AV11)-1,"")</f>
        <v>6</v>
      </c>
      <c r="AX11" s="24">
        <f>IFERROR(RANK(AU11,$AU$6:$AU$200)+COUNTIF($AU$6:AU11,AU11)-1,"")</f>
        <v>9</v>
      </c>
    </row>
    <row r="12" spans="1:50" ht="14.85" customHeight="1">
      <c r="A12" s="21"/>
      <c r="C12" s="40"/>
      <c r="H12"/>
      <c r="J12" s="42"/>
      <c r="L12" s="40"/>
      <c r="O12"/>
      <c r="P12" s="53"/>
      <c r="Q12" s="44" t="str" cm="1">
        <f t="array" ref="Q12">INDEX($AG$6:$AG$11,MATCH(2,$AF$6:$AF$11,0),0)</f>
        <v>Restaurants/Dining</v>
      </c>
      <c r="R12" s="45"/>
      <c r="S12" s="46" cm="1">
        <f t="array" ref="S12">INDEX($AH$6:$AH$11,MATCH(2,$AF$6:$AF$11,0),0)</f>
        <v>88.02</v>
      </c>
      <c r="T12" s="42"/>
      <c r="V12" s="37" t="str">
        <f t="shared" si="6"/>
        <v>August 2021</v>
      </c>
      <c r="W12" s="37">
        <v>44409</v>
      </c>
      <c r="X12" s="38"/>
      <c r="Y12"/>
      <c r="Z12"/>
      <c r="AA12"/>
      <c r="AB12" s="38"/>
      <c r="AC12" s="26" t="str">
        <v>Home</v>
      </c>
      <c r="AD12" s="27">
        <f>SUMIFS(Table1[Amount $],Table1[Category],Snapshot!AC12,Table1[Month],Snapshot!$W$4)*-1</f>
        <v>485</v>
      </c>
      <c r="AE12" s="24">
        <f>RANK(AD12,$AD$6:$AD$35,0)+COUNTIF(AD$6:$AD12,AD12)-1</f>
        <v>1</v>
      </c>
      <c r="AF12" s="24"/>
      <c r="AG12" s="24" t="s">
        <v>22</v>
      </c>
      <c r="AH12" s="27">
        <f>SUM(AH6:AH11)</f>
        <v>-50.899999999999977</v>
      </c>
      <c r="AJ12" s="29">
        <f t="shared" si="3"/>
        <v>36532</v>
      </c>
      <c r="AK12" s="29">
        <f t="shared" si="4"/>
        <v>44568</v>
      </c>
      <c r="AL12" s="30">
        <f>SUMIFS(Table1[Amount $],Table1[Category Type],"Expense",Table1[Date],Snapshot!AK12)*-1</f>
        <v>0</v>
      </c>
      <c r="AM12" s="30" t="e">
        <f ca="1">IF(AK12&gt;TODAY(),NA(),SUM(AL$6:$AL12))</f>
        <v>#N/A</v>
      </c>
      <c r="AN12" s="30" t="e">
        <f t="shared" ca="1" si="1"/>
        <v>#N/A</v>
      </c>
      <c r="AO12" s="29">
        <f t="shared" si="5"/>
        <v>44537</v>
      </c>
      <c r="AP12" s="30">
        <f>SUMIFS(Table1[Amount $],Table1[Category Type],"Expense",Table1[Date],Snapshot!AO12)*-1</f>
        <v>-5.990000000000002</v>
      </c>
      <c r="AQ12" s="30">
        <f>IF(AO12&lt;=EOMONTH($AO$6,0),SUM(AP$6:$AP12),NA())</f>
        <v>-194.04999999999984</v>
      </c>
      <c r="AR12" s="30" t="e">
        <f t="shared" si="2"/>
        <v>#N/A</v>
      </c>
      <c r="AT12" s="24" t="str">
        <v>Jimmy Johns</v>
      </c>
      <c r="AU12" s="31">
        <f>IF(ISBLANK(AT12),"",SUMIFS(Table1[Amount $],Table1[Merchant],Snapshot!AT12,Table1[Month],Snapshot!$W$4)*-1)</f>
        <v>18.02</v>
      </c>
      <c r="AV12" s="24">
        <f>IF(ISBLANK(AT12),"",COUNTIFS(Table1[Merchant],Snapshot!AT12,Table1[Month],Snapshot!$W$4))</f>
        <v>1</v>
      </c>
      <c r="AW12" s="24">
        <f>IFERROR(RANK(AV12,$AV$6:$AV$200)+COUNTIF($AV$6:AV12,AV12)-1,"")</f>
        <v>7</v>
      </c>
      <c r="AX12" s="24">
        <f>IFERROR(RANK(AU12,$AU$6:$AU$200)+COUNTIF($AU$6:AU12,AU12)-1,"")</f>
        <v>5</v>
      </c>
    </row>
    <row r="13" spans="1:50" ht="14.85" customHeight="1">
      <c r="A13" s="21"/>
      <c r="C13" s="40"/>
      <c r="H13"/>
      <c r="J13" s="42"/>
      <c r="L13" s="40"/>
      <c r="O13"/>
      <c r="Q13" s="49"/>
      <c r="T13" s="42"/>
      <c r="V13" s="37" t="str">
        <f t="shared" si="6"/>
        <v>July 2021</v>
      </c>
      <c r="W13" s="37">
        <v>44378</v>
      </c>
      <c r="X13" s="38"/>
      <c r="Y13"/>
      <c r="Z13"/>
      <c r="AA13"/>
      <c r="AB13" s="38"/>
      <c r="AC13" s="26" t="str">
        <v>Income</v>
      </c>
      <c r="AD13" s="27">
        <f>SUMIFS(Table1[Amount $],Table1[Category],Snapshot!AC13,Table1[Month],Snapshot!$W$4)*-1</f>
        <v>-671.73</v>
      </c>
      <c r="AE13" s="24">
        <f>RANK(AD13,$AD$6:$AD$35,0)+COUNTIF(AD$6:$AD13,AD13)-1</f>
        <v>30</v>
      </c>
      <c r="AF13" s="24"/>
      <c r="AG13" s="24"/>
      <c r="AH13" s="24"/>
      <c r="AJ13" s="29">
        <f t="shared" si="3"/>
        <v>36533</v>
      </c>
      <c r="AK13" s="29">
        <f t="shared" si="4"/>
        <v>44569</v>
      </c>
      <c r="AL13" s="30">
        <f>SUMIFS(Table1[Amount $],Table1[Category Type],"Expense",Table1[Date],Snapshot!AK13)*-1</f>
        <v>0</v>
      </c>
      <c r="AM13" s="30" t="e">
        <f ca="1">IF(AK13&gt;TODAY(),NA(),SUM(AL$6:$AL13))</f>
        <v>#N/A</v>
      </c>
      <c r="AN13" s="30" t="e">
        <f t="shared" ca="1" si="1"/>
        <v>#N/A</v>
      </c>
      <c r="AO13" s="29">
        <f t="shared" si="5"/>
        <v>44538</v>
      </c>
      <c r="AP13" s="30">
        <f>SUMIFS(Table1[Amount $],Table1[Category Type],"Expense",Table1[Date],Snapshot!AO13)*-1</f>
        <v>37.299999999999997</v>
      </c>
      <c r="AQ13" s="30">
        <f>IF(AO13&lt;=EOMONTH($AO$6,0),SUM(AP$6:$AP13),NA())</f>
        <v>-156.74999999999983</v>
      </c>
      <c r="AR13" s="30" t="e">
        <f t="shared" si="2"/>
        <v>#N/A</v>
      </c>
      <c r="AT13" s="24" t="str">
        <v>Olive Garden</v>
      </c>
      <c r="AU13" s="31">
        <f>IF(ISBLANK(AT13),"",SUMIFS(Table1[Amount $],Table1[Merchant],Snapshot!AT13,Table1[Month],Snapshot!$W$4)*-1)</f>
        <v>60</v>
      </c>
      <c r="AV13" s="24">
        <f>IF(ISBLANK(AT13),"",COUNTIFS(Table1[Merchant],Snapshot!AT13,Table1[Month],Snapshot!$W$4))</f>
        <v>1</v>
      </c>
      <c r="AW13" s="24">
        <f>IFERROR(RANK(AV13,$AV$6:$AV$200)+COUNTIF($AV$6:AV13,AV13)-1,"")</f>
        <v>8</v>
      </c>
      <c r="AX13" s="24">
        <f>IFERROR(RANK(AU13,$AU$6:$AU$200)+COUNTIF($AU$6:AU13,AU13)-1,"")</f>
        <v>4</v>
      </c>
    </row>
    <row r="14" spans="1:50" ht="14.85" customHeight="1">
      <c r="A14" s="21"/>
      <c r="C14" s="40"/>
      <c r="H14"/>
      <c r="J14" s="42"/>
      <c r="L14" s="40"/>
      <c r="O14"/>
      <c r="P14" s="54"/>
      <c r="Q14" s="44" t="str" cm="1">
        <f t="array" ref="Q14">INDEX($AG$6:$AG$11,MATCH(3,$AF$6:$AF$11,0),0)</f>
        <v>Shopping</v>
      </c>
      <c r="R14" s="45"/>
      <c r="S14" s="46" cm="1">
        <f t="array" ref="S14">INDEX($AH$6:$AH$11,MATCH(3,$AF$6:$AF$11,0),0)</f>
        <v>37.81</v>
      </c>
      <c r="T14" s="42"/>
      <c r="V14" s="37" t="str">
        <f t="shared" si="6"/>
        <v>June 2021</v>
      </c>
      <c r="W14" s="37">
        <v>44348</v>
      </c>
      <c r="X14" s="38"/>
      <c r="Y14" s="55"/>
      <c r="Z14"/>
      <c r="AA14"/>
      <c r="AB14" s="38"/>
      <c r="AC14" s="26" t="str">
        <v>Misc</v>
      </c>
      <c r="AD14" s="27">
        <f>SUMIFS(Table1[Amount $],Table1[Category],Snapshot!AC14,Table1[Month],Snapshot!$W$4)*-1</f>
        <v>0</v>
      </c>
      <c r="AE14" s="24">
        <f>RANK(AD14,$AD$6:$AD$35,0)+COUNTIF(AD$6:$AD14,AD14)-1</f>
        <v>11</v>
      </c>
      <c r="AF14" s="24"/>
      <c r="AG14" s="24"/>
      <c r="AH14" s="24"/>
      <c r="AJ14" s="29">
        <f t="shared" si="3"/>
        <v>36534</v>
      </c>
      <c r="AK14" s="29">
        <f t="shared" si="4"/>
        <v>44570</v>
      </c>
      <c r="AL14" s="30">
        <f>SUMIFS(Table1[Amount $],Table1[Category Type],"Expense",Table1[Date],Snapshot!AK14)*-1</f>
        <v>0</v>
      </c>
      <c r="AM14" s="30" t="e">
        <f ca="1">IF(AK14&gt;TODAY(),NA(),SUM(AL$6:$AL14))</f>
        <v>#N/A</v>
      </c>
      <c r="AN14" s="30" t="e">
        <f t="shared" ca="1" si="1"/>
        <v>#N/A</v>
      </c>
      <c r="AO14" s="29">
        <f t="shared" si="5"/>
        <v>44539</v>
      </c>
      <c r="AP14" s="30">
        <f>SUMIFS(Table1[Amount $],Table1[Category Type],"Expense",Table1[Date],Snapshot!AO14)*-1</f>
        <v>579.36</v>
      </c>
      <c r="AQ14" s="30">
        <f>IF(AO14&lt;=EOMONTH($AO$6,0),SUM(AP$6:$AP14),NA())</f>
        <v>422.61000000000018</v>
      </c>
      <c r="AR14" s="30" t="e">
        <f t="shared" si="2"/>
        <v>#N/A</v>
      </c>
      <c r="AT14" s="24" t="str">
        <v>Netflix</v>
      </c>
      <c r="AU14" s="31">
        <f>IF(ISBLANK(AT14),"",SUMIFS(Table1[Amount $],Table1[Merchant],Snapshot!AT14,Table1[Month],Snapshot!$W$4)*-1)</f>
        <v>14.83</v>
      </c>
      <c r="AV14" s="24">
        <f>IF(ISBLANK(AT14),"",COUNTIFS(Table1[Merchant],Snapshot!AT14,Table1[Month],Snapshot!$W$4))</f>
        <v>1</v>
      </c>
      <c r="AW14" s="24">
        <f>IFERROR(RANK(AV14,$AV$6:$AV$200)+COUNTIF($AV$6:AV14,AV14)-1,"")</f>
        <v>9</v>
      </c>
      <c r="AX14" s="24">
        <f>IFERROR(RANK(AU14,$AU$6:$AU$200)+COUNTIF($AU$6:AU14,AU14)-1,"")</f>
        <v>6</v>
      </c>
    </row>
    <row r="15" spans="1:50" ht="14.85" customHeight="1">
      <c r="A15" s="21"/>
      <c r="C15" s="40"/>
      <c r="D15" s="56"/>
      <c r="E15" s="57"/>
      <c r="F15" s="57"/>
      <c r="G15" s="58"/>
      <c r="H15"/>
      <c r="J15" s="42"/>
      <c r="L15" s="40"/>
      <c r="O15" s="59"/>
      <c r="Q15" s="49"/>
      <c r="T15" s="42"/>
      <c r="V15" s="37" t="str">
        <f t="shared" si="6"/>
        <v>May 2021</v>
      </c>
      <c r="W15" s="37">
        <v>44317</v>
      </c>
      <c r="X15" s="38"/>
      <c r="Y15" s="38"/>
      <c r="Z15" s="50"/>
      <c r="AA15" s="50"/>
      <c r="AB15" s="38"/>
      <c r="AC15" s="26" t="str">
        <v>Mortgage/Rent</v>
      </c>
      <c r="AD15" s="27">
        <f>SUMIFS(Table1[Amount $],Table1[Category],Snapshot!AC15,Table1[Month],Snapshot!$W$4)*-1</f>
        <v>0</v>
      </c>
      <c r="AE15" s="24">
        <f>RANK(AD15,$AD$6:$AD$35,0)+COUNTIF(AD$6:$AD15,AD15)-1</f>
        <v>12</v>
      </c>
      <c r="AF15" s="24"/>
      <c r="AG15" s="24"/>
      <c r="AH15" s="24"/>
      <c r="AJ15" s="29">
        <f t="shared" si="3"/>
        <v>36535</v>
      </c>
      <c r="AK15" s="29">
        <f t="shared" si="4"/>
        <v>44571</v>
      </c>
      <c r="AL15" s="30">
        <f>SUMIFS(Table1[Amount $],Table1[Category Type],"Expense",Table1[Date],Snapshot!AK15)*-1</f>
        <v>0</v>
      </c>
      <c r="AM15" s="30" t="e">
        <f ca="1">IF(AK15&gt;TODAY(),NA(),SUM(AL$6:$AL15))</f>
        <v>#N/A</v>
      </c>
      <c r="AN15" s="30" t="e">
        <f t="shared" ca="1" si="1"/>
        <v>#N/A</v>
      </c>
      <c r="AO15" s="29">
        <f t="shared" si="5"/>
        <v>44540</v>
      </c>
      <c r="AP15" s="30">
        <f>SUMIFS(Table1[Amount $],Table1[Category Type],"Expense",Table1[Date],Snapshot!AO15)*-1</f>
        <v>-26.79</v>
      </c>
      <c r="AQ15" s="30">
        <f>IF(AO15&lt;=EOMONTH($AO$6,0),SUM(AP$6:$AP15),NA())</f>
        <v>395.82000000000016</v>
      </c>
      <c r="AR15" s="30" t="e">
        <f t="shared" si="2"/>
        <v>#N/A</v>
      </c>
      <c r="AT15" s="24" t="str">
        <v>Spotify</v>
      </c>
      <c r="AU15" s="31">
        <f>IF(ISBLANK(AT15),"",SUMIFS(Table1[Amount $],Table1[Merchant],Snapshot!AT15,Table1[Month],Snapshot!$W$4)*-1)</f>
        <v>9.99</v>
      </c>
      <c r="AV15" s="24">
        <f>IF(ISBLANK(AT15),"",COUNTIFS(Table1[Merchant],Snapshot!AT15,Table1[Month],Snapshot!$W$4))</f>
        <v>1</v>
      </c>
      <c r="AW15" s="24">
        <f>IFERROR(RANK(AV15,$AV$6:$AV$200)+COUNTIF($AV$6:AV15,AV15)-1,"")</f>
        <v>10</v>
      </c>
      <c r="AX15" s="24">
        <f>IFERROR(RANK(AU15,$AU$6:$AU$200)+COUNTIF($AU$6:AU15,AU15)-1,"")</f>
        <v>10</v>
      </c>
    </row>
    <row r="16" spans="1:50" ht="14.85" customHeight="1">
      <c r="A16" s="21"/>
      <c r="C16" s="40"/>
      <c r="D16" s="60"/>
      <c r="E16" s="57"/>
      <c r="F16" s="57"/>
      <c r="G16" s="48"/>
      <c r="J16" s="42"/>
      <c r="L16" s="40"/>
      <c r="P16" s="61"/>
      <c r="Q16" s="44" t="str" cm="1">
        <f t="array" ref="Q16">INDEX($AG$6:$AG$11,MATCH(4,$AF$6:$AF$11,0),0)</f>
        <v>Payment</v>
      </c>
      <c r="R16" s="45"/>
      <c r="S16" s="46" cm="1">
        <f t="array" ref="S16">INDEX($AH$6:$AH$11,MATCH(4,$AF$6:$AF$11,0),0)</f>
        <v>10</v>
      </c>
      <c r="T16" s="42"/>
      <c r="V16" s="37" t="str">
        <f t="shared" si="6"/>
        <v>April 2021</v>
      </c>
      <c r="W16" s="37">
        <v>44287</v>
      </c>
      <c r="X16" s="38"/>
      <c r="Y16"/>
      <c r="Z16" s="50"/>
      <c r="AA16" s="50"/>
      <c r="AB16" s="38"/>
      <c r="AC16" s="26" t="str">
        <v>Payment</v>
      </c>
      <c r="AD16" s="27">
        <f>SUMIFS(Table1[Amount $],Table1[Category],Snapshot!AC16,Table1[Month],Snapshot!$W$4)*-1</f>
        <v>10</v>
      </c>
      <c r="AE16" s="24">
        <f>RANK(AD16,$AD$6:$AD$35,0)+COUNTIF(AD$6:$AD16,AD16)-1</f>
        <v>4</v>
      </c>
      <c r="AF16" s="24"/>
      <c r="AG16" s="24"/>
      <c r="AH16" s="24"/>
      <c r="AJ16" s="29">
        <f t="shared" si="3"/>
        <v>36536</v>
      </c>
      <c r="AK16" s="29">
        <f t="shared" si="4"/>
        <v>44572</v>
      </c>
      <c r="AL16" s="30">
        <f>SUMIFS(Table1[Amount $],Table1[Category Type],"Expense",Table1[Date],Snapshot!AK16)*-1</f>
        <v>0</v>
      </c>
      <c r="AM16" s="30" t="e">
        <f ca="1">IF(AK16&gt;TODAY(),NA(),SUM(AL$6:$AL16))</f>
        <v>#N/A</v>
      </c>
      <c r="AN16" s="30" t="e">
        <f t="shared" ca="1" si="1"/>
        <v>#N/A</v>
      </c>
      <c r="AO16" s="29">
        <f t="shared" si="5"/>
        <v>44541</v>
      </c>
      <c r="AP16" s="30">
        <f>SUMIFS(Table1[Amount $],Table1[Category Type],"Expense",Table1[Date],Snapshot!AO16)*-1</f>
        <v>30.39</v>
      </c>
      <c r="AQ16" s="30">
        <f>IF(AO16&lt;=EOMONTH($AO$6,0),SUM(AP$6:$AP16),NA())</f>
        <v>426.21000000000015</v>
      </c>
      <c r="AR16" s="30" t="e">
        <f t="shared" si="2"/>
        <v>#N/A</v>
      </c>
      <c r="AT16" s="24"/>
      <c r="AU16" s="31" t="str">
        <f>IF(ISBLANK(AT16),"",SUMIFS(Table1[Amount $],Table1[Merchant],Snapshot!AT16,Table1[Month],Snapshot!$W$4)*-1)</f>
        <v/>
      </c>
      <c r="AV16" s="24" t="str">
        <f>IF(ISBLANK(AT16),"",COUNTIFS(Table1[Merchant],Snapshot!AT16,Table1[Month],Snapshot!$W$4))</f>
        <v/>
      </c>
      <c r="AW16" s="24" t="str">
        <f>IFERROR(RANK(AV16,$AV$6:$AV$200)+COUNTIF($AV$6:AV16,AV16)-1,"")</f>
        <v/>
      </c>
      <c r="AX16" s="24" t="str">
        <f>IFERROR(RANK(AU16,$AU$6:$AU$200)+COUNTIF($AU$6:AU16,AU16)-1,"")</f>
        <v/>
      </c>
    </row>
    <row r="17" spans="1:50" ht="14.85" customHeight="1">
      <c r="A17" s="21"/>
      <c r="C17" s="40"/>
      <c r="D17" s="60"/>
      <c r="E17" s="57"/>
      <c r="F17" s="57"/>
      <c r="G17" s="48"/>
      <c r="J17" s="42"/>
      <c r="L17" s="40"/>
      <c r="Q17" s="49"/>
      <c r="T17" s="42"/>
      <c r="U17" s="62"/>
      <c r="V17" s="37" t="str">
        <f t="shared" si="6"/>
        <v>March 2021</v>
      </c>
      <c r="W17" s="37">
        <v>44256</v>
      </c>
      <c r="X17" s="38"/>
      <c r="Y17"/>
      <c r="Z17" s="50"/>
      <c r="AA17" s="50"/>
      <c r="AB17" s="38"/>
      <c r="AC17" s="26" t="str">
        <v>Professional Services</v>
      </c>
      <c r="AD17" s="27">
        <f>SUMIFS(Table1[Amount $],Table1[Category],Snapshot!AC17,Table1[Month],Snapshot!$W$4)*-1</f>
        <v>0</v>
      </c>
      <c r="AE17" s="24">
        <f>RANK(AD17,$AD$6:$AD$35,0)+COUNTIF(AD$6:$AD17,AD17)-1</f>
        <v>13</v>
      </c>
      <c r="AF17" s="24"/>
      <c r="AG17" s="24"/>
      <c r="AH17" s="24"/>
      <c r="AJ17" s="29">
        <f t="shared" si="3"/>
        <v>36537</v>
      </c>
      <c r="AK17" s="29">
        <f t="shared" si="4"/>
        <v>44573</v>
      </c>
      <c r="AL17" s="30">
        <f>SUMIFS(Table1[Amount $],Table1[Category Type],"Expense",Table1[Date],Snapshot!AK17)*-1</f>
        <v>0</v>
      </c>
      <c r="AM17" s="30" t="e">
        <f ca="1">IF(AK17&gt;TODAY(),NA(),SUM(AL$6:$AL17))</f>
        <v>#N/A</v>
      </c>
      <c r="AN17" s="30" t="e">
        <f t="shared" ca="1" si="1"/>
        <v>#N/A</v>
      </c>
      <c r="AO17" s="29">
        <f t="shared" si="5"/>
        <v>44542</v>
      </c>
      <c r="AP17" s="30">
        <f>SUMIFS(Table1[Amount $],Table1[Category Type],"Expense",Table1[Date],Snapshot!AO17)*-1</f>
        <v>179.52</v>
      </c>
      <c r="AQ17" s="30">
        <f>IF(AO17&lt;=EOMONTH($AO$6,0),SUM(AP$6:$AP17),NA())</f>
        <v>605.73000000000013</v>
      </c>
      <c r="AR17" s="30" t="e">
        <f t="shared" si="2"/>
        <v>#N/A</v>
      </c>
      <c r="AT17" s="24"/>
      <c r="AU17" s="31" t="str">
        <f>IF(ISBLANK(AT17),"",SUMIFS(Table1[Amount $],Table1[Merchant],Snapshot!AT17,Table1[Month],Snapshot!$W$4)*-1)</f>
        <v/>
      </c>
      <c r="AV17" s="24" t="str">
        <f>IF(ISBLANK(AT17),"",COUNTIFS(Table1[Merchant],Snapshot!AT17,Table1[Month],Snapshot!$W$4))</f>
        <v/>
      </c>
      <c r="AW17" s="24" t="str">
        <f>IFERROR(RANK(AV17,$AV$6:$AV$200)+COUNTIF($AV$6:AV17,AV17)-1,"")</f>
        <v/>
      </c>
      <c r="AX17" s="24" t="str">
        <f>IFERROR(RANK(AU17,$AU$6:$AU$200)+COUNTIF($AU$6:AU17,AU17)-1,"")</f>
        <v/>
      </c>
    </row>
    <row r="18" spans="1:50" ht="14.85" customHeight="1">
      <c r="A18" s="21"/>
      <c r="C18" s="40"/>
      <c r="D18" s="56"/>
      <c r="E18" s="57"/>
      <c r="F18" s="57"/>
      <c r="G18" s="63"/>
      <c r="J18" s="42"/>
      <c r="L18" s="40"/>
      <c r="P18" s="64"/>
      <c r="Q18" s="44" t="str" cm="1">
        <f t="array" ref="Q18">INDEX($AG$6:$AG$11,MATCH(5,$AF$6:$AF$11,0),0)</f>
        <v/>
      </c>
      <c r="R18" s="45"/>
      <c r="S18" s="46" cm="1">
        <f t="array" ref="S18">INDEX($AH$6:$AH$11,MATCH(5,$AF$6:$AF$11,0),0)</f>
        <v>0</v>
      </c>
      <c r="T18" s="42"/>
      <c r="V18" s="37" t="str">
        <f t="shared" si="6"/>
        <v>February 2021</v>
      </c>
      <c r="W18" s="37">
        <v>44228</v>
      </c>
      <c r="X18" s="38"/>
      <c r="Y18"/>
      <c r="Z18"/>
      <c r="AA18"/>
      <c r="AB18" s="38"/>
      <c r="AC18" s="26" t="str">
        <v>Refund</v>
      </c>
      <c r="AD18" s="27">
        <f>SUMIFS(Table1[Amount $],Table1[Category],Snapshot!AC18,Table1[Month],Snapshot!$W$4)*-1</f>
        <v>0</v>
      </c>
      <c r="AE18" s="24">
        <f>RANK(AD18,$AD$6:$AD$35,0)+COUNTIF(AD$6:$AD18,AD18)-1</f>
        <v>14</v>
      </c>
      <c r="AF18" s="24"/>
      <c r="AG18" s="24"/>
      <c r="AH18" s="24"/>
      <c r="AJ18" s="29">
        <f t="shared" si="3"/>
        <v>36538</v>
      </c>
      <c r="AK18" s="29">
        <f t="shared" si="4"/>
        <v>44574</v>
      </c>
      <c r="AL18" s="30">
        <f>SUMIFS(Table1[Amount $],Table1[Category Type],"Expense",Table1[Date],Snapshot!AK18)*-1</f>
        <v>0</v>
      </c>
      <c r="AM18" s="30" t="e">
        <f ca="1">IF(AK18&gt;TODAY(),NA(),SUM(AL$6:$AL18))</f>
        <v>#N/A</v>
      </c>
      <c r="AN18" s="30" t="e">
        <f t="shared" ca="1" si="1"/>
        <v>#N/A</v>
      </c>
      <c r="AO18" s="29">
        <f t="shared" si="5"/>
        <v>44543</v>
      </c>
      <c r="AP18" s="30">
        <f>SUMIFS(Table1[Amount $],Table1[Category Type],"Expense",Table1[Date],Snapshot!AO18)*-1</f>
        <v>129.04</v>
      </c>
      <c r="AQ18" s="30">
        <f>IF(AO18&lt;=EOMONTH($AO$6,0),SUM(AP$6:$AP18),NA())</f>
        <v>734.7700000000001</v>
      </c>
      <c r="AR18" s="30" t="e">
        <f t="shared" si="2"/>
        <v>#N/A</v>
      </c>
      <c r="AT18" s="24"/>
      <c r="AU18" s="31" t="str">
        <f>IF(ISBLANK(AT18),"",SUMIFS(Table1[Amount $],Table1[Merchant],Snapshot!AT18,Table1[Month],Snapshot!$W$4)*-1)</f>
        <v/>
      </c>
      <c r="AV18" s="24" t="str">
        <f>IF(ISBLANK(AT18),"",COUNTIFS(Table1[Merchant],Snapshot!AT18,Table1[Month],Snapshot!$W$4))</f>
        <v/>
      </c>
      <c r="AW18" s="24" t="str">
        <f>IFERROR(RANK(AV18,$AV$6:$AV$200)+COUNTIF($AV$6:AV18,AV18)-1,"")</f>
        <v/>
      </c>
      <c r="AX18" s="24" t="str">
        <f>IFERROR(RANK(AU18,$AU$6:$AU$200)+COUNTIF($AU$6:AU18,AU18)-1,"")</f>
        <v/>
      </c>
    </row>
    <row r="19" spans="1:50" ht="14.85" customHeight="1">
      <c r="A19" s="21"/>
      <c r="C19" s="40"/>
      <c r="D19" s="60"/>
      <c r="E19" s="57"/>
      <c r="F19" s="57"/>
      <c r="G19" s="65"/>
      <c r="J19" s="42"/>
      <c r="L19" s="40"/>
      <c r="Q19" s="49"/>
      <c r="T19" s="42"/>
      <c r="U19" s="62"/>
      <c r="V19" s="37" t="str">
        <f t="shared" si="6"/>
        <v>January 2021</v>
      </c>
      <c r="W19" s="37">
        <v>44197</v>
      </c>
      <c r="X19" s="38"/>
      <c r="Y19"/>
      <c r="Z19"/>
      <c r="AA19"/>
      <c r="AB19" s="38"/>
      <c r="AC19" s="26" t="str">
        <v>Restaurants/Dining</v>
      </c>
      <c r="AD19" s="27">
        <f>SUMIFS(Table1[Amount $],Table1[Category],Snapshot!AC19,Table1[Month],Snapshot!$W$4)*-1</f>
        <v>88.02</v>
      </c>
      <c r="AE19" s="24">
        <f>RANK(AD19,$AD$6:$AD$35,0)+COUNTIF(AD$6:$AD19,AD19)-1</f>
        <v>2</v>
      </c>
      <c r="AF19" s="24"/>
      <c r="AG19" s="24"/>
      <c r="AH19" s="24"/>
      <c r="AJ19" s="29">
        <f t="shared" si="3"/>
        <v>36539</v>
      </c>
      <c r="AK19" s="29">
        <f t="shared" si="4"/>
        <v>44575</v>
      </c>
      <c r="AL19" s="30">
        <f>SUMIFS(Table1[Amount $],Table1[Category Type],"Expense",Table1[Date],Snapshot!AK19)*-1</f>
        <v>0</v>
      </c>
      <c r="AM19" s="30" t="e">
        <f ca="1">IF(AK19&gt;TODAY(),NA(),SUM(AL$6:$AL19))</f>
        <v>#N/A</v>
      </c>
      <c r="AN19" s="30" t="e">
        <f t="shared" ca="1" si="1"/>
        <v>#N/A</v>
      </c>
      <c r="AO19" s="29">
        <f t="shared" si="5"/>
        <v>44544</v>
      </c>
      <c r="AP19" s="30">
        <f>SUMIFS(Table1[Amount $],Table1[Category Type],"Expense",Table1[Date],Snapshot!AO19)*-1</f>
        <v>134.03</v>
      </c>
      <c r="AQ19" s="30">
        <f>IF(AO19&lt;=EOMONTH($AO$6,0),SUM(AP$6:$AP19),NA())</f>
        <v>868.80000000000007</v>
      </c>
      <c r="AR19" s="30" t="e">
        <f t="shared" si="2"/>
        <v>#N/A</v>
      </c>
      <c r="AT19" s="24"/>
      <c r="AU19" s="31" t="str">
        <f>IF(ISBLANK(AT19),"",SUMIFS(Table1[Amount $],Table1[Merchant],Snapshot!AT19,Table1[Month],Snapshot!$W$4)*-1)</f>
        <v/>
      </c>
      <c r="AV19" s="24" t="str">
        <f>IF(ISBLANK(AT19),"",COUNTIFS(Table1[Merchant],Snapshot!AT19,Table1[Month],Snapshot!$W$4))</f>
        <v/>
      </c>
      <c r="AW19" s="24" t="str">
        <f>IFERROR(RANK(AV19,$AV$6:$AV$200)+COUNTIF($AV$6:AV19,AV19)-1,"")</f>
        <v/>
      </c>
      <c r="AX19" s="24" t="str">
        <f>IFERROR(RANK(AU19,$AU$6:$AU$200)+COUNTIF($AU$6:AU19,AU19)-1,"")</f>
        <v/>
      </c>
    </row>
    <row r="20" spans="1:50" ht="14.85" customHeight="1">
      <c r="A20" s="21"/>
      <c r="C20" s="40"/>
      <c r="D20"/>
      <c r="E20"/>
      <c r="F20"/>
      <c r="G20"/>
      <c r="J20" s="42"/>
      <c r="L20" s="40"/>
      <c r="P20" s="66"/>
      <c r="Q20" s="44" t="str" cm="1">
        <f t="array" ref="Q20">INDEX($AG$6:$AG$11,MATCH(6,$AF$6:$AF$11,0),0)</f>
        <v>All Other Categories</v>
      </c>
      <c r="R20" s="45"/>
      <c r="S20" s="46" cm="1">
        <f t="array" ref="S20">INDEX($AH$6:$AH$11,MATCH(6,$AF$6:$AF$11,0),0)</f>
        <v>-671.7299999999999</v>
      </c>
      <c r="T20" s="42"/>
      <c r="V20" s="37" t="str">
        <f t="shared" si="6"/>
        <v>December 2020</v>
      </c>
      <c r="W20" s="37">
        <v>44166</v>
      </c>
      <c r="X20" s="38"/>
      <c r="Y20" s="55"/>
      <c r="Z20"/>
      <c r="AA20"/>
      <c r="AB20" s="38"/>
      <c r="AC20" s="26" t="str">
        <v>Shopping</v>
      </c>
      <c r="AD20" s="27">
        <f>SUMIFS(Table1[Amount $],Table1[Category],Snapshot!AC20,Table1[Month],Snapshot!$W$4)*-1</f>
        <v>37.81</v>
      </c>
      <c r="AE20" s="24">
        <f>RANK(AD20,$AD$6:$AD$35,0)+COUNTIF(AD$6:$AD20,AD20)-1</f>
        <v>3</v>
      </c>
      <c r="AF20" s="24"/>
      <c r="AG20" s="24"/>
      <c r="AH20" s="24"/>
      <c r="AJ20" s="29">
        <f t="shared" si="3"/>
        <v>36540</v>
      </c>
      <c r="AK20" s="29">
        <f t="shared" si="4"/>
        <v>44576</v>
      </c>
      <c r="AL20" s="30">
        <f>SUMIFS(Table1[Amount $],Table1[Category Type],"Expense",Table1[Date],Snapshot!AK20)*-1</f>
        <v>0</v>
      </c>
      <c r="AM20" s="30" t="e">
        <f ca="1">IF(AK20&gt;TODAY(),NA(),SUM(AL$6:$AL20))</f>
        <v>#N/A</v>
      </c>
      <c r="AN20" s="30" t="e">
        <f t="shared" ca="1" si="1"/>
        <v>#N/A</v>
      </c>
      <c r="AO20" s="29">
        <f t="shared" si="5"/>
        <v>44545</v>
      </c>
      <c r="AP20" s="30">
        <f>SUMIFS(Table1[Amount $],Table1[Category Type],"Expense",Table1[Date],Snapshot!AO20)*-1</f>
        <v>-100</v>
      </c>
      <c r="AQ20" s="30">
        <f>IF(AO20&lt;=EOMONTH($AO$6,0),SUM(AP$6:$AP20),NA())</f>
        <v>768.80000000000007</v>
      </c>
      <c r="AR20" s="30" t="e">
        <f t="shared" si="2"/>
        <v>#N/A</v>
      </c>
      <c r="AT20" s="24"/>
      <c r="AU20" s="31" t="str">
        <f>IF(ISBLANK(AT20),"",SUMIFS(Table1[Amount $],Table1[Merchant],Snapshot!AT20,Table1[Month],Snapshot!$W$4)*-1)</f>
        <v/>
      </c>
      <c r="AV20" s="24" t="str">
        <f>IF(ISBLANK(AT20),"",COUNTIFS(Table1[Merchant],Snapshot!AT20,Table1[Month],Snapshot!$W$4))</f>
        <v/>
      </c>
      <c r="AW20" s="24" t="str">
        <f>IFERROR(RANK(AV20,$AV$6:$AV$200)+COUNTIF($AV$6:AV20,AV20)-1,"")</f>
        <v/>
      </c>
      <c r="AX20" s="24" t="str">
        <f>IFERROR(RANK(AU20,$AU$6:$AU$200)+COUNTIF($AU$6:AU20,AU20)-1,"")</f>
        <v/>
      </c>
    </row>
    <row r="21" spans="1:50" ht="14.85" customHeight="1">
      <c r="A21" s="21"/>
      <c r="C21" s="40"/>
      <c r="D21" s="56"/>
      <c r="E21"/>
      <c r="F21"/>
      <c r="G21" s="63"/>
      <c r="J21" s="42"/>
      <c r="L21" s="40"/>
      <c r="T21" s="42"/>
      <c r="V21" s="37" t="str">
        <f t="shared" si="6"/>
        <v>November 2020</v>
      </c>
      <c r="W21" s="37">
        <v>44136</v>
      </c>
      <c r="X21" s="38"/>
      <c r="Y21" s="38"/>
      <c r="Z21" s="50"/>
      <c r="AA21" s="50"/>
      <c r="AB21" s="38"/>
      <c r="AC21" s="26" t="str">
        <v>Transfer</v>
      </c>
      <c r="AD21" s="27">
        <f>SUMIFS(Table1[Amount $],Table1[Category],Snapshot!AC21,Table1[Month],Snapshot!$W$4)*-1</f>
        <v>0</v>
      </c>
      <c r="AE21" s="24">
        <f>RANK(AD21,$AD$6:$AD$35,0)+COUNTIF(AD$6:$AD21,AD21)-1</f>
        <v>15</v>
      </c>
      <c r="AF21" s="24"/>
      <c r="AG21" s="24"/>
      <c r="AH21" s="24"/>
      <c r="AJ21" s="29">
        <f t="shared" si="3"/>
        <v>36541</v>
      </c>
      <c r="AK21" s="29">
        <f t="shared" si="4"/>
        <v>44577</v>
      </c>
      <c r="AL21" s="30">
        <f>SUMIFS(Table1[Amount $],Table1[Category Type],"Expense",Table1[Date],Snapshot!AK21)*-1</f>
        <v>0</v>
      </c>
      <c r="AM21" s="30" t="e">
        <f ca="1">IF(AK21&gt;TODAY(),NA(),SUM(AL$6:$AL21))</f>
        <v>#N/A</v>
      </c>
      <c r="AN21" s="30" t="e">
        <f t="shared" ca="1" si="1"/>
        <v>#N/A</v>
      </c>
      <c r="AO21" s="29">
        <f t="shared" si="5"/>
        <v>44546</v>
      </c>
      <c r="AP21" s="30">
        <f>SUMIFS(Table1[Amount $],Table1[Category Type],"Expense",Table1[Date],Snapshot!AO21)*-1</f>
        <v>-2327.2600000000002</v>
      </c>
      <c r="AQ21" s="30">
        <f>IF(AO21&lt;=EOMONTH($AO$6,0),SUM(AP$6:$AP21),NA())</f>
        <v>-1558.46</v>
      </c>
      <c r="AR21" s="30" t="e">
        <f t="shared" si="2"/>
        <v>#N/A</v>
      </c>
      <c r="AT21" s="24"/>
      <c r="AU21" s="31" t="str">
        <f>IF(ISBLANK(AT21),"",SUMIFS(Table1[Amount $],Table1[Merchant],Snapshot!AT21,Table1[Month],Snapshot!$W$4)*-1)</f>
        <v/>
      </c>
      <c r="AV21" s="24" t="str">
        <f>IF(ISBLANK(AT21),"",COUNTIFS(Table1[Merchant],Snapshot!AT21,Table1[Month],Snapshot!$W$4))</f>
        <v/>
      </c>
      <c r="AW21" s="24" t="str">
        <f>IFERROR(RANK(AV21,$AV$6:$AV$200)+COUNTIF($AV$6:AV21,AV21)-1,"")</f>
        <v/>
      </c>
      <c r="AX21" s="24" t="str">
        <f>IFERROR(RANK(AU21,$AU$6:$AU$200)+COUNTIF($AU$6:AU21,AU21)-1,"")</f>
        <v/>
      </c>
    </row>
    <row r="22" spans="1:50" ht="14.85" customHeight="1">
      <c r="A22" s="21"/>
      <c r="C22" s="40"/>
      <c r="D22"/>
      <c r="E22"/>
      <c r="F22"/>
      <c r="G22"/>
      <c r="J22" s="42"/>
      <c r="L22" s="40"/>
      <c r="P22" s="67" t="s">
        <v>23</v>
      </c>
      <c r="Q22" s="67"/>
      <c r="R22" s="67"/>
      <c r="S22" s="68">
        <f>S10+S12+S14+S16+S18+S20</f>
        <v>-50.899999999999977</v>
      </c>
      <c r="T22" s="42"/>
      <c r="V22" s="37" t="str">
        <f t="shared" si="6"/>
        <v>October 2020</v>
      </c>
      <c r="W22" s="37">
        <v>44105</v>
      </c>
      <c r="X22" s="38"/>
      <c r="Y22" s="38"/>
      <c r="Z22" s="50"/>
      <c r="AA22" s="50"/>
      <c r="AB22" s="38"/>
      <c r="AC22" s="26" t="str">
        <v>Travel</v>
      </c>
      <c r="AD22" s="27">
        <f>SUMIFS(Table1[Amount $],Table1[Category],Snapshot!AC22,Table1[Month],Snapshot!$W$4)*-1</f>
        <v>0</v>
      </c>
      <c r="AE22" s="24">
        <f>RANK(AD22,$AD$6:$AD$35,0)+COUNTIF(AD$6:$AD22,AD22)-1</f>
        <v>16</v>
      </c>
      <c r="AF22" s="24"/>
      <c r="AG22" s="24"/>
      <c r="AH22" s="24"/>
      <c r="AJ22" s="29">
        <f t="shared" si="3"/>
        <v>36542</v>
      </c>
      <c r="AK22" s="29">
        <f t="shared" si="4"/>
        <v>44578</v>
      </c>
      <c r="AL22" s="30">
        <f>SUMIFS(Table1[Amount $],Table1[Category Type],"Expense",Table1[Date],Snapshot!AK22)*-1</f>
        <v>0</v>
      </c>
      <c r="AM22" s="30" t="e">
        <f ca="1">IF(AK22&gt;TODAY(),NA(),SUM(AL$6:$AL22))</f>
        <v>#N/A</v>
      </c>
      <c r="AN22" s="30" t="e">
        <f t="shared" ca="1" si="1"/>
        <v>#N/A</v>
      </c>
      <c r="AO22" s="29">
        <f t="shared" si="5"/>
        <v>44547</v>
      </c>
      <c r="AP22" s="30">
        <f>SUMIFS(Table1[Amount $],Table1[Category Type],"Expense",Table1[Date],Snapshot!AO22)*-1</f>
        <v>462.84000000000003</v>
      </c>
      <c r="AQ22" s="30">
        <f>IF(AO22&lt;=EOMONTH($AO$6,0),SUM(AP$6:$AP22),NA())</f>
        <v>-1095.6199999999999</v>
      </c>
      <c r="AR22" s="30" t="e">
        <f t="shared" si="2"/>
        <v>#N/A</v>
      </c>
      <c r="AT22" s="24"/>
      <c r="AU22" s="31" t="str">
        <f>IF(ISBLANK(AT22),"",SUMIFS(Table1[Amount $],Table1[Merchant],Snapshot!AT22,Table1[Month],Snapshot!$W$4)*-1)</f>
        <v/>
      </c>
      <c r="AV22" s="24" t="str">
        <f>IF(ISBLANK(AT22),"",COUNTIFS(Table1[Merchant],Snapshot!AT22,Table1[Month],Snapshot!$W$4))</f>
        <v/>
      </c>
      <c r="AW22" s="24" t="str">
        <f>IFERROR(RANK(AV22,$AV$6:$AV$200)+COUNTIF($AV$6:AV22,AV22)-1,"")</f>
        <v/>
      </c>
      <c r="AX22" s="24" t="str">
        <f>IFERROR(RANK(AU22,$AU$6:$AU$200)+COUNTIF($AU$6:AU22,AU22)-1,"")</f>
        <v/>
      </c>
    </row>
    <row r="23" spans="1:50" ht="14.85" customHeight="1">
      <c r="A23" s="21"/>
      <c r="C23" s="40"/>
      <c r="J23" s="42"/>
      <c r="L23" s="40"/>
      <c r="M23" s="69"/>
      <c r="N23"/>
      <c r="T23" s="42"/>
      <c r="V23" s="37" t="str">
        <f t="shared" si="6"/>
        <v>September 2020</v>
      </c>
      <c r="W23" s="37">
        <v>44075</v>
      </c>
      <c r="X23" s="38"/>
      <c r="Y23"/>
      <c r="Z23" s="50"/>
      <c r="AA23" s="50"/>
      <c r="AB23" s="38"/>
      <c r="AC23" s="26" t="str">
        <v>Uncategorized</v>
      </c>
      <c r="AD23" s="27">
        <f>SUMIFS(Table1[Amount $],Table1[Category],Snapshot!AC23,Table1[Month],Snapshot!$W$4)*-1</f>
        <v>0</v>
      </c>
      <c r="AE23" s="24">
        <f>RANK(AD23,$AD$6:$AD$35,0)+COUNTIF(AD$6:$AD23,AD23)-1</f>
        <v>17</v>
      </c>
      <c r="AF23" s="24"/>
      <c r="AG23" s="24"/>
      <c r="AH23" s="24"/>
      <c r="AJ23" s="29">
        <f t="shared" si="3"/>
        <v>36543</v>
      </c>
      <c r="AK23" s="29">
        <f t="shared" si="4"/>
        <v>44579</v>
      </c>
      <c r="AL23" s="30">
        <f>SUMIFS(Table1[Amount $],Table1[Category Type],"Expense",Table1[Date],Snapshot!AK23)*-1</f>
        <v>0</v>
      </c>
      <c r="AM23" s="30" t="e">
        <f ca="1">IF(AK23&gt;TODAY(),NA(),SUM(AL$6:$AL23))</f>
        <v>#N/A</v>
      </c>
      <c r="AN23" s="30" t="e">
        <f t="shared" ca="1" si="1"/>
        <v>#N/A</v>
      </c>
      <c r="AO23" s="29">
        <f t="shared" si="5"/>
        <v>44548</v>
      </c>
      <c r="AP23" s="30">
        <f>SUMIFS(Table1[Amount $],Table1[Category Type],"Expense",Table1[Date],Snapshot!AO23)*-1</f>
        <v>271.33000000000004</v>
      </c>
      <c r="AQ23" s="30">
        <f>IF(AO23&lt;=EOMONTH($AO$6,0),SUM(AP$6:$AP23),NA())</f>
        <v>-824.28999999999985</v>
      </c>
      <c r="AR23" s="30" t="e">
        <f t="shared" si="2"/>
        <v>#N/A</v>
      </c>
      <c r="AT23" s="24"/>
      <c r="AU23" s="31" t="str">
        <f>IF(ISBLANK(AT23),"",SUMIFS(Table1[Amount $],Table1[Merchant],Snapshot!AT23,Table1[Month],Snapshot!$W$4)*-1)</f>
        <v/>
      </c>
      <c r="AV23" s="24" t="str">
        <f>IF(ISBLANK(AT23),"",COUNTIFS(Table1[Merchant],Snapshot!AT23,Table1[Month],Snapshot!$W$4))</f>
        <v/>
      </c>
      <c r="AW23" s="24" t="str">
        <f>IFERROR(RANK(AV23,$AV$6:$AV$200)+COUNTIF($AV$6:AV23,AV23)-1,"")</f>
        <v/>
      </c>
      <c r="AX23" s="24" t="str">
        <f>IFERROR(RANK(AU23,$AU$6:$AU$200)+COUNTIF($AU$6:AU23,AU23)-1,"")</f>
        <v/>
      </c>
    </row>
    <row r="24" spans="1:50" ht="14.85" customHeight="1" thickBot="1">
      <c r="A24" s="21"/>
      <c r="C24" s="70"/>
      <c r="D24" s="71"/>
      <c r="E24" s="71"/>
      <c r="F24" s="71"/>
      <c r="G24" s="71"/>
      <c r="H24" s="71"/>
      <c r="I24" s="71"/>
      <c r="J24" s="72"/>
      <c r="L24" s="70"/>
      <c r="M24" s="71"/>
      <c r="N24" s="71"/>
      <c r="O24" s="71"/>
      <c r="P24" s="71"/>
      <c r="Q24" s="71"/>
      <c r="R24" s="71"/>
      <c r="S24" s="71"/>
      <c r="T24" s="72"/>
      <c r="V24" s="37" t="str">
        <f t="shared" si="6"/>
        <v>August 2020</v>
      </c>
      <c r="W24" s="37">
        <v>44044</v>
      </c>
      <c r="X24" s="38"/>
      <c r="Y24"/>
      <c r="Z24"/>
      <c r="AA24"/>
      <c r="AB24" s="38"/>
      <c r="AC24" s="26" t="str">
        <v>Food</v>
      </c>
      <c r="AD24" s="27">
        <f>SUMIFS(Table1[Amount $],Table1[Category],Snapshot!AC24,Table1[Month],Snapshot!$W$4)*-1</f>
        <v>0</v>
      </c>
      <c r="AE24" s="24">
        <f>RANK(AD24,$AD$6:$AD$35,0)+COUNTIF(AD$6:$AD24,AD24)-1</f>
        <v>18</v>
      </c>
      <c r="AF24" s="24"/>
      <c r="AG24" s="24"/>
      <c r="AH24" s="24"/>
      <c r="AJ24" s="29">
        <f t="shared" si="3"/>
        <v>36544</v>
      </c>
      <c r="AK24" s="29">
        <f t="shared" si="4"/>
        <v>44580</v>
      </c>
      <c r="AL24" s="30">
        <f>SUMIFS(Table1[Amount $],Table1[Category Type],"Expense",Table1[Date],Snapshot!AK24)*-1</f>
        <v>0</v>
      </c>
      <c r="AM24" s="30" t="e">
        <f ca="1">IF(AK24&gt;TODAY(),NA(),SUM(AL$6:$AL24))</f>
        <v>#N/A</v>
      </c>
      <c r="AN24" s="30" t="e">
        <f t="shared" ca="1" si="1"/>
        <v>#N/A</v>
      </c>
      <c r="AO24" s="29">
        <f t="shared" si="5"/>
        <v>44549</v>
      </c>
      <c r="AP24" s="30">
        <f>SUMIFS(Table1[Amount $],Table1[Category Type],"Expense",Table1[Date],Snapshot!AO24)*-1</f>
        <v>340.96999999999997</v>
      </c>
      <c r="AQ24" s="30">
        <f>IF(AO24&lt;=EOMONTH($AO$6,0),SUM(AP$6:$AP24),NA())</f>
        <v>-483.31999999999988</v>
      </c>
      <c r="AR24" s="30" t="e">
        <f t="shared" si="2"/>
        <v>#N/A</v>
      </c>
      <c r="AT24" s="24"/>
      <c r="AU24" s="31" t="str">
        <f>IF(ISBLANK(AT24),"",SUMIFS(Table1[Amount $],Table1[Merchant],Snapshot!AT24,Table1[Month],Snapshot!$W$4)*-1)</f>
        <v/>
      </c>
      <c r="AV24" s="24" t="str">
        <f>IF(ISBLANK(AT24),"",COUNTIFS(Table1[Merchant],Snapshot!AT24,Table1[Month],Snapshot!$W$4))</f>
        <v/>
      </c>
      <c r="AW24" s="24" t="str">
        <f>IFERROR(RANK(AV24,$AV$6:$AV$200)+COUNTIF($AV$6:AV24,AV24)-1,"")</f>
        <v/>
      </c>
      <c r="AX24" s="24" t="str">
        <f>IFERROR(RANK(AU24,$AU$6:$AU$200)+COUNTIF($AU$6:AU24,AU24)-1,"")</f>
        <v/>
      </c>
    </row>
    <row r="25" spans="1:50" ht="14.85" customHeight="1" thickBot="1">
      <c r="A25" s="21"/>
      <c r="V25" s="37" t="str">
        <f t="shared" si="6"/>
        <v>July 2020</v>
      </c>
      <c r="W25" s="37">
        <v>44013</v>
      </c>
      <c r="X25" s="38"/>
      <c r="Y25"/>
      <c r="Z25"/>
      <c r="AA25"/>
      <c r="AB25" s="38"/>
      <c r="AC25" s="26" t="str">
        <v>Insurance</v>
      </c>
      <c r="AD25" s="27">
        <f>SUMIFS(Table1[Amount $],Table1[Category],Snapshot!AC25,Table1[Month],Snapshot!$W$4)*-1</f>
        <v>0</v>
      </c>
      <c r="AE25" s="24">
        <f>RANK(AD25,$AD$6:$AD$35,0)+COUNTIF(AD$6:$AD25,AD25)-1</f>
        <v>19</v>
      </c>
      <c r="AF25" s="24"/>
      <c r="AG25" s="24"/>
      <c r="AH25" s="24"/>
      <c r="AJ25" s="29">
        <f t="shared" si="3"/>
        <v>36545</v>
      </c>
      <c r="AK25" s="29">
        <f t="shared" si="4"/>
        <v>44581</v>
      </c>
      <c r="AL25" s="30">
        <f>SUMIFS(Table1[Amount $],Table1[Category Type],"Expense",Table1[Date],Snapshot!AK25)*-1</f>
        <v>0</v>
      </c>
      <c r="AM25" s="30" t="e">
        <f ca="1">IF(AK25&gt;TODAY(),NA(),SUM(AL$6:$AL25))</f>
        <v>#N/A</v>
      </c>
      <c r="AN25" s="30" t="e">
        <f t="shared" ca="1" si="1"/>
        <v>#N/A</v>
      </c>
      <c r="AO25" s="29">
        <f t="shared" si="5"/>
        <v>44550</v>
      </c>
      <c r="AP25" s="30">
        <f>SUMIFS(Table1[Amount $],Table1[Category Type],"Expense",Table1[Date],Snapshot!AO25)*-1</f>
        <v>556.70999999999992</v>
      </c>
      <c r="AQ25" s="30">
        <f>IF(AO25&lt;=EOMONTH($AO$6,0),SUM(AP$6:$AP25),NA())</f>
        <v>73.390000000000043</v>
      </c>
      <c r="AR25" s="30" t="e">
        <f t="shared" si="2"/>
        <v>#N/A</v>
      </c>
      <c r="AT25" s="24"/>
      <c r="AU25" s="31" t="str">
        <f>IF(ISBLANK(AT25),"",SUMIFS(Table1[Amount $],Table1[Merchant],Snapshot!AT25,Table1[Month],Snapshot!$W$4)*-1)</f>
        <v/>
      </c>
      <c r="AV25" s="24" t="str">
        <f>IF(ISBLANK(AT25),"",COUNTIFS(Table1[Merchant],Snapshot!AT25,Table1[Month],Snapshot!$W$4))</f>
        <v/>
      </c>
      <c r="AW25" s="24" t="str">
        <f>IFERROR(RANK(AV25,$AV$6:$AV$200)+COUNTIF($AV$6:AV25,AV25)-1,"")</f>
        <v/>
      </c>
      <c r="AX25" s="24" t="str">
        <f>IFERROR(RANK(AU25,$AU$6:$AU$200)+COUNTIF($AU$6:AU25,AU25)-1,"")</f>
        <v/>
      </c>
    </row>
    <row r="26" spans="1:50" ht="14.85" customHeight="1" thickTop="1" thickBot="1">
      <c r="A26" s="21"/>
      <c r="C26" s="73"/>
      <c r="D26" s="73"/>
      <c r="E26" s="74"/>
      <c r="F26" s="74"/>
      <c r="G26" s="74"/>
      <c r="H26" s="74"/>
      <c r="I26" s="75"/>
      <c r="J26" s="75"/>
      <c r="K26" s="75"/>
      <c r="L26" s="75"/>
      <c r="M26" s="75"/>
      <c r="N26" s="74"/>
      <c r="O26" s="74"/>
      <c r="P26" s="74"/>
      <c r="Q26" s="74"/>
      <c r="R26" s="74"/>
      <c r="S26" s="74"/>
      <c r="T26" s="74"/>
      <c r="V26" s="37" t="str">
        <f t="shared" si="6"/>
        <v>June 2020</v>
      </c>
      <c r="W26" s="37">
        <v>43983</v>
      </c>
      <c r="X26" s="38"/>
      <c r="Y26"/>
      <c r="Z26"/>
      <c r="AA26"/>
      <c r="AB26" s="38"/>
      <c r="AC26" s="26" t="str">
        <v>Medical &amp; Healthcare</v>
      </c>
      <c r="AD26" s="27">
        <f>SUMIFS(Table1[Amount $],Table1[Category],Snapshot!AC26,Table1[Month],Snapshot!$W$4)*-1</f>
        <v>0</v>
      </c>
      <c r="AE26" s="24">
        <f>RANK(AD26,$AD$6:$AD$35,0)+COUNTIF(AD$6:$AD26,AD26)-1</f>
        <v>20</v>
      </c>
      <c r="AF26" s="24"/>
      <c r="AG26" s="24"/>
      <c r="AH26" s="24"/>
      <c r="AJ26" s="29">
        <f t="shared" si="3"/>
        <v>36546</v>
      </c>
      <c r="AK26" s="29">
        <f t="shared" si="4"/>
        <v>44582</v>
      </c>
      <c r="AL26" s="30">
        <f>SUMIFS(Table1[Amount $],Table1[Category Type],"Expense",Table1[Date],Snapshot!AK26)*-1</f>
        <v>0</v>
      </c>
      <c r="AM26" s="30" t="e">
        <f ca="1">IF(AK26&gt;TODAY(),NA(),SUM(AL$6:$AL26))</f>
        <v>#N/A</v>
      </c>
      <c r="AN26" s="30" t="e">
        <f t="shared" ca="1" si="1"/>
        <v>#N/A</v>
      </c>
      <c r="AO26" s="29">
        <f t="shared" si="5"/>
        <v>44551</v>
      </c>
      <c r="AP26" s="30">
        <f>SUMIFS(Table1[Amount $],Table1[Category Type],"Expense",Table1[Date],Snapshot!AO26)*-1</f>
        <v>42.73</v>
      </c>
      <c r="AQ26" s="30">
        <f>IF(AO26&lt;=EOMONTH($AO$6,0),SUM(AP$6:$AP26),NA())</f>
        <v>116.12000000000003</v>
      </c>
      <c r="AR26" s="30" t="e">
        <f t="shared" si="2"/>
        <v>#N/A</v>
      </c>
      <c r="AT26" s="24"/>
      <c r="AU26" s="31" t="str">
        <f>IF(ISBLANK(AT26),"",SUMIFS(Table1[Amount $],Table1[Merchant],Snapshot!AT26,Table1[Month],Snapshot!$W$4)*-1)</f>
        <v/>
      </c>
      <c r="AV26" s="24" t="str">
        <f>IF(ISBLANK(AT26),"",COUNTIFS(Table1[Merchant],Snapshot!AT26,Table1[Month],Snapshot!$W$4))</f>
        <v/>
      </c>
      <c r="AW26" s="24" t="str">
        <f>IFERROR(RANK(AV26,$AV$6:$AV$200)+COUNTIF($AV$6:AV26,AV26)-1,"")</f>
        <v/>
      </c>
      <c r="AX26" s="24" t="str">
        <f>IFERROR(RANK(AU26,$AU$6:$AU$200)+COUNTIF($AU$6:AU26,AU26)-1,"")</f>
        <v/>
      </c>
    </row>
    <row r="27" spans="1:50" ht="20.100000000000001" customHeight="1">
      <c r="A27" s="21"/>
      <c r="C27" s="32"/>
      <c r="D27" s="33" t="s">
        <v>24</v>
      </c>
      <c r="E27" s="76"/>
      <c r="F27" s="76"/>
      <c r="G27" s="76"/>
      <c r="H27" s="76"/>
      <c r="I27" s="76"/>
      <c r="J27" s="76"/>
      <c r="K27" s="34"/>
      <c r="L27" s="34"/>
      <c r="M27" s="34"/>
      <c r="N27" s="34"/>
      <c r="O27" s="34"/>
      <c r="P27" s="34"/>
      <c r="Q27" s="34"/>
      <c r="R27" s="34"/>
      <c r="S27" s="34"/>
      <c r="T27" s="36"/>
      <c r="V27" s="37" t="str">
        <f t="shared" si="6"/>
        <v>May 2020</v>
      </c>
      <c r="W27" s="37">
        <v>43952</v>
      </c>
      <c r="X27" s="38"/>
      <c r="Y27"/>
      <c r="Z27"/>
      <c r="AA27"/>
      <c r="AB27" s="38"/>
      <c r="AC27" s="26" t="str">
        <v>Personal Spending</v>
      </c>
      <c r="AD27" s="27">
        <f>SUMIFS(Table1[Amount $],Table1[Category],Snapshot!AC27,Table1[Month],Snapshot!$W$4)*-1</f>
        <v>0</v>
      </c>
      <c r="AE27" s="24">
        <f>RANK(AD27,$AD$6:$AD$35,0)+COUNTIF(AD$6:$AD27,AD27)-1</f>
        <v>21</v>
      </c>
      <c r="AF27" s="24"/>
      <c r="AG27" s="24"/>
      <c r="AH27" s="24"/>
      <c r="AJ27" s="29">
        <f t="shared" si="3"/>
        <v>36547</v>
      </c>
      <c r="AK27" s="29">
        <f t="shared" si="4"/>
        <v>44583</v>
      </c>
      <c r="AL27" s="30">
        <f>SUMIFS(Table1[Amount $],Table1[Category Type],"Expense",Table1[Date],Snapshot!AK27)*-1</f>
        <v>0</v>
      </c>
      <c r="AM27" s="30" t="e">
        <f ca="1">IF(AK27&gt;TODAY(),NA(),SUM(AL$6:$AL27))</f>
        <v>#N/A</v>
      </c>
      <c r="AN27" s="30" t="e">
        <f t="shared" ca="1" si="1"/>
        <v>#N/A</v>
      </c>
      <c r="AO27" s="29">
        <f t="shared" si="5"/>
        <v>44552</v>
      </c>
      <c r="AP27" s="30">
        <f>SUMIFS(Table1[Amount $],Table1[Category Type],"Expense",Table1[Date],Snapshot!AO27)*-1</f>
        <v>-32.19</v>
      </c>
      <c r="AQ27" s="30">
        <f>IF(AO27&lt;=EOMONTH($AO$6,0),SUM(AP$6:$AP27),NA())</f>
        <v>83.930000000000035</v>
      </c>
      <c r="AR27" s="30" t="e">
        <f t="shared" si="2"/>
        <v>#N/A</v>
      </c>
      <c r="AT27" s="24"/>
      <c r="AU27" s="31" t="str">
        <f>IF(ISBLANK(AT27),"",SUMIFS(Table1[Amount $],Table1[Merchant],Snapshot!AT27,Table1[Month],Snapshot!$W$4)*-1)</f>
        <v/>
      </c>
      <c r="AV27" s="24" t="str">
        <f>IF(ISBLANK(AT27),"",COUNTIFS(Table1[Merchant],Snapshot!AT27,Table1[Month],Snapshot!$W$4))</f>
        <v/>
      </c>
      <c r="AW27" s="24" t="str">
        <f>IFERROR(RANK(AV27,$AV$6:$AV$200)+COUNTIF($AV$6:AV27,AV27)-1,"")</f>
        <v/>
      </c>
      <c r="AX27" s="24" t="str">
        <f>IFERROR(RANK(AU27,$AU$6:$AU$200)+COUNTIF($AU$6:AU27,AU27)-1,"")</f>
        <v/>
      </c>
    </row>
    <row r="28" spans="1:50" ht="14.85" customHeight="1">
      <c r="A28" s="21"/>
      <c r="C28" s="40"/>
      <c r="D28" s="41" t="str">
        <f ca="1">IFERROR(IF(AND(MONTH(W4)=MONTH(TODAY()),YEAR(W4)=YEAR(TODAY())),AK39,AK42),"")</f>
        <v>Spent $137 more than this time last month</v>
      </c>
      <c r="T28" s="42"/>
      <c r="V28" s="37" t="str">
        <f t="shared" si="6"/>
        <v>April 2020</v>
      </c>
      <c r="W28" s="37">
        <v>43922</v>
      </c>
      <c r="X28" s="38"/>
      <c r="Y28"/>
      <c r="Z28"/>
      <c r="AA28"/>
      <c r="AB28" s="38"/>
      <c r="AC28" s="26" t="str">
        <v>Recreational &amp; Entertainment</v>
      </c>
      <c r="AD28" s="27">
        <f>SUMIFS(Table1[Amount $],Table1[Category],Snapshot!AC28,Table1[Month],Snapshot!$W$4)*-1</f>
        <v>0</v>
      </c>
      <c r="AE28" s="24">
        <f>RANK(AD28,$AD$6:$AD$35,0)+COUNTIF(AD$6:$AD28,AD28)-1</f>
        <v>22</v>
      </c>
      <c r="AF28" s="24"/>
      <c r="AG28" s="24"/>
      <c r="AH28" s="24"/>
      <c r="AJ28" s="29">
        <f t="shared" si="3"/>
        <v>36548</v>
      </c>
      <c r="AK28" s="29">
        <f t="shared" si="4"/>
        <v>44584</v>
      </c>
      <c r="AL28" s="30">
        <f>SUMIFS(Table1[Amount $],Table1[Category Type],"Expense",Table1[Date],Snapshot!AK28)*-1</f>
        <v>0</v>
      </c>
      <c r="AM28" s="30" t="e">
        <f ca="1">IF(AK28&gt;TODAY(),NA(),SUM(AL$6:$AL28))</f>
        <v>#N/A</v>
      </c>
      <c r="AN28" s="30" t="e">
        <f t="shared" ca="1" si="1"/>
        <v>#N/A</v>
      </c>
      <c r="AO28" s="29">
        <f t="shared" si="5"/>
        <v>44553</v>
      </c>
      <c r="AP28" s="30">
        <f>SUMIFS(Table1[Amount $],Table1[Category Type],"Expense",Table1[Date],Snapshot!AO28)*-1</f>
        <v>97.82</v>
      </c>
      <c r="AQ28" s="30">
        <f>IF(AO28&lt;=EOMONTH($AO$6,0),SUM(AP$6:$AP28),NA())</f>
        <v>181.75000000000003</v>
      </c>
      <c r="AR28" s="30" t="e">
        <f t="shared" si="2"/>
        <v>#N/A</v>
      </c>
      <c r="AT28" s="24"/>
      <c r="AU28" s="31" t="str">
        <f>IF(ISBLANK(AT28),"",SUMIFS(Table1[Amount $],Table1[Merchant],Snapshot!AT28,Table1[Month],Snapshot!$W$4)*-1)</f>
        <v/>
      </c>
      <c r="AV28" s="24" t="str">
        <f>IF(ISBLANK(AT28),"",COUNTIFS(Table1[Merchant],Snapshot!AT28,Table1[Month],Snapshot!$W$4))</f>
        <v/>
      </c>
      <c r="AW28" s="24" t="str">
        <f>IFERROR(RANK(AV28,$AV$6:$AV$200)+COUNTIF($AV$6:AV28,AV28)-1,"")</f>
        <v/>
      </c>
      <c r="AX28" s="24" t="str">
        <f>IFERROR(RANK(AU28,$AU$6:$AU$200)+COUNTIF($AU$6:AU28,AU28)-1,"")</f>
        <v/>
      </c>
    </row>
    <row r="29" spans="1:50" ht="14.85" customHeight="1">
      <c r="A29" s="21"/>
      <c r="C29" s="40"/>
      <c r="T29" s="42"/>
      <c r="V29" s="37" t="str">
        <f t="shared" si="6"/>
        <v>March 2020</v>
      </c>
      <c r="W29" s="37">
        <v>43891</v>
      </c>
      <c r="X29" s="38"/>
      <c r="Y29"/>
      <c r="Z29"/>
      <c r="AA29"/>
      <c r="AB29" s="38"/>
      <c r="AC29" s="26" t="str">
        <v>Savings, Investing, &amp;Debt</v>
      </c>
      <c r="AD29" s="27">
        <f>SUMIFS(Table1[Amount $],Table1[Category],Snapshot!AC29,Table1[Month],Snapshot!$W$4)*-1</f>
        <v>0</v>
      </c>
      <c r="AE29" s="24">
        <f>RANK(AD29,$AD$6:$AD$35,0)+COUNTIF(AD$6:$AD29,AD29)-1</f>
        <v>23</v>
      </c>
      <c r="AF29" s="24"/>
      <c r="AG29" s="24"/>
      <c r="AH29" s="24"/>
      <c r="AJ29" s="29">
        <f t="shared" si="3"/>
        <v>36549</v>
      </c>
      <c r="AK29" s="29">
        <f t="shared" si="4"/>
        <v>44585</v>
      </c>
      <c r="AL29" s="30">
        <f>SUMIFS(Table1[Amount $],Table1[Category Type],"Expense",Table1[Date],Snapshot!AK29)*-1</f>
        <v>0</v>
      </c>
      <c r="AM29" s="30" t="e">
        <f ca="1">IF(AK29&gt;TODAY(),NA(),SUM(AL$6:$AL29))</f>
        <v>#N/A</v>
      </c>
      <c r="AN29" s="30" t="e">
        <f t="shared" ca="1" si="1"/>
        <v>#N/A</v>
      </c>
      <c r="AO29" s="29">
        <f t="shared" si="5"/>
        <v>44554</v>
      </c>
      <c r="AP29" s="30">
        <f>SUMIFS(Table1[Amount $],Table1[Category Type],"Expense",Table1[Date],Snapshot!AO29)*-1</f>
        <v>60</v>
      </c>
      <c r="AQ29" s="30">
        <f>IF(AO29&lt;=EOMONTH($AO$6,0),SUM(AP$6:$AP29),NA())</f>
        <v>241.75000000000003</v>
      </c>
      <c r="AR29" s="30" t="e">
        <f t="shared" si="2"/>
        <v>#N/A</v>
      </c>
      <c r="AT29" s="24"/>
      <c r="AU29" s="31" t="str">
        <f>IF(ISBLANK(AT29),"",SUMIFS(Table1[Amount $],Table1[Merchant],Snapshot!AT29,Table1[Month],Snapshot!$W$4)*-1)</f>
        <v/>
      </c>
      <c r="AV29" s="24" t="str">
        <f>IF(ISBLANK(AT29),"",COUNTIFS(Table1[Merchant],Snapshot!AT29,Table1[Month],Snapshot!$W$4))</f>
        <v/>
      </c>
      <c r="AW29" s="24" t="str">
        <f>IFERROR(RANK(AV29,$AV$6:$AV$200)+COUNTIF($AV$6:AV29,AV29)-1,"")</f>
        <v/>
      </c>
      <c r="AX29" s="24" t="str">
        <f>IFERROR(RANK(AU29,$AU$6:$AU$200)+COUNTIF($AU$6:AU29,AU29)-1,"")</f>
        <v/>
      </c>
    </row>
    <row r="30" spans="1:50" ht="14.85" customHeight="1">
      <c r="A30" s="21"/>
      <c r="C30" s="40"/>
      <c r="D30" s="77"/>
      <c r="E30" s="77"/>
      <c r="F30" s="78"/>
      <c r="T30" s="42"/>
      <c r="V30" s="37" t="str">
        <f t="shared" si="6"/>
        <v>February 2020</v>
      </c>
      <c r="W30" s="37">
        <v>43862</v>
      </c>
      <c r="X30" s="38"/>
      <c r="Y30"/>
      <c r="Z30"/>
      <c r="AA30"/>
      <c r="AB30" s="38"/>
      <c r="AC30" s="26" t="str">
        <v>Transportation</v>
      </c>
      <c r="AD30" s="27">
        <f>SUMIFS(Table1[Amount $],Table1[Category],Snapshot!AC30,Table1[Month],Snapshot!$W$4)*-1</f>
        <v>0</v>
      </c>
      <c r="AE30" s="24">
        <f>RANK(AD30,$AD$6:$AD$35,0)+COUNTIF(AD$6:$AD30,AD30)-1</f>
        <v>24</v>
      </c>
      <c r="AF30" s="24"/>
      <c r="AG30" s="24"/>
      <c r="AH30" s="24"/>
      <c r="AJ30" s="29">
        <f t="shared" si="3"/>
        <v>36550</v>
      </c>
      <c r="AK30" s="29">
        <f t="shared" si="4"/>
        <v>44586</v>
      </c>
      <c r="AL30" s="30">
        <f>SUMIFS(Table1[Amount $],Table1[Category Type],"Expense",Table1[Date],Snapshot!AK30)*-1</f>
        <v>0</v>
      </c>
      <c r="AM30" s="30" t="e">
        <f ca="1">IF(AK30&gt;TODAY(),NA(),SUM(AL$6:$AL30))</f>
        <v>#N/A</v>
      </c>
      <c r="AN30" s="30" t="e">
        <f t="shared" ca="1" si="1"/>
        <v>#N/A</v>
      </c>
      <c r="AO30" s="29">
        <f t="shared" si="5"/>
        <v>44555</v>
      </c>
      <c r="AP30" s="30">
        <f>SUMIFS(Table1[Amount $],Table1[Category Type],"Expense",Table1[Date],Snapshot!AO30)*-1</f>
        <v>216.77999999999997</v>
      </c>
      <c r="AQ30" s="30">
        <f>IF(AO30&lt;=EOMONTH($AO$6,0),SUM(AP$6:$AP30),NA())</f>
        <v>458.53</v>
      </c>
      <c r="AR30" s="30" t="e">
        <f t="shared" si="2"/>
        <v>#N/A</v>
      </c>
      <c r="AT30" s="24"/>
      <c r="AU30" s="31" t="str">
        <f>IF(ISBLANK(AT30),"",SUMIFS(Table1[Amount $],Table1[Merchant],Snapshot!AT30,Table1[Month],Snapshot!$W$4)*-1)</f>
        <v/>
      </c>
      <c r="AV30" s="24" t="str">
        <f>IF(ISBLANK(AT30),"",COUNTIFS(Table1[Merchant],Snapshot!AT30,Table1[Month],Snapshot!$W$4))</f>
        <v/>
      </c>
      <c r="AW30" s="24" t="str">
        <f>IFERROR(RANK(AV30,$AV$6:$AV$200)+COUNTIF($AV$6:AV30,AV30)-1,"")</f>
        <v/>
      </c>
      <c r="AX30" s="24" t="str">
        <f>IFERROR(RANK(AU30,$AU$6:$AU$200)+COUNTIF($AU$6:AU30,AU30)-1,"")</f>
        <v/>
      </c>
    </row>
    <row r="31" spans="1:50" ht="14.85" customHeight="1">
      <c r="A31" s="21"/>
      <c r="C31" s="40"/>
      <c r="T31" s="42"/>
      <c r="V31" s="37" t="str">
        <f t="shared" si="6"/>
        <v>January 2020</v>
      </c>
      <c r="W31" s="37">
        <v>43831</v>
      </c>
      <c r="X31" s="38"/>
      <c r="Y31"/>
      <c r="Z31"/>
      <c r="AA31"/>
      <c r="AB31" s="38"/>
      <c r="AC31" s="26" t="str">
        <v>Utilities</v>
      </c>
      <c r="AD31" s="27">
        <f>SUMIFS(Table1[Amount $],Table1[Category],Snapshot!AC31,Table1[Month],Snapshot!$W$4)*-1</f>
        <v>0</v>
      </c>
      <c r="AE31" s="24">
        <f>RANK(AD31,$AD$6:$AD$35,0)+COUNTIF(AD$6:$AD31,AD31)-1</f>
        <v>25</v>
      </c>
      <c r="AF31" s="24"/>
      <c r="AG31" s="24"/>
      <c r="AH31" s="24"/>
      <c r="AJ31" s="29">
        <f t="shared" si="3"/>
        <v>36551</v>
      </c>
      <c r="AK31" s="29">
        <f t="shared" si="4"/>
        <v>44587</v>
      </c>
      <c r="AL31" s="30">
        <f>SUMIFS(Table1[Amount $],Table1[Category Type],"Expense",Table1[Date],Snapshot!AK31)*-1</f>
        <v>0</v>
      </c>
      <c r="AM31" s="30" t="e">
        <f ca="1">IF(AK31&gt;TODAY(),NA(),SUM(AL$6:$AL31))</f>
        <v>#N/A</v>
      </c>
      <c r="AN31" s="30" t="e">
        <f t="shared" ca="1" si="1"/>
        <v>#N/A</v>
      </c>
      <c r="AO31" s="29">
        <f t="shared" si="5"/>
        <v>44556</v>
      </c>
      <c r="AP31" s="30">
        <f>SUMIFS(Table1[Amount $],Table1[Category Type],"Expense",Table1[Date],Snapshot!AO31)*-1</f>
        <v>112.26</v>
      </c>
      <c r="AQ31" s="30">
        <f>IF(AO31&lt;=EOMONTH($AO$6,0),SUM(AP$6:$AP31),NA())</f>
        <v>570.79</v>
      </c>
      <c r="AR31" s="30" t="e">
        <f t="shared" si="2"/>
        <v>#N/A</v>
      </c>
      <c r="AT31" s="24"/>
      <c r="AU31" s="31" t="str">
        <f>IF(ISBLANK(AT31),"",SUMIFS(Table1[Amount $],Table1[Merchant],Snapshot!AT31,Table1[Month],Snapshot!$W$4)*-1)</f>
        <v/>
      </c>
      <c r="AV31" s="24" t="str">
        <f>IF(ISBLANK(AT31),"",COUNTIFS(Table1[Merchant],Snapshot!AT31,Table1[Month],Snapshot!$W$4))</f>
        <v/>
      </c>
      <c r="AW31" s="24" t="str">
        <f>IFERROR(RANK(AV31,$AV$6:$AV$200)+COUNTIF($AV$6:AV31,AV31)-1,"")</f>
        <v/>
      </c>
      <c r="AX31" s="24" t="str">
        <f>IFERROR(RANK(AU31,$AU$6:$AU$200)+COUNTIF($AU$6:AU31,AU31)-1,"")</f>
        <v/>
      </c>
    </row>
    <row r="32" spans="1:50" ht="14.85" customHeight="1">
      <c r="A32" s="21"/>
      <c r="C32" s="40"/>
      <c r="T32" s="42"/>
      <c r="V32" s="37" t="str">
        <f t="shared" si="6"/>
        <v>--</v>
      </c>
      <c r="W32" s="37"/>
      <c r="X32" s="38"/>
      <c r="Y32"/>
      <c r="Z32"/>
      <c r="AA32"/>
      <c r="AB32" s="38"/>
      <c r="AC32" s="26"/>
      <c r="AD32" s="27">
        <f>SUMIFS(Table1[Amount $],Table1[Category],Snapshot!AC32,Table1[Month],Snapshot!$W$4)*-1</f>
        <v>0</v>
      </c>
      <c r="AE32" s="24">
        <f>RANK(AD32,$AD$6:$AD$35,0)+COUNTIF(AD$6:$AD32,AD32)-1</f>
        <v>26</v>
      </c>
      <c r="AF32" s="24"/>
      <c r="AG32" s="24"/>
      <c r="AH32" s="24"/>
      <c r="AJ32" s="29">
        <f t="shared" si="3"/>
        <v>36552</v>
      </c>
      <c r="AK32" s="29">
        <f t="shared" si="4"/>
        <v>44588</v>
      </c>
      <c r="AL32" s="30">
        <f>SUMIFS(Table1[Amount $],Table1[Category Type],"Expense",Table1[Date],Snapshot!AK32)*-1</f>
        <v>0</v>
      </c>
      <c r="AM32" s="30" t="e">
        <f ca="1">IF(AK32&gt;TODAY(),NA(),SUM(AL$6:$AL32))</f>
        <v>#N/A</v>
      </c>
      <c r="AN32" s="30" t="e">
        <f t="shared" ca="1" si="1"/>
        <v>#N/A</v>
      </c>
      <c r="AO32" s="29">
        <f t="shared" si="5"/>
        <v>44557</v>
      </c>
      <c r="AP32" s="30">
        <f>SUMIFS(Table1[Amount $],Table1[Category Type],"Expense",Table1[Date],Snapshot!AO32)*-1</f>
        <v>426.95</v>
      </c>
      <c r="AQ32" s="30">
        <f>IF(AO32&lt;=EOMONTH($AO$6,0),SUM(AP$6:$AP32),NA())</f>
        <v>997.74</v>
      </c>
      <c r="AR32" s="30" t="e">
        <f t="shared" si="2"/>
        <v>#N/A</v>
      </c>
      <c r="AT32" s="24"/>
      <c r="AU32" s="31" t="str">
        <f>IF(ISBLANK(AT32),"",SUMIFS(Table1[Amount $],Table1[Merchant],Snapshot!AT32,Table1[Month],Snapshot!$W$4)*-1)</f>
        <v/>
      </c>
      <c r="AV32" s="24" t="str">
        <f>IF(ISBLANK(AT32),"",COUNTIFS(Table1[Merchant],Snapshot!AT32,Table1[Month],Snapshot!$W$4))</f>
        <v/>
      </c>
      <c r="AW32" s="24" t="str">
        <f>IFERROR(RANK(AV32,$AV$6:$AV$200)+COUNTIF($AV$6:AV32,AV32)-1,"")</f>
        <v/>
      </c>
      <c r="AX32" s="24" t="str">
        <f>IFERROR(RANK(AU32,$AU$6:$AU$200)+COUNTIF($AU$6:AU32,AU32)-1,"")</f>
        <v/>
      </c>
    </row>
    <row r="33" spans="2:50" ht="14.85" customHeight="1">
      <c r="C33" s="40"/>
      <c r="T33" s="42"/>
      <c r="V33" s="37" t="str">
        <f t="shared" si="6"/>
        <v>--</v>
      </c>
      <c r="W33" s="37"/>
      <c r="X33" s="38"/>
      <c r="Y33"/>
      <c r="Z33"/>
      <c r="AA33"/>
      <c r="AB33" s="38"/>
      <c r="AC33" s="26"/>
      <c r="AD33" s="27">
        <f>SUMIFS(Table1[Amount $],Table1[Category],Snapshot!AC33,Table1[Month],Snapshot!$W$4)*-1</f>
        <v>0</v>
      </c>
      <c r="AE33" s="24">
        <f>RANK(AD33,$AD$6:$AD$35,0)+COUNTIF(AD$6:$AD33,AD33)-1</f>
        <v>27</v>
      </c>
      <c r="AF33" s="24"/>
      <c r="AG33" s="24"/>
      <c r="AH33" s="24"/>
      <c r="AJ33" s="29">
        <f t="shared" si="3"/>
        <v>36553</v>
      </c>
      <c r="AK33" s="29">
        <f t="shared" si="4"/>
        <v>44589</v>
      </c>
      <c r="AL33" s="30">
        <f>SUMIFS(Table1[Amount $],Table1[Category Type],"Expense",Table1[Date],Snapshot!AK33)*-1</f>
        <v>0</v>
      </c>
      <c r="AM33" s="30" t="e">
        <f ca="1">IF(AK33&gt;TODAY(),NA(),SUM(AL$6:$AL33))</f>
        <v>#N/A</v>
      </c>
      <c r="AN33" s="30" t="e">
        <f t="shared" ca="1" si="1"/>
        <v>#N/A</v>
      </c>
      <c r="AO33" s="29">
        <f t="shared" si="5"/>
        <v>44558</v>
      </c>
      <c r="AP33" s="30">
        <f>SUMIFS(Table1[Amount $],Table1[Category Type],"Expense",Table1[Date],Snapshot!AO33)*-1</f>
        <v>11</v>
      </c>
      <c r="AQ33" s="30">
        <f>IF(AO33&lt;=EOMONTH($AO$6,0),SUM(AP$6:$AP33),NA())</f>
        <v>1008.74</v>
      </c>
      <c r="AR33" s="30" t="e">
        <f t="shared" si="2"/>
        <v>#N/A</v>
      </c>
      <c r="AT33" s="24"/>
      <c r="AU33" s="31" t="str">
        <f>IF(ISBLANK(AT33),"",SUMIFS(Table1[Amount $],Table1[Merchant],Snapshot!AT33,Table1[Month],Snapshot!$W$4)*-1)</f>
        <v/>
      </c>
      <c r="AV33" s="24" t="str">
        <f>IF(ISBLANK(AT33),"",COUNTIFS(Table1[Merchant],Snapshot!AT33,Table1[Month],Snapshot!$W$4))</f>
        <v/>
      </c>
      <c r="AW33" s="24" t="str">
        <f>IFERROR(RANK(AV33,$AV$6:$AV$200)+COUNTIF($AV$6:AV33,AV33)-1,"")</f>
        <v/>
      </c>
      <c r="AX33" s="24" t="str">
        <f>IFERROR(RANK(AU33,$AU$6:$AU$200)+COUNTIF($AU$6:AU33,AU33)-1,"")</f>
        <v/>
      </c>
    </row>
    <row r="34" spans="2:50" ht="14.85" customHeight="1">
      <c r="C34" s="40"/>
      <c r="T34" s="42"/>
      <c r="V34" s="37" t="str">
        <f t="shared" si="6"/>
        <v>--</v>
      </c>
      <c r="W34" s="37"/>
      <c r="X34" s="38"/>
      <c r="Y34"/>
      <c r="Z34"/>
      <c r="AA34"/>
      <c r="AB34" s="38"/>
      <c r="AC34" s="26"/>
      <c r="AD34" s="27">
        <f>SUMIFS(Table1[Amount $],Table1[Category],Snapshot!AC34,Table1[Month],Snapshot!$W$4)*-1</f>
        <v>0</v>
      </c>
      <c r="AE34" s="24">
        <f>RANK(AD34,$AD$6:$AD$35,0)+COUNTIF(AD$6:$AD34,AD34)-1</f>
        <v>28</v>
      </c>
      <c r="AF34" s="24"/>
      <c r="AG34" s="24"/>
      <c r="AH34" s="24"/>
      <c r="AJ34" s="29">
        <f t="shared" si="3"/>
        <v>36554</v>
      </c>
      <c r="AK34" s="29">
        <f t="shared" si="4"/>
        <v>44590</v>
      </c>
      <c r="AL34" s="30">
        <f>SUMIFS(Table1[Amount $],Table1[Category Type],"Expense",Table1[Date],Snapshot!AK34)*-1</f>
        <v>0</v>
      </c>
      <c r="AM34" s="30" t="e">
        <f ca="1">IF(AK34&gt;TODAY(),NA(),SUM(AL$6:$AL34))</f>
        <v>#N/A</v>
      </c>
      <c r="AN34" s="30" t="e">
        <f t="shared" ca="1" si="1"/>
        <v>#N/A</v>
      </c>
      <c r="AO34" s="29">
        <f t="shared" si="5"/>
        <v>44559</v>
      </c>
      <c r="AP34" s="30">
        <f>SUMIFS(Table1[Amount $],Table1[Category Type],"Expense",Table1[Date],Snapshot!AO34)*-1</f>
        <v>-918.57</v>
      </c>
      <c r="AQ34" s="30">
        <f>IF(AO34&lt;=EOMONTH($AO$6,0),SUM(AP$6:$AP34),NA())</f>
        <v>90.169999999999959</v>
      </c>
      <c r="AR34" s="30" t="e">
        <f t="shared" si="2"/>
        <v>#N/A</v>
      </c>
      <c r="AT34" s="24"/>
      <c r="AU34" s="31" t="str">
        <f>IF(ISBLANK(AT34),"",SUMIFS(Table1[Amount $],Table1[Merchant],Snapshot!AT34,Table1[Month],Snapshot!$W$4)*-1)</f>
        <v/>
      </c>
      <c r="AV34" s="24" t="str">
        <f>IF(ISBLANK(AT34),"",COUNTIFS(Table1[Merchant],Snapshot!AT34,Table1[Month],Snapshot!$W$4))</f>
        <v/>
      </c>
      <c r="AW34" s="24" t="str">
        <f>IFERROR(RANK(AV34,$AV$6:$AV$200)+COUNTIF($AV$6:AV34,AV34)-1,"")</f>
        <v/>
      </c>
      <c r="AX34" s="24" t="str">
        <f>IFERROR(RANK(AU34,$AU$6:$AU$200)+COUNTIF($AU$6:AU34,AU34)-1,"")</f>
        <v/>
      </c>
    </row>
    <row r="35" spans="2:50" ht="14.85" customHeight="1">
      <c r="C35" s="40"/>
      <c r="T35" s="42"/>
      <c r="V35" s="37" t="str">
        <f t="shared" si="6"/>
        <v>--</v>
      </c>
      <c r="W35" s="37"/>
      <c r="X35" s="38"/>
      <c r="Y35"/>
      <c r="Z35"/>
      <c r="AA35"/>
      <c r="AB35" s="38"/>
      <c r="AC35" s="26"/>
      <c r="AD35" s="27">
        <f>SUMIFS(Table1[Amount $],Table1[Category],Snapshot!AC35,Table1[Month],Snapshot!$W$4)*-1</f>
        <v>0</v>
      </c>
      <c r="AE35" s="24">
        <f>RANK(AD35,$AD$6:$AD$35,0)+COUNTIF(AD$6:$AD35,AD35)-1</f>
        <v>29</v>
      </c>
      <c r="AF35" s="24"/>
      <c r="AG35" s="24"/>
      <c r="AH35" s="24"/>
      <c r="AJ35" s="29">
        <f t="shared" si="3"/>
        <v>36555</v>
      </c>
      <c r="AK35" s="29">
        <f t="shared" si="4"/>
        <v>44591</v>
      </c>
      <c r="AL35" s="30">
        <f>SUMIFS(Table1[Amount $],Table1[Category Type],"Expense",Table1[Date],Snapshot!AK35)*-1</f>
        <v>0</v>
      </c>
      <c r="AM35" s="30" t="e">
        <f ca="1">IF(AK35&gt;TODAY(),NA(),SUM(AL$6:$AL35))</f>
        <v>#N/A</v>
      </c>
      <c r="AN35" s="30" t="e">
        <f t="shared" ca="1" si="1"/>
        <v>#N/A</v>
      </c>
      <c r="AO35" s="29">
        <f t="shared" si="5"/>
        <v>44560</v>
      </c>
      <c r="AP35" s="30">
        <f>SUMIFS(Table1[Amount $],Table1[Category Type],"Expense",Table1[Date],Snapshot!AO35)*-1</f>
        <v>-352.08999999999969</v>
      </c>
      <c r="AQ35" s="30">
        <f>IF(AO35&lt;=EOMONTH($AO$6,0),SUM(AP$6:$AP35),NA())</f>
        <v>-261.91999999999973</v>
      </c>
      <c r="AR35" s="30" t="e">
        <f t="shared" si="2"/>
        <v>#N/A</v>
      </c>
      <c r="AT35" s="24"/>
      <c r="AU35" s="31" t="str">
        <f>IF(ISBLANK(AT35),"",SUMIFS(Table1[Amount $],Table1[Merchant],Snapshot!AT35,Table1[Month],Snapshot!$W$4)*-1)</f>
        <v/>
      </c>
      <c r="AV35" s="24" t="str">
        <f>IF(ISBLANK(AT35),"",COUNTIFS(Table1[Merchant],Snapshot!AT35,Table1[Month],Snapshot!$W$4))</f>
        <v/>
      </c>
      <c r="AW35" s="24" t="str">
        <f>IFERROR(RANK(AV35,$AV$6:$AV$200)+COUNTIF($AV$6:AV35,AV35)-1,"")</f>
        <v/>
      </c>
      <c r="AX35" s="24" t="str">
        <f>IFERROR(RANK(AU35,$AU$6:$AU$200)+COUNTIF($AU$6:AU35,AU35)-1,"")</f>
        <v/>
      </c>
    </row>
    <row r="36" spans="2:50" ht="14.85" customHeight="1">
      <c r="C36" s="40"/>
      <c r="T36" s="42"/>
      <c r="V36" s="37" t="str">
        <f t="shared" si="6"/>
        <v>--</v>
      </c>
      <c r="W36" s="37"/>
      <c r="X36" s="38"/>
      <c r="Y36"/>
      <c r="Z36"/>
      <c r="AA36"/>
      <c r="AB36" s="38"/>
      <c r="AC36" s="26"/>
      <c r="AD36" s="27">
        <f>SUMIFS(Table1[Amount $],Table1[Category],Snapshot!AC36,Table1[Month],Snapshot!$W$4)*-1</f>
        <v>0</v>
      </c>
      <c r="AE36" s="24">
        <f>RANK(AD36,$AD$6:$AD$35,0)+COUNTIF(AD$6:$AD36,AD36)-1</f>
        <v>30</v>
      </c>
      <c r="AF36" s="24"/>
      <c r="AG36" s="24"/>
      <c r="AH36" s="24"/>
      <c r="AJ36" s="29">
        <f t="shared" si="3"/>
        <v>36556</v>
      </c>
      <c r="AK36" s="29">
        <f t="shared" si="4"/>
        <v>44592</v>
      </c>
      <c r="AL36" s="30">
        <f>SUMIFS(Table1[Amount $],Table1[Category Type],"Expense",Table1[Date],Snapshot!AK36)*-1</f>
        <v>0</v>
      </c>
      <c r="AM36" s="30" t="e">
        <f ca="1">IF(AK36&gt;TODAY(),NA(),SUM(AL$6:$AL36))</f>
        <v>#N/A</v>
      </c>
      <c r="AN36" s="30" t="e">
        <f t="shared" ca="1" si="1"/>
        <v>#N/A</v>
      </c>
      <c r="AO36" s="29">
        <f t="shared" si="5"/>
        <v>44561</v>
      </c>
      <c r="AP36" s="30">
        <f>SUMIFS(Table1[Amount $],Table1[Category Type],"Expense",Table1[Date],Snapshot!AO36)*-1</f>
        <v>84.37</v>
      </c>
      <c r="AQ36" s="30">
        <f>IF(AO36&lt;=EOMONTH($AO$6,0),SUM(AP$6:$AP36),NA())</f>
        <v>-177.54999999999973</v>
      </c>
      <c r="AR36" s="30">
        <f t="shared" si="2"/>
        <v>-177.54999999999973</v>
      </c>
      <c r="AT36" s="24"/>
      <c r="AU36" s="31" t="str">
        <f>IF(ISBLANK(AT36),"",SUMIFS(Table1[Amount $],Table1[Merchant],Snapshot!AT36,Table1[Month],Snapshot!$W$4)*-1)</f>
        <v/>
      </c>
      <c r="AV36" s="24" t="str">
        <f>IF(ISBLANK(AT36),"",COUNTIFS(Table1[Merchant],Snapshot!AT36,Table1[Month],Snapshot!$W$4))</f>
        <v/>
      </c>
      <c r="AW36" s="24" t="str">
        <f>IFERROR(RANK(AV36,$AV$6:$AV$200)+COUNTIF($AV$6:AV36,AV36)-1,"")</f>
        <v/>
      </c>
      <c r="AX36" s="24" t="str">
        <f>IFERROR(RANK(AU36,$AU$6:$AU$200)+COUNTIF($AU$6:AU36,AU36)-1,"")</f>
        <v/>
      </c>
    </row>
    <row r="37" spans="2:50" ht="14.85" customHeight="1">
      <c r="C37" s="40"/>
      <c r="T37" s="42"/>
      <c r="V37" s="37" t="str">
        <f t="shared" si="6"/>
        <v>--</v>
      </c>
      <c r="W37" s="37"/>
      <c r="X37" s="38"/>
      <c r="AB37" s="38"/>
      <c r="AC37" s="26"/>
      <c r="AD37" s="27">
        <f>SUMIFS(Table1[Amount $],Table1[Category],Snapshot!AC37,Table1[Month],Snapshot!$W$4)*-1</f>
        <v>0</v>
      </c>
      <c r="AE37" s="24">
        <f>RANK(AD37,$AD$6:$AD$35,0)+COUNTIF(AD$6:$AD37,AD37)-1</f>
        <v>31</v>
      </c>
      <c r="AF37" s="24"/>
      <c r="AG37" s="24"/>
      <c r="AH37" s="24"/>
      <c r="AJ37" s="24"/>
      <c r="AK37" s="24"/>
      <c r="AL37" s="24"/>
      <c r="AM37" s="24"/>
      <c r="AN37" s="24"/>
      <c r="AO37" s="24"/>
      <c r="AP37" s="24"/>
      <c r="AQ37" s="24"/>
      <c r="AR37" s="24"/>
      <c r="AT37" s="24"/>
      <c r="AU37" s="31" t="str">
        <f>IF(ISBLANK(AT37),"",SUMIFS(Table1[Amount $],Table1[Merchant],Snapshot!AT37,Table1[Month],Snapshot!$W$4)*-1)</f>
        <v/>
      </c>
      <c r="AV37" s="24" t="str">
        <f>IF(ISBLANK(AT37),"",COUNTIFS(Table1[Merchant],Snapshot!AT37,Table1[Month],Snapshot!$W$4))</f>
        <v/>
      </c>
      <c r="AW37" s="24" t="str">
        <f>IFERROR(RANK(AV37,$AV$6:$AV$200)+COUNTIF($AV$6:AV37,AV37)-1,"")</f>
        <v/>
      </c>
      <c r="AX37" s="24" t="str">
        <f>IFERROR(RANK(AU37,$AU$6:$AU$200)+COUNTIF($AU$6:AU37,AU37)-1,"")</f>
        <v/>
      </c>
    </row>
    <row r="38" spans="2:50" ht="14.85" customHeight="1">
      <c r="C38" s="40"/>
      <c r="T38" s="42"/>
      <c r="V38" s="37" t="str">
        <f t="shared" si="6"/>
        <v>--</v>
      </c>
      <c r="W38" s="37"/>
      <c r="X38" s="38"/>
      <c r="AB38" s="38"/>
      <c r="AC38" s="26"/>
      <c r="AD38" s="27">
        <f>SUMIFS(Table1[Amount $],Table1[Category],Snapshot!AC38,Table1[Month],Snapshot!$W$4)*-1</f>
        <v>0</v>
      </c>
      <c r="AE38" s="24">
        <f>RANK(AD38,$AD$6:$AD$35,0)+COUNTIF(AD$6:$AD38,AD38)-1</f>
        <v>32</v>
      </c>
      <c r="AF38" s="24"/>
      <c r="AG38" s="24"/>
      <c r="AH38" s="24"/>
      <c r="AJ38" s="24"/>
      <c r="AK38" s="29">
        <f ca="1">TODAY()</f>
        <v>44567</v>
      </c>
      <c r="AL38" s="24"/>
      <c r="AM38" s="27" cm="1">
        <f t="array" aca="1" ref="AM38" ca="1">INDEX(AM6:AM36,MATCH(AK38,AK6:AK36,0),0)</f>
        <v>-50.900000000000318</v>
      </c>
      <c r="AN38" s="27"/>
      <c r="AO38" s="29">
        <f ca="1">DATE(YEAR(AK38),MONTH(AK38)-1,DAY(AK38))</f>
        <v>44536</v>
      </c>
      <c r="AP38" s="24"/>
      <c r="AQ38" s="27" cm="1">
        <f t="array" aca="1" ref="AQ38" ca="1">INDEX(AQ6:AQ36,MATCH(AO38,AO6:AO36,0),0)</f>
        <v>-188.05999999999983</v>
      </c>
      <c r="AR38" s="27"/>
      <c r="AT38" s="24"/>
      <c r="AU38" s="31" t="str">
        <f>IF(ISBLANK(AT38),"",SUMIFS(Table1[Amount $],Table1[Merchant],Snapshot!AT38,Table1[Month],Snapshot!$W$4)*-1)</f>
        <v/>
      </c>
      <c r="AV38" s="24" t="str">
        <f>IF(ISBLANK(AT38),"",COUNTIFS(Table1[Merchant],Snapshot!AT38,Table1[Month],Snapshot!$W$4))</f>
        <v/>
      </c>
      <c r="AW38" s="24" t="str">
        <f>IFERROR(RANK(AV38,$AV$6:$AV$200)+COUNTIF($AV$6:AV38,AV38)-1,"")</f>
        <v/>
      </c>
      <c r="AX38" s="24" t="str">
        <f>IFERROR(RANK(AU38,$AU$6:$AU$200)+COUNTIF($AU$6:AU38,AU38)-1,"")</f>
        <v/>
      </c>
    </row>
    <row r="39" spans="2:50" ht="14.85" customHeight="1">
      <c r="C39" s="40"/>
      <c r="T39" s="42"/>
      <c r="V39" s="37" t="str">
        <f t="shared" si="6"/>
        <v>--</v>
      </c>
      <c r="W39" s="37"/>
      <c r="X39" s="38"/>
      <c r="AB39" s="38"/>
      <c r="AC39" s="26"/>
      <c r="AD39" s="27">
        <f>SUMIFS(Table1[Amount $],Table1[Category],Snapshot!AC39,Table1[Month],Snapshot!$W$4)*-1</f>
        <v>0</v>
      </c>
      <c r="AE39" s="24">
        <f>RANK(AD39,$AD$6:$AD$35,0)+COUNTIF(AD$6:$AD39,AD39)-1</f>
        <v>33</v>
      </c>
      <c r="AF39" s="24"/>
      <c r="AG39" s="24"/>
      <c r="AH39" s="24"/>
      <c r="AJ39" s="24"/>
      <c r="AK39" s="29" t="str">
        <f ca="1">IF(AM38&gt;AQ38,"Spent "&amp;TEXT(AM38-AQ38,"$#,##0")&amp;" more","Spent "&amp;TEXT((AM38-AQ38)*-1,"$#,##0")&amp;" less")&amp;" than this time last month"</f>
        <v>Spent $137 more than this time last month</v>
      </c>
      <c r="AL39" s="24"/>
      <c r="AM39" s="24"/>
      <c r="AN39" s="24"/>
      <c r="AO39" s="24"/>
      <c r="AP39" s="24"/>
      <c r="AQ39" s="24"/>
      <c r="AR39" s="24"/>
      <c r="AT39" s="24"/>
      <c r="AU39" s="31" t="str">
        <f>IF(ISBLANK(AT39),"",SUMIFS(Table1[Amount $],Table1[Merchant],Snapshot!AT39,Table1[Month],Snapshot!$W$4)*-1)</f>
        <v/>
      </c>
      <c r="AV39" s="24" t="str">
        <f>IF(ISBLANK(AT39),"",COUNTIFS(Table1[Merchant],Snapshot!AT39,Table1[Month],Snapshot!$W$4))</f>
        <v/>
      </c>
      <c r="AW39" s="24" t="str">
        <f>IFERROR(RANK(AV39,$AV$6:$AV$200)+COUNTIF($AV$6:AV39,AV39)-1,"")</f>
        <v/>
      </c>
      <c r="AX39" s="24" t="str">
        <f>IFERROR(RANK(AU39,$AU$6:$AU$200)+COUNTIF($AU$6:AU39,AU39)-1,"")</f>
        <v/>
      </c>
    </row>
    <row r="40" spans="2:50" ht="14.85" customHeight="1">
      <c r="C40" s="40"/>
      <c r="T40" s="42"/>
      <c r="V40" s="37" t="str">
        <f t="shared" si="6"/>
        <v>--</v>
      </c>
      <c r="W40" s="37"/>
      <c r="X40" s="38"/>
      <c r="AB40" s="38"/>
      <c r="AC40" s="26"/>
      <c r="AD40" s="27">
        <f>SUMIFS(Table1[Amount $],Table1[Category],Snapshot!AC40,Table1[Month],Snapshot!$W$4)*-1</f>
        <v>0</v>
      </c>
      <c r="AE40" s="24">
        <f>RANK(AD40,$AD$6:$AD$35,0)+COUNTIF(AD$6:$AD40,AD40)-1</f>
        <v>34</v>
      </c>
      <c r="AF40" s="24"/>
      <c r="AG40" s="24"/>
      <c r="AH40" s="24"/>
      <c r="AJ40" s="24"/>
      <c r="AK40" s="29"/>
      <c r="AL40" s="24"/>
      <c r="AM40" s="24"/>
      <c r="AN40" s="24"/>
      <c r="AO40" s="24"/>
      <c r="AP40" s="24"/>
      <c r="AQ40" s="24"/>
      <c r="AR40" s="24"/>
      <c r="AT40" s="24"/>
      <c r="AU40" s="31" t="str">
        <f>IF(ISBLANK(AT40),"",SUMIFS(Table1[Amount $],Table1[Merchant],Snapshot!AT40,Table1[Month],Snapshot!$W$4)*-1)</f>
        <v/>
      </c>
      <c r="AV40" s="24" t="str">
        <f>IF(ISBLANK(AT40),"",COUNTIFS(Table1[Merchant],Snapshot!AT40,Table1[Month],Snapshot!$W$4))</f>
        <v/>
      </c>
      <c r="AW40" s="24" t="str">
        <f>IFERROR(RANK(AV40,$AV$6:$AV$200)+COUNTIF($AV$6:AV40,AV40)-1,"")</f>
        <v/>
      </c>
      <c r="AX40" s="24" t="str">
        <f>IFERROR(RANK(AU40,$AU$6:$AU$200)+COUNTIF($AU$6:AU40,AU40)-1,"")</f>
        <v/>
      </c>
    </row>
    <row r="41" spans="2:50" ht="14.85" customHeight="1">
      <c r="C41" s="40"/>
      <c r="T41" s="42"/>
      <c r="V41" s="37" t="str">
        <f t="shared" si="6"/>
        <v>--</v>
      </c>
      <c r="W41" s="37"/>
      <c r="AC41" s="26"/>
      <c r="AD41" s="27">
        <f>SUMIFS(Table1[Amount $],Table1[Category],Snapshot!AC41,Table1[Month],Snapshot!$W$4)*-1</f>
        <v>0</v>
      </c>
      <c r="AE41" s="24">
        <f>RANK(AD41,$AD$6:$AD$35,0)+COUNTIF(AD$6:$AD41,AD41)-1</f>
        <v>35</v>
      </c>
      <c r="AF41" s="24"/>
      <c r="AG41" s="24"/>
      <c r="AH41" s="24"/>
      <c r="AJ41" s="24"/>
      <c r="AK41" s="29">
        <f>IFERROR(MAX(AK6:AK36),IFERROR(AK35,IF(AK34,AK33)))</f>
        <v>44592</v>
      </c>
      <c r="AL41" s="24"/>
      <c r="AM41" s="27" t="e" cm="1">
        <f t="array" aca="1" ref="AM41" ca="1">INDEX(AM6:AM36,MATCH(AK41,AK6:AK36,0),0)</f>
        <v>#N/A</v>
      </c>
      <c r="AN41" s="27"/>
      <c r="AO41" s="29">
        <f>IFERROR(MAX(AO6:AO36),IFERROR(AO35,IF(AO34,AO33)))</f>
        <v>44561</v>
      </c>
      <c r="AP41" s="24"/>
      <c r="AQ41" s="27" cm="1">
        <f t="array" ref="AQ41">INDEX(AQ6:AQ36,MATCH(AO41,AO6:AO36,0),0)</f>
        <v>-177.54999999999973</v>
      </c>
      <c r="AR41" s="27"/>
      <c r="AT41" s="24"/>
      <c r="AU41" s="31" t="str">
        <f>IF(ISBLANK(AT41),"",SUMIFS(Table1[Amount $],Table1[Merchant],Snapshot!AT41,Table1[Month],Snapshot!$W$4)*-1)</f>
        <v/>
      </c>
      <c r="AV41" s="24" t="str">
        <f>IF(ISBLANK(AT41),"",COUNTIFS(Table1[Merchant],Snapshot!AT41,Table1[Month],Snapshot!$W$4))</f>
        <v/>
      </c>
      <c r="AW41" s="24" t="str">
        <f>IFERROR(RANK(AV41,$AV$6:$AV$200)+COUNTIF($AV$6:AV41,AV41)-1,"")</f>
        <v/>
      </c>
      <c r="AX41" s="24" t="str">
        <f>IFERROR(RANK(AU41,$AU$6:$AU$200)+COUNTIF($AU$6:AU41,AU41)-1,"")</f>
        <v/>
      </c>
    </row>
    <row r="42" spans="2:50" ht="14.85" customHeight="1" thickBot="1">
      <c r="C42" s="70"/>
      <c r="D42" s="79"/>
      <c r="E42" s="80"/>
      <c r="F42" s="71"/>
      <c r="G42" s="71"/>
      <c r="H42" s="71"/>
      <c r="I42" s="71"/>
      <c r="J42" s="71"/>
      <c r="K42" s="71"/>
      <c r="L42" s="71"/>
      <c r="M42" s="71"/>
      <c r="N42" s="80"/>
      <c r="O42" s="71"/>
      <c r="P42" s="71"/>
      <c r="Q42" s="71"/>
      <c r="R42" s="71"/>
      <c r="S42" s="71"/>
      <c r="T42" s="72"/>
      <c r="V42" s="37" t="str">
        <f t="shared" si="6"/>
        <v>--</v>
      </c>
      <c r="W42" s="37"/>
      <c r="AC42" s="26"/>
      <c r="AD42" s="27">
        <f>SUMIFS(Table1[Amount $],Table1[Category],Snapshot!AC42,Table1[Month],Snapshot!$W$4)*-1</f>
        <v>0</v>
      </c>
      <c r="AE42" s="24">
        <f>RANK(AD42,$AD$6:$AD$35,0)+COUNTIF(AD$6:$AD42,AD42)-1</f>
        <v>36</v>
      </c>
      <c r="AF42" s="24"/>
      <c r="AG42" s="24"/>
      <c r="AH42" s="24"/>
      <c r="AJ42" s="24"/>
      <c r="AK42" s="29" t="e">
        <f ca="1">"Compared to "&amp;TEXT(AO6,"mmmm")&amp;", you "&amp;IF(AM41&gt;AQ41,"spent "&amp;TEXT(AM41-AQ41,"$#,##0")&amp;" more","spent "&amp;TEXT((AM41-AQ41)*-1,"$#,##0")&amp;" less")</f>
        <v>#N/A</v>
      </c>
      <c r="AL42" s="24"/>
      <c r="AM42" s="24"/>
      <c r="AN42" s="24"/>
      <c r="AO42" s="24"/>
      <c r="AP42" s="24"/>
      <c r="AQ42" s="24"/>
      <c r="AR42" s="24"/>
      <c r="AT42" s="24"/>
      <c r="AU42" s="31" t="str">
        <f>IF(ISBLANK(AT42),"",SUMIFS(Table1[Amount $],Table1[Merchant],Snapshot!AT42,Table1[Month],Snapshot!$W$4)*-1)</f>
        <v/>
      </c>
      <c r="AV42" s="24" t="str">
        <f>IF(ISBLANK(AT42),"",COUNTIFS(Table1[Merchant],Snapshot!AT42,Table1[Month],Snapshot!$W$4))</f>
        <v/>
      </c>
      <c r="AW42" s="24" t="str">
        <f>IFERROR(RANK(AV42,$AV$6:$AV$200)+COUNTIF($AV$6:AV42,AV42)-1,"")</f>
        <v/>
      </c>
      <c r="AX42" s="24" t="str">
        <f>IFERROR(RANK(AU42,$AU$6:$AU$200)+COUNTIF($AU$6:AU42,AU42)-1,"")</f>
        <v/>
      </c>
    </row>
    <row r="43" spans="2:50" ht="14.85" customHeight="1" thickBot="1">
      <c r="V43" s="37" t="str">
        <f t="shared" si="6"/>
        <v>--</v>
      </c>
      <c r="W43" s="37"/>
      <c r="AC43" s="26"/>
      <c r="AD43" s="27">
        <f>SUMIFS(Table1[Amount $],Table1[Category],Snapshot!AC43,Table1[Month],Snapshot!$W$4)*-1</f>
        <v>0</v>
      </c>
      <c r="AE43" s="24">
        <f>RANK(AD43,$AD$6:$AD$35,0)+COUNTIF(AD$6:$AD43,AD43)-1</f>
        <v>37</v>
      </c>
      <c r="AF43" s="24"/>
      <c r="AG43" s="24"/>
      <c r="AH43" s="24"/>
      <c r="AK43" s="12"/>
      <c r="AM43"/>
      <c r="AN43"/>
      <c r="AO43"/>
      <c r="AP43"/>
      <c r="AT43" s="24"/>
      <c r="AU43" s="31" t="str">
        <f>IF(ISBLANK(AT43),"",SUMIFS(Table1[Amount $],Table1[Merchant],Snapshot!AT43,Table1[Month],Snapshot!$W$4)*-1)</f>
        <v/>
      </c>
      <c r="AV43" s="24" t="str">
        <f>IF(ISBLANK(AT43),"",COUNTIFS(Table1[Merchant],Snapshot!AT43,Table1[Month],Snapshot!$W$4))</f>
        <v/>
      </c>
      <c r="AW43" s="24" t="str">
        <f>IFERROR(RANK(AV43,$AV$6:$AV$200)+COUNTIF($AV$6:AV43,AV43)-1,"")</f>
        <v/>
      </c>
      <c r="AX43" s="24" t="str">
        <f>IFERROR(RANK(AU43,$AU$6:$AU$200)+COUNTIF($AU$6:AU43,AU43)-1,"")</f>
        <v/>
      </c>
    </row>
    <row r="44" spans="2:50" ht="20.100000000000001" customHeight="1">
      <c r="C44" s="32"/>
      <c r="D44" s="81" t="s">
        <v>25</v>
      </c>
      <c r="E44" s="35"/>
      <c r="F44" s="35"/>
      <c r="G44" s="35"/>
      <c r="H44" s="35"/>
      <c r="I44" s="35"/>
      <c r="J44" s="82"/>
      <c r="L44" s="32"/>
      <c r="M44" s="81" t="s">
        <v>26</v>
      </c>
      <c r="N44" s="35"/>
      <c r="O44" s="35"/>
      <c r="P44" s="35"/>
      <c r="Q44" s="35"/>
      <c r="R44" s="35"/>
      <c r="S44" s="35"/>
      <c r="T44" s="82"/>
      <c r="V44" s="37" t="str">
        <f t="shared" si="6"/>
        <v>--</v>
      </c>
      <c r="W44" s="37"/>
      <c r="AC44" s="26"/>
      <c r="AD44" s="27">
        <f>SUMIFS(Table1[Amount $],Table1[Category],Snapshot!AC44,Table1[Month],Snapshot!$W$4)*-1</f>
        <v>0</v>
      </c>
      <c r="AE44" s="24">
        <f>RANK(AD44,$AD$6:$AD$35,0)+COUNTIF(AD$6:$AD44,AD44)-1</f>
        <v>38</v>
      </c>
      <c r="AF44" s="24"/>
      <c r="AG44" s="24"/>
      <c r="AH44" s="24"/>
      <c r="AK44" s="12"/>
      <c r="AM44"/>
      <c r="AN44"/>
      <c r="AO44"/>
      <c r="AP44"/>
      <c r="AT44" s="24"/>
      <c r="AU44" s="31" t="str">
        <f>IF(ISBLANK(AT44),"",SUMIFS(Table1[Amount $],Table1[Merchant],Snapshot!AT44,Table1[Month],Snapshot!$W$4)*-1)</f>
        <v/>
      </c>
      <c r="AV44" s="24" t="str">
        <f>IF(ISBLANK(AT44),"",COUNTIFS(Table1[Merchant],Snapshot!AT44,Table1[Month],Snapshot!$W$4))</f>
        <v/>
      </c>
      <c r="AW44" s="24" t="str">
        <f>IFERROR(RANK(AV44,$AV$6:$AV$200)+COUNTIF($AV$6:AV44,AV44)-1,"")</f>
        <v/>
      </c>
      <c r="AX44" s="24" t="str">
        <f>IFERROR(RANK(AU44,$AU$6:$AU$200)+COUNTIF($AU$6:AU44,AU44)-1,"")</f>
        <v/>
      </c>
    </row>
    <row r="45" spans="2:50" ht="14.85" customHeight="1">
      <c r="C45" s="40"/>
      <c r="J45" s="42"/>
      <c r="L45" s="40"/>
      <c r="T45" s="83"/>
      <c r="V45" s="37" t="str">
        <f t="shared" si="6"/>
        <v>--</v>
      </c>
      <c r="W45" s="37"/>
      <c r="AC45" s="26"/>
      <c r="AD45" s="27">
        <f>SUMIFS(Table1[Amount $],Table1[Category],Snapshot!AC45,Table1[Month],Snapshot!$W$4)*-1</f>
        <v>0</v>
      </c>
      <c r="AE45" s="24">
        <f>RANK(AD45,$AD$6:$AD$35,0)+COUNTIF(AD$6:$AD45,AD45)-1</f>
        <v>39</v>
      </c>
      <c r="AF45" s="24"/>
      <c r="AG45" s="24"/>
      <c r="AH45" s="24"/>
      <c r="AK45" s="12"/>
      <c r="AM45"/>
      <c r="AN45"/>
      <c r="AO45"/>
      <c r="AP45"/>
      <c r="AT45" s="24"/>
      <c r="AU45" s="31" t="str">
        <f>IF(ISBLANK(AT45),"",SUMIFS(Table1[Amount $],Table1[Merchant],Snapshot!AT45,Table1[Month],Snapshot!$W$4)*-1)</f>
        <v/>
      </c>
      <c r="AV45" s="24" t="str">
        <f>IF(ISBLANK(AT45),"",COUNTIFS(Table1[Merchant],Snapshot!AT45,Table1[Month],Snapshot!$W$4))</f>
        <v/>
      </c>
      <c r="AW45" s="24" t="str">
        <f>IFERROR(RANK(AV45,$AV$6:$AV$200)+COUNTIF($AV$6:AV45,AV45)-1,"")</f>
        <v/>
      </c>
      <c r="AX45" s="24" t="str">
        <f>IFERROR(RANK(AU45,$AU$6:$AU$200)+COUNTIF($AU$6:AU45,AU45)-1,"")</f>
        <v/>
      </c>
    </row>
    <row r="46" spans="2:50" ht="14.85" customHeight="1">
      <c r="C46" s="40"/>
      <c r="D46" s="84" t="s">
        <v>27</v>
      </c>
      <c r="E46" s="84"/>
      <c r="F46" s="84"/>
      <c r="G46" s="85" t="s">
        <v>5</v>
      </c>
      <c r="H46" s="85"/>
      <c r="I46" s="85" t="s">
        <v>28</v>
      </c>
      <c r="J46" s="86"/>
      <c r="L46" s="40"/>
      <c r="M46" s="84" t="s">
        <v>27</v>
      </c>
      <c r="N46" s="84"/>
      <c r="O46" s="84"/>
      <c r="P46" s="84"/>
      <c r="Q46" s="87" t="s">
        <v>4</v>
      </c>
      <c r="R46" s="85"/>
      <c r="S46" s="85" t="s">
        <v>28</v>
      </c>
      <c r="T46" s="88"/>
      <c r="V46" s="37" t="str">
        <f t="shared" si="6"/>
        <v>--</v>
      </c>
      <c r="W46" s="37"/>
      <c r="AC46" s="26"/>
      <c r="AD46" s="27">
        <f>SUMIFS(Table1[Amount $],Table1[Category],Snapshot!AC46,Table1[Month],Snapshot!$W$4)*-1</f>
        <v>0</v>
      </c>
      <c r="AE46" s="24">
        <f>RANK(AD46,$AD$6:$AD$35,0)+COUNTIF(AD$6:$AD46,AD46)-1</f>
        <v>40</v>
      </c>
      <c r="AF46" s="24"/>
      <c r="AG46" s="24"/>
      <c r="AH46" s="24"/>
      <c r="AK46" s="12"/>
      <c r="AM46"/>
      <c r="AN46"/>
      <c r="AO46"/>
      <c r="AP46"/>
      <c r="AT46" s="24"/>
      <c r="AU46" s="31" t="str">
        <f>IF(ISBLANK(AT46),"",SUMIFS(Table1[Amount $],Table1[Merchant],Snapshot!AT46,Table1[Month],Snapshot!$W$4)*-1)</f>
        <v/>
      </c>
      <c r="AV46" s="24" t="str">
        <f>IF(ISBLANK(AT46),"",COUNTIFS(Table1[Merchant],Snapshot!AT46,Table1[Month],Snapshot!$W$4))</f>
        <v/>
      </c>
      <c r="AW46" s="24" t="str">
        <f>IFERROR(RANK(AV46,$AV$6:$AV$200)+COUNTIF($AV$6:AV46,AV46)-1,"")</f>
        <v/>
      </c>
      <c r="AX46" s="24" t="str">
        <f>IFERROR(RANK(AU46,$AU$6:$AU$200)+COUNTIF($AU$6:AU46,AU46)-1,"")</f>
        <v/>
      </c>
    </row>
    <row r="47" spans="2:50" ht="14.85" customHeight="1">
      <c r="B47" s="89">
        <v>1</v>
      </c>
      <c r="C47" s="90"/>
      <c r="D47" s="91" t="str" cm="1">
        <f t="array" ref="D47">IFERROR(INDEX($AT:$AT,MATCH($B47,$AW:$AW,0),0),"")</f>
        <v>Best Buy</v>
      </c>
      <c r="E47" s="91"/>
      <c r="F47" s="91"/>
      <c r="G47" s="91" cm="1">
        <f t="array" ref="G47">IF(IFERROR(INDEX($AV:$AV,MATCH($B47,$AW:$AW,0),0),"")=0,"",IFERROR(INDEX($AV:$AV,MATCH($B47,$AW:$AW,0),0),""))</f>
        <v>1</v>
      </c>
      <c r="H47" s="91"/>
      <c r="I47" s="92" cm="1">
        <f t="array" ref="I47">IF(IFERROR(INDEX($AU:$AU,MATCH($B47,$AW:$AW,0),0),"")=0,"",IFERROR(INDEX($AU:$AU,MATCH($B47,$AW:$AW,0),0),""))</f>
        <v>241.99</v>
      </c>
      <c r="J47" s="93"/>
      <c r="L47" s="40"/>
      <c r="M47" s="91" t="str" cm="1">
        <f t="array" ref="M47">IFERROR(INDEX($AT:$AT,MATCH($B47,$AX:$AX,0),0),"")</f>
        <v>Discover E Payment Lewis</v>
      </c>
      <c r="N47" s="91"/>
      <c r="O47" s="91"/>
      <c r="P47" s="91"/>
      <c r="Q47" s="94" t="str" cm="1">
        <f t="array" ref="Q47">IFERROR(INDEX(Table1[Category],MATCH(Snapshot!M47,Table1[Merchant],0),0),"")</f>
        <v>Payment</v>
      </c>
      <c r="R47" s="91"/>
      <c r="S47" s="92" cm="1">
        <f t="array" ref="S47">IF(IFERROR(INDEX($AU:$AU,MATCH($B47,$AX:$AX,0),0),"")=0,"",IFERROR(INDEX($AU:$AU,MATCH($B47,$AX:$AX,0),0),""))</f>
        <v>1800</v>
      </c>
      <c r="T47" s="95"/>
      <c r="U47"/>
      <c r="V47" s="37" t="str">
        <f t="shared" si="6"/>
        <v>--</v>
      </c>
      <c r="W47" s="37"/>
      <c r="AC47" s="26"/>
      <c r="AD47" s="27">
        <f>SUMIFS(Table1[Amount $],Table1[Category],Snapshot!AC47,Table1[Month],Snapshot!$W$4)*-1</f>
        <v>0</v>
      </c>
      <c r="AE47" s="24">
        <f>RANK(AD47,$AD$6:$AD$35,0)+COUNTIF(AD$6:$AD47,AD47)-1</f>
        <v>41</v>
      </c>
      <c r="AF47" s="24"/>
      <c r="AG47" s="24"/>
      <c r="AH47" s="24"/>
      <c r="AK47" s="12"/>
      <c r="AM47"/>
      <c r="AN47"/>
      <c r="AO47"/>
      <c r="AP47"/>
      <c r="AT47" s="24"/>
      <c r="AU47" s="31" t="str">
        <f>IF(ISBLANK(AT47),"",SUMIFS(Table1[Amount $],Table1[Merchant],Snapshot!AT47,Table1[Month],Snapshot!$W$4)*-1)</f>
        <v/>
      </c>
      <c r="AV47" s="24" t="str">
        <f>IF(ISBLANK(AT47),"",COUNTIFS(Table1[Merchant],Snapshot!AT47,Table1[Month],Snapshot!$W$4))</f>
        <v/>
      </c>
      <c r="AW47" s="24" t="str">
        <f>IFERROR(RANK(AV47,$AV$6:$AV$200)+COUNTIF($AV$6:AV47,AV47)-1,"")</f>
        <v/>
      </c>
      <c r="AX47" s="24" t="str">
        <f>IFERROR(RANK(AU47,$AU$6:$AU$200)+COUNTIF($AU$6:AU47,AU47)-1,"")</f>
        <v/>
      </c>
    </row>
    <row r="48" spans="2:50" ht="14.85" customHeight="1">
      <c r="B48" s="89">
        <f>B47+1</f>
        <v>2</v>
      </c>
      <c r="C48" s="90"/>
      <c r="D48" s="24" t="str" cm="1">
        <f t="array" ref="D48">IFERROR(INDEX($AT:$AT,MATCH($B48,$AW:$AW,0),0),"")</f>
        <v>Discover E Payment Lewis</v>
      </c>
      <c r="E48" s="24"/>
      <c r="F48" s="24"/>
      <c r="G48" s="24" cm="1">
        <f t="array" ref="G48">IF(IFERROR(INDEX($AV:$AV,MATCH($B48,$AW:$AW,0),0),"")=0,"",IFERROR(INDEX($AV:$AV,MATCH($B48,$AW:$AW,0),0),""))</f>
        <v>1</v>
      </c>
      <c r="H48" s="24"/>
      <c r="I48" s="39" cm="1">
        <f t="array" ref="I48">IF(IFERROR(INDEX($AU:$AU,MATCH($B48,$AW:$AW,0),0),"")=0,"",IFERROR(INDEX($AU:$AU,MATCH($B48,$AW:$AW,0),0),""))</f>
        <v>1800</v>
      </c>
      <c r="J48" s="93"/>
      <c r="L48" s="40"/>
      <c r="M48" s="24" t="str" cm="1">
        <f t="array" ref="M48">IFERROR(INDEX($AT:$AT,MATCH($B48,$AX:$AX,0),0),"")</f>
        <v>Transfer To Lewis Sharon</v>
      </c>
      <c r="N48" s="24"/>
      <c r="O48" s="24"/>
      <c r="P48" s="24"/>
      <c r="Q48" s="96" t="str" cm="1">
        <f t="array" ref="Q48">IFERROR(INDEX(Table1[Category],MATCH(Snapshot!M48,Table1[Merchant],0),0),"")</f>
        <v>Home</v>
      </c>
      <c r="R48" s="24"/>
      <c r="S48" s="39" cm="1">
        <f t="array" ref="S48">IF(IFERROR(INDEX($AU:$AU,MATCH($B48,$AX:$AX,0),0),"")=0,"",IFERROR(INDEX($AU:$AU,MATCH($B48,$AX:$AX,0),0),""))</f>
        <v>485</v>
      </c>
      <c r="T48" s="95"/>
      <c r="V48" s="37" t="str">
        <f t="shared" si="6"/>
        <v>--</v>
      </c>
      <c r="W48" s="37"/>
      <c r="AC48" s="26"/>
      <c r="AD48" s="27">
        <f>SUMIFS(Table1[Amount $],Table1[Category],Snapshot!AC48,Table1[Month],Snapshot!$W$4)*-1</f>
        <v>0</v>
      </c>
      <c r="AE48" s="24">
        <f>RANK(AD48,$AD$6:$AD$35,0)+COUNTIF(AD$6:$AD48,AD48)-1</f>
        <v>42</v>
      </c>
      <c r="AF48" s="24"/>
      <c r="AG48" s="24"/>
      <c r="AH48" s="24"/>
      <c r="AK48" s="12"/>
      <c r="AM48"/>
      <c r="AN48"/>
      <c r="AO48"/>
      <c r="AP48"/>
      <c r="AT48" s="24"/>
      <c r="AU48" s="31" t="str">
        <f>IF(ISBLANK(AT48),"",SUMIFS(Table1[Amount $],Table1[Merchant],Snapshot!AT48,Table1[Month],Snapshot!$W$4)*-1)</f>
        <v/>
      </c>
      <c r="AV48" s="24" t="str">
        <f>IF(ISBLANK(AT48),"",COUNTIFS(Table1[Merchant],Snapshot!AT48,Table1[Month],Snapshot!$W$4))</f>
        <v/>
      </c>
      <c r="AW48" s="24" t="str">
        <f>IFERROR(RANK(AV48,$AV$6:$AV$200)+COUNTIF($AV$6:AV48,AV48)-1,"")</f>
        <v/>
      </c>
      <c r="AX48" s="24" t="str">
        <f>IFERROR(RANK(AU48,$AU$6:$AU$200)+COUNTIF($AU$6:AU48,AU48)-1,"")</f>
        <v/>
      </c>
    </row>
    <row r="49" spans="2:50" ht="14.85" customHeight="1">
      <c r="B49" s="89">
        <f t="shared" ref="B49:B56" si="7">B48+1</f>
        <v>3</v>
      </c>
      <c r="C49" s="90"/>
      <c r="D49" t="str" cm="1">
        <f t="array" ref="D49">IFERROR(INDEX($AT:$AT,MATCH($B49,$AW:$AW,0),0),"")</f>
        <v>Paypal Inst Xfer Louisck</v>
      </c>
      <c r="E49"/>
      <c r="F49"/>
      <c r="G49" cm="1">
        <f t="array" ref="G49">IF(IFERROR(INDEX($AV:$AV,MATCH($B49,$AW:$AW,0),0),"")=0,"",IFERROR(INDEX($AV:$AV,MATCH($B49,$AW:$AW,0),0),""))</f>
        <v>1</v>
      </c>
      <c r="H49"/>
      <c r="I49" s="50" cm="1">
        <f t="array" ref="I49">IF(IFERROR(INDEX($AU:$AU,MATCH($B49,$AW:$AW,0),0),"")=0,"",IFERROR(INDEX($AU:$AU,MATCH($B49,$AW:$AW,0),0),""))</f>
        <v>10</v>
      </c>
      <c r="J49" s="93"/>
      <c r="L49" s="40"/>
      <c r="M49" t="str" cm="1">
        <f t="array" ref="M49">IFERROR(INDEX($AT:$AT,MATCH($B49,$AX:$AX,0),0),"")</f>
        <v>Best Buy</v>
      </c>
      <c r="N49"/>
      <c r="O49"/>
      <c r="P49"/>
      <c r="Q49" s="97" t="str" cm="1">
        <f t="array" ref="Q49">IFERROR(INDEX(Table1[Category],MATCH(Snapshot!M49,Table1[Merchant],0),0),"")</f>
        <v>Payment</v>
      </c>
      <c r="R49"/>
      <c r="S49" s="50" cm="1">
        <f t="array" ref="S49">IF(IFERROR(INDEX($AU:$AU,MATCH($B49,$AX:$AX,0),0),"")=0,"",IFERROR(INDEX($AU:$AU,MATCH($B49,$AX:$AX,0),0),""))</f>
        <v>241.99</v>
      </c>
      <c r="T49" s="95"/>
      <c r="V49" s="37" t="str">
        <f t="shared" si="6"/>
        <v>--</v>
      </c>
      <c r="W49" s="37"/>
      <c r="AC49" s="26"/>
      <c r="AD49" s="27">
        <f>SUMIFS(Table1[Amount $],Table1[Category],Snapshot!AC49,Table1[Month],Snapshot!$W$4)*-1</f>
        <v>0</v>
      </c>
      <c r="AE49" s="24">
        <f>RANK(AD49,$AD$6:$AD$35,0)+COUNTIF(AD$6:$AD49,AD49)-1</f>
        <v>43</v>
      </c>
      <c r="AF49" s="24"/>
      <c r="AG49" s="24"/>
      <c r="AH49" s="24"/>
      <c r="AK49" s="12"/>
      <c r="AM49"/>
      <c r="AN49"/>
      <c r="AO49"/>
      <c r="AP49"/>
      <c r="AT49" s="24"/>
      <c r="AU49" s="31" t="str">
        <f>IF(ISBLANK(AT49),"",SUMIFS(Table1[Amount $],Table1[Merchant],Snapshot!AT49,Table1[Month],Snapshot!$W$4)*-1)</f>
        <v/>
      </c>
      <c r="AV49" s="24" t="str">
        <f>IF(ISBLANK(AT49),"",COUNTIFS(Table1[Merchant],Snapshot!AT49,Table1[Month],Snapshot!$W$4))</f>
        <v/>
      </c>
      <c r="AW49" s="24" t="str">
        <f>IFERROR(RANK(AV49,$AV$6:$AV$200)+COUNTIF($AV$6:AV49,AV49)-1,"")</f>
        <v/>
      </c>
      <c r="AX49" s="24" t="str">
        <f>IFERROR(RANK(AU49,$AU$6:$AU$200)+COUNTIF($AU$6:AU49,AU49)-1,"")</f>
        <v/>
      </c>
    </row>
    <row r="50" spans="2:50" ht="14.85" customHeight="1">
      <c r="B50" s="89">
        <f t="shared" si="7"/>
        <v>4</v>
      </c>
      <c r="C50" s="90"/>
      <c r="D50" s="24" t="str" cm="1">
        <f t="array" ref="D50">IFERROR(INDEX($AT:$AT,MATCH($B50,$AW:$AW,0),0),"")</f>
        <v>Transfer To Lewis Sharon</v>
      </c>
      <c r="E50" s="24"/>
      <c r="F50" s="24"/>
      <c r="G50" s="24" cm="1">
        <f t="array" ref="G50">IF(IFERROR(INDEX($AV:$AV,MATCH($B50,$AW:$AW,0),0),"")=0,"",IFERROR(INDEX($AV:$AV,MATCH($B50,$AW:$AW,0),0),""))</f>
        <v>1</v>
      </c>
      <c r="H50" s="24"/>
      <c r="I50" s="39" cm="1">
        <f t="array" ref="I50">IF(IFERROR(INDEX($AU:$AU,MATCH($B50,$AW:$AW,0),0),"")=0,"",IFERROR(INDEX($AU:$AU,MATCH($B50,$AW:$AW,0),0),""))</f>
        <v>485</v>
      </c>
      <c r="J50" s="93"/>
      <c r="L50" s="40"/>
      <c r="M50" s="24" t="str" cm="1">
        <f t="array" ref="M50">IFERROR(INDEX($AT:$AT,MATCH($B50,$AX:$AX,0),0),"")</f>
        <v>Olive Garden</v>
      </c>
      <c r="N50" s="24"/>
      <c r="O50" s="24"/>
      <c r="P50" s="24"/>
      <c r="Q50" s="96" t="str" cm="1">
        <f t="array" ref="Q50">IFERROR(INDEX(Table1[Category],MATCH(Snapshot!M50,Table1[Merchant],0),0),"")</f>
        <v>Restaurants/Dining</v>
      </c>
      <c r="R50" s="24"/>
      <c r="S50" s="39" cm="1">
        <f t="array" ref="S50">IF(IFERROR(INDEX($AU:$AU,MATCH($B50,$AX:$AX,0),0),"")=0,"",IFERROR(INDEX($AU:$AU,MATCH($B50,$AX:$AX,0),0),""))</f>
        <v>60</v>
      </c>
      <c r="T50" s="95"/>
      <c r="V50" s="37" t="str">
        <f t="shared" si="6"/>
        <v>--</v>
      </c>
      <c r="W50" s="37"/>
      <c r="AC50" s="26"/>
      <c r="AD50" s="27">
        <f>SUMIFS(Table1[Amount $],Table1[Category],Snapshot!AC50,Table1[Month],Snapshot!$W$4)*-1</f>
        <v>0</v>
      </c>
      <c r="AE50" s="24">
        <f>RANK(AD50,$AD$6:$AD$35,0)+COUNTIF(AD$6:$AD50,AD50)-1</f>
        <v>44</v>
      </c>
      <c r="AF50" s="24"/>
      <c r="AG50" s="24"/>
      <c r="AH50" s="24"/>
      <c r="AK50" s="12"/>
      <c r="AM50"/>
      <c r="AN50"/>
      <c r="AO50"/>
      <c r="AP50"/>
      <c r="AT50" s="24"/>
      <c r="AU50" s="31" t="str">
        <f>IF(ISBLANK(AT50),"",SUMIFS(Table1[Amount $],Table1[Merchant],Snapshot!AT50,Table1[Month],Snapshot!$W$4)*-1)</f>
        <v/>
      </c>
      <c r="AV50" s="24" t="str">
        <f>IF(ISBLANK(AT50),"",COUNTIFS(Table1[Merchant],Snapshot!AT50,Table1[Month],Snapshot!$W$4))</f>
        <v/>
      </c>
      <c r="AW50" s="24" t="str">
        <f>IFERROR(RANK(AV50,$AV$6:$AV$200)+COUNTIF($AV$6:AV50,AV50)-1,"")</f>
        <v/>
      </c>
      <c r="AX50" s="24" t="str">
        <f>IFERROR(RANK(AU50,$AU$6:$AU$200)+COUNTIF($AU$6:AU50,AU50)-1,"")</f>
        <v/>
      </c>
    </row>
    <row r="51" spans="2:50" ht="14.85" customHeight="1">
      <c r="B51" s="89">
        <f t="shared" si="7"/>
        <v>5</v>
      </c>
      <c r="C51" s="90"/>
      <c r="D51" t="str" cm="1">
        <f t="array" ref="D51">IFERROR(INDEX($AT:$AT,MATCH($B51,$AW:$AW,0),0),"")</f>
        <v>Hulu</v>
      </c>
      <c r="E51"/>
      <c r="F51"/>
      <c r="G51" cm="1">
        <f t="array" ref="G51">IF(IFERROR(INDEX($AV:$AV,MATCH($B51,$AW:$AW,0),0),"")=0,"",IFERROR(INDEX($AV:$AV,MATCH($B51,$AW:$AW,0),0),""))</f>
        <v>1</v>
      </c>
      <c r="H51"/>
      <c r="I51" s="50" cm="1">
        <f t="array" ref="I51">IF(IFERROR(INDEX($AU:$AU,MATCH($B51,$AW:$AW,0),0),"")=0,"",IFERROR(INDEX($AU:$AU,MATCH($B51,$AW:$AW,0),0),""))</f>
        <v>12.99</v>
      </c>
      <c r="J51" s="93"/>
      <c r="L51" s="40"/>
      <c r="M51" t="str" cm="1">
        <f t="array" ref="M51">IFERROR(INDEX($AT:$AT,MATCH($B51,$AX:$AX,0),0),"")</f>
        <v>Jimmy Johns</v>
      </c>
      <c r="N51"/>
      <c r="O51"/>
      <c r="P51"/>
      <c r="Q51" s="97" t="str" cm="1">
        <f t="array" ref="Q51">IFERROR(INDEX(Table1[Category],MATCH(Snapshot!M51,Table1[Merchant],0),0),"")</f>
        <v>Restaurants/Dining</v>
      </c>
      <c r="R51"/>
      <c r="S51" s="50" cm="1">
        <f t="array" ref="S51">IF(IFERROR(INDEX($AU:$AU,MATCH($B51,$AX:$AX,0),0),"")=0,"",IFERROR(INDEX($AU:$AU,MATCH($B51,$AX:$AX,0),0),""))</f>
        <v>18.02</v>
      </c>
      <c r="T51" s="95"/>
      <c r="V51" s="37" t="str">
        <f t="shared" si="6"/>
        <v>--</v>
      </c>
      <c r="W51" s="37"/>
      <c r="AC51" s="26"/>
      <c r="AD51" s="27">
        <f>SUMIFS(Table1[Amount $],Table1[Category],Snapshot!AC51,Table1[Month],Snapshot!$W$4)*-1</f>
        <v>0</v>
      </c>
      <c r="AE51" s="24">
        <f>RANK(AD51,$AD$6:$AD$35,0)+COUNTIF(AD$6:$AD51,AD51)-1</f>
        <v>45</v>
      </c>
      <c r="AF51" s="24"/>
      <c r="AG51" s="24"/>
      <c r="AH51" s="24"/>
      <c r="AM51"/>
      <c r="AN51"/>
      <c r="AO51"/>
      <c r="AP51"/>
      <c r="AT51" s="24"/>
      <c r="AU51" s="31" t="str">
        <f>IF(ISBLANK(AT51),"",SUMIFS(Table1[Amount $],Table1[Merchant],Snapshot!AT51,Table1[Month],Snapshot!$W$4)*-1)</f>
        <v/>
      </c>
      <c r="AV51" s="24" t="str">
        <f>IF(ISBLANK(AT51),"",COUNTIFS(Table1[Merchant],Snapshot!AT51,Table1[Month],Snapshot!$W$4))</f>
        <v/>
      </c>
      <c r="AW51" s="24" t="str">
        <f>IFERROR(RANK(AV51,$AV$6:$AV$200)+COUNTIF($AV$6:AV51,AV51)-1,"")</f>
        <v/>
      </c>
      <c r="AX51" s="24" t="str">
        <f>IFERROR(RANK(AU51,$AU$6:$AU$200)+COUNTIF($AU$6:AU51,AU51)-1,"")</f>
        <v/>
      </c>
    </row>
    <row r="52" spans="2:50">
      <c r="B52" s="89">
        <f t="shared" si="7"/>
        <v>6</v>
      </c>
      <c r="C52" s="90"/>
      <c r="D52" s="24" t="str" cm="1">
        <f t="array" ref="D52">IFERROR(INDEX($AT:$AT,MATCH($B52,$AW:$AW,0),0),"")</f>
        <v>Krystal And Saagar Dc</v>
      </c>
      <c r="E52" s="24"/>
      <c r="F52" s="24"/>
      <c r="G52" s="24" cm="1">
        <f t="array" ref="G52">IF(IFERROR(INDEX($AV:$AV,MATCH($B52,$AW:$AW,0),0),"")=0,"",IFERROR(INDEX($AV:$AV,MATCH($B52,$AW:$AW,0),0),""))</f>
        <v>1</v>
      </c>
      <c r="H52" s="24"/>
      <c r="I52" s="39" cm="1">
        <f t="array" ref="I52">IF(IFERROR(INDEX($AU:$AU,MATCH($B52,$AW:$AW,0),0),"")=0,"",IFERROR(INDEX($AU:$AU,MATCH($B52,$AW:$AW,0),0),""))</f>
        <v>10</v>
      </c>
      <c r="J52" s="93"/>
      <c r="L52" s="40"/>
      <c r="M52" s="24" t="str" cm="1">
        <f t="array" ref="M52">IFERROR(INDEX($AT:$AT,MATCH($B52,$AX:$AX,0),0),"")</f>
        <v>Netflix</v>
      </c>
      <c r="N52" s="24"/>
      <c r="O52" s="24"/>
      <c r="P52" s="24"/>
      <c r="Q52" s="96" t="str" cm="1">
        <f t="array" ref="Q52">IFERROR(INDEX(Table1[Category],MATCH(Snapshot!M52,Table1[Merchant],0),0),"")</f>
        <v>Shopping</v>
      </c>
      <c r="R52" s="24"/>
      <c r="S52" s="39" cm="1">
        <f t="array" ref="S52">IF(IFERROR(INDEX($AU:$AU,MATCH($B52,$AX:$AX,0),0),"")=0,"",IFERROR(INDEX($AU:$AU,MATCH($B52,$AX:$AX,0),0),""))</f>
        <v>14.83</v>
      </c>
      <c r="T52" s="95"/>
      <c r="V52" s="37" t="str">
        <f t="shared" si="6"/>
        <v>--</v>
      </c>
      <c r="W52" s="37"/>
      <c r="AC52" s="26"/>
      <c r="AD52" s="27">
        <f>SUMIFS(Table1[Amount $],Table1[Category],Snapshot!AC52,Table1[Month],Snapshot!$W$4)*-1</f>
        <v>0</v>
      </c>
      <c r="AE52" s="24">
        <f>RANK(AD52,$AD$6:$AD$35,0)+COUNTIF(AD$6:$AD52,AD52)-1</f>
        <v>46</v>
      </c>
      <c r="AF52" s="24"/>
      <c r="AG52" s="24"/>
      <c r="AH52" s="24"/>
      <c r="AM52"/>
      <c r="AN52"/>
      <c r="AO52"/>
      <c r="AP52"/>
      <c r="AT52" s="24"/>
      <c r="AU52" s="31" t="str">
        <f>IF(ISBLANK(AT52),"",SUMIFS(Table1[Amount $],Table1[Merchant],Snapshot!AT52,Table1[Month],Snapshot!$W$4)*-1)</f>
        <v/>
      </c>
      <c r="AV52" s="24" t="str">
        <f>IF(ISBLANK(AT52),"",COUNTIFS(Table1[Merchant],Snapshot!AT52,Table1[Month],Snapshot!$W$4))</f>
        <v/>
      </c>
      <c r="AW52" s="24" t="str">
        <f>IFERROR(RANK(AV52,$AV$6:$AV$200)+COUNTIF($AV$6:AV52,AV52)-1,"")</f>
        <v/>
      </c>
      <c r="AX52" s="24" t="str">
        <f>IFERROR(RANK(AU52,$AU$6:$AU$200)+COUNTIF($AU$6:AU52,AU52)-1,"")</f>
        <v/>
      </c>
    </row>
    <row r="53" spans="2:50">
      <c r="B53" s="89">
        <f t="shared" si="7"/>
        <v>7</v>
      </c>
      <c r="C53" s="90"/>
      <c r="D53" t="str" cm="1">
        <f t="array" ref="D53">IFERROR(INDEX($AT:$AT,MATCH($B53,$AW:$AW,0),0),"")</f>
        <v>Jimmy Johns</v>
      </c>
      <c r="E53"/>
      <c r="F53"/>
      <c r="G53" cm="1">
        <f t="array" ref="G53">IF(IFERROR(INDEX($AV:$AV,MATCH($B53,$AW:$AW,0),0),"")=0,"",IFERROR(INDEX($AV:$AV,MATCH($B53,$AW:$AW,0),0),""))</f>
        <v>1</v>
      </c>
      <c r="H53"/>
      <c r="I53" s="50" cm="1">
        <f t="array" ref="I53">IF(IFERROR(INDEX($AU:$AU,MATCH($B53,$AW:$AW,0),0),"")=0,"",IFERROR(INDEX($AU:$AU,MATCH($B53,$AW:$AW,0),0),""))</f>
        <v>18.02</v>
      </c>
      <c r="J53" s="93"/>
      <c r="L53" s="40"/>
      <c r="M53" t="str" cm="1">
        <f t="array" ref="M53">IFERROR(INDEX($AT:$AT,MATCH($B53,$AX:$AX,0),0),"")</f>
        <v>Hulu</v>
      </c>
      <c r="N53"/>
      <c r="O53"/>
      <c r="P53"/>
      <c r="Q53" s="97" t="str" cm="1">
        <f t="array" ref="Q53">IFERROR(INDEX(Table1[Category],MATCH(Snapshot!M53,Table1[Merchant],0),0),"")</f>
        <v>Shopping</v>
      </c>
      <c r="R53"/>
      <c r="S53" s="50" cm="1">
        <f t="array" ref="S53">IF(IFERROR(INDEX($AU:$AU,MATCH($B53,$AX:$AX,0),0),"")=0,"",IFERROR(INDEX($AU:$AU,MATCH($B53,$AX:$AX,0),0),""))</f>
        <v>12.99</v>
      </c>
      <c r="T53" s="95"/>
      <c r="V53" s="37" t="str">
        <f t="shared" si="6"/>
        <v>--</v>
      </c>
      <c r="W53" s="37"/>
      <c r="AC53" s="26"/>
      <c r="AD53" s="27">
        <f>SUMIFS(Table1[Amount $],Table1[Category],Snapshot!AC53,Table1[Month],Snapshot!$W$4)*-1</f>
        <v>0</v>
      </c>
      <c r="AE53" s="24">
        <f>RANK(AD53,$AD$6:$AD$35,0)+COUNTIF(AD$6:$AD53,AD53)-1</f>
        <v>47</v>
      </c>
      <c r="AF53" s="24"/>
      <c r="AG53" s="24"/>
      <c r="AH53" s="24"/>
      <c r="AM53"/>
      <c r="AN53"/>
      <c r="AO53"/>
      <c r="AP53"/>
      <c r="AT53" s="24"/>
      <c r="AU53" s="31" t="str">
        <f>IF(ISBLANK(AT53),"",SUMIFS(Table1[Amount $],Table1[Merchant],Snapshot!AT53,Table1[Month],Snapshot!$W$4)*-1)</f>
        <v/>
      </c>
      <c r="AV53" s="24" t="str">
        <f>IF(ISBLANK(AT53),"",COUNTIFS(Table1[Merchant],Snapshot!AT53,Table1[Month],Snapshot!$W$4))</f>
        <v/>
      </c>
      <c r="AW53" s="24" t="str">
        <f>IFERROR(RANK(AV53,$AV$6:$AV$200)+COUNTIF($AV$6:AV53,AV53)-1,"")</f>
        <v/>
      </c>
      <c r="AX53" s="24" t="str">
        <f>IFERROR(RANK(AU53,$AU$6:$AU$200)+COUNTIF($AU$6:AU53,AU53)-1,"")</f>
        <v/>
      </c>
    </row>
    <row r="54" spans="2:50">
      <c r="B54" s="89">
        <f t="shared" si="7"/>
        <v>8</v>
      </c>
      <c r="C54" s="90"/>
      <c r="D54" s="24" t="str" cm="1">
        <f t="array" ref="D54">IFERROR(INDEX($AT:$AT,MATCH($B54,$AW:$AW,0),0),"")</f>
        <v>Olive Garden</v>
      </c>
      <c r="E54" s="24"/>
      <c r="F54" s="24"/>
      <c r="G54" s="24" cm="1">
        <f t="array" ref="G54">IF(IFERROR(INDEX($AV:$AV,MATCH($B54,$AW:$AW,0),0),"")=0,"",IFERROR(INDEX($AV:$AV,MATCH($B54,$AW:$AW,0),0),""))</f>
        <v>1</v>
      </c>
      <c r="H54" s="24"/>
      <c r="I54" s="39" cm="1">
        <f t="array" ref="I54">IF(IFERROR(INDEX($AU:$AU,MATCH($B54,$AW:$AW,0),0),"")=0,"",IFERROR(INDEX($AU:$AU,MATCH($B54,$AW:$AW,0),0),""))</f>
        <v>60</v>
      </c>
      <c r="J54" s="93"/>
      <c r="L54" s="40"/>
      <c r="M54" s="24" t="str" cm="1">
        <f t="array" ref="M54">IFERROR(INDEX($AT:$AT,MATCH($B54,$AX:$AX,0),0),"")</f>
        <v>Paypal Inst Xfer Louisck</v>
      </c>
      <c r="N54" s="24"/>
      <c r="O54" s="24"/>
      <c r="P54" s="24"/>
      <c r="Q54" s="96" t="str" cm="1">
        <f t="array" ref="Q54">IFERROR(INDEX(Table1[Category],MATCH(Snapshot!M54,Table1[Merchant],0),0),"")</f>
        <v>Restaurants/Dining</v>
      </c>
      <c r="R54" s="24"/>
      <c r="S54" s="39" cm="1">
        <f t="array" ref="S54">IF(IFERROR(INDEX($AU:$AU,MATCH($B54,$AX:$AX,0),0),"")=0,"",IFERROR(INDEX($AU:$AU,MATCH($B54,$AX:$AX,0),0),""))</f>
        <v>10</v>
      </c>
      <c r="T54" s="95"/>
      <c r="V54" s="37" t="str">
        <f t="shared" si="6"/>
        <v>--</v>
      </c>
      <c r="W54" s="37"/>
      <c r="AC54" s="26"/>
      <c r="AD54" s="27">
        <f>SUMIFS(Table1[Amount $],Table1[Category],Snapshot!AC54,Table1[Month],Snapshot!$W$4)*-1</f>
        <v>0</v>
      </c>
      <c r="AE54" s="24">
        <f>RANK(AD54,$AD$6:$AD$35,0)+COUNTIF(AD$6:$AD54,AD54)-1</f>
        <v>48</v>
      </c>
      <c r="AF54" s="24"/>
      <c r="AG54" s="24"/>
      <c r="AH54" s="24"/>
      <c r="AM54"/>
      <c r="AN54"/>
      <c r="AO54"/>
      <c r="AP54"/>
      <c r="AT54" s="24"/>
      <c r="AU54" s="31" t="str">
        <f>IF(ISBLANK(AT54),"",SUMIFS(Table1[Amount $],Table1[Merchant],Snapshot!AT54,Table1[Month],Snapshot!$W$4)*-1)</f>
        <v/>
      </c>
      <c r="AV54" s="24" t="str">
        <f>IF(ISBLANK(AT54),"",COUNTIFS(Table1[Merchant],Snapshot!AT54,Table1[Month],Snapshot!$W$4))</f>
        <v/>
      </c>
      <c r="AW54" s="24" t="str">
        <f>IFERROR(RANK(AV54,$AV$6:$AV$200)+COUNTIF($AV$6:AV54,AV54)-1,"")</f>
        <v/>
      </c>
      <c r="AX54" s="24" t="str">
        <f>IFERROR(RANK(AU54,$AU$6:$AU$200)+COUNTIF($AU$6:AU54,AU54)-1,"")</f>
        <v/>
      </c>
    </row>
    <row r="55" spans="2:50">
      <c r="B55" s="89">
        <f t="shared" si="7"/>
        <v>9</v>
      </c>
      <c r="C55" s="90"/>
      <c r="D55" t="str" cm="1">
        <f t="array" ref="D55">IFERROR(INDEX($AT:$AT,MATCH($B55,$AW:$AW,0),0),"")</f>
        <v>Netflix</v>
      </c>
      <c r="E55"/>
      <c r="F55"/>
      <c r="G55" cm="1">
        <f t="array" ref="G55">IF(IFERROR(INDEX($AV:$AV,MATCH($B55,$AW:$AW,0),0),"")=0,"",IFERROR(INDEX($AV:$AV,MATCH($B55,$AW:$AW,0),0),""))</f>
        <v>1</v>
      </c>
      <c r="H55"/>
      <c r="I55" s="50" cm="1">
        <f t="array" ref="I55">IF(IFERROR(INDEX($AU:$AU,MATCH($B55,$AW:$AW,0),0),"")=0,"",IFERROR(INDEX($AU:$AU,MATCH($B55,$AW:$AW,0),0),""))</f>
        <v>14.83</v>
      </c>
      <c r="J55" s="93"/>
      <c r="L55" s="40"/>
      <c r="M55" t="str" cm="1">
        <f t="array" ref="M55">IFERROR(INDEX($AT:$AT,MATCH($B55,$AX:$AX,0),0),"")</f>
        <v>Krystal And Saagar Dc</v>
      </c>
      <c r="N55"/>
      <c r="O55"/>
      <c r="P55"/>
      <c r="Q55" s="97" t="str" cm="1">
        <f t="array" ref="Q55">IFERROR(INDEX(Table1[Category],MATCH(Snapshot!M55,Table1[Merchant],0),0),"")</f>
        <v>Payment</v>
      </c>
      <c r="R55"/>
      <c r="S55" s="50" cm="1">
        <f t="array" ref="S55">IF(IFERROR(INDEX($AU:$AU,MATCH($B55,$AX:$AX,0),0),"")=0,"",IFERROR(INDEX($AU:$AU,MATCH($B55,$AX:$AX,0),0),""))</f>
        <v>10</v>
      </c>
      <c r="T55" s="95"/>
      <c r="V55" s="37" t="str">
        <f t="shared" si="6"/>
        <v>--</v>
      </c>
      <c r="W55" s="37"/>
      <c r="AC55" s="26"/>
      <c r="AD55" s="27">
        <f>SUMIFS(Table1[Amount $],Table1[Category],Snapshot!AC55,Table1[Month],Snapshot!$W$4)*-1</f>
        <v>0</v>
      </c>
      <c r="AE55" s="24">
        <f>RANK(AD55,$AD$6:$AD$35,0)+COUNTIF(AD$6:$AD55,AD55)-1</f>
        <v>49</v>
      </c>
      <c r="AF55" s="24"/>
      <c r="AG55" s="24"/>
      <c r="AH55" s="24"/>
      <c r="AM55"/>
      <c r="AN55"/>
      <c r="AO55"/>
      <c r="AP55"/>
      <c r="AT55" s="24"/>
      <c r="AU55" s="31" t="str">
        <f>IF(ISBLANK(AT55),"",SUMIFS(Table1[Amount $],Table1[Merchant],Snapshot!AT55,Table1[Month],Snapshot!$W$4)*-1)</f>
        <v/>
      </c>
      <c r="AV55" s="24" t="str">
        <f>IF(ISBLANK(AT55),"",COUNTIFS(Table1[Merchant],Snapshot!AT55,Table1[Month],Snapshot!$W$4))</f>
        <v/>
      </c>
      <c r="AW55" s="24" t="str">
        <f>IFERROR(RANK(AV55,$AV$6:$AV$200)+COUNTIF($AV$6:AV55,AV55)-1,"")</f>
        <v/>
      </c>
      <c r="AX55" s="24" t="str">
        <f>IFERROR(RANK(AU55,$AU$6:$AU$200)+COUNTIF($AU$6:AU55,AU55)-1,"")</f>
        <v/>
      </c>
    </row>
    <row r="56" spans="2:50">
      <c r="B56" s="89">
        <f t="shared" si="7"/>
        <v>10</v>
      </c>
      <c r="C56" s="90"/>
      <c r="D56" s="24" t="str" cm="1">
        <f t="array" ref="D56">IFERROR(INDEX($AT:$AT,MATCH($B56,$AW:$AW,0),0),"")</f>
        <v>Spotify</v>
      </c>
      <c r="E56" s="24"/>
      <c r="F56" s="24"/>
      <c r="G56" s="24" cm="1">
        <f t="array" ref="G56">IF(IFERROR(INDEX($AV:$AV,MATCH($B56,$AW:$AW,0),0),"")=0,"",IFERROR(INDEX($AV:$AV,MATCH($B56,$AW:$AW,0),0),""))</f>
        <v>1</v>
      </c>
      <c r="H56" s="24"/>
      <c r="I56" s="39" cm="1">
        <f t="array" ref="I56">IF(IFERROR(INDEX($AU:$AU,MATCH($B56,$AW:$AW,0),0),"")=0,"",IFERROR(INDEX($AU:$AU,MATCH($B56,$AW:$AW,0),0),""))</f>
        <v>9.99</v>
      </c>
      <c r="J56" s="93"/>
      <c r="L56" s="40"/>
      <c r="M56" s="24" t="str" cm="1">
        <f t="array" ref="M56">IFERROR(INDEX($AT:$AT,MATCH($B56,$AX:$AX,0),0),"")</f>
        <v>Spotify</v>
      </c>
      <c r="N56" s="24"/>
      <c r="O56" s="24"/>
      <c r="P56" s="24"/>
      <c r="Q56" s="96" t="str" cm="1">
        <f t="array" ref="Q56">IFERROR(INDEX(Table1[Category],MATCH(Snapshot!M56,Table1[Merchant],0),0),"")</f>
        <v>Shopping</v>
      </c>
      <c r="R56" s="24"/>
      <c r="S56" s="39" cm="1">
        <f t="array" ref="S56">IF(IFERROR(INDEX($AU:$AU,MATCH($B56,$AX:$AX,0),0),"")=0,"",IFERROR(INDEX($AU:$AU,MATCH($B56,$AX:$AX,0),0),""))</f>
        <v>9.99</v>
      </c>
      <c r="T56" s="95"/>
      <c r="V56" s="37" t="str">
        <f t="shared" si="6"/>
        <v>--</v>
      </c>
      <c r="W56" s="37"/>
      <c r="AC56" s="26"/>
      <c r="AD56" s="27">
        <f>SUMIFS(Table1[Amount $],Table1[Category],Snapshot!AC56,Table1[Month],Snapshot!$W$4)*-1</f>
        <v>0</v>
      </c>
      <c r="AE56" s="24">
        <f>RANK(AD56,$AD$6:$AD$35,0)+COUNTIF(AD$6:$AD56,AD56)-1</f>
        <v>50</v>
      </c>
      <c r="AF56" s="24"/>
      <c r="AG56" s="24"/>
      <c r="AH56" s="24"/>
      <c r="AM56"/>
      <c r="AN56"/>
      <c r="AO56"/>
      <c r="AP56"/>
      <c r="AT56" s="24"/>
      <c r="AU56" s="31" t="str">
        <f>IF(ISBLANK(AT56),"",SUMIFS(Table1[Amount $],Table1[Merchant],Snapshot!AT56,Table1[Month],Snapshot!$W$4)*-1)</f>
        <v/>
      </c>
      <c r="AV56" s="24" t="str">
        <f>IF(ISBLANK(AT56),"",COUNTIFS(Table1[Merchant],Snapshot!AT56,Table1[Month],Snapshot!$W$4))</f>
        <v/>
      </c>
      <c r="AW56" s="24" t="str">
        <f>IFERROR(RANK(AV56,$AV$6:$AV$200)+COUNTIF($AV$6:AV56,AV56)-1,"")</f>
        <v/>
      </c>
      <c r="AX56" s="24" t="str">
        <f>IFERROR(RANK(AU56,$AU$6:$AU$200)+COUNTIF($AU$6:AU56,AU56)-1,"")</f>
        <v/>
      </c>
    </row>
    <row r="57" spans="2:50" ht="16.350000000000001" customHeight="1" thickBot="1">
      <c r="C57" s="70"/>
      <c r="D57" s="71"/>
      <c r="E57" s="71"/>
      <c r="F57" s="71"/>
      <c r="G57" s="71"/>
      <c r="H57" s="71"/>
      <c r="I57" s="71"/>
      <c r="J57" s="72"/>
      <c r="L57" s="70"/>
      <c r="M57" s="71"/>
      <c r="N57" s="71"/>
      <c r="O57" s="71"/>
      <c r="P57" s="71"/>
      <c r="Q57" s="71"/>
      <c r="R57" s="71"/>
      <c r="S57" s="71"/>
      <c r="T57" s="72"/>
      <c r="V57" s="37" t="str">
        <f t="shared" si="6"/>
        <v>--</v>
      </c>
      <c r="W57" s="37"/>
      <c r="X57" s="98"/>
      <c r="Y57" s="60"/>
      <c r="Z57" s="99"/>
      <c r="AA57" s="100"/>
      <c r="AC57" s="26"/>
      <c r="AD57" s="27">
        <f>SUMIFS(Table1[Amount $],Table1[Category],Snapshot!AC57,Table1[Month],Snapshot!$W$4)*-1</f>
        <v>0</v>
      </c>
      <c r="AE57" s="24">
        <f>RANK(AD57,$AD$6:$AD$35,0)+COUNTIF(AD$6:$AD57,AD57)-1</f>
        <v>51</v>
      </c>
      <c r="AF57" s="24"/>
      <c r="AG57" s="24"/>
      <c r="AH57" s="24"/>
      <c r="AM57"/>
      <c r="AN57"/>
      <c r="AO57"/>
      <c r="AP57"/>
      <c r="AT57" s="24"/>
      <c r="AU57" s="31" t="str">
        <f>IF(ISBLANK(AT57),"",SUMIFS(Table1[Amount $],Table1[Merchant],Snapshot!AT57,Table1[Month],Snapshot!$W$4)*-1)</f>
        <v/>
      </c>
      <c r="AV57" s="24" t="str">
        <f>IF(ISBLANK(AT57),"",COUNTIFS(Table1[Merchant],Snapshot!AT57,Table1[Month],Snapshot!$W$4))</f>
        <v/>
      </c>
      <c r="AW57" s="24" t="str">
        <f>IFERROR(RANK(AV57,$AV$6:$AV$200)+COUNTIF($AV$6:AV57,AV57)-1,"")</f>
        <v/>
      </c>
      <c r="AX57" s="24" t="str">
        <f>IFERROR(RANK(AU57,$AU$6:$AU$200)+COUNTIF($AU$6:AU57,AU57)-1,"")</f>
        <v/>
      </c>
    </row>
    <row r="58" spans="2:50" ht="15.75">
      <c r="V58" s="37" t="str">
        <f t="shared" si="6"/>
        <v>--</v>
      </c>
      <c r="W58" s="37"/>
      <c r="X58" s="60"/>
      <c r="Y58" s="60"/>
      <c r="Z58" s="100"/>
      <c r="AA58" s="100"/>
      <c r="AC58" s="26"/>
      <c r="AD58" s="27">
        <f>SUMIFS(Table1[Amount $],Table1[Category],Snapshot!AC58,Table1[Month],Snapshot!$W$4)*-1</f>
        <v>0</v>
      </c>
      <c r="AE58" s="24">
        <f>RANK(AD58,$AD$6:$AD$35,0)+COUNTIF(AD$6:$AD58,AD58)-1</f>
        <v>52</v>
      </c>
      <c r="AF58" s="24"/>
      <c r="AG58" s="24"/>
      <c r="AH58" s="24"/>
      <c r="AM58"/>
      <c r="AN58"/>
      <c r="AO58"/>
      <c r="AP58"/>
      <c r="AT58" s="24"/>
      <c r="AU58" s="31" t="str">
        <f>IF(ISBLANK(AT58),"",SUMIFS(Table1[Amount $],Table1[Merchant],Snapshot!AT58,Table1[Month],Snapshot!$W$4)*-1)</f>
        <v/>
      </c>
      <c r="AV58" s="24" t="str">
        <f>IF(ISBLANK(AT58),"",COUNTIFS(Table1[Merchant],Snapshot!AT58,Table1[Month],Snapshot!$W$4))</f>
        <v/>
      </c>
      <c r="AW58" s="24" t="str">
        <f>IFERROR(RANK(AV58,$AV$6:$AV$200)+COUNTIF($AV$6:AV58,AV58)-1,"")</f>
        <v/>
      </c>
      <c r="AX58" s="24" t="str">
        <f>IFERROR(RANK(AU58,$AU$6:$AU$200)+COUNTIF($AU$6:AU58,AU58)-1,"")</f>
        <v/>
      </c>
    </row>
    <row r="59" spans="2:50">
      <c r="D59"/>
      <c r="V59" s="37" t="str">
        <f t="shared" si="6"/>
        <v>--</v>
      </c>
      <c r="W59" s="37"/>
      <c r="Y59"/>
      <c r="Z59" s="101"/>
      <c r="AA59" s="101"/>
      <c r="AC59" s="26"/>
      <c r="AD59" s="27">
        <f>SUMIFS(Table1[Amount $],Table1[Category],Snapshot!AC59,Table1[Month],Snapshot!$W$4)*-1</f>
        <v>0</v>
      </c>
      <c r="AE59" s="24">
        <f>RANK(AD59,$AD$6:$AD$35,0)+COUNTIF(AD$6:$AD59,AD59)-1</f>
        <v>53</v>
      </c>
      <c r="AF59" s="24"/>
      <c r="AG59" s="24"/>
      <c r="AH59" s="24"/>
      <c r="AM59"/>
      <c r="AN59"/>
      <c r="AO59"/>
      <c r="AP59"/>
      <c r="AT59" s="24"/>
      <c r="AU59" s="31" t="str">
        <f>IF(ISBLANK(AT59),"",SUMIFS(Table1[Amount $],Table1[Merchant],Snapshot!AT59,Table1[Month],Snapshot!$W$4)*-1)</f>
        <v/>
      </c>
      <c r="AV59" s="24" t="str">
        <f>IF(ISBLANK(AT59),"",COUNTIFS(Table1[Merchant],Snapshot!AT59,Table1[Month],Snapshot!$W$4))</f>
        <v/>
      </c>
      <c r="AW59" s="24" t="str">
        <f>IFERROR(RANK(AV59,$AV$6:$AV$200)+COUNTIF($AV$6:AV59,AV59)-1,"")</f>
        <v/>
      </c>
      <c r="AX59" s="24" t="str">
        <f>IFERROR(RANK(AU59,$AU$6:$AU$200)+COUNTIF($AU$6:AU59,AU59)-1,"")</f>
        <v/>
      </c>
    </row>
    <row r="60" spans="2:50">
      <c r="D60"/>
      <c r="V60" s="37" t="str">
        <f t="shared" si="6"/>
        <v>--</v>
      </c>
      <c r="W60" s="37"/>
      <c r="AC60" s="26"/>
      <c r="AD60" s="27">
        <f>SUMIFS(Table1[Amount $],Table1[Category],Snapshot!AC60,Table1[Month],Snapshot!$W$4)*-1</f>
        <v>0</v>
      </c>
      <c r="AE60" s="24">
        <f>RANK(AD60,$AD$6:$AD$35,0)+COUNTIF(AD$6:$AD60,AD60)-1</f>
        <v>54</v>
      </c>
      <c r="AF60" s="24"/>
      <c r="AG60" s="24"/>
      <c r="AH60" s="24"/>
      <c r="AM60"/>
      <c r="AN60"/>
      <c r="AO60"/>
      <c r="AP60"/>
      <c r="AT60" s="24"/>
      <c r="AU60" s="31" t="str">
        <f>IF(ISBLANK(AT60),"",SUMIFS(Table1[Amount $],Table1[Merchant],Snapshot!AT60,Table1[Month],Snapshot!$W$4)*-1)</f>
        <v/>
      </c>
      <c r="AV60" s="24" t="str">
        <f>IF(ISBLANK(AT60),"",COUNTIFS(Table1[Merchant],Snapshot!AT60,Table1[Month],Snapshot!$W$4))</f>
        <v/>
      </c>
      <c r="AW60" s="24" t="str">
        <f>IFERROR(RANK(AV60,$AV$6:$AV$200)+COUNTIF($AV$6:AV60,AV60)-1,"")</f>
        <v/>
      </c>
      <c r="AX60" s="24" t="str">
        <f>IFERROR(RANK(AU60,$AU$6:$AU$200)+COUNTIF($AU$6:AU60,AU60)-1,"")</f>
        <v/>
      </c>
    </row>
    <row r="61" spans="2:50">
      <c r="D61"/>
      <c r="V61" s="37" t="str">
        <f t="shared" si="6"/>
        <v>--</v>
      </c>
      <c r="W61" s="37"/>
      <c r="AC61" s="26"/>
      <c r="AD61" s="27">
        <f>SUMIFS(Table1[Amount $],Table1[Category],Snapshot!AC61,Table1[Month],Snapshot!$W$4)*-1</f>
        <v>0</v>
      </c>
      <c r="AE61" s="24">
        <f>RANK(AD61,$AD$6:$AD$35,0)+COUNTIF(AD$6:$AD61,AD61)-1</f>
        <v>55</v>
      </c>
      <c r="AF61" s="24"/>
      <c r="AG61" s="24"/>
      <c r="AH61" s="24"/>
      <c r="AM61"/>
      <c r="AN61"/>
      <c r="AO61"/>
      <c r="AP61"/>
      <c r="AT61" s="24"/>
      <c r="AU61" s="31" t="str">
        <f>IF(ISBLANK(AT61),"",SUMIFS(Table1[Amount $],Table1[Merchant],Snapshot!AT61,Table1[Month],Snapshot!$W$4)*-1)</f>
        <v/>
      </c>
      <c r="AV61" s="24" t="str">
        <f>IF(ISBLANK(AT61),"",COUNTIFS(Table1[Merchant],Snapshot!AT61,Table1[Month],Snapshot!$W$4))</f>
        <v/>
      </c>
      <c r="AW61" s="24" t="str">
        <f>IFERROR(RANK(AV61,$AV$6:$AV$200)+COUNTIF($AV$6:AV61,AV61)-1,"")</f>
        <v/>
      </c>
      <c r="AX61" s="24" t="str">
        <f>IFERROR(RANK(AU61,$AU$6:$AU$200)+COUNTIF($AU$6:AU61,AU61)-1,"")</f>
        <v/>
      </c>
    </row>
    <row r="62" spans="2:50">
      <c r="D62"/>
      <c r="V62" s="37" t="str">
        <f t="shared" si="6"/>
        <v>--</v>
      </c>
      <c r="W62" s="37"/>
      <c r="AC62" s="26"/>
      <c r="AD62" s="27">
        <f>SUMIFS(Table1[Amount $],Table1[Category],Snapshot!AC62,Table1[Month],Snapshot!$W$4)*-1</f>
        <v>0</v>
      </c>
      <c r="AE62" s="24">
        <f>RANK(AD62,$AD$6:$AD$35,0)+COUNTIF(AD$6:$AD62,AD62)-1</f>
        <v>56</v>
      </c>
      <c r="AF62" s="24"/>
      <c r="AG62" s="24"/>
      <c r="AH62" s="24"/>
      <c r="AM62"/>
      <c r="AN62"/>
      <c r="AO62"/>
      <c r="AP62"/>
      <c r="AT62" s="24"/>
      <c r="AU62" s="31" t="str">
        <f>IF(ISBLANK(AT62),"",SUMIFS(Table1[Amount $],Table1[Merchant],Snapshot!AT62,Table1[Month],Snapshot!$W$4)*-1)</f>
        <v/>
      </c>
      <c r="AV62" s="24" t="str">
        <f>IF(ISBLANK(AT62),"",COUNTIFS(Table1[Merchant],Snapshot!AT62,Table1[Month],Snapshot!$W$4))</f>
        <v/>
      </c>
      <c r="AW62" s="24" t="str">
        <f>IFERROR(RANK(AV62,$AV$6:$AV$200)+COUNTIF($AV$6:AV62,AV62)-1,"")</f>
        <v/>
      </c>
      <c r="AX62" s="24" t="str">
        <f>IFERROR(RANK(AU62,$AU$6:$AU$200)+COUNTIF($AU$6:AU62,AU62)-1,"")</f>
        <v/>
      </c>
    </row>
    <row r="63" spans="2:50">
      <c r="D63"/>
      <c r="V63" s="37" t="str">
        <f t="shared" si="6"/>
        <v>--</v>
      </c>
      <c r="W63" s="37"/>
      <c r="AC63" s="26"/>
      <c r="AD63" s="27">
        <f>SUMIFS(Table1[Amount $],Table1[Category],Snapshot!AC63,Table1[Month],Snapshot!$W$4)*-1</f>
        <v>0</v>
      </c>
      <c r="AE63" s="24">
        <f>RANK(AD63,$AD$6:$AD$35,0)+COUNTIF(AD$6:$AD63,AD63)-1</f>
        <v>57</v>
      </c>
      <c r="AF63" s="24"/>
      <c r="AG63" s="24"/>
      <c r="AH63" s="24"/>
      <c r="AM63"/>
      <c r="AN63"/>
      <c r="AO63"/>
      <c r="AP63"/>
      <c r="AT63" s="24"/>
      <c r="AU63" s="31" t="str">
        <f>IF(ISBLANK(AT63),"",SUMIFS(Table1[Amount $],Table1[Merchant],Snapshot!AT63,Table1[Month],Snapshot!$W$4)*-1)</f>
        <v/>
      </c>
      <c r="AV63" s="24" t="str">
        <f>IF(ISBLANK(AT63),"",COUNTIFS(Table1[Merchant],Snapshot!AT63,Table1[Month],Snapshot!$W$4))</f>
        <v/>
      </c>
      <c r="AW63" s="24" t="str">
        <f>IFERROR(RANK(AV63,$AV$6:$AV$200)+COUNTIF($AV$6:AV63,AV63)-1,"")</f>
        <v/>
      </c>
      <c r="AX63" s="24" t="str">
        <f>IFERROR(RANK(AU63,$AU$6:$AU$200)+COUNTIF($AU$6:AU63,AU63)-1,"")</f>
        <v/>
      </c>
    </row>
    <row r="64" spans="2:50">
      <c r="D64"/>
      <c r="V64" s="37" t="str">
        <f t="shared" si="6"/>
        <v>--</v>
      </c>
      <c r="W64" s="37"/>
      <c r="AC64" s="26"/>
      <c r="AD64" s="27">
        <f>SUMIFS(Table1[Amount $],Table1[Category],Snapshot!AC64,Table1[Month],Snapshot!$W$4)*-1</f>
        <v>0</v>
      </c>
      <c r="AE64" s="24">
        <f>RANK(AD64,$AD$6:$AD$35,0)+COUNTIF(AD$6:$AD64,AD64)-1</f>
        <v>58</v>
      </c>
      <c r="AF64" s="24"/>
      <c r="AG64" s="24"/>
      <c r="AH64" s="24"/>
      <c r="AM64"/>
      <c r="AN64"/>
      <c r="AO64"/>
      <c r="AP64"/>
      <c r="AT64" s="24"/>
      <c r="AU64" s="31" t="str">
        <f>IF(ISBLANK(AT64),"",SUMIFS(Table1[Amount $],Table1[Merchant],Snapshot!AT64,Table1[Month],Snapshot!$W$4)*-1)</f>
        <v/>
      </c>
      <c r="AV64" s="24" t="str">
        <f>IF(ISBLANK(AT64),"",COUNTIFS(Table1[Merchant],Snapshot!AT64,Table1[Month],Snapshot!$W$4))</f>
        <v/>
      </c>
      <c r="AW64" s="24" t="str">
        <f>IFERROR(RANK(AV64,$AV$6:$AV$200)+COUNTIF($AV$6:AV64,AV64)-1,"")</f>
        <v/>
      </c>
      <c r="AX64" s="24" t="str">
        <f>IFERROR(RANK(AU64,$AU$6:$AU$200)+COUNTIF($AU$6:AU64,AU64)-1,"")</f>
        <v/>
      </c>
    </row>
    <row r="65" spans="4:50">
      <c r="D65"/>
      <c r="V65" s="37" t="str">
        <f t="shared" ref="V65:V99" si="8">IF(ISBLANK(W65),"--",TEXT(W65,"mmmm")&amp;" "&amp;TEXT(W65,"YYYY"))</f>
        <v>--</v>
      </c>
      <c r="W65" s="37"/>
      <c r="AC65" s="26"/>
      <c r="AD65" s="27">
        <f>SUMIFS(Table1[Amount $],Table1[Category],Snapshot!AC65,Table1[Month],Snapshot!$W$4)*-1</f>
        <v>0</v>
      </c>
      <c r="AE65" s="24">
        <f>RANK(AD65,$AD$6:$AD$35,0)+COUNTIF(AD$6:$AD65,AD65)-1</f>
        <v>59</v>
      </c>
      <c r="AF65" s="24"/>
      <c r="AG65" s="24"/>
      <c r="AH65" s="24"/>
      <c r="AM65"/>
      <c r="AN65"/>
      <c r="AO65"/>
      <c r="AP65"/>
      <c r="AT65" s="24"/>
      <c r="AU65" s="31" t="str">
        <f>IF(ISBLANK(AT65),"",SUMIFS(Table1[Amount $],Table1[Merchant],Snapshot!AT65,Table1[Month],Snapshot!$W$4)*-1)</f>
        <v/>
      </c>
      <c r="AV65" s="24" t="str">
        <f>IF(ISBLANK(AT65),"",COUNTIFS(Table1[Merchant],Snapshot!AT65,Table1[Month],Snapshot!$W$4))</f>
        <v/>
      </c>
      <c r="AW65" s="24" t="str">
        <f>IFERROR(RANK(AV65,$AV$6:$AV$200)+COUNTIF($AV$6:AV65,AV65)-1,"")</f>
        <v/>
      </c>
      <c r="AX65" s="24" t="str">
        <f>IFERROR(RANK(AU65,$AU$6:$AU$200)+COUNTIF($AU$6:AU65,AU65)-1,"")</f>
        <v/>
      </c>
    </row>
    <row r="66" spans="4:50">
      <c r="D66"/>
      <c r="V66" s="37" t="str">
        <f t="shared" si="8"/>
        <v>--</v>
      </c>
      <c r="W66" s="37"/>
      <c r="AC66" s="26"/>
      <c r="AD66" s="27">
        <f>SUMIFS(Table1[Amount $],Table1[Category],Snapshot!AC66,Table1[Month],Snapshot!$W$4)*-1</f>
        <v>0</v>
      </c>
      <c r="AE66" s="24">
        <f>RANK(AD66,$AD$6:$AD$35,0)+COUNTIF(AD$6:$AD66,AD66)-1</f>
        <v>60</v>
      </c>
      <c r="AF66" s="24"/>
      <c r="AG66" s="24"/>
      <c r="AH66" s="24"/>
      <c r="AM66"/>
      <c r="AN66"/>
      <c r="AO66"/>
      <c r="AP66"/>
      <c r="AT66" s="24"/>
      <c r="AU66" s="31" t="str">
        <f>IF(ISBLANK(AT66),"",SUMIFS(Table1[Amount $],Table1[Merchant],Snapshot!AT66,Table1[Month],Snapshot!$W$4)*-1)</f>
        <v/>
      </c>
      <c r="AV66" s="24" t="str">
        <f>IF(ISBLANK(AT66),"",COUNTIFS(Table1[Merchant],Snapshot!AT66,Table1[Month],Snapshot!$W$4))</f>
        <v/>
      </c>
      <c r="AW66" s="24" t="str">
        <f>IFERROR(RANK(AV66,$AV$6:$AV$200)+COUNTIF($AV$6:AV66,AV66)-1,"")</f>
        <v/>
      </c>
      <c r="AX66" s="24" t="str">
        <f>IFERROR(RANK(AU66,$AU$6:$AU$200)+COUNTIF($AU$6:AU66,AU66)-1,"")</f>
        <v/>
      </c>
    </row>
    <row r="67" spans="4:50">
      <c r="D67"/>
      <c r="V67" s="37" t="str">
        <f t="shared" si="8"/>
        <v>--</v>
      </c>
      <c r="W67" s="37"/>
      <c r="AC67" s="26"/>
      <c r="AD67" s="27">
        <f>SUMIFS(Table1[Amount $],Table1[Category],Snapshot!AC67,Table1[Month],Snapshot!$W$4)*-1</f>
        <v>0</v>
      </c>
      <c r="AE67" s="24">
        <f>RANK(AD67,$AD$6:$AD$35,0)+COUNTIF(AD$6:$AD67,AD67)-1</f>
        <v>61</v>
      </c>
      <c r="AF67" s="24"/>
      <c r="AG67" s="24"/>
      <c r="AH67" s="24"/>
      <c r="AM67"/>
      <c r="AN67"/>
      <c r="AO67"/>
      <c r="AP67"/>
      <c r="AT67" s="24"/>
      <c r="AU67" s="31" t="str">
        <f>IF(ISBLANK(AT67),"",SUMIFS(Table1[Amount $],Table1[Merchant],Snapshot!AT67,Table1[Month],Snapshot!$W$4)*-1)</f>
        <v/>
      </c>
      <c r="AV67" s="24" t="str">
        <f>IF(ISBLANK(AT67),"",COUNTIFS(Table1[Merchant],Snapshot!AT67,Table1[Month],Snapshot!$W$4))</f>
        <v/>
      </c>
      <c r="AW67" s="24" t="str">
        <f>IFERROR(RANK(AV67,$AV$6:$AV$200)+COUNTIF($AV$6:AV67,AV67)-1,"")</f>
        <v/>
      </c>
      <c r="AX67" s="24" t="str">
        <f>IFERROR(RANK(AU67,$AU$6:$AU$200)+COUNTIF($AU$6:AU67,AU67)-1,"")</f>
        <v/>
      </c>
    </row>
    <row r="68" spans="4:50">
      <c r="D68"/>
      <c r="V68" s="37" t="str">
        <f t="shared" si="8"/>
        <v>--</v>
      </c>
      <c r="W68" s="37"/>
      <c r="AC68" s="26"/>
      <c r="AD68" s="27">
        <f>SUMIFS(Table1[Amount $],Table1[Category],Snapshot!AC68,Table1[Month],Snapshot!$W$4)*-1</f>
        <v>0</v>
      </c>
      <c r="AE68" s="24">
        <f>RANK(AD68,$AD$6:$AD$35,0)+COUNTIF(AD$6:$AD68,AD68)-1</f>
        <v>62</v>
      </c>
      <c r="AF68" s="24"/>
      <c r="AG68" s="24"/>
      <c r="AH68" s="24"/>
      <c r="AM68"/>
      <c r="AN68"/>
      <c r="AO68"/>
      <c r="AP68"/>
      <c r="AT68" s="24"/>
      <c r="AU68" s="31" t="str">
        <f>IF(ISBLANK(AT68),"",SUMIFS(Table1[Amount $],Table1[Merchant],Snapshot!AT68,Table1[Month],Snapshot!$W$4)*-1)</f>
        <v/>
      </c>
      <c r="AV68" s="24" t="str">
        <f>IF(ISBLANK(AT68),"",COUNTIFS(Table1[Merchant],Snapshot!AT68,Table1[Month],Snapshot!$W$4))</f>
        <v/>
      </c>
      <c r="AW68" s="24" t="str">
        <f>IFERROR(RANK(AV68,$AV$6:$AV$200)+COUNTIF($AV$6:AV68,AV68)-1,"")</f>
        <v/>
      </c>
      <c r="AX68" s="24" t="str">
        <f>IFERROR(RANK(AU68,$AU$6:$AU$200)+COUNTIF($AU$6:AU68,AU68)-1,"")</f>
        <v/>
      </c>
    </row>
    <row r="69" spans="4:50">
      <c r="D69"/>
      <c r="V69" s="37" t="str">
        <f t="shared" si="8"/>
        <v>--</v>
      </c>
      <c r="W69" s="37"/>
      <c r="AC69" s="26"/>
      <c r="AD69" s="27">
        <f>SUMIFS(Table1[Amount $],Table1[Category],Snapshot!AC69,Table1[Month],Snapshot!$W$4)*-1</f>
        <v>0</v>
      </c>
      <c r="AE69" s="24">
        <f>RANK(AD69,$AD$6:$AD$35,0)+COUNTIF(AD$6:$AD69,AD69)-1</f>
        <v>63</v>
      </c>
      <c r="AF69" s="24"/>
      <c r="AG69" s="24"/>
      <c r="AH69" s="24"/>
      <c r="AT69" s="24"/>
      <c r="AU69" s="31" t="str">
        <f>IF(ISBLANK(AT69),"",SUMIFS(Table1[Amount $],Table1[Merchant],Snapshot!AT69,Table1[Month],Snapshot!$W$4)*-1)</f>
        <v/>
      </c>
      <c r="AV69" s="24" t="str">
        <f>IF(ISBLANK(AT69),"",COUNTIFS(Table1[Merchant],Snapshot!AT69,Table1[Month],Snapshot!$W$4))</f>
        <v/>
      </c>
      <c r="AW69" s="24" t="str">
        <f>IFERROR(RANK(AV69,$AV$6:$AV$200)+COUNTIF($AV$6:AV69,AV69)-1,"")</f>
        <v/>
      </c>
      <c r="AX69" s="24" t="str">
        <f>IFERROR(RANK(AU69,$AU$6:$AU$200)+COUNTIF($AU$6:AU69,AU69)-1,"")</f>
        <v/>
      </c>
    </row>
    <row r="70" spans="4:50">
      <c r="D70"/>
      <c r="V70" s="37" t="str">
        <f t="shared" si="8"/>
        <v>--</v>
      </c>
      <c r="W70" s="37"/>
      <c r="AC70" s="26"/>
      <c r="AD70" s="27">
        <f>SUMIFS(Table1[Amount $],Table1[Category],Snapshot!AC70,Table1[Month],Snapshot!$W$4)*-1</f>
        <v>0</v>
      </c>
      <c r="AE70" s="24">
        <f>RANK(AD70,$AD$6:$AD$35,0)+COUNTIF(AD$6:$AD70,AD70)-1</f>
        <v>64</v>
      </c>
      <c r="AF70" s="24"/>
      <c r="AG70" s="24"/>
      <c r="AH70" s="24"/>
      <c r="AT70" s="24"/>
      <c r="AU70" s="31" t="str">
        <f>IF(ISBLANK(AT70),"",SUMIFS(Table1[Amount $],Table1[Merchant],Snapshot!AT70,Table1[Month],Snapshot!$W$4)*-1)</f>
        <v/>
      </c>
      <c r="AV70" s="24" t="str">
        <f>IF(ISBLANK(AT70),"",COUNTIFS(Table1[Merchant],Snapshot!AT70,Table1[Month],Snapshot!$W$4))</f>
        <v/>
      </c>
      <c r="AW70" s="24" t="str">
        <f>IFERROR(RANK(AV70,$AV$6:$AV$200)+COUNTIF($AV$6:AV70,AV70)-1,"")</f>
        <v/>
      </c>
      <c r="AX70" s="24" t="str">
        <f>IFERROR(RANK(AU70,$AU$6:$AU$200)+COUNTIF($AU$6:AU70,AU70)-1,"")</f>
        <v/>
      </c>
    </row>
    <row r="71" spans="4:50">
      <c r="D71"/>
      <c r="V71" s="37" t="str">
        <f t="shared" si="8"/>
        <v>--</v>
      </c>
      <c r="W71" s="37"/>
      <c r="AC71" s="26"/>
      <c r="AD71" s="27">
        <f>SUMIFS(Table1[Amount $],Table1[Category],Snapshot!AC71,Table1[Month],Snapshot!$W$4)*-1</f>
        <v>0</v>
      </c>
      <c r="AE71" s="24">
        <f>RANK(AD71,$AD$6:$AD$35,0)+COUNTIF(AD$6:$AD71,AD71)-1</f>
        <v>65</v>
      </c>
      <c r="AF71" s="24"/>
      <c r="AG71" s="24"/>
      <c r="AH71" s="24"/>
      <c r="AT71" s="24"/>
      <c r="AU71" s="31" t="str">
        <f>IF(ISBLANK(AT71),"",SUMIFS(Table1[Amount $],Table1[Merchant],Snapshot!AT71,Table1[Month],Snapshot!$W$4)*-1)</f>
        <v/>
      </c>
      <c r="AV71" s="24" t="str">
        <f>IF(ISBLANK(AT71),"",COUNTIFS(Table1[Merchant],Snapshot!AT71,Table1[Month],Snapshot!$W$4))</f>
        <v/>
      </c>
      <c r="AW71" s="24" t="str">
        <f>IFERROR(RANK(AV71,$AV$6:$AV$200)+COUNTIF($AV$6:AV71,AV71)-1,"")</f>
        <v/>
      </c>
      <c r="AX71" s="24" t="str">
        <f>IFERROR(RANK(AU71,$AU$6:$AU$200)+COUNTIF($AU$6:AU71,AU71)-1,"")</f>
        <v/>
      </c>
    </row>
    <row r="72" spans="4:50">
      <c r="V72" s="37" t="str">
        <f t="shared" si="8"/>
        <v>--</v>
      </c>
      <c r="W72" s="37"/>
      <c r="AC72" s="26"/>
      <c r="AD72" s="27">
        <f>SUMIFS(Table1[Amount $],Table1[Category],Snapshot!AC72,Table1[Month],Snapshot!$W$4)*-1</f>
        <v>0</v>
      </c>
      <c r="AE72" s="24">
        <f>RANK(AD72,$AD$6:$AD$35,0)+COUNTIF(AD$6:$AD72,AD72)-1</f>
        <v>66</v>
      </c>
      <c r="AF72" s="24"/>
      <c r="AG72" s="24"/>
      <c r="AH72" s="24"/>
      <c r="AT72" s="24"/>
      <c r="AU72" s="31" t="str">
        <f>IF(ISBLANK(AT72),"",SUMIFS(Table1[Amount $],Table1[Merchant],Snapshot!AT72,Table1[Month],Snapshot!$W$4)*-1)</f>
        <v/>
      </c>
      <c r="AV72" s="24" t="str">
        <f>IF(ISBLANK(AT72),"",COUNTIFS(Table1[Merchant],Snapshot!AT72,Table1[Month],Snapshot!$W$4))</f>
        <v/>
      </c>
      <c r="AW72" s="24" t="str">
        <f>IFERROR(RANK(AV72,$AV$6:$AV$200)+COUNTIF($AV$6:AV72,AV72)-1,"")</f>
        <v/>
      </c>
      <c r="AX72" s="24" t="str">
        <f>IFERROR(RANK(AU72,$AU$6:$AU$200)+COUNTIF($AU$6:AU72,AU72)-1,"")</f>
        <v/>
      </c>
    </row>
    <row r="73" spans="4:50">
      <c r="V73" s="37" t="str">
        <f t="shared" si="8"/>
        <v>--</v>
      </c>
      <c r="W73" s="37"/>
      <c r="AC73" s="26"/>
      <c r="AD73" s="27">
        <f>SUMIFS(Table1[Amount $],Table1[Category],Snapshot!AC73,Table1[Month],Snapshot!$W$4)*-1</f>
        <v>0</v>
      </c>
      <c r="AE73" s="24">
        <f>RANK(AD73,$AD$6:$AD$35,0)+COUNTIF(AD$6:$AD73,AD73)-1</f>
        <v>67</v>
      </c>
      <c r="AF73" s="24"/>
      <c r="AG73" s="24"/>
      <c r="AH73" s="24"/>
      <c r="AT73" s="24"/>
      <c r="AU73" s="31" t="str">
        <f>IF(ISBLANK(AT73),"",SUMIFS(Table1[Amount $],Table1[Merchant],Snapshot!AT73,Table1[Month],Snapshot!$W$4)*-1)</f>
        <v/>
      </c>
      <c r="AV73" s="24" t="str">
        <f>IF(ISBLANK(AT73),"",COUNTIFS(Table1[Merchant],Snapshot!AT73,Table1[Month],Snapshot!$W$4))</f>
        <v/>
      </c>
      <c r="AW73" s="24" t="str">
        <f>IFERROR(RANK(AV73,$AV$6:$AV$200)+COUNTIF($AV$6:AV73,AV73)-1,"")</f>
        <v/>
      </c>
      <c r="AX73" s="24" t="str">
        <f>IFERROR(RANK(AU73,$AU$6:$AU$200)+COUNTIF($AU$6:AU73,AU73)-1,"")</f>
        <v/>
      </c>
    </row>
    <row r="74" spans="4:50">
      <c r="V74" s="37" t="str">
        <f t="shared" si="8"/>
        <v>--</v>
      </c>
      <c r="W74" s="37"/>
      <c r="AC74" s="26"/>
      <c r="AD74" s="27">
        <f>SUMIFS(Table1[Amount $],Table1[Category],Snapshot!AC74,Table1[Month],Snapshot!$W$4)*-1</f>
        <v>0</v>
      </c>
      <c r="AE74" s="24">
        <f>RANK(AD74,$AD$6:$AD$35,0)+COUNTIF(AD$6:$AD74,AD74)-1</f>
        <v>68</v>
      </c>
      <c r="AF74" s="24"/>
      <c r="AG74" s="24"/>
      <c r="AH74" s="24"/>
      <c r="AT74" s="24"/>
      <c r="AU74" s="31" t="str">
        <f>IF(ISBLANK(AT74),"",SUMIFS(Table1[Amount $],Table1[Merchant],Snapshot!AT74,Table1[Month],Snapshot!$W$4)*-1)</f>
        <v/>
      </c>
      <c r="AV74" s="24" t="str">
        <f>IF(ISBLANK(AT74),"",COUNTIFS(Table1[Merchant],Snapshot!AT74,Table1[Month],Snapshot!$W$4))</f>
        <v/>
      </c>
      <c r="AW74" s="24" t="str">
        <f>IFERROR(RANK(AV74,$AV$6:$AV$200)+COUNTIF($AV$6:AV74,AV74)-1,"")</f>
        <v/>
      </c>
      <c r="AX74" s="24" t="str">
        <f>IFERROR(RANK(AU74,$AU$6:$AU$200)+COUNTIF($AU$6:AU74,AU74)-1,"")</f>
        <v/>
      </c>
    </row>
    <row r="75" spans="4:50">
      <c r="V75" s="37" t="str">
        <f t="shared" si="8"/>
        <v>--</v>
      </c>
      <c r="W75" s="37"/>
      <c r="AC75" s="26"/>
      <c r="AD75" s="27">
        <f>SUMIFS(Table1[Amount $],Table1[Category],Snapshot!AC75,Table1[Month],Snapshot!$W$4)*-1</f>
        <v>0</v>
      </c>
      <c r="AE75" s="24">
        <f>RANK(AD75,$AD$6:$AD$35,0)+COUNTIF(AD$6:$AD75,AD75)-1</f>
        <v>69</v>
      </c>
      <c r="AF75" s="24"/>
      <c r="AG75" s="24"/>
      <c r="AH75" s="24"/>
      <c r="AT75" s="24"/>
      <c r="AU75" s="31" t="str">
        <f>IF(ISBLANK(AT75),"",SUMIFS(Table1[Amount $],Table1[Merchant],Snapshot!AT75,Table1[Month],Snapshot!$W$4)*-1)</f>
        <v/>
      </c>
      <c r="AV75" s="24" t="str">
        <f>IF(ISBLANK(AT75),"",COUNTIFS(Table1[Merchant],Snapshot!AT75,Table1[Month],Snapshot!$W$4))</f>
        <v/>
      </c>
      <c r="AW75" s="24" t="str">
        <f>IFERROR(RANK(AV75,$AV$6:$AV$200)+COUNTIF($AV$6:AV75,AV75)-1,"")</f>
        <v/>
      </c>
      <c r="AX75" s="24" t="str">
        <f>IFERROR(RANK(AU75,$AU$6:$AU$200)+COUNTIF($AU$6:AU75,AU75)-1,"")</f>
        <v/>
      </c>
    </row>
    <row r="76" spans="4:50">
      <c r="V76" s="37" t="str">
        <f t="shared" si="8"/>
        <v>--</v>
      </c>
      <c r="W76" s="37"/>
      <c r="AC76" s="26"/>
      <c r="AD76" s="27">
        <f>SUMIFS(Table1[Amount $],Table1[Category],Snapshot!AC76,Table1[Month],Snapshot!$W$4)*-1</f>
        <v>0</v>
      </c>
      <c r="AE76" s="24">
        <f>RANK(AD76,$AD$6:$AD$35,0)+COUNTIF(AD$6:$AD76,AD76)-1</f>
        <v>70</v>
      </c>
      <c r="AF76" s="24"/>
      <c r="AG76" s="24"/>
      <c r="AH76" s="24"/>
      <c r="AT76" s="24"/>
      <c r="AU76" s="31" t="str">
        <f>IF(ISBLANK(AT76),"",SUMIFS(Table1[Amount $],Table1[Merchant],Snapshot!AT76,Table1[Month],Snapshot!$W$4)*-1)</f>
        <v/>
      </c>
      <c r="AV76" s="24" t="str">
        <f>IF(ISBLANK(AT76),"",COUNTIFS(Table1[Merchant],Snapshot!AT76,Table1[Month],Snapshot!$W$4))</f>
        <v/>
      </c>
      <c r="AW76" s="24" t="str">
        <f>IFERROR(RANK(AV76,$AV$6:$AV$200)+COUNTIF($AV$6:AV76,AV76)-1,"")</f>
        <v/>
      </c>
      <c r="AX76" s="24" t="str">
        <f>IFERROR(RANK(AU76,$AU$6:$AU$200)+COUNTIF($AU$6:AU76,AU76)-1,"")</f>
        <v/>
      </c>
    </row>
    <row r="77" spans="4:50">
      <c r="V77" s="37" t="str">
        <f t="shared" si="8"/>
        <v>--</v>
      </c>
      <c r="W77" s="37"/>
      <c r="AC77" s="26"/>
      <c r="AD77" s="27">
        <f>SUMIFS(Table1[Amount $],Table1[Category],Snapshot!AC77,Table1[Month],Snapshot!$W$4)*-1</f>
        <v>0</v>
      </c>
      <c r="AE77" s="24">
        <f>RANK(AD77,$AD$6:$AD$35,0)+COUNTIF(AD$6:$AD77,AD77)-1</f>
        <v>71</v>
      </c>
      <c r="AF77" s="24"/>
      <c r="AG77" s="24"/>
      <c r="AH77" s="24"/>
      <c r="AT77" s="24"/>
      <c r="AU77" s="31" t="str">
        <f>IF(ISBLANK(AT77),"",SUMIFS(Table1[Amount $],Table1[Merchant],Snapshot!AT77,Table1[Month],Snapshot!$W$4)*-1)</f>
        <v/>
      </c>
      <c r="AV77" s="24" t="str">
        <f>IF(ISBLANK(AT77),"",COUNTIFS(Table1[Merchant],Snapshot!AT77,Table1[Month],Snapshot!$W$4))</f>
        <v/>
      </c>
      <c r="AW77" s="24" t="str">
        <f>IFERROR(RANK(AV77,$AV$6:$AV$200)+COUNTIF($AV$6:AV77,AV77)-1,"")</f>
        <v/>
      </c>
      <c r="AX77" s="24" t="str">
        <f>IFERROR(RANK(AU77,$AU$6:$AU$200)+COUNTIF($AU$6:AU77,AU77)-1,"")</f>
        <v/>
      </c>
    </row>
    <row r="78" spans="4:50">
      <c r="V78" s="37" t="str">
        <f t="shared" si="8"/>
        <v>--</v>
      </c>
      <c r="W78" s="37"/>
      <c r="AC78" s="26"/>
      <c r="AD78" s="27">
        <f>SUMIFS(Table1[Amount $],Table1[Category],Snapshot!AC78,Table1[Month],Snapshot!$W$4)*-1</f>
        <v>0</v>
      </c>
      <c r="AE78" s="24">
        <f>RANK(AD78,$AD$6:$AD$35,0)+COUNTIF(AD$6:$AD78,AD78)-1</f>
        <v>72</v>
      </c>
      <c r="AF78" s="24"/>
      <c r="AG78" s="24"/>
      <c r="AH78" s="24"/>
      <c r="AT78" s="24"/>
      <c r="AU78" s="31" t="str">
        <f>IF(ISBLANK(AT78),"",SUMIFS(Table1[Amount $],Table1[Merchant],Snapshot!AT78,Table1[Month],Snapshot!$W$4)*-1)</f>
        <v/>
      </c>
      <c r="AV78" s="24" t="str">
        <f>IF(ISBLANK(AT78),"",COUNTIFS(Table1[Merchant],Snapshot!AT78,Table1[Month],Snapshot!$W$4))</f>
        <v/>
      </c>
      <c r="AW78" s="24" t="str">
        <f>IFERROR(RANK(AV78,$AV$6:$AV$200)+COUNTIF($AV$6:AV78,AV78)-1,"")</f>
        <v/>
      </c>
      <c r="AX78" s="24" t="str">
        <f>IFERROR(RANK(AU78,$AU$6:$AU$200)+COUNTIF($AU$6:AU78,AU78)-1,"")</f>
        <v/>
      </c>
    </row>
    <row r="79" spans="4:50">
      <c r="V79" s="37" t="str">
        <f t="shared" si="8"/>
        <v>--</v>
      </c>
      <c r="W79" s="37"/>
      <c r="AC79" s="26"/>
      <c r="AD79" s="27">
        <f>SUMIFS(Table1[Amount $],Table1[Category],Snapshot!AC79,Table1[Month],Snapshot!$W$4)*-1</f>
        <v>0</v>
      </c>
      <c r="AE79" s="24">
        <f>RANK(AD79,$AD$6:$AD$35,0)+COUNTIF(AD$6:$AD79,AD79)-1</f>
        <v>73</v>
      </c>
      <c r="AF79" s="24"/>
      <c r="AG79" s="24"/>
      <c r="AH79" s="24"/>
      <c r="AT79" s="24"/>
      <c r="AU79" s="31" t="str">
        <f>IF(ISBLANK(AT79),"",SUMIFS(Table1[Amount $],Table1[Merchant],Snapshot!AT79,Table1[Month],Snapshot!$W$4)*-1)</f>
        <v/>
      </c>
      <c r="AV79" s="24" t="str">
        <f>IF(ISBLANK(AT79),"",COUNTIFS(Table1[Merchant],Snapshot!AT79,Table1[Month],Snapshot!$W$4))</f>
        <v/>
      </c>
      <c r="AW79" s="24" t="str">
        <f>IFERROR(RANK(AV79,$AV$6:$AV$200)+COUNTIF($AV$6:AV79,AV79)-1,"")</f>
        <v/>
      </c>
      <c r="AX79" s="24" t="str">
        <f>IFERROR(RANK(AU79,$AU$6:$AU$200)+COUNTIF($AU$6:AU79,AU79)-1,"")</f>
        <v/>
      </c>
    </row>
    <row r="80" spans="4:50">
      <c r="V80" s="37" t="str">
        <f t="shared" si="8"/>
        <v>--</v>
      </c>
      <c r="W80" s="37"/>
      <c r="AC80" s="26"/>
      <c r="AD80" s="27">
        <f>SUMIFS(Table1[Amount $],Table1[Category],Snapshot!AC80,Table1[Month],Snapshot!$W$4)*-1</f>
        <v>0</v>
      </c>
      <c r="AE80" s="24">
        <f>RANK(AD80,$AD$6:$AD$35,0)+COUNTIF(AD$6:$AD80,AD80)-1</f>
        <v>74</v>
      </c>
      <c r="AF80" s="24"/>
      <c r="AG80" s="24"/>
      <c r="AH80" s="24"/>
      <c r="AT80" s="24"/>
      <c r="AU80" s="31" t="str">
        <f>IF(ISBLANK(AT80),"",SUMIFS(Table1[Amount $],Table1[Merchant],Snapshot!AT80,Table1[Month],Snapshot!$W$4)*-1)</f>
        <v/>
      </c>
      <c r="AV80" s="24" t="str">
        <f>IF(ISBLANK(AT80),"",COUNTIFS(Table1[Merchant],Snapshot!AT80,Table1[Month],Snapshot!$W$4))</f>
        <v/>
      </c>
      <c r="AW80" s="24" t="str">
        <f>IFERROR(RANK(AV80,$AV$6:$AV$200)+COUNTIF($AV$6:AV80,AV80)-1,"")</f>
        <v/>
      </c>
      <c r="AX80" s="24" t="str">
        <f>IFERROR(RANK(AU80,$AU$6:$AU$200)+COUNTIF($AU$6:AU80,AU80)-1,"")</f>
        <v/>
      </c>
    </row>
    <row r="81" spans="22:50">
      <c r="V81" s="37" t="str">
        <f t="shared" si="8"/>
        <v>--</v>
      </c>
      <c r="W81" s="37"/>
      <c r="AC81" s="26"/>
      <c r="AD81" s="27">
        <f>SUMIFS(Table1[Amount $],Table1[Category],Snapshot!AC81,Table1[Month],Snapshot!$W$4)*-1</f>
        <v>0</v>
      </c>
      <c r="AE81" s="24">
        <f>RANK(AD81,$AD$6:$AD$35,0)+COUNTIF(AD$6:$AD81,AD81)-1</f>
        <v>75</v>
      </c>
      <c r="AF81" s="24"/>
      <c r="AG81" s="24"/>
      <c r="AH81" s="24"/>
      <c r="AT81" s="24"/>
      <c r="AU81" s="31" t="str">
        <f>IF(ISBLANK(AT81),"",SUMIFS(Table1[Amount $],Table1[Merchant],Snapshot!AT81,Table1[Month],Snapshot!$W$4)*-1)</f>
        <v/>
      </c>
      <c r="AV81" s="24" t="str">
        <f>IF(ISBLANK(AT81),"",COUNTIFS(Table1[Merchant],Snapshot!AT81,Table1[Month],Snapshot!$W$4))</f>
        <v/>
      </c>
      <c r="AW81" s="24" t="str">
        <f>IFERROR(RANK(AV81,$AV$6:$AV$200)+COUNTIF($AV$6:AV81,AV81)-1,"")</f>
        <v/>
      </c>
      <c r="AX81" s="24" t="str">
        <f>IFERROR(RANK(AU81,$AU$6:$AU$200)+COUNTIF($AU$6:AU81,AU81)-1,"")</f>
        <v/>
      </c>
    </row>
    <row r="82" spans="22:50">
      <c r="V82" s="37" t="str">
        <f t="shared" si="8"/>
        <v>--</v>
      </c>
      <c r="W82" s="37"/>
      <c r="AC82" s="26"/>
      <c r="AD82" s="27">
        <f>SUMIFS(Table1[Amount $],Table1[Category],Snapshot!AC82,Table1[Month],Snapshot!$W$4)*-1</f>
        <v>0</v>
      </c>
      <c r="AE82" s="24">
        <f>RANK(AD82,$AD$6:$AD$35,0)+COUNTIF(AD$6:$AD82,AD82)-1</f>
        <v>76</v>
      </c>
      <c r="AF82" s="24"/>
      <c r="AG82" s="24"/>
      <c r="AH82" s="24"/>
      <c r="AT82" s="24"/>
      <c r="AU82" s="31" t="str">
        <f>IF(ISBLANK(AT82),"",SUMIFS(Table1[Amount $],Table1[Merchant],Snapshot!AT82,Table1[Month],Snapshot!$W$4)*-1)</f>
        <v/>
      </c>
      <c r="AV82" s="24" t="str">
        <f>IF(ISBLANK(AT82),"",COUNTIFS(Table1[Merchant],Snapshot!AT82,Table1[Month],Snapshot!$W$4))</f>
        <v/>
      </c>
      <c r="AW82" s="24" t="str">
        <f>IFERROR(RANK(AV82,$AV$6:$AV$200)+COUNTIF($AV$6:AV82,AV82)-1,"")</f>
        <v/>
      </c>
      <c r="AX82" s="24" t="str">
        <f>IFERROR(RANK(AU82,$AU$6:$AU$200)+COUNTIF($AU$6:AU82,AU82)-1,"")</f>
        <v/>
      </c>
    </row>
    <row r="83" spans="22:50">
      <c r="V83" s="37" t="str">
        <f t="shared" si="8"/>
        <v>--</v>
      </c>
      <c r="W83" s="37"/>
      <c r="AC83" s="26"/>
      <c r="AD83" s="27">
        <f>SUMIFS(Table1[Amount $],Table1[Category],Snapshot!AC83,Table1[Month],Snapshot!$W$4)*-1</f>
        <v>0</v>
      </c>
      <c r="AE83" s="24">
        <f>RANK(AD83,$AD$6:$AD$35,0)+COUNTIF(AD$6:$AD83,AD83)-1</f>
        <v>77</v>
      </c>
      <c r="AF83" s="24"/>
      <c r="AG83" s="24"/>
      <c r="AH83" s="24"/>
      <c r="AT83" s="24"/>
      <c r="AU83" s="31" t="str">
        <f>IF(ISBLANK(AT83),"",SUMIFS(Table1[Amount $],Table1[Merchant],Snapshot!AT83,Table1[Month],Snapshot!$W$4)*-1)</f>
        <v/>
      </c>
      <c r="AV83" s="24" t="str">
        <f>IF(ISBLANK(AT83),"",COUNTIFS(Table1[Merchant],Snapshot!AT83,Table1[Month],Snapshot!$W$4))</f>
        <v/>
      </c>
      <c r="AW83" s="24" t="str">
        <f>IFERROR(RANK(AV83,$AV$6:$AV$200)+COUNTIF($AV$6:AV83,AV83)-1,"")</f>
        <v/>
      </c>
      <c r="AX83" s="24" t="str">
        <f>IFERROR(RANK(AU83,$AU$6:$AU$200)+COUNTIF($AU$6:AU83,AU83)-1,"")</f>
        <v/>
      </c>
    </row>
    <row r="84" spans="22:50">
      <c r="V84" s="37" t="str">
        <f t="shared" si="8"/>
        <v>--</v>
      </c>
      <c r="W84" s="37"/>
      <c r="AC84" s="26"/>
      <c r="AD84" s="27">
        <f>SUMIFS(Table1[Amount $],Table1[Category],Snapshot!AC84,Table1[Month],Snapshot!$W$4)*-1</f>
        <v>0</v>
      </c>
      <c r="AE84" s="24">
        <f>RANK(AD84,$AD$6:$AD$35,0)+COUNTIF(AD$6:$AD84,AD84)-1</f>
        <v>78</v>
      </c>
      <c r="AF84" s="24"/>
      <c r="AG84" s="24"/>
      <c r="AH84" s="24"/>
      <c r="AT84" s="24"/>
      <c r="AU84" s="31" t="str">
        <f>IF(ISBLANK(AT84),"",SUMIFS(Table1[Amount $],Table1[Merchant],Snapshot!AT84,Table1[Month],Snapshot!$W$4)*-1)</f>
        <v/>
      </c>
      <c r="AV84" s="24" t="str">
        <f>IF(ISBLANK(AT84),"",COUNTIFS(Table1[Merchant],Snapshot!AT84,Table1[Month],Snapshot!$W$4))</f>
        <v/>
      </c>
      <c r="AW84" s="24" t="str">
        <f>IFERROR(RANK(AV84,$AV$6:$AV$200)+COUNTIF($AV$6:AV84,AV84)-1,"")</f>
        <v/>
      </c>
      <c r="AX84" s="24" t="str">
        <f>IFERROR(RANK(AU84,$AU$6:$AU$200)+COUNTIF($AU$6:AU84,AU84)-1,"")</f>
        <v/>
      </c>
    </row>
    <row r="85" spans="22:50">
      <c r="V85" s="37" t="str">
        <f t="shared" si="8"/>
        <v>--</v>
      </c>
      <c r="W85" s="37"/>
      <c r="AC85" s="26"/>
      <c r="AD85" s="27">
        <f>SUMIFS(Table1[Amount $],Table1[Category],Snapshot!AC85,Table1[Month],Snapshot!$W$4)*-1</f>
        <v>0</v>
      </c>
      <c r="AE85" s="24">
        <f>RANK(AD85,$AD$6:$AD$35,0)+COUNTIF(AD$6:$AD85,AD85)-1</f>
        <v>79</v>
      </c>
      <c r="AF85" s="24"/>
      <c r="AG85" s="24"/>
      <c r="AH85" s="24"/>
      <c r="AT85" s="24"/>
      <c r="AU85" s="31" t="str">
        <f>IF(ISBLANK(AT85),"",SUMIFS(Table1[Amount $],Table1[Merchant],Snapshot!AT85,Table1[Month],Snapshot!$W$4)*-1)</f>
        <v/>
      </c>
      <c r="AV85" s="24" t="str">
        <f>IF(ISBLANK(AT85),"",COUNTIFS(Table1[Merchant],Snapshot!AT85,Table1[Month],Snapshot!$W$4))</f>
        <v/>
      </c>
      <c r="AW85" s="24" t="str">
        <f>IFERROR(RANK(AV85,$AV$6:$AV$200)+COUNTIF($AV$6:AV85,AV85)-1,"")</f>
        <v/>
      </c>
      <c r="AX85" s="24" t="str">
        <f>IFERROR(RANK(AU85,$AU$6:$AU$200)+COUNTIF($AU$6:AU85,AU85)-1,"")</f>
        <v/>
      </c>
    </row>
    <row r="86" spans="22:50">
      <c r="V86" s="37" t="str">
        <f t="shared" si="8"/>
        <v>--</v>
      </c>
      <c r="W86" s="37"/>
      <c r="AC86" s="26"/>
      <c r="AD86" s="27">
        <f>SUMIFS(Table1[Amount $],Table1[Category],Snapshot!AC86,Table1[Month],Snapshot!$W$4)*-1</f>
        <v>0</v>
      </c>
      <c r="AE86" s="24">
        <f>RANK(AD86,$AD$6:$AD$35,0)+COUNTIF(AD$6:$AD86,AD86)-1</f>
        <v>80</v>
      </c>
      <c r="AF86" s="24"/>
      <c r="AG86" s="24"/>
      <c r="AH86" s="24"/>
      <c r="AT86" s="24"/>
      <c r="AU86" s="31" t="str">
        <f>IF(ISBLANK(AT86),"",SUMIFS(Table1[Amount $],Table1[Merchant],Snapshot!AT86,Table1[Month],Snapshot!$W$4)*-1)</f>
        <v/>
      </c>
      <c r="AV86" s="24" t="str">
        <f>IF(ISBLANK(AT86),"",COUNTIFS(Table1[Merchant],Snapshot!AT86,Table1[Month],Snapshot!$W$4))</f>
        <v/>
      </c>
      <c r="AW86" s="24" t="str">
        <f>IFERROR(RANK(AV86,$AV$6:$AV$200)+COUNTIF($AV$6:AV86,AV86)-1,"")</f>
        <v/>
      </c>
      <c r="AX86" s="24" t="str">
        <f>IFERROR(RANK(AU86,$AU$6:$AU$200)+COUNTIF($AU$6:AU86,AU86)-1,"")</f>
        <v/>
      </c>
    </row>
    <row r="87" spans="22:50">
      <c r="V87" s="37" t="str">
        <f t="shared" si="8"/>
        <v>--</v>
      </c>
      <c r="W87" s="37"/>
      <c r="AC87" s="26"/>
      <c r="AD87" s="27">
        <f>SUMIFS(Table1[Amount $],Table1[Category],Snapshot!AC87,Table1[Month],Snapshot!$W$4)*-1</f>
        <v>0</v>
      </c>
      <c r="AE87" s="24">
        <f>RANK(AD87,$AD$6:$AD$35,0)+COUNTIF(AD$6:$AD87,AD87)-1</f>
        <v>81</v>
      </c>
      <c r="AF87" s="24"/>
      <c r="AG87" s="24"/>
      <c r="AH87" s="24"/>
      <c r="AT87" s="24"/>
      <c r="AU87" s="31" t="str">
        <f>IF(ISBLANK(AT87),"",SUMIFS(Table1[Amount $],Table1[Merchant],Snapshot!AT87,Table1[Month],Snapshot!$W$4)*-1)</f>
        <v/>
      </c>
      <c r="AV87" s="24" t="str">
        <f>IF(ISBLANK(AT87),"",COUNTIFS(Table1[Merchant],Snapshot!AT87,Table1[Month],Snapshot!$W$4))</f>
        <v/>
      </c>
      <c r="AW87" s="24" t="str">
        <f>IFERROR(RANK(AV87,$AV$6:$AV$200)+COUNTIF($AV$6:AV87,AV87)-1,"")</f>
        <v/>
      </c>
      <c r="AX87" s="24" t="str">
        <f>IFERROR(RANK(AU87,$AU$6:$AU$200)+COUNTIF($AU$6:AU87,AU87)-1,"")</f>
        <v/>
      </c>
    </row>
    <row r="88" spans="22:50">
      <c r="V88" s="37" t="str">
        <f t="shared" si="8"/>
        <v>--</v>
      </c>
      <c r="W88" s="37"/>
      <c r="AC88" s="26"/>
      <c r="AD88" s="27">
        <f>SUMIFS(Table1[Amount $],Table1[Category],Snapshot!AC88,Table1[Month],Snapshot!$W$4)*-1</f>
        <v>0</v>
      </c>
      <c r="AE88" s="24">
        <f>RANK(AD88,$AD$6:$AD$35,0)+COUNTIF(AD$6:$AD88,AD88)-1</f>
        <v>82</v>
      </c>
      <c r="AF88" s="24"/>
      <c r="AG88" s="24"/>
      <c r="AH88" s="24"/>
      <c r="AT88" s="24"/>
      <c r="AU88" s="31" t="str">
        <f>IF(ISBLANK(AT88),"",SUMIFS(Table1[Amount $],Table1[Merchant],Snapshot!AT88,Table1[Month],Snapshot!$W$4)*-1)</f>
        <v/>
      </c>
      <c r="AV88" s="24" t="str">
        <f>IF(ISBLANK(AT88),"",COUNTIFS(Table1[Merchant],Snapshot!AT88,Table1[Month],Snapshot!$W$4))</f>
        <v/>
      </c>
      <c r="AW88" s="24" t="str">
        <f>IFERROR(RANK(AV88,$AV$6:$AV$200)+COUNTIF($AV$6:AV88,AV88)-1,"")</f>
        <v/>
      </c>
      <c r="AX88" s="24" t="str">
        <f>IFERROR(RANK(AU88,$AU$6:$AU$200)+COUNTIF($AU$6:AU88,AU88)-1,"")</f>
        <v/>
      </c>
    </row>
    <row r="89" spans="22:50">
      <c r="V89" s="37" t="str">
        <f t="shared" si="8"/>
        <v>--</v>
      </c>
      <c r="W89" s="37"/>
      <c r="AC89" s="26"/>
      <c r="AD89" s="27">
        <f>SUMIFS(Table1[Amount $],Table1[Category],Snapshot!AC89,Table1[Month],Snapshot!$W$4)*-1</f>
        <v>0</v>
      </c>
      <c r="AE89" s="24">
        <f>RANK(AD89,$AD$6:$AD$35,0)+COUNTIF(AD$6:$AD89,AD89)-1</f>
        <v>83</v>
      </c>
      <c r="AF89" s="24"/>
      <c r="AG89" s="24"/>
      <c r="AH89" s="24"/>
      <c r="AT89" s="24"/>
      <c r="AU89" s="31" t="str">
        <f>IF(ISBLANK(AT89),"",SUMIFS(Table1[Amount $],Table1[Merchant],Snapshot!AT89,Table1[Month],Snapshot!$W$4)*-1)</f>
        <v/>
      </c>
      <c r="AV89" s="24" t="str">
        <f>IF(ISBLANK(AT89),"",COUNTIFS(Table1[Merchant],Snapshot!AT89,Table1[Month],Snapshot!$W$4))</f>
        <v/>
      </c>
      <c r="AW89" s="24" t="str">
        <f>IFERROR(RANK(AV89,$AV$6:$AV$200)+COUNTIF($AV$6:AV89,AV89)-1,"")</f>
        <v/>
      </c>
      <c r="AX89" s="24" t="str">
        <f>IFERROR(RANK(AU89,$AU$6:$AU$200)+COUNTIF($AU$6:AU89,AU89)-1,"")</f>
        <v/>
      </c>
    </row>
    <row r="90" spans="22:50">
      <c r="V90" s="37" t="str">
        <f t="shared" si="8"/>
        <v>--</v>
      </c>
      <c r="W90" s="37"/>
      <c r="AC90" s="26"/>
      <c r="AD90" s="27">
        <f>SUMIFS(Table1[Amount $],Table1[Category],Snapshot!AC90,Table1[Month],Snapshot!$W$4)*-1</f>
        <v>0</v>
      </c>
      <c r="AE90" s="24">
        <f>RANK(AD90,$AD$6:$AD$35,0)+COUNTIF(AD$6:$AD90,AD90)-1</f>
        <v>84</v>
      </c>
      <c r="AF90" s="24"/>
      <c r="AG90" s="24"/>
      <c r="AH90" s="24"/>
      <c r="AT90" s="24"/>
      <c r="AU90" s="31" t="str">
        <f>IF(ISBLANK(AT90),"",SUMIFS(Table1[Amount $],Table1[Merchant],Snapshot!AT90,Table1[Month],Snapshot!$W$4)*-1)</f>
        <v/>
      </c>
      <c r="AV90" s="24" t="str">
        <f>IF(ISBLANK(AT90),"",COUNTIFS(Table1[Merchant],Snapshot!AT90,Table1[Month],Snapshot!$W$4))</f>
        <v/>
      </c>
      <c r="AW90" s="24" t="str">
        <f>IFERROR(RANK(AV90,$AV$6:$AV$200)+COUNTIF($AV$6:AV90,AV90)-1,"")</f>
        <v/>
      </c>
      <c r="AX90" s="24" t="str">
        <f>IFERROR(RANK(AU90,$AU$6:$AU$200)+COUNTIF($AU$6:AU90,AU90)-1,"")</f>
        <v/>
      </c>
    </row>
    <row r="91" spans="22:50">
      <c r="V91" s="37" t="str">
        <f t="shared" si="8"/>
        <v>--</v>
      </c>
      <c r="W91" s="37"/>
      <c r="AC91" s="26"/>
      <c r="AD91" s="27">
        <f>SUMIFS(Table1[Amount $],Table1[Category],Snapshot!AC91,Table1[Month],Snapshot!$W$4)*-1</f>
        <v>0</v>
      </c>
      <c r="AE91" s="24">
        <f>RANK(AD91,$AD$6:$AD$35,0)+COUNTIF(AD$6:$AD91,AD91)-1</f>
        <v>85</v>
      </c>
      <c r="AF91" s="24"/>
      <c r="AG91" s="24"/>
      <c r="AH91" s="24"/>
      <c r="AT91" s="24"/>
      <c r="AU91" s="31" t="str">
        <f>IF(ISBLANK(AT91),"",SUMIFS(Table1[Amount $],Table1[Merchant],Snapshot!AT91,Table1[Month],Snapshot!$W$4)*-1)</f>
        <v/>
      </c>
      <c r="AV91" s="24" t="str">
        <f>IF(ISBLANK(AT91),"",COUNTIFS(Table1[Merchant],Snapshot!AT91,Table1[Month],Snapshot!$W$4))</f>
        <v/>
      </c>
      <c r="AW91" s="24" t="str">
        <f>IFERROR(RANK(AV91,$AV$6:$AV$200)+COUNTIF($AV$6:AV91,AV91)-1,"")</f>
        <v/>
      </c>
      <c r="AX91" s="24" t="str">
        <f>IFERROR(RANK(AU91,$AU$6:$AU$200)+COUNTIF($AU$6:AU91,AU91)-1,"")</f>
        <v/>
      </c>
    </row>
    <row r="92" spans="22:50">
      <c r="V92" s="37" t="str">
        <f t="shared" si="8"/>
        <v>--</v>
      </c>
      <c r="W92" s="37"/>
      <c r="AC92" s="26"/>
      <c r="AD92" s="27">
        <f>SUMIFS(Table1[Amount $],Table1[Category],Snapshot!AC92,Table1[Month],Snapshot!$W$4)*-1</f>
        <v>0</v>
      </c>
      <c r="AE92" s="24">
        <f>RANK(AD92,$AD$6:$AD$35,0)+COUNTIF(AD$6:$AD92,AD92)-1</f>
        <v>86</v>
      </c>
      <c r="AF92" s="24"/>
      <c r="AG92" s="24"/>
      <c r="AH92" s="24"/>
      <c r="AT92" s="24"/>
      <c r="AU92" s="31" t="str">
        <f>IF(ISBLANK(AT92),"",SUMIFS(Table1[Amount $],Table1[Merchant],Snapshot!AT92,Table1[Month],Snapshot!$W$4)*-1)</f>
        <v/>
      </c>
      <c r="AV92" s="24" t="str">
        <f>IF(ISBLANK(AT92),"",COUNTIFS(Table1[Merchant],Snapshot!AT92,Table1[Month],Snapshot!$W$4))</f>
        <v/>
      </c>
      <c r="AW92" s="24" t="str">
        <f>IFERROR(RANK(AV92,$AV$6:$AV$200)+COUNTIF($AV$6:AV92,AV92)-1,"")</f>
        <v/>
      </c>
      <c r="AX92" s="24" t="str">
        <f>IFERROR(RANK(AU92,$AU$6:$AU$200)+COUNTIF($AU$6:AU92,AU92)-1,"")</f>
        <v/>
      </c>
    </row>
    <row r="93" spans="22:50">
      <c r="V93" s="37" t="str">
        <f t="shared" si="8"/>
        <v>--</v>
      </c>
      <c r="W93" s="37"/>
      <c r="AC93" s="26"/>
      <c r="AD93" s="27">
        <f>SUMIFS(Table1[Amount $],Table1[Category],Snapshot!AC93,Table1[Month],Snapshot!$W$4)*-1</f>
        <v>0</v>
      </c>
      <c r="AE93" s="24">
        <f>RANK(AD93,$AD$6:$AD$35,0)+COUNTIF(AD$6:$AD93,AD93)-1</f>
        <v>87</v>
      </c>
      <c r="AF93" s="24"/>
      <c r="AG93" s="24"/>
      <c r="AH93" s="24"/>
      <c r="AT93" s="24"/>
      <c r="AU93" s="31" t="str">
        <f>IF(ISBLANK(AT93),"",SUMIFS(Table1[Amount $],Table1[Merchant],Snapshot!AT93,Table1[Month],Snapshot!$W$4)*-1)</f>
        <v/>
      </c>
      <c r="AV93" s="24" t="str">
        <f>IF(ISBLANK(AT93),"",COUNTIFS(Table1[Merchant],Snapshot!AT93,Table1[Month],Snapshot!$W$4))</f>
        <v/>
      </c>
      <c r="AW93" s="24" t="str">
        <f>IFERROR(RANK(AV93,$AV$6:$AV$200)+COUNTIF($AV$6:AV93,AV93)-1,"")</f>
        <v/>
      </c>
      <c r="AX93" s="24" t="str">
        <f>IFERROR(RANK(AU93,$AU$6:$AU$200)+COUNTIF($AU$6:AU93,AU93)-1,"")</f>
        <v/>
      </c>
    </row>
    <row r="94" spans="22:50">
      <c r="V94" s="37" t="str">
        <f t="shared" si="8"/>
        <v>--</v>
      </c>
      <c r="W94" s="37"/>
      <c r="AC94" s="26"/>
      <c r="AD94" s="27">
        <f>SUMIFS(Table1[Amount $],Table1[Category],Snapshot!AC94,Table1[Month],Snapshot!$W$4)*-1</f>
        <v>0</v>
      </c>
      <c r="AE94" s="24">
        <f>RANK(AD94,$AD$6:$AD$35,0)+COUNTIF(AD$6:$AD94,AD94)-1</f>
        <v>88</v>
      </c>
      <c r="AF94" s="24"/>
      <c r="AG94" s="24"/>
      <c r="AH94" s="24"/>
      <c r="AT94" s="24"/>
      <c r="AU94" s="31" t="str">
        <f>IF(ISBLANK(AT94),"",SUMIFS(Table1[Amount $],Table1[Merchant],Snapshot!AT94,Table1[Month],Snapshot!$W$4)*-1)</f>
        <v/>
      </c>
      <c r="AV94" s="24" t="str">
        <f>IF(ISBLANK(AT94),"",COUNTIFS(Table1[Merchant],Snapshot!AT94,Table1[Month],Snapshot!$W$4))</f>
        <v/>
      </c>
      <c r="AW94" s="24" t="str">
        <f>IFERROR(RANK(AV94,$AV$6:$AV$200)+COUNTIF($AV$6:AV94,AV94)-1,"")</f>
        <v/>
      </c>
      <c r="AX94" s="24" t="str">
        <f>IFERROR(RANK(AU94,$AU$6:$AU$200)+COUNTIF($AU$6:AU94,AU94)-1,"")</f>
        <v/>
      </c>
    </row>
    <row r="95" spans="22:50">
      <c r="V95" s="37" t="str">
        <f t="shared" si="8"/>
        <v>--</v>
      </c>
      <c r="W95" s="37"/>
      <c r="AC95" s="26"/>
      <c r="AD95" s="27">
        <f>SUMIFS(Table1[Amount $],Table1[Category],Snapshot!AC95,Table1[Month],Snapshot!$W$4)*-1</f>
        <v>0</v>
      </c>
      <c r="AE95" s="24">
        <f>RANK(AD95,$AD$6:$AD$35,0)+COUNTIF(AD$6:$AD95,AD95)-1</f>
        <v>89</v>
      </c>
      <c r="AF95" s="24"/>
      <c r="AG95" s="24"/>
      <c r="AH95" s="24"/>
      <c r="AT95" s="24"/>
      <c r="AU95" s="31" t="str">
        <f>IF(ISBLANK(AT95),"",SUMIFS(Table1[Amount $],Table1[Merchant],Snapshot!AT95,Table1[Month],Snapshot!$W$4)*-1)</f>
        <v/>
      </c>
      <c r="AV95" s="24" t="str">
        <f>IF(ISBLANK(AT95),"",COUNTIFS(Table1[Merchant],Snapshot!AT95,Table1[Month],Snapshot!$W$4))</f>
        <v/>
      </c>
      <c r="AW95" s="24" t="str">
        <f>IFERROR(RANK(AV95,$AV$6:$AV$200)+COUNTIF($AV$6:AV95,AV95)-1,"")</f>
        <v/>
      </c>
      <c r="AX95" s="24" t="str">
        <f>IFERROR(RANK(AU95,$AU$6:$AU$200)+COUNTIF($AU$6:AU95,AU95)-1,"")</f>
        <v/>
      </c>
    </row>
    <row r="96" spans="22:50">
      <c r="V96" s="37" t="str">
        <f t="shared" si="8"/>
        <v>--</v>
      </c>
      <c r="W96" s="37"/>
      <c r="AC96" s="26"/>
      <c r="AD96" s="27">
        <f>SUMIFS(Table1[Amount $],Table1[Category],Snapshot!AC96,Table1[Month],Snapshot!$W$4)*-1</f>
        <v>0</v>
      </c>
      <c r="AE96" s="24">
        <f>RANK(AD96,$AD$6:$AD$35,0)+COUNTIF(AD$6:$AD96,AD96)-1</f>
        <v>90</v>
      </c>
      <c r="AF96" s="24"/>
      <c r="AG96" s="24"/>
      <c r="AH96" s="24"/>
      <c r="AT96" s="24"/>
      <c r="AU96" s="31" t="str">
        <f>IF(ISBLANK(AT96),"",SUMIFS(Table1[Amount $],Table1[Merchant],Snapshot!AT96,Table1[Month],Snapshot!$W$4)*-1)</f>
        <v/>
      </c>
      <c r="AV96" s="24" t="str">
        <f>IF(ISBLANK(AT96),"",COUNTIFS(Table1[Merchant],Snapshot!AT96,Table1[Month],Snapshot!$W$4))</f>
        <v/>
      </c>
      <c r="AW96" s="24" t="str">
        <f>IFERROR(RANK(AV96,$AV$6:$AV$200)+COUNTIF($AV$6:AV96,AV96)-1,"")</f>
        <v/>
      </c>
      <c r="AX96" s="24" t="str">
        <f>IFERROR(RANK(AU96,$AU$6:$AU$200)+COUNTIF($AU$6:AU96,AU96)-1,"")</f>
        <v/>
      </c>
    </row>
    <row r="97" spans="22:50">
      <c r="V97" s="37" t="str">
        <f t="shared" si="8"/>
        <v>--</v>
      </c>
      <c r="W97" s="37"/>
      <c r="AC97" s="26"/>
      <c r="AD97" s="27">
        <f>SUMIFS(Table1[Amount $],Table1[Category],Snapshot!AC97,Table1[Month],Snapshot!$W$4)*-1</f>
        <v>0</v>
      </c>
      <c r="AE97" s="24">
        <f>RANK(AD97,$AD$6:$AD$35,0)+COUNTIF(AD$6:$AD97,AD97)-1</f>
        <v>91</v>
      </c>
      <c r="AF97" s="24"/>
      <c r="AG97" s="24"/>
      <c r="AH97" s="24"/>
      <c r="AT97" s="24"/>
      <c r="AU97" s="31" t="str">
        <f>IF(ISBLANK(AT97),"",SUMIFS(Table1[Amount $],Table1[Merchant],Snapshot!AT97,Table1[Month],Snapshot!$W$4)*-1)</f>
        <v/>
      </c>
      <c r="AV97" s="24" t="str">
        <f>IF(ISBLANK(AT97),"",COUNTIFS(Table1[Merchant],Snapshot!AT97,Table1[Month],Snapshot!$W$4))</f>
        <v/>
      </c>
      <c r="AW97" s="24" t="str">
        <f>IFERROR(RANK(AV97,$AV$6:$AV$200)+COUNTIF($AV$6:AV97,AV97)-1,"")</f>
        <v/>
      </c>
      <c r="AX97" s="24" t="str">
        <f>IFERROR(RANK(AU97,$AU$6:$AU$200)+COUNTIF($AU$6:AU97,AU97)-1,"")</f>
        <v/>
      </c>
    </row>
    <row r="98" spans="22:50">
      <c r="V98" s="37" t="str">
        <f t="shared" si="8"/>
        <v>--</v>
      </c>
      <c r="W98" s="37"/>
      <c r="AC98" s="26"/>
      <c r="AD98" s="27">
        <f>SUMIFS(Table1[Amount $],Table1[Category],Snapshot!AC98,Table1[Month],Snapshot!$W$4)*-1</f>
        <v>0</v>
      </c>
      <c r="AE98" s="24">
        <f>RANK(AD98,$AD$6:$AD$35,0)+COUNTIF(AD$6:$AD98,AD98)-1</f>
        <v>92</v>
      </c>
      <c r="AF98" s="24"/>
      <c r="AG98" s="24"/>
      <c r="AH98" s="24"/>
      <c r="AT98" s="24"/>
      <c r="AU98" s="31" t="str">
        <f>IF(ISBLANK(AT98),"",SUMIFS(Table1[Amount $],Table1[Merchant],Snapshot!AT98,Table1[Month],Snapshot!$W$4)*-1)</f>
        <v/>
      </c>
      <c r="AV98" s="24" t="str">
        <f>IF(ISBLANK(AT98),"",COUNTIFS(Table1[Merchant],Snapshot!AT98,Table1[Month],Snapshot!$W$4))</f>
        <v/>
      </c>
      <c r="AW98" s="24" t="str">
        <f>IFERROR(RANK(AV98,$AV$6:$AV$200)+COUNTIF($AV$6:AV98,AV98)-1,"")</f>
        <v/>
      </c>
      <c r="AX98" s="24" t="str">
        <f>IFERROR(RANK(AU98,$AU$6:$AU$200)+COUNTIF($AU$6:AU98,AU98)-1,"")</f>
        <v/>
      </c>
    </row>
    <row r="99" spans="22:50">
      <c r="V99" s="37" t="str">
        <f t="shared" si="8"/>
        <v>--</v>
      </c>
      <c r="W99" s="37"/>
      <c r="AC99" s="26"/>
      <c r="AD99" s="27"/>
      <c r="AE99" s="24"/>
      <c r="AF99" s="24"/>
      <c r="AG99" s="24"/>
      <c r="AH99" s="24"/>
      <c r="AT99" s="24"/>
      <c r="AU99" s="31" t="str">
        <f>IF(ISBLANK(AT99),"",SUMIFS(Table1[Amount $],Table1[Merchant],Snapshot!AT99,Table1[Month],Snapshot!$W$4)*-1)</f>
        <v/>
      </c>
      <c r="AV99" s="24" t="str">
        <f>IF(ISBLANK(AT99),"",COUNTIFS(Table1[Merchant],Snapshot!AT99,Table1[Month],Snapshot!$W$4))</f>
        <v/>
      </c>
      <c r="AW99" s="24" t="str">
        <f>IFERROR(RANK(AV99,$AV$6:$AV$200)+COUNTIF($AV$6:AV99,AV99)-1,"")</f>
        <v/>
      </c>
      <c r="AX99" s="24" t="str">
        <f>IFERROR(RANK(AU99,$AU$6:$AU$200)+COUNTIF($AU$6:AU99,AU99)-1,"")</f>
        <v/>
      </c>
    </row>
    <row r="100" spans="22:50">
      <c r="V100" s="37" t="str">
        <f t="shared" ref="V100:V105" si="9">IF(ISBLANK(W100),"--",TEXT(W100,"mmmm")&amp;" "&amp;TEXT(W100,"YYYY"))</f>
        <v>--</v>
      </c>
      <c r="W100" s="37"/>
      <c r="AC100" s="26"/>
      <c r="AD100" s="27"/>
      <c r="AE100" s="24"/>
      <c r="AF100" s="24"/>
      <c r="AG100" s="24"/>
      <c r="AH100" s="24"/>
      <c r="AT100" s="24"/>
      <c r="AU100" s="31" t="str">
        <f>IF(ISBLANK(AT100),"",SUMIFS(Table1[Amount $],Table1[Merchant],Snapshot!AT100,Table1[Month],Snapshot!$W$4)*-1)</f>
        <v/>
      </c>
      <c r="AV100" s="24" t="str">
        <f>IF(ISBLANK(AT100),"",COUNTIFS(Table1[Merchant],Snapshot!AT100,Table1[Month],Snapshot!$W$4))</f>
        <v/>
      </c>
      <c r="AW100" s="24" t="str">
        <f>IFERROR(RANK(AV100,$AV$6:$AV$200)+COUNTIF($AV$6:AV100,AV100)-1,"")</f>
        <v/>
      </c>
      <c r="AX100" s="24" t="str">
        <f>IFERROR(RANK(AU100,$AU$6:$AU$200)+COUNTIF($AU$6:AU100,AU100)-1,"")</f>
        <v/>
      </c>
    </row>
    <row r="101" spans="22:50">
      <c r="V101" s="37" t="str">
        <f t="shared" si="9"/>
        <v>--</v>
      </c>
      <c r="W101" s="37"/>
      <c r="AC101" s="26"/>
      <c r="AD101" s="27"/>
      <c r="AE101" s="24"/>
      <c r="AF101" s="24"/>
      <c r="AG101" s="24"/>
      <c r="AH101" s="24"/>
      <c r="AT101" s="24"/>
      <c r="AU101" s="31" t="str">
        <f>IF(ISBLANK(AT101),"",SUMIFS(Table1[Amount $],Table1[Merchant],Snapshot!AT101,Table1[Month],Snapshot!$W$4)*-1)</f>
        <v/>
      </c>
      <c r="AV101" s="24" t="str">
        <f>IF(ISBLANK(AT101),"",COUNTIFS(Table1[Merchant],Snapshot!AT101,Table1[Month],Snapshot!$W$4))</f>
        <v/>
      </c>
      <c r="AW101" s="24" t="str">
        <f>IFERROR(RANK(AV101,$AV$6:$AV$200)+COUNTIF($AV$6:AV101,AV101)-1,"")</f>
        <v/>
      </c>
      <c r="AX101" s="24" t="str">
        <f>IFERROR(RANK(AU101,$AU$6:$AU$200)+COUNTIF($AU$6:AU101,AU101)-1,"")</f>
        <v/>
      </c>
    </row>
    <row r="102" spans="22:50">
      <c r="V102" s="37" t="str">
        <f t="shared" si="9"/>
        <v>--</v>
      </c>
      <c r="W102" s="37"/>
      <c r="AC102" s="26"/>
      <c r="AD102" s="27"/>
      <c r="AE102" s="24"/>
      <c r="AF102" s="24"/>
      <c r="AG102" s="24"/>
      <c r="AH102" s="24"/>
      <c r="AT102" s="24"/>
      <c r="AU102" s="31" t="str">
        <f>IF(ISBLANK(AT102),"",SUMIFS(Table1[Amount $],Table1[Merchant],Snapshot!AT102,Table1[Month],Snapshot!$W$4)*-1)</f>
        <v/>
      </c>
      <c r="AV102" s="24" t="str">
        <f>IF(ISBLANK(AT102),"",COUNTIFS(Table1[Merchant],Snapshot!AT102,Table1[Month],Snapshot!$W$4))</f>
        <v/>
      </c>
      <c r="AW102" s="24" t="str">
        <f>IFERROR(RANK(AV102,$AV$6:$AV$200)+COUNTIF($AV$6:AV102,AV102)-1,"")</f>
        <v/>
      </c>
      <c r="AX102" s="24" t="str">
        <f>IFERROR(RANK(AU102,$AU$6:$AU$200)+COUNTIF($AU$6:AU102,AU102)-1,"")</f>
        <v/>
      </c>
    </row>
    <row r="103" spans="22:50">
      <c r="V103" s="37" t="str">
        <f t="shared" si="9"/>
        <v>--</v>
      </c>
      <c r="W103" s="37"/>
      <c r="AC103" s="26"/>
      <c r="AD103" s="27"/>
      <c r="AE103" s="24"/>
      <c r="AF103" s="24"/>
      <c r="AG103" s="24"/>
      <c r="AH103" s="24"/>
      <c r="AT103" s="24"/>
      <c r="AU103" s="31" t="str">
        <f>IF(ISBLANK(AT103),"",SUMIFS(Table1[Amount $],Table1[Merchant],Snapshot!AT103,Table1[Month],Snapshot!$W$4)*-1)</f>
        <v/>
      </c>
      <c r="AV103" s="24" t="str">
        <f>IF(ISBLANK(AT103),"",COUNTIFS(Table1[Merchant],Snapshot!AT103,Table1[Month],Snapshot!$W$4))</f>
        <v/>
      </c>
      <c r="AW103" s="24" t="str">
        <f>IFERROR(RANK(AV103,$AV$6:$AV$200)+COUNTIF($AV$6:AV103,AV103)-1,"")</f>
        <v/>
      </c>
      <c r="AX103" s="24" t="str">
        <f>IFERROR(RANK(AU103,$AU$6:$AU$200)+COUNTIF($AU$6:AU103,AU103)-1,"")</f>
        <v/>
      </c>
    </row>
    <row r="104" spans="22:50">
      <c r="V104" s="37" t="str">
        <f t="shared" si="9"/>
        <v>--</v>
      </c>
      <c r="W104" s="37"/>
      <c r="AC104" s="26"/>
      <c r="AD104" s="27"/>
      <c r="AE104" s="24"/>
      <c r="AF104" s="24"/>
      <c r="AG104" s="24"/>
      <c r="AH104" s="24"/>
      <c r="AT104" s="24"/>
      <c r="AU104" s="31" t="str">
        <f>IF(ISBLANK(AT104),"",SUMIFS(Table1[Amount $],Table1[Merchant],Snapshot!AT104,Table1[Month],Snapshot!$W$4)*-1)</f>
        <v/>
      </c>
      <c r="AV104" s="24" t="str">
        <f>IF(ISBLANK(AT104),"",COUNTIFS(Table1[Merchant],Snapshot!AT104,Table1[Month],Snapshot!$W$4))</f>
        <v/>
      </c>
      <c r="AW104" s="24" t="str">
        <f>IFERROR(RANK(AV104,$AV$6:$AV$200)+COUNTIF($AV$6:AV104,AV104)-1,"")</f>
        <v/>
      </c>
      <c r="AX104" s="24" t="str">
        <f>IFERROR(RANK(AU104,$AU$6:$AU$200)+COUNTIF($AU$6:AU104,AU104)-1,"")</f>
        <v/>
      </c>
    </row>
    <row r="105" spans="22:50">
      <c r="V105" s="37" t="str">
        <f t="shared" si="9"/>
        <v>--</v>
      </c>
      <c r="W105" s="37"/>
      <c r="AC105" s="26"/>
      <c r="AD105" s="27"/>
      <c r="AE105" s="24"/>
      <c r="AF105" s="24"/>
      <c r="AG105" s="24"/>
      <c r="AH105" s="24"/>
      <c r="AT105" s="24"/>
      <c r="AU105" s="31" t="str">
        <f>IF(ISBLANK(AT105),"",SUMIFS(Table1[Amount $],Table1[Merchant],Snapshot!AT105,Table1[Month],Snapshot!$W$4)*-1)</f>
        <v/>
      </c>
      <c r="AV105" s="24" t="str">
        <f>IF(ISBLANK(AT105),"",COUNTIFS(Table1[Merchant],Snapshot!AT105,Table1[Month],Snapshot!$W$4))</f>
        <v/>
      </c>
      <c r="AW105" s="24" t="str">
        <f>IFERROR(RANK(AV105,$AV$6:$AV$200)+COUNTIF($AV$6:AV105,AV105)-1,"")</f>
        <v/>
      </c>
      <c r="AX105" s="24" t="str">
        <f>IFERROR(RANK(AU105,$AU$6:$AU$200)+COUNTIF($AU$6:AU105,AU105)-1,"")</f>
        <v/>
      </c>
    </row>
    <row r="106" spans="22:50">
      <c r="V106" s="37" t="str">
        <f t="shared" ref="V106:V169" si="10">IF(ISBLANK(W106),"--",TEXT(W106,"mmmm")&amp;" "&amp;TEXT(W106,"YYYY"))</f>
        <v>--</v>
      </c>
      <c r="W106" s="37"/>
      <c r="AT106" s="24"/>
      <c r="AU106" s="31" t="str">
        <f>IF(ISBLANK(AT106),"",SUMIFS(Table1[Amount $],Table1[Merchant],Snapshot!AT106,Table1[Month],Snapshot!$W$4)*-1)</f>
        <v/>
      </c>
      <c r="AV106" s="24" t="str">
        <f>IF(ISBLANK(AT106),"",COUNTIFS(Table1[Merchant],Snapshot!AT106,Table1[Month],Snapshot!$W$4))</f>
        <v/>
      </c>
      <c r="AW106" s="24" t="str">
        <f>IFERROR(RANK(AV106,$AV$6:$AV$200)+COUNTIF($AV$6:AV106,AV106)-1,"")</f>
        <v/>
      </c>
      <c r="AX106" s="24" t="str">
        <f>IFERROR(RANK(AU106,$AU$6:$AU$200)+COUNTIF($AU$6:AU106,AU106)-1,"")</f>
        <v/>
      </c>
    </row>
    <row r="107" spans="22:50">
      <c r="V107" s="37" t="str">
        <f t="shared" si="10"/>
        <v>--</v>
      </c>
      <c r="W107" s="37"/>
      <c r="AT107" s="24"/>
      <c r="AU107" s="31" t="str">
        <f>IF(ISBLANK(AT107),"",SUMIFS(Table1[Amount $],Table1[Merchant],Snapshot!AT107,Table1[Month],Snapshot!$W$4)*-1)</f>
        <v/>
      </c>
      <c r="AV107" s="24" t="str">
        <f>IF(ISBLANK(AT107),"",COUNTIFS(Table1[Merchant],Snapshot!AT107,Table1[Month],Snapshot!$W$4))</f>
        <v/>
      </c>
      <c r="AW107" s="24" t="str">
        <f>IFERROR(RANK(AV107,$AV$6:$AV$200)+COUNTIF($AV$6:AV107,AV107)-1,"")</f>
        <v/>
      </c>
      <c r="AX107" s="24" t="str">
        <f>IFERROR(RANK(AU107,$AU$6:$AU$200)+COUNTIF($AU$6:AU107,AU107)-1,"")</f>
        <v/>
      </c>
    </row>
    <row r="108" spans="22:50">
      <c r="V108" s="37" t="str">
        <f t="shared" si="10"/>
        <v>--</v>
      </c>
      <c r="W108" s="37"/>
      <c r="AT108" s="24"/>
      <c r="AU108" s="31" t="str">
        <f>IF(ISBLANK(AT108),"",SUMIFS(Table1[Amount $],Table1[Merchant],Snapshot!AT108,Table1[Month],Snapshot!$W$4)*-1)</f>
        <v/>
      </c>
      <c r="AV108" s="24" t="str">
        <f>IF(ISBLANK(AT108),"",COUNTIFS(Table1[Merchant],Snapshot!AT108,Table1[Month],Snapshot!$W$4))</f>
        <v/>
      </c>
      <c r="AW108" s="24" t="str">
        <f>IFERROR(RANK(AV108,$AV$6:$AV$200)+COUNTIF($AV$6:AV108,AV108)-1,"")</f>
        <v/>
      </c>
      <c r="AX108" s="24" t="str">
        <f>IFERROR(RANK(AU108,$AU$6:$AU$200)+COUNTIF($AU$6:AU108,AU108)-1,"")</f>
        <v/>
      </c>
    </row>
    <row r="109" spans="22:50">
      <c r="V109" s="37" t="str">
        <f t="shared" si="10"/>
        <v>--</v>
      </c>
      <c r="W109" s="37"/>
      <c r="AT109" s="24"/>
      <c r="AU109" s="31" t="str">
        <f>IF(ISBLANK(AT109),"",SUMIFS(Table1[Amount $],Table1[Merchant],Snapshot!AT109,Table1[Month],Snapshot!$W$4)*-1)</f>
        <v/>
      </c>
      <c r="AV109" s="24" t="str">
        <f>IF(ISBLANK(AT109),"",COUNTIFS(Table1[Merchant],Snapshot!AT109,Table1[Month],Snapshot!$W$4))</f>
        <v/>
      </c>
      <c r="AW109" s="24" t="str">
        <f>IFERROR(RANK(AV109,$AV$6:$AV$200)+COUNTIF($AV$6:AV109,AV109)-1,"")</f>
        <v/>
      </c>
      <c r="AX109" s="24" t="str">
        <f>IFERROR(RANK(AU109,$AU$6:$AU$200)+COUNTIF($AU$6:AU109,AU109)-1,"")</f>
        <v/>
      </c>
    </row>
    <row r="110" spans="22:50">
      <c r="V110" s="37" t="str">
        <f t="shared" si="10"/>
        <v>--</v>
      </c>
      <c r="W110" s="37"/>
      <c r="AT110" s="24"/>
      <c r="AU110" s="31" t="str">
        <f>IF(ISBLANK(AT110),"",SUMIFS(Table1[Amount $],Table1[Merchant],Snapshot!AT110,Table1[Month],Snapshot!$W$4)*-1)</f>
        <v/>
      </c>
      <c r="AV110" s="24" t="str">
        <f>IF(ISBLANK(AT110),"",COUNTIFS(Table1[Merchant],Snapshot!AT110,Table1[Month],Snapshot!$W$4))</f>
        <v/>
      </c>
      <c r="AW110" s="24" t="str">
        <f>IFERROR(RANK(AV110,$AV$6:$AV$200)+COUNTIF($AV$6:AV110,AV110)-1,"")</f>
        <v/>
      </c>
      <c r="AX110" s="24" t="str">
        <f>IFERROR(RANK(AU110,$AU$6:$AU$200)+COUNTIF($AU$6:AU110,AU110)-1,"")</f>
        <v/>
      </c>
    </row>
    <row r="111" spans="22:50">
      <c r="V111" s="37" t="str">
        <f t="shared" si="10"/>
        <v>--</v>
      </c>
      <c r="W111" s="37"/>
      <c r="AT111" s="24"/>
      <c r="AU111" s="31" t="str">
        <f>IF(ISBLANK(AT111),"",SUMIFS(Table1[Amount $],Table1[Merchant],Snapshot!AT111,Table1[Month],Snapshot!$W$4)*-1)</f>
        <v/>
      </c>
      <c r="AV111" s="24" t="str">
        <f>IF(ISBLANK(AT111),"",COUNTIFS(Table1[Merchant],Snapshot!AT111,Table1[Month],Snapshot!$W$4))</f>
        <v/>
      </c>
      <c r="AW111" s="24" t="str">
        <f>IFERROR(RANK(AV111,$AV$6:$AV$200)+COUNTIF($AV$6:AV111,AV111)-1,"")</f>
        <v/>
      </c>
      <c r="AX111" s="24" t="str">
        <f>IFERROR(RANK(AU111,$AU$6:$AU$200)+COUNTIF($AU$6:AU111,AU111)-1,"")</f>
        <v/>
      </c>
    </row>
    <row r="112" spans="22:50">
      <c r="V112" s="37" t="str">
        <f t="shared" si="10"/>
        <v>--</v>
      </c>
      <c r="W112" s="37"/>
      <c r="AT112" s="24"/>
      <c r="AU112" s="31" t="str">
        <f>IF(ISBLANK(AT112),"",SUMIFS(Table1[Amount $],Table1[Merchant],Snapshot!AT112,Table1[Month],Snapshot!$W$4)*-1)</f>
        <v/>
      </c>
      <c r="AV112" s="24" t="str">
        <f>IF(ISBLANK(AT112),"",COUNTIFS(Table1[Merchant],Snapshot!AT112,Table1[Month],Snapshot!$W$4))</f>
        <v/>
      </c>
      <c r="AW112" s="24" t="str">
        <f>IFERROR(RANK(AV112,$AV$6:$AV$200)+COUNTIF($AV$6:AV112,AV112)-1,"")</f>
        <v/>
      </c>
      <c r="AX112" s="24" t="str">
        <f>IFERROR(RANK(AU112,$AU$6:$AU$200)+COUNTIF($AU$6:AU112,AU112)-1,"")</f>
        <v/>
      </c>
    </row>
    <row r="113" spans="22:50">
      <c r="V113" s="37" t="str">
        <f t="shared" si="10"/>
        <v>--</v>
      </c>
      <c r="W113" s="37"/>
      <c r="AT113" s="24"/>
      <c r="AU113" s="31" t="str">
        <f>IF(ISBLANK(AT113),"",SUMIFS(Table1[Amount $],Table1[Merchant],Snapshot!AT113,Table1[Month],Snapshot!$W$4)*-1)</f>
        <v/>
      </c>
      <c r="AV113" s="24" t="str">
        <f>IF(ISBLANK(AT113),"",COUNTIFS(Table1[Merchant],Snapshot!AT113,Table1[Month],Snapshot!$W$4))</f>
        <v/>
      </c>
      <c r="AW113" s="24" t="str">
        <f>IFERROR(RANK(AV113,$AV$6:$AV$200)+COUNTIF($AV$6:AV113,AV113)-1,"")</f>
        <v/>
      </c>
      <c r="AX113" s="24" t="str">
        <f>IFERROR(RANK(AU113,$AU$6:$AU$200)+COUNTIF($AU$6:AU113,AU113)-1,"")</f>
        <v/>
      </c>
    </row>
    <row r="114" spans="22:50">
      <c r="V114" s="37" t="str">
        <f t="shared" si="10"/>
        <v>--</v>
      </c>
      <c r="W114" s="37"/>
      <c r="AT114" s="24"/>
      <c r="AU114" s="31" t="str">
        <f>IF(ISBLANK(AT114),"",SUMIFS(Table1[Amount $],Table1[Merchant],Snapshot!AT114,Table1[Month],Snapshot!$W$4)*-1)</f>
        <v/>
      </c>
      <c r="AV114" s="24" t="str">
        <f>IF(ISBLANK(AT114),"",COUNTIFS(Table1[Merchant],Snapshot!AT114,Table1[Month],Snapshot!$W$4))</f>
        <v/>
      </c>
      <c r="AW114" s="24" t="str">
        <f>IFERROR(RANK(AV114,$AV$6:$AV$200)+COUNTIF($AV$6:AV114,AV114)-1,"")</f>
        <v/>
      </c>
      <c r="AX114" s="24" t="str">
        <f>IFERROR(RANK(AU114,$AU$6:$AU$200)+COUNTIF($AU$6:AU114,AU114)-1,"")</f>
        <v/>
      </c>
    </row>
    <row r="115" spans="22:50">
      <c r="V115" s="37" t="str">
        <f t="shared" si="10"/>
        <v>--</v>
      </c>
      <c r="W115" s="37"/>
      <c r="AT115" s="24"/>
      <c r="AU115" s="31" t="str">
        <f>IF(ISBLANK(AT115),"",SUMIFS(Table1[Amount $],Table1[Merchant],Snapshot!AT115,Table1[Month],Snapshot!$W$4)*-1)</f>
        <v/>
      </c>
      <c r="AV115" s="24" t="str">
        <f>IF(ISBLANK(AT115),"",COUNTIFS(Table1[Merchant],Snapshot!AT115,Table1[Month],Snapshot!$W$4))</f>
        <v/>
      </c>
      <c r="AW115" s="24" t="str">
        <f>IFERROR(RANK(AV115,$AV$6:$AV$200)+COUNTIF($AV$6:AV115,AV115)-1,"")</f>
        <v/>
      </c>
      <c r="AX115" s="24" t="str">
        <f>IFERROR(RANK(AU115,$AU$6:$AU$200)+COUNTIF($AU$6:AU115,AU115)-1,"")</f>
        <v/>
      </c>
    </row>
    <row r="116" spans="22:50">
      <c r="V116" s="37" t="str">
        <f t="shared" si="10"/>
        <v>--</v>
      </c>
      <c r="W116" s="37"/>
      <c r="AT116" s="24"/>
      <c r="AU116" s="31" t="str">
        <f>IF(ISBLANK(AT116),"",SUMIFS(Table1[Amount $],Table1[Merchant],Snapshot!AT116,Table1[Month],Snapshot!$W$4)*-1)</f>
        <v/>
      </c>
      <c r="AV116" s="24" t="str">
        <f>IF(ISBLANK(AT116),"",COUNTIFS(Table1[Merchant],Snapshot!AT116,Table1[Month],Snapshot!$W$4))</f>
        <v/>
      </c>
      <c r="AW116" s="24" t="str">
        <f>IFERROR(RANK(AV116,$AV$6:$AV$200)+COUNTIF($AV$6:AV116,AV116)-1,"")</f>
        <v/>
      </c>
      <c r="AX116" s="24" t="str">
        <f>IFERROR(RANK(AU116,$AU$6:$AU$200)+COUNTIF($AU$6:AU116,AU116)-1,"")</f>
        <v/>
      </c>
    </row>
    <row r="117" spans="22:50">
      <c r="V117" s="37" t="str">
        <f t="shared" si="10"/>
        <v>--</v>
      </c>
      <c r="W117" s="37"/>
      <c r="AT117" s="24"/>
      <c r="AU117" s="31" t="str">
        <f>IF(ISBLANK(AT117),"",SUMIFS(Table1[Amount $],Table1[Merchant],Snapshot!AT117,Table1[Month],Snapshot!$W$4)*-1)</f>
        <v/>
      </c>
      <c r="AV117" s="24" t="str">
        <f>IF(ISBLANK(AT117),"",COUNTIFS(Table1[Merchant],Snapshot!AT117,Table1[Month],Snapshot!$W$4))</f>
        <v/>
      </c>
      <c r="AW117" s="24" t="str">
        <f>IFERROR(RANK(AV117,$AV$6:$AV$200)+COUNTIF($AV$6:AV117,AV117)-1,"")</f>
        <v/>
      </c>
      <c r="AX117" s="24" t="str">
        <f>IFERROR(RANK(AU117,$AU$6:$AU$200)+COUNTIF($AU$6:AU117,AU117)-1,"")</f>
        <v/>
      </c>
    </row>
    <row r="118" spans="22:50">
      <c r="V118" s="37" t="str">
        <f t="shared" si="10"/>
        <v>--</v>
      </c>
      <c r="W118" s="37"/>
      <c r="AT118" s="24"/>
      <c r="AU118" s="31" t="str">
        <f>IF(ISBLANK(AT118),"",SUMIFS(Table1[Amount $],Table1[Merchant],Snapshot!AT118,Table1[Month],Snapshot!$W$4)*-1)</f>
        <v/>
      </c>
      <c r="AV118" s="24" t="str">
        <f>IF(ISBLANK(AT118),"",COUNTIFS(Table1[Merchant],Snapshot!AT118,Table1[Month],Snapshot!$W$4))</f>
        <v/>
      </c>
      <c r="AW118" s="24" t="str">
        <f>IFERROR(RANK(AV118,$AV$6:$AV$200)+COUNTIF($AV$6:AV118,AV118)-1,"")</f>
        <v/>
      </c>
      <c r="AX118" s="24" t="str">
        <f>IFERROR(RANK(AU118,$AU$6:$AU$200)+COUNTIF($AU$6:AU118,AU118)-1,"")</f>
        <v/>
      </c>
    </row>
    <row r="119" spans="22:50">
      <c r="V119" s="37" t="str">
        <f t="shared" si="10"/>
        <v>--</v>
      </c>
      <c r="W119" s="37"/>
      <c r="AT119" s="24"/>
      <c r="AU119" s="31" t="str">
        <f>IF(ISBLANK(AT119),"",SUMIFS(Table1[Amount $],Table1[Merchant],Snapshot!AT119,Table1[Month],Snapshot!$W$4)*-1)</f>
        <v/>
      </c>
      <c r="AV119" s="24" t="str">
        <f>IF(ISBLANK(AT119),"",COUNTIFS(Table1[Merchant],Snapshot!AT119,Table1[Month],Snapshot!$W$4))</f>
        <v/>
      </c>
      <c r="AW119" s="24" t="str">
        <f>IFERROR(RANK(AV119,$AV$6:$AV$200)+COUNTIF($AV$6:AV119,AV119)-1,"")</f>
        <v/>
      </c>
      <c r="AX119" s="24" t="str">
        <f>IFERROR(RANK(AU119,$AU$6:$AU$200)+COUNTIF($AU$6:AU119,AU119)-1,"")</f>
        <v/>
      </c>
    </row>
    <row r="120" spans="22:50">
      <c r="V120" s="37" t="str">
        <f t="shared" si="10"/>
        <v>--</v>
      </c>
      <c r="W120" s="37"/>
      <c r="AT120" s="24"/>
      <c r="AU120" s="31" t="str">
        <f>IF(ISBLANK(AT120),"",SUMIFS(Table1[Amount $],Table1[Merchant],Snapshot!AT120,Table1[Month],Snapshot!$W$4)*-1)</f>
        <v/>
      </c>
      <c r="AV120" s="24" t="str">
        <f>IF(ISBLANK(AT120),"",COUNTIFS(Table1[Merchant],Snapshot!AT120,Table1[Month],Snapshot!$W$4))</f>
        <v/>
      </c>
      <c r="AW120" s="24" t="str">
        <f>IFERROR(RANK(AV120,$AV$6:$AV$200)+COUNTIF($AV$6:AV120,AV120)-1,"")</f>
        <v/>
      </c>
      <c r="AX120" s="24" t="str">
        <f>IFERROR(RANK(AU120,$AU$6:$AU$200)+COUNTIF($AU$6:AU120,AU120)-1,"")</f>
        <v/>
      </c>
    </row>
    <row r="121" spans="22:50">
      <c r="V121" s="37" t="str">
        <f t="shared" si="10"/>
        <v>--</v>
      </c>
      <c r="W121" s="37"/>
      <c r="AT121" s="24"/>
      <c r="AU121" s="31" t="str">
        <f>IF(ISBLANK(AT121),"",SUMIFS(Table1[Amount $],Table1[Merchant],Snapshot!AT121,Table1[Month],Snapshot!$W$4)*-1)</f>
        <v/>
      </c>
      <c r="AV121" s="24" t="str">
        <f>IF(ISBLANK(AT121),"",COUNTIFS(Table1[Merchant],Snapshot!AT121,Table1[Month],Snapshot!$W$4))</f>
        <v/>
      </c>
      <c r="AW121" s="24" t="str">
        <f>IFERROR(RANK(AV121,$AV$6:$AV$200)+COUNTIF($AV$6:AV121,AV121)-1,"")</f>
        <v/>
      </c>
      <c r="AX121" s="24" t="str">
        <f>IFERROR(RANK(AU121,$AU$6:$AU$200)+COUNTIF($AU$6:AU121,AU121)-1,"")</f>
        <v/>
      </c>
    </row>
    <row r="122" spans="22:50">
      <c r="V122" s="37" t="str">
        <f t="shared" si="10"/>
        <v>--</v>
      </c>
      <c r="W122" s="37"/>
      <c r="AT122" s="24"/>
      <c r="AU122" s="31" t="str">
        <f>IF(ISBLANK(AT122),"",SUMIFS(Table1[Amount $],Table1[Merchant],Snapshot!AT122,Table1[Month],Snapshot!$W$4)*-1)</f>
        <v/>
      </c>
      <c r="AV122" s="24" t="str">
        <f>IF(ISBLANK(AT122),"",COUNTIFS(Table1[Merchant],Snapshot!AT122,Table1[Month],Snapshot!$W$4))</f>
        <v/>
      </c>
      <c r="AW122" s="24" t="str">
        <f>IFERROR(RANK(AV122,$AV$6:$AV$200)+COUNTIF($AV$6:AV122,AV122)-1,"")</f>
        <v/>
      </c>
      <c r="AX122" s="24" t="str">
        <f>IFERROR(RANK(AU122,$AU$6:$AU$200)+COUNTIF($AU$6:AU122,AU122)-1,"")</f>
        <v/>
      </c>
    </row>
    <row r="123" spans="22:50">
      <c r="V123" s="37" t="str">
        <f t="shared" si="10"/>
        <v>--</v>
      </c>
      <c r="W123" s="37"/>
      <c r="AT123" s="24"/>
      <c r="AU123" s="31" t="str">
        <f>IF(ISBLANK(AT123),"",SUMIFS(Table1[Amount $],Table1[Merchant],Snapshot!AT123,Table1[Month],Snapshot!$W$4)*-1)</f>
        <v/>
      </c>
      <c r="AV123" s="24" t="str">
        <f>IF(ISBLANK(AT123),"",COUNTIFS(Table1[Merchant],Snapshot!AT123,Table1[Month],Snapshot!$W$4))</f>
        <v/>
      </c>
      <c r="AW123" s="24" t="str">
        <f>IFERROR(RANK(AV123,$AV$6:$AV$200)+COUNTIF($AV$6:AV123,AV123)-1,"")</f>
        <v/>
      </c>
      <c r="AX123" s="24" t="str">
        <f>IFERROR(RANK(AU123,$AU$6:$AU$200)+COUNTIF($AU$6:AU123,AU123)-1,"")</f>
        <v/>
      </c>
    </row>
    <row r="124" spans="22:50">
      <c r="V124" s="37" t="str">
        <f t="shared" si="10"/>
        <v>--</v>
      </c>
      <c r="W124" s="37"/>
      <c r="AT124" s="24"/>
      <c r="AU124" s="31" t="str">
        <f>IF(ISBLANK(AT124),"",SUMIFS(Table1[Amount $],Table1[Merchant],Snapshot!AT124,Table1[Month],Snapshot!$W$4)*-1)</f>
        <v/>
      </c>
      <c r="AV124" s="24" t="str">
        <f>IF(ISBLANK(AT124),"",COUNTIFS(Table1[Merchant],Snapshot!AT124,Table1[Month],Snapshot!$W$4))</f>
        <v/>
      </c>
      <c r="AW124" s="24" t="str">
        <f>IFERROR(RANK(AV124,$AV$6:$AV$200)+COUNTIF($AV$6:AV124,AV124)-1,"")</f>
        <v/>
      </c>
      <c r="AX124" s="24" t="str">
        <f>IFERROR(RANK(AU124,$AU$6:$AU$200)+COUNTIF($AU$6:AU124,AU124)-1,"")</f>
        <v/>
      </c>
    </row>
    <row r="125" spans="22:50">
      <c r="V125" s="37" t="str">
        <f t="shared" si="10"/>
        <v>--</v>
      </c>
      <c r="W125" s="37"/>
      <c r="AT125" s="24"/>
      <c r="AU125" s="31" t="str">
        <f>IF(ISBLANK(AT125),"",SUMIFS(Table1[Amount $],Table1[Merchant],Snapshot!AT125,Table1[Month],Snapshot!$W$4)*-1)</f>
        <v/>
      </c>
      <c r="AV125" s="24" t="str">
        <f>IF(ISBLANK(AT125),"",COUNTIFS(Table1[Merchant],Snapshot!AT125,Table1[Month],Snapshot!$W$4))</f>
        <v/>
      </c>
      <c r="AW125" s="24" t="str">
        <f>IFERROR(RANK(AV125,$AV$6:$AV$200)+COUNTIF($AV$6:AV125,AV125)-1,"")</f>
        <v/>
      </c>
      <c r="AX125" s="24" t="str">
        <f>IFERROR(RANK(AU125,$AU$6:$AU$200)+COUNTIF($AU$6:AU125,AU125)-1,"")</f>
        <v/>
      </c>
    </row>
    <row r="126" spans="22:50">
      <c r="V126" s="37" t="str">
        <f t="shared" si="10"/>
        <v>--</v>
      </c>
      <c r="W126" s="37"/>
      <c r="AT126" s="24"/>
      <c r="AU126" s="31" t="str">
        <f>IF(ISBLANK(AT126),"",SUMIFS(Table1[Amount $],Table1[Merchant],Snapshot!AT126,Table1[Month],Snapshot!$W$4)*-1)</f>
        <v/>
      </c>
      <c r="AV126" s="24" t="str">
        <f>IF(ISBLANK(AT126),"",COUNTIFS(Table1[Merchant],Snapshot!AT126,Table1[Month],Snapshot!$W$4))</f>
        <v/>
      </c>
      <c r="AW126" s="24" t="str">
        <f>IFERROR(RANK(AV126,$AV$6:$AV$200)+COUNTIF($AV$6:AV126,AV126)-1,"")</f>
        <v/>
      </c>
      <c r="AX126" s="24" t="str">
        <f>IFERROR(RANK(AU126,$AU$6:$AU$200)+COUNTIF($AU$6:AU126,AU126)-1,"")</f>
        <v/>
      </c>
    </row>
    <row r="127" spans="22:50">
      <c r="V127" s="37" t="str">
        <f t="shared" si="10"/>
        <v>--</v>
      </c>
      <c r="W127" s="37"/>
      <c r="AT127" s="24"/>
      <c r="AU127" s="31" t="str">
        <f>IF(ISBLANK(AT127),"",SUMIFS(Table1[Amount $],Table1[Merchant],Snapshot!AT127,Table1[Month],Snapshot!$W$4)*-1)</f>
        <v/>
      </c>
      <c r="AV127" s="24" t="str">
        <f>IF(ISBLANK(AT127),"",COUNTIFS(Table1[Merchant],Snapshot!AT127,Table1[Month],Snapshot!$W$4))</f>
        <v/>
      </c>
      <c r="AW127" s="24" t="str">
        <f>IFERROR(RANK(AV127,$AV$6:$AV$200)+COUNTIF($AV$6:AV127,AV127)-1,"")</f>
        <v/>
      </c>
      <c r="AX127" s="24" t="str">
        <f>IFERROR(RANK(AU127,$AU$6:$AU$200)+COUNTIF($AU$6:AU127,AU127)-1,"")</f>
        <v/>
      </c>
    </row>
    <row r="128" spans="22:50">
      <c r="V128" s="37" t="str">
        <f t="shared" si="10"/>
        <v>--</v>
      </c>
      <c r="W128" s="37"/>
      <c r="AT128" s="24"/>
      <c r="AU128" s="31" t="str">
        <f>IF(ISBLANK(AT128),"",SUMIFS(Table1[Amount $],Table1[Merchant],Snapshot!AT128,Table1[Month],Snapshot!$W$4)*-1)</f>
        <v/>
      </c>
      <c r="AV128" s="24" t="str">
        <f>IF(ISBLANK(AT128),"",COUNTIFS(Table1[Merchant],Snapshot!AT128,Table1[Month],Snapshot!$W$4))</f>
        <v/>
      </c>
      <c r="AW128" s="24" t="str">
        <f>IFERROR(RANK(AV128,$AV$6:$AV$200)+COUNTIF($AV$6:AV128,AV128)-1,"")</f>
        <v/>
      </c>
      <c r="AX128" s="24" t="str">
        <f>IFERROR(RANK(AU128,$AU$6:$AU$200)+COUNTIF($AU$6:AU128,AU128)-1,"")</f>
        <v/>
      </c>
    </row>
    <row r="129" spans="22:50">
      <c r="V129" s="37" t="str">
        <f t="shared" si="10"/>
        <v>--</v>
      </c>
      <c r="W129" s="37"/>
      <c r="AT129" s="24"/>
      <c r="AU129" s="31" t="str">
        <f>IF(ISBLANK(AT129),"",SUMIFS(Table1[Amount $],Table1[Merchant],Snapshot!AT129,Table1[Month],Snapshot!$W$4)*-1)</f>
        <v/>
      </c>
      <c r="AV129" s="24" t="str">
        <f>IF(ISBLANK(AT129),"",COUNTIFS(Table1[Merchant],Snapshot!AT129,Table1[Month],Snapshot!$W$4))</f>
        <v/>
      </c>
      <c r="AW129" s="24" t="str">
        <f>IFERROR(RANK(AV129,$AV$6:$AV$200)+COUNTIF($AV$6:AV129,AV129)-1,"")</f>
        <v/>
      </c>
      <c r="AX129" s="24" t="str">
        <f>IFERROR(RANK(AU129,$AU$6:$AU$200)+COUNTIF($AU$6:AU129,AU129)-1,"")</f>
        <v/>
      </c>
    </row>
    <row r="130" spans="22:50">
      <c r="V130" s="37" t="str">
        <f t="shared" si="10"/>
        <v>--</v>
      </c>
      <c r="W130" s="37"/>
      <c r="AT130" s="24"/>
      <c r="AU130" s="31" t="str">
        <f>IF(ISBLANK(AT130),"",SUMIFS(Table1[Amount $],Table1[Merchant],Snapshot!AT130,Table1[Month],Snapshot!$W$4)*-1)</f>
        <v/>
      </c>
      <c r="AV130" s="24" t="str">
        <f>IF(ISBLANK(AT130),"",COUNTIFS(Table1[Merchant],Snapshot!AT130,Table1[Month],Snapshot!$W$4))</f>
        <v/>
      </c>
      <c r="AW130" s="24" t="str">
        <f>IFERROR(RANK(AV130,$AV$6:$AV$200)+COUNTIF($AV$6:AV130,AV130)-1,"")</f>
        <v/>
      </c>
      <c r="AX130" s="24" t="str">
        <f>IFERROR(RANK(AU130,$AU$6:$AU$200)+COUNTIF($AU$6:AU130,AU130)-1,"")</f>
        <v/>
      </c>
    </row>
    <row r="131" spans="22:50">
      <c r="V131" s="37" t="str">
        <f t="shared" si="10"/>
        <v>--</v>
      </c>
      <c r="W131" s="37"/>
      <c r="AT131" s="24"/>
      <c r="AU131" s="31" t="str">
        <f>IF(ISBLANK(AT131),"",SUMIFS(Table1[Amount $],Table1[Merchant],Snapshot!AT131,Table1[Month],Snapshot!$W$4)*-1)</f>
        <v/>
      </c>
      <c r="AV131" s="24" t="str">
        <f>IF(ISBLANK(AT131),"",COUNTIFS(Table1[Merchant],Snapshot!AT131,Table1[Month],Snapshot!$W$4))</f>
        <v/>
      </c>
      <c r="AW131" s="24" t="str">
        <f>IFERROR(RANK(AV131,$AV$6:$AV$200)+COUNTIF($AV$6:AV131,AV131)-1,"")</f>
        <v/>
      </c>
      <c r="AX131" s="24" t="str">
        <f>IFERROR(RANK(AU131,$AU$6:$AU$200)+COUNTIF($AU$6:AU131,AU131)-1,"")</f>
        <v/>
      </c>
    </row>
    <row r="132" spans="22:50">
      <c r="V132" s="37" t="str">
        <f t="shared" si="10"/>
        <v>--</v>
      </c>
      <c r="W132" s="37"/>
      <c r="AT132" s="24"/>
      <c r="AU132" s="31" t="str">
        <f>IF(ISBLANK(AT132),"",SUMIFS(Table1[Amount $],Table1[Merchant],Snapshot!AT132,Table1[Month],Snapshot!$W$4)*-1)</f>
        <v/>
      </c>
      <c r="AV132" s="24" t="str">
        <f>IF(ISBLANK(AT132),"",COUNTIFS(Table1[Merchant],Snapshot!AT132,Table1[Month],Snapshot!$W$4))</f>
        <v/>
      </c>
      <c r="AW132" s="24" t="str">
        <f>IFERROR(RANK(AV132,$AV$6:$AV$200)+COUNTIF($AV$6:AV132,AV132)-1,"")</f>
        <v/>
      </c>
      <c r="AX132" s="24" t="str">
        <f>IFERROR(RANK(AU132,$AU$6:$AU$200)+COUNTIF($AU$6:AU132,AU132)-1,"")</f>
        <v/>
      </c>
    </row>
    <row r="133" spans="22:50">
      <c r="V133" s="37" t="str">
        <f t="shared" si="10"/>
        <v>--</v>
      </c>
      <c r="W133" s="37"/>
      <c r="AT133" s="24"/>
      <c r="AU133" s="31" t="str">
        <f>IF(ISBLANK(AT133),"",SUMIFS(Table1[Amount $],Table1[Merchant],Snapshot!AT133,Table1[Month],Snapshot!$W$4)*-1)</f>
        <v/>
      </c>
      <c r="AV133" s="24" t="str">
        <f>IF(ISBLANK(AT133),"",COUNTIFS(Table1[Merchant],Snapshot!AT133,Table1[Month],Snapshot!$W$4))</f>
        <v/>
      </c>
      <c r="AW133" s="24" t="str">
        <f>IFERROR(RANK(AV133,$AV$6:$AV$200)+COUNTIF($AV$6:AV133,AV133)-1,"")</f>
        <v/>
      </c>
      <c r="AX133" s="24" t="str">
        <f>IFERROR(RANK(AU133,$AU$6:$AU$200)+COUNTIF($AU$6:AU133,AU133)-1,"")</f>
        <v/>
      </c>
    </row>
    <row r="134" spans="22:50">
      <c r="V134" s="37" t="str">
        <f t="shared" si="10"/>
        <v>--</v>
      </c>
      <c r="W134" s="37"/>
      <c r="AT134" s="24"/>
      <c r="AU134" s="31" t="str">
        <f>IF(ISBLANK(AT134),"",SUMIFS(Table1[Amount $],Table1[Merchant],Snapshot!AT134,Table1[Month],Snapshot!$W$4)*-1)</f>
        <v/>
      </c>
      <c r="AV134" s="24" t="str">
        <f>IF(ISBLANK(AT134),"",COUNTIFS(Table1[Merchant],Snapshot!AT134,Table1[Month],Snapshot!$W$4))</f>
        <v/>
      </c>
      <c r="AW134" s="24" t="str">
        <f>IFERROR(RANK(AV134,$AV$6:$AV$200)+COUNTIF($AV$6:AV134,AV134)-1,"")</f>
        <v/>
      </c>
      <c r="AX134" s="24" t="str">
        <f>IFERROR(RANK(AU134,$AU$6:$AU$200)+COUNTIF($AU$6:AU134,AU134)-1,"")</f>
        <v/>
      </c>
    </row>
    <row r="135" spans="22:50">
      <c r="V135" s="37" t="str">
        <f t="shared" si="10"/>
        <v>--</v>
      </c>
      <c r="W135" s="37"/>
      <c r="AT135" s="24"/>
      <c r="AU135" s="31" t="str">
        <f>IF(ISBLANK(AT135),"",SUMIFS(Table1[Amount $],Table1[Merchant],Snapshot!AT135,Table1[Month],Snapshot!$W$4)*-1)</f>
        <v/>
      </c>
      <c r="AV135" s="24" t="str">
        <f>IF(ISBLANK(AT135),"",COUNTIFS(Table1[Merchant],Snapshot!AT135,Table1[Month],Snapshot!$W$4))</f>
        <v/>
      </c>
      <c r="AW135" s="24" t="str">
        <f>IFERROR(RANK(AV135,$AV$6:$AV$200)+COUNTIF($AV$6:AV135,AV135)-1,"")</f>
        <v/>
      </c>
      <c r="AX135" s="24" t="str">
        <f>IFERROR(RANK(AU135,$AU$6:$AU$200)+COUNTIF($AU$6:AU135,AU135)-1,"")</f>
        <v/>
      </c>
    </row>
    <row r="136" spans="22:50">
      <c r="V136" s="37" t="str">
        <f t="shared" si="10"/>
        <v>--</v>
      </c>
      <c r="W136" s="37"/>
      <c r="AT136" s="24"/>
      <c r="AU136" s="31" t="str">
        <f>IF(ISBLANK(AT136),"",SUMIFS(Table1[Amount $],Table1[Merchant],Snapshot!AT136,Table1[Month],Snapshot!$W$4)*-1)</f>
        <v/>
      </c>
      <c r="AV136" s="24" t="str">
        <f>IF(ISBLANK(AT136),"",COUNTIFS(Table1[Merchant],Snapshot!AT136,Table1[Month],Snapshot!$W$4))</f>
        <v/>
      </c>
      <c r="AW136" s="24" t="str">
        <f>IFERROR(RANK(AV136,$AV$6:$AV$200)+COUNTIF($AV$6:AV136,AV136)-1,"")</f>
        <v/>
      </c>
      <c r="AX136" s="24" t="str">
        <f>IFERROR(RANK(AU136,$AU$6:$AU$200)+COUNTIF($AU$6:AU136,AU136)-1,"")</f>
        <v/>
      </c>
    </row>
    <row r="137" spans="22:50">
      <c r="V137" s="37" t="str">
        <f t="shared" si="10"/>
        <v>--</v>
      </c>
      <c r="W137" s="37"/>
      <c r="AT137" s="24"/>
      <c r="AU137" s="31" t="str">
        <f>IF(ISBLANK(AT137),"",SUMIFS(Table1[Amount $],Table1[Merchant],Snapshot!AT137,Table1[Month],Snapshot!$W$4)*-1)</f>
        <v/>
      </c>
      <c r="AV137" s="24" t="str">
        <f>IF(ISBLANK(AT137),"",COUNTIFS(Table1[Merchant],Snapshot!AT137,Table1[Month],Snapshot!$W$4))</f>
        <v/>
      </c>
      <c r="AW137" s="24" t="str">
        <f>IFERROR(RANK(AV137,$AV$6:$AV$200)+COUNTIF($AV$6:AV137,AV137)-1,"")</f>
        <v/>
      </c>
      <c r="AX137" s="24" t="str">
        <f>IFERROR(RANK(AU137,$AU$6:$AU$200)+COUNTIF($AU$6:AU137,AU137)-1,"")</f>
        <v/>
      </c>
    </row>
    <row r="138" spans="22:50">
      <c r="V138" s="37" t="str">
        <f t="shared" si="10"/>
        <v>--</v>
      </c>
      <c r="W138" s="37"/>
      <c r="AT138" s="24"/>
      <c r="AU138" s="31" t="str">
        <f>IF(ISBLANK(AT138),"",SUMIFS(Table1[Amount $],Table1[Merchant],Snapshot!AT138,Table1[Month],Snapshot!$W$4)*-1)</f>
        <v/>
      </c>
      <c r="AV138" s="24" t="str">
        <f>IF(ISBLANK(AT138),"",COUNTIFS(Table1[Merchant],Snapshot!AT138,Table1[Month],Snapshot!$W$4))</f>
        <v/>
      </c>
      <c r="AW138" s="24" t="str">
        <f>IFERROR(RANK(AV138,$AV$6:$AV$200)+COUNTIF($AV$6:AV138,AV138)-1,"")</f>
        <v/>
      </c>
      <c r="AX138" s="24" t="str">
        <f>IFERROR(RANK(AU138,$AU$6:$AU$200)+COUNTIF($AU$6:AU138,AU138)-1,"")</f>
        <v/>
      </c>
    </row>
    <row r="139" spans="22:50">
      <c r="V139" s="37" t="str">
        <f t="shared" si="10"/>
        <v>--</v>
      </c>
      <c r="W139" s="37"/>
      <c r="AT139" s="24"/>
      <c r="AU139" s="31" t="str">
        <f>IF(ISBLANK(AT139),"",SUMIFS(Table1[Amount $],Table1[Merchant],Snapshot!AT139,Table1[Month],Snapshot!$W$4)*-1)</f>
        <v/>
      </c>
      <c r="AV139" s="24" t="str">
        <f>IF(ISBLANK(AT139),"",COUNTIFS(Table1[Merchant],Snapshot!AT139,Table1[Month],Snapshot!$W$4))</f>
        <v/>
      </c>
      <c r="AW139" s="24" t="str">
        <f>IFERROR(RANK(AV139,$AV$6:$AV$200)+COUNTIF($AV$6:AV139,AV139)-1,"")</f>
        <v/>
      </c>
      <c r="AX139" s="24" t="str">
        <f>IFERROR(RANK(AU139,$AU$6:$AU$200)+COUNTIF($AU$6:AU139,AU139)-1,"")</f>
        <v/>
      </c>
    </row>
    <row r="140" spans="22:50">
      <c r="V140" s="37" t="str">
        <f t="shared" si="10"/>
        <v>--</v>
      </c>
      <c r="W140" s="37"/>
      <c r="AT140" s="24"/>
      <c r="AU140" s="31" t="str">
        <f>IF(ISBLANK(AT140),"",SUMIFS(Table1[Amount $],Table1[Merchant],Snapshot!AT140,Table1[Month],Snapshot!$W$4)*-1)</f>
        <v/>
      </c>
      <c r="AV140" s="24" t="str">
        <f>IF(ISBLANK(AT140),"",COUNTIFS(Table1[Merchant],Snapshot!AT140,Table1[Month],Snapshot!$W$4))</f>
        <v/>
      </c>
      <c r="AW140" s="24" t="str">
        <f>IFERROR(RANK(AV140,$AV$6:$AV$200)+COUNTIF($AV$6:AV140,AV140)-1,"")</f>
        <v/>
      </c>
      <c r="AX140" s="24" t="str">
        <f>IFERROR(RANK(AU140,$AU$6:$AU$200)+COUNTIF($AU$6:AU140,AU140)-1,"")</f>
        <v/>
      </c>
    </row>
    <row r="141" spans="22:50">
      <c r="V141" s="37" t="str">
        <f t="shared" si="10"/>
        <v>--</v>
      </c>
      <c r="W141" s="37"/>
      <c r="AT141" s="24"/>
      <c r="AU141" s="31" t="str">
        <f>IF(ISBLANK(AT141),"",SUMIFS(Table1[Amount $],Table1[Merchant],Snapshot!AT141,Table1[Month],Snapshot!$W$4)*-1)</f>
        <v/>
      </c>
      <c r="AV141" s="24" t="str">
        <f>IF(ISBLANK(AT141),"",COUNTIFS(Table1[Merchant],Snapshot!AT141,Table1[Month],Snapshot!$W$4))</f>
        <v/>
      </c>
      <c r="AW141" s="24" t="str">
        <f>IFERROR(RANK(AV141,$AV$6:$AV$200)+COUNTIF($AV$6:AV141,AV141)-1,"")</f>
        <v/>
      </c>
      <c r="AX141" s="24" t="str">
        <f>IFERROR(RANK(AU141,$AU$6:$AU$200)+COUNTIF($AU$6:AU141,AU141)-1,"")</f>
        <v/>
      </c>
    </row>
    <row r="142" spans="22:50">
      <c r="V142" s="37" t="str">
        <f t="shared" si="10"/>
        <v>--</v>
      </c>
      <c r="W142" s="37"/>
      <c r="AT142" s="24"/>
      <c r="AU142" s="31" t="str">
        <f>IF(ISBLANK(AT142),"",SUMIFS(Table1[Amount $],Table1[Merchant],Snapshot!AT142,Table1[Month],Snapshot!$W$4)*-1)</f>
        <v/>
      </c>
      <c r="AV142" s="24" t="str">
        <f>IF(ISBLANK(AT142),"",COUNTIFS(Table1[Merchant],Snapshot!AT142,Table1[Month],Snapshot!$W$4))</f>
        <v/>
      </c>
      <c r="AW142" s="24" t="str">
        <f>IFERROR(RANK(AV142,$AV$6:$AV$200)+COUNTIF($AV$6:AV142,AV142)-1,"")</f>
        <v/>
      </c>
      <c r="AX142" s="24" t="str">
        <f>IFERROR(RANK(AU142,$AU$6:$AU$200)+COUNTIF($AU$6:AU142,AU142)-1,"")</f>
        <v/>
      </c>
    </row>
    <row r="143" spans="22:50">
      <c r="V143" s="37" t="str">
        <f t="shared" si="10"/>
        <v>--</v>
      </c>
      <c r="W143" s="37"/>
      <c r="AT143" s="24"/>
      <c r="AU143" s="31" t="str">
        <f>IF(ISBLANK(AT143),"",SUMIFS(Table1[Amount $],Table1[Merchant],Snapshot!AT143,Table1[Month],Snapshot!$W$4)*-1)</f>
        <v/>
      </c>
      <c r="AV143" s="24" t="str">
        <f>IF(ISBLANK(AT143),"",COUNTIFS(Table1[Merchant],Snapshot!AT143,Table1[Month],Snapshot!$W$4))</f>
        <v/>
      </c>
      <c r="AW143" s="24" t="str">
        <f>IFERROR(RANK(AV143,$AV$6:$AV$200)+COUNTIF($AV$6:AV143,AV143)-1,"")</f>
        <v/>
      </c>
      <c r="AX143" s="24" t="str">
        <f>IFERROR(RANK(AU143,$AU$6:$AU$200)+COUNTIF($AU$6:AU143,AU143)-1,"")</f>
        <v/>
      </c>
    </row>
    <row r="144" spans="22:50">
      <c r="V144" s="37" t="str">
        <f t="shared" si="10"/>
        <v>--</v>
      </c>
      <c r="W144" s="37"/>
      <c r="AT144" s="24"/>
      <c r="AU144" s="31" t="str">
        <f>IF(ISBLANK(AT144),"",SUMIFS(Table1[Amount $],Table1[Merchant],Snapshot!AT144,Table1[Month],Snapshot!$W$4)*-1)</f>
        <v/>
      </c>
      <c r="AV144" s="24" t="str">
        <f>IF(ISBLANK(AT144),"",COUNTIFS(Table1[Merchant],Snapshot!AT144,Table1[Month],Snapshot!$W$4))</f>
        <v/>
      </c>
      <c r="AW144" s="24" t="str">
        <f>IFERROR(RANK(AV144,$AV$6:$AV$200)+COUNTIF($AV$6:AV144,AV144)-1,"")</f>
        <v/>
      </c>
      <c r="AX144" s="24" t="str">
        <f>IFERROR(RANK(AU144,$AU$6:$AU$200)+COUNTIF($AU$6:AU144,AU144)-1,"")</f>
        <v/>
      </c>
    </row>
    <row r="145" spans="22:50">
      <c r="V145" s="37" t="str">
        <f t="shared" si="10"/>
        <v>--</v>
      </c>
      <c r="W145" s="37"/>
      <c r="AT145" s="24"/>
      <c r="AU145" s="31" t="str">
        <f>IF(ISBLANK(AT145),"",SUMIFS(Table1[Amount $],Table1[Merchant],Snapshot!AT145,Table1[Month],Snapshot!$W$4)*-1)</f>
        <v/>
      </c>
      <c r="AV145" s="24" t="str">
        <f>IF(ISBLANK(AT145),"",COUNTIFS(Table1[Merchant],Snapshot!AT145,Table1[Month],Snapshot!$W$4))</f>
        <v/>
      </c>
      <c r="AW145" s="24" t="str">
        <f>IFERROR(RANK(AV145,$AV$6:$AV$200)+COUNTIF($AV$6:AV145,AV145)-1,"")</f>
        <v/>
      </c>
      <c r="AX145" s="24" t="str">
        <f>IFERROR(RANK(AU145,$AU$6:$AU$200)+COUNTIF($AU$6:AU145,AU145)-1,"")</f>
        <v/>
      </c>
    </row>
    <row r="146" spans="22:50">
      <c r="V146" s="37" t="str">
        <f t="shared" si="10"/>
        <v>--</v>
      </c>
      <c r="W146" s="37"/>
      <c r="AT146" s="24"/>
      <c r="AU146" s="31" t="str">
        <f>IF(ISBLANK(AT146),"",SUMIFS(Table1[Amount $],Table1[Merchant],Snapshot!AT146,Table1[Month],Snapshot!$W$4)*-1)</f>
        <v/>
      </c>
      <c r="AV146" s="24" t="str">
        <f>IF(ISBLANK(AT146),"",COUNTIFS(Table1[Merchant],Snapshot!AT146,Table1[Month],Snapshot!$W$4))</f>
        <v/>
      </c>
      <c r="AW146" s="24" t="str">
        <f>IFERROR(RANK(AV146,$AV$6:$AV$200)+COUNTIF($AV$6:AV146,AV146)-1,"")</f>
        <v/>
      </c>
      <c r="AX146" s="24" t="str">
        <f>IFERROR(RANK(AU146,$AU$6:$AU$200)+COUNTIF($AU$6:AU146,AU146)-1,"")</f>
        <v/>
      </c>
    </row>
    <row r="147" spans="22:50">
      <c r="V147" s="37" t="str">
        <f t="shared" si="10"/>
        <v>--</v>
      </c>
      <c r="W147" s="37"/>
      <c r="AT147" s="24"/>
      <c r="AU147" s="31" t="str">
        <f>IF(ISBLANK(AT147),"",SUMIFS(Table1[Amount $],Table1[Merchant],Snapshot!AT147,Table1[Month],Snapshot!$W$4)*-1)</f>
        <v/>
      </c>
      <c r="AV147" s="24" t="str">
        <f>IF(ISBLANK(AT147),"",COUNTIFS(Table1[Merchant],Snapshot!AT147,Table1[Month],Snapshot!$W$4))</f>
        <v/>
      </c>
      <c r="AW147" s="24" t="str">
        <f>IFERROR(RANK(AV147,$AV$6:$AV$200)+COUNTIF($AV$6:AV147,AV147)-1,"")</f>
        <v/>
      </c>
      <c r="AX147" s="24" t="str">
        <f>IFERROR(RANK(AU147,$AU$6:$AU$200)+COUNTIF($AU$6:AU147,AU147)-1,"")</f>
        <v/>
      </c>
    </row>
    <row r="148" spans="22:50">
      <c r="V148" s="37" t="str">
        <f t="shared" si="10"/>
        <v>--</v>
      </c>
      <c r="W148" s="37"/>
      <c r="AT148" s="24"/>
      <c r="AU148" s="31" t="str">
        <f>IF(ISBLANK(AT148),"",SUMIFS(Table1[Amount $],Table1[Merchant],Snapshot!AT148,Table1[Month],Snapshot!$W$4)*-1)</f>
        <v/>
      </c>
      <c r="AV148" s="24" t="str">
        <f>IF(ISBLANK(AT148),"",COUNTIFS(Table1[Merchant],Snapshot!AT148,Table1[Month],Snapshot!$W$4))</f>
        <v/>
      </c>
      <c r="AW148" s="24" t="str">
        <f>IFERROR(RANK(AV148,$AV$6:$AV$200)+COUNTIF($AV$6:AV148,AV148)-1,"")</f>
        <v/>
      </c>
      <c r="AX148" s="24" t="str">
        <f>IFERROR(RANK(AU148,$AU$6:$AU$200)+COUNTIF($AU$6:AU148,AU148)-1,"")</f>
        <v/>
      </c>
    </row>
    <row r="149" spans="22:50">
      <c r="V149" s="37" t="str">
        <f t="shared" si="10"/>
        <v>--</v>
      </c>
      <c r="W149" s="37"/>
      <c r="AT149" s="24"/>
      <c r="AU149" s="31" t="str">
        <f>IF(ISBLANK(AT149),"",SUMIFS(Table1[Amount $],Table1[Merchant],Snapshot!AT149,Table1[Month],Snapshot!$W$4)*-1)</f>
        <v/>
      </c>
      <c r="AV149" s="24" t="str">
        <f>IF(ISBLANK(AT149),"",COUNTIFS(Table1[Merchant],Snapshot!AT149,Table1[Month],Snapshot!$W$4))</f>
        <v/>
      </c>
      <c r="AW149" s="24" t="str">
        <f>IFERROR(RANK(AV149,$AV$6:$AV$200)+COUNTIF($AV$6:AV149,AV149)-1,"")</f>
        <v/>
      </c>
      <c r="AX149" s="24" t="str">
        <f>IFERROR(RANK(AU149,$AU$6:$AU$200)+COUNTIF($AU$6:AU149,AU149)-1,"")</f>
        <v/>
      </c>
    </row>
    <row r="150" spans="22:50">
      <c r="V150" s="37" t="str">
        <f t="shared" si="10"/>
        <v>--</v>
      </c>
      <c r="W150" s="37"/>
      <c r="AT150" s="24"/>
      <c r="AU150" s="31" t="str">
        <f>IF(ISBLANK(AT150),"",SUMIFS(Table1[Amount $],Table1[Merchant],Snapshot!AT150,Table1[Month],Snapshot!$W$4)*-1)</f>
        <v/>
      </c>
      <c r="AV150" s="24" t="str">
        <f>IF(ISBLANK(AT150),"",COUNTIFS(Table1[Merchant],Snapshot!AT150,Table1[Month],Snapshot!$W$4))</f>
        <v/>
      </c>
      <c r="AW150" s="24" t="str">
        <f>IFERROR(RANK(AV150,$AV$6:$AV$200)+COUNTIF($AV$6:AV150,AV150)-1,"")</f>
        <v/>
      </c>
      <c r="AX150" s="24" t="str">
        <f>IFERROR(RANK(AU150,$AU$6:$AU$200)+COUNTIF($AU$6:AU150,AU150)-1,"")</f>
        <v/>
      </c>
    </row>
    <row r="151" spans="22:50">
      <c r="V151" s="37" t="str">
        <f t="shared" si="10"/>
        <v>--</v>
      </c>
      <c r="W151" s="37"/>
      <c r="AT151" s="24"/>
      <c r="AU151" s="31" t="str">
        <f>IF(ISBLANK(AT151),"",SUMIFS(Table1[Amount $],Table1[Merchant],Snapshot!AT151,Table1[Month],Snapshot!$W$4)*-1)</f>
        <v/>
      </c>
      <c r="AV151" s="24" t="str">
        <f>IF(ISBLANK(AT151),"",COUNTIFS(Table1[Merchant],Snapshot!AT151,Table1[Month],Snapshot!$W$4))</f>
        <v/>
      </c>
      <c r="AW151" s="24" t="str">
        <f>IFERROR(RANK(AV151,$AV$6:$AV$200)+COUNTIF($AV$6:AV151,AV151)-1,"")</f>
        <v/>
      </c>
      <c r="AX151" s="24" t="str">
        <f>IFERROR(RANK(AU151,$AU$6:$AU$200)+COUNTIF($AU$6:AU151,AU151)-1,"")</f>
        <v/>
      </c>
    </row>
    <row r="152" spans="22:50">
      <c r="V152" s="37" t="str">
        <f t="shared" si="10"/>
        <v>--</v>
      </c>
      <c r="W152" s="37"/>
      <c r="AT152" s="24"/>
      <c r="AU152" s="31" t="str">
        <f>IF(ISBLANK(AT152),"",SUMIFS(Table1[Amount $],Table1[Merchant],Snapshot!AT152,Table1[Month],Snapshot!$W$4)*-1)</f>
        <v/>
      </c>
      <c r="AV152" s="24" t="str">
        <f>IF(ISBLANK(AT152),"",COUNTIFS(Table1[Merchant],Snapshot!AT152,Table1[Month],Snapshot!$W$4))</f>
        <v/>
      </c>
      <c r="AW152" s="24" t="str">
        <f>IFERROR(RANK(AV152,$AV$6:$AV$200)+COUNTIF($AV$6:AV152,AV152)-1,"")</f>
        <v/>
      </c>
      <c r="AX152" s="24" t="str">
        <f>IFERROR(RANK(AU152,$AU$6:$AU$200)+COUNTIF($AU$6:AU152,AU152)-1,"")</f>
        <v/>
      </c>
    </row>
    <row r="153" spans="22:50">
      <c r="V153" s="37" t="str">
        <f t="shared" si="10"/>
        <v>--</v>
      </c>
      <c r="W153" s="37"/>
      <c r="AT153" s="24"/>
      <c r="AU153" s="31" t="str">
        <f>IF(ISBLANK(AT153),"",SUMIFS(Table1[Amount $],Table1[Merchant],Snapshot!AT153,Table1[Month],Snapshot!$W$4)*-1)</f>
        <v/>
      </c>
      <c r="AV153" s="24" t="str">
        <f>IF(ISBLANK(AT153),"",COUNTIFS(Table1[Merchant],Snapshot!AT153,Table1[Month],Snapshot!$W$4))</f>
        <v/>
      </c>
      <c r="AW153" s="24" t="str">
        <f>IFERROR(RANK(AV153,$AV$6:$AV$200)+COUNTIF($AV$6:AV153,AV153)-1,"")</f>
        <v/>
      </c>
      <c r="AX153" s="24" t="str">
        <f>IFERROR(RANK(AU153,$AU$6:$AU$200)+COUNTIF($AU$6:AU153,AU153)-1,"")</f>
        <v/>
      </c>
    </row>
    <row r="154" spans="22:50">
      <c r="V154" s="37" t="str">
        <f t="shared" si="10"/>
        <v>--</v>
      </c>
      <c r="W154" s="37"/>
      <c r="AT154" s="24"/>
      <c r="AU154" s="31" t="str">
        <f>IF(ISBLANK(AT154),"",SUMIFS(Table1[Amount $],Table1[Merchant],Snapshot!AT154,Table1[Month],Snapshot!$W$4)*-1)</f>
        <v/>
      </c>
      <c r="AV154" s="24" t="str">
        <f>IF(ISBLANK(AT154),"",COUNTIFS(Table1[Merchant],Snapshot!AT154,Table1[Month],Snapshot!$W$4))</f>
        <v/>
      </c>
      <c r="AW154" s="24" t="str">
        <f>IFERROR(RANK(AV154,$AV$6:$AV$200)+COUNTIF($AV$6:AV154,AV154)-1,"")</f>
        <v/>
      </c>
      <c r="AX154" s="24" t="str">
        <f>IFERROR(RANK(AU154,$AU$6:$AU$200)+COUNTIF($AU$6:AU154,AU154)-1,"")</f>
        <v/>
      </c>
    </row>
    <row r="155" spans="22:50">
      <c r="V155" s="37" t="str">
        <f t="shared" si="10"/>
        <v>--</v>
      </c>
      <c r="W155" s="37"/>
      <c r="AT155" s="24"/>
      <c r="AU155" s="31" t="str">
        <f>IF(ISBLANK(AT155),"",SUMIFS(Table1[Amount $],Table1[Merchant],Snapshot!AT155,Table1[Month],Snapshot!$W$4)*-1)</f>
        <v/>
      </c>
      <c r="AV155" s="24" t="str">
        <f>IF(ISBLANK(AT155),"",COUNTIFS(Table1[Merchant],Snapshot!AT155,Table1[Month],Snapshot!$W$4))</f>
        <v/>
      </c>
      <c r="AW155" s="24" t="str">
        <f>IFERROR(RANK(AV155,$AV$6:$AV$200)+COUNTIF($AV$6:AV155,AV155)-1,"")</f>
        <v/>
      </c>
      <c r="AX155" s="24" t="str">
        <f>IFERROR(RANK(AU155,$AU$6:$AU$200)+COUNTIF($AU$6:AU155,AU155)-1,"")</f>
        <v/>
      </c>
    </row>
    <row r="156" spans="22:50">
      <c r="V156" s="37" t="str">
        <f t="shared" si="10"/>
        <v>--</v>
      </c>
      <c r="W156" s="37"/>
      <c r="AT156" s="24"/>
      <c r="AU156" s="31" t="str">
        <f>IF(ISBLANK(AT156),"",SUMIFS(Table1[Amount $],Table1[Merchant],Snapshot!AT156,Table1[Month],Snapshot!$W$4)*-1)</f>
        <v/>
      </c>
      <c r="AV156" s="24" t="str">
        <f>IF(ISBLANK(AT156),"",COUNTIFS(Table1[Merchant],Snapshot!AT156,Table1[Month],Snapshot!$W$4))</f>
        <v/>
      </c>
      <c r="AW156" s="24" t="str">
        <f>IFERROR(RANK(AV156,$AV$6:$AV$200)+COUNTIF($AV$6:AV156,AV156)-1,"")</f>
        <v/>
      </c>
      <c r="AX156" s="24" t="str">
        <f>IFERROR(RANK(AU156,$AU$6:$AU$200)+COUNTIF($AU$6:AU156,AU156)-1,"")</f>
        <v/>
      </c>
    </row>
    <row r="157" spans="22:50">
      <c r="V157" s="37" t="str">
        <f t="shared" si="10"/>
        <v>--</v>
      </c>
      <c r="W157" s="37"/>
      <c r="AT157" s="24"/>
      <c r="AU157" s="31" t="str">
        <f>IF(ISBLANK(AT157),"",SUMIFS(Table1[Amount $],Table1[Merchant],Snapshot!AT157,Table1[Month],Snapshot!$W$4)*-1)</f>
        <v/>
      </c>
      <c r="AV157" s="24" t="str">
        <f>IF(ISBLANK(AT157),"",COUNTIFS(Table1[Merchant],Snapshot!AT157,Table1[Month],Snapshot!$W$4))</f>
        <v/>
      </c>
      <c r="AW157" s="24" t="str">
        <f>IFERROR(RANK(AV157,$AV$6:$AV$200)+COUNTIF($AV$6:AV157,AV157)-1,"")</f>
        <v/>
      </c>
      <c r="AX157" s="24" t="str">
        <f>IFERROR(RANK(AU157,$AU$6:$AU$200)+COUNTIF($AU$6:AU157,AU157)-1,"")</f>
        <v/>
      </c>
    </row>
    <row r="158" spans="22:50">
      <c r="V158" s="37" t="str">
        <f t="shared" si="10"/>
        <v>--</v>
      </c>
      <c r="W158" s="37"/>
      <c r="AT158" s="24"/>
      <c r="AU158" s="31" t="str">
        <f>IF(ISBLANK(AT158),"",SUMIFS(Table1[Amount $],Table1[Merchant],Snapshot!AT158,Table1[Month],Snapshot!$W$4)*-1)</f>
        <v/>
      </c>
      <c r="AV158" s="24" t="str">
        <f>IF(ISBLANK(AT158),"",COUNTIFS(Table1[Merchant],Snapshot!AT158,Table1[Month],Snapshot!$W$4))</f>
        <v/>
      </c>
      <c r="AW158" s="24" t="str">
        <f>IFERROR(RANK(AV158,$AV$6:$AV$200)+COUNTIF($AV$6:AV158,AV158)-1,"")</f>
        <v/>
      </c>
      <c r="AX158" s="24" t="str">
        <f>IFERROR(RANK(AU158,$AU$6:$AU$200)+COUNTIF($AU$6:AU158,AU158)-1,"")</f>
        <v/>
      </c>
    </row>
    <row r="159" spans="22:50">
      <c r="V159" s="37" t="str">
        <f t="shared" si="10"/>
        <v>--</v>
      </c>
      <c r="W159" s="37"/>
      <c r="AT159" s="24"/>
      <c r="AU159" s="31" t="str">
        <f>IF(ISBLANK(AT159),"",SUMIFS(Table1[Amount $],Table1[Merchant],Snapshot!AT159,Table1[Month],Snapshot!$W$4)*-1)</f>
        <v/>
      </c>
      <c r="AV159" s="24" t="str">
        <f>IF(ISBLANK(AT159),"",COUNTIFS(Table1[Merchant],Snapshot!AT159,Table1[Month],Snapshot!$W$4))</f>
        <v/>
      </c>
      <c r="AW159" s="24" t="str">
        <f>IFERROR(RANK(AV159,$AV$6:$AV$200)+COUNTIF($AV$6:AV159,AV159)-1,"")</f>
        <v/>
      </c>
      <c r="AX159" s="24" t="str">
        <f>IFERROR(RANK(AU159,$AU$6:$AU$200)+COUNTIF($AU$6:AU159,AU159)-1,"")</f>
        <v/>
      </c>
    </row>
    <row r="160" spans="22:50">
      <c r="V160" s="37" t="str">
        <f t="shared" si="10"/>
        <v>--</v>
      </c>
      <c r="W160" s="37"/>
      <c r="AT160" s="24"/>
      <c r="AU160" s="31" t="str">
        <f>IF(ISBLANK(AT160),"",SUMIFS(Table1[Amount $],Table1[Merchant],Snapshot!AT160,Table1[Month],Snapshot!$W$4)*-1)</f>
        <v/>
      </c>
      <c r="AV160" s="24" t="str">
        <f>IF(ISBLANK(AT160),"",COUNTIFS(Table1[Merchant],Snapshot!AT160,Table1[Month],Snapshot!$W$4))</f>
        <v/>
      </c>
      <c r="AW160" s="24" t="str">
        <f>IFERROR(RANK(AV160,$AV$6:$AV$200)+COUNTIF($AV$6:AV160,AV160)-1,"")</f>
        <v/>
      </c>
      <c r="AX160" s="24" t="str">
        <f>IFERROR(RANK(AU160,$AU$6:$AU$200)+COUNTIF($AU$6:AU160,AU160)-1,"")</f>
        <v/>
      </c>
    </row>
    <row r="161" spans="22:50">
      <c r="V161" s="37" t="str">
        <f t="shared" si="10"/>
        <v>--</v>
      </c>
      <c r="W161" s="37"/>
      <c r="AT161" s="24"/>
      <c r="AU161" s="31" t="str">
        <f>IF(ISBLANK(AT161),"",SUMIFS(Table1[Amount $],Table1[Merchant],Snapshot!AT161,Table1[Month],Snapshot!$W$4)*-1)</f>
        <v/>
      </c>
      <c r="AV161" s="24" t="str">
        <f>IF(ISBLANK(AT161),"",COUNTIFS(Table1[Merchant],Snapshot!AT161,Table1[Month],Snapshot!$W$4))</f>
        <v/>
      </c>
      <c r="AW161" s="24" t="str">
        <f>IFERROR(RANK(AV161,$AV$6:$AV$200)+COUNTIF($AV$6:AV161,AV161)-1,"")</f>
        <v/>
      </c>
      <c r="AX161" s="24" t="str">
        <f>IFERROR(RANK(AU161,$AU$6:$AU$200)+COUNTIF($AU$6:AU161,AU161)-1,"")</f>
        <v/>
      </c>
    </row>
    <row r="162" spans="22:50">
      <c r="V162" s="37" t="str">
        <f t="shared" si="10"/>
        <v>--</v>
      </c>
      <c r="W162" s="37"/>
      <c r="AT162" s="24"/>
      <c r="AU162" s="31" t="str">
        <f>IF(ISBLANK(AT162),"",SUMIFS(Table1[Amount $],Table1[Merchant],Snapshot!AT162,Table1[Month],Snapshot!$W$4)*-1)</f>
        <v/>
      </c>
      <c r="AV162" s="24" t="str">
        <f>IF(ISBLANK(AT162),"",COUNTIFS(Table1[Merchant],Snapshot!AT162,Table1[Month],Snapshot!$W$4))</f>
        <v/>
      </c>
      <c r="AW162" s="24" t="str">
        <f>IFERROR(RANK(AV162,$AV$6:$AV$200)+COUNTIF($AV$6:AV162,AV162)-1,"")</f>
        <v/>
      </c>
      <c r="AX162" s="24" t="str">
        <f>IFERROR(RANK(AU162,$AU$6:$AU$200)+COUNTIF($AU$6:AU162,AU162)-1,"")</f>
        <v/>
      </c>
    </row>
    <row r="163" spans="22:50">
      <c r="V163" s="37" t="str">
        <f t="shared" si="10"/>
        <v>--</v>
      </c>
      <c r="W163" s="37"/>
      <c r="AT163" s="24"/>
      <c r="AU163" s="31" t="str">
        <f>IF(ISBLANK(AT163),"",SUMIFS(Table1[Amount $],Table1[Merchant],Snapshot!AT163,Table1[Month],Snapshot!$W$4)*-1)</f>
        <v/>
      </c>
      <c r="AV163" s="24" t="str">
        <f>IF(ISBLANK(AT163),"",COUNTIFS(Table1[Merchant],Snapshot!AT163,Table1[Month],Snapshot!$W$4))</f>
        <v/>
      </c>
      <c r="AW163" s="24" t="str">
        <f>IFERROR(RANK(AV163,$AV$6:$AV$200)+COUNTIF($AV$6:AV163,AV163)-1,"")</f>
        <v/>
      </c>
      <c r="AX163" s="24" t="str">
        <f>IFERROR(RANK(AU163,$AU$6:$AU$200)+COUNTIF($AU$6:AU163,AU163)-1,"")</f>
        <v/>
      </c>
    </row>
    <row r="164" spans="22:50">
      <c r="V164" s="37" t="str">
        <f t="shared" si="10"/>
        <v>--</v>
      </c>
      <c r="W164" s="37"/>
      <c r="AT164" s="24"/>
      <c r="AU164" s="31" t="str">
        <f>IF(ISBLANK(AT164),"",SUMIFS(Table1[Amount $],Table1[Merchant],Snapshot!AT164,Table1[Month],Snapshot!$W$4)*-1)</f>
        <v/>
      </c>
      <c r="AV164" s="24" t="str">
        <f>IF(ISBLANK(AT164),"",COUNTIFS(Table1[Merchant],Snapshot!AT164,Table1[Month],Snapshot!$W$4))</f>
        <v/>
      </c>
      <c r="AW164" s="24" t="str">
        <f>IFERROR(RANK(AV164,$AV$6:$AV$200)+COUNTIF($AV$6:AV164,AV164)-1,"")</f>
        <v/>
      </c>
      <c r="AX164" s="24" t="str">
        <f>IFERROR(RANK(AU164,$AU$6:$AU$200)+COUNTIF($AU$6:AU164,AU164)-1,"")</f>
        <v/>
      </c>
    </row>
    <row r="165" spans="22:50">
      <c r="V165" s="37" t="str">
        <f t="shared" si="10"/>
        <v>--</v>
      </c>
      <c r="W165" s="37"/>
      <c r="AT165" s="24"/>
      <c r="AU165" s="31" t="str">
        <f>IF(ISBLANK(AT165),"",SUMIFS(Table1[Amount $],Table1[Merchant],Snapshot!AT165,Table1[Month],Snapshot!$W$4)*-1)</f>
        <v/>
      </c>
      <c r="AV165" s="24" t="str">
        <f>IF(ISBLANK(AT165),"",COUNTIFS(Table1[Merchant],Snapshot!AT165,Table1[Month],Snapshot!$W$4))</f>
        <v/>
      </c>
      <c r="AW165" s="24" t="str">
        <f>IFERROR(RANK(AV165,$AV$6:$AV$200)+COUNTIF($AV$6:AV165,AV165)-1,"")</f>
        <v/>
      </c>
      <c r="AX165" s="24" t="str">
        <f>IFERROR(RANK(AU165,$AU$6:$AU$200)+COUNTIF($AU$6:AU165,AU165)-1,"")</f>
        <v/>
      </c>
    </row>
    <row r="166" spans="22:50">
      <c r="V166" s="37" t="str">
        <f t="shared" si="10"/>
        <v>--</v>
      </c>
      <c r="W166" s="37"/>
      <c r="AT166" s="24"/>
      <c r="AU166" s="31" t="str">
        <f>IF(ISBLANK(AT166),"",SUMIFS(Table1[Amount $],Table1[Merchant],Snapshot!AT166,Table1[Month],Snapshot!$W$4)*-1)</f>
        <v/>
      </c>
      <c r="AV166" s="24" t="str">
        <f>IF(ISBLANK(AT166),"",COUNTIFS(Table1[Merchant],Snapshot!AT166,Table1[Month],Snapshot!$W$4))</f>
        <v/>
      </c>
      <c r="AW166" s="24" t="str">
        <f>IFERROR(RANK(AV166,$AV$6:$AV$200)+COUNTIF($AV$6:AV166,AV166)-1,"")</f>
        <v/>
      </c>
      <c r="AX166" s="24" t="str">
        <f>IFERROR(RANK(AU166,$AU$6:$AU$200)+COUNTIF($AU$6:AU166,AU166)-1,"")</f>
        <v/>
      </c>
    </row>
    <row r="167" spans="22:50">
      <c r="V167" s="37" t="str">
        <f t="shared" si="10"/>
        <v>--</v>
      </c>
      <c r="W167" s="37"/>
      <c r="AT167" s="24"/>
      <c r="AU167" s="31" t="str">
        <f>IF(ISBLANK(AT167),"",SUMIFS(Table1[Amount $],Table1[Merchant],Snapshot!AT167,Table1[Month],Snapshot!$W$4)*-1)</f>
        <v/>
      </c>
      <c r="AV167" s="24" t="str">
        <f>IF(ISBLANK(AT167),"",COUNTIFS(Table1[Merchant],Snapshot!AT167,Table1[Month],Snapshot!$W$4))</f>
        <v/>
      </c>
      <c r="AW167" s="24" t="str">
        <f>IFERROR(RANK(AV167,$AV$6:$AV$200)+COUNTIF($AV$6:AV167,AV167)-1,"")</f>
        <v/>
      </c>
      <c r="AX167" s="24" t="str">
        <f>IFERROR(RANK(AU167,$AU$6:$AU$200)+COUNTIF($AU$6:AU167,AU167)-1,"")</f>
        <v/>
      </c>
    </row>
    <row r="168" spans="22:50">
      <c r="V168" s="37" t="str">
        <f t="shared" si="10"/>
        <v>--</v>
      </c>
      <c r="W168" s="37"/>
      <c r="AT168" s="24"/>
      <c r="AU168" s="31" t="str">
        <f>IF(ISBLANK(AT168),"",SUMIFS(Table1[Amount $],Table1[Merchant],Snapshot!AT168,Table1[Month],Snapshot!$W$4)*-1)</f>
        <v/>
      </c>
      <c r="AV168" s="24" t="str">
        <f>IF(ISBLANK(AT168),"",COUNTIFS(Table1[Merchant],Snapshot!AT168,Table1[Month],Snapshot!$W$4))</f>
        <v/>
      </c>
      <c r="AW168" s="24" t="str">
        <f>IFERROR(RANK(AV168,$AV$6:$AV$200)+COUNTIF($AV$6:AV168,AV168)-1,"")</f>
        <v/>
      </c>
      <c r="AX168" s="24" t="str">
        <f>IFERROR(RANK(AU168,$AU$6:$AU$200)+COUNTIF($AU$6:AU168,AU168)-1,"")</f>
        <v/>
      </c>
    </row>
    <row r="169" spans="22:50">
      <c r="V169" s="37" t="str">
        <f t="shared" si="10"/>
        <v>--</v>
      </c>
      <c r="W169" s="37"/>
      <c r="AT169" s="24"/>
      <c r="AU169" s="31" t="str">
        <f>IF(ISBLANK(AT169),"",SUMIFS(Table1[Amount $],Table1[Merchant],Snapshot!AT169,Table1[Month],Snapshot!$W$4)*-1)</f>
        <v/>
      </c>
      <c r="AV169" s="24" t="str">
        <f>IF(ISBLANK(AT169),"",COUNTIFS(Table1[Merchant],Snapshot!AT169,Table1[Month],Snapshot!$W$4))</f>
        <v/>
      </c>
      <c r="AW169" s="24" t="str">
        <f>IFERROR(RANK(AV169,$AV$6:$AV$200)+COUNTIF($AV$6:AV169,AV169)-1,"")</f>
        <v/>
      </c>
      <c r="AX169" s="24" t="str">
        <f>IFERROR(RANK(AU169,$AU$6:$AU$200)+COUNTIF($AU$6:AU169,AU169)-1,"")</f>
        <v/>
      </c>
    </row>
    <row r="170" spans="22:50">
      <c r="V170" s="37" t="str">
        <f t="shared" ref="V170:V199" si="11">IF(ISBLANK(W170),"--",TEXT(W170,"mmmm")&amp;" "&amp;TEXT(W170,"YYYY"))</f>
        <v>--</v>
      </c>
      <c r="W170" s="37"/>
      <c r="AT170" s="24"/>
      <c r="AU170" s="31" t="str">
        <f>IF(ISBLANK(AT170),"",SUMIFS(Table1[Amount $],Table1[Merchant],Snapshot!AT170,Table1[Month],Snapshot!$W$4)*-1)</f>
        <v/>
      </c>
      <c r="AV170" s="24" t="str">
        <f>IF(ISBLANK(AT170),"",COUNTIFS(Table1[Merchant],Snapshot!AT170,Table1[Month],Snapshot!$W$4))</f>
        <v/>
      </c>
      <c r="AW170" s="24" t="str">
        <f>IFERROR(RANK(AV170,$AV$6:$AV$200)+COUNTIF($AV$6:AV170,AV170)-1,"")</f>
        <v/>
      </c>
      <c r="AX170" s="24" t="str">
        <f>IFERROR(RANK(AU170,$AU$6:$AU$200)+COUNTIF($AU$6:AU170,AU170)-1,"")</f>
        <v/>
      </c>
    </row>
    <row r="171" spans="22:50">
      <c r="V171" s="37" t="str">
        <f t="shared" si="11"/>
        <v>--</v>
      </c>
      <c r="W171" s="37"/>
      <c r="AT171" s="24"/>
      <c r="AU171" s="31" t="str">
        <f>IF(ISBLANK(AT171),"",SUMIFS(Table1[Amount $],Table1[Merchant],Snapshot!AT171,Table1[Month],Snapshot!$W$4)*-1)</f>
        <v/>
      </c>
      <c r="AV171" s="24" t="str">
        <f>IF(ISBLANK(AT171),"",COUNTIFS(Table1[Merchant],Snapshot!AT171,Table1[Month],Snapshot!$W$4))</f>
        <v/>
      </c>
      <c r="AW171" s="24" t="str">
        <f>IFERROR(RANK(AV171,$AV$6:$AV$200)+COUNTIF($AV$6:AV171,AV171)-1,"")</f>
        <v/>
      </c>
      <c r="AX171" s="24" t="str">
        <f>IFERROR(RANK(AU171,$AU$6:$AU$200)+COUNTIF($AU$6:AU171,AU171)-1,"")</f>
        <v/>
      </c>
    </row>
    <row r="172" spans="22:50">
      <c r="V172" s="37" t="str">
        <f t="shared" si="11"/>
        <v>--</v>
      </c>
      <c r="W172" s="37"/>
      <c r="AT172" s="24"/>
      <c r="AU172" s="31" t="str">
        <f>IF(ISBLANK(AT172),"",SUMIFS(Table1[Amount $],Table1[Merchant],Snapshot!AT172,Table1[Month],Snapshot!$W$4)*-1)</f>
        <v/>
      </c>
      <c r="AV172" s="24" t="str">
        <f>IF(ISBLANK(AT172),"",COUNTIFS(Table1[Merchant],Snapshot!AT172,Table1[Month],Snapshot!$W$4))</f>
        <v/>
      </c>
      <c r="AW172" s="24" t="str">
        <f>IFERROR(RANK(AV172,$AV$6:$AV$200)+COUNTIF($AV$6:AV172,AV172)-1,"")</f>
        <v/>
      </c>
      <c r="AX172" s="24" t="str">
        <f>IFERROR(RANK(AU172,$AU$6:$AU$200)+COUNTIF($AU$6:AU172,AU172)-1,"")</f>
        <v/>
      </c>
    </row>
    <row r="173" spans="22:50">
      <c r="V173" s="37" t="str">
        <f t="shared" si="11"/>
        <v>--</v>
      </c>
      <c r="W173" s="37"/>
      <c r="AT173" s="24"/>
      <c r="AU173" s="31" t="str">
        <f>IF(ISBLANK(AT173),"",SUMIFS(Table1[Amount $],Table1[Merchant],Snapshot!AT173,Table1[Month],Snapshot!$W$4)*-1)</f>
        <v/>
      </c>
      <c r="AV173" s="24" t="str">
        <f>IF(ISBLANK(AT173),"",COUNTIFS(Table1[Merchant],Snapshot!AT173,Table1[Month],Snapshot!$W$4))</f>
        <v/>
      </c>
      <c r="AW173" s="24" t="str">
        <f>IFERROR(RANK(AV173,$AV$6:$AV$200)+COUNTIF($AV$6:AV173,AV173)-1,"")</f>
        <v/>
      </c>
      <c r="AX173" s="24" t="str">
        <f>IFERROR(RANK(AU173,$AU$6:$AU$200)+COUNTIF($AU$6:AU173,AU173)-1,"")</f>
        <v/>
      </c>
    </row>
    <row r="174" spans="22:50">
      <c r="V174" s="37" t="str">
        <f t="shared" si="11"/>
        <v>--</v>
      </c>
      <c r="W174" s="37"/>
      <c r="AT174" s="24"/>
      <c r="AU174" s="31" t="str">
        <f>IF(ISBLANK(AT174),"",SUMIFS(Table1[Amount $],Table1[Merchant],Snapshot!AT174,Table1[Month],Snapshot!$W$4)*-1)</f>
        <v/>
      </c>
      <c r="AV174" s="24" t="str">
        <f>IF(ISBLANK(AT174),"",COUNTIFS(Table1[Merchant],Snapshot!AT174,Table1[Month],Snapshot!$W$4))</f>
        <v/>
      </c>
      <c r="AW174" s="24" t="str">
        <f>IFERROR(RANK(AV174,$AV$6:$AV$200)+COUNTIF($AV$6:AV174,AV174)-1,"")</f>
        <v/>
      </c>
      <c r="AX174" s="24" t="str">
        <f>IFERROR(RANK(AU174,$AU$6:$AU$200)+COUNTIF($AU$6:AU174,AU174)-1,"")</f>
        <v/>
      </c>
    </row>
    <row r="175" spans="22:50">
      <c r="V175" s="37" t="str">
        <f t="shared" si="11"/>
        <v>--</v>
      </c>
      <c r="W175" s="37"/>
      <c r="AT175" s="24"/>
      <c r="AU175" s="31" t="str">
        <f>IF(ISBLANK(AT175),"",SUMIFS(Table1[Amount $],Table1[Merchant],Snapshot!AT175,Table1[Month],Snapshot!$W$4)*-1)</f>
        <v/>
      </c>
      <c r="AV175" s="24" t="str">
        <f>IF(ISBLANK(AT175),"",COUNTIFS(Table1[Merchant],Snapshot!AT175,Table1[Month],Snapshot!$W$4))</f>
        <v/>
      </c>
      <c r="AW175" s="24" t="str">
        <f>IFERROR(RANK(AV175,$AV$6:$AV$200)+COUNTIF($AV$6:AV175,AV175)-1,"")</f>
        <v/>
      </c>
      <c r="AX175" s="24" t="str">
        <f>IFERROR(RANK(AU175,$AU$6:$AU$200)+COUNTIF($AU$6:AU175,AU175)-1,"")</f>
        <v/>
      </c>
    </row>
    <row r="176" spans="22:50">
      <c r="V176" s="37" t="str">
        <f t="shared" si="11"/>
        <v>--</v>
      </c>
      <c r="W176" s="37"/>
      <c r="AT176" s="24"/>
      <c r="AU176" s="31" t="str">
        <f>IF(ISBLANK(AT176),"",SUMIFS(Table1[Amount $],Table1[Merchant],Snapshot!AT176,Table1[Month],Snapshot!$W$4)*-1)</f>
        <v/>
      </c>
      <c r="AV176" s="24" t="str">
        <f>IF(ISBLANK(AT176),"",COUNTIFS(Table1[Merchant],Snapshot!AT176,Table1[Month],Snapshot!$W$4))</f>
        <v/>
      </c>
      <c r="AW176" s="24" t="str">
        <f>IFERROR(RANK(AV176,$AV$6:$AV$200)+COUNTIF($AV$6:AV176,AV176)-1,"")</f>
        <v/>
      </c>
      <c r="AX176" s="24" t="str">
        <f>IFERROR(RANK(AU176,$AU$6:$AU$200)+COUNTIF($AU$6:AU176,AU176)-1,"")</f>
        <v/>
      </c>
    </row>
    <row r="177" spans="22:50">
      <c r="V177" s="37" t="str">
        <f t="shared" si="11"/>
        <v>--</v>
      </c>
      <c r="W177" s="37"/>
      <c r="AT177" s="24"/>
      <c r="AU177" s="31" t="str">
        <f>IF(ISBLANK(AT177),"",SUMIFS(Table1[Amount $],Table1[Merchant],Snapshot!AT177,Table1[Month],Snapshot!$W$4)*-1)</f>
        <v/>
      </c>
      <c r="AV177" s="24" t="str">
        <f>IF(ISBLANK(AT177),"",COUNTIFS(Table1[Merchant],Snapshot!AT177,Table1[Month],Snapshot!$W$4))</f>
        <v/>
      </c>
      <c r="AW177" s="24" t="str">
        <f>IFERROR(RANK(AV177,$AV$6:$AV$200)+COUNTIF($AV$6:AV177,AV177)-1,"")</f>
        <v/>
      </c>
      <c r="AX177" s="24" t="str">
        <f>IFERROR(RANK(AU177,$AU$6:$AU$200)+COUNTIF($AU$6:AU177,AU177)-1,"")</f>
        <v/>
      </c>
    </row>
    <row r="178" spans="22:50">
      <c r="V178" s="37" t="str">
        <f t="shared" si="11"/>
        <v>--</v>
      </c>
      <c r="W178" s="37"/>
      <c r="AT178" s="24"/>
      <c r="AU178" s="31" t="str">
        <f>IF(ISBLANK(AT178),"",SUMIFS(Table1[Amount $],Table1[Merchant],Snapshot!AT178,Table1[Month],Snapshot!$W$4)*-1)</f>
        <v/>
      </c>
      <c r="AV178" s="24" t="str">
        <f>IF(ISBLANK(AT178),"",COUNTIFS(Table1[Merchant],Snapshot!AT178,Table1[Month],Snapshot!$W$4))</f>
        <v/>
      </c>
      <c r="AW178" s="24" t="str">
        <f>IFERROR(RANK(AV178,$AV$6:$AV$200)+COUNTIF($AV$6:AV178,AV178)-1,"")</f>
        <v/>
      </c>
      <c r="AX178" s="24" t="str">
        <f>IFERROR(RANK(AU178,$AU$6:$AU$200)+COUNTIF($AU$6:AU178,AU178)-1,"")</f>
        <v/>
      </c>
    </row>
    <row r="179" spans="22:50">
      <c r="V179" s="37" t="str">
        <f t="shared" si="11"/>
        <v>--</v>
      </c>
      <c r="W179" s="37"/>
      <c r="AT179" s="24"/>
      <c r="AU179" s="31" t="str">
        <f>IF(ISBLANK(AT179),"",SUMIFS(Table1[Amount $],Table1[Merchant],Snapshot!AT179,Table1[Month],Snapshot!$W$4)*-1)</f>
        <v/>
      </c>
      <c r="AV179" s="24" t="str">
        <f>IF(ISBLANK(AT179),"",COUNTIFS(Table1[Merchant],Snapshot!AT179,Table1[Month],Snapshot!$W$4))</f>
        <v/>
      </c>
      <c r="AW179" s="24" t="str">
        <f>IFERROR(RANK(AV179,$AV$6:$AV$200)+COUNTIF($AV$6:AV179,AV179)-1,"")</f>
        <v/>
      </c>
      <c r="AX179" s="24" t="str">
        <f>IFERROR(RANK(AU179,$AU$6:$AU$200)+COUNTIF($AU$6:AU179,AU179)-1,"")</f>
        <v/>
      </c>
    </row>
    <row r="180" spans="22:50">
      <c r="V180" s="37" t="str">
        <f t="shared" si="11"/>
        <v>--</v>
      </c>
      <c r="W180" s="37"/>
      <c r="AT180" s="24"/>
      <c r="AU180" s="31" t="str">
        <f>IF(ISBLANK(AT180),"",SUMIFS(Table1[Amount $],Table1[Merchant],Snapshot!AT180,Table1[Month],Snapshot!$W$4)*-1)</f>
        <v/>
      </c>
      <c r="AV180" s="24" t="str">
        <f>IF(ISBLANK(AT180),"",COUNTIFS(Table1[Merchant],Snapshot!AT180,Table1[Month],Snapshot!$W$4))</f>
        <v/>
      </c>
      <c r="AW180" s="24" t="str">
        <f>IFERROR(RANK(AV180,$AV$6:$AV$200)+COUNTIF($AV$6:AV180,AV180)-1,"")</f>
        <v/>
      </c>
      <c r="AX180" s="24" t="str">
        <f>IFERROR(RANK(AU180,$AU$6:$AU$200)+COUNTIF($AU$6:AU180,AU180)-1,"")</f>
        <v/>
      </c>
    </row>
    <row r="181" spans="22:50">
      <c r="V181" s="37" t="str">
        <f t="shared" si="11"/>
        <v>--</v>
      </c>
      <c r="W181" s="37"/>
      <c r="AT181" s="24"/>
      <c r="AU181" s="31" t="str">
        <f>IF(ISBLANK(AT181),"",SUMIFS(Table1[Amount $],Table1[Merchant],Snapshot!AT181,Table1[Month],Snapshot!$W$4)*-1)</f>
        <v/>
      </c>
      <c r="AV181" s="24" t="str">
        <f>IF(ISBLANK(AT181),"",COUNTIFS(Table1[Merchant],Snapshot!AT181,Table1[Month],Snapshot!$W$4))</f>
        <v/>
      </c>
      <c r="AW181" s="24" t="str">
        <f>IFERROR(RANK(AV181,$AV$6:$AV$200)+COUNTIF($AV$6:AV181,AV181)-1,"")</f>
        <v/>
      </c>
      <c r="AX181" s="24" t="str">
        <f>IFERROR(RANK(AU181,$AU$6:$AU$200)+COUNTIF($AU$6:AU181,AU181)-1,"")</f>
        <v/>
      </c>
    </row>
    <row r="182" spans="22:50">
      <c r="V182" s="37" t="str">
        <f t="shared" si="11"/>
        <v>--</v>
      </c>
      <c r="W182" s="37"/>
      <c r="AT182" s="24"/>
      <c r="AU182" s="31" t="str">
        <f>IF(ISBLANK(AT182),"",SUMIFS(Table1[Amount $],Table1[Merchant],Snapshot!AT182,Table1[Month],Snapshot!$W$4)*-1)</f>
        <v/>
      </c>
      <c r="AV182" s="24" t="str">
        <f>IF(ISBLANK(AT182),"",COUNTIFS(Table1[Merchant],Snapshot!AT182,Table1[Month],Snapshot!$W$4))</f>
        <v/>
      </c>
      <c r="AW182" s="24" t="str">
        <f>IFERROR(RANK(AV182,$AV$6:$AV$200)+COUNTIF($AV$6:AV182,AV182)-1,"")</f>
        <v/>
      </c>
      <c r="AX182" s="24" t="str">
        <f>IFERROR(RANK(AU182,$AU$6:$AU$200)+COUNTIF($AU$6:AU182,AU182)-1,"")</f>
        <v/>
      </c>
    </row>
    <row r="183" spans="22:50">
      <c r="V183" s="37" t="str">
        <f t="shared" si="11"/>
        <v>--</v>
      </c>
      <c r="W183" s="37"/>
      <c r="AT183" s="24"/>
      <c r="AU183" s="31" t="str">
        <f>IF(ISBLANK(AT183),"",SUMIFS(Table1[Amount $],Table1[Merchant],Snapshot!AT183,Table1[Month],Snapshot!$W$4)*-1)</f>
        <v/>
      </c>
      <c r="AV183" s="24" t="str">
        <f>IF(ISBLANK(AT183),"",COUNTIFS(Table1[Merchant],Snapshot!AT183,Table1[Month],Snapshot!$W$4))</f>
        <v/>
      </c>
      <c r="AW183" s="24" t="str">
        <f>IFERROR(RANK(AV183,$AV$6:$AV$200)+COUNTIF($AV$6:AV183,AV183)-1,"")</f>
        <v/>
      </c>
      <c r="AX183" s="24" t="str">
        <f>IFERROR(RANK(AU183,$AU$6:$AU$200)+COUNTIF($AU$6:AU183,AU183)-1,"")</f>
        <v/>
      </c>
    </row>
    <row r="184" spans="22:50">
      <c r="V184" s="37" t="str">
        <f t="shared" si="11"/>
        <v>--</v>
      </c>
      <c r="W184" s="37"/>
      <c r="AT184" s="24"/>
      <c r="AU184" s="31" t="str">
        <f>IF(ISBLANK(AT184),"",SUMIFS(Table1[Amount $],Table1[Merchant],Snapshot!AT184,Table1[Month],Snapshot!$W$4)*-1)</f>
        <v/>
      </c>
      <c r="AV184" s="24" t="str">
        <f>IF(ISBLANK(AT184),"",COUNTIFS(Table1[Merchant],Snapshot!AT184,Table1[Month],Snapshot!$W$4))</f>
        <v/>
      </c>
      <c r="AW184" s="24" t="str">
        <f>IFERROR(RANK(AV184,$AV$6:$AV$200)+COUNTIF($AV$6:AV184,AV184)-1,"")</f>
        <v/>
      </c>
      <c r="AX184" s="24" t="str">
        <f>IFERROR(RANK(AU184,$AU$6:$AU$200)+COUNTIF($AU$6:AU184,AU184)-1,"")</f>
        <v/>
      </c>
    </row>
    <row r="185" spans="22:50">
      <c r="V185" s="37" t="str">
        <f t="shared" si="11"/>
        <v>--</v>
      </c>
      <c r="W185" s="37"/>
      <c r="AT185" s="24"/>
      <c r="AU185" s="31" t="str">
        <f>IF(ISBLANK(AT185),"",SUMIFS(Table1[Amount $],Table1[Merchant],Snapshot!AT185,Table1[Month],Snapshot!$W$4)*-1)</f>
        <v/>
      </c>
      <c r="AV185" s="24" t="str">
        <f>IF(ISBLANK(AT185),"",COUNTIFS(Table1[Merchant],Snapshot!AT185,Table1[Month],Snapshot!$W$4))</f>
        <v/>
      </c>
      <c r="AW185" s="24" t="str">
        <f>IFERROR(RANK(AV185,$AV$6:$AV$200)+COUNTIF($AV$6:AV185,AV185)-1,"")</f>
        <v/>
      </c>
      <c r="AX185" s="24" t="str">
        <f>IFERROR(RANK(AU185,$AU$6:$AU$200)+COUNTIF($AU$6:AU185,AU185)-1,"")</f>
        <v/>
      </c>
    </row>
    <row r="186" spans="22:50">
      <c r="V186" s="37" t="str">
        <f t="shared" si="11"/>
        <v>--</v>
      </c>
      <c r="W186" s="37"/>
      <c r="AT186" s="24"/>
      <c r="AU186" s="31" t="str">
        <f>IF(ISBLANK(AT186),"",SUMIFS(Table1[Amount $],Table1[Merchant],Snapshot!AT186,Table1[Month],Snapshot!$W$4)*-1)</f>
        <v/>
      </c>
      <c r="AV186" s="24" t="str">
        <f>IF(ISBLANK(AT186),"",COUNTIFS(Table1[Merchant],Snapshot!AT186,Table1[Month],Snapshot!$W$4))</f>
        <v/>
      </c>
      <c r="AW186" s="24" t="str">
        <f>IFERROR(RANK(AV186,$AV$6:$AV$200)+COUNTIF($AV$6:AV186,AV186)-1,"")</f>
        <v/>
      </c>
      <c r="AX186" s="24" t="str">
        <f>IFERROR(RANK(AU186,$AU$6:$AU$200)+COUNTIF($AU$6:AU186,AU186)-1,"")</f>
        <v/>
      </c>
    </row>
    <row r="187" spans="22:50">
      <c r="V187" s="37" t="str">
        <f t="shared" si="11"/>
        <v>--</v>
      </c>
      <c r="W187" s="37"/>
      <c r="AT187" s="24"/>
      <c r="AU187" s="31" t="str">
        <f>IF(ISBLANK(AT187),"",SUMIFS(Table1[Amount $],Table1[Merchant],Snapshot!AT187,Table1[Month],Snapshot!$W$4)*-1)</f>
        <v/>
      </c>
      <c r="AV187" s="24" t="str">
        <f>IF(ISBLANK(AT187),"",COUNTIFS(Table1[Merchant],Snapshot!AT187,Table1[Month],Snapshot!$W$4))</f>
        <v/>
      </c>
      <c r="AW187" s="24" t="str">
        <f>IFERROR(RANK(AV187,$AV$6:$AV$200)+COUNTIF($AV$6:AV187,AV187)-1,"")</f>
        <v/>
      </c>
      <c r="AX187" s="24" t="str">
        <f>IFERROR(RANK(AU187,$AU$6:$AU$200)+COUNTIF($AU$6:AU187,AU187)-1,"")</f>
        <v/>
      </c>
    </row>
    <row r="188" spans="22:50">
      <c r="V188" s="37" t="str">
        <f t="shared" si="11"/>
        <v>--</v>
      </c>
      <c r="W188" s="37"/>
      <c r="AT188" s="24"/>
      <c r="AU188" s="31" t="str">
        <f>IF(ISBLANK(AT188),"",SUMIFS(Table1[Amount $],Table1[Merchant],Snapshot!AT188,Table1[Month],Snapshot!$W$4)*-1)</f>
        <v/>
      </c>
      <c r="AV188" s="24" t="str">
        <f>IF(ISBLANK(AT188),"",COUNTIFS(Table1[Merchant],Snapshot!AT188,Table1[Month],Snapshot!$W$4))</f>
        <v/>
      </c>
      <c r="AW188" s="24" t="str">
        <f>IFERROR(RANK(AV188,$AV$6:$AV$200)+COUNTIF($AV$6:AV188,AV188)-1,"")</f>
        <v/>
      </c>
      <c r="AX188" s="24" t="str">
        <f>IFERROR(RANK(AU188,$AU$6:$AU$200)+COUNTIF($AU$6:AU188,AU188)-1,"")</f>
        <v/>
      </c>
    </row>
    <row r="189" spans="22:50">
      <c r="V189" s="37" t="str">
        <f t="shared" si="11"/>
        <v>--</v>
      </c>
      <c r="W189" s="37"/>
      <c r="AT189" s="24"/>
      <c r="AU189" s="31" t="str">
        <f>IF(ISBLANK(AT189),"",SUMIFS(Table1[Amount $],Table1[Merchant],Snapshot!AT189,Table1[Month],Snapshot!$W$4)*-1)</f>
        <v/>
      </c>
      <c r="AV189" s="24" t="str">
        <f>IF(ISBLANK(AT189),"",COUNTIFS(Table1[Merchant],Snapshot!AT189,Table1[Month],Snapshot!$W$4))</f>
        <v/>
      </c>
      <c r="AW189" s="24" t="str">
        <f>IFERROR(RANK(AV189,$AV$6:$AV$200)+COUNTIF($AV$6:AV189,AV189)-1,"")</f>
        <v/>
      </c>
      <c r="AX189" s="24" t="str">
        <f>IFERROR(RANK(AU189,$AU$6:$AU$200)+COUNTIF($AU$6:AU189,AU189)-1,"")</f>
        <v/>
      </c>
    </row>
    <row r="190" spans="22:50">
      <c r="V190" s="37" t="str">
        <f t="shared" si="11"/>
        <v>--</v>
      </c>
      <c r="W190" s="37"/>
      <c r="AT190" s="24"/>
      <c r="AU190" s="31" t="str">
        <f>IF(ISBLANK(AT190),"",SUMIFS(Table1[Amount $],Table1[Merchant],Snapshot!AT190,Table1[Month],Snapshot!$W$4)*-1)</f>
        <v/>
      </c>
      <c r="AV190" s="24" t="str">
        <f>IF(ISBLANK(AT190),"",COUNTIFS(Table1[Merchant],Snapshot!AT190,Table1[Month],Snapshot!$W$4))</f>
        <v/>
      </c>
      <c r="AW190" s="24" t="str">
        <f>IFERROR(RANK(AV190,$AV$6:$AV$200)+COUNTIF($AV$6:AV190,AV190)-1,"")</f>
        <v/>
      </c>
      <c r="AX190" s="24" t="str">
        <f>IFERROR(RANK(AU190,$AU$6:$AU$200)+COUNTIF($AU$6:AU190,AU190)-1,"")</f>
        <v/>
      </c>
    </row>
    <row r="191" spans="22:50">
      <c r="V191" s="37" t="str">
        <f t="shared" si="11"/>
        <v>--</v>
      </c>
      <c r="W191" s="37"/>
      <c r="AT191" s="24"/>
      <c r="AU191" s="31" t="str">
        <f>IF(ISBLANK(AT191),"",SUMIFS(Table1[Amount $],Table1[Merchant],Snapshot!AT191,Table1[Month],Snapshot!$W$4)*-1)</f>
        <v/>
      </c>
      <c r="AV191" s="24" t="str">
        <f>IF(ISBLANK(AT191),"",COUNTIFS(Table1[Merchant],Snapshot!AT191,Table1[Month],Snapshot!$W$4))</f>
        <v/>
      </c>
      <c r="AW191" s="24" t="str">
        <f>IFERROR(RANK(AV191,$AV$6:$AV$200)+COUNTIF($AV$6:AV191,AV191)-1,"")</f>
        <v/>
      </c>
      <c r="AX191" s="24" t="str">
        <f>IFERROR(RANK(AU191,$AU$6:$AU$200)+COUNTIF($AU$6:AU191,AU191)-1,"")</f>
        <v/>
      </c>
    </row>
    <row r="192" spans="22:50">
      <c r="V192" s="37" t="str">
        <f t="shared" si="11"/>
        <v>--</v>
      </c>
      <c r="W192" s="37"/>
      <c r="AT192" s="24"/>
      <c r="AU192" s="31" t="str">
        <f>IF(ISBLANK(AT192),"",SUMIFS(Table1[Amount $],Table1[Merchant],Snapshot!AT192,Table1[Month],Snapshot!$W$4)*-1)</f>
        <v/>
      </c>
      <c r="AV192" s="24" t="str">
        <f>IF(ISBLANK(AT192),"",COUNTIFS(Table1[Merchant],Snapshot!AT192,Table1[Month],Snapshot!$W$4))</f>
        <v/>
      </c>
      <c r="AW192" s="24" t="str">
        <f>IFERROR(RANK(AV192,$AV$6:$AV$200)+COUNTIF($AV$6:AV192,AV192)-1,"")</f>
        <v/>
      </c>
      <c r="AX192" s="24" t="str">
        <f>IFERROR(RANK(AU192,$AU$6:$AU$200)+COUNTIF($AU$6:AU192,AU192)-1,"")</f>
        <v/>
      </c>
    </row>
    <row r="193" spans="22:50">
      <c r="V193" s="37" t="str">
        <f t="shared" si="11"/>
        <v>--</v>
      </c>
      <c r="W193" s="37"/>
      <c r="AT193" s="24"/>
      <c r="AU193" s="31" t="str">
        <f>IF(ISBLANK(AT193),"",SUMIFS(Table1[Amount $],Table1[Merchant],Snapshot!AT193,Table1[Month],Snapshot!$W$4)*-1)</f>
        <v/>
      </c>
      <c r="AV193" s="24" t="str">
        <f>IF(ISBLANK(AT193),"",COUNTIFS(Table1[Merchant],Snapshot!AT193,Table1[Month],Snapshot!$W$4))</f>
        <v/>
      </c>
      <c r="AW193" s="24" t="str">
        <f>IFERROR(RANK(AV193,$AV$6:$AV$200)+COUNTIF($AV$6:AV193,AV193)-1,"")</f>
        <v/>
      </c>
      <c r="AX193" s="24" t="str">
        <f>IFERROR(RANK(AU193,$AU$6:$AU$200)+COUNTIF($AU$6:AU193,AU193)-1,"")</f>
        <v/>
      </c>
    </row>
    <row r="194" spans="22:50">
      <c r="V194" s="37" t="str">
        <f t="shared" si="11"/>
        <v>--</v>
      </c>
      <c r="W194" s="37"/>
      <c r="AT194" s="24"/>
      <c r="AU194" s="31" t="str">
        <f>IF(ISBLANK(AT194),"",SUMIFS(Table1[Amount $],Table1[Merchant],Snapshot!AT194,Table1[Month],Snapshot!$W$4)*-1)</f>
        <v/>
      </c>
      <c r="AV194" s="24" t="str">
        <f>IF(ISBLANK(AT194),"",COUNTIFS(Table1[Merchant],Snapshot!AT194,Table1[Month],Snapshot!$W$4))</f>
        <v/>
      </c>
      <c r="AW194" s="24" t="str">
        <f>IFERROR(RANK(AV194,$AV$6:$AV$200)+COUNTIF($AV$6:AV194,AV194)-1,"")</f>
        <v/>
      </c>
      <c r="AX194" s="24" t="str">
        <f>IFERROR(RANK(AU194,$AU$6:$AU$200)+COUNTIF($AU$6:AU194,AU194)-1,"")</f>
        <v/>
      </c>
    </row>
    <row r="195" spans="22:50">
      <c r="V195" s="37" t="str">
        <f t="shared" si="11"/>
        <v>--</v>
      </c>
      <c r="W195" s="37"/>
      <c r="AT195" s="24"/>
      <c r="AU195" s="31" t="str">
        <f>IF(ISBLANK(AT195),"",SUMIFS(Table1[Amount $],Table1[Merchant],Snapshot!AT195,Table1[Month],Snapshot!$W$4)*-1)</f>
        <v/>
      </c>
      <c r="AV195" s="24" t="str">
        <f>IF(ISBLANK(AT195),"",COUNTIFS(Table1[Merchant],Snapshot!AT195,Table1[Month],Snapshot!$W$4))</f>
        <v/>
      </c>
      <c r="AW195" s="24" t="str">
        <f>IFERROR(RANK(AV195,$AV$6:$AV$200)+COUNTIF($AV$6:AV195,AV195)-1,"")</f>
        <v/>
      </c>
      <c r="AX195" s="24" t="str">
        <f>IFERROR(RANK(AU195,$AU$6:$AU$200)+COUNTIF($AU$6:AU195,AU195)-1,"")</f>
        <v/>
      </c>
    </row>
    <row r="196" spans="22:50">
      <c r="V196" s="37" t="str">
        <f t="shared" si="11"/>
        <v>--</v>
      </c>
      <c r="W196" s="37"/>
      <c r="AT196" s="24"/>
      <c r="AU196" s="31" t="str">
        <f>IF(ISBLANK(AT196),"",SUMIFS(Table1[Amount $],Table1[Merchant],Snapshot!AT196,Table1[Month],Snapshot!$W$4)*-1)</f>
        <v/>
      </c>
      <c r="AV196" s="24" t="str">
        <f>IF(ISBLANK(AT196),"",COUNTIFS(Table1[Merchant],Snapshot!AT196,Table1[Month],Snapshot!$W$4))</f>
        <v/>
      </c>
      <c r="AW196" s="24" t="str">
        <f>IFERROR(RANK(AV196,$AV$6:$AV$200)+COUNTIF($AV$6:AV196,AV196)-1,"")</f>
        <v/>
      </c>
      <c r="AX196" s="24" t="str">
        <f>IFERROR(RANK(AU196,$AU$6:$AU$200)+COUNTIF($AU$6:AU196,AU196)-1,"")</f>
        <v/>
      </c>
    </row>
    <row r="197" spans="22:50">
      <c r="V197" s="37" t="str">
        <f t="shared" si="11"/>
        <v>--</v>
      </c>
      <c r="W197" s="37"/>
      <c r="AT197" s="24"/>
      <c r="AU197" s="31" t="str">
        <f>IF(ISBLANK(AT197),"",SUMIFS(Table1[Amount $],Table1[Merchant],Snapshot!AT197,Table1[Month],Snapshot!$W$4)*-1)</f>
        <v/>
      </c>
      <c r="AV197" s="24" t="str">
        <f>IF(ISBLANK(AT197),"",COUNTIFS(Table1[Merchant],Snapshot!AT197,Table1[Month],Snapshot!$W$4))</f>
        <v/>
      </c>
      <c r="AW197" s="24" t="str">
        <f>IFERROR(RANK(AV197,$AV$6:$AV$200)+COUNTIF($AV$6:AV197,AV197)-1,"")</f>
        <v/>
      </c>
      <c r="AX197" s="24" t="str">
        <f>IFERROR(RANK(AU197,$AU$6:$AU$200)+COUNTIF($AU$6:AU197,AU197)-1,"")</f>
        <v/>
      </c>
    </row>
    <row r="198" spans="22:50">
      <c r="V198" s="37" t="str">
        <f t="shared" si="11"/>
        <v>--</v>
      </c>
      <c r="W198" s="37"/>
      <c r="AT198" s="24"/>
      <c r="AU198" s="31" t="str">
        <f>IF(ISBLANK(AT198),"",SUMIFS(Table1[Amount $],Table1[Merchant],Snapshot!AT198,Table1[Month],Snapshot!$W$4)*-1)</f>
        <v/>
      </c>
      <c r="AV198" s="24" t="str">
        <f>IF(ISBLANK(AT198),"",COUNTIFS(Table1[Merchant],Snapshot!AT198,Table1[Month],Snapshot!$W$4))</f>
        <v/>
      </c>
      <c r="AW198" s="24" t="str">
        <f>IFERROR(RANK(AV198,$AV$6:$AV$200)+COUNTIF($AV$6:AV198,AV198)-1,"")</f>
        <v/>
      </c>
      <c r="AX198" s="24" t="str">
        <f>IFERROR(RANK(AU198,$AU$6:$AU$200)+COUNTIF($AU$6:AU198,AU198)-1,"")</f>
        <v/>
      </c>
    </row>
    <row r="199" spans="22:50">
      <c r="V199" s="37" t="str">
        <f t="shared" si="11"/>
        <v>--</v>
      </c>
      <c r="W199" s="37"/>
      <c r="AT199" s="24"/>
      <c r="AU199" s="31" t="str">
        <f>IF(ISBLANK(AT199),"",SUMIFS(Table1[Amount $],Table1[Merchant],Snapshot!AT199,Table1[Month],Snapshot!$W$4)*-1)</f>
        <v/>
      </c>
      <c r="AV199" s="24" t="str">
        <f>IF(ISBLANK(AT199),"",COUNTIFS(Table1[Merchant],Snapshot!AT199,Table1[Month],Snapshot!$W$4))</f>
        <v/>
      </c>
      <c r="AW199" s="24" t="str">
        <f>IFERROR(RANK(AV199,$AV$6:$AV$200)+COUNTIF($AV$6:AV199,AV199)-1,"")</f>
        <v/>
      </c>
      <c r="AX199" s="24" t="str">
        <f>IFERROR(RANK(AU199,$AU$6:$AU$200)+COUNTIF($AU$6:AU199,AU199)-1,"")</f>
        <v/>
      </c>
    </row>
    <row r="200" spans="22:50">
      <c r="V200" s="37" t="str">
        <f t="shared" ref="V200" si="12">IF(ISBLANK(W200),"--",TEXT(W200,"mmmm")&amp;" "&amp;TEXT(W200,"YYYY"))</f>
        <v>--</v>
      </c>
      <c r="W200" s="37"/>
      <c r="AT200" s="24"/>
      <c r="AU200" s="31" t="str">
        <f>IF(ISBLANK(AT200),"",SUMIFS(Table1[Amount $],Table1[Merchant],Snapshot!AT200,Table1[Month],Snapshot!$W$4)*-1)</f>
        <v/>
      </c>
      <c r="AV200" s="24" t="str">
        <f>IF(ISBLANK(AT200),"",COUNTIFS(Table1[Merchant],Snapshot!AT200,Table1[Month],Snapshot!$W$4))</f>
        <v/>
      </c>
      <c r="AW200" s="24" t="str">
        <f>IFERROR(RANK(AV200,$AV$6:$AV$200)+COUNTIF($AV$6:AV200,AV200)-1,"")</f>
        <v/>
      </c>
      <c r="AX200" s="24" t="str">
        <f>IFERROR(RANK(AU200,$AU$6:$AU$200)+COUNTIF($AU$6:AU200,AU200)-1,"")</f>
        <v/>
      </c>
    </row>
  </sheetData>
  <mergeCells count="3">
    <mergeCell ref="C2:P2"/>
    <mergeCell ref="Q4:S4"/>
    <mergeCell ref="C4:O4"/>
  </mergeCells>
  <conditionalFormatting sqref="Z57">
    <cfRule type="expression" dxfId="112" priority="14">
      <formula>$Z$57&gt;=0</formula>
    </cfRule>
    <cfRule type="expression" dxfId="111" priority="16">
      <formula>$Z$57&lt;0</formula>
    </cfRule>
  </conditionalFormatting>
  <conditionalFormatting sqref="P20">
    <cfRule type="expression" dxfId="110" priority="13">
      <formula>$S20=0</formula>
    </cfRule>
  </conditionalFormatting>
  <conditionalFormatting sqref="P18">
    <cfRule type="expression" dxfId="109" priority="12">
      <formula>$S$18=0</formula>
    </cfRule>
  </conditionalFormatting>
  <conditionalFormatting sqref="P16">
    <cfRule type="expression" dxfId="108" priority="11">
      <formula>$S$16=0</formula>
    </cfRule>
  </conditionalFormatting>
  <conditionalFormatting sqref="P14">
    <cfRule type="expression" dxfId="107" priority="10">
      <formula>$S$14=0</formula>
    </cfRule>
  </conditionalFormatting>
  <conditionalFormatting sqref="P12">
    <cfRule type="expression" dxfId="106" priority="9">
      <formula>$S$12=0</formula>
    </cfRule>
  </conditionalFormatting>
  <conditionalFormatting sqref="S20">
    <cfRule type="expression" dxfId="105" priority="8">
      <formula>$S$20=0</formula>
    </cfRule>
  </conditionalFormatting>
  <conditionalFormatting sqref="S18">
    <cfRule type="expression" dxfId="104" priority="7">
      <formula>$S$18=0</formula>
    </cfRule>
  </conditionalFormatting>
  <conditionalFormatting sqref="S16">
    <cfRule type="expression" dxfId="103" priority="6">
      <formula>$S$16=0</formula>
    </cfRule>
  </conditionalFormatting>
  <conditionalFormatting sqref="S14">
    <cfRule type="expression" dxfId="102" priority="5">
      <formula>$S$14=0</formula>
    </cfRule>
  </conditionalFormatting>
  <conditionalFormatting sqref="S12">
    <cfRule type="expression" dxfId="101" priority="4">
      <formula>$S$12=0</formula>
    </cfRule>
  </conditionalFormatting>
  <conditionalFormatting sqref="S10">
    <cfRule type="expression" dxfId="100" priority="3">
      <formula>$S$10=0</formula>
    </cfRule>
  </conditionalFormatting>
  <conditionalFormatting sqref="P10">
    <cfRule type="expression" dxfId="99" priority="2">
      <formula>$S$10=0</formula>
    </cfRule>
  </conditionalFormatting>
  <conditionalFormatting sqref="M8">
    <cfRule type="expression" dxfId="98" priority="1">
      <formula>$S$22=0</formula>
    </cfRule>
  </conditionalFormatting>
  <dataValidations count="2">
    <dataValidation type="list" allowBlank="1" showInputMessage="1" showErrorMessage="1" sqref="Q4" xr:uid="{3FE88EC2-B73E-4CDE-AC6E-4A65F4D75E2F}">
      <formula1>Months</formula1>
    </dataValidation>
    <dataValidation allowBlank="1" showErrorMessage="1" sqref="A1:A1048576" xr:uid="{AD28699A-4E1A-E04E-A68C-3F4D09AAB508}"/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B624E-8916-451B-B3D9-53C1545321CF}">
  <dimension ref="A1:U2067"/>
  <sheetViews>
    <sheetView showGridLines="0" tabSelected="1" zoomScaleNormal="100" workbookViewId="0">
      <pane ySplit="6" topLeftCell="A7" activePane="bottomLeft" state="frozen"/>
      <selection activeCell="S3" sqref="S3"/>
      <selection pane="bottomLeft" activeCell="D13" sqref="D13"/>
    </sheetView>
  </sheetViews>
  <sheetFormatPr defaultColWidth="8.85546875" defaultRowHeight="15" outlineLevelCol="1"/>
  <cols>
    <col min="1" max="1" width="3.42578125" customWidth="1"/>
    <col min="2" max="2" width="13.42578125" customWidth="1"/>
    <col min="3" max="3" width="38" bestFit="1" customWidth="1"/>
    <col min="4" max="4" width="28" bestFit="1" customWidth="1"/>
    <col min="5" max="5" width="25.28515625" style="118" customWidth="1"/>
    <col min="6" max="6" width="17.28515625" customWidth="1"/>
    <col min="7" max="7" width="25.28515625" customWidth="1"/>
    <col min="8" max="8" width="19.28515625" customWidth="1"/>
    <col min="9" max="9" width="17.7109375" hidden="1" customWidth="1" outlineLevel="1"/>
    <col min="10" max="10" width="34.85546875" hidden="1" customWidth="1" outlineLevel="1"/>
    <col min="11" max="11" width="33.5703125" hidden="1" customWidth="1" outlineLevel="1"/>
    <col min="12" max="12" width="18.140625" hidden="1" customWidth="1" outlineLevel="1"/>
    <col min="13" max="13" width="9.140625" hidden="1" customWidth="1" outlineLevel="1"/>
    <col min="14" max="14" width="14.28515625" hidden="1" customWidth="1" outlineLevel="1"/>
    <col min="15" max="15" width="12.28515625" hidden="1" customWidth="1" outlineLevel="1"/>
    <col min="16" max="16" width="20.28515625" hidden="1" customWidth="1" outlineLevel="1"/>
    <col min="17" max="17" width="1.42578125" hidden="1" customWidth="1" outlineLevel="1"/>
    <col min="18" max="18" width="8.85546875" hidden="1" customWidth="1" collapsed="1"/>
    <col min="19" max="19" width="0" hidden="1" customWidth="1"/>
    <col min="20" max="20" width="9.28515625" hidden="1" customWidth="1"/>
  </cols>
  <sheetData>
    <row r="1" spans="1:20" s="6" customFormat="1" ht="5.0999999999999996" customHeight="1">
      <c r="A1" s="102"/>
      <c r="B1" s="3"/>
      <c r="C1" s="3"/>
      <c r="D1" s="3"/>
      <c r="E1" s="103"/>
      <c r="F1" s="3"/>
      <c r="G1" s="3"/>
      <c r="H1" s="3"/>
      <c r="I1" s="3"/>
      <c r="J1" s="3"/>
      <c r="K1" s="3"/>
      <c r="L1" s="3"/>
      <c r="M1" s="3"/>
      <c r="N1" s="3"/>
      <c r="O1" s="104"/>
      <c r="P1" s="104"/>
      <c r="Q1" s="105"/>
    </row>
    <row r="2" spans="1:20" s="6" customFormat="1" ht="40.5" customHeight="1">
      <c r="B2" s="224" t="s">
        <v>29</v>
      </c>
      <c r="C2" s="231"/>
      <c r="D2" s="231"/>
      <c r="E2" s="231"/>
      <c r="F2" s="231"/>
      <c r="G2" s="231"/>
      <c r="H2" s="231"/>
      <c r="I2" s="106"/>
      <c r="J2" s="106"/>
      <c r="K2" s="106"/>
      <c r="L2" s="106"/>
      <c r="M2" s="106"/>
      <c r="N2" s="106"/>
      <c r="O2" s="107"/>
      <c r="P2" s="107"/>
      <c r="Q2" s="106"/>
    </row>
    <row r="3" spans="1:20" ht="40.5" customHeight="1">
      <c r="A3" s="20"/>
      <c r="B3" s="232" t="s">
        <v>30</v>
      </c>
      <c r="C3" s="233"/>
      <c r="D3" s="233"/>
      <c r="E3" s="233"/>
      <c r="F3" s="230"/>
      <c r="G3" s="230"/>
      <c r="H3" s="230"/>
      <c r="I3" s="108"/>
      <c r="J3" s="108"/>
      <c r="K3" s="108"/>
      <c r="L3" s="108"/>
      <c r="M3" s="108"/>
      <c r="N3" s="108"/>
      <c r="O3" s="108"/>
      <c r="P3" s="108"/>
      <c r="Q3" s="108"/>
      <c r="R3" s="20"/>
    </row>
    <row r="4" spans="1:20" ht="2.1" customHeight="1">
      <c r="A4" s="20"/>
      <c r="B4" s="109"/>
      <c r="C4" s="109"/>
      <c r="D4" s="109"/>
      <c r="E4" s="109"/>
      <c r="F4" s="109"/>
      <c r="G4" s="109"/>
      <c r="H4" s="109"/>
      <c r="I4" s="108"/>
      <c r="J4" s="108"/>
      <c r="K4" s="108"/>
      <c r="L4" s="108"/>
      <c r="M4" s="108"/>
      <c r="N4" s="108"/>
      <c r="O4" s="108"/>
      <c r="P4" s="108"/>
      <c r="Q4" s="108"/>
      <c r="R4" s="20"/>
    </row>
    <row r="5" spans="1:20" ht="13.35" customHeight="1">
      <c r="A5" s="20"/>
      <c r="B5" s="148"/>
      <c r="C5" s="126"/>
      <c r="D5" s="126"/>
      <c r="E5" s="126"/>
      <c r="F5" s="126"/>
      <c r="G5" s="126"/>
      <c r="H5" s="126"/>
      <c r="I5" s="108"/>
      <c r="J5" s="108"/>
      <c r="K5" s="108"/>
      <c r="L5" s="108"/>
      <c r="M5" s="108"/>
      <c r="N5" s="108"/>
      <c r="O5" s="108"/>
      <c r="P5" s="108"/>
      <c r="Q5" s="108"/>
      <c r="R5" s="20"/>
    </row>
    <row r="6" spans="1:20" s="110" customFormat="1" ht="18" customHeight="1">
      <c r="B6" s="120" t="s">
        <v>31</v>
      </c>
      <c r="C6" s="111" t="s">
        <v>27</v>
      </c>
      <c r="D6" s="111" t="s">
        <v>4</v>
      </c>
      <c r="E6" s="111" t="s">
        <v>32</v>
      </c>
      <c r="F6" s="121" t="s">
        <v>33</v>
      </c>
      <c r="G6" s="122" t="s">
        <v>34</v>
      </c>
      <c r="H6" s="123" t="s">
        <v>35</v>
      </c>
      <c r="I6" s="122" t="s">
        <v>36</v>
      </c>
      <c r="J6" s="124" t="s">
        <v>37</v>
      </c>
      <c r="K6" s="124" t="s">
        <v>38</v>
      </c>
      <c r="L6" s="124" t="s">
        <v>39</v>
      </c>
      <c r="M6" s="124" t="s">
        <v>40</v>
      </c>
      <c r="N6" s="124" t="s">
        <v>41</v>
      </c>
      <c r="O6" s="124" t="s">
        <v>42</v>
      </c>
      <c r="P6" s="124" t="s">
        <v>43</v>
      </c>
      <c r="Q6" s="124" t="s">
        <v>44</v>
      </c>
      <c r="R6" s="124" t="s">
        <v>45</v>
      </c>
      <c r="S6" s="124" t="s">
        <v>46</v>
      </c>
      <c r="T6" s="124" t="s">
        <v>47</v>
      </c>
    </row>
    <row r="7" spans="1:20" s="110" customFormat="1" ht="18" customHeight="1">
      <c r="B7" s="154">
        <v>44564</v>
      </c>
      <c r="C7" s="119" t="s">
        <v>680</v>
      </c>
      <c r="D7" s="119" t="s">
        <v>91</v>
      </c>
      <c r="E7" s="119"/>
      <c r="F7" s="155">
        <v>194</v>
      </c>
      <c r="G7" s="133" t="str">
        <f>_xlfn.XLOOKUP(Table1[[#This Row],[Account_ID]], Accounts[ID], Accounts[Account nickname], "Unknown")</f>
        <v>WF</v>
      </c>
      <c r="H7" s="134" t="str">
        <f>_xlfn.XLOOKUP(Table1[[#This Row],[Account_ID]], Accounts[ID], Accounts[Account'#], "Unknown")</f>
        <v>4636</v>
      </c>
      <c r="I7" s="135" t="str">
        <f>_xlfn.XLOOKUP(_xlfn.XLOOKUP(Table1[[#This Row],[Account]],Accounts[Account nickname],Accounts[Institution ID]),Institutions[ID],Institutions[Institution nickname],"Unknown")</f>
        <v>Wells Fargo</v>
      </c>
      <c r="J7" s="136" t="s">
        <v>3494</v>
      </c>
      <c r="K7" s="137" t="s">
        <v>808</v>
      </c>
      <c r="L7" s="137" t="s">
        <v>807</v>
      </c>
      <c r="M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fabfe582932d48b78ac2846c1ec3d43f</v>
      </c>
      <c r="N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" s="138" t="str" cm="1">
        <f t="array" ref="O7">IFERROR(INDEX(CategoriesTable[Category type],MATCH(Table1[[#This Row],[Category]],CategoriesTable[Category name],0),0),"")</f>
        <v>Expense</v>
      </c>
      <c r="P7" s="138">
        <v>3</v>
      </c>
      <c r="Q7" s="138">
        <f>MONTH(Table1[[#This Row],[Date]])</f>
        <v>1</v>
      </c>
      <c r="R7" s="138">
        <v>2022</v>
      </c>
      <c r="S7" s="139">
        <f>IF(ISBLANK(Table1[[#This Row],[Date]]),"",Table1[[#This Row],[Date]]-WEEKDAY(Table1[[#This Row],[Date]],2)+1)</f>
        <v>44564</v>
      </c>
      <c r="T7" s="140">
        <f>IF(ISBLANK(Table1[[#This Row],[Date]]),"",DATE(Table1[[#This Row],[Date_Year]],Table1[[#This Row],[Date_Month]],1))</f>
        <v>44562</v>
      </c>
    </row>
    <row r="8" spans="1:20" s="110" customFormat="1" ht="18" customHeight="1">
      <c r="B8" s="154">
        <v>44564</v>
      </c>
      <c r="C8" s="119" t="s">
        <v>685</v>
      </c>
      <c r="D8" s="119" t="s">
        <v>99</v>
      </c>
      <c r="E8" s="119"/>
      <c r="F8" s="155">
        <v>-241.99</v>
      </c>
      <c r="G8" s="133" t="str">
        <f>_xlfn.XLOOKUP(Table1[[#This Row],[Account_ID]], Accounts[ID], Accounts[Account nickname], "Unknown")</f>
        <v>WF</v>
      </c>
      <c r="H8" s="134" t="str">
        <f>_xlfn.XLOOKUP(Table1[[#This Row],[Account_ID]], Accounts[ID], Accounts[Account'#], "Unknown")</f>
        <v>4636</v>
      </c>
      <c r="I8" s="135" t="str">
        <f>_xlfn.XLOOKUP(_xlfn.XLOOKUP(Table1[[#This Row],[Account]],Accounts[Account nickname],Accounts[Institution ID]),Institutions[ID],Institutions[Institution nickname],"Unknown")</f>
        <v>Wells Fargo</v>
      </c>
      <c r="J8" s="136" t="s">
        <v>3495</v>
      </c>
      <c r="K8" s="137" t="s">
        <v>808</v>
      </c>
      <c r="L8" s="137" t="s">
        <v>807</v>
      </c>
      <c r="M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6385c1768b814d3d89087c436c9cab15</v>
      </c>
      <c r="N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" s="138" t="str" cm="1">
        <f t="array" ref="O8">IFERROR(INDEX(CategoriesTable[Category type],MATCH(Table1[[#This Row],[Category]],CategoriesTable[Category name],0),0),"")</f>
        <v>Expense</v>
      </c>
      <c r="P8" s="138">
        <v>3</v>
      </c>
      <c r="Q8" s="138">
        <f>MONTH(Table1[[#This Row],[Date]])</f>
        <v>1</v>
      </c>
      <c r="R8" s="138">
        <v>2022</v>
      </c>
      <c r="S8" s="139">
        <f>IF(ISBLANK(Table1[[#This Row],[Date]]),"",Table1[[#This Row],[Date]]-WEEKDAY(Table1[[#This Row],[Date]],2)+1)</f>
        <v>44564</v>
      </c>
      <c r="T8" s="140">
        <f>IF(ISBLANK(Table1[[#This Row],[Date]]),"",DATE(Table1[[#This Row],[Date_Year]],Table1[[#This Row],[Date_Month]],1))</f>
        <v>44562</v>
      </c>
    </row>
    <row r="9" spans="1:20" s="110" customFormat="1" ht="18" customHeight="1">
      <c r="B9" s="154">
        <v>44564</v>
      </c>
      <c r="C9" s="119" t="s">
        <v>686</v>
      </c>
      <c r="D9" s="119" t="s">
        <v>99</v>
      </c>
      <c r="E9" s="119"/>
      <c r="F9" s="155">
        <v>-1800</v>
      </c>
      <c r="G9" s="133" t="str">
        <f>_xlfn.XLOOKUP(Table1[[#This Row],[Account_ID]], Accounts[ID], Accounts[Account nickname], "Unknown")</f>
        <v>WF</v>
      </c>
      <c r="H9" s="134" t="str">
        <f>_xlfn.XLOOKUP(Table1[[#This Row],[Account_ID]], Accounts[ID], Accounts[Account'#], "Unknown")</f>
        <v>4636</v>
      </c>
      <c r="I9" s="135" t="str">
        <f>_xlfn.XLOOKUP(_xlfn.XLOOKUP(Table1[[#This Row],[Account]],Accounts[Account nickname],Accounts[Institution ID]),Institutions[ID],Institutions[Institution nickname],"Unknown")</f>
        <v>Wells Fargo</v>
      </c>
      <c r="J9" s="136" t="s">
        <v>3496</v>
      </c>
      <c r="K9" s="137" t="s">
        <v>808</v>
      </c>
      <c r="L9" s="137" t="s">
        <v>807</v>
      </c>
      <c r="M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6385c1768b814d3d89087c436c9cab15</v>
      </c>
      <c r="N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" s="138" t="str" cm="1">
        <f t="array" ref="O9">IFERROR(INDEX(CategoriesTable[Category type],MATCH(Table1[[#This Row],[Category]],CategoriesTable[Category name],0),0),"")</f>
        <v>Expense</v>
      </c>
      <c r="P9" s="138">
        <v>3</v>
      </c>
      <c r="Q9" s="138">
        <f>MONTH(Table1[[#This Row],[Date]])</f>
        <v>1</v>
      </c>
      <c r="R9" s="138">
        <v>2022</v>
      </c>
      <c r="S9" s="139">
        <f>IF(ISBLANK(Table1[[#This Row],[Date]]),"",Table1[[#This Row],[Date]]-WEEKDAY(Table1[[#This Row],[Date]],2)+1)</f>
        <v>44564</v>
      </c>
      <c r="T9" s="140">
        <f>IF(ISBLANK(Table1[[#This Row],[Date]]),"",DATE(Table1[[#This Row],[Date_Year]],Table1[[#This Row],[Date_Month]],1))</f>
        <v>44562</v>
      </c>
    </row>
    <row r="10" spans="1:20" s="110" customFormat="1" ht="18" customHeight="1">
      <c r="B10" s="154">
        <v>44564</v>
      </c>
      <c r="C10" s="119" t="s">
        <v>3497</v>
      </c>
      <c r="D10" s="119" t="s">
        <v>106</v>
      </c>
      <c r="E10" s="119"/>
      <c r="F10" s="155">
        <v>-10</v>
      </c>
      <c r="G10" s="133" t="str">
        <f>_xlfn.XLOOKUP(Table1[[#This Row],[Account_ID]], Accounts[ID], Accounts[Account nickname], "Unknown")</f>
        <v>WF</v>
      </c>
      <c r="H10" s="134" t="str">
        <f>_xlfn.XLOOKUP(Table1[[#This Row],[Account_ID]], Accounts[ID], Accounts[Account'#], "Unknown")</f>
        <v>4636</v>
      </c>
      <c r="I10" s="135" t="str">
        <f>_xlfn.XLOOKUP(_xlfn.XLOOKUP(Table1[[#This Row],[Account]],Accounts[Account nickname],Accounts[Institution ID]),Institutions[ID],Institutions[Institution nickname],"Unknown")</f>
        <v>Wells Fargo</v>
      </c>
      <c r="J10" s="136" t="s">
        <v>3498</v>
      </c>
      <c r="K10" s="137" t="s">
        <v>808</v>
      </c>
      <c r="L10" s="137" t="s">
        <v>807</v>
      </c>
      <c r="M1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3dafc6bd8d7c45ae9840ff09e01567d1</v>
      </c>
      <c r="N1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" s="138" t="str" cm="1">
        <f t="array" ref="O10">IFERROR(INDEX(CategoriesTable[Category type],MATCH(Table1[[#This Row],[Category]],CategoriesTable[Category name],0),0),"")</f>
        <v>Expense</v>
      </c>
      <c r="P10" s="138">
        <v>3</v>
      </c>
      <c r="Q10" s="138">
        <f>MONTH(Table1[[#This Row],[Date]])</f>
        <v>1</v>
      </c>
      <c r="R10" s="138">
        <v>2022</v>
      </c>
      <c r="S10" s="139">
        <f>IF(ISBLANK(Table1[[#This Row],[Date]]),"",Table1[[#This Row],[Date]]-WEEKDAY(Table1[[#This Row],[Date]],2)+1)</f>
        <v>44564</v>
      </c>
      <c r="T10" s="140">
        <f>IF(ISBLANK(Table1[[#This Row],[Date]]),"",DATE(Table1[[#This Row],[Date_Year]],Table1[[#This Row],[Date_Month]],1))</f>
        <v>44562</v>
      </c>
    </row>
    <row r="11" spans="1:20" s="110" customFormat="1" ht="18" customHeight="1">
      <c r="B11" s="154">
        <v>44564</v>
      </c>
      <c r="C11" s="119" t="s">
        <v>729</v>
      </c>
      <c r="D11" s="119" t="s">
        <v>89</v>
      </c>
      <c r="E11" s="119"/>
      <c r="F11" s="155">
        <v>-485</v>
      </c>
      <c r="G11" s="133" t="str">
        <f>_xlfn.XLOOKUP(Table1[[#This Row],[Account_ID]], Accounts[ID], Accounts[Account nickname], "Unknown")</f>
        <v>WF</v>
      </c>
      <c r="H11" s="134" t="str">
        <f>_xlfn.XLOOKUP(Table1[[#This Row],[Account_ID]], Accounts[ID], Accounts[Account'#], "Unknown")</f>
        <v>4636</v>
      </c>
      <c r="I11" s="135" t="str">
        <f>_xlfn.XLOOKUP(_xlfn.XLOOKUP(Table1[[#This Row],[Account]],Accounts[Account nickname],Accounts[Institution ID]),Institutions[ID],Institutions[Institution nickname],"Unknown")</f>
        <v>Wells Fargo</v>
      </c>
      <c r="J11" s="136" t="s">
        <v>3499</v>
      </c>
      <c r="K11" s="137" t="s">
        <v>808</v>
      </c>
      <c r="L11" s="137" t="s">
        <v>807</v>
      </c>
      <c r="M1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0613345f0a8b4edfb294d0fdc6fe7382</v>
      </c>
      <c r="N1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" s="138" t="str" cm="1">
        <f t="array" ref="O11">IFERROR(INDEX(CategoriesTable[Category type],MATCH(Table1[[#This Row],[Category]],CategoriesTable[Category name],0),0),"")</f>
        <v>Expense</v>
      </c>
      <c r="P11" s="138">
        <v>3</v>
      </c>
      <c r="Q11" s="138">
        <f>MONTH(Table1[[#This Row],[Date]])</f>
        <v>1</v>
      </c>
      <c r="R11" s="138">
        <v>2022</v>
      </c>
      <c r="S11" s="139">
        <f>IF(ISBLANK(Table1[[#This Row],[Date]]),"",Table1[[#This Row],[Date]]-WEEKDAY(Table1[[#This Row],[Date]],2)+1)</f>
        <v>44564</v>
      </c>
      <c r="T11" s="140">
        <f>IF(ISBLANK(Table1[[#This Row],[Date]]),"",DATE(Table1[[#This Row],[Date_Year]],Table1[[#This Row],[Date_Month]],1))</f>
        <v>44562</v>
      </c>
    </row>
    <row r="12" spans="1:20" s="110" customFormat="1" ht="18" customHeight="1">
      <c r="B12" s="154">
        <v>44564</v>
      </c>
      <c r="C12" s="119" t="s">
        <v>678</v>
      </c>
      <c r="D12" s="119" t="s">
        <v>91</v>
      </c>
      <c r="E12" s="119"/>
      <c r="F12" s="155">
        <v>477.73</v>
      </c>
      <c r="G12" s="133" t="str">
        <f>_xlfn.XLOOKUP(Table1[[#This Row],[Account_ID]], Accounts[ID], Accounts[Account nickname], "Unknown")</f>
        <v>WF</v>
      </c>
      <c r="H12" s="134" t="str">
        <f>_xlfn.XLOOKUP(Table1[[#This Row],[Account_ID]], Accounts[ID], Accounts[Account'#], "Unknown")</f>
        <v>4636</v>
      </c>
      <c r="I12" s="135" t="str">
        <f>_xlfn.XLOOKUP(_xlfn.XLOOKUP(Table1[[#This Row],[Account]],Accounts[Account nickname],Accounts[Institution ID]),Institutions[ID],Institutions[Institution nickname],"Unknown")</f>
        <v>Wells Fargo</v>
      </c>
      <c r="J12" s="136" t="s">
        <v>3500</v>
      </c>
      <c r="K12" s="137" t="s">
        <v>808</v>
      </c>
      <c r="L12" s="137" t="s">
        <v>807</v>
      </c>
      <c r="M1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fabfe582932d48b78ac2846c1ec3d43f</v>
      </c>
      <c r="N1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" s="138" t="str" cm="1">
        <f t="array" ref="O12">IFERROR(INDEX(CategoriesTable[Category type],MATCH(Table1[[#This Row],[Category]],CategoriesTable[Category name],0),0),"")</f>
        <v>Expense</v>
      </c>
      <c r="P12" s="138">
        <v>3</v>
      </c>
      <c r="Q12" s="138">
        <f>MONTH(Table1[[#This Row],[Date]])</f>
        <v>1</v>
      </c>
      <c r="R12" s="138">
        <v>2022</v>
      </c>
      <c r="S12" s="139">
        <f>IF(ISBLANK(Table1[[#This Row],[Date]]),"",Table1[[#This Row],[Date]]-WEEKDAY(Table1[[#This Row],[Date]],2)+1)</f>
        <v>44564</v>
      </c>
      <c r="T12" s="140">
        <f>IF(ISBLANK(Table1[[#This Row],[Date]]),"",DATE(Table1[[#This Row],[Date_Year]],Table1[[#This Row],[Date_Month]],1))</f>
        <v>44562</v>
      </c>
    </row>
    <row r="13" spans="1:20" ht="15.75">
      <c r="B13" s="154">
        <v>44564</v>
      </c>
      <c r="C13" s="119" t="s">
        <v>1529</v>
      </c>
      <c r="D13" s="119" t="s">
        <v>108</v>
      </c>
      <c r="E13" s="119"/>
      <c r="F13" s="155">
        <v>-12.99</v>
      </c>
      <c r="G13" s="133" t="str">
        <f>_xlfn.XLOOKUP(Table1[[#This Row],[Account_ID]], Accounts[ID], Accounts[Account nickname], "Unknown")</f>
        <v>Discover</v>
      </c>
      <c r="H13" s="134" t="str">
        <f>_xlfn.XLOOKUP(Table1[[#This Row],[Account_ID]], Accounts[ID], Accounts[Account'#], "Unknown")</f>
        <v>4618</v>
      </c>
      <c r="I13" s="135" t="str">
        <f>_xlfn.XLOOKUP(_xlfn.XLOOKUP(Table1[[#This Row],[Account]],Accounts[Account nickname],Accounts[Institution ID]),Institutions[ID],Institutions[Institution nickname],"Unknown")</f>
        <v>Discover</v>
      </c>
      <c r="J13" s="136" t="s">
        <v>3501</v>
      </c>
      <c r="K13" s="137" t="s">
        <v>843</v>
      </c>
      <c r="L13" s="137" t="s">
        <v>841</v>
      </c>
      <c r="M1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4144f48502914015b998277a326fcedc</v>
      </c>
      <c r="N1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" s="138" t="str" cm="1">
        <f t="array" ref="O13">IFERROR(INDEX(CategoriesTable[Category type],MATCH(Table1[[#This Row],[Category]],CategoriesTable[Category name],0),0),"")</f>
        <v>Expense</v>
      </c>
      <c r="P13" s="138">
        <v>3</v>
      </c>
      <c r="Q13" s="138">
        <f>MONTH(Table1[[#This Row],[Date]])</f>
        <v>1</v>
      </c>
      <c r="R13" s="138">
        <v>2022</v>
      </c>
      <c r="S13" s="139">
        <f>IF(ISBLANK(Table1[[#This Row],[Date]]),"",Table1[[#This Row],[Date]]-WEEKDAY(Table1[[#This Row],[Date]],2)+1)</f>
        <v>44564</v>
      </c>
      <c r="T13" s="140">
        <f>IF(ISBLANK(Table1[[#This Row],[Date]]),"",DATE(Table1[[#This Row],[Date_Year]],Table1[[#This Row],[Date_Month]],1))</f>
        <v>44562</v>
      </c>
    </row>
    <row r="14" spans="1:20" ht="15.75">
      <c r="B14" s="154">
        <v>44563</v>
      </c>
      <c r="C14" s="119" t="s">
        <v>845</v>
      </c>
      <c r="D14" s="119" t="s">
        <v>99</v>
      </c>
      <c r="E14" s="119"/>
      <c r="F14" s="155">
        <v>1800</v>
      </c>
      <c r="G14" s="133" t="str">
        <f>_xlfn.XLOOKUP(Table1[[#This Row],[Account_ID]], Accounts[ID], Accounts[Account nickname], "Unknown")</f>
        <v>Discover</v>
      </c>
      <c r="H14" s="134" t="str">
        <f>_xlfn.XLOOKUP(Table1[[#This Row],[Account_ID]], Accounts[ID], Accounts[Account'#], "Unknown")</f>
        <v>4618</v>
      </c>
      <c r="I14" s="135" t="str">
        <f>_xlfn.XLOOKUP(_xlfn.XLOOKUP(Table1[[#This Row],[Account]],Accounts[Account nickname],Accounts[Institution ID]),Institutions[ID],Institutions[Institution nickname],"Unknown")</f>
        <v>Discover</v>
      </c>
      <c r="J14" s="136" t="s">
        <v>846</v>
      </c>
      <c r="K14" s="137" t="s">
        <v>843</v>
      </c>
      <c r="L14" s="137" t="s">
        <v>841</v>
      </c>
      <c r="M1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6385c1768b814d3d89087c436c9cab15</v>
      </c>
      <c r="N1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" s="138" t="str" cm="1">
        <f t="array" ref="O14">IFERROR(INDEX(CategoriesTable[Category type],MATCH(Table1[[#This Row],[Category]],CategoriesTable[Category name],0),0),"")</f>
        <v>Expense</v>
      </c>
      <c r="P14" s="138">
        <v>2</v>
      </c>
      <c r="Q14" s="138">
        <f>MONTH(Table1[[#This Row],[Date]])</f>
        <v>1</v>
      </c>
      <c r="R14" s="138">
        <v>2022</v>
      </c>
      <c r="S14" s="139">
        <f>IF(ISBLANK(Table1[[#This Row],[Date]]),"",Table1[[#This Row],[Date]]-WEEKDAY(Table1[[#This Row],[Date]],2)+1)</f>
        <v>44557</v>
      </c>
      <c r="T14" s="140">
        <f>IF(ISBLANK(Table1[[#This Row],[Date]]),"",DATE(Table1[[#This Row],[Date_Year]],Table1[[#This Row],[Date_Month]],1))</f>
        <v>44562</v>
      </c>
    </row>
    <row r="15" spans="1:20" ht="15.75">
      <c r="B15" s="154">
        <v>44563</v>
      </c>
      <c r="C15" s="119" t="s">
        <v>3483</v>
      </c>
      <c r="D15" s="119" t="s">
        <v>99</v>
      </c>
      <c r="E15" s="119"/>
      <c r="F15" s="155">
        <v>241.99</v>
      </c>
      <c r="G15" s="133" t="str">
        <f>_xlfn.XLOOKUP(Table1[[#This Row],[Account_ID]], Accounts[ID], Accounts[Account nickname], "Unknown")</f>
        <v>BB</v>
      </c>
      <c r="H15" s="134" t="str">
        <f>_xlfn.XLOOKUP(Table1[[#This Row],[Account_ID]], Accounts[ID], Accounts[Account'#], "Unknown")</f>
        <v>4561</v>
      </c>
      <c r="I15" s="135" t="str">
        <f>_xlfn.XLOOKUP(_xlfn.XLOOKUP(Table1[[#This Row],[Account]],Accounts[Account nickname],Accounts[Institution ID]),Institutions[ID],Institutions[Institution nickname],"Unknown")</f>
        <v>Best Buy - Citi Card</v>
      </c>
      <c r="J15" s="136" t="s">
        <v>1378</v>
      </c>
      <c r="K15" s="137" t="s">
        <v>1375</v>
      </c>
      <c r="L15" s="137" t="s">
        <v>1372</v>
      </c>
      <c r="M1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6385c1768b814d3d89087c436c9cab15</v>
      </c>
      <c r="N1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" s="138" t="str" cm="1">
        <f t="array" ref="O15">IFERROR(INDEX(CategoriesTable[Category type],MATCH(Table1[[#This Row],[Category]],CategoriesTable[Category name],0),0),"")</f>
        <v>Expense</v>
      </c>
      <c r="P15" s="138">
        <v>2</v>
      </c>
      <c r="Q15" s="138">
        <f>MONTH(Table1[[#This Row],[Date]])</f>
        <v>1</v>
      </c>
      <c r="R15" s="138">
        <v>2022</v>
      </c>
      <c r="S15" s="139">
        <f>IF(ISBLANK(Table1[[#This Row],[Date]]),"",Table1[[#This Row],[Date]]-WEEKDAY(Table1[[#This Row],[Date]],2)+1)</f>
        <v>44557</v>
      </c>
      <c r="T15" s="140">
        <f>IF(ISBLANK(Table1[[#This Row],[Date]]),"",DATE(Table1[[#This Row],[Date_Year]],Table1[[#This Row],[Date_Month]],1))</f>
        <v>44562</v>
      </c>
    </row>
    <row r="16" spans="1:20" ht="15.75">
      <c r="B16" s="154">
        <v>44563</v>
      </c>
      <c r="C16" s="119" t="s">
        <v>1405</v>
      </c>
      <c r="D16" s="119" t="s">
        <v>99</v>
      </c>
      <c r="E16" s="119"/>
      <c r="F16" s="155">
        <v>-10</v>
      </c>
      <c r="G16" s="133" t="str">
        <f>_xlfn.XLOOKUP(Table1[[#This Row],[Account_ID]], Accounts[ID], Accounts[Account nickname], "Unknown")</f>
        <v>Discover</v>
      </c>
      <c r="H16" s="134" t="str">
        <f>_xlfn.XLOOKUP(Table1[[#This Row],[Account_ID]], Accounts[ID], Accounts[Account'#], "Unknown")</f>
        <v>4618</v>
      </c>
      <c r="I16" s="135" t="str">
        <f>_xlfn.XLOOKUP(_xlfn.XLOOKUP(Table1[[#This Row],[Account]],Accounts[Account nickname],Accounts[Institution ID]),Institutions[ID],Institutions[Institution nickname],"Unknown")</f>
        <v>Discover</v>
      </c>
      <c r="J16" s="136" t="s">
        <v>3502</v>
      </c>
      <c r="K16" s="137" t="s">
        <v>843</v>
      </c>
      <c r="L16" s="137" t="s">
        <v>841</v>
      </c>
      <c r="M1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6385c1768b814d3d89087c436c9cab15</v>
      </c>
      <c r="N1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" s="138" t="str" cm="1">
        <f t="array" ref="O16">IFERROR(INDEX(CategoriesTable[Category type],MATCH(Table1[[#This Row],[Category]],CategoriesTable[Category name],0),0),"")</f>
        <v>Expense</v>
      </c>
      <c r="P16" s="138">
        <v>2</v>
      </c>
      <c r="Q16" s="138">
        <f>MONTH(Table1[[#This Row],[Date]])</f>
        <v>1</v>
      </c>
      <c r="R16" s="138">
        <v>2022</v>
      </c>
      <c r="S16" s="139">
        <f>IF(ISBLANK(Table1[[#This Row],[Date]]),"",Table1[[#This Row],[Date]]-WEEKDAY(Table1[[#This Row],[Date]],2)+1)</f>
        <v>44557</v>
      </c>
      <c r="T16" s="140">
        <f>IF(ISBLANK(Table1[[#This Row],[Date]]),"",DATE(Table1[[#This Row],[Date_Year]],Table1[[#This Row],[Date_Month]],1))</f>
        <v>44562</v>
      </c>
    </row>
    <row r="17" spans="2:20" ht="15.75">
      <c r="B17" s="154">
        <v>44562</v>
      </c>
      <c r="C17" s="119" t="s">
        <v>694</v>
      </c>
      <c r="D17" s="119" t="s">
        <v>106</v>
      </c>
      <c r="E17" s="119" t="s">
        <v>178</v>
      </c>
      <c r="F17" s="155">
        <v>-18.02</v>
      </c>
      <c r="G17" s="133" t="str">
        <f>_xlfn.XLOOKUP(Table1[[#This Row],[Account_ID]], Accounts[ID], Accounts[Account nickname], "Unknown")</f>
        <v>Discover</v>
      </c>
      <c r="H17" s="134" t="str">
        <f>_xlfn.XLOOKUP(Table1[[#This Row],[Account_ID]], Accounts[ID], Accounts[Account'#], "Unknown")</f>
        <v>4618</v>
      </c>
      <c r="I17" s="135" t="str">
        <f>_xlfn.XLOOKUP(_xlfn.XLOOKUP(Table1[[#This Row],[Account]],Accounts[Account nickname],Accounts[Institution ID]),Institutions[ID],Institutions[Institution nickname],"Unknown")</f>
        <v>Discover</v>
      </c>
      <c r="J17" s="136" t="s">
        <v>847</v>
      </c>
      <c r="K17" s="137" t="s">
        <v>843</v>
      </c>
      <c r="L17" s="137" t="s">
        <v>841</v>
      </c>
      <c r="M1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3dafc6bd8d7c45ae9840ff09e01567d1</v>
      </c>
      <c r="N1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500e6ba7cba37a7a2a33da8c057b4cb8</v>
      </c>
      <c r="O17" s="138" t="str" cm="1">
        <f t="array" ref="O17">IFERROR(INDEX(CategoriesTable[Category type],MATCH(Table1[[#This Row],[Category]],CategoriesTable[Category name],0),0),"")</f>
        <v>Expense</v>
      </c>
      <c r="P17" s="138">
        <v>1</v>
      </c>
      <c r="Q17" s="138">
        <f>MONTH(Table1[[#This Row],[Date]])</f>
        <v>1</v>
      </c>
      <c r="R17" s="138">
        <v>2022</v>
      </c>
      <c r="S17" s="139">
        <f>IF(ISBLANK(Table1[[#This Row],[Date]]),"",Table1[[#This Row],[Date]]-WEEKDAY(Table1[[#This Row],[Date]],2)+1)</f>
        <v>44557</v>
      </c>
      <c r="T17" s="140">
        <f>IF(ISBLANK(Table1[[#This Row],[Date]]),"",DATE(Table1[[#This Row],[Date_Year]],Table1[[#This Row],[Date_Month]],1))</f>
        <v>44562</v>
      </c>
    </row>
    <row r="18" spans="2:20" ht="15.75">
      <c r="B18" s="154">
        <v>44562</v>
      </c>
      <c r="C18" s="119" t="s">
        <v>3378</v>
      </c>
      <c r="D18" s="119" t="s">
        <v>106</v>
      </c>
      <c r="E18" s="119" t="s">
        <v>178</v>
      </c>
      <c r="F18" s="155">
        <v>-60</v>
      </c>
      <c r="G18" s="133" t="str">
        <f>_xlfn.XLOOKUP(Table1[[#This Row],[Account_ID]], Accounts[ID], Accounts[Account nickname], "Unknown")</f>
        <v>Discover</v>
      </c>
      <c r="H18" s="134" t="str">
        <f>_xlfn.XLOOKUP(Table1[[#This Row],[Account_ID]], Accounts[ID], Accounts[Account'#], "Unknown")</f>
        <v>4618</v>
      </c>
      <c r="I18" s="135" t="str">
        <f>_xlfn.XLOOKUP(_xlfn.XLOOKUP(Table1[[#This Row],[Account]],Accounts[Account nickname],Accounts[Institution ID]),Institutions[ID],Institutions[Institution nickname],"Unknown")</f>
        <v>Discover</v>
      </c>
      <c r="J18" s="136" t="s">
        <v>848</v>
      </c>
      <c r="K18" s="137" t="s">
        <v>843</v>
      </c>
      <c r="L18" s="137" t="s">
        <v>841</v>
      </c>
      <c r="M1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3dafc6bd8d7c45ae9840ff09e01567d1</v>
      </c>
      <c r="N1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500e6ba7cba37a7a2a33da8c057b4cb8</v>
      </c>
      <c r="O18" s="138" t="str" cm="1">
        <f t="array" ref="O18">IFERROR(INDEX(CategoriesTable[Category type],MATCH(Table1[[#This Row],[Category]],CategoriesTable[Category name],0),0),"")</f>
        <v>Expense</v>
      </c>
      <c r="P18" s="138">
        <v>1</v>
      </c>
      <c r="Q18" s="138">
        <f>MONTH(Table1[[#This Row],[Date]])</f>
        <v>1</v>
      </c>
      <c r="R18" s="138">
        <v>2022</v>
      </c>
      <c r="S18" s="139">
        <f>IF(ISBLANK(Table1[[#This Row],[Date]]),"",Table1[[#This Row],[Date]]-WEEKDAY(Table1[[#This Row],[Date]],2)+1)</f>
        <v>44557</v>
      </c>
      <c r="T18" s="140">
        <f>IF(ISBLANK(Table1[[#This Row],[Date]]),"",DATE(Table1[[#This Row],[Date_Year]],Table1[[#This Row],[Date_Month]],1))</f>
        <v>44562</v>
      </c>
    </row>
    <row r="19" spans="2:20" ht="15.75">
      <c r="B19" s="154">
        <v>44562</v>
      </c>
      <c r="C19" s="119" t="s">
        <v>697</v>
      </c>
      <c r="D19" s="119" t="s">
        <v>108</v>
      </c>
      <c r="E19" s="119"/>
      <c r="F19" s="155">
        <v>-14.83</v>
      </c>
      <c r="G19" s="133" t="str">
        <f>_xlfn.XLOOKUP(Table1[[#This Row],[Account_ID]], Accounts[ID], Accounts[Account nickname], "Unknown")</f>
        <v>Discover</v>
      </c>
      <c r="H19" s="134" t="str">
        <f>_xlfn.XLOOKUP(Table1[[#This Row],[Account_ID]], Accounts[ID], Accounts[Account'#], "Unknown")</f>
        <v>4618</v>
      </c>
      <c r="I19" s="135" t="str">
        <f>_xlfn.XLOOKUP(_xlfn.XLOOKUP(Table1[[#This Row],[Account]],Accounts[Account nickname],Accounts[Institution ID]),Institutions[ID],Institutions[Institution nickname],"Unknown")</f>
        <v>Discover</v>
      </c>
      <c r="J19" s="136" t="s">
        <v>3503</v>
      </c>
      <c r="K19" s="137" t="s">
        <v>843</v>
      </c>
      <c r="L19" s="137" t="s">
        <v>841</v>
      </c>
      <c r="M1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4144f48502914015b998277a326fcedc</v>
      </c>
      <c r="N1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" s="138" t="str" cm="1">
        <f t="array" ref="O19">IFERROR(INDEX(CategoriesTable[Category type],MATCH(Table1[[#This Row],[Category]],CategoriesTable[Category name],0),0),"")</f>
        <v>Expense</v>
      </c>
      <c r="P19" s="138">
        <v>1</v>
      </c>
      <c r="Q19" s="138">
        <f>MONTH(Table1[[#This Row],[Date]])</f>
        <v>1</v>
      </c>
      <c r="R19" s="138">
        <v>2022</v>
      </c>
      <c r="S19" s="139">
        <f>IF(ISBLANK(Table1[[#This Row],[Date]]),"",Table1[[#This Row],[Date]]-WEEKDAY(Table1[[#This Row],[Date]],2)+1)</f>
        <v>44557</v>
      </c>
      <c r="T19" s="140">
        <f>IF(ISBLANK(Table1[[#This Row],[Date]]),"",DATE(Table1[[#This Row],[Date_Year]],Table1[[#This Row],[Date_Month]],1))</f>
        <v>44562</v>
      </c>
    </row>
    <row r="20" spans="2:20" ht="15.75">
      <c r="B20" s="154">
        <v>44562</v>
      </c>
      <c r="C20" s="119" t="s">
        <v>698</v>
      </c>
      <c r="D20" s="119" t="s">
        <v>108</v>
      </c>
      <c r="E20" s="119"/>
      <c r="F20" s="155">
        <v>-9.99</v>
      </c>
      <c r="G20" s="133" t="str">
        <f>_xlfn.XLOOKUP(Table1[[#This Row],[Account_ID]], Accounts[ID], Accounts[Account nickname], "Unknown")</f>
        <v>Discover</v>
      </c>
      <c r="H20" s="134" t="str">
        <f>_xlfn.XLOOKUP(Table1[[#This Row],[Account_ID]], Accounts[ID], Accounts[Account'#], "Unknown")</f>
        <v>4618</v>
      </c>
      <c r="I20" s="135" t="str">
        <f>_xlfn.XLOOKUP(_xlfn.XLOOKUP(Table1[[#This Row],[Account]],Accounts[Account nickname],Accounts[Institution ID]),Institutions[ID],Institutions[Institution nickname],"Unknown")</f>
        <v>Discover</v>
      </c>
      <c r="J20" s="136" t="s">
        <v>3504</v>
      </c>
      <c r="K20" s="137" t="s">
        <v>843</v>
      </c>
      <c r="L20" s="137" t="s">
        <v>841</v>
      </c>
      <c r="M2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4144f48502914015b998277a326fcedc</v>
      </c>
      <c r="N2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" s="138" t="str" cm="1">
        <f t="array" ref="O20">IFERROR(INDEX(CategoriesTable[Category type],MATCH(Table1[[#This Row],[Category]],CategoriesTable[Category name],0),0),"")</f>
        <v>Expense</v>
      </c>
      <c r="P20" s="138">
        <v>1</v>
      </c>
      <c r="Q20" s="138">
        <f>MONTH(Table1[[#This Row],[Date]])</f>
        <v>1</v>
      </c>
      <c r="R20" s="138">
        <v>2022</v>
      </c>
      <c r="S20" s="139">
        <f>IF(ISBLANK(Table1[[#This Row],[Date]]),"",Table1[[#This Row],[Date]]-WEEKDAY(Table1[[#This Row],[Date]],2)+1)</f>
        <v>44557</v>
      </c>
      <c r="T20" s="140">
        <f>IF(ISBLANK(Table1[[#This Row],[Date]]),"",DATE(Table1[[#This Row],[Date_Year]],Table1[[#This Row],[Date_Month]],1))</f>
        <v>44562</v>
      </c>
    </row>
    <row r="21" spans="2:20" ht="15.75">
      <c r="B21" s="154">
        <v>44561</v>
      </c>
      <c r="C21" s="119" t="s">
        <v>724</v>
      </c>
      <c r="D21" s="119" t="s">
        <v>117</v>
      </c>
      <c r="E21" s="119" t="s">
        <v>85</v>
      </c>
      <c r="F21" s="155">
        <v>-77.81</v>
      </c>
      <c r="G21" s="133" t="str">
        <f>_xlfn.XLOOKUP(Table1[[#This Row],[Account_ID]], Accounts[ID], Accounts[Account nickname], "Unknown")</f>
        <v>Discover</v>
      </c>
      <c r="H21" s="134" t="str">
        <f>_xlfn.XLOOKUP(Table1[[#This Row],[Account_ID]], Accounts[ID], Accounts[Account'#], "Unknown")</f>
        <v>4618</v>
      </c>
      <c r="I21" s="135" t="str">
        <f>_xlfn.XLOOKUP(_xlfn.XLOOKUP(Table1[[#This Row],[Account]],Accounts[Account nickname],Accounts[Institution ID]),Institutions[ID],Institutions[Institution nickname],"Unknown")</f>
        <v>Discover</v>
      </c>
      <c r="J21" s="136" t="s">
        <v>851</v>
      </c>
      <c r="K21" s="137" t="s">
        <v>843</v>
      </c>
      <c r="L21" s="137" t="s">
        <v>841</v>
      </c>
      <c r="M2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fec746a44521f2118fef19237dbf4f91</v>
      </c>
      <c r="N2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fd72ce5cfeedbe66d13df9602b6cff7d</v>
      </c>
      <c r="O21" s="138" t="str" cm="1">
        <f t="array" ref="O21">IFERROR(INDEX(CategoriesTable[Category type],MATCH(Table1[[#This Row],[Category]],CategoriesTable[Category name],0),0),"")</f>
        <v>Expense</v>
      </c>
      <c r="P21" s="138">
        <v>31</v>
      </c>
      <c r="Q21" s="138">
        <f>MONTH(Table1[[#This Row],[Date]])</f>
        <v>12</v>
      </c>
      <c r="R21" s="138">
        <v>2021</v>
      </c>
      <c r="S21" s="139">
        <f>IF(ISBLANK(Table1[[#This Row],[Date]]),"",Table1[[#This Row],[Date]]-WEEKDAY(Table1[[#This Row],[Date]],2)+1)</f>
        <v>44557</v>
      </c>
      <c r="T21" s="140">
        <f>IF(ISBLANK(Table1[[#This Row],[Date]]),"",DATE(Table1[[#This Row],[Date_Year]],Table1[[#This Row],[Date_Month]],1))</f>
        <v>44531</v>
      </c>
    </row>
    <row r="22" spans="2:20" ht="15.75">
      <c r="B22" s="154">
        <v>44561</v>
      </c>
      <c r="C22" s="119" t="s">
        <v>849</v>
      </c>
      <c r="D22" s="119" t="s">
        <v>106</v>
      </c>
      <c r="E22" s="119" t="s">
        <v>178</v>
      </c>
      <c r="F22" s="155">
        <v>-6.56</v>
      </c>
      <c r="G22" s="133" t="str">
        <f>_xlfn.XLOOKUP(Table1[[#This Row],[Account_ID]], Accounts[ID], Accounts[Account nickname], "Unknown")</f>
        <v>Discover</v>
      </c>
      <c r="H22" s="134" t="str">
        <f>_xlfn.XLOOKUP(Table1[[#This Row],[Account_ID]], Accounts[ID], Accounts[Account'#], "Unknown")</f>
        <v>4618</v>
      </c>
      <c r="I22" s="135" t="str">
        <f>_xlfn.XLOOKUP(_xlfn.XLOOKUP(Table1[[#This Row],[Account]],Accounts[Account nickname],Accounts[Institution ID]),Institutions[ID],Institutions[Institution nickname],"Unknown")</f>
        <v>Discover</v>
      </c>
      <c r="J22" s="136" t="s">
        <v>850</v>
      </c>
      <c r="K22" s="137" t="s">
        <v>843</v>
      </c>
      <c r="L22" s="137" t="s">
        <v>841</v>
      </c>
      <c r="M2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3dafc6bd8d7c45ae9840ff09e01567d1</v>
      </c>
      <c r="N2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500e6ba7cba37a7a2a33da8c057b4cb8</v>
      </c>
      <c r="O22" s="138" t="str" cm="1">
        <f t="array" ref="O22">IFERROR(INDEX(CategoriesTable[Category type],MATCH(Table1[[#This Row],[Category]],CategoriesTable[Category name],0),0),"")</f>
        <v>Expense</v>
      </c>
      <c r="P22" s="138">
        <v>31</v>
      </c>
      <c r="Q22" s="138">
        <f>MONTH(Table1[[#This Row],[Date]])</f>
        <v>12</v>
      </c>
      <c r="R22" s="138">
        <v>2021</v>
      </c>
      <c r="S22" s="139">
        <f>IF(ISBLANK(Table1[[#This Row],[Date]]),"",Table1[[#This Row],[Date]]-WEEKDAY(Table1[[#This Row],[Date]],2)+1)</f>
        <v>44557</v>
      </c>
      <c r="T22" s="140">
        <f>IF(ISBLANK(Table1[[#This Row],[Date]]),"",DATE(Table1[[#This Row],[Date_Year]],Table1[[#This Row],[Date_Month]],1))</f>
        <v>44531</v>
      </c>
    </row>
    <row r="23" spans="2:20" ht="15.75">
      <c r="B23" s="154">
        <v>44560</v>
      </c>
      <c r="C23" s="119" t="s">
        <v>676</v>
      </c>
      <c r="D23" s="119" t="s">
        <v>91</v>
      </c>
      <c r="E23" s="119"/>
      <c r="F23" s="155">
        <v>40</v>
      </c>
      <c r="G23" s="133" t="str">
        <f>_xlfn.XLOOKUP(Table1[[#This Row],[Account_ID]], Accounts[ID], Accounts[Account nickname], "Unknown")</f>
        <v>WF</v>
      </c>
      <c r="H23" s="134" t="str">
        <f>_xlfn.XLOOKUP(Table1[[#This Row],[Account_ID]], Accounts[ID], Accounts[Account'#], "Unknown")</f>
        <v>4636</v>
      </c>
      <c r="I23" s="135" t="str">
        <f>_xlfn.XLOOKUP(_xlfn.XLOOKUP(Table1[[#This Row],[Account]],Accounts[Account nickname],Accounts[Institution ID]),Institutions[ID],Institutions[Institution nickname],"Unknown")</f>
        <v>Wells Fargo</v>
      </c>
      <c r="J23" s="136" t="s">
        <v>809</v>
      </c>
      <c r="K23" s="137" t="s">
        <v>808</v>
      </c>
      <c r="L23" s="137" t="s">
        <v>807</v>
      </c>
      <c r="M2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fabfe582932d48b78ac2846c1ec3d43f</v>
      </c>
      <c r="N2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3" s="138" t="str" cm="1">
        <f t="array" ref="O23">IFERROR(INDEX(CategoriesTable[Category type],MATCH(Table1[[#This Row],[Category]],CategoriesTable[Category name],0),0),"")</f>
        <v>Expense</v>
      </c>
      <c r="P23" s="138">
        <v>30</v>
      </c>
      <c r="Q23" s="138">
        <f>MONTH(Table1[[#This Row],[Date]])</f>
        <v>12</v>
      </c>
      <c r="R23" s="138">
        <v>2021</v>
      </c>
      <c r="S23" s="139">
        <f>IF(ISBLANK(Table1[[#This Row],[Date]]),"",Table1[[#This Row],[Date]]-WEEKDAY(Table1[[#This Row],[Date]],2)+1)</f>
        <v>44557</v>
      </c>
      <c r="T23" s="140">
        <f>IF(ISBLANK(Table1[[#This Row],[Date]]),"",DATE(Table1[[#This Row],[Date_Year]],Table1[[#This Row],[Date_Month]],1))</f>
        <v>44531</v>
      </c>
    </row>
    <row r="24" spans="2:20" ht="15.75">
      <c r="B24" s="154">
        <v>44560</v>
      </c>
      <c r="C24" s="119" t="s">
        <v>677</v>
      </c>
      <c r="D24" s="119" t="s">
        <v>91</v>
      </c>
      <c r="E24" s="119"/>
      <c r="F24" s="155">
        <v>2738.66</v>
      </c>
      <c r="G24" s="133" t="str">
        <f>_xlfn.XLOOKUP(Table1[[#This Row],[Account_ID]], Accounts[ID], Accounts[Account nickname], "Unknown")</f>
        <v>WF</v>
      </c>
      <c r="H24" s="134" t="str">
        <f>_xlfn.XLOOKUP(Table1[[#This Row],[Account_ID]], Accounts[ID], Accounts[Account'#], "Unknown")</f>
        <v>4636</v>
      </c>
      <c r="I24" s="135" t="str">
        <f>_xlfn.XLOOKUP(_xlfn.XLOOKUP(Table1[[#This Row],[Account]],Accounts[Account nickname],Accounts[Institution ID]),Institutions[ID],Institutions[Institution nickname],"Unknown")</f>
        <v>Wells Fargo</v>
      </c>
      <c r="J24" s="136" t="s">
        <v>810</v>
      </c>
      <c r="K24" s="137" t="s">
        <v>808</v>
      </c>
      <c r="L24" s="137" t="s">
        <v>807</v>
      </c>
      <c r="M2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fabfe582932d48b78ac2846c1ec3d43f</v>
      </c>
      <c r="N2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4" s="138" t="str" cm="1">
        <f t="array" ref="O24">IFERROR(INDEX(CategoriesTable[Category type],MATCH(Table1[[#This Row],[Category]],CategoriesTable[Category name],0),0),"")</f>
        <v>Expense</v>
      </c>
      <c r="P24" s="138">
        <v>30</v>
      </c>
      <c r="Q24" s="138">
        <f>MONTH(Table1[[#This Row],[Date]])</f>
        <v>12</v>
      </c>
      <c r="R24" s="138">
        <v>2021</v>
      </c>
      <c r="S24" s="139">
        <f>IF(ISBLANK(Table1[[#This Row],[Date]]),"",Table1[[#This Row],[Date]]-WEEKDAY(Table1[[#This Row],[Date]],2)+1)</f>
        <v>44557</v>
      </c>
      <c r="T24" s="140">
        <f>IF(ISBLANK(Table1[[#This Row],[Date]]),"",DATE(Table1[[#This Row],[Date_Year]],Table1[[#This Row],[Date_Month]],1))</f>
        <v>44531</v>
      </c>
    </row>
    <row r="25" spans="2:20" ht="15.75">
      <c r="B25" s="154">
        <v>44560</v>
      </c>
      <c r="C25" s="119" t="s">
        <v>678</v>
      </c>
      <c r="D25" s="119" t="s">
        <v>91</v>
      </c>
      <c r="E25" s="119" t="s">
        <v>124</v>
      </c>
      <c r="F25" s="155">
        <v>-1866.67</v>
      </c>
      <c r="G25" s="133" t="str">
        <f>_xlfn.XLOOKUP(Table1[[#This Row],[Account_ID]], Accounts[ID], Accounts[Account nickname], "Unknown")</f>
        <v>WF</v>
      </c>
      <c r="H25" s="134" t="str">
        <f>_xlfn.XLOOKUP(Table1[[#This Row],[Account_ID]], Accounts[ID], Accounts[Account'#], "Unknown")</f>
        <v>4636</v>
      </c>
      <c r="I25" s="135" t="str">
        <f>_xlfn.XLOOKUP(_xlfn.XLOOKUP(Table1[[#This Row],[Account]],Accounts[Account nickname],Accounts[Institution ID]),Institutions[ID],Institutions[Institution nickname],"Unknown")</f>
        <v>Wells Fargo</v>
      </c>
      <c r="J25" s="136" t="s">
        <v>811</v>
      </c>
      <c r="K25" s="137" t="s">
        <v>808</v>
      </c>
      <c r="L25" s="137" t="s">
        <v>807</v>
      </c>
      <c r="M2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fabfe582932d48b78ac2846c1ec3d43f</v>
      </c>
      <c r="N2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01a08ee0780d41da979351ef7694e331</v>
      </c>
      <c r="O25" s="138" t="str" cm="1">
        <f t="array" ref="O25">IFERROR(INDEX(CategoriesTable[Category type],MATCH(Table1[[#This Row],[Category]],CategoriesTable[Category name],0),0),"")</f>
        <v>Expense</v>
      </c>
      <c r="P25" s="138">
        <v>30</v>
      </c>
      <c r="Q25" s="138">
        <f>MONTH(Table1[[#This Row],[Date]])</f>
        <v>12</v>
      </c>
      <c r="R25" s="138">
        <v>2021</v>
      </c>
      <c r="S25" s="139">
        <f>IF(ISBLANK(Table1[[#This Row],[Date]]),"",Table1[[#This Row],[Date]]-WEEKDAY(Table1[[#This Row],[Date]],2)+1)</f>
        <v>44557</v>
      </c>
      <c r="T25" s="140">
        <f>IF(ISBLANK(Table1[[#This Row],[Date]]),"",DATE(Table1[[#This Row],[Date_Year]],Table1[[#This Row],[Date_Month]],1))</f>
        <v>44531</v>
      </c>
    </row>
    <row r="26" spans="2:20" ht="15.75">
      <c r="B26" s="154">
        <v>44560</v>
      </c>
      <c r="C26" s="119" t="s">
        <v>3377</v>
      </c>
      <c r="D26" s="119" t="s">
        <v>123</v>
      </c>
      <c r="E26" s="119" t="s">
        <v>175</v>
      </c>
      <c r="F26" s="155">
        <v>-366.66</v>
      </c>
      <c r="G26" s="133" t="str">
        <f>_xlfn.XLOOKUP(Table1[[#This Row],[Account_ID]], Accounts[ID], Accounts[Account nickname], "Unknown")</f>
        <v>Discover</v>
      </c>
      <c r="H26" s="134" t="str">
        <f>_xlfn.XLOOKUP(Table1[[#This Row],[Account_ID]], Accounts[ID], Accounts[Account'#], "Unknown")</f>
        <v>4618</v>
      </c>
      <c r="I26" s="135" t="str">
        <f>_xlfn.XLOOKUP(_xlfn.XLOOKUP(Table1[[#This Row],[Account]],Accounts[Account nickname],Accounts[Institution ID]),Institutions[ID],Institutions[Institution nickname],"Unknown")</f>
        <v>Discover</v>
      </c>
      <c r="J26" s="136" t="s">
        <v>855</v>
      </c>
      <c r="K26" s="137" t="s">
        <v>843</v>
      </c>
      <c r="L26" s="137" t="s">
        <v>841</v>
      </c>
      <c r="M2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f870f35280fadaf3c3539ad54e3062cd</v>
      </c>
      <c r="N2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9fbba331d1ae096cbce7fb1035aebbc1</v>
      </c>
      <c r="O26" s="138" t="str" cm="1">
        <f t="array" ref="O26">IFERROR(INDEX(CategoriesTable[Category type],MATCH(Table1[[#This Row],[Category]],CategoriesTable[Category name],0),0),"")</f>
        <v>Expense</v>
      </c>
      <c r="P26" s="138">
        <v>30</v>
      </c>
      <c r="Q26" s="138">
        <f>MONTH(Table1[[#This Row],[Date]])</f>
        <v>12</v>
      </c>
      <c r="R26" s="138">
        <v>2021</v>
      </c>
      <c r="S26" s="139">
        <f>IF(ISBLANK(Table1[[#This Row],[Date]]),"",Table1[[#This Row],[Date]]-WEEKDAY(Table1[[#This Row],[Date]],2)+1)</f>
        <v>44557</v>
      </c>
      <c r="T26" s="140">
        <f>IF(ISBLANK(Table1[[#This Row],[Date]]),"",DATE(Table1[[#This Row],[Date_Year]],Table1[[#This Row],[Date_Month]],1))</f>
        <v>44531</v>
      </c>
    </row>
    <row r="27" spans="2:20" ht="15.75">
      <c r="B27" s="154">
        <v>44560</v>
      </c>
      <c r="C27" s="119" t="s">
        <v>852</v>
      </c>
      <c r="D27" s="119" t="s">
        <v>116</v>
      </c>
      <c r="E27" s="119" t="s">
        <v>133</v>
      </c>
      <c r="F27" s="155">
        <v>-93.25</v>
      </c>
      <c r="G27" s="133" t="str">
        <f>_xlfn.XLOOKUP(Table1[[#This Row],[Account_ID]], Accounts[ID], Accounts[Account nickname], "Unknown")</f>
        <v>Discover</v>
      </c>
      <c r="H27" s="134" t="str">
        <f>_xlfn.XLOOKUP(Table1[[#This Row],[Account_ID]], Accounts[ID], Accounts[Account'#], "Unknown")</f>
        <v>4618</v>
      </c>
      <c r="I27" s="135" t="str">
        <f>_xlfn.XLOOKUP(_xlfn.XLOOKUP(Table1[[#This Row],[Account]],Accounts[Account nickname],Accounts[Institution ID]),Institutions[ID],Institutions[Institution nickname],"Unknown")</f>
        <v>Discover</v>
      </c>
      <c r="J27" s="136" t="s">
        <v>853</v>
      </c>
      <c r="K27" s="137" t="s">
        <v>843</v>
      </c>
      <c r="L27" s="137" t="s">
        <v>841</v>
      </c>
      <c r="M2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e6c07c144d52704210419358ba4a8d2e</v>
      </c>
      <c r="N2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839f3d84f34900d3e634555e77251d93</v>
      </c>
      <c r="O27" s="138" t="str" cm="1">
        <f t="array" ref="O27">IFERROR(INDEX(CategoriesTable[Category type],MATCH(Table1[[#This Row],[Category]],CategoriesTable[Category name],0),0),"")</f>
        <v>Expense</v>
      </c>
      <c r="P27" s="138">
        <v>30</v>
      </c>
      <c r="Q27" s="138">
        <f>MONTH(Table1[[#This Row],[Date]])</f>
        <v>12</v>
      </c>
      <c r="R27" s="138">
        <v>2021</v>
      </c>
      <c r="S27" s="139">
        <f>IF(ISBLANK(Table1[[#This Row],[Date]]),"",Table1[[#This Row],[Date]]-WEEKDAY(Table1[[#This Row],[Date]],2)+1)</f>
        <v>44557</v>
      </c>
      <c r="T27" s="140">
        <f>IF(ISBLANK(Table1[[#This Row],[Date]]),"",DATE(Table1[[#This Row],[Date_Year]],Table1[[#This Row],[Date_Month]],1))</f>
        <v>44531</v>
      </c>
    </row>
    <row r="28" spans="2:20" ht="15.75">
      <c r="B28" s="154">
        <v>44560</v>
      </c>
      <c r="C28" s="119" t="s">
        <v>3376</v>
      </c>
      <c r="D28" s="119" t="s">
        <v>122</v>
      </c>
      <c r="E28" s="119" t="s">
        <v>167</v>
      </c>
      <c r="F28" s="155">
        <v>-99.99</v>
      </c>
      <c r="G28" s="133" t="str">
        <f>_xlfn.XLOOKUP(Table1[[#This Row],[Account_ID]], Accounts[ID], Accounts[Account nickname], "Unknown")</f>
        <v>Discover</v>
      </c>
      <c r="H28" s="134" t="str">
        <f>_xlfn.XLOOKUP(Table1[[#This Row],[Account_ID]], Accounts[ID], Accounts[Account'#], "Unknown")</f>
        <v>4618</v>
      </c>
      <c r="I28" s="135" t="str">
        <f>_xlfn.XLOOKUP(_xlfn.XLOOKUP(Table1[[#This Row],[Account]],Accounts[Account nickname],Accounts[Institution ID]),Institutions[ID],Institutions[Institution nickname],"Unknown")</f>
        <v>Discover</v>
      </c>
      <c r="J28" s="136" t="s">
        <v>854</v>
      </c>
      <c r="K28" s="137" t="s">
        <v>843</v>
      </c>
      <c r="L28" s="137" t="s">
        <v>841</v>
      </c>
      <c r="M2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f9fd776a16da81a948d166fcd5952d14</v>
      </c>
      <c r="N2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8aa9b4db7e16cd2041aa6bfdc219e567</v>
      </c>
      <c r="O28" s="138" t="str" cm="1">
        <f t="array" ref="O28">IFERROR(INDEX(CategoriesTable[Category type],MATCH(Table1[[#This Row],[Category]],CategoriesTable[Category name],0),0),"")</f>
        <v>Expense</v>
      </c>
      <c r="P28" s="138">
        <v>30</v>
      </c>
      <c r="Q28" s="138">
        <f>MONTH(Table1[[#This Row],[Date]])</f>
        <v>12</v>
      </c>
      <c r="R28" s="138">
        <v>2021</v>
      </c>
      <c r="S28" s="139">
        <f>IF(ISBLANK(Table1[[#This Row],[Date]]),"",Table1[[#This Row],[Date]]-WEEKDAY(Table1[[#This Row],[Date]],2)+1)</f>
        <v>44557</v>
      </c>
      <c r="T28" s="140">
        <f>IF(ISBLANK(Table1[[#This Row],[Date]]),"",DATE(Table1[[#This Row],[Date_Year]],Table1[[#This Row],[Date_Month]],1))</f>
        <v>44531</v>
      </c>
    </row>
    <row r="29" spans="2:20" ht="15.75">
      <c r="B29" s="154">
        <v>44559</v>
      </c>
      <c r="C29" s="119" t="s">
        <v>678</v>
      </c>
      <c r="D29" s="119" t="s">
        <v>91</v>
      </c>
      <c r="E29" s="119" t="s">
        <v>124</v>
      </c>
      <c r="F29" s="155">
        <v>933.33</v>
      </c>
      <c r="G29" s="133" t="str">
        <f>_xlfn.XLOOKUP(Table1[[#This Row],[Account_ID]], Accounts[ID], Accounts[Account nickname], "Unknown")</f>
        <v>WF</v>
      </c>
      <c r="H29" s="134" t="str">
        <f>_xlfn.XLOOKUP(Table1[[#This Row],[Account_ID]], Accounts[ID], Accounts[Account'#], "Unknown")</f>
        <v>4636</v>
      </c>
      <c r="I29" s="135" t="str">
        <f>_xlfn.XLOOKUP(_xlfn.XLOOKUP(Table1[[#This Row],[Account]],Accounts[Account nickname],Accounts[Institution ID]),Institutions[ID],Institutions[Institution nickname],"Unknown")</f>
        <v>Wells Fargo</v>
      </c>
      <c r="J29" s="136" t="s">
        <v>812</v>
      </c>
      <c r="K29" s="137" t="s">
        <v>808</v>
      </c>
      <c r="L29" s="137" t="s">
        <v>807</v>
      </c>
      <c r="M2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fabfe582932d48b78ac2846c1ec3d43f</v>
      </c>
      <c r="N2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01a08ee0780d41da979351ef7694e331</v>
      </c>
      <c r="O29" s="138" t="str" cm="1">
        <f t="array" ref="O29">IFERROR(INDEX(CategoriesTable[Category type],MATCH(Table1[[#This Row],[Category]],CategoriesTable[Category name],0),0),"")</f>
        <v>Expense</v>
      </c>
      <c r="P29" s="138">
        <v>29</v>
      </c>
      <c r="Q29" s="138">
        <f>MONTH(Table1[[#This Row],[Date]])</f>
        <v>12</v>
      </c>
      <c r="R29" s="138">
        <v>2021</v>
      </c>
      <c r="S29" s="139">
        <f>IF(ISBLANK(Table1[[#This Row],[Date]]),"",Table1[[#This Row],[Date]]-WEEKDAY(Table1[[#This Row],[Date]],2)+1)</f>
        <v>44557</v>
      </c>
      <c r="T29" s="140">
        <f>IF(ISBLANK(Table1[[#This Row],[Date]]),"",DATE(Table1[[#This Row],[Date_Year]],Table1[[#This Row],[Date_Month]],1))</f>
        <v>44531</v>
      </c>
    </row>
    <row r="30" spans="2:20" ht="15.75">
      <c r="B30" s="154">
        <v>44559</v>
      </c>
      <c r="C30" s="119" t="s">
        <v>694</v>
      </c>
      <c r="D30" s="119" t="s">
        <v>123</v>
      </c>
      <c r="E30" s="119" t="s">
        <v>178</v>
      </c>
      <c r="F30" s="155">
        <v>-14.76</v>
      </c>
      <c r="G30" s="133" t="str">
        <f>_xlfn.XLOOKUP(Table1[[#This Row],[Account_ID]], Accounts[ID], Accounts[Account nickname], "Unknown")</f>
        <v>Discover</v>
      </c>
      <c r="H30" s="134" t="str">
        <f>_xlfn.XLOOKUP(Table1[[#This Row],[Account_ID]], Accounts[ID], Accounts[Account'#], "Unknown")</f>
        <v>4618</v>
      </c>
      <c r="I30" s="135" t="str">
        <f>_xlfn.XLOOKUP(_xlfn.XLOOKUP(Table1[[#This Row],[Account]],Accounts[Account nickname],Accounts[Institution ID]),Institutions[ID],Institutions[Institution nickname],"Unknown")</f>
        <v>Discover</v>
      </c>
      <c r="J30" s="136" t="s">
        <v>856</v>
      </c>
      <c r="K30" s="137" t="s">
        <v>843</v>
      </c>
      <c r="L30" s="137" t="s">
        <v>841</v>
      </c>
      <c r="M3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f870f35280fadaf3c3539ad54e3062cd</v>
      </c>
      <c r="N3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500e6ba7cba37a7a2a33da8c057b4cb8</v>
      </c>
      <c r="O30" s="138" t="str" cm="1">
        <f t="array" ref="O30">IFERROR(INDEX(CategoriesTable[Category type],MATCH(Table1[[#This Row],[Category]],CategoriesTable[Category name],0),0),"")</f>
        <v>Expense</v>
      </c>
      <c r="P30" s="138">
        <v>29</v>
      </c>
      <c r="Q30" s="138">
        <f>MONTH(Table1[[#This Row],[Date]])</f>
        <v>12</v>
      </c>
      <c r="R30" s="138">
        <v>2021</v>
      </c>
      <c r="S30" s="139">
        <f>IF(ISBLANK(Table1[[#This Row],[Date]]),"",Table1[[#This Row],[Date]]-WEEKDAY(Table1[[#This Row],[Date]],2)+1)</f>
        <v>44557</v>
      </c>
      <c r="T30" s="140">
        <f>IF(ISBLANK(Table1[[#This Row],[Date]]),"",DATE(Table1[[#This Row],[Date_Year]],Table1[[#This Row],[Date_Month]],1))</f>
        <v>44531</v>
      </c>
    </row>
    <row r="31" spans="2:20" ht="15.75">
      <c r="B31" s="154">
        <v>44558</v>
      </c>
      <c r="C31" s="119" t="s">
        <v>857</v>
      </c>
      <c r="D31" s="119" t="s">
        <v>123</v>
      </c>
      <c r="E31" s="119" t="s">
        <v>178</v>
      </c>
      <c r="F31" s="155">
        <v>-11</v>
      </c>
      <c r="G31" s="133" t="str">
        <f>_xlfn.XLOOKUP(Table1[[#This Row],[Account_ID]], Accounts[ID], Accounts[Account nickname], "Unknown")</f>
        <v>Discover</v>
      </c>
      <c r="H31" s="134" t="str">
        <f>_xlfn.XLOOKUP(Table1[[#This Row],[Account_ID]], Accounts[ID], Accounts[Account'#], "Unknown")</f>
        <v>4618</v>
      </c>
      <c r="I31" s="135" t="str">
        <f>_xlfn.XLOOKUP(_xlfn.XLOOKUP(Table1[[#This Row],[Account]],Accounts[Account nickname],Accounts[Institution ID]),Institutions[ID],Institutions[Institution nickname],"Unknown")</f>
        <v>Discover</v>
      </c>
      <c r="J31" s="136" t="s">
        <v>858</v>
      </c>
      <c r="K31" s="137" t="s">
        <v>843</v>
      </c>
      <c r="L31" s="137" t="s">
        <v>841</v>
      </c>
      <c r="M3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f870f35280fadaf3c3539ad54e3062cd</v>
      </c>
      <c r="N3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500e6ba7cba37a7a2a33da8c057b4cb8</v>
      </c>
      <c r="O31" s="138" t="str" cm="1">
        <f t="array" ref="O31">IFERROR(INDEX(CategoriesTable[Category type],MATCH(Table1[[#This Row],[Category]],CategoriesTable[Category name],0),0),"")</f>
        <v>Expense</v>
      </c>
      <c r="P31" s="138">
        <v>28</v>
      </c>
      <c r="Q31" s="138">
        <f>MONTH(Table1[[#This Row],[Date]])</f>
        <v>12</v>
      </c>
      <c r="R31" s="138">
        <v>2021</v>
      </c>
      <c r="S31" s="139">
        <f>IF(ISBLANK(Table1[[#This Row],[Date]]),"",Table1[[#This Row],[Date]]-WEEKDAY(Table1[[#This Row],[Date]],2)+1)</f>
        <v>44557</v>
      </c>
      <c r="T31" s="140">
        <f>IF(ISBLANK(Table1[[#This Row],[Date]]),"",DATE(Table1[[#This Row],[Date_Year]],Table1[[#This Row],[Date_Month]],1))</f>
        <v>44531</v>
      </c>
    </row>
    <row r="32" spans="2:20" ht="15.75">
      <c r="B32" s="154">
        <v>44557</v>
      </c>
      <c r="C32" s="119" t="s">
        <v>685</v>
      </c>
      <c r="D32" s="119" t="s">
        <v>103</v>
      </c>
      <c r="E32" s="119"/>
      <c r="F32" s="155">
        <v>108.59</v>
      </c>
      <c r="G32" s="133" t="str">
        <f>_xlfn.XLOOKUP(Table1[[#This Row],[Account_ID]], Accounts[ID], Accounts[Account nickname], "Unknown")</f>
        <v>BB</v>
      </c>
      <c r="H32" s="134" t="str">
        <f>_xlfn.XLOOKUP(Table1[[#This Row],[Account_ID]], Accounts[ID], Accounts[Account'#], "Unknown")</f>
        <v>4561</v>
      </c>
      <c r="I32" s="135" t="str">
        <f>_xlfn.XLOOKUP(_xlfn.XLOOKUP(Table1[[#This Row],[Account]],Accounts[Account nickname],Accounts[Institution ID]),Institutions[ID],Institutions[Institution nickname],"Unknown")</f>
        <v>Best Buy - Citi Card</v>
      </c>
      <c r="J32" s="136" t="s">
        <v>1379</v>
      </c>
      <c r="K32" s="137" t="s">
        <v>1375</v>
      </c>
      <c r="L32" s="137" t="s">
        <v>1372</v>
      </c>
      <c r="M3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fca5dd8329b743f7b77704e23a1e63ad</v>
      </c>
      <c r="N3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2" s="138" t="str" cm="1">
        <f t="array" ref="O32">IFERROR(INDEX(CategoriesTable[Category type],MATCH(Table1[[#This Row],[Category]],CategoriesTable[Category name],0),0),"")</f>
        <v>Expense</v>
      </c>
      <c r="P32" s="138">
        <v>27</v>
      </c>
      <c r="Q32" s="138">
        <f>MONTH(Table1[[#This Row],[Date]])</f>
        <v>12</v>
      </c>
      <c r="R32" s="138">
        <v>2021</v>
      </c>
      <c r="S32" s="139">
        <f>IF(ISBLANK(Table1[[#This Row],[Date]]),"",Table1[[#This Row],[Date]]-WEEKDAY(Table1[[#This Row],[Date]],2)+1)</f>
        <v>44557</v>
      </c>
      <c r="T32" s="140">
        <f>IF(ISBLANK(Table1[[#This Row],[Date]]),"",DATE(Table1[[#This Row],[Date_Year]],Table1[[#This Row],[Date_Month]],1))</f>
        <v>44531</v>
      </c>
    </row>
    <row r="33" spans="2:20" ht="15.75">
      <c r="B33" s="154">
        <v>44557</v>
      </c>
      <c r="C33" s="119" t="s">
        <v>685</v>
      </c>
      <c r="D33" s="119" t="s">
        <v>103</v>
      </c>
      <c r="E33" s="119"/>
      <c r="F33" s="155">
        <v>-108.59</v>
      </c>
      <c r="G33" s="133" t="str">
        <f>_xlfn.XLOOKUP(Table1[[#This Row],[Account_ID]], Accounts[ID], Accounts[Account nickname], "Unknown")</f>
        <v>BB</v>
      </c>
      <c r="H33" s="134" t="str">
        <f>_xlfn.XLOOKUP(Table1[[#This Row],[Account_ID]], Accounts[ID], Accounts[Account'#], "Unknown")</f>
        <v>4561</v>
      </c>
      <c r="I33" s="135" t="str">
        <f>_xlfn.XLOOKUP(_xlfn.XLOOKUP(Table1[[#This Row],[Account]],Accounts[Account nickname],Accounts[Institution ID]),Institutions[ID],Institutions[Institution nickname],"Unknown")</f>
        <v>Best Buy - Citi Card</v>
      </c>
      <c r="J33" s="136" t="s">
        <v>1381</v>
      </c>
      <c r="K33" s="137" t="s">
        <v>1375</v>
      </c>
      <c r="L33" s="137" t="s">
        <v>1372</v>
      </c>
      <c r="M3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fca5dd8329b743f7b77704e23a1e63ad</v>
      </c>
      <c r="N3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3" s="138" t="str" cm="1">
        <f t="array" ref="O33">IFERROR(INDEX(CategoriesTable[Category type],MATCH(Table1[[#This Row],[Category]],CategoriesTable[Category name],0),0),"")</f>
        <v>Expense</v>
      </c>
      <c r="P33" s="138">
        <v>27</v>
      </c>
      <c r="Q33" s="138">
        <f>MONTH(Table1[[#This Row],[Date]])</f>
        <v>12</v>
      </c>
      <c r="R33" s="138">
        <v>2021</v>
      </c>
      <c r="S33" s="139">
        <f>IF(ISBLANK(Table1[[#This Row],[Date]]),"",Table1[[#This Row],[Date]]-WEEKDAY(Table1[[#This Row],[Date]],2)+1)</f>
        <v>44557</v>
      </c>
      <c r="T33" s="140">
        <f>IF(ISBLANK(Table1[[#This Row],[Date]]),"",DATE(Table1[[#This Row],[Date_Year]],Table1[[#This Row],[Date_Month]],1))</f>
        <v>44531</v>
      </c>
    </row>
    <row r="34" spans="2:20" ht="15.75">
      <c r="B34" s="154">
        <v>44557</v>
      </c>
      <c r="C34" s="119" t="s">
        <v>685</v>
      </c>
      <c r="D34" s="119" t="s">
        <v>103</v>
      </c>
      <c r="E34" s="119"/>
      <c r="F34" s="155">
        <v>65.150000000000006</v>
      </c>
      <c r="G34" s="133" t="str">
        <f>_xlfn.XLOOKUP(Table1[[#This Row],[Account_ID]], Accounts[ID], Accounts[Account nickname], "Unknown")</f>
        <v>BB</v>
      </c>
      <c r="H34" s="134" t="str">
        <f>_xlfn.XLOOKUP(Table1[[#This Row],[Account_ID]], Accounts[ID], Accounts[Account'#], "Unknown")</f>
        <v>4561</v>
      </c>
      <c r="I34" s="135" t="str">
        <f>_xlfn.XLOOKUP(_xlfn.XLOOKUP(Table1[[#This Row],[Account]],Accounts[Account nickname],Accounts[Institution ID]),Institutions[ID],Institutions[Institution nickname],"Unknown")</f>
        <v>Best Buy - Citi Card</v>
      </c>
      <c r="J34" s="136" t="s">
        <v>1380</v>
      </c>
      <c r="K34" s="137" t="s">
        <v>1375</v>
      </c>
      <c r="L34" s="137" t="s">
        <v>1372</v>
      </c>
      <c r="M3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fca5dd8329b743f7b77704e23a1e63ad</v>
      </c>
      <c r="N3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4" s="138" t="str" cm="1">
        <f t="array" ref="O34">IFERROR(INDEX(CategoriesTable[Category type],MATCH(Table1[[#This Row],[Category]],CategoriesTable[Category name],0),0),"")</f>
        <v>Expense</v>
      </c>
      <c r="P34" s="138">
        <v>27</v>
      </c>
      <c r="Q34" s="138">
        <f>MONTH(Table1[[#This Row],[Date]])</f>
        <v>12</v>
      </c>
      <c r="R34" s="138">
        <v>2021</v>
      </c>
      <c r="S34" s="139">
        <f>IF(ISBLANK(Table1[[#This Row],[Date]]),"",Table1[[#This Row],[Date]]-WEEKDAY(Table1[[#This Row],[Date]],2)+1)</f>
        <v>44557</v>
      </c>
      <c r="T34" s="140">
        <f>IF(ISBLANK(Table1[[#This Row],[Date]]),"",DATE(Table1[[#This Row],[Date_Year]],Table1[[#This Row],[Date_Month]],1))</f>
        <v>44531</v>
      </c>
    </row>
    <row r="35" spans="2:20" ht="15.75">
      <c r="B35" s="154">
        <v>44557</v>
      </c>
      <c r="C35" s="119" t="s">
        <v>703</v>
      </c>
      <c r="D35" s="119" t="s">
        <v>123</v>
      </c>
      <c r="E35" s="119" t="s">
        <v>178</v>
      </c>
      <c r="F35" s="155">
        <v>-8.4600000000000009</v>
      </c>
      <c r="G35" s="133" t="str">
        <f>_xlfn.XLOOKUP(Table1[[#This Row],[Account_ID]], Accounts[ID], Accounts[Account nickname], "Unknown")</f>
        <v>Discover</v>
      </c>
      <c r="H35" s="134" t="str">
        <f>_xlfn.XLOOKUP(Table1[[#This Row],[Account_ID]], Accounts[ID], Accounts[Account'#], "Unknown")</f>
        <v>4618</v>
      </c>
      <c r="I35" s="135" t="str">
        <f>_xlfn.XLOOKUP(_xlfn.XLOOKUP(Table1[[#This Row],[Account]],Accounts[Account nickname],Accounts[Institution ID]),Institutions[ID],Institutions[Institution nickname],"Unknown")</f>
        <v>Discover</v>
      </c>
      <c r="J35" s="136" t="s">
        <v>859</v>
      </c>
      <c r="K35" s="137" t="s">
        <v>843</v>
      </c>
      <c r="L35" s="137" t="s">
        <v>841</v>
      </c>
      <c r="M3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f870f35280fadaf3c3539ad54e3062cd</v>
      </c>
      <c r="N3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500e6ba7cba37a7a2a33da8c057b4cb8</v>
      </c>
      <c r="O35" s="138" t="str" cm="1">
        <f t="array" ref="O35">IFERROR(INDEX(CategoriesTable[Category type],MATCH(Table1[[#This Row],[Category]],CategoriesTable[Category name],0),0),"")</f>
        <v>Expense</v>
      </c>
      <c r="P35" s="138">
        <v>27</v>
      </c>
      <c r="Q35" s="138">
        <f>MONTH(Table1[[#This Row],[Date]])</f>
        <v>12</v>
      </c>
      <c r="R35" s="138">
        <v>2021</v>
      </c>
      <c r="S35" s="139">
        <f>IF(ISBLANK(Table1[[#This Row],[Date]]),"",Table1[[#This Row],[Date]]-WEEKDAY(Table1[[#This Row],[Date]],2)+1)</f>
        <v>44557</v>
      </c>
      <c r="T35" s="140">
        <f>IF(ISBLANK(Table1[[#This Row],[Date]]),"",DATE(Table1[[#This Row],[Date_Year]],Table1[[#This Row],[Date_Month]],1))</f>
        <v>44531</v>
      </c>
    </row>
    <row r="36" spans="2:20" ht="15.75">
      <c r="B36" s="154">
        <v>44557</v>
      </c>
      <c r="C36" s="119" t="s">
        <v>678</v>
      </c>
      <c r="D36" s="119" t="s">
        <v>121</v>
      </c>
      <c r="E36" s="119" t="s">
        <v>162</v>
      </c>
      <c r="F36" s="155">
        <v>-76.5</v>
      </c>
      <c r="G36" s="133" t="str">
        <f>_xlfn.XLOOKUP(Table1[[#This Row],[Account_ID]], Accounts[ID], Accounts[Account nickname], "Unknown")</f>
        <v>WF</v>
      </c>
      <c r="H36" s="134" t="str">
        <f>_xlfn.XLOOKUP(Table1[[#This Row],[Account_ID]], Accounts[ID], Accounts[Account'#], "Unknown")</f>
        <v>4636</v>
      </c>
      <c r="I36" s="135" t="str">
        <f>_xlfn.XLOOKUP(_xlfn.XLOOKUP(Table1[[#This Row],[Account]],Accounts[Account nickname],Accounts[Institution ID]),Institutions[ID],Institutions[Institution nickname],"Unknown")</f>
        <v>Wells Fargo</v>
      </c>
      <c r="J36" s="136" t="s">
        <v>813</v>
      </c>
      <c r="K36" s="137" t="s">
        <v>808</v>
      </c>
      <c r="L36" s="137" t="s">
        <v>807</v>
      </c>
      <c r="M3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f59903268bc5a7b5382a7eb44e1c5e95</v>
      </c>
      <c r="N3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29203f6b3d0b39d0da4dd72a306dbe8d</v>
      </c>
      <c r="O36" s="138" t="str" cm="1">
        <f t="array" ref="O36">IFERROR(INDEX(CategoriesTable[Category type],MATCH(Table1[[#This Row],[Category]],CategoriesTable[Category name],0),0),"")</f>
        <v>Expense</v>
      </c>
      <c r="P36" s="138">
        <v>27</v>
      </c>
      <c r="Q36" s="138">
        <f>MONTH(Table1[[#This Row],[Date]])</f>
        <v>12</v>
      </c>
      <c r="R36" s="138">
        <v>2021</v>
      </c>
      <c r="S36" s="139">
        <f>IF(ISBLANK(Table1[[#This Row],[Date]]),"",Table1[[#This Row],[Date]]-WEEKDAY(Table1[[#This Row],[Date]],2)+1)</f>
        <v>44557</v>
      </c>
      <c r="T36" s="140">
        <f>IF(ISBLANK(Table1[[#This Row],[Date]]),"",DATE(Table1[[#This Row],[Date_Year]],Table1[[#This Row],[Date_Month]],1))</f>
        <v>44531</v>
      </c>
    </row>
    <row r="37" spans="2:20" ht="15.75">
      <c r="B37" s="154">
        <v>44557</v>
      </c>
      <c r="C37" s="119" t="s">
        <v>685</v>
      </c>
      <c r="D37" s="119" t="s">
        <v>103</v>
      </c>
      <c r="E37" s="119"/>
      <c r="F37" s="155">
        <v>-307.14</v>
      </c>
      <c r="G37" s="133" t="str">
        <f>_xlfn.XLOOKUP(Table1[[#This Row],[Account_ID]], Accounts[ID], Accounts[Account nickname], "Unknown")</f>
        <v>BB</v>
      </c>
      <c r="H37" s="134" t="str">
        <f>_xlfn.XLOOKUP(Table1[[#This Row],[Account_ID]], Accounts[ID], Accounts[Account'#], "Unknown")</f>
        <v>4561</v>
      </c>
      <c r="I37" s="135" t="str">
        <f>_xlfn.XLOOKUP(_xlfn.XLOOKUP(Table1[[#This Row],[Account]],Accounts[Account nickname],Accounts[Institution ID]),Institutions[ID],Institutions[Institution nickname],"Unknown")</f>
        <v>Best Buy - Citi Card</v>
      </c>
      <c r="J37" s="136" t="s">
        <v>1382</v>
      </c>
      <c r="K37" s="137" t="s">
        <v>1375</v>
      </c>
      <c r="L37" s="137" t="s">
        <v>1372</v>
      </c>
      <c r="M3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fca5dd8329b743f7b77704e23a1e63ad</v>
      </c>
      <c r="N3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7" s="138" t="str" cm="1">
        <f t="array" ref="O37">IFERROR(INDEX(CategoriesTable[Category type],MATCH(Table1[[#This Row],[Category]],CategoriesTable[Category name],0),0),"")</f>
        <v>Expense</v>
      </c>
      <c r="P37" s="138">
        <v>27</v>
      </c>
      <c r="Q37" s="138">
        <f>MONTH(Table1[[#This Row],[Date]])</f>
        <v>12</v>
      </c>
      <c r="R37" s="138">
        <v>2021</v>
      </c>
      <c r="S37" s="139">
        <f>IF(ISBLANK(Table1[[#This Row],[Date]]),"",Table1[[#This Row],[Date]]-WEEKDAY(Table1[[#This Row],[Date]],2)+1)</f>
        <v>44557</v>
      </c>
      <c r="T37" s="140">
        <f>IF(ISBLANK(Table1[[#This Row],[Date]]),"",DATE(Table1[[#This Row],[Date_Year]],Table1[[#This Row],[Date_Month]],1))</f>
        <v>44531</v>
      </c>
    </row>
    <row r="38" spans="2:20" ht="15.75">
      <c r="B38" s="154">
        <v>44557</v>
      </c>
      <c r="C38" s="119" t="s">
        <v>678</v>
      </c>
      <c r="D38" s="119" t="s">
        <v>121</v>
      </c>
      <c r="E38" s="119" t="s">
        <v>162</v>
      </c>
      <c r="F38" s="155">
        <v>-100</v>
      </c>
      <c r="G38" s="133" t="str">
        <f>_xlfn.XLOOKUP(Table1[[#This Row],[Account_ID]], Accounts[ID], Accounts[Account nickname], "Unknown")</f>
        <v>WF</v>
      </c>
      <c r="H38" s="134" t="str">
        <f>_xlfn.XLOOKUP(Table1[[#This Row],[Account_ID]], Accounts[ID], Accounts[Account'#], "Unknown")</f>
        <v>4636</v>
      </c>
      <c r="I38" s="135" t="str">
        <f>_xlfn.XLOOKUP(_xlfn.XLOOKUP(Table1[[#This Row],[Account]],Accounts[Account nickname],Accounts[Institution ID]),Institutions[ID],Institutions[Institution nickname],"Unknown")</f>
        <v>Wells Fargo</v>
      </c>
      <c r="J38" s="152" t="s">
        <v>814</v>
      </c>
      <c r="K38" s="137" t="s">
        <v>808</v>
      </c>
      <c r="L38" s="137" t="s">
        <v>807</v>
      </c>
      <c r="M3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f59903268bc5a7b5382a7eb44e1c5e95</v>
      </c>
      <c r="N3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29203f6b3d0b39d0da4dd72a306dbe8d</v>
      </c>
      <c r="O38" s="138" t="str" cm="1">
        <f t="array" ref="O38">IFERROR(INDEX(CategoriesTable[Category type],MATCH(Table1[[#This Row],[Category]],CategoriesTable[Category name],0),0),"")</f>
        <v>Expense</v>
      </c>
      <c r="P38" s="138">
        <v>27</v>
      </c>
      <c r="Q38" s="138">
        <f>MONTH(Table1[[#This Row],[Date]])</f>
        <v>12</v>
      </c>
      <c r="R38" s="138">
        <v>2021</v>
      </c>
      <c r="S38" s="139">
        <f>IF(ISBLANK(Table1[[#This Row],[Date]]),"",Table1[[#This Row],[Date]]-WEEKDAY(Table1[[#This Row],[Date]],2)+1)</f>
        <v>44557</v>
      </c>
      <c r="T38" s="140">
        <f>IF(ISBLANK(Table1[[#This Row],[Date]]),"",DATE(Table1[[#This Row],[Date_Year]],Table1[[#This Row],[Date_Month]],1))</f>
        <v>44531</v>
      </c>
    </row>
    <row r="39" spans="2:20" ht="15.75">
      <c r="B39" s="154">
        <v>44556</v>
      </c>
      <c r="C39" s="119" t="s">
        <v>860</v>
      </c>
      <c r="D39" s="119" t="s">
        <v>122</v>
      </c>
      <c r="E39" s="119"/>
      <c r="F39" s="155">
        <v>-78.06</v>
      </c>
      <c r="G39" s="133" t="str">
        <f>_xlfn.XLOOKUP(Table1[[#This Row],[Account_ID]], Accounts[ID], Accounts[Account nickname], "Unknown")</f>
        <v>Discover</v>
      </c>
      <c r="H39" s="134" t="str">
        <f>_xlfn.XLOOKUP(Table1[[#This Row],[Account_ID]], Accounts[ID], Accounts[Account'#], "Unknown")</f>
        <v>4618</v>
      </c>
      <c r="I39" s="135" t="str">
        <f>_xlfn.XLOOKUP(_xlfn.XLOOKUP(Table1[[#This Row],[Account]],Accounts[Account nickname],Accounts[Institution ID]),Institutions[ID],Institutions[Institution nickname],"Unknown")</f>
        <v>Discover</v>
      </c>
      <c r="J39" s="136" t="s">
        <v>861</v>
      </c>
      <c r="K39" s="137" t="s">
        <v>843</v>
      </c>
      <c r="L39" s="137" t="s">
        <v>841</v>
      </c>
      <c r="M3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f9fd776a16da81a948d166fcd5952d14</v>
      </c>
      <c r="N3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9" s="138" t="str" cm="1">
        <f t="array" ref="O39">IFERROR(INDEX(CategoriesTable[Category type],MATCH(Table1[[#This Row],[Category]],CategoriesTable[Category name],0),0),"")</f>
        <v>Expense</v>
      </c>
      <c r="P39" s="138">
        <v>26</v>
      </c>
      <c r="Q39" s="138">
        <f>MONTH(Table1[[#This Row],[Date]])</f>
        <v>12</v>
      </c>
      <c r="R39" s="138">
        <v>2021</v>
      </c>
      <c r="S39" s="139">
        <f>IF(ISBLANK(Table1[[#This Row],[Date]]),"",Table1[[#This Row],[Date]]-WEEKDAY(Table1[[#This Row],[Date]],2)+1)</f>
        <v>44550</v>
      </c>
      <c r="T39" s="140">
        <f>IF(ISBLANK(Table1[[#This Row],[Date]]),"",DATE(Table1[[#This Row],[Date_Year]],Table1[[#This Row],[Date_Month]],1))</f>
        <v>44531</v>
      </c>
    </row>
    <row r="40" spans="2:20" ht="15.75">
      <c r="B40" s="154">
        <v>44556</v>
      </c>
      <c r="C40" s="119" t="s">
        <v>862</v>
      </c>
      <c r="D40" s="119" t="s">
        <v>117</v>
      </c>
      <c r="E40" s="119" t="s">
        <v>85</v>
      </c>
      <c r="F40" s="155">
        <v>-34.200000000000003</v>
      </c>
      <c r="G40" s="133" t="str">
        <f>_xlfn.XLOOKUP(Table1[[#This Row],[Account_ID]], Accounts[ID], Accounts[Account nickname], "Unknown")</f>
        <v>Discover</v>
      </c>
      <c r="H40" s="134" t="str">
        <f>_xlfn.XLOOKUP(Table1[[#This Row],[Account_ID]], Accounts[ID], Accounts[Account'#], "Unknown")</f>
        <v>4618</v>
      </c>
      <c r="I40" s="135" t="str">
        <f>_xlfn.XLOOKUP(_xlfn.XLOOKUP(Table1[[#This Row],[Account]],Accounts[Account nickname],Accounts[Institution ID]),Institutions[ID],Institutions[Institution nickname],"Unknown")</f>
        <v>Discover</v>
      </c>
      <c r="J40" s="136" t="s">
        <v>863</v>
      </c>
      <c r="K40" s="137" t="s">
        <v>843</v>
      </c>
      <c r="L40" s="137" t="s">
        <v>841</v>
      </c>
      <c r="M4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fec746a44521f2118fef19237dbf4f91</v>
      </c>
      <c r="N4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fd72ce5cfeedbe66d13df9602b6cff7d</v>
      </c>
      <c r="O40" s="138" t="str" cm="1">
        <f t="array" ref="O40">IFERROR(INDEX(CategoriesTable[Category type],MATCH(Table1[[#This Row],[Category]],CategoriesTable[Category name],0),0),"")</f>
        <v>Expense</v>
      </c>
      <c r="P40" s="138">
        <v>26</v>
      </c>
      <c r="Q40" s="138">
        <f>MONTH(Table1[[#This Row],[Date]])</f>
        <v>12</v>
      </c>
      <c r="R40" s="138">
        <v>2021</v>
      </c>
      <c r="S40" s="139">
        <f>IF(ISBLANK(Table1[[#This Row],[Date]]),"",Table1[[#This Row],[Date]]-WEEKDAY(Table1[[#This Row],[Date]],2)+1)</f>
        <v>44550</v>
      </c>
      <c r="T40" s="140">
        <f>IF(ISBLANK(Table1[[#This Row],[Date]]),"",DATE(Table1[[#This Row],[Date_Year]],Table1[[#This Row],[Date_Month]],1))</f>
        <v>44531</v>
      </c>
    </row>
    <row r="41" spans="2:20" ht="15.75">
      <c r="B41" s="154">
        <v>44555</v>
      </c>
      <c r="C41" s="119" t="s">
        <v>870</v>
      </c>
      <c r="D41" s="119" t="s">
        <v>123</v>
      </c>
      <c r="E41" s="119" t="s">
        <v>175</v>
      </c>
      <c r="F41" s="155">
        <v>-33</v>
      </c>
      <c r="G41" s="133" t="str">
        <f>_xlfn.XLOOKUP(Table1[[#This Row],[Account_ID]], Accounts[ID], Accounts[Account nickname], "Unknown")</f>
        <v>Discover</v>
      </c>
      <c r="H41" s="134" t="str">
        <f>_xlfn.XLOOKUP(Table1[[#This Row],[Account_ID]], Accounts[ID], Accounts[Account'#], "Unknown")</f>
        <v>4618</v>
      </c>
      <c r="I41" s="135" t="str">
        <f>_xlfn.XLOOKUP(_xlfn.XLOOKUP(Table1[[#This Row],[Account]],Accounts[Account nickname],Accounts[Institution ID]),Institutions[ID],Institutions[Institution nickname],"Unknown")</f>
        <v>Discover</v>
      </c>
      <c r="J41" s="136" t="s">
        <v>871</v>
      </c>
      <c r="K41" s="137" t="s">
        <v>843</v>
      </c>
      <c r="L41" s="137" t="s">
        <v>841</v>
      </c>
      <c r="M4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f870f35280fadaf3c3539ad54e3062cd</v>
      </c>
      <c r="N4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9fbba331d1ae096cbce7fb1035aebbc1</v>
      </c>
      <c r="O41" s="138" t="str" cm="1">
        <f t="array" ref="O41">IFERROR(INDEX(CategoriesTable[Category type],MATCH(Table1[[#This Row],[Category]],CategoriesTable[Category name],0),0),"")</f>
        <v>Expense</v>
      </c>
      <c r="P41" s="138">
        <v>25</v>
      </c>
      <c r="Q41" s="138">
        <f>MONTH(Table1[[#This Row],[Date]])</f>
        <v>12</v>
      </c>
      <c r="R41" s="138">
        <v>2021</v>
      </c>
      <c r="S41" s="139">
        <f>IF(ISBLANK(Table1[[#This Row],[Date]]),"",Table1[[#This Row],[Date]]-WEEKDAY(Table1[[#This Row],[Date]],2)+1)</f>
        <v>44550</v>
      </c>
      <c r="T41" s="140">
        <f>IF(ISBLANK(Table1[[#This Row],[Date]]),"",DATE(Table1[[#This Row],[Date_Year]],Table1[[#This Row],[Date_Month]],1))</f>
        <v>44531</v>
      </c>
    </row>
    <row r="42" spans="2:20" ht="15.75">
      <c r="B42" s="154">
        <v>44555</v>
      </c>
      <c r="C42" s="119" t="s">
        <v>864</v>
      </c>
      <c r="D42" s="119" t="s">
        <v>123</v>
      </c>
      <c r="E42" s="119" t="s">
        <v>178</v>
      </c>
      <c r="F42" s="155">
        <v>-39.64</v>
      </c>
      <c r="G42" s="133" t="str">
        <f>_xlfn.XLOOKUP(Table1[[#This Row],[Account_ID]], Accounts[ID], Accounts[Account nickname], "Unknown")</f>
        <v>Discover</v>
      </c>
      <c r="H42" s="134" t="str">
        <f>_xlfn.XLOOKUP(Table1[[#This Row],[Account_ID]], Accounts[ID], Accounts[Account'#], "Unknown")</f>
        <v>4618</v>
      </c>
      <c r="I42" s="135" t="str">
        <f>_xlfn.XLOOKUP(_xlfn.XLOOKUP(Table1[[#This Row],[Account]],Accounts[Account nickname],Accounts[Institution ID]),Institutions[ID],Institutions[Institution nickname],"Unknown")</f>
        <v>Discover</v>
      </c>
      <c r="J42" s="136" t="s">
        <v>865</v>
      </c>
      <c r="K42" s="137" t="s">
        <v>843</v>
      </c>
      <c r="L42" s="137" t="s">
        <v>841</v>
      </c>
      <c r="M4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f870f35280fadaf3c3539ad54e3062cd</v>
      </c>
      <c r="N4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500e6ba7cba37a7a2a33da8c057b4cb8</v>
      </c>
      <c r="O42" s="138" t="str" cm="1">
        <f t="array" ref="O42">IFERROR(INDEX(CategoriesTable[Category type],MATCH(Table1[[#This Row],[Category]],CategoriesTable[Category name],0),0),"")</f>
        <v>Expense</v>
      </c>
      <c r="P42" s="138">
        <v>25</v>
      </c>
      <c r="Q42" s="138">
        <f>MONTH(Table1[[#This Row],[Date]])</f>
        <v>12</v>
      </c>
      <c r="R42" s="138">
        <v>2021</v>
      </c>
      <c r="S42" s="139">
        <f>IF(ISBLANK(Table1[[#This Row],[Date]]),"",Table1[[#This Row],[Date]]-WEEKDAY(Table1[[#This Row],[Date]],2)+1)</f>
        <v>44550</v>
      </c>
      <c r="T42" s="140">
        <f>IF(ISBLANK(Table1[[#This Row],[Date]]),"",DATE(Table1[[#This Row],[Date_Year]],Table1[[#This Row],[Date_Month]],1))</f>
        <v>44531</v>
      </c>
    </row>
    <row r="43" spans="2:20" ht="15.75">
      <c r="B43" s="154">
        <v>44555</v>
      </c>
      <c r="C43" s="119" t="s">
        <v>866</v>
      </c>
      <c r="D43" s="119" t="s">
        <v>122</v>
      </c>
      <c r="E43" s="119" t="s">
        <v>168</v>
      </c>
      <c r="F43" s="155">
        <v>-79</v>
      </c>
      <c r="G43" s="133" t="str">
        <f>_xlfn.XLOOKUP(Table1[[#This Row],[Account_ID]], Accounts[ID], Accounts[Account nickname], "Unknown")</f>
        <v>Discover</v>
      </c>
      <c r="H43" s="134" t="str">
        <f>_xlfn.XLOOKUP(Table1[[#This Row],[Account_ID]], Accounts[ID], Accounts[Account'#], "Unknown")</f>
        <v>4618</v>
      </c>
      <c r="I43" s="135" t="str">
        <f>_xlfn.XLOOKUP(_xlfn.XLOOKUP(Table1[[#This Row],[Account]],Accounts[Account nickname],Accounts[Institution ID]),Institutions[ID],Institutions[Institution nickname],"Unknown")</f>
        <v>Discover</v>
      </c>
      <c r="J43" s="136" t="s">
        <v>867</v>
      </c>
      <c r="K43" s="137" t="s">
        <v>843</v>
      </c>
      <c r="L43" s="137" t="s">
        <v>841</v>
      </c>
      <c r="M4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f9fd776a16da81a948d166fcd5952d14</v>
      </c>
      <c r="N4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bade29a2da6ab874d122981857355aa8</v>
      </c>
      <c r="O43" s="138" t="str" cm="1">
        <f t="array" ref="O43">IFERROR(INDEX(CategoriesTable[Category type],MATCH(Table1[[#This Row],[Category]],CategoriesTable[Category name],0),0),"")</f>
        <v>Expense</v>
      </c>
      <c r="P43" s="138">
        <v>25</v>
      </c>
      <c r="Q43" s="138">
        <f>MONTH(Table1[[#This Row],[Date]])</f>
        <v>12</v>
      </c>
      <c r="R43" s="138">
        <v>2021</v>
      </c>
      <c r="S43" s="139">
        <f>IF(ISBLANK(Table1[[#This Row],[Date]]),"",Table1[[#This Row],[Date]]-WEEKDAY(Table1[[#This Row],[Date]],2)+1)</f>
        <v>44550</v>
      </c>
      <c r="T43" s="140">
        <f>IF(ISBLANK(Table1[[#This Row],[Date]]),"",DATE(Table1[[#This Row],[Date_Year]],Table1[[#This Row],[Date_Month]],1))</f>
        <v>44531</v>
      </c>
    </row>
    <row r="44" spans="2:20" ht="15.75">
      <c r="B44" s="154">
        <v>44555</v>
      </c>
      <c r="C44" s="119" t="s">
        <v>868</v>
      </c>
      <c r="D44" s="119" t="s">
        <v>123</v>
      </c>
      <c r="E44" s="119" t="s">
        <v>175</v>
      </c>
      <c r="F44" s="155">
        <v>-65.14</v>
      </c>
      <c r="G44" s="133" t="str">
        <f>_xlfn.XLOOKUP(Table1[[#This Row],[Account_ID]], Accounts[ID], Accounts[Account nickname], "Unknown")</f>
        <v>Discover</v>
      </c>
      <c r="H44" s="134" t="str">
        <f>_xlfn.XLOOKUP(Table1[[#This Row],[Account_ID]], Accounts[ID], Accounts[Account'#], "Unknown")</f>
        <v>4618</v>
      </c>
      <c r="I44" s="135" t="str">
        <f>_xlfn.XLOOKUP(_xlfn.XLOOKUP(Table1[[#This Row],[Account]],Accounts[Account nickname],Accounts[Institution ID]),Institutions[ID],Institutions[Institution nickname],"Unknown")</f>
        <v>Discover</v>
      </c>
      <c r="J44" s="136" t="s">
        <v>869</v>
      </c>
      <c r="K44" s="137" t="s">
        <v>843</v>
      </c>
      <c r="L44" s="137" t="s">
        <v>841</v>
      </c>
      <c r="M4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f870f35280fadaf3c3539ad54e3062cd</v>
      </c>
      <c r="N4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9fbba331d1ae096cbce7fb1035aebbc1</v>
      </c>
      <c r="O44" s="138" t="str" cm="1">
        <f t="array" ref="O44">IFERROR(INDEX(CategoriesTable[Category type],MATCH(Table1[[#This Row],[Category]],CategoriesTable[Category name],0),0),"")</f>
        <v>Expense</v>
      </c>
      <c r="P44" s="138">
        <v>25</v>
      </c>
      <c r="Q44" s="138">
        <f>MONTH(Table1[[#This Row],[Date]])</f>
        <v>12</v>
      </c>
      <c r="R44" s="138">
        <v>2021</v>
      </c>
      <c r="S44" s="139">
        <f>IF(ISBLANK(Table1[[#This Row],[Date]]),"",Table1[[#This Row],[Date]]-WEEKDAY(Table1[[#This Row],[Date]],2)+1)</f>
        <v>44550</v>
      </c>
      <c r="T44" s="140">
        <f>IF(ISBLANK(Table1[[#This Row],[Date]]),"",DATE(Table1[[#This Row],[Date_Year]],Table1[[#This Row],[Date_Month]],1))</f>
        <v>44531</v>
      </c>
    </row>
    <row r="45" spans="2:20" ht="15.75">
      <c r="B45" s="154">
        <v>44554</v>
      </c>
      <c r="C45" s="119" t="s">
        <v>872</v>
      </c>
      <c r="D45" s="119" t="s">
        <v>123</v>
      </c>
      <c r="E45" s="119" t="s">
        <v>178</v>
      </c>
      <c r="F45" s="155">
        <v>-60</v>
      </c>
      <c r="G45" s="133" t="str">
        <f>_xlfn.XLOOKUP(Table1[[#This Row],[Account_ID]], Accounts[ID], Accounts[Account nickname], "Unknown")</f>
        <v>Discover</v>
      </c>
      <c r="H45" s="134" t="str">
        <f>_xlfn.XLOOKUP(Table1[[#This Row],[Account_ID]], Accounts[ID], Accounts[Account'#], "Unknown")</f>
        <v>4618</v>
      </c>
      <c r="I45" s="135" t="str">
        <f>_xlfn.XLOOKUP(_xlfn.XLOOKUP(Table1[[#This Row],[Account]],Accounts[Account nickname],Accounts[Institution ID]),Institutions[ID],Institutions[Institution nickname],"Unknown")</f>
        <v>Discover</v>
      </c>
      <c r="J45" s="136" t="s">
        <v>873</v>
      </c>
      <c r="K45" s="137" t="s">
        <v>843</v>
      </c>
      <c r="L45" s="137" t="s">
        <v>841</v>
      </c>
      <c r="M4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f870f35280fadaf3c3539ad54e3062cd</v>
      </c>
      <c r="N4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500e6ba7cba37a7a2a33da8c057b4cb8</v>
      </c>
      <c r="O45" s="138" t="str" cm="1">
        <f t="array" ref="O45">IFERROR(INDEX(CategoriesTable[Category type],MATCH(Table1[[#This Row],[Category]],CategoriesTable[Category name],0),0),"")</f>
        <v>Expense</v>
      </c>
      <c r="P45" s="138">
        <v>24</v>
      </c>
      <c r="Q45" s="138">
        <f>MONTH(Table1[[#This Row],[Date]])</f>
        <v>12</v>
      </c>
      <c r="R45" s="138">
        <v>2021</v>
      </c>
      <c r="S45" s="139">
        <f>IF(ISBLANK(Table1[[#This Row],[Date]]),"",Table1[[#This Row],[Date]]-WEEKDAY(Table1[[#This Row],[Date]],2)+1)</f>
        <v>44550</v>
      </c>
      <c r="T45" s="140">
        <f>IF(ISBLANK(Table1[[#This Row],[Date]]),"",DATE(Table1[[#This Row],[Date_Year]],Table1[[#This Row],[Date_Month]],1))</f>
        <v>44531</v>
      </c>
    </row>
    <row r="46" spans="2:20" ht="15.75">
      <c r="B46" s="154">
        <v>44553</v>
      </c>
      <c r="C46" s="119" t="s">
        <v>689</v>
      </c>
      <c r="D46" s="119" t="s">
        <v>117</v>
      </c>
      <c r="E46" s="119" t="s">
        <v>85</v>
      </c>
      <c r="F46" s="155">
        <v>-47.58</v>
      </c>
      <c r="G46" s="133" t="str">
        <f>_xlfn.XLOOKUP(Table1[[#This Row],[Account_ID]], Accounts[ID], Accounts[Account nickname], "Unknown")</f>
        <v>Discover</v>
      </c>
      <c r="H46" s="134" t="str">
        <f>_xlfn.XLOOKUP(Table1[[#This Row],[Account_ID]], Accounts[ID], Accounts[Account'#], "Unknown")</f>
        <v>4618</v>
      </c>
      <c r="I46" s="135" t="str">
        <f>_xlfn.XLOOKUP(_xlfn.XLOOKUP(Table1[[#This Row],[Account]],Accounts[Account nickname],Accounts[Institution ID]),Institutions[ID],Institutions[Institution nickname],"Unknown")</f>
        <v>Discover</v>
      </c>
      <c r="J46" s="136" t="s">
        <v>874</v>
      </c>
      <c r="K46" s="137" t="s">
        <v>843</v>
      </c>
      <c r="L46" s="137" t="s">
        <v>841</v>
      </c>
      <c r="M4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fec746a44521f2118fef19237dbf4f91</v>
      </c>
      <c r="N4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fd72ce5cfeedbe66d13df9602b6cff7d</v>
      </c>
      <c r="O46" s="138" t="str" cm="1">
        <f t="array" ref="O46">IFERROR(INDEX(CategoriesTable[Category type],MATCH(Table1[[#This Row],[Category]],CategoriesTable[Category name],0),0),"")</f>
        <v>Expense</v>
      </c>
      <c r="P46" s="138">
        <v>23</v>
      </c>
      <c r="Q46" s="138">
        <f>MONTH(Table1[[#This Row],[Date]])</f>
        <v>12</v>
      </c>
      <c r="R46" s="138">
        <v>2021</v>
      </c>
      <c r="S46" s="139">
        <f>IF(ISBLANK(Table1[[#This Row],[Date]]),"",Table1[[#This Row],[Date]]-WEEKDAY(Table1[[#This Row],[Date]],2)+1)</f>
        <v>44550</v>
      </c>
      <c r="T46" s="140">
        <f>IF(ISBLANK(Table1[[#This Row],[Date]]),"",DATE(Table1[[#This Row],[Date_Year]],Table1[[#This Row],[Date_Month]],1))</f>
        <v>44531</v>
      </c>
    </row>
    <row r="47" spans="2:20" ht="15.75">
      <c r="B47" s="154">
        <v>44553</v>
      </c>
      <c r="C47" s="119" t="s">
        <v>679</v>
      </c>
      <c r="D47" s="119" t="s">
        <v>91</v>
      </c>
      <c r="E47" s="119"/>
      <c r="F47" s="155">
        <v>5.99</v>
      </c>
      <c r="G47" s="133" t="str">
        <f>_xlfn.XLOOKUP(Table1[[#This Row],[Account_ID]], Accounts[ID], Accounts[Account nickname], "Unknown")</f>
        <v>WF</v>
      </c>
      <c r="H47" s="134" t="str">
        <f>_xlfn.XLOOKUP(Table1[[#This Row],[Account_ID]], Accounts[ID], Accounts[Account'#], "Unknown")</f>
        <v>4636</v>
      </c>
      <c r="I47" s="135" t="str">
        <f>_xlfn.XLOOKUP(_xlfn.XLOOKUP(Table1[[#This Row],[Account]],Accounts[Account nickname],Accounts[Institution ID]),Institutions[ID],Institutions[Institution nickname],"Unknown")</f>
        <v>Wells Fargo</v>
      </c>
      <c r="J47" s="152" t="s">
        <v>815</v>
      </c>
      <c r="K47" s="137" t="s">
        <v>808</v>
      </c>
      <c r="L47" s="137" t="s">
        <v>807</v>
      </c>
      <c r="M4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fabfe582932d48b78ac2846c1ec3d43f</v>
      </c>
      <c r="N4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7" s="138" t="str" cm="1">
        <f t="array" ref="O47">IFERROR(INDEX(CategoriesTable[Category type],MATCH(Table1[[#This Row],[Category]],CategoriesTable[Category name],0),0),"")</f>
        <v>Expense</v>
      </c>
      <c r="P47" s="138">
        <v>23</v>
      </c>
      <c r="Q47" s="138">
        <f>MONTH(Table1[[#This Row],[Date]])</f>
        <v>12</v>
      </c>
      <c r="R47" s="138">
        <v>2021</v>
      </c>
      <c r="S47" s="139">
        <f>IF(ISBLANK(Table1[[#This Row],[Date]]),"",Table1[[#This Row],[Date]]-WEEKDAY(Table1[[#This Row],[Date]],2)+1)</f>
        <v>44550</v>
      </c>
      <c r="T47" s="140">
        <f>IF(ISBLANK(Table1[[#This Row],[Date]]),"",DATE(Table1[[#This Row],[Date_Year]],Table1[[#This Row],[Date_Month]],1))</f>
        <v>44531</v>
      </c>
    </row>
    <row r="48" spans="2:20" ht="15.75">
      <c r="B48" s="154">
        <v>44553</v>
      </c>
      <c r="C48" s="119" t="s">
        <v>689</v>
      </c>
      <c r="D48" s="119" t="s">
        <v>117</v>
      </c>
      <c r="E48" s="119" t="s">
        <v>85</v>
      </c>
      <c r="F48" s="155">
        <v>-56.23</v>
      </c>
      <c r="G48" s="133" t="str">
        <f>_xlfn.XLOOKUP(Table1[[#This Row],[Account_ID]], Accounts[ID], Accounts[Account nickname], "Unknown")</f>
        <v>Discover</v>
      </c>
      <c r="H48" s="134" t="str">
        <f>_xlfn.XLOOKUP(Table1[[#This Row],[Account_ID]], Accounts[ID], Accounts[Account'#], "Unknown")</f>
        <v>4618</v>
      </c>
      <c r="I48" s="135" t="str">
        <f>_xlfn.XLOOKUP(_xlfn.XLOOKUP(Table1[[#This Row],[Account]],Accounts[Account nickname],Accounts[Institution ID]),Institutions[ID],Institutions[Institution nickname],"Unknown")</f>
        <v>Discover</v>
      </c>
      <c r="J48" s="136" t="s">
        <v>875</v>
      </c>
      <c r="K48" s="137" t="s">
        <v>843</v>
      </c>
      <c r="L48" s="137" t="s">
        <v>841</v>
      </c>
      <c r="M4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fec746a44521f2118fef19237dbf4f91</v>
      </c>
      <c r="N4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fd72ce5cfeedbe66d13df9602b6cff7d</v>
      </c>
      <c r="O48" s="138" t="str" cm="1">
        <f t="array" ref="O48">IFERROR(INDEX(CategoriesTable[Category type],MATCH(Table1[[#This Row],[Category]],CategoriesTable[Category name],0),0),"")</f>
        <v>Expense</v>
      </c>
      <c r="P48" s="138">
        <v>23</v>
      </c>
      <c r="Q48" s="138">
        <f>MONTH(Table1[[#This Row],[Date]])</f>
        <v>12</v>
      </c>
      <c r="R48" s="138">
        <v>2021</v>
      </c>
      <c r="S48" s="139">
        <f>IF(ISBLANK(Table1[[#This Row],[Date]]),"",Table1[[#This Row],[Date]]-WEEKDAY(Table1[[#This Row],[Date]],2)+1)</f>
        <v>44550</v>
      </c>
      <c r="T48" s="140">
        <f>IF(ISBLANK(Table1[[#This Row],[Date]]),"",DATE(Table1[[#This Row],[Date_Year]],Table1[[#This Row],[Date_Month]],1))</f>
        <v>44531</v>
      </c>
    </row>
    <row r="49" spans="2:20" ht="15.75">
      <c r="B49" s="154">
        <v>44552</v>
      </c>
      <c r="C49" s="119" t="s">
        <v>878</v>
      </c>
      <c r="D49" s="119" t="s">
        <v>123</v>
      </c>
      <c r="E49" s="119" t="s">
        <v>172</v>
      </c>
      <c r="F49" s="155">
        <v>-12</v>
      </c>
      <c r="G49" s="133" t="str">
        <f>_xlfn.XLOOKUP(Table1[[#This Row],[Account_ID]], Accounts[ID], Accounts[Account nickname], "Unknown")</f>
        <v>Discover</v>
      </c>
      <c r="H49" s="134" t="str">
        <f>_xlfn.XLOOKUP(Table1[[#This Row],[Account_ID]], Accounts[ID], Accounts[Account'#], "Unknown")</f>
        <v>4618</v>
      </c>
      <c r="I49" s="135" t="str">
        <f>_xlfn.XLOOKUP(_xlfn.XLOOKUP(Table1[[#This Row],[Account]],Accounts[Account nickname],Accounts[Institution ID]),Institutions[ID],Institutions[Institution nickname],"Unknown")</f>
        <v>Discover</v>
      </c>
      <c r="J49" s="136" t="s">
        <v>879</v>
      </c>
      <c r="K49" s="137" t="s">
        <v>843</v>
      </c>
      <c r="L49" s="137" t="s">
        <v>841</v>
      </c>
      <c r="M4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f870f35280fadaf3c3539ad54e3062cd</v>
      </c>
      <c r="N4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34adc8b6f193384cf07b408d6a4dfac6</v>
      </c>
      <c r="O49" s="138" t="str" cm="1">
        <f t="array" ref="O49">IFERROR(INDEX(CategoriesTable[Category type],MATCH(Table1[[#This Row],[Category]],CategoriesTable[Category name],0),0),"")</f>
        <v>Expense</v>
      </c>
      <c r="P49" s="138">
        <v>22</v>
      </c>
      <c r="Q49" s="138">
        <f>MONTH(Table1[[#This Row],[Date]])</f>
        <v>12</v>
      </c>
      <c r="R49" s="138">
        <v>2021</v>
      </c>
      <c r="S49" s="139">
        <f>IF(ISBLANK(Table1[[#This Row],[Date]]),"",Table1[[#This Row],[Date]]-WEEKDAY(Table1[[#This Row],[Date]],2)+1)</f>
        <v>44550</v>
      </c>
      <c r="T49" s="140">
        <f>IF(ISBLANK(Table1[[#This Row],[Date]]),"",DATE(Table1[[#This Row],[Date_Year]],Table1[[#This Row],[Date_Month]],1))</f>
        <v>44531</v>
      </c>
    </row>
    <row r="50" spans="2:20" ht="15.75">
      <c r="B50" s="154">
        <v>44552</v>
      </c>
      <c r="C50" s="119" t="s">
        <v>876</v>
      </c>
      <c r="D50" s="119" t="s">
        <v>123</v>
      </c>
      <c r="E50" s="119" t="s">
        <v>178</v>
      </c>
      <c r="F50" s="155">
        <v>-29.19</v>
      </c>
      <c r="G50" s="133" t="str">
        <f>_xlfn.XLOOKUP(Table1[[#This Row],[Account_ID]], Accounts[ID], Accounts[Account nickname], "Unknown")</f>
        <v>Discover</v>
      </c>
      <c r="H50" s="134" t="str">
        <f>_xlfn.XLOOKUP(Table1[[#This Row],[Account_ID]], Accounts[ID], Accounts[Account'#], "Unknown")</f>
        <v>4618</v>
      </c>
      <c r="I50" s="135" t="str">
        <f>_xlfn.XLOOKUP(_xlfn.XLOOKUP(Table1[[#This Row],[Account]],Accounts[Account nickname],Accounts[Institution ID]),Institutions[ID],Institutions[Institution nickname],"Unknown")</f>
        <v>Discover</v>
      </c>
      <c r="J50" s="136" t="s">
        <v>877</v>
      </c>
      <c r="K50" s="137" t="s">
        <v>843</v>
      </c>
      <c r="L50" s="137" t="s">
        <v>841</v>
      </c>
      <c r="M5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f870f35280fadaf3c3539ad54e3062cd</v>
      </c>
      <c r="N5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500e6ba7cba37a7a2a33da8c057b4cb8</v>
      </c>
      <c r="O50" s="138" t="str" cm="1">
        <f t="array" ref="O50">IFERROR(INDEX(CategoriesTable[Category type],MATCH(Table1[[#This Row],[Category]],CategoriesTable[Category name],0),0),"")</f>
        <v>Expense</v>
      </c>
      <c r="P50" s="138">
        <v>22</v>
      </c>
      <c r="Q50" s="138">
        <f>MONTH(Table1[[#This Row],[Date]])</f>
        <v>12</v>
      </c>
      <c r="R50" s="138">
        <v>2021</v>
      </c>
      <c r="S50" s="139">
        <f>IF(ISBLANK(Table1[[#This Row],[Date]]),"",Table1[[#This Row],[Date]]-WEEKDAY(Table1[[#This Row],[Date]],2)+1)</f>
        <v>44550</v>
      </c>
      <c r="T50" s="140">
        <f>IF(ISBLANK(Table1[[#This Row],[Date]]),"",DATE(Table1[[#This Row],[Date_Year]],Table1[[#This Row],[Date_Month]],1))</f>
        <v>44531</v>
      </c>
    </row>
    <row r="51" spans="2:20" ht="15.75">
      <c r="B51" s="154">
        <v>44552</v>
      </c>
      <c r="C51" s="119" t="s">
        <v>681</v>
      </c>
      <c r="D51" s="119" t="s">
        <v>122</v>
      </c>
      <c r="E51" s="119"/>
      <c r="F51" s="155">
        <v>-78.62</v>
      </c>
      <c r="G51" s="133" t="str">
        <f>_xlfn.XLOOKUP(Table1[[#This Row],[Account_ID]], Accounts[ID], Accounts[Account nickname], "Unknown")</f>
        <v>WF</v>
      </c>
      <c r="H51" s="134" t="str">
        <f>_xlfn.XLOOKUP(Table1[[#This Row],[Account_ID]], Accounts[ID], Accounts[Account'#], "Unknown")</f>
        <v>4636</v>
      </c>
      <c r="I51" s="135" t="str">
        <f>_xlfn.XLOOKUP(_xlfn.XLOOKUP(Table1[[#This Row],[Account]],Accounts[Account nickname],Accounts[Institution ID]),Institutions[ID],Institutions[Institution nickname],"Unknown")</f>
        <v>Wells Fargo</v>
      </c>
      <c r="J51" s="136" t="s">
        <v>818</v>
      </c>
      <c r="K51" s="137" t="s">
        <v>808</v>
      </c>
      <c r="L51" s="137" t="s">
        <v>807</v>
      </c>
      <c r="M5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f9fd776a16da81a948d166fcd5952d14</v>
      </c>
      <c r="N5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1" s="138" t="str" cm="1">
        <f t="array" ref="O51">IFERROR(INDEX(CategoriesTable[Category type],MATCH(Table1[[#This Row],[Category]],CategoriesTable[Category name],0),0),"")</f>
        <v>Expense</v>
      </c>
      <c r="P51" s="138">
        <v>22</v>
      </c>
      <c r="Q51" s="138">
        <f>MONTH(Table1[[#This Row],[Date]])</f>
        <v>12</v>
      </c>
      <c r="R51" s="138">
        <v>2021</v>
      </c>
      <c r="S51" s="139">
        <f>IF(ISBLANK(Table1[[#This Row],[Date]]),"",Table1[[#This Row],[Date]]-WEEKDAY(Table1[[#This Row],[Date]],2)+1)</f>
        <v>44550</v>
      </c>
      <c r="T51" s="140">
        <f>IF(ISBLANK(Table1[[#This Row],[Date]]),"",DATE(Table1[[#This Row],[Date_Year]],Table1[[#This Row],[Date_Month]],1))</f>
        <v>44531</v>
      </c>
    </row>
    <row r="52" spans="2:20" ht="15.75">
      <c r="B52" s="154">
        <v>44552</v>
      </c>
      <c r="C52" s="119" t="s">
        <v>680</v>
      </c>
      <c r="D52" s="119" t="s">
        <v>91</v>
      </c>
      <c r="E52" s="119"/>
      <c r="F52" s="155">
        <v>21</v>
      </c>
      <c r="G52" s="133" t="str">
        <f>_xlfn.XLOOKUP(Table1[[#This Row],[Account_ID]], Accounts[ID], Accounts[Account nickname], "Unknown")</f>
        <v>WF</v>
      </c>
      <c r="H52" s="134" t="str">
        <f>_xlfn.XLOOKUP(Table1[[#This Row],[Account_ID]], Accounts[ID], Accounts[Account'#], "Unknown")</f>
        <v>4636</v>
      </c>
      <c r="I52" s="135" t="str">
        <f>_xlfn.XLOOKUP(_xlfn.XLOOKUP(Table1[[#This Row],[Account]],Accounts[Account nickname],Accounts[Institution ID]),Institutions[ID],Institutions[Institution nickname],"Unknown")</f>
        <v>Wells Fargo</v>
      </c>
      <c r="J52" s="136" t="s">
        <v>817</v>
      </c>
      <c r="K52" s="137" t="s">
        <v>808</v>
      </c>
      <c r="L52" s="137" t="s">
        <v>807</v>
      </c>
      <c r="M5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fabfe582932d48b78ac2846c1ec3d43f</v>
      </c>
      <c r="N5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2" s="138" t="str" cm="1">
        <f t="array" ref="O52">IFERROR(INDEX(CategoriesTable[Category type],MATCH(Table1[[#This Row],[Category]],CategoriesTable[Category name],0),0),"")</f>
        <v>Expense</v>
      </c>
      <c r="P52" s="138">
        <v>22</v>
      </c>
      <c r="Q52" s="138">
        <f>MONTH(Table1[[#This Row],[Date]])</f>
        <v>12</v>
      </c>
      <c r="R52" s="138">
        <v>2021</v>
      </c>
      <c r="S52" s="139">
        <f>IF(ISBLANK(Table1[[#This Row],[Date]]),"",Table1[[#This Row],[Date]]-WEEKDAY(Table1[[#This Row],[Date]],2)+1)</f>
        <v>44550</v>
      </c>
      <c r="T52" s="140">
        <f>IF(ISBLANK(Table1[[#This Row],[Date]]),"",DATE(Table1[[#This Row],[Date_Year]],Table1[[#This Row],[Date_Month]],1))</f>
        <v>44531</v>
      </c>
    </row>
    <row r="53" spans="2:20" ht="15.75">
      <c r="B53" s="154">
        <v>44552</v>
      </c>
      <c r="C53" s="119" t="s">
        <v>680</v>
      </c>
      <c r="D53" s="119" t="s">
        <v>91</v>
      </c>
      <c r="E53" s="119"/>
      <c r="F53" s="155">
        <v>131</v>
      </c>
      <c r="G53" s="133" t="str">
        <f>_xlfn.XLOOKUP(Table1[[#This Row],[Account_ID]], Accounts[ID], Accounts[Account nickname], "Unknown")</f>
        <v>WF</v>
      </c>
      <c r="H53" s="134" t="str">
        <f>_xlfn.XLOOKUP(Table1[[#This Row],[Account_ID]], Accounts[ID], Accounts[Account'#], "Unknown")</f>
        <v>4636</v>
      </c>
      <c r="I53" s="135" t="str">
        <f>_xlfn.XLOOKUP(_xlfn.XLOOKUP(Table1[[#This Row],[Account]],Accounts[Account nickname],Accounts[Institution ID]),Institutions[ID],Institutions[Institution nickname],"Unknown")</f>
        <v>Wells Fargo</v>
      </c>
      <c r="J53" s="136" t="s">
        <v>816</v>
      </c>
      <c r="K53" s="137" t="s">
        <v>808</v>
      </c>
      <c r="L53" s="137" t="s">
        <v>807</v>
      </c>
      <c r="M5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fabfe582932d48b78ac2846c1ec3d43f</v>
      </c>
      <c r="N5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3" s="138" t="str" cm="1">
        <f t="array" ref="O53">IFERROR(INDEX(CategoriesTable[Category type],MATCH(Table1[[#This Row],[Category]],CategoriesTable[Category name],0),0),"")</f>
        <v>Expense</v>
      </c>
      <c r="P53" s="138">
        <v>22</v>
      </c>
      <c r="Q53" s="138">
        <f>MONTH(Table1[[#This Row],[Date]])</f>
        <v>12</v>
      </c>
      <c r="R53" s="138">
        <v>2021</v>
      </c>
      <c r="S53" s="139">
        <f>IF(ISBLANK(Table1[[#This Row],[Date]]),"",Table1[[#This Row],[Date]]-WEEKDAY(Table1[[#This Row],[Date]],2)+1)</f>
        <v>44550</v>
      </c>
      <c r="T53" s="140">
        <f>IF(ISBLANK(Table1[[#This Row],[Date]]),"",DATE(Table1[[#This Row],[Date_Year]],Table1[[#This Row],[Date_Month]],1))</f>
        <v>44531</v>
      </c>
    </row>
    <row r="54" spans="2:20" ht="15.75">
      <c r="B54" s="154">
        <v>44551</v>
      </c>
      <c r="C54" s="119" t="s">
        <v>682</v>
      </c>
      <c r="D54" s="119" t="s">
        <v>123</v>
      </c>
      <c r="E54" s="119" t="s">
        <v>177</v>
      </c>
      <c r="F54" s="155">
        <v>-7.99</v>
      </c>
      <c r="G54" s="133" t="str">
        <f>_xlfn.XLOOKUP(Table1[[#This Row],[Account_ID]], Accounts[ID], Accounts[Account nickname], "Unknown")</f>
        <v>WF</v>
      </c>
      <c r="H54" s="134" t="str">
        <f>_xlfn.XLOOKUP(Table1[[#This Row],[Account_ID]], Accounts[ID], Accounts[Account'#], "Unknown")</f>
        <v>4636</v>
      </c>
      <c r="I54" s="135" t="str">
        <f>_xlfn.XLOOKUP(_xlfn.XLOOKUP(Table1[[#This Row],[Account]],Accounts[Account nickname],Accounts[Institution ID]),Institutions[ID],Institutions[Institution nickname],"Unknown")</f>
        <v>Wells Fargo</v>
      </c>
      <c r="J54" s="136" t="s">
        <v>819</v>
      </c>
      <c r="K54" s="137" t="s">
        <v>808</v>
      </c>
      <c r="L54" s="137" t="s">
        <v>807</v>
      </c>
      <c r="M5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f870f35280fadaf3c3539ad54e3062cd</v>
      </c>
      <c r="N5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62ae30b53561aa5d303e08e4369dbfc3</v>
      </c>
      <c r="O54" s="138" t="str" cm="1">
        <f t="array" ref="O54">IFERROR(INDEX(CategoriesTable[Category type],MATCH(Table1[[#This Row],[Category]],CategoriesTable[Category name],0),0),"")</f>
        <v>Expense</v>
      </c>
      <c r="P54" s="138">
        <v>21</v>
      </c>
      <c r="Q54" s="138">
        <f>MONTH(Table1[[#This Row],[Date]])</f>
        <v>12</v>
      </c>
      <c r="R54" s="138">
        <v>2021</v>
      </c>
      <c r="S54" s="139">
        <f>IF(ISBLANK(Table1[[#This Row],[Date]]),"",Table1[[#This Row],[Date]]-WEEKDAY(Table1[[#This Row],[Date]],2)+1)</f>
        <v>44550</v>
      </c>
      <c r="T54" s="140">
        <f>IF(ISBLANK(Table1[[#This Row],[Date]]),"",DATE(Table1[[#This Row],[Date_Year]],Table1[[#This Row],[Date_Month]],1))</f>
        <v>44531</v>
      </c>
    </row>
    <row r="55" spans="2:20" ht="15.75">
      <c r="B55" s="154">
        <v>44551</v>
      </c>
      <c r="C55" s="119" t="s">
        <v>880</v>
      </c>
      <c r="D55" s="119" t="s">
        <v>122</v>
      </c>
      <c r="E55" s="119" t="s">
        <v>167</v>
      </c>
      <c r="F55" s="155">
        <v>-3.3</v>
      </c>
      <c r="G55" s="133" t="str">
        <f>_xlfn.XLOOKUP(Table1[[#This Row],[Account_ID]], Accounts[ID], Accounts[Account nickname], "Unknown")</f>
        <v>Discover</v>
      </c>
      <c r="H55" s="134" t="str">
        <f>_xlfn.XLOOKUP(Table1[[#This Row],[Account_ID]], Accounts[ID], Accounts[Account'#], "Unknown")</f>
        <v>4618</v>
      </c>
      <c r="I55" s="135" t="str">
        <f>_xlfn.XLOOKUP(_xlfn.XLOOKUP(Table1[[#This Row],[Account]],Accounts[Account nickname],Accounts[Institution ID]),Institutions[ID],Institutions[Institution nickname],"Unknown")</f>
        <v>Discover</v>
      </c>
      <c r="J55" s="136" t="s">
        <v>881</v>
      </c>
      <c r="K55" s="137" t="s">
        <v>843</v>
      </c>
      <c r="L55" s="137" t="s">
        <v>841</v>
      </c>
      <c r="M5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f9fd776a16da81a948d166fcd5952d14</v>
      </c>
      <c r="N5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8aa9b4db7e16cd2041aa6bfdc219e567</v>
      </c>
      <c r="O55" s="138" t="str" cm="1">
        <f t="array" ref="O55">IFERROR(INDEX(CategoriesTable[Category type],MATCH(Table1[[#This Row],[Category]],CategoriesTable[Category name],0),0),"")</f>
        <v>Expense</v>
      </c>
      <c r="P55" s="138">
        <v>21</v>
      </c>
      <c r="Q55" s="138">
        <f>MONTH(Table1[[#This Row],[Date]])</f>
        <v>12</v>
      </c>
      <c r="R55" s="138">
        <v>2021</v>
      </c>
      <c r="S55" s="139">
        <f>IF(ISBLANK(Table1[[#This Row],[Date]]),"",Table1[[#This Row],[Date]]-WEEKDAY(Table1[[#This Row],[Date]],2)+1)</f>
        <v>44550</v>
      </c>
      <c r="T55" s="140">
        <f>IF(ISBLANK(Table1[[#This Row],[Date]]),"",DATE(Table1[[#This Row],[Date_Year]],Table1[[#This Row],[Date_Month]],1))</f>
        <v>44531</v>
      </c>
    </row>
    <row r="56" spans="2:20" ht="15.75">
      <c r="B56" s="154">
        <v>44551</v>
      </c>
      <c r="C56" s="119" t="s">
        <v>880</v>
      </c>
      <c r="D56" s="119" t="s">
        <v>122</v>
      </c>
      <c r="E56" s="119" t="s">
        <v>167</v>
      </c>
      <c r="F56" s="155">
        <v>-3.49</v>
      </c>
      <c r="G56" s="133" t="str">
        <f>_xlfn.XLOOKUP(Table1[[#This Row],[Account_ID]], Accounts[ID], Accounts[Account nickname], "Unknown")</f>
        <v>Discover</v>
      </c>
      <c r="H56" s="134" t="str">
        <f>_xlfn.XLOOKUP(Table1[[#This Row],[Account_ID]], Accounts[ID], Accounts[Account'#], "Unknown")</f>
        <v>4618</v>
      </c>
      <c r="I56" s="135" t="str">
        <f>_xlfn.XLOOKUP(_xlfn.XLOOKUP(Table1[[#This Row],[Account]],Accounts[Account nickname],Accounts[Institution ID]),Institutions[ID],Institutions[Institution nickname],"Unknown")</f>
        <v>Discover</v>
      </c>
      <c r="J56" s="136" t="s">
        <v>882</v>
      </c>
      <c r="K56" s="137" t="s">
        <v>843</v>
      </c>
      <c r="L56" s="137" t="s">
        <v>841</v>
      </c>
      <c r="M5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f9fd776a16da81a948d166fcd5952d14</v>
      </c>
      <c r="N5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8aa9b4db7e16cd2041aa6bfdc219e567</v>
      </c>
      <c r="O56" s="138" t="str" cm="1">
        <f t="array" ref="O56">IFERROR(INDEX(CategoriesTable[Category type],MATCH(Table1[[#This Row],[Category]],CategoriesTable[Category name],0),0),"")</f>
        <v>Expense</v>
      </c>
      <c r="P56" s="138">
        <v>21</v>
      </c>
      <c r="Q56" s="138">
        <f>MONTH(Table1[[#This Row],[Date]])</f>
        <v>12</v>
      </c>
      <c r="R56" s="138">
        <v>2021</v>
      </c>
      <c r="S56" s="139">
        <f>IF(ISBLANK(Table1[[#This Row],[Date]]),"",Table1[[#This Row],[Date]]-WEEKDAY(Table1[[#This Row],[Date]],2)+1)</f>
        <v>44550</v>
      </c>
      <c r="T56" s="140">
        <f>IF(ISBLANK(Table1[[#This Row],[Date]]),"",DATE(Table1[[#This Row],[Date_Year]],Table1[[#This Row],[Date_Month]],1))</f>
        <v>44531</v>
      </c>
    </row>
    <row r="57" spans="2:20" ht="15.75">
      <c r="B57" s="154">
        <v>44551</v>
      </c>
      <c r="C57" s="119" t="s">
        <v>883</v>
      </c>
      <c r="D57" s="119" t="s">
        <v>123</v>
      </c>
      <c r="E57" s="119" t="s">
        <v>178</v>
      </c>
      <c r="F57" s="155">
        <v>-27.95</v>
      </c>
      <c r="G57" s="133" t="str">
        <f>_xlfn.XLOOKUP(Table1[[#This Row],[Account_ID]], Accounts[ID], Accounts[Account nickname], "Unknown")</f>
        <v>Discover</v>
      </c>
      <c r="H57" s="134" t="str">
        <f>_xlfn.XLOOKUP(Table1[[#This Row],[Account_ID]], Accounts[ID], Accounts[Account'#], "Unknown")</f>
        <v>4618</v>
      </c>
      <c r="I57" s="135" t="str">
        <f>_xlfn.XLOOKUP(_xlfn.XLOOKUP(Table1[[#This Row],[Account]],Accounts[Account nickname],Accounts[Institution ID]),Institutions[ID],Institutions[Institution nickname],"Unknown")</f>
        <v>Discover</v>
      </c>
      <c r="J57" s="136" t="s">
        <v>884</v>
      </c>
      <c r="K57" s="137" t="s">
        <v>843</v>
      </c>
      <c r="L57" s="137" t="s">
        <v>841</v>
      </c>
      <c r="M5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f870f35280fadaf3c3539ad54e3062cd</v>
      </c>
      <c r="N5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500e6ba7cba37a7a2a33da8c057b4cb8</v>
      </c>
      <c r="O57" s="138" t="str" cm="1">
        <f t="array" ref="O57">IFERROR(INDEX(CategoriesTable[Category type],MATCH(Table1[[#This Row],[Category]],CategoriesTable[Category name],0),0),"")</f>
        <v>Expense</v>
      </c>
      <c r="P57" s="138">
        <v>21</v>
      </c>
      <c r="Q57" s="138">
        <f>MONTH(Table1[[#This Row],[Date]])</f>
        <v>12</v>
      </c>
      <c r="R57" s="138">
        <v>2021</v>
      </c>
      <c r="S57" s="139">
        <f>IF(ISBLANK(Table1[[#This Row],[Date]]),"",Table1[[#This Row],[Date]]-WEEKDAY(Table1[[#This Row],[Date]],2)+1)</f>
        <v>44550</v>
      </c>
      <c r="T57" s="140">
        <f>IF(ISBLANK(Table1[[#This Row],[Date]]),"",DATE(Table1[[#This Row],[Date_Year]],Table1[[#This Row],[Date_Month]],1))</f>
        <v>44531</v>
      </c>
    </row>
    <row r="58" spans="2:20" ht="15.75">
      <c r="B58" s="154">
        <v>44550</v>
      </c>
      <c r="C58" s="119" t="s">
        <v>890</v>
      </c>
      <c r="D58" s="119" t="s">
        <v>123</v>
      </c>
      <c r="E58" s="119" t="s">
        <v>177</v>
      </c>
      <c r="F58" s="155">
        <v>-102.06</v>
      </c>
      <c r="G58" s="133" t="str">
        <f>_xlfn.XLOOKUP(Table1[[#This Row],[Account_ID]], Accounts[ID], Accounts[Account nickname], "Unknown")</f>
        <v>Discover</v>
      </c>
      <c r="H58" s="134" t="str">
        <f>_xlfn.XLOOKUP(Table1[[#This Row],[Account_ID]], Accounts[ID], Accounts[Account'#], "Unknown")</f>
        <v>4618</v>
      </c>
      <c r="I58" s="135" t="str">
        <f>_xlfn.XLOOKUP(_xlfn.XLOOKUP(Table1[[#This Row],[Account]],Accounts[Account nickname],Accounts[Institution ID]),Institutions[ID],Institutions[Institution nickname],"Unknown")</f>
        <v>Discover</v>
      </c>
      <c r="J58" s="136" t="s">
        <v>891</v>
      </c>
      <c r="K58" s="137" t="s">
        <v>843</v>
      </c>
      <c r="L58" s="137" t="s">
        <v>841</v>
      </c>
      <c r="M5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f870f35280fadaf3c3539ad54e3062cd</v>
      </c>
      <c r="N5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62ae30b53561aa5d303e08e4369dbfc3</v>
      </c>
      <c r="O58" s="138" t="str" cm="1">
        <f t="array" ref="O58">IFERROR(INDEX(CategoriesTable[Category type],MATCH(Table1[[#This Row],[Category]],CategoriesTable[Category name],0),0),"")</f>
        <v>Expense</v>
      </c>
      <c r="P58" s="138">
        <v>20</v>
      </c>
      <c r="Q58" s="138">
        <f>MONTH(Table1[[#This Row],[Date]])</f>
        <v>12</v>
      </c>
      <c r="R58" s="138">
        <v>2021</v>
      </c>
      <c r="S58" s="139">
        <f>IF(ISBLANK(Table1[[#This Row],[Date]]),"",Table1[[#This Row],[Date]]-WEEKDAY(Table1[[#This Row],[Date]],2)+1)</f>
        <v>44550</v>
      </c>
      <c r="T58" s="140">
        <f>IF(ISBLANK(Table1[[#This Row],[Date]]),"",DATE(Table1[[#This Row],[Date_Year]],Table1[[#This Row],[Date_Month]],1))</f>
        <v>44531</v>
      </c>
    </row>
    <row r="59" spans="2:20" ht="15.75">
      <c r="B59" s="154">
        <v>44550</v>
      </c>
      <c r="C59" s="119" t="s">
        <v>887</v>
      </c>
      <c r="D59" s="119" t="s">
        <v>122</v>
      </c>
      <c r="E59" s="119" t="s">
        <v>166</v>
      </c>
      <c r="F59" s="155">
        <v>-186.56</v>
      </c>
      <c r="G59" s="133" t="str">
        <f>_xlfn.XLOOKUP(Table1[[#This Row],[Account_ID]], Accounts[ID], Accounts[Account nickname], "Unknown")</f>
        <v>Discover</v>
      </c>
      <c r="H59" s="134" t="str">
        <f>_xlfn.XLOOKUP(Table1[[#This Row],[Account_ID]], Accounts[ID], Accounts[Account'#], "Unknown")</f>
        <v>4618</v>
      </c>
      <c r="I59" s="135" t="str">
        <f>_xlfn.XLOOKUP(_xlfn.XLOOKUP(Table1[[#This Row],[Account]],Accounts[Account nickname],Accounts[Institution ID]),Institutions[ID],Institutions[Institution nickname],"Unknown")</f>
        <v>Discover</v>
      </c>
      <c r="J59" s="136" t="s">
        <v>888</v>
      </c>
      <c r="K59" s="137" t="s">
        <v>843</v>
      </c>
      <c r="L59" s="137" t="s">
        <v>841</v>
      </c>
      <c r="M5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f9fd776a16da81a948d166fcd5952d14</v>
      </c>
      <c r="N5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184c9cbdd77dcd3cf895b482a60b53ae</v>
      </c>
      <c r="O59" s="138" t="str" cm="1">
        <f t="array" ref="O59">IFERROR(INDEX(CategoriesTable[Category type],MATCH(Table1[[#This Row],[Category]],CategoriesTable[Category name],0),0),"")</f>
        <v>Expense</v>
      </c>
      <c r="P59" s="138">
        <v>20</v>
      </c>
      <c r="Q59" s="138">
        <f>MONTH(Table1[[#This Row],[Date]])</f>
        <v>12</v>
      </c>
      <c r="R59" s="138">
        <v>2021</v>
      </c>
      <c r="S59" s="139">
        <f>IF(ISBLANK(Table1[[#This Row],[Date]]),"",Table1[[#This Row],[Date]]-WEEKDAY(Table1[[#This Row],[Date]],2)+1)</f>
        <v>44550</v>
      </c>
      <c r="T59" s="140">
        <f>IF(ISBLANK(Table1[[#This Row],[Date]]),"",DATE(Table1[[#This Row],[Date_Year]],Table1[[#This Row],[Date_Month]],1))</f>
        <v>44531</v>
      </c>
    </row>
    <row r="60" spans="2:20" ht="15.75">
      <c r="B60" s="154">
        <v>44550</v>
      </c>
      <c r="C60" s="119" t="s">
        <v>683</v>
      </c>
      <c r="D60" s="119" t="s">
        <v>123</v>
      </c>
      <c r="E60" s="119"/>
      <c r="F60" s="155">
        <v>-200</v>
      </c>
      <c r="G60" s="133" t="str">
        <f>_xlfn.XLOOKUP(Table1[[#This Row],[Account_ID]], Accounts[ID], Accounts[Account nickname], "Unknown")</f>
        <v>WF</v>
      </c>
      <c r="H60" s="134" t="str">
        <f>_xlfn.XLOOKUP(Table1[[#This Row],[Account_ID]], Accounts[ID], Accounts[Account'#], "Unknown")</f>
        <v>4636</v>
      </c>
      <c r="I60" s="135" t="str">
        <f>_xlfn.XLOOKUP(_xlfn.XLOOKUP(Table1[[#This Row],[Account]],Accounts[Account nickname],Accounts[Institution ID]),Institutions[ID],Institutions[Institution nickname],"Unknown")</f>
        <v>Wells Fargo</v>
      </c>
      <c r="J60" s="136" t="s">
        <v>820</v>
      </c>
      <c r="K60" s="137" t="s">
        <v>808</v>
      </c>
      <c r="L60" s="137" t="s">
        <v>807</v>
      </c>
      <c r="M6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f870f35280fadaf3c3539ad54e3062cd</v>
      </c>
      <c r="N6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0" s="138" t="str" cm="1">
        <f t="array" ref="O60">IFERROR(INDEX(CategoriesTable[Category type],MATCH(Table1[[#This Row],[Category]],CategoriesTable[Category name],0),0),"")</f>
        <v>Expense</v>
      </c>
      <c r="P60" s="138">
        <v>20</v>
      </c>
      <c r="Q60" s="138">
        <f>MONTH(Table1[[#This Row],[Date]])</f>
        <v>12</v>
      </c>
      <c r="R60" s="138">
        <v>2021</v>
      </c>
      <c r="S60" s="139">
        <f>IF(ISBLANK(Table1[[#This Row],[Date]]),"",Table1[[#This Row],[Date]]-WEEKDAY(Table1[[#This Row],[Date]],2)+1)</f>
        <v>44550</v>
      </c>
      <c r="T60" s="140">
        <f>IF(ISBLANK(Table1[[#This Row],[Date]]),"",DATE(Table1[[#This Row],[Date_Year]],Table1[[#This Row],[Date_Month]],1))</f>
        <v>44531</v>
      </c>
    </row>
    <row r="61" spans="2:20" ht="15.75">
      <c r="B61" s="154">
        <v>44550</v>
      </c>
      <c r="C61" s="119" t="s">
        <v>885</v>
      </c>
      <c r="D61" s="119" t="s">
        <v>123</v>
      </c>
      <c r="E61" s="119" t="s">
        <v>178</v>
      </c>
      <c r="F61" s="155">
        <v>-34.04</v>
      </c>
      <c r="G61" s="133" t="str">
        <f>_xlfn.XLOOKUP(Table1[[#This Row],[Account_ID]], Accounts[ID], Accounts[Account nickname], "Unknown")</f>
        <v>Discover</v>
      </c>
      <c r="H61" s="134" t="str">
        <f>_xlfn.XLOOKUP(Table1[[#This Row],[Account_ID]], Accounts[ID], Accounts[Account'#], "Unknown")</f>
        <v>4618</v>
      </c>
      <c r="I61" s="135" t="str">
        <f>_xlfn.XLOOKUP(_xlfn.XLOOKUP(Table1[[#This Row],[Account]],Accounts[Account nickname],Accounts[Institution ID]),Institutions[ID],Institutions[Institution nickname],"Unknown")</f>
        <v>Discover</v>
      </c>
      <c r="J61" s="136" t="s">
        <v>886</v>
      </c>
      <c r="K61" s="137" t="s">
        <v>843</v>
      </c>
      <c r="L61" s="137" t="s">
        <v>841</v>
      </c>
      <c r="M6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f870f35280fadaf3c3539ad54e3062cd</v>
      </c>
      <c r="N6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500e6ba7cba37a7a2a33da8c057b4cb8</v>
      </c>
      <c r="O61" s="138" t="str" cm="1">
        <f t="array" ref="O61">IFERROR(INDEX(CategoriesTable[Category type],MATCH(Table1[[#This Row],[Category]],CategoriesTable[Category name],0),0),"")</f>
        <v>Expense</v>
      </c>
      <c r="P61" s="138">
        <v>20</v>
      </c>
      <c r="Q61" s="138">
        <f>MONTH(Table1[[#This Row],[Date]])</f>
        <v>12</v>
      </c>
      <c r="R61" s="138">
        <v>2021</v>
      </c>
      <c r="S61" s="139">
        <f>IF(ISBLANK(Table1[[#This Row],[Date]]),"",Table1[[#This Row],[Date]]-WEEKDAY(Table1[[#This Row],[Date]],2)+1)</f>
        <v>44550</v>
      </c>
      <c r="T61" s="140">
        <f>IF(ISBLANK(Table1[[#This Row],[Date]]),"",DATE(Table1[[#This Row],[Date_Year]],Table1[[#This Row],[Date_Month]],1))</f>
        <v>44531</v>
      </c>
    </row>
    <row r="62" spans="2:20" ht="15.75">
      <c r="B62" s="154">
        <v>44550</v>
      </c>
      <c r="C62" s="119" t="s">
        <v>1385</v>
      </c>
      <c r="D62" s="119" t="s">
        <v>113</v>
      </c>
      <c r="E62" s="119"/>
      <c r="F62" s="155">
        <v>0</v>
      </c>
      <c r="G62" s="133" t="str">
        <f>_xlfn.XLOOKUP(Table1[[#This Row],[Account_ID]], Accounts[ID], Accounts[Account nickname], "Unknown")</f>
        <v>BB</v>
      </c>
      <c r="H62" s="134" t="str">
        <f>_xlfn.XLOOKUP(Table1[[#This Row],[Account_ID]], Accounts[ID], Accounts[Account'#], "Unknown")</f>
        <v>4561</v>
      </c>
      <c r="I62" s="135" t="str">
        <f>_xlfn.XLOOKUP(_xlfn.XLOOKUP(Table1[[#This Row],[Account]],Accounts[Account nickname],Accounts[Institution ID]),Institutions[ID],Institutions[Institution nickname],"Unknown")</f>
        <v>Best Buy - Citi Card</v>
      </c>
      <c r="J62" s="136" t="s">
        <v>1386</v>
      </c>
      <c r="K62" s="137" t="s">
        <v>1375</v>
      </c>
      <c r="L62" s="137" t="s">
        <v>1372</v>
      </c>
      <c r="M6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de9b1d2511bc45a9bb2d484aa9e33b31</v>
      </c>
      <c r="N6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2" s="138" t="str" cm="1">
        <f t="array" ref="O62">IFERROR(INDEX(CategoriesTable[Category type],MATCH(Table1[[#This Row],[Category]],CategoriesTable[Category name],0),0),"")</f>
        <v>Expense</v>
      </c>
      <c r="P62" s="138">
        <v>20</v>
      </c>
      <c r="Q62" s="138">
        <f>MONTH(Table1[[#This Row],[Date]])</f>
        <v>12</v>
      </c>
      <c r="R62" s="138">
        <v>2021</v>
      </c>
      <c r="S62" s="139">
        <f>IF(ISBLANK(Table1[[#This Row],[Date]]),"",Table1[[#This Row],[Date]]-WEEKDAY(Table1[[#This Row],[Date]],2)+1)</f>
        <v>44550</v>
      </c>
      <c r="T62" s="140">
        <f>IF(ISBLANK(Table1[[#This Row],[Date]]),"",DATE(Table1[[#This Row],[Date_Year]],Table1[[#This Row],[Date_Month]],1))</f>
        <v>44531</v>
      </c>
    </row>
    <row r="63" spans="2:20" ht="15.75">
      <c r="B63" s="154">
        <v>44550</v>
      </c>
      <c r="C63" s="119" t="s">
        <v>1383</v>
      </c>
      <c r="D63" s="119" t="s">
        <v>113</v>
      </c>
      <c r="E63" s="119"/>
      <c r="F63" s="155">
        <v>0</v>
      </c>
      <c r="G63" s="133" t="str">
        <f>_xlfn.XLOOKUP(Table1[[#This Row],[Account_ID]], Accounts[ID], Accounts[Account nickname], "Unknown")</f>
        <v>BB</v>
      </c>
      <c r="H63" s="134" t="str">
        <f>_xlfn.XLOOKUP(Table1[[#This Row],[Account_ID]], Accounts[ID], Accounts[Account'#], "Unknown")</f>
        <v>4561</v>
      </c>
      <c r="I63" s="135" t="str">
        <f>_xlfn.XLOOKUP(_xlfn.XLOOKUP(Table1[[#This Row],[Account]],Accounts[Account nickname],Accounts[Institution ID]),Institutions[ID],Institutions[Institution nickname],"Unknown")</f>
        <v>Best Buy - Citi Card</v>
      </c>
      <c r="J63" s="136" t="s">
        <v>1384</v>
      </c>
      <c r="K63" s="137" t="s">
        <v>1375</v>
      </c>
      <c r="L63" s="137" t="s">
        <v>1372</v>
      </c>
      <c r="M6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de9b1d2511bc45a9bb2d484aa9e33b31</v>
      </c>
      <c r="N6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3" s="138" t="str" cm="1">
        <f t="array" ref="O63">IFERROR(INDEX(CategoriesTable[Category type],MATCH(Table1[[#This Row],[Category]],CategoriesTable[Category name],0),0),"")</f>
        <v>Expense</v>
      </c>
      <c r="P63" s="138">
        <v>20</v>
      </c>
      <c r="Q63" s="138">
        <f>MONTH(Table1[[#This Row],[Date]])</f>
        <v>12</v>
      </c>
      <c r="R63" s="138">
        <v>2021</v>
      </c>
      <c r="S63" s="139">
        <f>IF(ISBLANK(Table1[[#This Row],[Date]]),"",Table1[[#This Row],[Date]]-WEEKDAY(Table1[[#This Row],[Date]],2)+1)</f>
        <v>44550</v>
      </c>
      <c r="T63" s="140">
        <f>IF(ISBLANK(Table1[[#This Row],[Date]]),"",DATE(Table1[[#This Row],[Date_Year]],Table1[[#This Row],[Date_Month]],1))</f>
        <v>44531</v>
      </c>
    </row>
    <row r="64" spans="2:20" ht="15.75">
      <c r="B64" s="154">
        <v>44550</v>
      </c>
      <c r="C64" s="119" t="s">
        <v>684</v>
      </c>
      <c r="D64" s="119" t="s">
        <v>123</v>
      </c>
      <c r="E64" s="119" t="s">
        <v>179</v>
      </c>
      <c r="F64" s="155">
        <v>-29.99</v>
      </c>
      <c r="G64" s="133" t="str">
        <f>_xlfn.XLOOKUP(Table1[[#This Row],[Account_ID]], Accounts[ID], Accounts[Account nickname], "Unknown")</f>
        <v>WF</v>
      </c>
      <c r="H64" s="134" t="str">
        <f>_xlfn.XLOOKUP(Table1[[#This Row],[Account_ID]], Accounts[ID], Accounts[Account'#], "Unknown")</f>
        <v>4636</v>
      </c>
      <c r="I64" s="135" t="str">
        <f>_xlfn.XLOOKUP(_xlfn.XLOOKUP(Table1[[#This Row],[Account]],Accounts[Account nickname],Accounts[Institution ID]),Institutions[ID],Institutions[Institution nickname],"Unknown")</f>
        <v>Wells Fargo</v>
      </c>
      <c r="J64" s="136" t="s">
        <v>821</v>
      </c>
      <c r="K64" s="137" t="s">
        <v>808</v>
      </c>
      <c r="L64" s="137" t="s">
        <v>807</v>
      </c>
      <c r="M6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f870f35280fadaf3c3539ad54e3062cd</v>
      </c>
      <c r="N6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9cd371244b15c28471085d92021aa420</v>
      </c>
      <c r="O64" s="138" t="str" cm="1">
        <f t="array" ref="O64">IFERROR(INDEX(CategoriesTable[Category type],MATCH(Table1[[#This Row],[Category]],CategoriesTable[Category name],0),0),"")</f>
        <v>Expense</v>
      </c>
      <c r="P64" s="138">
        <v>20</v>
      </c>
      <c r="Q64" s="138">
        <f>MONTH(Table1[[#This Row],[Date]])</f>
        <v>12</v>
      </c>
      <c r="R64" s="138">
        <v>2021</v>
      </c>
      <c r="S64" s="139">
        <f>IF(ISBLANK(Table1[[#This Row],[Date]]),"",Table1[[#This Row],[Date]]-WEEKDAY(Table1[[#This Row],[Date]],2)+1)</f>
        <v>44550</v>
      </c>
      <c r="T64" s="140">
        <f>IF(ISBLANK(Table1[[#This Row],[Date]]),"",DATE(Table1[[#This Row],[Date_Year]],Table1[[#This Row],[Date_Month]],1))</f>
        <v>44531</v>
      </c>
    </row>
    <row r="65" spans="2:20" ht="15.75">
      <c r="B65" s="154">
        <v>44550</v>
      </c>
      <c r="C65" s="119" t="s">
        <v>788</v>
      </c>
      <c r="D65" s="119" t="s">
        <v>122</v>
      </c>
      <c r="E65" s="119" t="s">
        <v>166</v>
      </c>
      <c r="F65" s="155">
        <v>-4.0599999999999996</v>
      </c>
      <c r="G65" s="133" t="str">
        <f>_xlfn.XLOOKUP(Table1[[#This Row],[Account_ID]], Accounts[ID], Accounts[Account nickname], "Unknown")</f>
        <v>Discover</v>
      </c>
      <c r="H65" s="134" t="str">
        <f>_xlfn.XLOOKUP(Table1[[#This Row],[Account_ID]], Accounts[ID], Accounts[Account'#], "Unknown")</f>
        <v>4618</v>
      </c>
      <c r="I65" s="135" t="str">
        <f>_xlfn.XLOOKUP(_xlfn.XLOOKUP(Table1[[#This Row],[Account]],Accounts[Account nickname],Accounts[Institution ID]),Institutions[ID],Institutions[Institution nickname],"Unknown")</f>
        <v>Discover</v>
      </c>
      <c r="J65" s="136" t="s">
        <v>889</v>
      </c>
      <c r="K65" s="137" t="s">
        <v>843</v>
      </c>
      <c r="L65" s="137" t="s">
        <v>841</v>
      </c>
      <c r="M6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f9fd776a16da81a948d166fcd5952d14</v>
      </c>
      <c r="N6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184c9cbdd77dcd3cf895b482a60b53ae</v>
      </c>
      <c r="O65" s="138" t="str" cm="1">
        <f t="array" ref="O65">IFERROR(INDEX(CategoriesTable[Category type],MATCH(Table1[[#This Row],[Category]],CategoriesTable[Category name],0),0),"")</f>
        <v>Expense</v>
      </c>
      <c r="P65" s="138">
        <v>20</v>
      </c>
      <c r="Q65" s="138">
        <f>MONTH(Table1[[#This Row],[Date]])</f>
        <v>12</v>
      </c>
      <c r="R65" s="138">
        <v>2021</v>
      </c>
      <c r="S65" s="139">
        <f>IF(ISBLANK(Table1[[#This Row],[Date]]),"",Table1[[#This Row],[Date]]-WEEKDAY(Table1[[#This Row],[Date]],2)+1)</f>
        <v>44550</v>
      </c>
      <c r="T65" s="140">
        <f>IF(ISBLANK(Table1[[#This Row],[Date]]),"",DATE(Table1[[#This Row],[Date_Year]],Table1[[#This Row],[Date_Month]],1))</f>
        <v>44531</v>
      </c>
    </row>
    <row r="66" spans="2:20" ht="15.75">
      <c r="B66" s="154">
        <v>44549</v>
      </c>
      <c r="C66" s="119" t="s">
        <v>892</v>
      </c>
      <c r="D66" s="119" t="s">
        <v>123</v>
      </c>
      <c r="E66" s="119" t="s">
        <v>178</v>
      </c>
      <c r="F66" s="155">
        <v>-17.78</v>
      </c>
      <c r="G66" s="133" t="str">
        <f>_xlfn.XLOOKUP(Table1[[#This Row],[Account_ID]], Accounts[ID], Accounts[Account nickname], "Unknown")</f>
        <v>Discover</v>
      </c>
      <c r="H66" s="134" t="str">
        <f>_xlfn.XLOOKUP(Table1[[#This Row],[Account_ID]], Accounts[ID], Accounts[Account'#], "Unknown")</f>
        <v>4618</v>
      </c>
      <c r="I66" s="135" t="str">
        <f>_xlfn.XLOOKUP(_xlfn.XLOOKUP(Table1[[#This Row],[Account]],Accounts[Account nickname],Accounts[Institution ID]),Institutions[ID],Institutions[Institution nickname],"Unknown")</f>
        <v>Discover</v>
      </c>
      <c r="J66" s="136" t="s">
        <v>893</v>
      </c>
      <c r="K66" s="137" t="s">
        <v>843</v>
      </c>
      <c r="L66" s="137" t="s">
        <v>841</v>
      </c>
      <c r="M6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f870f35280fadaf3c3539ad54e3062cd</v>
      </c>
      <c r="N6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500e6ba7cba37a7a2a33da8c057b4cb8</v>
      </c>
      <c r="O66" s="138" t="str" cm="1">
        <f t="array" ref="O66">IFERROR(INDEX(CategoriesTable[Category type],MATCH(Table1[[#This Row],[Category]],CategoriesTable[Category name],0),0),"")</f>
        <v>Expense</v>
      </c>
      <c r="P66" s="138">
        <v>19</v>
      </c>
      <c r="Q66" s="138">
        <f>MONTH(Table1[[#This Row],[Date]])</f>
        <v>12</v>
      </c>
      <c r="R66" s="138">
        <v>2021</v>
      </c>
      <c r="S66" s="139">
        <f>IF(ISBLANK(Table1[[#This Row],[Date]]),"",Table1[[#This Row],[Date]]-WEEKDAY(Table1[[#This Row],[Date]],2)+1)</f>
        <v>44543</v>
      </c>
      <c r="T66" s="140">
        <f>IF(ISBLANK(Table1[[#This Row],[Date]]),"",DATE(Table1[[#This Row],[Date_Year]],Table1[[#This Row],[Date_Month]],1))</f>
        <v>44531</v>
      </c>
    </row>
    <row r="67" spans="2:20" ht="15.75">
      <c r="B67" s="154">
        <v>44549</v>
      </c>
      <c r="C67" s="119" t="s">
        <v>887</v>
      </c>
      <c r="D67" s="119" t="s">
        <v>122</v>
      </c>
      <c r="E67" s="119"/>
      <c r="F67" s="155">
        <v>-50.62</v>
      </c>
      <c r="G67" s="133" t="str">
        <f>_xlfn.XLOOKUP(Table1[[#This Row],[Account_ID]], Accounts[ID], Accounts[Account nickname], "Unknown")</f>
        <v>Discover</v>
      </c>
      <c r="H67" s="134" t="str">
        <f>_xlfn.XLOOKUP(Table1[[#This Row],[Account_ID]], Accounts[ID], Accounts[Account'#], "Unknown")</f>
        <v>4618</v>
      </c>
      <c r="I67" s="135" t="str">
        <f>_xlfn.XLOOKUP(_xlfn.XLOOKUP(Table1[[#This Row],[Account]],Accounts[Account nickname],Accounts[Institution ID]),Institutions[ID],Institutions[Institution nickname],"Unknown")</f>
        <v>Discover</v>
      </c>
      <c r="J67" s="136" t="s">
        <v>897</v>
      </c>
      <c r="K67" s="137" t="s">
        <v>843</v>
      </c>
      <c r="L67" s="137" t="s">
        <v>841</v>
      </c>
      <c r="M6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f9fd776a16da81a948d166fcd5952d14</v>
      </c>
      <c r="N6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7" s="138" t="str" cm="1">
        <f t="array" ref="O67">IFERROR(INDEX(CategoriesTable[Category type],MATCH(Table1[[#This Row],[Category]],CategoriesTable[Category name],0),0),"")</f>
        <v>Expense</v>
      </c>
      <c r="P67" s="138">
        <v>19</v>
      </c>
      <c r="Q67" s="138">
        <f>MONTH(Table1[[#This Row],[Date]])</f>
        <v>12</v>
      </c>
      <c r="R67" s="138">
        <v>2021</v>
      </c>
      <c r="S67" s="139">
        <f>IF(ISBLANK(Table1[[#This Row],[Date]]),"",Table1[[#This Row],[Date]]-WEEKDAY(Table1[[#This Row],[Date]],2)+1)</f>
        <v>44543</v>
      </c>
      <c r="T67" s="140">
        <f>IF(ISBLANK(Table1[[#This Row],[Date]]),"",DATE(Table1[[#This Row],[Date_Year]],Table1[[#This Row],[Date_Month]],1))</f>
        <v>44531</v>
      </c>
    </row>
    <row r="68" spans="2:20" ht="15.75">
      <c r="B68" s="154">
        <v>44549</v>
      </c>
      <c r="C68" s="119" t="s">
        <v>894</v>
      </c>
      <c r="D68" s="119" t="s">
        <v>123</v>
      </c>
      <c r="E68" s="119" t="s">
        <v>176</v>
      </c>
      <c r="F68" s="155">
        <v>-265</v>
      </c>
      <c r="G68" s="133" t="str">
        <f>_xlfn.XLOOKUP(Table1[[#This Row],[Account_ID]], Accounts[ID], Accounts[Account nickname], "Unknown")</f>
        <v>Discover</v>
      </c>
      <c r="H68" s="134" t="str">
        <f>_xlfn.XLOOKUP(Table1[[#This Row],[Account_ID]], Accounts[ID], Accounts[Account'#], "Unknown")</f>
        <v>4618</v>
      </c>
      <c r="I68" s="135" t="str">
        <f>_xlfn.XLOOKUP(_xlfn.XLOOKUP(Table1[[#This Row],[Account]],Accounts[Account nickname],Accounts[Institution ID]),Institutions[ID],Institutions[Institution nickname],"Unknown")</f>
        <v>Discover</v>
      </c>
      <c r="J68" s="136" t="s">
        <v>895</v>
      </c>
      <c r="K68" s="137" t="s">
        <v>843</v>
      </c>
      <c r="L68" s="137" t="s">
        <v>841</v>
      </c>
      <c r="M6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f870f35280fadaf3c3539ad54e3062cd</v>
      </c>
      <c r="N6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b33a143786e5accb584d33cda08d2b69</v>
      </c>
      <c r="O68" s="138" t="str" cm="1">
        <f t="array" ref="O68">IFERROR(INDEX(CategoriesTable[Category type],MATCH(Table1[[#This Row],[Category]],CategoriesTable[Category name],0),0),"")</f>
        <v>Expense</v>
      </c>
      <c r="P68" s="138">
        <v>19</v>
      </c>
      <c r="Q68" s="138">
        <f>MONTH(Table1[[#This Row],[Date]])</f>
        <v>12</v>
      </c>
      <c r="R68" s="138">
        <v>2021</v>
      </c>
      <c r="S68" s="139">
        <f>IF(ISBLANK(Table1[[#This Row],[Date]]),"",Table1[[#This Row],[Date]]-WEEKDAY(Table1[[#This Row],[Date]],2)+1)</f>
        <v>44543</v>
      </c>
      <c r="T68" s="140">
        <f>IF(ISBLANK(Table1[[#This Row],[Date]]),"",DATE(Table1[[#This Row],[Date_Year]],Table1[[#This Row],[Date_Month]],1))</f>
        <v>44531</v>
      </c>
    </row>
    <row r="69" spans="2:20" ht="15.75">
      <c r="B69" s="154">
        <v>44549</v>
      </c>
      <c r="C69" s="119" t="s">
        <v>718</v>
      </c>
      <c r="D69" s="119" t="s">
        <v>122</v>
      </c>
      <c r="E69" s="119"/>
      <c r="F69" s="155">
        <v>-7.57</v>
      </c>
      <c r="G69" s="133" t="str">
        <f>_xlfn.XLOOKUP(Table1[[#This Row],[Account_ID]], Accounts[ID], Accounts[Account nickname], "Unknown")</f>
        <v>Discover</v>
      </c>
      <c r="H69" s="134" t="str">
        <f>_xlfn.XLOOKUP(Table1[[#This Row],[Account_ID]], Accounts[ID], Accounts[Account'#], "Unknown")</f>
        <v>4618</v>
      </c>
      <c r="I69" s="135" t="str">
        <f>_xlfn.XLOOKUP(_xlfn.XLOOKUP(Table1[[#This Row],[Account]],Accounts[Account nickname],Accounts[Institution ID]),Institutions[ID],Institutions[Institution nickname],"Unknown")</f>
        <v>Discover</v>
      </c>
      <c r="J69" s="136" t="s">
        <v>896</v>
      </c>
      <c r="K69" s="137" t="s">
        <v>843</v>
      </c>
      <c r="L69" s="137" t="s">
        <v>841</v>
      </c>
      <c r="M6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f9fd776a16da81a948d166fcd5952d14</v>
      </c>
      <c r="N6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9" s="138" t="str" cm="1">
        <f t="array" ref="O69">IFERROR(INDEX(CategoriesTable[Category type],MATCH(Table1[[#This Row],[Category]],CategoriesTable[Category name],0),0),"")</f>
        <v>Expense</v>
      </c>
      <c r="P69" s="138">
        <v>19</v>
      </c>
      <c r="Q69" s="138">
        <f>MONTH(Table1[[#This Row],[Date]])</f>
        <v>12</v>
      </c>
      <c r="R69" s="138">
        <v>2021</v>
      </c>
      <c r="S69" s="139">
        <f>IF(ISBLANK(Table1[[#This Row],[Date]]),"",Table1[[#This Row],[Date]]-WEEKDAY(Table1[[#This Row],[Date]],2)+1)</f>
        <v>44543</v>
      </c>
      <c r="T69" s="140">
        <f>IF(ISBLANK(Table1[[#This Row],[Date]]),"",DATE(Table1[[#This Row],[Date_Year]],Table1[[#This Row],[Date_Month]],1))</f>
        <v>44531</v>
      </c>
    </row>
    <row r="70" spans="2:20" ht="15.75">
      <c r="B70" s="154">
        <v>44548</v>
      </c>
      <c r="C70" s="119" t="s">
        <v>701</v>
      </c>
      <c r="D70" s="119" t="s">
        <v>122</v>
      </c>
      <c r="E70" s="119"/>
      <c r="F70" s="155">
        <v>-103.09</v>
      </c>
      <c r="G70" s="133" t="str">
        <f>_xlfn.XLOOKUP(Table1[[#This Row],[Account_ID]], Accounts[ID], Accounts[Account nickname], "Unknown")</f>
        <v>Discover</v>
      </c>
      <c r="H70" s="134" t="str">
        <f>_xlfn.XLOOKUP(Table1[[#This Row],[Account_ID]], Accounts[ID], Accounts[Account'#], "Unknown")</f>
        <v>4618</v>
      </c>
      <c r="I70" s="135" t="str">
        <f>_xlfn.XLOOKUP(_xlfn.XLOOKUP(Table1[[#This Row],[Account]],Accounts[Account nickname],Accounts[Institution ID]),Institutions[ID],Institutions[Institution nickname],"Unknown")</f>
        <v>Discover</v>
      </c>
      <c r="J70" s="136" t="s">
        <v>902</v>
      </c>
      <c r="K70" s="137" t="s">
        <v>843</v>
      </c>
      <c r="L70" s="137" t="s">
        <v>841</v>
      </c>
      <c r="M7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f9fd776a16da81a948d166fcd5952d14</v>
      </c>
      <c r="N7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0" s="138" t="str" cm="1">
        <f t="array" ref="O70">IFERROR(INDEX(CategoriesTable[Category type],MATCH(Table1[[#This Row],[Category]],CategoriesTable[Category name],0),0),"")</f>
        <v>Expense</v>
      </c>
      <c r="P70" s="138">
        <v>18</v>
      </c>
      <c r="Q70" s="138">
        <f>MONTH(Table1[[#This Row],[Date]])</f>
        <v>12</v>
      </c>
      <c r="R70" s="138">
        <v>2021</v>
      </c>
      <c r="S70" s="139">
        <f>IF(ISBLANK(Table1[[#This Row],[Date]]),"",Table1[[#This Row],[Date]]-WEEKDAY(Table1[[#This Row],[Date]],2)+1)</f>
        <v>44543</v>
      </c>
      <c r="T70" s="140">
        <f>IF(ISBLANK(Table1[[#This Row],[Date]]),"",DATE(Table1[[#This Row],[Date_Year]],Table1[[#This Row],[Date_Month]],1))</f>
        <v>44531</v>
      </c>
    </row>
    <row r="71" spans="2:20" ht="15.75">
      <c r="B71" s="154">
        <v>44548</v>
      </c>
      <c r="C71" s="119" t="s">
        <v>905</v>
      </c>
      <c r="D71" s="119" t="s">
        <v>106</v>
      </c>
      <c r="E71" s="119" t="s">
        <v>178</v>
      </c>
      <c r="F71" s="155">
        <v>-28.46</v>
      </c>
      <c r="G71" s="133" t="str">
        <f>_xlfn.XLOOKUP(Table1[[#This Row],[Account_ID]], Accounts[ID], Accounts[Account nickname], "Unknown")</f>
        <v>Discover</v>
      </c>
      <c r="H71" s="134" t="str">
        <f>_xlfn.XLOOKUP(Table1[[#This Row],[Account_ID]], Accounts[ID], Accounts[Account'#], "Unknown")</f>
        <v>4618</v>
      </c>
      <c r="I71" s="135" t="str">
        <f>_xlfn.XLOOKUP(_xlfn.XLOOKUP(Table1[[#This Row],[Account]],Accounts[Account nickname],Accounts[Institution ID]),Institutions[ID],Institutions[Institution nickname],"Unknown")</f>
        <v>Discover</v>
      </c>
      <c r="J71" s="136" t="s">
        <v>906</v>
      </c>
      <c r="K71" s="137" t="s">
        <v>843</v>
      </c>
      <c r="L71" s="137" t="s">
        <v>841</v>
      </c>
      <c r="M7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3dafc6bd8d7c45ae9840ff09e01567d1</v>
      </c>
      <c r="N7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500e6ba7cba37a7a2a33da8c057b4cb8</v>
      </c>
      <c r="O71" s="138" t="str" cm="1">
        <f t="array" ref="O71">IFERROR(INDEX(CategoriesTable[Category type],MATCH(Table1[[#This Row],[Category]],CategoriesTable[Category name],0),0),"")</f>
        <v>Expense</v>
      </c>
      <c r="P71" s="138">
        <v>18</v>
      </c>
      <c r="Q71" s="138">
        <f>MONTH(Table1[[#This Row],[Date]])</f>
        <v>12</v>
      </c>
      <c r="R71" s="138">
        <v>2021</v>
      </c>
      <c r="S71" s="139">
        <f>IF(ISBLANK(Table1[[#This Row],[Date]]),"",Table1[[#This Row],[Date]]-WEEKDAY(Table1[[#This Row],[Date]],2)+1)</f>
        <v>44543</v>
      </c>
      <c r="T71" s="140">
        <f>IF(ISBLANK(Table1[[#This Row],[Date]]),"",DATE(Table1[[#This Row],[Date_Year]],Table1[[#This Row],[Date_Month]],1))</f>
        <v>44531</v>
      </c>
    </row>
    <row r="72" spans="2:20" ht="15.75">
      <c r="B72" s="154">
        <v>44548</v>
      </c>
      <c r="C72" s="119" t="s">
        <v>903</v>
      </c>
      <c r="D72" s="119" t="s">
        <v>122</v>
      </c>
      <c r="E72" s="119"/>
      <c r="F72" s="155">
        <v>-50.99</v>
      </c>
      <c r="G72" s="133" t="str">
        <f>_xlfn.XLOOKUP(Table1[[#This Row],[Account_ID]], Accounts[ID], Accounts[Account nickname], "Unknown")</f>
        <v>Discover</v>
      </c>
      <c r="H72" s="134" t="str">
        <f>_xlfn.XLOOKUP(Table1[[#This Row],[Account_ID]], Accounts[ID], Accounts[Account'#], "Unknown")</f>
        <v>4618</v>
      </c>
      <c r="I72" s="135" t="str">
        <f>_xlfn.XLOOKUP(_xlfn.XLOOKUP(Table1[[#This Row],[Account]],Accounts[Account nickname],Accounts[Institution ID]),Institutions[ID],Institutions[Institution nickname],"Unknown")</f>
        <v>Discover</v>
      </c>
      <c r="J72" s="136" t="s">
        <v>904</v>
      </c>
      <c r="K72" s="137" t="s">
        <v>843</v>
      </c>
      <c r="L72" s="137" t="s">
        <v>841</v>
      </c>
      <c r="M7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f9fd776a16da81a948d166fcd5952d14</v>
      </c>
      <c r="N7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2" s="138" t="str" cm="1">
        <f t="array" ref="O72">IFERROR(INDEX(CategoriesTable[Category type],MATCH(Table1[[#This Row],[Category]],CategoriesTable[Category name],0),0),"")</f>
        <v>Expense</v>
      </c>
      <c r="P72" s="138">
        <v>18</v>
      </c>
      <c r="Q72" s="138">
        <f>MONTH(Table1[[#This Row],[Date]])</f>
        <v>12</v>
      </c>
      <c r="R72" s="138">
        <v>2021</v>
      </c>
      <c r="S72" s="139">
        <f>IF(ISBLANK(Table1[[#This Row],[Date]]),"",Table1[[#This Row],[Date]]-WEEKDAY(Table1[[#This Row],[Date]],2)+1)</f>
        <v>44543</v>
      </c>
      <c r="T72" s="140">
        <f>IF(ISBLANK(Table1[[#This Row],[Date]]),"",DATE(Table1[[#This Row],[Date_Year]],Table1[[#This Row],[Date_Month]],1))</f>
        <v>44531</v>
      </c>
    </row>
    <row r="73" spans="2:20" ht="15.75">
      <c r="B73" s="154">
        <v>44548</v>
      </c>
      <c r="C73" s="119" t="s">
        <v>907</v>
      </c>
      <c r="D73" s="119" t="s">
        <v>116</v>
      </c>
      <c r="E73" s="119"/>
      <c r="F73" s="155">
        <v>-11.28</v>
      </c>
      <c r="G73" s="133" t="str">
        <f>_xlfn.XLOOKUP(Table1[[#This Row],[Account_ID]], Accounts[ID], Accounts[Account nickname], "Unknown")</f>
        <v>Discover</v>
      </c>
      <c r="H73" s="134" t="str">
        <f>_xlfn.XLOOKUP(Table1[[#This Row],[Account_ID]], Accounts[ID], Accounts[Account'#], "Unknown")</f>
        <v>4618</v>
      </c>
      <c r="I73" s="135" t="str">
        <f>_xlfn.XLOOKUP(_xlfn.XLOOKUP(Table1[[#This Row],[Account]],Accounts[Account nickname],Accounts[Institution ID]),Institutions[ID],Institutions[Institution nickname],"Unknown")</f>
        <v>Discover</v>
      </c>
      <c r="J73" s="136" t="s">
        <v>908</v>
      </c>
      <c r="K73" s="137" t="s">
        <v>843</v>
      </c>
      <c r="L73" s="137" t="s">
        <v>841</v>
      </c>
      <c r="M7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e6c07c144d52704210419358ba4a8d2e</v>
      </c>
      <c r="N7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3" s="138" t="str" cm="1">
        <f t="array" ref="O73">IFERROR(INDEX(CategoriesTable[Category type],MATCH(Table1[[#This Row],[Category]],CategoriesTable[Category name],0),0),"")</f>
        <v>Expense</v>
      </c>
      <c r="P73" s="138">
        <v>18</v>
      </c>
      <c r="Q73" s="138">
        <f>MONTH(Table1[[#This Row],[Date]])</f>
        <v>12</v>
      </c>
      <c r="R73" s="138">
        <v>2021</v>
      </c>
      <c r="S73" s="139">
        <f>IF(ISBLANK(Table1[[#This Row],[Date]]),"",Table1[[#This Row],[Date]]-WEEKDAY(Table1[[#This Row],[Date]],2)+1)</f>
        <v>44543</v>
      </c>
      <c r="T73" s="140">
        <f>IF(ISBLANK(Table1[[#This Row],[Date]]),"",DATE(Table1[[#This Row],[Date_Year]],Table1[[#This Row],[Date_Month]],1))</f>
        <v>44531</v>
      </c>
    </row>
    <row r="74" spans="2:20" ht="15.75">
      <c r="B74" s="154">
        <v>44548</v>
      </c>
      <c r="C74" s="119" t="s">
        <v>898</v>
      </c>
      <c r="D74" s="119" t="s">
        <v>123</v>
      </c>
      <c r="E74" s="119" t="s">
        <v>177</v>
      </c>
      <c r="F74" s="155">
        <v>-12.26</v>
      </c>
      <c r="G74" s="133" t="str">
        <f>_xlfn.XLOOKUP(Table1[[#This Row],[Account_ID]], Accounts[ID], Accounts[Account nickname], "Unknown")</f>
        <v>Discover</v>
      </c>
      <c r="H74" s="134" t="str">
        <f>_xlfn.XLOOKUP(Table1[[#This Row],[Account_ID]], Accounts[ID], Accounts[Account'#], "Unknown")</f>
        <v>4618</v>
      </c>
      <c r="I74" s="135" t="str">
        <f>_xlfn.XLOOKUP(_xlfn.XLOOKUP(Table1[[#This Row],[Account]],Accounts[Account nickname],Accounts[Institution ID]),Institutions[ID],Institutions[Institution nickname],"Unknown")</f>
        <v>Discover</v>
      </c>
      <c r="J74" s="136" t="s">
        <v>899</v>
      </c>
      <c r="K74" s="137" t="s">
        <v>843</v>
      </c>
      <c r="L74" s="137" t="s">
        <v>841</v>
      </c>
      <c r="M7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f870f35280fadaf3c3539ad54e3062cd</v>
      </c>
      <c r="N7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62ae30b53561aa5d303e08e4369dbfc3</v>
      </c>
      <c r="O74" s="138" t="str" cm="1">
        <f t="array" ref="O74">IFERROR(INDEX(CategoriesTable[Category type],MATCH(Table1[[#This Row],[Category]],CategoriesTable[Category name],0),0),"")</f>
        <v>Expense</v>
      </c>
      <c r="P74" s="138">
        <v>18</v>
      </c>
      <c r="Q74" s="138">
        <f>MONTH(Table1[[#This Row],[Date]])</f>
        <v>12</v>
      </c>
      <c r="R74" s="138">
        <v>2021</v>
      </c>
      <c r="S74" s="139">
        <f>IF(ISBLANK(Table1[[#This Row],[Date]]),"",Table1[[#This Row],[Date]]-WEEKDAY(Table1[[#This Row],[Date]],2)+1)</f>
        <v>44543</v>
      </c>
      <c r="T74" s="140">
        <f>IF(ISBLANK(Table1[[#This Row],[Date]]),"",DATE(Table1[[#This Row],[Date_Year]],Table1[[#This Row],[Date_Month]],1))</f>
        <v>44531</v>
      </c>
    </row>
    <row r="75" spans="2:20" ht="15.75">
      <c r="B75" s="154">
        <v>44548</v>
      </c>
      <c r="C75" s="119" t="s">
        <v>718</v>
      </c>
      <c r="D75" s="119" t="s">
        <v>122</v>
      </c>
      <c r="E75" s="119"/>
      <c r="F75" s="155">
        <v>-49.06</v>
      </c>
      <c r="G75" s="133" t="str">
        <f>_xlfn.XLOOKUP(Table1[[#This Row],[Account_ID]], Accounts[ID], Accounts[Account nickname], "Unknown")</f>
        <v>Discover</v>
      </c>
      <c r="H75" s="134" t="str">
        <f>_xlfn.XLOOKUP(Table1[[#This Row],[Account_ID]], Accounts[ID], Accounts[Account'#], "Unknown")</f>
        <v>4618</v>
      </c>
      <c r="I75" s="135" t="str">
        <f>_xlfn.XLOOKUP(_xlfn.XLOOKUP(Table1[[#This Row],[Account]],Accounts[Account nickname],Accounts[Institution ID]),Institutions[ID],Institutions[Institution nickname],"Unknown")</f>
        <v>Discover</v>
      </c>
      <c r="J75" s="136" t="s">
        <v>909</v>
      </c>
      <c r="K75" s="137" t="s">
        <v>843</v>
      </c>
      <c r="L75" s="137" t="s">
        <v>841</v>
      </c>
      <c r="M7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f9fd776a16da81a948d166fcd5952d14</v>
      </c>
      <c r="N7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5" s="138" t="str" cm="1">
        <f t="array" ref="O75">IFERROR(INDEX(CategoriesTable[Category type],MATCH(Table1[[#This Row],[Category]],CategoriesTable[Category name],0),0),"")</f>
        <v>Expense</v>
      </c>
      <c r="P75" s="138">
        <v>18</v>
      </c>
      <c r="Q75" s="138">
        <f>MONTH(Table1[[#This Row],[Date]])</f>
        <v>12</v>
      </c>
      <c r="R75" s="138">
        <v>2021</v>
      </c>
      <c r="S75" s="139">
        <f>IF(ISBLANK(Table1[[#This Row],[Date]]),"",Table1[[#This Row],[Date]]-WEEKDAY(Table1[[#This Row],[Date]],2)+1)</f>
        <v>44543</v>
      </c>
      <c r="T75" s="140">
        <f>IF(ISBLANK(Table1[[#This Row],[Date]]),"",DATE(Table1[[#This Row],[Date_Year]],Table1[[#This Row],[Date_Month]],1))</f>
        <v>44531</v>
      </c>
    </row>
    <row r="76" spans="2:20" ht="15.75">
      <c r="B76" s="154">
        <v>44548</v>
      </c>
      <c r="C76" s="119" t="s">
        <v>900</v>
      </c>
      <c r="D76" s="119" t="s">
        <v>117</v>
      </c>
      <c r="E76" s="119"/>
      <c r="F76" s="155">
        <v>-16.190000000000001</v>
      </c>
      <c r="G76" s="133" t="str">
        <f>_xlfn.XLOOKUP(Table1[[#This Row],[Account_ID]], Accounts[ID], Accounts[Account nickname], "Unknown")</f>
        <v>Discover</v>
      </c>
      <c r="H76" s="134" t="str">
        <f>_xlfn.XLOOKUP(Table1[[#This Row],[Account_ID]], Accounts[ID], Accounts[Account'#], "Unknown")</f>
        <v>4618</v>
      </c>
      <c r="I76" s="135" t="str">
        <f>_xlfn.XLOOKUP(_xlfn.XLOOKUP(Table1[[#This Row],[Account]],Accounts[Account nickname],Accounts[Institution ID]),Institutions[ID],Institutions[Institution nickname],"Unknown")</f>
        <v>Discover</v>
      </c>
      <c r="J76" s="152" t="s">
        <v>901</v>
      </c>
      <c r="K76" s="137" t="s">
        <v>843</v>
      </c>
      <c r="L76" s="137" t="s">
        <v>841</v>
      </c>
      <c r="M7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fec746a44521f2118fef19237dbf4f91</v>
      </c>
      <c r="N7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6" s="138" t="str" cm="1">
        <f t="array" ref="O76">IFERROR(INDEX(CategoriesTable[Category type],MATCH(Table1[[#This Row],[Category]],CategoriesTable[Category name],0),0),"")</f>
        <v>Expense</v>
      </c>
      <c r="P76" s="138">
        <v>18</v>
      </c>
      <c r="Q76" s="138">
        <f>MONTH(Table1[[#This Row],[Date]])</f>
        <v>12</v>
      </c>
      <c r="R76" s="138">
        <v>2021</v>
      </c>
      <c r="S76" s="139">
        <f>IF(ISBLANK(Table1[[#This Row],[Date]]),"",Table1[[#This Row],[Date]]-WEEKDAY(Table1[[#This Row],[Date]],2)+1)</f>
        <v>44543</v>
      </c>
      <c r="T76" s="140">
        <f>IF(ISBLANK(Table1[[#This Row],[Date]]),"",DATE(Table1[[#This Row],[Date_Year]],Table1[[#This Row],[Date_Month]],1))</f>
        <v>44531</v>
      </c>
    </row>
    <row r="77" spans="2:20" ht="15.75">
      <c r="B77" s="154">
        <v>44547</v>
      </c>
      <c r="C77" s="119" t="s">
        <v>724</v>
      </c>
      <c r="D77" s="119" t="s">
        <v>122</v>
      </c>
      <c r="E77" s="119"/>
      <c r="F77" s="155">
        <v>-46.57</v>
      </c>
      <c r="G77" s="133" t="str">
        <f>_xlfn.XLOOKUP(Table1[[#This Row],[Account_ID]], Accounts[ID], Accounts[Account nickname], "Unknown")</f>
        <v>Discover</v>
      </c>
      <c r="H77" s="134" t="str">
        <f>_xlfn.XLOOKUP(Table1[[#This Row],[Account_ID]], Accounts[ID], Accounts[Account'#], "Unknown")</f>
        <v>4618</v>
      </c>
      <c r="I77" s="135" t="str">
        <f>_xlfn.XLOOKUP(_xlfn.XLOOKUP(Table1[[#This Row],[Account]],Accounts[Account nickname],Accounts[Institution ID]),Institutions[ID],Institutions[Institution nickname],"Unknown")</f>
        <v>Discover</v>
      </c>
      <c r="J77" s="136" t="s">
        <v>919</v>
      </c>
      <c r="K77" s="137" t="s">
        <v>843</v>
      </c>
      <c r="L77" s="137" t="s">
        <v>841</v>
      </c>
      <c r="M7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f9fd776a16da81a948d166fcd5952d14</v>
      </c>
      <c r="N7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7" s="138" t="str" cm="1">
        <f t="array" ref="O77">IFERROR(INDEX(CategoriesTable[Category type],MATCH(Table1[[#This Row],[Category]],CategoriesTable[Category name],0),0),"")</f>
        <v>Expense</v>
      </c>
      <c r="P77" s="138">
        <v>17</v>
      </c>
      <c r="Q77" s="138">
        <f>MONTH(Table1[[#This Row],[Date]])</f>
        <v>12</v>
      </c>
      <c r="R77" s="138">
        <v>2021</v>
      </c>
      <c r="S77" s="139">
        <f>IF(ISBLANK(Table1[[#This Row],[Date]]),"",Table1[[#This Row],[Date]]-WEEKDAY(Table1[[#This Row],[Date]],2)+1)</f>
        <v>44543</v>
      </c>
      <c r="T77" s="140">
        <f>IF(ISBLANK(Table1[[#This Row],[Date]]),"",DATE(Table1[[#This Row],[Date_Year]],Table1[[#This Row],[Date_Month]],1))</f>
        <v>44531</v>
      </c>
    </row>
    <row r="78" spans="2:20" ht="15.75">
      <c r="B78" s="154">
        <v>44547</v>
      </c>
      <c r="C78" s="119" t="s">
        <v>678</v>
      </c>
      <c r="D78" s="119" t="s">
        <v>91</v>
      </c>
      <c r="E78" s="119"/>
      <c r="F78" s="155">
        <v>238</v>
      </c>
      <c r="G78" s="133" t="str">
        <f>_xlfn.XLOOKUP(Table1[[#This Row],[Account_ID]], Accounts[ID], Accounts[Account nickname], "Unknown")</f>
        <v>WF</v>
      </c>
      <c r="H78" s="134" t="str">
        <f>_xlfn.XLOOKUP(Table1[[#This Row],[Account_ID]], Accounts[ID], Accounts[Account'#], "Unknown")</f>
        <v>4636</v>
      </c>
      <c r="I78" s="135" t="str">
        <f>_xlfn.XLOOKUP(_xlfn.XLOOKUP(Table1[[#This Row],[Account]],Accounts[Account nickname],Accounts[Institution ID]),Institutions[ID],Institutions[Institution nickname],"Unknown")</f>
        <v>Wells Fargo</v>
      </c>
      <c r="J78" s="136" t="s">
        <v>824</v>
      </c>
      <c r="K78" s="137" t="s">
        <v>808</v>
      </c>
      <c r="L78" s="137" t="s">
        <v>807</v>
      </c>
      <c r="M7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fabfe582932d48b78ac2846c1ec3d43f</v>
      </c>
      <c r="N7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8" s="138" t="str" cm="1">
        <f t="array" ref="O78">IFERROR(INDEX(CategoriesTable[Category type],MATCH(Table1[[#This Row],[Category]],CategoriesTable[Category name],0),0),"")</f>
        <v>Expense</v>
      </c>
      <c r="P78" s="138">
        <v>17</v>
      </c>
      <c r="Q78" s="138">
        <f>MONTH(Table1[[#This Row],[Date]])</f>
        <v>12</v>
      </c>
      <c r="R78" s="138">
        <v>2021</v>
      </c>
      <c r="S78" s="139">
        <f>IF(ISBLANK(Table1[[#This Row],[Date]]),"",Table1[[#This Row],[Date]]-WEEKDAY(Table1[[#This Row],[Date]],2)+1)</f>
        <v>44543</v>
      </c>
      <c r="T78" s="140">
        <f>IF(ISBLANK(Table1[[#This Row],[Date]]),"",DATE(Table1[[#This Row],[Date_Year]],Table1[[#This Row],[Date_Month]],1))</f>
        <v>44531</v>
      </c>
    </row>
    <row r="79" spans="2:20" ht="15.75">
      <c r="B79" s="154">
        <v>44547</v>
      </c>
      <c r="C79" s="119" t="s">
        <v>907</v>
      </c>
      <c r="D79" s="119" t="s">
        <v>116</v>
      </c>
      <c r="E79" s="119"/>
      <c r="F79" s="155">
        <v>-4.1900000000000004</v>
      </c>
      <c r="G79" s="133" t="str">
        <f>_xlfn.XLOOKUP(Table1[[#This Row],[Account_ID]], Accounts[ID], Accounts[Account nickname], "Unknown")</f>
        <v>Discover</v>
      </c>
      <c r="H79" s="134" t="str">
        <f>_xlfn.XLOOKUP(Table1[[#This Row],[Account_ID]], Accounts[ID], Accounts[Account'#], "Unknown")</f>
        <v>4618</v>
      </c>
      <c r="I79" s="135" t="str">
        <f>_xlfn.XLOOKUP(_xlfn.XLOOKUP(Table1[[#This Row],[Account]],Accounts[Account nickname],Accounts[Institution ID]),Institutions[ID],Institutions[Institution nickname],"Unknown")</f>
        <v>Discover</v>
      </c>
      <c r="J79" s="136" t="s">
        <v>916</v>
      </c>
      <c r="K79" s="137" t="s">
        <v>843</v>
      </c>
      <c r="L79" s="137" t="s">
        <v>841</v>
      </c>
      <c r="M7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e6c07c144d52704210419358ba4a8d2e</v>
      </c>
      <c r="N7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9" s="138" t="str" cm="1">
        <f t="array" ref="O79">IFERROR(INDEX(CategoriesTable[Category type],MATCH(Table1[[#This Row],[Category]],CategoriesTable[Category name],0),0),"")</f>
        <v>Expense</v>
      </c>
      <c r="P79" s="138">
        <v>17</v>
      </c>
      <c r="Q79" s="138">
        <f>MONTH(Table1[[#This Row],[Date]])</f>
        <v>12</v>
      </c>
      <c r="R79" s="138">
        <v>2021</v>
      </c>
      <c r="S79" s="139">
        <f>IF(ISBLANK(Table1[[#This Row],[Date]]),"",Table1[[#This Row],[Date]]-WEEKDAY(Table1[[#This Row],[Date]],2)+1)</f>
        <v>44543</v>
      </c>
      <c r="T79" s="140">
        <f>IF(ISBLANK(Table1[[#This Row],[Date]]),"",DATE(Table1[[#This Row],[Date_Year]],Table1[[#This Row],[Date_Month]],1))</f>
        <v>44531</v>
      </c>
    </row>
    <row r="80" spans="2:20" ht="15.75">
      <c r="B80" s="154">
        <v>44547</v>
      </c>
      <c r="C80" s="119" t="s">
        <v>912</v>
      </c>
      <c r="D80" s="119" t="s">
        <v>106</v>
      </c>
      <c r="E80" s="119" t="s">
        <v>178</v>
      </c>
      <c r="F80" s="155">
        <v>-37.42</v>
      </c>
      <c r="G80" s="133" t="str">
        <f>_xlfn.XLOOKUP(Table1[[#This Row],[Account_ID]], Accounts[ID], Accounts[Account nickname], "Unknown")</f>
        <v>Discover</v>
      </c>
      <c r="H80" s="134" t="str">
        <f>_xlfn.XLOOKUP(Table1[[#This Row],[Account_ID]], Accounts[ID], Accounts[Account'#], "Unknown")</f>
        <v>4618</v>
      </c>
      <c r="I80" s="135" t="str">
        <f>_xlfn.XLOOKUP(_xlfn.XLOOKUP(Table1[[#This Row],[Account]],Accounts[Account nickname],Accounts[Institution ID]),Institutions[ID],Institutions[Institution nickname],"Unknown")</f>
        <v>Discover</v>
      </c>
      <c r="J80" s="136" t="s">
        <v>913</v>
      </c>
      <c r="K80" s="137" t="s">
        <v>843</v>
      </c>
      <c r="L80" s="137" t="s">
        <v>841</v>
      </c>
      <c r="M8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3dafc6bd8d7c45ae9840ff09e01567d1</v>
      </c>
      <c r="N8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500e6ba7cba37a7a2a33da8c057b4cb8</v>
      </c>
      <c r="O80" s="138" t="str" cm="1">
        <f t="array" ref="O80">IFERROR(INDEX(CategoriesTable[Category type],MATCH(Table1[[#This Row],[Category]],CategoriesTable[Category name],0),0),"")</f>
        <v>Expense</v>
      </c>
      <c r="P80" s="138">
        <v>17</v>
      </c>
      <c r="Q80" s="138">
        <f>MONTH(Table1[[#This Row],[Date]])</f>
        <v>12</v>
      </c>
      <c r="R80" s="138">
        <v>2021</v>
      </c>
      <c r="S80" s="139">
        <f>IF(ISBLANK(Table1[[#This Row],[Date]]),"",Table1[[#This Row],[Date]]-WEEKDAY(Table1[[#This Row],[Date]],2)+1)</f>
        <v>44543</v>
      </c>
      <c r="T80" s="140">
        <f>IF(ISBLANK(Table1[[#This Row],[Date]]),"",DATE(Table1[[#This Row],[Date_Year]],Table1[[#This Row],[Date_Month]],1))</f>
        <v>44531</v>
      </c>
    </row>
    <row r="81" spans="2:20" ht="15.75">
      <c r="B81" s="154">
        <v>44547</v>
      </c>
      <c r="C81" s="119" t="s">
        <v>917</v>
      </c>
      <c r="D81" s="119" t="s">
        <v>3472</v>
      </c>
      <c r="E81" s="119" t="s">
        <v>3473</v>
      </c>
      <c r="F81" s="155">
        <v>-70</v>
      </c>
      <c r="G81" s="133" t="str">
        <f>_xlfn.XLOOKUP(Table1[[#This Row],[Account_ID]], Accounts[ID], Accounts[Account nickname], "Unknown")</f>
        <v>Discover</v>
      </c>
      <c r="H81" s="134" t="str">
        <f>_xlfn.XLOOKUP(Table1[[#This Row],[Account_ID]], Accounts[ID], Accounts[Account'#], "Unknown")</f>
        <v>4618</v>
      </c>
      <c r="I81" s="135" t="str">
        <f>_xlfn.XLOOKUP(_xlfn.XLOOKUP(Table1[[#This Row],[Account]],Accounts[Account nickname],Accounts[Institution ID]),Institutions[ID],Institutions[Institution nickname],"Unknown")</f>
        <v>Discover</v>
      </c>
      <c r="J81" s="136" t="s">
        <v>918</v>
      </c>
      <c r="K81" s="137" t="s">
        <v>843</v>
      </c>
      <c r="L81" s="137" t="s">
        <v>841</v>
      </c>
      <c r="M8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e652020e73ca21c507fb0132026987b5</v>
      </c>
      <c r="N8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e2ada6f3a865e952cf542f51a935c9d8</v>
      </c>
      <c r="O81" s="138" t="str" cm="1">
        <f t="array" ref="O81">IFERROR(INDEX(CategoriesTable[Category type],MATCH(Table1[[#This Row],[Category]],CategoriesTable[Category name],0),0),"")</f>
        <v>Expense</v>
      </c>
      <c r="P81" s="138">
        <v>17</v>
      </c>
      <c r="Q81" s="138">
        <f>MONTH(Table1[[#This Row],[Date]])</f>
        <v>12</v>
      </c>
      <c r="R81" s="138">
        <v>2021</v>
      </c>
      <c r="S81" s="139">
        <f>IF(ISBLANK(Table1[[#This Row],[Date]]),"",Table1[[#This Row],[Date]]-WEEKDAY(Table1[[#This Row],[Date]],2)+1)</f>
        <v>44543</v>
      </c>
      <c r="T81" s="140">
        <f>IF(ISBLANK(Table1[[#This Row],[Date]]),"",DATE(Table1[[#This Row],[Date_Year]],Table1[[#This Row],[Date_Month]],1))</f>
        <v>44531</v>
      </c>
    </row>
    <row r="82" spans="2:20" ht="15.75">
      <c r="B82" s="154">
        <v>44547</v>
      </c>
      <c r="C82" s="119" t="s">
        <v>685</v>
      </c>
      <c r="D82" s="119" t="s">
        <v>99</v>
      </c>
      <c r="E82" s="119"/>
      <c r="F82" s="155">
        <v>-476</v>
      </c>
      <c r="G82" s="133" t="str">
        <f>_xlfn.XLOOKUP(Table1[[#This Row],[Account_ID]], Accounts[ID], Accounts[Account nickname], "Unknown")</f>
        <v>WF</v>
      </c>
      <c r="H82" s="134" t="str">
        <f>_xlfn.XLOOKUP(Table1[[#This Row],[Account_ID]], Accounts[ID], Accounts[Account'#], "Unknown")</f>
        <v>4636</v>
      </c>
      <c r="I82" s="135" t="str">
        <f>_xlfn.XLOOKUP(_xlfn.XLOOKUP(Table1[[#This Row],[Account]],Accounts[Account nickname],Accounts[Institution ID]),Institutions[ID],Institutions[Institution nickname],"Unknown")</f>
        <v>Wells Fargo</v>
      </c>
      <c r="J82" s="136" t="s">
        <v>822</v>
      </c>
      <c r="K82" s="137" t="s">
        <v>808</v>
      </c>
      <c r="L82" s="137" t="s">
        <v>807</v>
      </c>
      <c r="M8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6385c1768b814d3d89087c436c9cab15</v>
      </c>
      <c r="N8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2" s="138" t="str" cm="1">
        <f t="array" ref="O82">IFERROR(INDEX(CategoriesTable[Category type],MATCH(Table1[[#This Row],[Category]],CategoriesTable[Category name],0),0),"")</f>
        <v>Expense</v>
      </c>
      <c r="P82" s="138">
        <v>17</v>
      </c>
      <c r="Q82" s="138">
        <f>MONTH(Table1[[#This Row],[Date]])</f>
        <v>12</v>
      </c>
      <c r="R82" s="138">
        <v>2021</v>
      </c>
      <c r="S82" s="139">
        <f>IF(ISBLANK(Table1[[#This Row],[Date]]),"",Table1[[#This Row],[Date]]-WEEKDAY(Table1[[#This Row],[Date]],2)+1)</f>
        <v>44543</v>
      </c>
      <c r="T82" s="140">
        <f>IF(ISBLANK(Table1[[#This Row],[Date]]),"",DATE(Table1[[#This Row],[Date_Year]],Table1[[#This Row],[Date_Month]],1))</f>
        <v>44531</v>
      </c>
    </row>
    <row r="83" spans="2:20" ht="15.75">
      <c r="B83" s="154">
        <v>44547</v>
      </c>
      <c r="C83" s="119" t="s">
        <v>910</v>
      </c>
      <c r="D83" s="119" t="s">
        <v>123</v>
      </c>
      <c r="E83" s="119" t="s">
        <v>177</v>
      </c>
      <c r="F83" s="155">
        <v>-5.29</v>
      </c>
      <c r="G83" s="133" t="str">
        <f>_xlfn.XLOOKUP(Table1[[#This Row],[Account_ID]], Accounts[ID], Accounts[Account nickname], "Unknown")</f>
        <v>Discover</v>
      </c>
      <c r="H83" s="134" t="str">
        <f>_xlfn.XLOOKUP(Table1[[#This Row],[Account_ID]], Accounts[ID], Accounts[Account'#], "Unknown")</f>
        <v>4618</v>
      </c>
      <c r="I83" s="135" t="str">
        <f>_xlfn.XLOOKUP(_xlfn.XLOOKUP(Table1[[#This Row],[Account]],Accounts[Account nickname],Accounts[Institution ID]),Institutions[ID],Institutions[Institution nickname],"Unknown")</f>
        <v>Discover</v>
      </c>
      <c r="J83" s="136" t="s">
        <v>911</v>
      </c>
      <c r="K83" s="137" t="s">
        <v>843</v>
      </c>
      <c r="L83" s="137" t="s">
        <v>841</v>
      </c>
      <c r="M8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f870f35280fadaf3c3539ad54e3062cd</v>
      </c>
      <c r="N8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62ae30b53561aa5d303e08e4369dbfc3</v>
      </c>
      <c r="O83" s="138" t="str" cm="1">
        <f t="array" ref="O83">IFERROR(INDEX(CategoriesTable[Category type],MATCH(Table1[[#This Row],[Category]],CategoriesTable[Category name],0),0),"")</f>
        <v>Expense</v>
      </c>
      <c r="P83" s="138">
        <v>17</v>
      </c>
      <c r="Q83" s="138">
        <f>MONTH(Table1[[#This Row],[Date]])</f>
        <v>12</v>
      </c>
      <c r="R83" s="138">
        <v>2021</v>
      </c>
      <c r="S83" s="139">
        <f>IF(ISBLANK(Table1[[#This Row],[Date]]),"",Table1[[#This Row],[Date]]-WEEKDAY(Table1[[#This Row],[Date]],2)+1)</f>
        <v>44543</v>
      </c>
      <c r="T83" s="140">
        <f>IF(ISBLANK(Table1[[#This Row],[Date]]),"",DATE(Table1[[#This Row],[Date_Year]],Table1[[#This Row],[Date_Month]],1))</f>
        <v>44531</v>
      </c>
    </row>
    <row r="84" spans="2:20" ht="15.75">
      <c r="B84" s="154">
        <v>44547</v>
      </c>
      <c r="C84" s="119" t="s">
        <v>914</v>
      </c>
      <c r="D84" s="119" t="s">
        <v>123</v>
      </c>
      <c r="E84" s="119" t="s">
        <v>175</v>
      </c>
      <c r="F84" s="155">
        <v>-64</v>
      </c>
      <c r="G84" s="133" t="str">
        <f>_xlfn.XLOOKUP(Table1[[#This Row],[Account_ID]], Accounts[ID], Accounts[Account nickname], "Unknown")</f>
        <v>Discover</v>
      </c>
      <c r="H84" s="134" t="str">
        <f>_xlfn.XLOOKUP(Table1[[#This Row],[Account_ID]], Accounts[ID], Accounts[Account'#], "Unknown")</f>
        <v>4618</v>
      </c>
      <c r="I84" s="135" t="str">
        <f>_xlfn.XLOOKUP(_xlfn.XLOOKUP(Table1[[#This Row],[Account]],Accounts[Account nickname],Accounts[Institution ID]),Institutions[ID],Institutions[Institution nickname],"Unknown")</f>
        <v>Discover</v>
      </c>
      <c r="J84" s="136" t="s">
        <v>915</v>
      </c>
      <c r="K84" s="137" t="s">
        <v>843</v>
      </c>
      <c r="L84" s="137" t="s">
        <v>841</v>
      </c>
      <c r="M8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f870f35280fadaf3c3539ad54e3062cd</v>
      </c>
      <c r="N8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9fbba331d1ae096cbce7fb1035aebbc1</v>
      </c>
      <c r="O84" s="138" t="str" cm="1">
        <f t="array" ref="O84">IFERROR(INDEX(CategoriesTable[Category type],MATCH(Table1[[#This Row],[Category]],CategoriesTable[Category name],0),0),"")</f>
        <v>Expense</v>
      </c>
      <c r="P84" s="138">
        <v>17</v>
      </c>
      <c r="Q84" s="138">
        <f>MONTH(Table1[[#This Row],[Date]])</f>
        <v>12</v>
      </c>
      <c r="R84" s="138">
        <v>2021</v>
      </c>
      <c r="S84" s="139">
        <f>IF(ISBLANK(Table1[[#This Row],[Date]]),"",Table1[[#This Row],[Date]]-WEEKDAY(Table1[[#This Row],[Date]],2)+1)</f>
        <v>44543</v>
      </c>
      <c r="T84" s="140">
        <f>IF(ISBLANK(Table1[[#This Row],[Date]]),"",DATE(Table1[[#This Row],[Date_Year]],Table1[[#This Row],[Date_Month]],1))</f>
        <v>44531</v>
      </c>
    </row>
    <row r="85" spans="2:20" ht="15.75">
      <c r="B85" s="154">
        <v>44547</v>
      </c>
      <c r="C85" s="119" t="s">
        <v>679</v>
      </c>
      <c r="D85" s="119" t="s">
        <v>91</v>
      </c>
      <c r="E85" s="119"/>
      <c r="F85" s="155">
        <v>2.63</v>
      </c>
      <c r="G85" s="133" t="str">
        <f>_xlfn.XLOOKUP(Table1[[#This Row],[Account_ID]], Accounts[ID], Accounts[Account nickname], "Unknown")</f>
        <v>WF</v>
      </c>
      <c r="H85" s="134" t="str">
        <f>_xlfn.XLOOKUP(Table1[[#This Row],[Account_ID]], Accounts[ID], Accounts[Account'#], "Unknown")</f>
        <v>4636</v>
      </c>
      <c r="I85" s="135" t="str">
        <f>_xlfn.XLOOKUP(_xlfn.XLOOKUP(Table1[[#This Row],[Account]],Accounts[Account nickname],Accounts[Institution ID]),Institutions[ID],Institutions[Institution nickname],"Unknown")</f>
        <v>Wells Fargo</v>
      </c>
      <c r="J85" s="136" t="s">
        <v>823</v>
      </c>
      <c r="K85" s="137" t="s">
        <v>808</v>
      </c>
      <c r="L85" s="137" t="s">
        <v>807</v>
      </c>
      <c r="M8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fabfe582932d48b78ac2846c1ec3d43f</v>
      </c>
      <c r="N8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5" s="138" t="str" cm="1">
        <f t="array" ref="O85">IFERROR(INDEX(CategoriesTable[Category type],MATCH(Table1[[#This Row],[Category]],CategoriesTable[Category name],0),0),"")</f>
        <v>Expense</v>
      </c>
      <c r="P85" s="138">
        <v>17</v>
      </c>
      <c r="Q85" s="138">
        <f>MONTH(Table1[[#This Row],[Date]])</f>
        <v>12</v>
      </c>
      <c r="R85" s="138">
        <v>2021</v>
      </c>
      <c r="S85" s="139">
        <f>IF(ISBLANK(Table1[[#This Row],[Date]]),"",Table1[[#This Row],[Date]]-WEEKDAY(Table1[[#This Row],[Date]],2)+1)</f>
        <v>44543</v>
      </c>
      <c r="T85" s="140">
        <f>IF(ISBLANK(Table1[[#This Row],[Date]]),"",DATE(Table1[[#This Row],[Date_Year]],Table1[[#This Row],[Date_Month]],1))</f>
        <v>44531</v>
      </c>
    </row>
    <row r="86" spans="2:20" ht="15.75">
      <c r="B86" s="154">
        <v>44546</v>
      </c>
      <c r="C86" s="119" t="s">
        <v>920</v>
      </c>
      <c r="D86" s="119" t="s">
        <v>106</v>
      </c>
      <c r="E86" s="119" t="s">
        <v>178</v>
      </c>
      <c r="F86" s="155">
        <v>-18.27</v>
      </c>
      <c r="G86" s="133" t="str">
        <f>_xlfn.XLOOKUP(Table1[[#This Row],[Account_ID]], Accounts[ID], Accounts[Account nickname], "Unknown")</f>
        <v>Discover</v>
      </c>
      <c r="H86" s="134" t="str">
        <f>_xlfn.XLOOKUP(Table1[[#This Row],[Account_ID]], Accounts[ID], Accounts[Account'#], "Unknown")</f>
        <v>4618</v>
      </c>
      <c r="I86" s="135" t="str">
        <f>_xlfn.XLOOKUP(_xlfn.XLOOKUP(Table1[[#This Row],[Account]],Accounts[Account nickname],Accounts[Institution ID]),Institutions[ID],Institutions[Institution nickname],"Unknown")</f>
        <v>Discover</v>
      </c>
      <c r="J86" s="136" t="s">
        <v>921</v>
      </c>
      <c r="K86" s="137" t="s">
        <v>843</v>
      </c>
      <c r="L86" s="137" t="s">
        <v>841</v>
      </c>
      <c r="M8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3dafc6bd8d7c45ae9840ff09e01567d1</v>
      </c>
      <c r="N8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500e6ba7cba37a7a2a33da8c057b4cb8</v>
      </c>
      <c r="O86" s="138" t="str" cm="1">
        <f t="array" ref="O86">IFERROR(INDEX(CategoriesTable[Category type],MATCH(Table1[[#This Row],[Category]],CategoriesTable[Category name],0),0),"")</f>
        <v>Expense</v>
      </c>
      <c r="P86" s="138">
        <v>16</v>
      </c>
      <c r="Q86" s="138">
        <f>MONTH(Table1[[#This Row],[Date]])</f>
        <v>12</v>
      </c>
      <c r="R86" s="138">
        <v>2021</v>
      </c>
      <c r="S86" s="139">
        <f>IF(ISBLANK(Table1[[#This Row],[Date]]),"",Table1[[#This Row],[Date]]-WEEKDAY(Table1[[#This Row],[Date]],2)+1)</f>
        <v>44543</v>
      </c>
      <c r="T86" s="140">
        <f>IF(ISBLANK(Table1[[#This Row],[Date]]),"",DATE(Table1[[#This Row],[Date_Year]],Table1[[#This Row],[Date_Month]],1))</f>
        <v>44531</v>
      </c>
    </row>
    <row r="87" spans="2:20" ht="15.75">
      <c r="B87" s="154">
        <v>44546</v>
      </c>
      <c r="C87" s="119" t="s">
        <v>677</v>
      </c>
      <c r="D87" s="119" t="s">
        <v>91</v>
      </c>
      <c r="E87" s="119"/>
      <c r="F87" s="155">
        <v>1962.32</v>
      </c>
      <c r="G87" s="133" t="str">
        <f>_xlfn.XLOOKUP(Table1[[#This Row],[Account_ID]], Accounts[ID], Accounts[Account nickname], "Unknown")</f>
        <v>WF</v>
      </c>
      <c r="H87" s="134" t="str">
        <f>_xlfn.XLOOKUP(Table1[[#This Row],[Account_ID]], Accounts[ID], Accounts[Account'#], "Unknown")</f>
        <v>4636</v>
      </c>
      <c r="I87" s="135" t="str">
        <f>_xlfn.XLOOKUP(_xlfn.XLOOKUP(Table1[[#This Row],[Account]],Accounts[Account nickname],Accounts[Institution ID]),Institutions[ID],Institutions[Institution nickname],"Unknown")</f>
        <v>Wells Fargo</v>
      </c>
      <c r="J87" s="136" t="s">
        <v>826</v>
      </c>
      <c r="K87" s="137" t="s">
        <v>808</v>
      </c>
      <c r="L87" s="137" t="s">
        <v>807</v>
      </c>
      <c r="M8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fabfe582932d48b78ac2846c1ec3d43f</v>
      </c>
      <c r="N8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7" s="138" t="str" cm="1">
        <f t="array" ref="O87">IFERROR(INDEX(CategoriesTable[Category type],MATCH(Table1[[#This Row],[Category]],CategoriesTable[Category name],0),0),"")</f>
        <v>Expense</v>
      </c>
      <c r="P87" s="138">
        <v>16</v>
      </c>
      <c r="Q87" s="138">
        <f>MONTH(Table1[[#This Row],[Date]])</f>
        <v>12</v>
      </c>
      <c r="R87" s="138">
        <v>2021</v>
      </c>
      <c r="S87" s="139">
        <f>IF(ISBLANK(Table1[[#This Row],[Date]]),"",Table1[[#This Row],[Date]]-WEEKDAY(Table1[[#This Row],[Date]],2)+1)</f>
        <v>44543</v>
      </c>
      <c r="T87" s="140">
        <f>IF(ISBLANK(Table1[[#This Row],[Date]]),"",DATE(Table1[[#This Row],[Date_Year]],Table1[[#This Row],[Date_Month]],1))</f>
        <v>44531</v>
      </c>
    </row>
    <row r="88" spans="2:20" ht="15.75">
      <c r="B88" s="154">
        <v>44546</v>
      </c>
      <c r="C88" s="119" t="s">
        <v>928</v>
      </c>
      <c r="D88" s="119" t="s">
        <v>117</v>
      </c>
      <c r="E88" s="119" t="s">
        <v>138</v>
      </c>
      <c r="F88" s="155">
        <v>-28.16</v>
      </c>
      <c r="G88" s="133" t="str">
        <f>_xlfn.XLOOKUP(Table1[[#This Row],[Account_ID]], Accounts[ID], Accounts[Account nickname], "Unknown")</f>
        <v>Discover</v>
      </c>
      <c r="H88" s="134" t="str">
        <f>_xlfn.XLOOKUP(Table1[[#This Row],[Account_ID]], Accounts[ID], Accounts[Account'#], "Unknown")</f>
        <v>4618</v>
      </c>
      <c r="I88" s="135" t="str">
        <f>_xlfn.XLOOKUP(_xlfn.XLOOKUP(Table1[[#This Row],[Account]],Accounts[Account nickname],Accounts[Institution ID]),Institutions[ID],Institutions[Institution nickname],"Unknown")</f>
        <v>Discover</v>
      </c>
      <c r="J88" s="136" t="s">
        <v>929</v>
      </c>
      <c r="K88" s="137" t="s">
        <v>843</v>
      </c>
      <c r="L88" s="137" t="s">
        <v>841</v>
      </c>
      <c r="M8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fec746a44521f2118fef19237dbf4f91</v>
      </c>
      <c r="N8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3cb5eadf8ea949dc856ad904b2643f4c</v>
      </c>
      <c r="O88" s="138" t="str" cm="1">
        <f t="array" ref="O88">IFERROR(INDEX(CategoriesTable[Category type],MATCH(Table1[[#This Row],[Category]],CategoriesTable[Category name],0),0),"")</f>
        <v>Expense</v>
      </c>
      <c r="P88" s="138">
        <v>16</v>
      </c>
      <c r="Q88" s="138">
        <f>MONTH(Table1[[#This Row],[Date]])</f>
        <v>12</v>
      </c>
      <c r="R88" s="138">
        <v>2021</v>
      </c>
      <c r="S88" s="139">
        <f>IF(ISBLANK(Table1[[#This Row],[Date]]),"",Table1[[#This Row],[Date]]-WEEKDAY(Table1[[#This Row],[Date]],2)+1)</f>
        <v>44543</v>
      </c>
      <c r="T88" s="140">
        <f>IF(ISBLANK(Table1[[#This Row],[Date]]),"",DATE(Table1[[#This Row],[Date_Year]],Table1[[#This Row],[Date_Month]],1))</f>
        <v>44531</v>
      </c>
    </row>
    <row r="89" spans="2:20" ht="15.75">
      <c r="B89" s="154">
        <v>44546</v>
      </c>
      <c r="C89" s="119" t="s">
        <v>845</v>
      </c>
      <c r="D89" s="119" t="s">
        <v>3474</v>
      </c>
      <c r="E89" s="119"/>
      <c r="F89" s="155">
        <v>1500</v>
      </c>
      <c r="G89" s="133" t="str">
        <f>_xlfn.XLOOKUP(Table1[[#This Row],[Account_ID]], Accounts[ID], Accounts[Account nickname], "Unknown")</f>
        <v>Discover</v>
      </c>
      <c r="H89" s="134" t="str">
        <f>_xlfn.XLOOKUP(Table1[[#This Row],[Account_ID]], Accounts[ID], Accounts[Account'#], "Unknown")</f>
        <v>4618</v>
      </c>
      <c r="I89" s="135" t="str">
        <f>_xlfn.XLOOKUP(_xlfn.XLOOKUP(Table1[[#This Row],[Account]],Accounts[Account nickname],Accounts[Institution ID]),Institutions[ID],Institutions[Institution nickname],"Unknown")</f>
        <v>Discover</v>
      </c>
      <c r="J89" s="136" t="s">
        <v>924</v>
      </c>
      <c r="K89" s="137" t="s">
        <v>843</v>
      </c>
      <c r="L89" s="137" t="s">
        <v>841</v>
      </c>
      <c r="M8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1c99e2ba30f14dbfb79dfa7d009e0924</v>
      </c>
      <c r="N8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9" s="138" t="str" cm="1">
        <f t="array" ref="O89">IFERROR(INDEX(CategoriesTable[Category type],MATCH(Table1[[#This Row],[Category]],CategoriesTable[Category name],0),0),"")</f>
        <v>Expense</v>
      </c>
      <c r="P89" s="138">
        <v>16</v>
      </c>
      <c r="Q89" s="138">
        <f>MONTH(Table1[[#This Row],[Date]])</f>
        <v>12</v>
      </c>
      <c r="R89" s="138">
        <v>2021</v>
      </c>
      <c r="S89" s="139">
        <f>IF(ISBLANK(Table1[[#This Row],[Date]]),"",Table1[[#This Row],[Date]]-WEEKDAY(Table1[[#This Row],[Date]],2)+1)</f>
        <v>44543</v>
      </c>
      <c r="T89" s="140">
        <f>IF(ISBLANK(Table1[[#This Row],[Date]]),"",DATE(Table1[[#This Row],[Date_Year]],Table1[[#This Row],[Date_Month]],1))</f>
        <v>44531</v>
      </c>
    </row>
    <row r="90" spans="2:20" ht="15.75">
      <c r="B90" s="154">
        <v>44546</v>
      </c>
      <c r="C90" s="119" t="s">
        <v>686</v>
      </c>
      <c r="D90" s="119" t="s">
        <v>99</v>
      </c>
      <c r="E90" s="119"/>
      <c r="F90" s="155">
        <v>-1500</v>
      </c>
      <c r="G90" s="133" t="str">
        <f>_xlfn.XLOOKUP(Table1[[#This Row],[Account_ID]], Accounts[ID], Accounts[Account nickname], "Unknown")</f>
        <v>WF</v>
      </c>
      <c r="H90" s="134" t="str">
        <f>_xlfn.XLOOKUP(Table1[[#This Row],[Account_ID]], Accounts[ID], Accounts[Account'#], "Unknown")</f>
        <v>4636</v>
      </c>
      <c r="I90" s="135" t="str">
        <f>_xlfn.XLOOKUP(_xlfn.XLOOKUP(Table1[[#This Row],[Account]],Accounts[Account nickname],Accounts[Institution ID]),Institutions[ID],Institutions[Institution nickname],"Unknown")</f>
        <v>Wells Fargo</v>
      </c>
      <c r="J90" s="136" t="s">
        <v>825</v>
      </c>
      <c r="K90" s="137" t="s">
        <v>808</v>
      </c>
      <c r="L90" s="137" t="s">
        <v>807</v>
      </c>
      <c r="M9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6385c1768b814d3d89087c436c9cab15</v>
      </c>
      <c r="N9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0" s="138" t="str" cm="1">
        <f t="array" ref="O90">IFERROR(INDEX(CategoriesTable[Category type],MATCH(Table1[[#This Row],[Category]],CategoriesTable[Category name],0),0),"")</f>
        <v>Expense</v>
      </c>
      <c r="P90" s="138">
        <v>16</v>
      </c>
      <c r="Q90" s="138">
        <f>MONTH(Table1[[#This Row],[Date]])</f>
        <v>12</v>
      </c>
      <c r="R90" s="138">
        <v>2021</v>
      </c>
      <c r="S90" s="139">
        <f>IF(ISBLANK(Table1[[#This Row],[Date]]),"",Table1[[#This Row],[Date]]-WEEKDAY(Table1[[#This Row],[Date]],2)+1)</f>
        <v>44543</v>
      </c>
      <c r="T90" s="140">
        <f>IF(ISBLANK(Table1[[#This Row],[Date]]),"",DATE(Table1[[#This Row],[Date_Year]],Table1[[#This Row],[Date_Month]],1))</f>
        <v>44531</v>
      </c>
    </row>
    <row r="91" spans="2:20" ht="15.75">
      <c r="B91" s="154">
        <v>44546</v>
      </c>
      <c r="C91" s="119" t="s">
        <v>925</v>
      </c>
      <c r="D91" s="119" t="s">
        <v>106</v>
      </c>
      <c r="E91" s="119" t="s">
        <v>178</v>
      </c>
      <c r="F91" s="155">
        <v>-9.61</v>
      </c>
      <c r="G91" s="133" t="str">
        <f>_xlfn.XLOOKUP(Table1[[#This Row],[Account_ID]], Accounts[ID], Accounts[Account nickname], "Unknown")</f>
        <v>Discover</v>
      </c>
      <c r="H91" s="134" t="str">
        <f>_xlfn.XLOOKUP(Table1[[#This Row],[Account_ID]], Accounts[ID], Accounts[Account'#], "Unknown")</f>
        <v>4618</v>
      </c>
      <c r="I91" s="135" t="str">
        <f>_xlfn.XLOOKUP(_xlfn.XLOOKUP(Table1[[#This Row],[Account]],Accounts[Account nickname],Accounts[Institution ID]),Institutions[ID],Institutions[Institution nickname],"Unknown")</f>
        <v>Discover</v>
      </c>
      <c r="J91" s="136" t="s">
        <v>926</v>
      </c>
      <c r="K91" s="137" t="s">
        <v>843</v>
      </c>
      <c r="L91" s="137" t="s">
        <v>841</v>
      </c>
      <c r="M9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3dafc6bd8d7c45ae9840ff09e01567d1</v>
      </c>
      <c r="N9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500e6ba7cba37a7a2a33da8c057b4cb8</v>
      </c>
      <c r="O91" s="138" t="str" cm="1">
        <f t="array" ref="O91">IFERROR(INDEX(CategoriesTable[Category type],MATCH(Table1[[#This Row],[Category]],CategoriesTable[Category name],0),0),"")</f>
        <v>Expense</v>
      </c>
      <c r="P91" s="138">
        <v>16</v>
      </c>
      <c r="Q91" s="138">
        <f>MONTH(Table1[[#This Row],[Date]])</f>
        <v>12</v>
      </c>
      <c r="R91" s="138">
        <v>2021</v>
      </c>
      <c r="S91" s="139">
        <f>IF(ISBLANK(Table1[[#This Row],[Date]]),"",Table1[[#This Row],[Date]]-WEEKDAY(Table1[[#This Row],[Date]],2)+1)</f>
        <v>44543</v>
      </c>
      <c r="T91" s="140">
        <f>IF(ISBLANK(Table1[[#This Row],[Date]]),"",DATE(Table1[[#This Row],[Date_Year]],Table1[[#This Row],[Date_Month]],1))</f>
        <v>44531</v>
      </c>
    </row>
    <row r="92" spans="2:20" ht="15.75">
      <c r="B92" s="154">
        <v>44546</v>
      </c>
      <c r="C92" s="119" t="s">
        <v>922</v>
      </c>
      <c r="D92" s="119" t="s">
        <v>122</v>
      </c>
      <c r="E92" s="119"/>
      <c r="F92" s="155">
        <v>-42.19</v>
      </c>
      <c r="G92" s="133" t="str">
        <f>_xlfn.XLOOKUP(Table1[[#This Row],[Account_ID]], Accounts[ID], Accounts[Account nickname], "Unknown")</f>
        <v>Discover</v>
      </c>
      <c r="H92" s="134" t="str">
        <f>_xlfn.XLOOKUP(Table1[[#This Row],[Account_ID]], Accounts[ID], Accounts[Account'#], "Unknown")</f>
        <v>4618</v>
      </c>
      <c r="I92" s="135" t="str">
        <f>_xlfn.XLOOKUP(_xlfn.XLOOKUP(Table1[[#This Row],[Account]],Accounts[Account nickname],Accounts[Institution ID]),Institutions[ID],Institutions[Institution nickname],"Unknown")</f>
        <v>Discover</v>
      </c>
      <c r="J92" s="136" t="s">
        <v>923</v>
      </c>
      <c r="K92" s="137" t="s">
        <v>843</v>
      </c>
      <c r="L92" s="137" t="s">
        <v>841</v>
      </c>
      <c r="M9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f9fd776a16da81a948d166fcd5952d14</v>
      </c>
      <c r="N9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2" s="138" t="str" cm="1">
        <f t="array" ref="O92">IFERROR(INDEX(CategoriesTable[Category type],MATCH(Table1[[#This Row],[Category]],CategoriesTable[Category name],0),0),"")</f>
        <v>Expense</v>
      </c>
      <c r="P92" s="138">
        <v>16</v>
      </c>
      <c r="Q92" s="138">
        <f>MONTH(Table1[[#This Row],[Date]])</f>
        <v>12</v>
      </c>
      <c r="R92" s="138">
        <v>2021</v>
      </c>
      <c r="S92" s="139">
        <f>IF(ISBLANK(Table1[[#This Row],[Date]]),"",Table1[[#This Row],[Date]]-WEEKDAY(Table1[[#This Row],[Date]],2)+1)</f>
        <v>44543</v>
      </c>
      <c r="T92" s="140">
        <f>IF(ISBLANK(Table1[[#This Row],[Date]]),"",DATE(Table1[[#This Row],[Date_Year]],Table1[[#This Row],[Date_Month]],1))</f>
        <v>44531</v>
      </c>
    </row>
    <row r="93" spans="2:20" ht="15.75">
      <c r="B93" s="154">
        <v>44546</v>
      </c>
      <c r="C93" s="119" t="s">
        <v>857</v>
      </c>
      <c r="D93" s="119" t="s">
        <v>106</v>
      </c>
      <c r="E93" s="119" t="s">
        <v>178</v>
      </c>
      <c r="F93" s="155">
        <v>-12.83</v>
      </c>
      <c r="G93" s="133" t="str">
        <f>_xlfn.XLOOKUP(Table1[[#This Row],[Account_ID]], Accounts[ID], Accounts[Account nickname], "Unknown")</f>
        <v>Discover</v>
      </c>
      <c r="H93" s="134" t="str">
        <f>_xlfn.XLOOKUP(Table1[[#This Row],[Account_ID]], Accounts[ID], Accounts[Account'#], "Unknown")</f>
        <v>4618</v>
      </c>
      <c r="I93" s="135" t="str">
        <f>_xlfn.XLOOKUP(_xlfn.XLOOKUP(Table1[[#This Row],[Account]],Accounts[Account nickname],Accounts[Institution ID]),Institutions[ID],Institutions[Institution nickname],"Unknown")</f>
        <v>Discover</v>
      </c>
      <c r="J93" s="136" t="s">
        <v>927</v>
      </c>
      <c r="K93" s="137" t="s">
        <v>843</v>
      </c>
      <c r="L93" s="137" t="s">
        <v>841</v>
      </c>
      <c r="M9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3dafc6bd8d7c45ae9840ff09e01567d1</v>
      </c>
      <c r="N9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500e6ba7cba37a7a2a33da8c057b4cb8</v>
      </c>
      <c r="O93" s="138" t="str" cm="1">
        <f t="array" ref="O93">IFERROR(INDEX(CategoriesTable[Category type],MATCH(Table1[[#This Row],[Category]],CategoriesTable[Category name],0),0),"")</f>
        <v>Expense</v>
      </c>
      <c r="P93" s="138">
        <v>16</v>
      </c>
      <c r="Q93" s="138">
        <f>MONTH(Table1[[#This Row],[Date]])</f>
        <v>12</v>
      </c>
      <c r="R93" s="138">
        <v>2021</v>
      </c>
      <c r="S93" s="139">
        <f>IF(ISBLANK(Table1[[#This Row],[Date]]),"",Table1[[#This Row],[Date]]-WEEKDAY(Table1[[#This Row],[Date]],2)+1)</f>
        <v>44543</v>
      </c>
      <c r="T93" s="140">
        <f>IF(ISBLANK(Table1[[#This Row],[Date]]),"",DATE(Table1[[#This Row],[Date_Year]],Table1[[#This Row],[Date_Month]],1))</f>
        <v>44531</v>
      </c>
    </row>
    <row r="94" spans="2:20" ht="15.75">
      <c r="B94" s="154">
        <v>44546</v>
      </c>
      <c r="C94" s="119" t="s">
        <v>1377</v>
      </c>
      <c r="D94" s="119" t="s">
        <v>99</v>
      </c>
      <c r="E94" s="119"/>
      <c r="F94" s="155">
        <v>476</v>
      </c>
      <c r="G94" s="133" t="str">
        <f>_xlfn.XLOOKUP(Table1[[#This Row],[Account_ID]], Accounts[ID], Accounts[Account nickname], "Unknown")</f>
        <v>BB</v>
      </c>
      <c r="H94" s="134" t="str">
        <f>_xlfn.XLOOKUP(Table1[[#This Row],[Account_ID]], Accounts[ID], Accounts[Account'#], "Unknown")</f>
        <v>4561</v>
      </c>
      <c r="I94" s="135" t="str">
        <f>_xlfn.XLOOKUP(_xlfn.XLOOKUP(Table1[[#This Row],[Account]],Accounts[Account nickname],Accounts[Institution ID]),Institutions[ID],Institutions[Institution nickname],"Unknown")</f>
        <v>Best Buy - Citi Card</v>
      </c>
      <c r="J94" s="136" t="s">
        <v>1387</v>
      </c>
      <c r="K94" s="137" t="s">
        <v>1375</v>
      </c>
      <c r="L94" s="137" t="s">
        <v>1372</v>
      </c>
      <c r="M9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6385c1768b814d3d89087c436c9cab15</v>
      </c>
      <c r="N9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4" s="138" t="str" cm="1">
        <f t="array" ref="O94">IFERROR(INDEX(CategoriesTable[Category type],MATCH(Table1[[#This Row],[Category]],CategoriesTable[Category name],0),0),"")</f>
        <v>Expense</v>
      </c>
      <c r="P94" s="138">
        <v>16</v>
      </c>
      <c r="Q94" s="138">
        <f>MONTH(Table1[[#This Row],[Date]])</f>
        <v>12</v>
      </c>
      <c r="R94" s="138">
        <v>2021</v>
      </c>
      <c r="S94" s="139">
        <f>IF(ISBLANK(Table1[[#This Row],[Date]]),"",Table1[[#This Row],[Date]]-WEEKDAY(Table1[[#This Row],[Date]],2)+1)</f>
        <v>44543</v>
      </c>
      <c r="T94" s="140">
        <f>IF(ISBLANK(Table1[[#This Row],[Date]]),"",DATE(Table1[[#This Row],[Date_Year]],Table1[[#This Row],[Date_Month]],1))</f>
        <v>44531</v>
      </c>
    </row>
    <row r="95" spans="2:20" ht="15.75">
      <c r="B95" s="154">
        <v>44545</v>
      </c>
      <c r="C95" s="119" t="s">
        <v>676</v>
      </c>
      <c r="D95" s="119" t="s">
        <v>91</v>
      </c>
      <c r="E95" s="119"/>
      <c r="F95" s="155">
        <v>100</v>
      </c>
      <c r="G95" s="133" t="str">
        <f>_xlfn.XLOOKUP(Table1[[#This Row],[Account_ID]], Accounts[ID], Accounts[Account nickname], "Unknown")</f>
        <v>WF</v>
      </c>
      <c r="H95" s="134" t="str">
        <f>_xlfn.XLOOKUP(Table1[[#This Row],[Account_ID]], Accounts[ID], Accounts[Account'#], "Unknown")</f>
        <v>4636</v>
      </c>
      <c r="I95" s="135" t="str">
        <f>_xlfn.XLOOKUP(_xlfn.XLOOKUP(Table1[[#This Row],[Account]],Accounts[Account nickname],Accounts[Institution ID]),Institutions[ID],Institutions[Institution nickname],"Unknown")</f>
        <v>Wells Fargo</v>
      </c>
      <c r="J95" s="136" t="s">
        <v>827</v>
      </c>
      <c r="K95" s="137" t="s">
        <v>808</v>
      </c>
      <c r="L95" s="137" t="s">
        <v>807</v>
      </c>
      <c r="M9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fabfe582932d48b78ac2846c1ec3d43f</v>
      </c>
      <c r="N9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5" s="138" t="str" cm="1">
        <f t="array" ref="O95">IFERROR(INDEX(CategoriesTable[Category type],MATCH(Table1[[#This Row],[Category]],CategoriesTable[Category name],0),0),"")</f>
        <v>Expense</v>
      </c>
      <c r="P95" s="138">
        <v>15</v>
      </c>
      <c r="Q95" s="138">
        <f>MONTH(Table1[[#This Row],[Date]])</f>
        <v>12</v>
      </c>
      <c r="R95" s="138">
        <v>2021</v>
      </c>
      <c r="S95" s="139">
        <f>IF(ISBLANK(Table1[[#This Row],[Date]]),"",Table1[[#This Row],[Date]]-WEEKDAY(Table1[[#This Row],[Date]],2)+1)</f>
        <v>44543</v>
      </c>
      <c r="T95" s="140">
        <f>IF(ISBLANK(Table1[[#This Row],[Date]]),"",DATE(Table1[[#This Row],[Date_Year]],Table1[[#This Row],[Date_Month]],1))</f>
        <v>44531</v>
      </c>
    </row>
    <row r="96" spans="2:20" ht="15.75">
      <c r="B96" s="154">
        <v>44544</v>
      </c>
      <c r="C96" s="119" t="s">
        <v>857</v>
      </c>
      <c r="D96" s="119" t="s">
        <v>106</v>
      </c>
      <c r="E96" s="119" t="s">
        <v>178</v>
      </c>
      <c r="F96" s="155">
        <v>-13</v>
      </c>
      <c r="G96" s="133" t="str">
        <f>_xlfn.XLOOKUP(Table1[[#This Row],[Account_ID]], Accounts[ID], Accounts[Account nickname], "Unknown")</f>
        <v>Discover</v>
      </c>
      <c r="H96" s="134" t="str">
        <f>_xlfn.XLOOKUP(Table1[[#This Row],[Account_ID]], Accounts[ID], Accounts[Account'#], "Unknown")</f>
        <v>4618</v>
      </c>
      <c r="I96" s="135" t="str">
        <f>_xlfn.XLOOKUP(_xlfn.XLOOKUP(Table1[[#This Row],[Account]],Accounts[Account nickname],Accounts[Institution ID]),Institutions[ID],Institutions[Institution nickname],"Unknown")</f>
        <v>Discover</v>
      </c>
      <c r="J96" s="136" t="s">
        <v>930</v>
      </c>
      <c r="K96" s="137" t="s">
        <v>843</v>
      </c>
      <c r="L96" s="137" t="s">
        <v>841</v>
      </c>
      <c r="M9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3dafc6bd8d7c45ae9840ff09e01567d1</v>
      </c>
      <c r="N9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500e6ba7cba37a7a2a33da8c057b4cb8</v>
      </c>
      <c r="O96" s="138" t="str" cm="1">
        <f t="array" ref="O96">IFERROR(INDEX(CategoriesTable[Category type],MATCH(Table1[[#This Row],[Category]],CategoriesTable[Category name],0),0),"")</f>
        <v>Expense</v>
      </c>
      <c r="P96" s="138">
        <v>14</v>
      </c>
      <c r="Q96" s="138">
        <f>MONTH(Table1[[#This Row],[Date]])</f>
        <v>12</v>
      </c>
      <c r="R96" s="138">
        <v>2021</v>
      </c>
      <c r="S96" s="139">
        <f>IF(ISBLANK(Table1[[#This Row],[Date]]),"",Table1[[#This Row],[Date]]-WEEKDAY(Table1[[#This Row],[Date]],2)+1)</f>
        <v>44543</v>
      </c>
      <c r="T96" s="140">
        <f>IF(ISBLANK(Table1[[#This Row],[Date]]),"",DATE(Table1[[#This Row],[Date_Year]],Table1[[#This Row],[Date_Month]],1))</f>
        <v>44531</v>
      </c>
    </row>
    <row r="97" spans="2:20" ht="15.75">
      <c r="B97" s="154">
        <v>44544</v>
      </c>
      <c r="C97" s="119" t="s">
        <v>687</v>
      </c>
      <c r="D97" s="119" t="s">
        <v>3472</v>
      </c>
      <c r="E97" s="119" t="s">
        <v>141</v>
      </c>
      <c r="F97" s="155">
        <v>-121.03</v>
      </c>
      <c r="G97" s="133" t="str">
        <f>_xlfn.XLOOKUP(Table1[[#This Row],[Account_ID]], Accounts[ID], Accounts[Account nickname], "Unknown")</f>
        <v>WF</v>
      </c>
      <c r="H97" s="134" t="str">
        <f>_xlfn.XLOOKUP(Table1[[#This Row],[Account_ID]], Accounts[ID], Accounts[Account'#], "Unknown")</f>
        <v>4636</v>
      </c>
      <c r="I97" s="135" t="str">
        <f>_xlfn.XLOOKUP(_xlfn.XLOOKUP(Table1[[#This Row],[Account]],Accounts[Account nickname],Accounts[Institution ID]),Institutions[ID],Institutions[Institution nickname],"Unknown")</f>
        <v>Wells Fargo</v>
      </c>
      <c r="J97" s="136" t="s">
        <v>828</v>
      </c>
      <c r="K97" s="137" t="s">
        <v>808</v>
      </c>
      <c r="L97" s="137" t="s">
        <v>807</v>
      </c>
      <c r="M9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e652020e73ca21c507fb0132026987b5</v>
      </c>
      <c r="N9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2e3863b690eca5456390506db380e5d3</v>
      </c>
      <c r="O97" s="138" t="str" cm="1">
        <f t="array" ref="O97">IFERROR(INDEX(CategoriesTable[Category type],MATCH(Table1[[#This Row],[Category]],CategoriesTable[Category name],0),0),"")</f>
        <v>Expense</v>
      </c>
      <c r="P97" s="138">
        <v>14</v>
      </c>
      <c r="Q97" s="138">
        <f>MONTH(Table1[[#This Row],[Date]])</f>
        <v>12</v>
      </c>
      <c r="R97" s="138">
        <v>2021</v>
      </c>
      <c r="S97" s="139">
        <f>IF(ISBLANK(Table1[[#This Row],[Date]]),"",Table1[[#This Row],[Date]]-WEEKDAY(Table1[[#This Row],[Date]],2)+1)</f>
        <v>44543</v>
      </c>
      <c r="T97" s="140">
        <f>IF(ISBLANK(Table1[[#This Row],[Date]]),"",DATE(Table1[[#This Row],[Date_Year]],Table1[[#This Row],[Date_Month]],1))</f>
        <v>44531</v>
      </c>
    </row>
    <row r="98" spans="2:20" ht="15.75">
      <c r="B98" s="154">
        <v>44543</v>
      </c>
      <c r="C98" s="119" t="s">
        <v>936</v>
      </c>
      <c r="D98" s="119" t="s">
        <v>122</v>
      </c>
      <c r="E98" s="119"/>
      <c r="F98" s="155">
        <v>-9.01</v>
      </c>
      <c r="G98" s="133" t="str">
        <f>_xlfn.XLOOKUP(Table1[[#This Row],[Account_ID]], Accounts[ID], Accounts[Account nickname], "Unknown")</f>
        <v>Discover</v>
      </c>
      <c r="H98" s="134" t="str">
        <f>_xlfn.XLOOKUP(Table1[[#This Row],[Account_ID]], Accounts[ID], Accounts[Account'#], "Unknown")</f>
        <v>4618</v>
      </c>
      <c r="I98" s="135" t="str">
        <f>_xlfn.XLOOKUP(_xlfn.XLOOKUP(Table1[[#This Row],[Account]],Accounts[Account nickname],Accounts[Institution ID]),Institutions[ID],Institutions[Institution nickname],"Unknown")</f>
        <v>Discover</v>
      </c>
      <c r="J98" s="136" t="s">
        <v>937</v>
      </c>
      <c r="K98" s="137" t="s">
        <v>843</v>
      </c>
      <c r="L98" s="137" t="s">
        <v>841</v>
      </c>
      <c r="M9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f9fd776a16da81a948d166fcd5952d14</v>
      </c>
      <c r="N9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8" s="138" t="str" cm="1">
        <f t="array" ref="O98">IFERROR(INDEX(CategoriesTable[Category type],MATCH(Table1[[#This Row],[Category]],CategoriesTable[Category name],0),0),"")</f>
        <v>Expense</v>
      </c>
      <c r="P98" s="138">
        <v>13</v>
      </c>
      <c r="Q98" s="138">
        <f>MONTH(Table1[[#This Row],[Date]])</f>
        <v>12</v>
      </c>
      <c r="R98" s="138">
        <v>2021</v>
      </c>
      <c r="S98" s="139">
        <f>IF(ISBLANK(Table1[[#This Row],[Date]]),"",Table1[[#This Row],[Date]]-WEEKDAY(Table1[[#This Row],[Date]],2)+1)</f>
        <v>44543</v>
      </c>
      <c r="T98" s="140">
        <f>IF(ISBLANK(Table1[[#This Row],[Date]]),"",DATE(Table1[[#This Row],[Date_Year]],Table1[[#This Row],[Date_Month]],1))</f>
        <v>44531</v>
      </c>
    </row>
    <row r="99" spans="2:20" ht="15.75">
      <c r="B99" s="154">
        <v>44543</v>
      </c>
      <c r="C99" s="119" t="s">
        <v>931</v>
      </c>
      <c r="D99" s="119" t="s">
        <v>123</v>
      </c>
      <c r="E99" s="119" t="s">
        <v>176</v>
      </c>
      <c r="F99" s="155">
        <v>-40</v>
      </c>
      <c r="G99" s="133" t="str">
        <f>_xlfn.XLOOKUP(Table1[[#This Row],[Account_ID]], Accounts[ID], Accounts[Account nickname], "Unknown")</f>
        <v>Discover</v>
      </c>
      <c r="H99" s="134" t="str">
        <f>_xlfn.XLOOKUP(Table1[[#This Row],[Account_ID]], Accounts[ID], Accounts[Account'#], "Unknown")</f>
        <v>4618</v>
      </c>
      <c r="I99" s="135" t="str">
        <f>_xlfn.XLOOKUP(_xlfn.XLOOKUP(Table1[[#This Row],[Account]],Accounts[Account nickname],Accounts[Institution ID]),Institutions[ID],Institutions[Institution nickname],"Unknown")</f>
        <v>Discover</v>
      </c>
      <c r="J99" s="136" t="s">
        <v>932</v>
      </c>
      <c r="K99" s="137" t="s">
        <v>843</v>
      </c>
      <c r="L99" s="137" t="s">
        <v>841</v>
      </c>
      <c r="M9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f870f35280fadaf3c3539ad54e3062cd</v>
      </c>
      <c r="N9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b33a143786e5accb584d33cda08d2b69</v>
      </c>
      <c r="O99" s="138" t="str" cm="1">
        <f t="array" ref="O99">IFERROR(INDEX(CategoriesTable[Category type],MATCH(Table1[[#This Row],[Category]],CategoriesTable[Category name],0),0),"")</f>
        <v>Expense</v>
      </c>
      <c r="P99" s="138">
        <v>13</v>
      </c>
      <c r="Q99" s="138">
        <f>MONTH(Table1[[#This Row],[Date]])</f>
        <v>12</v>
      </c>
      <c r="R99" s="138">
        <v>2021</v>
      </c>
      <c r="S99" s="139">
        <f>IF(ISBLANK(Table1[[#This Row],[Date]]),"",Table1[[#This Row],[Date]]-WEEKDAY(Table1[[#This Row],[Date]],2)+1)</f>
        <v>44543</v>
      </c>
      <c r="T99" s="140">
        <f>IF(ISBLANK(Table1[[#This Row],[Date]]),"",DATE(Table1[[#This Row],[Date_Year]],Table1[[#This Row],[Date_Month]],1))</f>
        <v>44531</v>
      </c>
    </row>
    <row r="100" spans="2:20" ht="15.75">
      <c r="B100" s="154">
        <v>44543</v>
      </c>
      <c r="C100" s="119" t="s">
        <v>718</v>
      </c>
      <c r="D100" s="119" t="s">
        <v>122</v>
      </c>
      <c r="E100" s="119"/>
      <c r="F100" s="155">
        <v>-13.97</v>
      </c>
      <c r="G100" s="133" t="str">
        <f>_xlfn.XLOOKUP(Table1[[#This Row],[Account_ID]], Accounts[ID], Accounts[Account nickname], "Unknown")</f>
        <v>Discover</v>
      </c>
      <c r="H100" s="134" t="str">
        <f>_xlfn.XLOOKUP(Table1[[#This Row],[Account_ID]], Accounts[ID], Accounts[Account'#], "Unknown")</f>
        <v>4618</v>
      </c>
      <c r="I100" s="135" t="str">
        <f>_xlfn.XLOOKUP(_xlfn.XLOOKUP(Table1[[#This Row],[Account]],Accounts[Account nickname],Accounts[Institution ID]),Institutions[ID],Institutions[Institution nickname],"Unknown")</f>
        <v>Discover</v>
      </c>
      <c r="J100" s="136" t="s">
        <v>935</v>
      </c>
      <c r="K100" s="137" t="s">
        <v>843</v>
      </c>
      <c r="L100" s="137" t="s">
        <v>841</v>
      </c>
      <c r="M10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f9fd776a16da81a948d166fcd5952d14</v>
      </c>
      <c r="N10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0" s="138" t="str" cm="1">
        <f t="array" ref="O100">IFERROR(INDEX(CategoriesTable[Category type],MATCH(Table1[[#This Row],[Category]],CategoriesTable[Category name],0),0),"")</f>
        <v>Expense</v>
      </c>
      <c r="P100" s="138">
        <v>13</v>
      </c>
      <c r="Q100" s="138">
        <f>MONTH(Table1[[#This Row],[Date]])</f>
        <v>12</v>
      </c>
      <c r="R100" s="138">
        <v>2021</v>
      </c>
      <c r="S100" s="139">
        <f>IF(ISBLANK(Table1[[#This Row],[Date]]),"",Table1[[#This Row],[Date]]-WEEKDAY(Table1[[#This Row],[Date]],2)+1)</f>
        <v>44543</v>
      </c>
      <c r="T100" s="140">
        <f>IF(ISBLANK(Table1[[#This Row],[Date]]),"",DATE(Table1[[#This Row],[Date_Year]],Table1[[#This Row],[Date_Month]],1))</f>
        <v>44531</v>
      </c>
    </row>
    <row r="101" spans="2:20" ht="15.75">
      <c r="B101" s="154">
        <v>44543</v>
      </c>
      <c r="C101" s="119" t="s">
        <v>688</v>
      </c>
      <c r="D101" s="119" t="s">
        <v>123</v>
      </c>
      <c r="E101" s="119" t="s">
        <v>177</v>
      </c>
      <c r="F101" s="155">
        <v>-1.99</v>
      </c>
      <c r="G101" s="133" t="str">
        <f>_xlfn.XLOOKUP(Table1[[#This Row],[Account_ID]], Accounts[ID], Accounts[Account nickname], "Unknown")</f>
        <v>WF</v>
      </c>
      <c r="H101" s="134" t="str">
        <f>_xlfn.XLOOKUP(Table1[[#This Row],[Account_ID]], Accounts[ID], Accounts[Account'#], "Unknown")</f>
        <v>4636</v>
      </c>
      <c r="I101" s="135" t="str">
        <f>_xlfn.XLOOKUP(_xlfn.XLOOKUP(Table1[[#This Row],[Account]],Accounts[Account nickname],Accounts[Institution ID]),Institutions[ID],Institutions[Institution nickname],"Unknown")</f>
        <v>Wells Fargo</v>
      </c>
      <c r="J101" s="136" t="s">
        <v>829</v>
      </c>
      <c r="K101" s="137" t="s">
        <v>808</v>
      </c>
      <c r="L101" s="137" t="s">
        <v>807</v>
      </c>
      <c r="M10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f870f35280fadaf3c3539ad54e3062cd</v>
      </c>
      <c r="N10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62ae30b53561aa5d303e08e4369dbfc3</v>
      </c>
      <c r="O101" s="138" t="str" cm="1">
        <f t="array" ref="O101">IFERROR(INDEX(CategoriesTable[Category type],MATCH(Table1[[#This Row],[Category]],CategoriesTable[Category name],0),0),"")</f>
        <v>Expense</v>
      </c>
      <c r="P101" s="138">
        <v>13</v>
      </c>
      <c r="Q101" s="138">
        <f>MONTH(Table1[[#This Row],[Date]])</f>
        <v>12</v>
      </c>
      <c r="R101" s="138">
        <v>2021</v>
      </c>
      <c r="S101" s="139">
        <f>IF(ISBLANK(Table1[[#This Row],[Date]]),"",Table1[[#This Row],[Date]]-WEEKDAY(Table1[[#This Row],[Date]],2)+1)</f>
        <v>44543</v>
      </c>
      <c r="T101" s="140">
        <f>IF(ISBLANK(Table1[[#This Row],[Date]]),"",DATE(Table1[[#This Row],[Date_Year]],Table1[[#This Row],[Date_Month]],1))</f>
        <v>44531</v>
      </c>
    </row>
    <row r="102" spans="2:20" ht="15.75">
      <c r="B102" s="154">
        <v>44543</v>
      </c>
      <c r="C102" s="119" t="s">
        <v>933</v>
      </c>
      <c r="D102" s="119" t="s">
        <v>120</v>
      </c>
      <c r="E102" s="119"/>
      <c r="F102" s="155">
        <v>-64.069999999999993</v>
      </c>
      <c r="G102" s="133" t="str">
        <f>_xlfn.XLOOKUP(Table1[[#This Row],[Account_ID]], Accounts[ID], Accounts[Account nickname], "Unknown")</f>
        <v>Discover</v>
      </c>
      <c r="H102" s="134" t="str">
        <f>_xlfn.XLOOKUP(Table1[[#This Row],[Account_ID]], Accounts[ID], Accounts[Account'#], "Unknown")</f>
        <v>4618</v>
      </c>
      <c r="I102" s="135" t="str">
        <f>_xlfn.XLOOKUP(_xlfn.XLOOKUP(Table1[[#This Row],[Account]],Accounts[Account nickname],Accounts[Institution ID]),Institutions[ID],Institutions[Institution nickname],"Unknown")</f>
        <v>Discover</v>
      </c>
      <c r="J102" s="136" t="s">
        <v>934</v>
      </c>
      <c r="K102" s="137" t="s">
        <v>843</v>
      </c>
      <c r="L102" s="137" t="s">
        <v>841</v>
      </c>
      <c r="M10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fb81ce070826aab24513c89fbfe939e9</v>
      </c>
      <c r="N10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2" s="138" t="str" cm="1">
        <f t="array" ref="O102">IFERROR(INDEX(CategoriesTable[Category type],MATCH(Table1[[#This Row],[Category]],CategoriesTable[Category name],0),0),"")</f>
        <v>Expense</v>
      </c>
      <c r="P102" s="138">
        <v>13</v>
      </c>
      <c r="Q102" s="138">
        <f>MONTH(Table1[[#This Row],[Date]])</f>
        <v>12</v>
      </c>
      <c r="R102" s="138">
        <v>2021</v>
      </c>
      <c r="S102" s="139">
        <f>IF(ISBLANK(Table1[[#This Row],[Date]]),"",Table1[[#This Row],[Date]]-WEEKDAY(Table1[[#This Row],[Date]],2)+1)</f>
        <v>44543</v>
      </c>
      <c r="T102" s="140">
        <f>IF(ISBLANK(Table1[[#This Row],[Date]]),"",DATE(Table1[[#This Row],[Date_Year]],Table1[[#This Row],[Date_Month]],1))</f>
        <v>44531</v>
      </c>
    </row>
    <row r="103" spans="2:20" ht="15.75">
      <c r="B103" s="154">
        <v>44542</v>
      </c>
      <c r="C103" s="119" t="s">
        <v>938</v>
      </c>
      <c r="D103" s="119" t="s">
        <v>123</v>
      </c>
      <c r="E103" s="119" t="s">
        <v>180</v>
      </c>
      <c r="F103" s="155">
        <v>-16</v>
      </c>
      <c r="G103" s="133" t="str">
        <f>_xlfn.XLOOKUP(Table1[[#This Row],[Account_ID]], Accounts[ID], Accounts[Account nickname], "Unknown")</f>
        <v>Discover</v>
      </c>
      <c r="H103" s="134" t="str">
        <f>_xlfn.XLOOKUP(Table1[[#This Row],[Account_ID]], Accounts[ID], Accounts[Account'#], "Unknown")</f>
        <v>4618</v>
      </c>
      <c r="I103" s="135" t="str">
        <f>_xlfn.XLOOKUP(_xlfn.XLOOKUP(Table1[[#This Row],[Account]],Accounts[Account nickname],Accounts[Institution ID]),Institutions[ID],Institutions[Institution nickname],"Unknown")</f>
        <v>Discover</v>
      </c>
      <c r="J103" s="136" t="s">
        <v>939</v>
      </c>
      <c r="K103" s="137" t="s">
        <v>843</v>
      </c>
      <c r="L103" s="137" t="s">
        <v>841</v>
      </c>
      <c r="M10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f870f35280fadaf3c3539ad54e3062cd</v>
      </c>
      <c r="N10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1fcecc85b1b9f6d55d8f29e397c285d4</v>
      </c>
      <c r="O103" s="138" t="str" cm="1">
        <f t="array" ref="O103">IFERROR(INDEX(CategoriesTable[Category type],MATCH(Table1[[#This Row],[Category]],CategoriesTable[Category name],0),0),"")</f>
        <v>Expense</v>
      </c>
      <c r="P103" s="138">
        <v>12</v>
      </c>
      <c r="Q103" s="138">
        <f>MONTH(Table1[[#This Row],[Date]])</f>
        <v>12</v>
      </c>
      <c r="R103" s="138">
        <v>2021</v>
      </c>
      <c r="S103" s="139">
        <f>IF(ISBLANK(Table1[[#This Row],[Date]]),"",Table1[[#This Row],[Date]]-WEEKDAY(Table1[[#This Row],[Date]],2)+1)</f>
        <v>44536</v>
      </c>
      <c r="T103" s="140">
        <f>IF(ISBLANK(Table1[[#This Row],[Date]]),"",DATE(Table1[[#This Row],[Date_Year]],Table1[[#This Row],[Date_Month]],1))</f>
        <v>44531</v>
      </c>
    </row>
    <row r="104" spans="2:20" ht="15.75">
      <c r="B104" s="154">
        <v>44542</v>
      </c>
      <c r="C104" s="119" t="s">
        <v>705</v>
      </c>
      <c r="D104" s="119" t="s">
        <v>106</v>
      </c>
      <c r="E104" s="119" t="s">
        <v>178</v>
      </c>
      <c r="F104" s="155">
        <v>-16.63</v>
      </c>
      <c r="G104" s="133" t="str">
        <f>_xlfn.XLOOKUP(Table1[[#This Row],[Account_ID]], Accounts[ID], Accounts[Account nickname], "Unknown")</f>
        <v>Discover</v>
      </c>
      <c r="H104" s="134" t="str">
        <f>_xlfn.XLOOKUP(Table1[[#This Row],[Account_ID]], Accounts[ID], Accounts[Account'#], "Unknown")</f>
        <v>4618</v>
      </c>
      <c r="I104" s="135" t="str">
        <f>_xlfn.XLOOKUP(_xlfn.XLOOKUP(Table1[[#This Row],[Account]],Accounts[Account nickname],Accounts[Institution ID]),Institutions[ID],Institutions[Institution nickname],"Unknown")</f>
        <v>Discover</v>
      </c>
      <c r="J104" s="136" t="s">
        <v>947</v>
      </c>
      <c r="K104" s="137" t="s">
        <v>843</v>
      </c>
      <c r="L104" s="137" t="s">
        <v>841</v>
      </c>
      <c r="M10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3dafc6bd8d7c45ae9840ff09e01567d1</v>
      </c>
      <c r="N10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500e6ba7cba37a7a2a33da8c057b4cb8</v>
      </c>
      <c r="O104" s="138" t="str" cm="1">
        <f t="array" ref="O104">IFERROR(INDEX(CategoriesTable[Category type],MATCH(Table1[[#This Row],[Category]],CategoriesTable[Category name],0),0),"")</f>
        <v>Expense</v>
      </c>
      <c r="P104" s="138">
        <v>12</v>
      </c>
      <c r="Q104" s="138">
        <f>MONTH(Table1[[#This Row],[Date]])</f>
        <v>12</v>
      </c>
      <c r="R104" s="138">
        <v>2021</v>
      </c>
      <c r="S104" s="139">
        <f>IF(ISBLANK(Table1[[#This Row],[Date]]),"",Table1[[#This Row],[Date]]-WEEKDAY(Table1[[#This Row],[Date]],2)+1)</f>
        <v>44536</v>
      </c>
      <c r="T104" s="140">
        <f>IF(ISBLANK(Table1[[#This Row],[Date]]),"",DATE(Table1[[#This Row],[Date_Year]],Table1[[#This Row],[Date_Month]],1))</f>
        <v>44531</v>
      </c>
    </row>
    <row r="105" spans="2:20" ht="15.75">
      <c r="B105" s="154">
        <v>44542</v>
      </c>
      <c r="C105" s="119" t="s">
        <v>942</v>
      </c>
      <c r="D105" s="119" t="s">
        <v>106</v>
      </c>
      <c r="E105" s="119" t="s">
        <v>178</v>
      </c>
      <c r="F105" s="155">
        <v>-9.99</v>
      </c>
      <c r="G105" s="133" t="str">
        <f>_xlfn.XLOOKUP(Table1[[#This Row],[Account_ID]], Accounts[ID], Accounts[Account nickname], "Unknown")</f>
        <v>Discover</v>
      </c>
      <c r="H105" s="134" t="str">
        <f>_xlfn.XLOOKUP(Table1[[#This Row],[Account_ID]], Accounts[ID], Accounts[Account'#], "Unknown")</f>
        <v>4618</v>
      </c>
      <c r="I105" s="135" t="str">
        <f>_xlfn.XLOOKUP(_xlfn.XLOOKUP(Table1[[#This Row],[Account]],Accounts[Account nickname],Accounts[Institution ID]),Institutions[ID],Institutions[Institution nickname],"Unknown")</f>
        <v>Discover</v>
      </c>
      <c r="J105" s="136" t="s">
        <v>943</v>
      </c>
      <c r="K105" s="137" t="s">
        <v>843</v>
      </c>
      <c r="L105" s="137" t="s">
        <v>841</v>
      </c>
      <c r="M10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3dafc6bd8d7c45ae9840ff09e01567d1</v>
      </c>
      <c r="N10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500e6ba7cba37a7a2a33da8c057b4cb8</v>
      </c>
      <c r="O105" s="138" t="str" cm="1">
        <f t="array" ref="O105">IFERROR(INDEX(CategoriesTable[Category type],MATCH(Table1[[#This Row],[Category]],CategoriesTable[Category name],0),0),"")</f>
        <v>Expense</v>
      </c>
      <c r="P105" s="138">
        <v>12</v>
      </c>
      <c r="Q105" s="138">
        <f>MONTH(Table1[[#This Row],[Date]])</f>
        <v>12</v>
      </c>
      <c r="R105" s="138">
        <v>2021</v>
      </c>
      <c r="S105" s="139">
        <f>IF(ISBLANK(Table1[[#This Row],[Date]]),"",Table1[[#This Row],[Date]]-WEEKDAY(Table1[[#This Row],[Date]],2)+1)</f>
        <v>44536</v>
      </c>
      <c r="T105" s="140">
        <f>IF(ISBLANK(Table1[[#This Row],[Date]]),"",DATE(Table1[[#This Row],[Date_Year]],Table1[[#This Row],[Date_Month]],1))</f>
        <v>44531</v>
      </c>
    </row>
    <row r="106" spans="2:20" ht="15.75">
      <c r="B106" s="154">
        <v>44542</v>
      </c>
      <c r="C106" s="119" t="s">
        <v>940</v>
      </c>
      <c r="D106" s="119" t="s">
        <v>122</v>
      </c>
      <c r="E106" s="119"/>
      <c r="F106" s="155">
        <v>-74.930000000000007</v>
      </c>
      <c r="G106" s="133" t="str">
        <f>_xlfn.XLOOKUP(Table1[[#This Row],[Account_ID]], Accounts[ID], Accounts[Account nickname], "Unknown")</f>
        <v>Discover</v>
      </c>
      <c r="H106" s="134" t="str">
        <f>_xlfn.XLOOKUP(Table1[[#This Row],[Account_ID]], Accounts[ID], Accounts[Account'#], "Unknown")</f>
        <v>4618</v>
      </c>
      <c r="I106" s="135" t="str">
        <f>_xlfn.XLOOKUP(_xlfn.XLOOKUP(Table1[[#This Row],[Account]],Accounts[Account nickname],Accounts[Institution ID]),Institutions[ID],Institutions[Institution nickname],"Unknown")</f>
        <v>Discover</v>
      </c>
      <c r="J106" s="136" t="s">
        <v>941</v>
      </c>
      <c r="K106" s="137" t="s">
        <v>843</v>
      </c>
      <c r="L106" s="137" t="s">
        <v>841</v>
      </c>
      <c r="M10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f9fd776a16da81a948d166fcd5952d14</v>
      </c>
      <c r="N10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6" s="138" t="str" cm="1">
        <f t="array" ref="O106">IFERROR(INDEX(CategoriesTable[Category type],MATCH(Table1[[#This Row],[Category]],CategoriesTable[Category name],0),0),"")</f>
        <v>Expense</v>
      </c>
      <c r="P106" s="138">
        <v>12</v>
      </c>
      <c r="Q106" s="138">
        <f>MONTH(Table1[[#This Row],[Date]])</f>
        <v>12</v>
      </c>
      <c r="R106" s="138">
        <v>2021</v>
      </c>
      <c r="S106" s="139">
        <f>IF(ISBLANK(Table1[[#This Row],[Date]]),"",Table1[[#This Row],[Date]]-WEEKDAY(Table1[[#This Row],[Date]],2)+1)</f>
        <v>44536</v>
      </c>
      <c r="T106" s="140">
        <f>IF(ISBLANK(Table1[[#This Row],[Date]]),"",DATE(Table1[[#This Row],[Date_Year]],Table1[[#This Row],[Date_Month]],1))</f>
        <v>44531</v>
      </c>
    </row>
    <row r="107" spans="2:20" ht="15.75">
      <c r="B107" s="154">
        <v>44542</v>
      </c>
      <c r="C107" s="119" t="s">
        <v>944</v>
      </c>
      <c r="D107" s="119" t="s">
        <v>122</v>
      </c>
      <c r="E107" s="119"/>
      <c r="F107" s="155">
        <v>-16.100000000000001</v>
      </c>
      <c r="G107" s="133" t="str">
        <f>_xlfn.XLOOKUP(Table1[[#This Row],[Account_ID]], Accounts[ID], Accounts[Account nickname], "Unknown")</f>
        <v>Discover</v>
      </c>
      <c r="H107" s="134" t="str">
        <f>_xlfn.XLOOKUP(Table1[[#This Row],[Account_ID]], Accounts[ID], Accounts[Account'#], "Unknown")</f>
        <v>4618</v>
      </c>
      <c r="I107" s="135" t="str">
        <f>_xlfn.XLOOKUP(_xlfn.XLOOKUP(Table1[[#This Row],[Account]],Accounts[Account nickname],Accounts[Institution ID]),Institutions[ID],Institutions[Institution nickname],"Unknown")</f>
        <v>Discover</v>
      </c>
      <c r="J107" s="136" t="s">
        <v>945</v>
      </c>
      <c r="K107" s="137" t="s">
        <v>843</v>
      </c>
      <c r="L107" s="137" t="s">
        <v>841</v>
      </c>
      <c r="M10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f9fd776a16da81a948d166fcd5952d14</v>
      </c>
      <c r="N10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7" s="138" t="str" cm="1">
        <f t="array" ref="O107">IFERROR(INDEX(CategoriesTable[Category type],MATCH(Table1[[#This Row],[Category]],CategoriesTable[Category name],0),0),"")</f>
        <v>Expense</v>
      </c>
      <c r="P107" s="138">
        <v>12</v>
      </c>
      <c r="Q107" s="138">
        <f>MONTH(Table1[[#This Row],[Date]])</f>
        <v>12</v>
      </c>
      <c r="R107" s="138">
        <v>2021</v>
      </c>
      <c r="S107" s="139">
        <f>IF(ISBLANK(Table1[[#This Row],[Date]]),"",Table1[[#This Row],[Date]]-WEEKDAY(Table1[[#This Row],[Date]],2)+1)</f>
        <v>44536</v>
      </c>
      <c r="T107" s="140">
        <f>IF(ISBLANK(Table1[[#This Row],[Date]]),"",DATE(Table1[[#This Row],[Date_Year]],Table1[[#This Row],[Date_Month]],1))</f>
        <v>44531</v>
      </c>
    </row>
    <row r="108" spans="2:20" ht="15.75">
      <c r="B108" s="154">
        <v>44542</v>
      </c>
      <c r="C108" s="119" t="s">
        <v>849</v>
      </c>
      <c r="D108" s="119" t="s">
        <v>106</v>
      </c>
      <c r="E108" s="119" t="s">
        <v>178</v>
      </c>
      <c r="F108" s="155">
        <v>-7.68</v>
      </c>
      <c r="G108" s="133" t="str">
        <f>_xlfn.XLOOKUP(Table1[[#This Row],[Account_ID]], Accounts[ID], Accounts[Account nickname], "Unknown")</f>
        <v>Discover</v>
      </c>
      <c r="H108" s="134" t="str">
        <f>_xlfn.XLOOKUP(Table1[[#This Row],[Account_ID]], Accounts[ID], Accounts[Account'#], "Unknown")</f>
        <v>4618</v>
      </c>
      <c r="I108" s="135" t="str">
        <f>_xlfn.XLOOKUP(_xlfn.XLOOKUP(Table1[[#This Row],[Account]],Accounts[Account nickname],Accounts[Institution ID]),Institutions[ID],Institutions[Institution nickname],"Unknown")</f>
        <v>Discover</v>
      </c>
      <c r="J108" s="136" t="s">
        <v>948</v>
      </c>
      <c r="K108" s="137" t="s">
        <v>843</v>
      </c>
      <c r="L108" s="137" t="s">
        <v>841</v>
      </c>
      <c r="M10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3dafc6bd8d7c45ae9840ff09e01567d1</v>
      </c>
      <c r="N10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500e6ba7cba37a7a2a33da8c057b4cb8</v>
      </c>
      <c r="O108" s="138" t="str" cm="1">
        <f t="array" ref="O108">IFERROR(INDEX(CategoriesTable[Category type],MATCH(Table1[[#This Row],[Category]],CategoriesTable[Category name],0),0),"")</f>
        <v>Expense</v>
      </c>
      <c r="P108" s="138">
        <v>12</v>
      </c>
      <c r="Q108" s="138">
        <f>MONTH(Table1[[#This Row],[Date]])</f>
        <v>12</v>
      </c>
      <c r="R108" s="138">
        <v>2021</v>
      </c>
      <c r="S108" s="139">
        <f>IF(ISBLANK(Table1[[#This Row],[Date]]),"",Table1[[#This Row],[Date]]-WEEKDAY(Table1[[#This Row],[Date]],2)+1)</f>
        <v>44536</v>
      </c>
      <c r="T108" s="140">
        <f>IF(ISBLANK(Table1[[#This Row],[Date]]),"",DATE(Table1[[#This Row],[Date_Year]],Table1[[#This Row],[Date_Month]],1))</f>
        <v>44531</v>
      </c>
    </row>
    <row r="109" spans="2:20" ht="15.75">
      <c r="B109" s="154">
        <v>44542</v>
      </c>
      <c r="C109" s="119" t="s">
        <v>708</v>
      </c>
      <c r="D109" s="119" t="s">
        <v>116</v>
      </c>
      <c r="E109" s="119" t="s">
        <v>3481</v>
      </c>
      <c r="F109" s="155">
        <v>-38.19</v>
      </c>
      <c r="G109" s="133" t="str">
        <f>_xlfn.XLOOKUP(Table1[[#This Row],[Account_ID]], Accounts[ID], Accounts[Account nickname], "Unknown")</f>
        <v>Discover</v>
      </c>
      <c r="H109" s="134" t="str">
        <f>_xlfn.XLOOKUP(Table1[[#This Row],[Account_ID]], Accounts[ID], Accounts[Account'#], "Unknown")</f>
        <v>4618</v>
      </c>
      <c r="I109" s="135" t="str">
        <f>_xlfn.XLOOKUP(_xlfn.XLOOKUP(Table1[[#This Row],[Account]],Accounts[Account nickname],Accounts[Institution ID]),Institutions[ID],Institutions[Institution nickname],"Unknown")</f>
        <v>Discover</v>
      </c>
      <c r="J109" s="136" t="s">
        <v>946</v>
      </c>
      <c r="K109" s="137" t="s">
        <v>843</v>
      </c>
      <c r="L109" s="137" t="s">
        <v>841</v>
      </c>
      <c r="M10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e6c07c144d52704210419358ba4a8d2e</v>
      </c>
      <c r="N10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eb055def622d4c4049ecc84f714abf21</v>
      </c>
      <c r="O109" s="138" t="str" cm="1">
        <f t="array" ref="O109">IFERROR(INDEX(CategoriesTable[Category type],MATCH(Table1[[#This Row],[Category]],CategoriesTable[Category name],0),0),"")</f>
        <v>Expense</v>
      </c>
      <c r="P109" s="138">
        <v>12</v>
      </c>
      <c r="Q109" s="138">
        <f>MONTH(Table1[[#This Row],[Date]])</f>
        <v>12</v>
      </c>
      <c r="R109" s="138">
        <v>2021</v>
      </c>
      <c r="S109" s="139">
        <f>IF(ISBLANK(Table1[[#This Row],[Date]]),"",Table1[[#This Row],[Date]]-WEEKDAY(Table1[[#This Row],[Date]],2)+1)</f>
        <v>44536</v>
      </c>
      <c r="T109" s="140">
        <f>IF(ISBLANK(Table1[[#This Row],[Date]]),"",DATE(Table1[[#This Row],[Date_Year]],Table1[[#This Row],[Date_Month]],1))</f>
        <v>44531</v>
      </c>
    </row>
    <row r="110" spans="2:20" ht="15.75">
      <c r="B110" s="154">
        <v>44541</v>
      </c>
      <c r="C110" s="119" t="s">
        <v>950</v>
      </c>
      <c r="D110" s="119" t="s">
        <v>106</v>
      </c>
      <c r="E110" s="119" t="s">
        <v>178</v>
      </c>
      <c r="F110" s="155">
        <v>-14.5</v>
      </c>
      <c r="G110" s="133" t="str">
        <f>_xlfn.XLOOKUP(Table1[[#This Row],[Account_ID]], Accounts[ID], Accounts[Account nickname], "Unknown")</f>
        <v>Discover</v>
      </c>
      <c r="H110" s="134" t="str">
        <f>_xlfn.XLOOKUP(Table1[[#This Row],[Account_ID]], Accounts[ID], Accounts[Account'#], "Unknown")</f>
        <v>4618</v>
      </c>
      <c r="I110" s="135" t="str">
        <f>_xlfn.XLOOKUP(_xlfn.XLOOKUP(Table1[[#This Row],[Account]],Accounts[Account nickname],Accounts[Institution ID]),Institutions[ID],Institutions[Institution nickname],"Unknown")</f>
        <v>Discover</v>
      </c>
      <c r="J110" s="136" t="s">
        <v>951</v>
      </c>
      <c r="K110" s="137" t="s">
        <v>843</v>
      </c>
      <c r="L110" s="137" t="s">
        <v>841</v>
      </c>
      <c r="M11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3dafc6bd8d7c45ae9840ff09e01567d1</v>
      </c>
      <c r="N11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500e6ba7cba37a7a2a33da8c057b4cb8</v>
      </c>
      <c r="O110" s="138" t="str" cm="1">
        <f t="array" ref="O110">IFERROR(INDEX(CategoriesTable[Category type],MATCH(Table1[[#This Row],[Category]],CategoriesTable[Category name],0),0),"")</f>
        <v>Expense</v>
      </c>
      <c r="P110" s="138">
        <v>11</v>
      </c>
      <c r="Q110" s="138">
        <f>MONTH(Table1[[#This Row],[Date]])</f>
        <v>12</v>
      </c>
      <c r="R110" s="138">
        <v>2021</v>
      </c>
      <c r="S110" s="139">
        <f>IF(ISBLANK(Table1[[#This Row],[Date]]),"",Table1[[#This Row],[Date]]-WEEKDAY(Table1[[#This Row],[Date]],2)+1)</f>
        <v>44536</v>
      </c>
      <c r="T110" s="140">
        <f>IF(ISBLANK(Table1[[#This Row],[Date]]),"",DATE(Table1[[#This Row],[Date_Year]],Table1[[#This Row],[Date_Month]],1))</f>
        <v>44531</v>
      </c>
    </row>
    <row r="111" spans="2:20" ht="15.75">
      <c r="B111" s="154">
        <v>44541</v>
      </c>
      <c r="C111" s="119" t="s">
        <v>910</v>
      </c>
      <c r="D111" s="119" t="s">
        <v>123</v>
      </c>
      <c r="E111" s="119" t="s">
        <v>177</v>
      </c>
      <c r="F111" s="155">
        <v>-15.89</v>
      </c>
      <c r="G111" s="133" t="str">
        <f>_xlfn.XLOOKUP(Table1[[#This Row],[Account_ID]], Accounts[ID], Accounts[Account nickname], "Unknown")</f>
        <v>Discover</v>
      </c>
      <c r="H111" s="134" t="str">
        <f>_xlfn.XLOOKUP(Table1[[#This Row],[Account_ID]], Accounts[ID], Accounts[Account'#], "Unknown")</f>
        <v>4618</v>
      </c>
      <c r="I111" s="135" t="str">
        <f>_xlfn.XLOOKUP(_xlfn.XLOOKUP(Table1[[#This Row],[Account]],Accounts[Account nickname],Accounts[Institution ID]),Institutions[ID],Institutions[Institution nickname],"Unknown")</f>
        <v>Discover</v>
      </c>
      <c r="J111" s="136" t="s">
        <v>949</v>
      </c>
      <c r="K111" s="137" t="s">
        <v>843</v>
      </c>
      <c r="L111" s="137" t="s">
        <v>841</v>
      </c>
      <c r="M11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f870f35280fadaf3c3539ad54e3062cd</v>
      </c>
      <c r="N11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62ae30b53561aa5d303e08e4369dbfc3</v>
      </c>
      <c r="O111" s="138" t="str" cm="1">
        <f t="array" ref="O111">IFERROR(INDEX(CategoriesTable[Category type],MATCH(Table1[[#This Row],[Category]],CategoriesTable[Category name],0),0),"")</f>
        <v>Expense</v>
      </c>
      <c r="P111" s="138">
        <v>11</v>
      </c>
      <c r="Q111" s="138">
        <f>MONTH(Table1[[#This Row],[Date]])</f>
        <v>12</v>
      </c>
      <c r="R111" s="138">
        <v>2021</v>
      </c>
      <c r="S111" s="139">
        <f>IF(ISBLANK(Table1[[#This Row],[Date]]),"",Table1[[#This Row],[Date]]-WEEKDAY(Table1[[#This Row],[Date]],2)+1)</f>
        <v>44536</v>
      </c>
      <c r="T111" s="140">
        <f>IF(ISBLANK(Table1[[#This Row],[Date]]),"",DATE(Table1[[#This Row],[Date_Year]],Table1[[#This Row],[Date_Month]],1))</f>
        <v>44531</v>
      </c>
    </row>
    <row r="112" spans="2:20" ht="15.75">
      <c r="B112" s="154">
        <v>44540</v>
      </c>
      <c r="C112" s="119" t="s">
        <v>679</v>
      </c>
      <c r="D112" s="119" t="s">
        <v>3476</v>
      </c>
      <c r="E112" s="119"/>
      <c r="F112" s="155">
        <v>26.79</v>
      </c>
      <c r="G112" s="133" t="str">
        <f>_xlfn.XLOOKUP(Table1[[#This Row],[Account_ID]], Accounts[ID], Accounts[Account nickname], "Unknown")</f>
        <v>WF</v>
      </c>
      <c r="H112" s="134" t="str">
        <f>_xlfn.XLOOKUP(Table1[[#This Row],[Account_ID]], Accounts[ID], Accounts[Account'#], "Unknown")</f>
        <v>4636</v>
      </c>
      <c r="I112" s="135" t="str">
        <f>_xlfn.XLOOKUP(_xlfn.XLOOKUP(Table1[[#This Row],[Account]],Accounts[Account nickname],Accounts[Institution ID]),Institutions[ID],Institutions[Institution nickname],"Unknown")</f>
        <v>Wells Fargo</v>
      </c>
      <c r="J112" s="136" t="s">
        <v>830</v>
      </c>
      <c r="K112" s="137" t="s">
        <v>808</v>
      </c>
      <c r="L112" s="137" t="s">
        <v>807</v>
      </c>
      <c r="M11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fabfe582932d48b78ac2846c1ec3d43f</v>
      </c>
      <c r="N11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2" s="138" t="str" cm="1">
        <f t="array" ref="O112">IFERROR(INDEX(CategoriesTable[Category type],MATCH(Table1[[#This Row],[Category]],CategoriesTable[Category name],0),0),"")</f>
        <v>Expense</v>
      </c>
      <c r="P112" s="138">
        <v>10</v>
      </c>
      <c r="Q112" s="138">
        <f>MONTH(Table1[[#This Row],[Date]])</f>
        <v>12</v>
      </c>
      <c r="R112" s="138">
        <v>2021</v>
      </c>
      <c r="S112" s="139">
        <f>IF(ISBLANK(Table1[[#This Row],[Date]]),"",Table1[[#This Row],[Date]]-WEEKDAY(Table1[[#This Row],[Date]],2)+1)</f>
        <v>44536</v>
      </c>
      <c r="T112" s="140">
        <f>IF(ISBLANK(Table1[[#This Row],[Date]]),"",DATE(Table1[[#This Row],[Date_Year]],Table1[[#This Row],[Date_Month]],1))</f>
        <v>44531</v>
      </c>
    </row>
    <row r="113" spans="2:20" ht="15.75">
      <c r="B113" s="154">
        <v>44539</v>
      </c>
      <c r="C113" s="119" t="s">
        <v>678</v>
      </c>
      <c r="D113" s="119" t="s">
        <v>122</v>
      </c>
      <c r="E113" s="119"/>
      <c r="F113" s="155">
        <v>-18</v>
      </c>
      <c r="G113" s="133" t="str">
        <f>_xlfn.XLOOKUP(Table1[[#This Row],[Account_ID]], Accounts[ID], Accounts[Account nickname], "Unknown")</f>
        <v>WF</v>
      </c>
      <c r="H113" s="134" t="str">
        <f>_xlfn.XLOOKUP(Table1[[#This Row],[Account_ID]], Accounts[ID], Accounts[Account'#], "Unknown")</f>
        <v>4636</v>
      </c>
      <c r="I113" s="135" t="str">
        <f>_xlfn.XLOOKUP(_xlfn.XLOOKUP(Table1[[#This Row],[Account]],Accounts[Account nickname],Accounts[Institution ID]),Institutions[ID],Institutions[Institution nickname],"Unknown")</f>
        <v>Wells Fargo</v>
      </c>
      <c r="J113" s="136" t="s">
        <v>831</v>
      </c>
      <c r="K113" s="137" t="s">
        <v>808</v>
      </c>
      <c r="L113" s="137" t="s">
        <v>807</v>
      </c>
      <c r="M11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f9fd776a16da81a948d166fcd5952d14</v>
      </c>
      <c r="N11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3" s="138" t="str" cm="1">
        <f t="array" ref="O113">IFERROR(INDEX(CategoriesTable[Category type],MATCH(Table1[[#This Row],[Category]],CategoriesTable[Category name],0),0),"")</f>
        <v>Expense</v>
      </c>
      <c r="P113" s="138">
        <v>9</v>
      </c>
      <c r="Q113" s="138">
        <f>MONTH(Table1[[#This Row],[Date]])</f>
        <v>12</v>
      </c>
      <c r="R113" s="138">
        <v>2021</v>
      </c>
      <c r="S113" s="139">
        <f>IF(ISBLANK(Table1[[#This Row],[Date]]),"",Table1[[#This Row],[Date]]-WEEKDAY(Table1[[#This Row],[Date]],2)+1)</f>
        <v>44536</v>
      </c>
      <c r="T113" s="140">
        <f>IF(ISBLANK(Table1[[#This Row],[Date]]),"",DATE(Table1[[#This Row],[Date_Year]],Table1[[#This Row],[Date_Month]],1))</f>
        <v>44531</v>
      </c>
    </row>
    <row r="114" spans="2:20" ht="15.75">
      <c r="B114" s="154">
        <v>44539</v>
      </c>
      <c r="C114" s="119" t="s">
        <v>1388</v>
      </c>
      <c r="D114" s="119" t="s">
        <v>75</v>
      </c>
      <c r="E114" s="119"/>
      <c r="F114" s="155">
        <v>-476</v>
      </c>
      <c r="G114" s="133" t="str">
        <f>_xlfn.XLOOKUP(Table1[[#This Row],[Account_ID]], Accounts[ID], Accounts[Account nickname], "Unknown")</f>
        <v>BB</v>
      </c>
      <c r="H114" s="134" t="str">
        <f>_xlfn.XLOOKUP(Table1[[#This Row],[Account_ID]], Accounts[ID], Accounts[Account'#], "Unknown")</f>
        <v>4561</v>
      </c>
      <c r="I114" s="135" t="str">
        <f>_xlfn.XLOOKUP(_xlfn.XLOOKUP(Table1[[#This Row],[Account]],Accounts[Account nickname],Accounts[Institution ID]),Institutions[ID],Institutions[Institution nickname],"Unknown")</f>
        <v>Best Buy - Citi Card</v>
      </c>
      <c r="J114" s="136" t="s">
        <v>1389</v>
      </c>
      <c r="K114" s="137" t="s">
        <v>1375</v>
      </c>
      <c r="L114" s="137" t="s">
        <v>1372</v>
      </c>
      <c r="M11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ca8ac7c19b84437194c3fe5508eb8bda</v>
      </c>
      <c r="N11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4" s="138" t="str" cm="1">
        <f t="array" ref="O114">IFERROR(INDEX(CategoriesTable[Category type],MATCH(Table1[[#This Row],[Category]],CategoriesTable[Category name],0),0),"")</f>
        <v>Expense</v>
      </c>
      <c r="P114" s="138">
        <v>9</v>
      </c>
      <c r="Q114" s="138">
        <f>MONTH(Table1[[#This Row],[Date]])</f>
        <v>12</v>
      </c>
      <c r="R114" s="138">
        <v>2021</v>
      </c>
      <c r="S114" s="139">
        <f>IF(ISBLANK(Table1[[#This Row],[Date]]),"",Table1[[#This Row],[Date]]-WEEKDAY(Table1[[#This Row],[Date]],2)+1)</f>
        <v>44536</v>
      </c>
      <c r="T114" s="140">
        <f>IF(ISBLANK(Table1[[#This Row],[Date]]),"",DATE(Table1[[#This Row],[Date_Year]],Table1[[#This Row],[Date_Month]],1))</f>
        <v>44531</v>
      </c>
    </row>
    <row r="115" spans="2:20" ht="15.75">
      <c r="B115" s="154">
        <v>44539</v>
      </c>
      <c r="C115" s="119" t="s">
        <v>900</v>
      </c>
      <c r="D115" s="119" t="s">
        <v>3480</v>
      </c>
      <c r="E115" s="119" t="s">
        <v>85</v>
      </c>
      <c r="F115" s="155">
        <v>-18.11</v>
      </c>
      <c r="G115" s="133" t="str">
        <f>_xlfn.XLOOKUP(Table1[[#This Row],[Account_ID]], Accounts[ID], Accounts[Account nickname], "Unknown")</f>
        <v>Discover</v>
      </c>
      <c r="H115" s="134" t="str">
        <f>_xlfn.XLOOKUP(Table1[[#This Row],[Account_ID]], Accounts[ID], Accounts[Account'#], "Unknown")</f>
        <v>4618</v>
      </c>
      <c r="I115" s="135" t="str">
        <f>_xlfn.XLOOKUP(_xlfn.XLOOKUP(Table1[[#This Row],[Account]],Accounts[Account nickname],Accounts[Institution ID]),Institutions[ID],Institutions[Institution nickname],"Unknown")</f>
        <v>Discover</v>
      </c>
      <c r="J115" s="136" t="s">
        <v>954</v>
      </c>
      <c r="K115" s="137" t="s">
        <v>843</v>
      </c>
      <c r="L115" s="137" t="s">
        <v>841</v>
      </c>
      <c r="M11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fec746a44521f2118fef19237dbf4f91</v>
      </c>
      <c r="N11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fd72ce5cfeedbe66d13df9602b6cff7d</v>
      </c>
      <c r="O115" s="138" t="str" cm="1">
        <f t="array" ref="O115">IFERROR(INDEX(CategoriesTable[Category type],MATCH(Table1[[#This Row],[Category]],CategoriesTable[Category name],0),0),"")</f>
        <v>Expense</v>
      </c>
      <c r="P115" s="138">
        <v>9</v>
      </c>
      <c r="Q115" s="138">
        <f>MONTH(Table1[[#This Row],[Date]])</f>
        <v>12</v>
      </c>
      <c r="R115" s="138">
        <v>2021</v>
      </c>
      <c r="S115" s="139">
        <f>IF(ISBLANK(Table1[[#This Row],[Date]]),"",Table1[[#This Row],[Date]]-WEEKDAY(Table1[[#This Row],[Date]],2)+1)</f>
        <v>44536</v>
      </c>
      <c r="T115" s="140">
        <f>IF(ISBLANK(Table1[[#This Row],[Date]]),"",DATE(Table1[[#This Row],[Date_Year]],Table1[[#This Row],[Date_Month]],1))</f>
        <v>44531</v>
      </c>
    </row>
    <row r="116" spans="2:20" ht="15.75">
      <c r="B116" s="154">
        <v>44539</v>
      </c>
      <c r="C116" s="119" t="s">
        <v>952</v>
      </c>
      <c r="D116" s="119" t="s">
        <v>106</v>
      </c>
      <c r="E116" s="119" t="s">
        <v>178</v>
      </c>
      <c r="F116" s="155">
        <v>-67.25</v>
      </c>
      <c r="G116" s="133" t="str">
        <f>_xlfn.XLOOKUP(Table1[[#This Row],[Account_ID]], Accounts[ID], Accounts[Account nickname], "Unknown")</f>
        <v>Discover</v>
      </c>
      <c r="H116" s="134" t="str">
        <f>_xlfn.XLOOKUP(Table1[[#This Row],[Account_ID]], Accounts[ID], Accounts[Account'#], "Unknown")</f>
        <v>4618</v>
      </c>
      <c r="I116" s="135" t="str">
        <f>_xlfn.XLOOKUP(_xlfn.XLOOKUP(Table1[[#This Row],[Account]],Accounts[Account nickname],Accounts[Institution ID]),Institutions[ID],Institutions[Institution nickname],"Unknown")</f>
        <v>Discover</v>
      </c>
      <c r="J116" s="136" t="s">
        <v>953</v>
      </c>
      <c r="K116" s="137" t="s">
        <v>843</v>
      </c>
      <c r="L116" s="137" t="s">
        <v>841</v>
      </c>
      <c r="M11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3dafc6bd8d7c45ae9840ff09e01567d1</v>
      </c>
      <c r="N11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500e6ba7cba37a7a2a33da8c057b4cb8</v>
      </c>
      <c r="O116" s="138" t="str" cm="1">
        <f t="array" ref="O116">IFERROR(INDEX(CategoriesTable[Category type],MATCH(Table1[[#This Row],[Category]],CategoriesTable[Category name],0),0),"")</f>
        <v>Expense</v>
      </c>
      <c r="P116" s="138">
        <v>9</v>
      </c>
      <c r="Q116" s="138">
        <f>MONTH(Table1[[#This Row],[Date]])</f>
        <v>12</v>
      </c>
      <c r="R116" s="138">
        <v>2021</v>
      </c>
      <c r="S116" s="139">
        <f>IF(ISBLANK(Table1[[#This Row],[Date]]),"",Table1[[#This Row],[Date]]-WEEKDAY(Table1[[#This Row],[Date]],2)+1)</f>
        <v>44536</v>
      </c>
      <c r="T116" s="140">
        <f>IF(ISBLANK(Table1[[#This Row],[Date]]),"",DATE(Table1[[#This Row],[Date_Year]],Table1[[#This Row],[Date_Month]],1))</f>
        <v>44531</v>
      </c>
    </row>
    <row r="117" spans="2:20" ht="15.75">
      <c r="B117" s="154">
        <v>44538</v>
      </c>
      <c r="C117" s="119" t="s">
        <v>689</v>
      </c>
      <c r="D117" s="119" t="s">
        <v>3480</v>
      </c>
      <c r="E117" s="119" t="s">
        <v>85</v>
      </c>
      <c r="F117" s="155">
        <v>-22.31</v>
      </c>
      <c r="G117" s="133" t="str">
        <f>_xlfn.XLOOKUP(Table1[[#This Row],[Account_ID]], Accounts[ID], Accounts[Account nickname], "Unknown")</f>
        <v>WF</v>
      </c>
      <c r="H117" s="134" t="str">
        <f>_xlfn.XLOOKUP(Table1[[#This Row],[Account_ID]], Accounts[ID], Accounts[Account'#], "Unknown")</f>
        <v>4636</v>
      </c>
      <c r="I117" s="135" t="str">
        <f>_xlfn.XLOOKUP(_xlfn.XLOOKUP(Table1[[#This Row],[Account]],Accounts[Account nickname],Accounts[Institution ID]),Institutions[ID],Institutions[Institution nickname],"Unknown")</f>
        <v>Wells Fargo</v>
      </c>
      <c r="J117" s="136" t="s">
        <v>832</v>
      </c>
      <c r="K117" s="137" t="s">
        <v>808</v>
      </c>
      <c r="L117" s="137" t="s">
        <v>807</v>
      </c>
      <c r="M11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fec746a44521f2118fef19237dbf4f91</v>
      </c>
      <c r="N11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fd72ce5cfeedbe66d13df9602b6cff7d</v>
      </c>
      <c r="O117" s="138" t="str" cm="1">
        <f t="array" ref="O117">IFERROR(INDEX(CategoriesTable[Category type],MATCH(Table1[[#This Row],[Category]],CategoriesTable[Category name],0),0),"")</f>
        <v>Expense</v>
      </c>
      <c r="P117" s="138">
        <v>8</v>
      </c>
      <c r="Q117" s="138">
        <f>MONTH(Table1[[#This Row],[Date]])</f>
        <v>12</v>
      </c>
      <c r="R117" s="138">
        <v>2021</v>
      </c>
      <c r="S117" s="139">
        <f>IF(ISBLANK(Table1[[#This Row],[Date]]),"",Table1[[#This Row],[Date]]-WEEKDAY(Table1[[#This Row],[Date]],2)+1)</f>
        <v>44536</v>
      </c>
      <c r="T117" s="140">
        <f>IF(ISBLANK(Table1[[#This Row],[Date]]),"",DATE(Table1[[#This Row],[Date_Year]],Table1[[#This Row],[Date_Month]],1))</f>
        <v>44531</v>
      </c>
    </row>
    <row r="118" spans="2:20" ht="15.75">
      <c r="B118" s="154">
        <v>44538</v>
      </c>
      <c r="C118" s="119" t="s">
        <v>955</v>
      </c>
      <c r="D118" s="119" t="s">
        <v>122</v>
      </c>
      <c r="E118" s="119" t="s">
        <v>167</v>
      </c>
      <c r="F118" s="155">
        <v>-4.99</v>
      </c>
      <c r="G118" s="133" t="str">
        <f>_xlfn.XLOOKUP(Table1[[#This Row],[Account_ID]], Accounts[ID], Accounts[Account nickname], "Unknown")</f>
        <v>Discover</v>
      </c>
      <c r="H118" s="134" t="str">
        <f>_xlfn.XLOOKUP(Table1[[#This Row],[Account_ID]], Accounts[ID], Accounts[Account'#], "Unknown")</f>
        <v>4618</v>
      </c>
      <c r="I118" s="135" t="str">
        <f>_xlfn.XLOOKUP(_xlfn.XLOOKUP(Table1[[#This Row],[Account]],Accounts[Account nickname],Accounts[Institution ID]),Institutions[ID],Institutions[Institution nickname],"Unknown")</f>
        <v>Discover</v>
      </c>
      <c r="J118" s="136" t="s">
        <v>956</v>
      </c>
      <c r="K118" s="137" t="s">
        <v>843</v>
      </c>
      <c r="L118" s="137" t="s">
        <v>841</v>
      </c>
      <c r="M11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f9fd776a16da81a948d166fcd5952d14</v>
      </c>
      <c r="N11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8aa9b4db7e16cd2041aa6bfdc219e567</v>
      </c>
      <c r="O118" s="138" t="str" cm="1">
        <f t="array" ref="O118">IFERROR(INDEX(CategoriesTable[Category type],MATCH(Table1[[#This Row],[Category]],CategoriesTable[Category name],0),0),"")</f>
        <v>Expense</v>
      </c>
      <c r="P118" s="138">
        <v>8</v>
      </c>
      <c r="Q118" s="138">
        <f>MONTH(Table1[[#This Row],[Date]])</f>
        <v>12</v>
      </c>
      <c r="R118" s="138">
        <v>2021</v>
      </c>
      <c r="S118" s="139">
        <f>IF(ISBLANK(Table1[[#This Row],[Date]]),"",Table1[[#This Row],[Date]]-WEEKDAY(Table1[[#This Row],[Date]],2)+1)</f>
        <v>44536</v>
      </c>
      <c r="T118" s="140">
        <f>IF(ISBLANK(Table1[[#This Row],[Date]]),"",DATE(Table1[[#This Row],[Date_Year]],Table1[[#This Row],[Date_Month]],1))</f>
        <v>44531</v>
      </c>
    </row>
    <row r="119" spans="2:20" ht="15.75">
      <c r="B119" s="154">
        <v>44538</v>
      </c>
      <c r="C119" s="119" t="s">
        <v>957</v>
      </c>
      <c r="D119" s="119" t="s">
        <v>106</v>
      </c>
      <c r="E119" s="119" t="s">
        <v>178</v>
      </c>
      <c r="F119" s="155">
        <v>-10</v>
      </c>
      <c r="G119" s="133" t="str">
        <f>_xlfn.XLOOKUP(Table1[[#This Row],[Account_ID]], Accounts[ID], Accounts[Account nickname], "Unknown")</f>
        <v>Discover</v>
      </c>
      <c r="H119" s="134" t="str">
        <f>_xlfn.XLOOKUP(Table1[[#This Row],[Account_ID]], Accounts[ID], Accounts[Account'#], "Unknown")</f>
        <v>4618</v>
      </c>
      <c r="I119" s="135" t="str">
        <f>_xlfn.XLOOKUP(_xlfn.XLOOKUP(Table1[[#This Row],[Account]],Accounts[Account nickname],Accounts[Institution ID]),Institutions[ID],Institutions[Institution nickname],"Unknown")</f>
        <v>Discover</v>
      </c>
      <c r="J119" s="136" t="s">
        <v>958</v>
      </c>
      <c r="K119" s="137" t="s">
        <v>843</v>
      </c>
      <c r="L119" s="137" t="s">
        <v>841</v>
      </c>
      <c r="M11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3dafc6bd8d7c45ae9840ff09e01567d1</v>
      </c>
      <c r="N11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500e6ba7cba37a7a2a33da8c057b4cb8</v>
      </c>
      <c r="O119" s="138" t="str" cm="1">
        <f t="array" ref="O119">IFERROR(INDEX(CategoriesTable[Category type],MATCH(Table1[[#This Row],[Category]],CategoriesTable[Category name],0),0),"")</f>
        <v>Expense</v>
      </c>
      <c r="P119" s="138">
        <v>8</v>
      </c>
      <c r="Q119" s="138">
        <f>MONTH(Table1[[#This Row],[Date]])</f>
        <v>12</v>
      </c>
      <c r="R119" s="138">
        <v>2021</v>
      </c>
      <c r="S119" s="139">
        <f>IF(ISBLANK(Table1[[#This Row],[Date]]),"",Table1[[#This Row],[Date]]-WEEKDAY(Table1[[#This Row],[Date]],2)+1)</f>
        <v>44536</v>
      </c>
      <c r="T119" s="140">
        <f>IF(ISBLANK(Table1[[#This Row],[Date]]),"",DATE(Table1[[#This Row],[Date_Year]],Table1[[#This Row],[Date_Month]],1))</f>
        <v>44531</v>
      </c>
    </row>
    <row r="120" spans="2:20" ht="15.75">
      <c r="B120" s="154">
        <v>44537</v>
      </c>
      <c r="C120" s="119" t="s">
        <v>959</v>
      </c>
      <c r="D120" s="119" t="s">
        <v>3476</v>
      </c>
      <c r="E120" s="119"/>
      <c r="F120" s="155">
        <v>60</v>
      </c>
      <c r="G120" s="133" t="str">
        <f>_xlfn.XLOOKUP(Table1[[#This Row],[Account_ID]], Accounts[ID], Accounts[Account nickname], "Unknown")</f>
        <v>Discover</v>
      </c>
      <c r="H120" s="134" t="str">
        <f>_xlfn.XLOOKUP(Table1[[#This Row],[Account_ID]], Accounts[ID], Accounts[Account'#], "Unknown")</f>
        <v>4618</v>
      </c>
      <c r="I120" s="135" t="str">
        <f>_xlfn.XLOOKUP(_xlfn.XLOOKUP(Table1[[#This Row],[Account]],Accounts[Account nickname],Accounts[Institution ID]),Institutions[ID],Institutions[Institution nickname],"Unknown")</f>
        <v>Discover</v>
      </c>
      <c r="J120" s="136" t="s">
        <v>960</v>
      </c>
      <c r="K120" s="137" t="s">
        <v>843</v>
      </c>
      <c r="L120" s="137" t="s">
        <v>841</v>
      </c>
      <c r="M12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fabfe582932d48b78ac2846c1ec3d43f</v>
      </c>
      <c r="N12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0" s="138" t="str" cm="1">
        <f t="array" ref="O120">IFERROR(INDEX(CategoriesTable[Category type],MATCH(Table1[[#This Row],[Category]],CategoriesTable[Category name],0),0),"")</f>
        <v>Expense</v>
      </c>
      <c r="P120" s="138">
        <v>7</v>
      </c>
      <c r="Q120" s="138">
        <f>MONTH(Table1[[#This Row],[Date]])</f>
        <v>12</v>
      </c>
      <c r="R120" s="138">
        <v>2021</v>
      </c>
      <c r="S120" s="139">
        <f>IF(ISBLANK(Table1[[#This Row],[Date]]),"",Table1[[#This Row],[Date]]-WEEKDAY(Table1[[#This Row],[Date]],2)+1)</f>
        <v>44536</v>
      </c>
      <c r="T120" s="140">
        <f>IF(ISBLANK(Table1[[#This Row],[Date]]),"",DATE(Table1[[#This Row],[Date_Year]],Table1[[#This Row],[Date_Month]],1))</f>
        <v>44531</v>
      </c>
    </row>
    <row r="121" spans="2:20" ht="15.75">
      <c r="B121" s="154">
        <v>44537</v>
      </c>
      <c r="C121" s="119" t="s">
        <v>685</v>
      </c>
      <c r="D121" s="119" t="s">
        <v>99</v>
      </c>
      <c r="E121" s="119"/>
      <c r="F121" s="155">
        <v>-54.01</v>
      </c>
      <c r="G121" s="133" t="str">
        <f>_xlfn.XLOOKUP(Table1[[#This Row],[Account_ID]], Accounts[ID], Accounts[Account nickname], "Unknown")</f>
        <v>WF</v>
      </c>
      <c r="H121" s="134" t="str">
        <f>_xlfn.XLOOKUP(Table1[[#This Row],[Account_ID]], Accounts[ID], Accounts[Account'#], "Unknown")</f>
        <v>4636</v>
      </c>
      <c r="I121" s="135" t="str">
        <f>_xlfn.XLOOKUP(_xlfn.XLOOKUP(Table1[[#This Row],[Account]],Accounts[Account nickname],Accounts[Institution ID]),Institutions[ID],Institutions[Institution nickname],"Unknown")</f>
        <v>Wells Fargo</v>
      </c>
      <c r="J121" s="136" t="s">
        <v>833</v>
      </c>
      <c r="K121" s="137" t="s">
        <v>808</v>
      </c>
      <c r="L121" s="137" t="s">
        <v>807</v>
      </c>
      <c r="M12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6385c1768b814d3d89087c436c9cab15</v>
      </c>
      <c r="N12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1" s="138" t="str" cm="1">
        <f t="array" ref="O121">IFERROR(INDEX(CategoriesTable[Category type],MATCH(Table1[[#This Row],[Category]],CategoriesTable[Category name],0),0),"")</f>
        <v>Expense</v>
      </c>
      <c r="P121" s="138">
        <v>7</v>
      </c>
      <c r="Q121" s="138">
        <f>MONTH(Table1[[#This Row],[Date]])</f>
        <v>12</v>
      </c>
      <c r="R121" s="138">
        <v>2021</v>
      </c>
      <c r="S121" s="139">
        <f>IF(ISBLANK(Table1[[#This Row],[Date]]),"",Table1[[#This Row],[Date]]-WEEKDAY(Table1[[#This Row],[Date]],2)+1)</f>
        <v>44536</v>
      </c>
      <c r="T121" s="140">
        <f>IF(ISBLANK(Table1[[#This Row],[Date]]),"",DATE(Table1[[#This Row],[Date_Year]],Table1[[#This Row],[Date_Month]],1))</f>
        <v>44531</v>
      </c>
    </row>
    <row r="122" spans="2:20" ht="15.75">
      <c r="B122" s="154">
        <v>44536</v>
      </c>
      <c r="C122" s="119" t="s">
        <v>686</v>
      </c>
      <c r="D122" s="119" t="s">
        <v>99</v>
      </c>
      <c r="E122" s="119"/>
      <c r="F122" s="155">
        <v>-257.26</v>
      </c>
      <c r="G122" s="133" t="str">
        <f>_xlfn.XLOOKUP(Table1[[#This Row],[Account_ID]], Accounts[ID], Accounts[Account nickname], "Unknown")</f>
        <v>WF</v>
      </c>
      <c r="H122" s="134" t="str">
        <f>_xlfn.XLOOKUP(Table1[[#This Row],[Account_ID]], Accounts[ID], Accounts[Account'#], "Unknown")</f>
        <v>4636</v>
      </c>
      <c r="I122" s="135" t="str">
        <f>_xlfn.XLOOKUP(_xlfn.XLOOKUP(Table1[[#This Row],[Account]],Accounts[Account nickname],Accounts[Institution ID]),Institutions[ID],Institutions[Institution nickname],"Unknown")</f>
        <v>Wells Fargo</v>
      </c>
      <c r="J122" s="136" t="s">
        <v>834</v>
      </c>
      <c r="K122" s="137" t="s">
        <v>808</v>
      </c>
      <c r="L122" s="137" t="s">
        <v>807</v>
      </c>
      <c r="M12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6385c1768b814d3d89087c436c9cab15</v>
      </c>
      <c r="N12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2" s="138" t="str" cm="1">
        <f t="array" ref="O122">IFERROR(INDEX(CategoriesTable[Category type],MATCH(Table1[[#This Row],[Category]],CategoriesTable[Category name],0),0),"")</f>
        <v>Expense</v>
      </c>
      <c r="P122" s="138">
        <v>6</v>
      </c>
      <c r="Q122" s="138">
        <f>MONTH(Table1[[#This Row],[Date]])</f>
        <v>12</v>
      </c>
      <c r="R122" s="138">
        <v>2021</v>
      </c>
      <c r="S122" s="139">
        <f>IF(ISBLANK(Table1[[#This Row],[Date]]),"",Table1[[#This Row],[Date]]-WEEKDAY(Table1[[#This Row],[Date]],2)+1)</f>
        <v>44536</v>
      </c>
      <c r="T122" s="140">
        <f>IF(ISBLANK(Table1[[#This Row],[Date]]),"",DATE(Table1[[#This Row],[Date_Year]],Table1[[#This Row],[Date_Month]],1))</f>
        <v>44531</v>
      </c>
    </row>
    <row r="123" spans="2:20" ht="15.75">
      <c r="B123" s="154">
        <v>44536</v>
      </c>
      <c r="C123" s="119" t="s">
        <v>678</v>
      </c>
      <c r="D123" s="119" t="s">
        <v>121</v>
      </c>
      <c r="E123" s="119" t="s">
        <v>162</v>
      </c>
      <c r="F123" s="155">
        <v>-742.18</v>
      </c>
      <c r="G123" s="133" t="str">
        <f>_xlfn.XLOOKUP(Table1[[#This Row],[Account_ID]], Accounts[ID], Accounts[Account nickname], "Unknown")</f>
        <v>WF</v>
      </c>
      <c r="H123" s="134" t="str">
        <f>_xlfn.XLOOKUP(Table1[[#This Row],[Account_ID]], Accounts[ID], Accounts[Account'#], "Unknown")</f>
        <v>4636</v>
      </c>
      <c r="I123" s="135" t="str">
        <f>_xlfn.XLOOKUP(_xlfn.XLOOKUP(Table1[[#This Row],[Account]],Accounts[Account nickname],Accounts[Institution ID]),Institutions[ID],Institutions[Institution nickname],"Unknown")</f>
        <v>Wells Fargo</v>
      </c>
      <c r="J123" s="136" t="s">
        <v>836</v>
      </c>
      <c r="K123" s="137" t="s">
        <v>808</v>
      </c>
      <c r="L123" s="137" t="s">
        <v>807</v>
      </c>
      <c r="M12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f59903268bc5a7b5382a7eb44e1c5e95</v>
      </c>
      <c r="N12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29203f6b3d0b39d0da4dd72a306dbe8d</v>
      </c>
      <c r="O123" s="138" t="str" cm="1">
        <f t="array" ref="O123">IFERROR(INDEX(CategoriesTable[Category type],MATCH(Table1[[#This Row],[Category]],CategoriesTable[Category name],0),0),"")</f>
        <v>Expense</v>
      </c>
      <c r="P123" s="138">
        <v>6</v>
      </c>
      <c r="Q123" s="138">
        <f>MONTH(Table1[[#This Row],[Date]])</f>
        <v>12</v>
      </c>
      <c r="R123" s="138">
        <v>2021</v>
      </c>
      <c r="S123" s="139">
        <f>IF(ISBLANK(Table1[[#This Row],[Date]]),"",Table1[[#This Row],[Date]]-WEEKDAY(Table1[[#This Row],[Date]],2)+1)</f>
        <v>44536</v>
      </c>
      <c r="T123" s="140">
        <f>IF(ISBLANK(Table1[[#This Row],[Date]]),"",DATE(Table1[[#This Row],[Date_Year]],Table1[[#This Row],[Date_Month]],1))</f>
        <v>44531</v>
      </c>
    </row>
    <row r="124" spans="2:20" ht="15.75">
      <c r="B124" s="154">
        <v>44536</v>
      </c>
      <c r="C124" s="119" t="s">
        <v>690</v>
      </c>
      <c r="D124" s="119" t="s">
        <v>123</v>
      </c>
      <c r="E124" s="119" t="s">
        <v>177</v>
      </c>
      <c r="F124" s="155">
        <v>-12.99</v>
      </c>
      <c r="G124" s="133" t="str">
        <f>_xlfn.XLOOKUP(Table1[[#This Row],[Account_ID]], Accounts[ID], Accounts[Account nickname], "Unknown")</f>
        <v>WF</v>
      </c>
      <c r="H124" s="134" t="str">
        <f>_xlfn.XLOOKUP(Table1[[#This Row],[Account_ID]], Accounts[ID], Accounts[Account'#], "Unknown")</f>
        <v>4636</v>
      </c>
      <c r="I124" s="135" t="str">
        <f>_xlfn.XLOOKUP(_xlfn.XLOOKUP(Table1[[#This Row],[Account]],Accounts[Account nickname],Accounts[Institution ID]),Institutions[ID],Institutions[Institution nickname],"Unknown")</f>
        <v>Wells Fargo</v>
      </c>
      <c r="J124" s="136" t="s">
        <v>835</v>
      </c>
      <c r="K124" s="137" t="s">
        <v>808</v>
      </c>
      <c r="L124" s="137" t="s">
        <v>807</v>
      </c>
      <c r="M12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f870f35280fadaf3c3539ad54e3062cd</v>
      </c>
      <c r="N12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62ae30b53561aa5d303e08e4369dbfc3</v>
      </c>
      <c r="O124" s="138" t="str" cm="1">
        <f t="array" ref="O124">IFERROR(INDEX(CategoriesTable[Category type],MATCH(Table1[[#This Row],[Category]],CategoriesTable[Category name],0),0),"")</f>
        <v>Expense</v>
      </c>
      <c r="P124" s="138">
        <v>6</v>
      </c>
      <c r="Q124" s="138">
        <f>MONTH(Table1[[#This Row],[Date]])</f>
        <v>12</v>
      </c>
      <c r="R124" s="138">
        <v>2021</v>
      </c>
      <c r="S124" s="139">
        <f>IF(ISBLANK(Table1[[#This Row],[Date]]),"",Table1[[#This Row],[Date]]-WEEKDAY(Table1[[#This Row],[Date]],2)+1)</f>
        <v>44536</v>
      </c>
      <c r="T124" s="140">
        <f>IF(ISBLANK(Table1[[#This Row],[Date]]),"",DATE(Table1[[#This Row],[Date_Year]],Table1[[#This Row],[Date_Month]],1))</f>
        <v>44531</v>
      </c>
    </row>
    <row r="125" spans="2:20" ht="15.75">
      <c r="B125" s="154">
        <v>44535</v>
      </c>
      <c r="C125" s="119" t="s">
        <v>1377</v>
      </c>
      <c r="D125" s="119" t="s">
        <v>99</v>
      </c>
      <c r="E125" s="119"/>
      <c r="F125" s="155">
        <v>54.01</v>
      </c>
      <c r="G125" s="133" t="str">
        <f>_xlfn.XLOOKUP(Table1[[#This Row],[Account_ID]], Accounts[ID], Accounts[Account nickname], "Unknown")</f>
        <v>BB</v>
      </c>
      <c r="H125" s="134" t="str">
        <f>_xlfn.XLOOKUP(Table1[[#This Row],[Account_ID]], Accounts[ID], Accounts[Account'#], "Unknown")</f>
        <v>4561</v>
      </c>
      <c r="I125" s="135" t="str">
        <f>_xlfn.XLOOKUP(_xlfn.XLOOKUP(Table1[[#This Row],[Account]],Accounts[Account nickname],Accounts[Institution ID]),Institutions[ID],Institutions[Institution nickname],"Unknown")</f>
        <v>Best Buy - Citi Card</v>
      </c>
      <c r="J125" s="136" t="s">
        <v>1390</v>
      </c>
      <c r="K125" s="137" t="s">
        <v>1375</v>
      </c>
      <c r="L125" s="137" t="s">
        <v>1372</v>
      </c>
      <c r="M12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6385c1768b814d3d89087c436c9cab15</v>
      </c>
      <c r="N12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5" s="138" t="str" cm="1">
        <f t="array" ref="O125">IFERROR(INDEX(CategoriesTable[Category type],MATCH(Table1[[#This Row],[Category]],CategoriesTable[Category name],0),0),"")</f>
        <v>Expense</v>
      </c>
      <c r="P125" s="138">
        <v>5</v>
      </c>
      <c r="Q125" s="138">
        <f>MONTH(Table1[[#This Row],[Date]])</f>
        <v>12</v>
      </c>
      <c r="R125" s="138">
        <v>2021</v>
      </c>
      <c r="S125" s="139">
        <f>IF(ISBLANK(Table1[[#This Row],[Date]]),"",Table1[[#This Row],[Date]]-WEEKDAY(Table1[[#This Row],[Date]],2)+1)</f>
        <v>44529</v>
      </c>
      <c r="T125" s="140">
        <f>IF(ISBLANK(Table1[[#This Row],[Date]]),"",DATE(Table1[[#This Row],[Date_Year]],Table1[[#This Row],[Date_Month]],1))</f>
        <v>44531</v>
      </c>
    </row>
    <row r="126" spans="2:20" ht="15.75">
      <c r="B126" s="154">
        <v>44535</v>
      </c>
      <c r="C126" s="119" t="s">
        <v>845</v>
      </c>
      <c r="D126" s="119" t="s">
        <v>3479</v>
      </c>
      <c r="E126" s="119"/>
      <c r="F126" s="155">
        <v>257.26</v>
      </c>
      <c r="G126" s="133" t="str">
        <f>_xlfn.XLOOKUP(Table1[[#This Row],[Account_ID]], Accounts[ID], Accounts[Account nickname], "Unknown")</f>
        <v>Discover</v>
      </c>
      <c r="H126" s="134" t="str">
        <f>_xlfn.XLOOKUP(Table1[[#This Row],[Account_ID]], Accounts[ID], Accounts[Account'#], "Unknown")</f>
        <v>4618</v>
      </c>
      <c r="I126" s="135" t="str">
        <f>_xlfn.XLOOKUP(_xlfn.XLOOKUP(Table1[[#This Row],[Account]],Accounts[Account nickname],Accounts[Institution ID]),Institutions[ID],Institutions[Institution nickname],"Unknown")</f>
        <v>Discover</v>
      </c>
      <c r="J126" s="136" t="s">
        <v>966</v>
      </c>
      <c r="K126" s="137" t="s">
        <v>843</v>
      </c>
      <c r="L126" s="137" t="s">
        <v>841</v>
      </c>
      <c r="M12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6385c1768b814d3d89087c436c9cab15</v>
      </c>
      <c r="N12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6" s="138" t="str" cm="1">
        <f t="array" ref="O126">IFERROR(INDEX(CategoriesTable[Category type],MATCH(Table1[[#This Row],[Category]],CategoriesTable[Category name],0),0),"")</f>
        <v>Expense</v>
      </c>
      <c r="P126" s="138">
        <v>5</v>
      </c>
      <c r="Q126" s="138">
        <f>MONTH(Table1[[#This Row],[Date]])</f>
        <v>12</v>
      </c>
      <c r="R126" s="138">
        <v>2021</v>
      </c>
      <c r="S126" s="139">
        <f>IF(ISBLANK(Table1[[#This Row],[Date]]),"",Table1[[#This Row],[Date]]-WEEKDAY(Table1[[#This Row],[Date]],2)+1)</f>
        <v>44529</v>
      </c>
      <c r="T126" s="140">
        <f>IF(ISBLANK(Table1[[#This Row],[Date]]),"",DATE(Table1[[#This Row],[Date_Year]],Table1[[#This Row],[Date_Month]],1))</f>
        <v>44531</v>
      </c>
    </row>
    <row r="127" spans="2:20" ht="15.75">
      <c r="B127" s="154">
        <v>44535</v>
      </c>
      <c r="C127" s="119" t="s">
        <v>712</v>
      </c>
      <c r="D127" s="119" t="s">
        <v>116</v>
      </c>
      <c r="E127" s="119"/>
      <c r="F127" s="155">
        <v>-7.81</v>
      </c>
      <c r="G127" s="133" t="str">
        <f>_xlfn.XLOOKUP(Table1[[#This Row],[Account_ID]], Accounts[ID], Accounts[Account nickname], "Unknown")</f>
        <v>Discover</v>
      </c>
      <c r="H127" s="134" t="str">
        <f>_xlfn.XLOOKUP(Table1[[#This Row],[Account_ID]], Accounts[ID], Accounts[Account'#], "Unknown")</f>
        <v>4618</v>
      </c>
      <c r="I127" s="135" t="str">
        <f>_xlfn.XLOOKUP(_xlfn.XLOOKUP(Table1[[#This Row],[Account]],Accounts[Account nickname],Accounts[Institution ID]),Institutions[ID],Institutions[Institution nickname],"Unknown")</f>
        <v>Discover</v>
      </c>
      <c r="J127" s="136" t="s">
        <v>969</v>
      </c>
      <c r="K127" s="137" t="s">
        <v>843</v>
      </c>
      <c r="L127" s="137" t="s">
        <v>841</v>
      </c>
      <c r="M12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e6c07c144d52704210419358ba4a8d2e</v>
      </c>
      <c r="N12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7" s="138" t="str" cm="1">
        <f t="array" ref="O127">IFERROR(INDEX(CategoriesTable[Category type],MATCH(Table1[[#This Row],[Category]],CategoriesTable[Category name],0),0),"")</f>
        <v>Expense</v>
      </c>
      <c r="P127" s="138">
        <v>5</v>
      </c>
      <c r="Q127" s="138">
        <f>MONTH(Table1[[#This Row],[Date]])</f>
        <v>12</v>
      </c>
      <c r="R127" s="138">
        <v>2021</v>
      </c>
      <c r="S127" s="139">
        <f>IF(ISBLANK(Table1[[#This Row],[Date]]),"",Table1[[#This Row],[Date]]-WEEKDAY(Table1[[#This Row],[Date]],2)+1)</f>
        <v>44529</v>
      </c>
      <c r="T127" s="140">
        <f>IF(ISBLANK(Table1[[#This Row],[Date]]),"",DATE(Table1[[#This Row],[Date_Year]],Table1[[#This Row],[Date_Month]],1))</f>
        <v>44531</v>
      </c>
    </row>
    <row r="128" spans="2:20" ht="15.75">
      <c r="B128" s="154">
        <v>44535</v>
      </c>
      <c r="C128" s="119" t="s">
        <v>712</v>
      </c>
      <c r="D128" s="119" t="s">
        <v>116</v>
      </c>
      <c r="E128" s="119"/>
      <c r="F128" s="155">
        <v>-19.14</v>
      </c>
      <c r="G128" s="133" t="str">
        <f>_xlfn.XLOOKUP(Table1[[#This Row],[Account_ID]], Accounts[ID], Accounts[Account nickname], "Unknown")</f>
        <v>Discover</v>
      </c>
      <c r="H128" s="134" t="str">
        <f>_xlfn.XLOOKUP(Table1[[#This Row],[Account_ID]], Accounts[ID], Accounts[Account'#], "Unknown")</f>
        <v>4618</v>
      </c>
      <c r="I128" s="135" t="str">
        <f>_xlfn.XLOOKUP(_xlfn.XLOOKUP(Table1[[#This Row],[Account]],Accounts[Account nickname],Accounts[Institution ID]),Institutions[ID],Institutions[Institution nickname],"Unknown")</f>
        <v>Discover</v>
      </c>
      <c r="J128" s="136" t="s">
        <v>970</v>
      </c>
      <c r="K128" s="137" t="s">
        <v>843</v>
      </c>
      <c r="L128" s="137" t="s">
        <v>841</v>
      </c>
      <c r="M12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e6c07c144d52704210419358ba4a8d2e</v>
      </c>
      <c r="N12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8" s="138" t="str" cm="1">
        <f t="array" ref="O128">IFERROR(INDEX(CategoriesTable[Category type],MATCH(Table1[[#This Row],[Category]],CategoriesTable[Category name],0),0),"")</f>
        <v>Expense</v>
      </c>
      <c r="P128" s="138">
        <v>5</v>
      </c>
      <c r="Q128" s="138">
        <f>MONTH(Table1[[#This Row],[Date]])</f>
        <v>12</v>
      </c>
      <c r="R128" s="138">
        <v>2021</v>
      </c>
      <c r="S128" s="139">
        <f>IF(ISBLANK(Table1[[#This Row],[Date]]),"",Table1[[#This Row],[Date]]-WEEKDAY(Table1[[#This Row],[Date]],2)+1)</f>
        <v>44529</v>
      </c>
      <c r="T128" s="140">
        <f>IF(ISBLANK(Table1[[#This Row],[Date]]),"",DATE(Table1[[#This Row],[Date_Year]],Table1[[#This Row],[Date_Month]],1))</f>
        <v>44531</v>
      </c>
    </row>
    <row r="129" spans="2:20" ht="15.75">
      <c r="B129" s="154">
        <v>44535</v>
      </c>
      <c r="C129" s="119" t="s">
        <v>961</v>
      </c>
      <c r="D129" s="119" t="s">
        <v>3479</v>
      </c>
      <c r="E129" s="119"/>
      <c r="F129" s="155">
        <v>44.4</v>
      </c>
      <c r="G129" s="133" t="str">
        <f>_xlfn.XLOOKUP(Table1[[#This Row],[Account_ID]], Accounts[ID], Accounts[Account nickname], "Unknown")</f>
        <v>Discover</v>
      </c>
      <c r="H129" s="134" t="str">
        <f>_xlfn.XLOOKUP(Table1[[#This Row],[Account_ID]], Accounts[ID], Accounts[Account'#], "Unknown")</f>
        <v>4618</v>
      </c>
      <c r="I129" s="135" t="str">
        <f>_xlfn.XLOOKUP(_xlfn.XLOOKUP(Table1[[#This Row],[Account]],Accounts[Account nickname],Accounts[Institution ID]),Institutions[ID],Institutions[Institution nickname],"Unknown")</f>
        <v>Discover</v>
      </c>
      <c r="J129" s="136" t="s">
        <v>962</v>
      </c>
      <c r="K129" s="137" t="s">
        <v>843</v>
      </c>
      <c r="L129" s="137" t="s">
        <v>841</v>
      </c>
      <c r="M12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6385c1768b814d3d89087c436c9cab15</v>
      </c>
      <c r="N12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9" s="138" t="str" cm="1">
        <f t="array" ref="O129">IFERROR(INDEX(CategoriesTable[Category type],MATCH(Table1[[#This Row],[Category]],CategoriesTable[Category name],0),0),"")</f>
        <v>Expense</v>
      </c>
      <c r="P129" s="138">
        <v>5</v>
      </c>
      <c r="Q129" s="138">
        <f>MONTH(Table1[[#This Row],[Date]])</f>
        <v>12</v>
      </c>
      <c r="R129" s="138">
        <v>2021</v>
      </c>
      <c r="S129" s="139">
        <f>IF(ISBLANK(Table1[[#This Row],[Date]]),"",Table1[[#This Row],[Date]]-WEEKDAY(Table1[[#This Row],[Date]],2)+1)</f>
        <v>44529</v>
      </c>
      <c r="T129" s="140">
        <f>IF(ISBLANK(Table1[[#This Row],[Date]]),"",DATE(Table1[[#This Row],[Date_Year]],Table1[[#This Row],[Date_Month]],1))</f>
        <v>44531</v>
      </c>
    </row>
    <row r="130" spans="2:20" ht="15.75">
      <c r="B130" s="154">
        <v>44535</v>
      </c>
      <c r="C130" s="119" t="s">
        <v>963</v>
      </c>
      <c r="D130" s="119" t="s">
        <v>106</v>
      </c>
      <c r="E130" s="119" t="s">
        <v>178</v>
      </c>
      <c r="F130" s="155">
        <v>-8.48</v>
      </c>
      <c r="G130" s="133" t="str">
        <f>_xlfn.XLOOKUP(Table1[[#This Row],[Account_ID]], Accounts[ID], Accounts[Account nickname], "Unknown")</f>
        <v>Discover</v>
      </c>
      <c r="H130" s="134" t="str">
        <f>_xlfn.XLOOKUP(Table1[[#This Row],[Account_ID]], Accounts[ID], Accounts[Account'#], "Unknown")</f>
        <v>4618</v>
      </c>
      <c r="I130" s="135" t="str">
        <f>_xlfn.XLOOKUP(_xlfn.XLOOKUP(Table1[[#This Row],[Account]],Accounts[Account nickname],Accounts[Institution ID]),Institutions[ID],Institutions[Institution nickname],"Unknown")</f>
        <v>Discover</v>
      </c>
      <c r="J130" s="136" t="s">
        <v>964</v>
      </c>
      <c r="K130" s="137" t="s">
        <v>843</v>
      </c>
      <c r="L130" s="137" t="s">
        <v>841</v>
      </c>
      <c r="M13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3dafc6bd8d7c45ae9840ff09e01567d1</v>
      </c>
      <c r="N13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500e6ba7cba37a7a2a33da8c057b4cb8</v>
      </c>
      <c r="O130" s="138" t="str" cm="1">
        <f t="array" ref="O130">IFERROR(INDEX(CategoriesTable[Category type],MATCH(Table1[[#This Row],[Category]],CategoriesTable[Category name],0),0),"")</f>
        <v>Expense</v>
      </c>
      <c r="P130" s="138">
        <v>5</v>
      </c>
      <c r="Q130" s="138">
        <f>MONTH(Table1[[#This Row],[Date]])</f>
        <v>12</v>
      </c>
      <c r="R130" s="138">
        <v>2021</v>
      </c>
      <c r="S130" s="139">
        <f>IF(ISBLANK(Table1[[#This Row],[Date]]),"",Table1[[#This Row],[Date]]-WEEKDAY(Table1[[#This Row],[Date]],2)+1)</f>
        <v>44529</v>
      </c>
      <c r="T130" s="140">
        <f>IF(ISBLANK(Table1[[#This Row],[Date]]),"",DATE(Table1[[#This Row],[Date_Year]],Table1[[#This Row],[Date_Month]],1))</f>
        <v>44531</v>
      </c>
    </row>
    <row r="131" spans="2:20" ht="15.75">
      <c r="B131" s="154">
        <v>44535</v>
      </c>
      <c r="C131" s="119" t="s">
        <v>712</v>
      </c>
      <c r="D131" s="119" t="s">
        <v>116</v>
      </c>
      <c r="E131" s="119"/>
      <c r="F131" s="155">
        <v>-35</v>
      </c>
      <c r="G131" s="133" t="str">
        <f>_xlfn.XLOOKUP(Table1[[#This Row],[Account_ID]], Accounts[ID], Accounts[Account nickname], "Unknown")</f>
        <v>Discover</v>
      </c>
      <c r="H131" s="134" t="str">
        <f>_xlfn.XLOOKUP(Table1[[#This Row],[Account_ID]], Accounts[ID], Accounts[Account'#], "Unknown")</f>
        <v>4618</v>
      </c>
      <c r="I131" s="135" t="str">
        <f>_xlfn.XLOOKUP(_xlfn.XLOOKUP(Table1[[#This Row],[Account]],Accounts[Account nickname],Accounts[Institution ID]),Institutions[ID],Institutions[Institution nickname],"Unknown")</f>
        <v>Discover</v>
      </c>
      <c r="J131" s="136" t="s">
        <v>972</v>
      </c>
      <c r="K131" s="137" t="s">
        <v>843</v>
      </c>
      <c r="L131" s="137" t="s">
        <v>841</v>
      </c>
      <c r="M13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e6c07c144d52704210419358ba4a8d2e</v>
      </c>
      <c r="N13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1" s="138" t="str" cm="1">
        <f t="array" ref="O131">IFERROR(INDEX(CategoriesTable[Category type],MATCH(Table1[[#This Row],[Category]],CategoriesTable[Category name],0),0),"")</f>
        <v>Expense</v>
      </c>
      <c r="P131" s="138">
        <v>5</v>
      </c>
      <c r="Q131" s="138">
        <f>MONTH(Table1[[#This Row],[Date]])</f>
        <v>12</v>
      </c>
      <c r="R131" s="138">
        <v>2021</v>
      </c>
      <c r="S131" s="139">
        <f>IF(ISBLANK(Table1[[#This Row],[Date]]),"",Table1[[#This Row],[Date]]-WEEKDAY(Table1[[#This Row],[Date]],2)+1)</f>
        <v>44529</v>
      </c>
      <c r="T131" s="140">
        <f>IF(ISBLANK(Table1[[#This Row],[Date]]),"",DATE(Table1[[#This Row],[Date_Year]],Table1[[#This Row],[Date_Month]],1))</f>
        <v>44531</v>
      </c>
    </row>
    <row r="132" spans="2:20" ht="15.75">
      <c r="B132" s="154">
        <v>44535</v>
      </c>
      <c r="C132" s="119" t="s">
        <v>712</v>
      </c>
      <c r="D132" s="119" t="s">
        <v>116</v>
      </c>
      <c r="E132" s="119"/>
      <c r="F132" s="155">
        <v>-23.24</v>
      </c>
      <c r="G132" s="133" t="str">
        <f>_xlfn.XLOOKUP(Table1[[#This Row],[Account_ID]], Accounts[ID], Accounts[Account nickname], "Unknown")</f>
        <v>Discover</v>
      </c>
      <c r="H132" s="134" t="str">
        <f>_xlfn.XLOOKUP(Table1[[#This Row],[Account_ID]], Accounts[ID], Accounts[Account'#], "Unknown")</f>
        <v>4618</v>
      </c>
      <c r="I132" s="135" t="str">
        <f>_xlfn.XLOOKUP(_xlfn.XLOOKUP(Table1[[#This Row],[Account]],Accounts[Account nickname],Accounts[Institution ID]),Institutions[ID],Institutions[Institution nickname],"Unknown")</f>
        <v>Discover</v>
      </c>
      <c r="J132" s="136" t="s">
        <v>971</v>
      </c>
      <c r="K132" s="137" t="s">
        <v>843</v>
      </c>
      <c r="L132" s="137" t="s">
        <v>841</v>
      </c>
      <c r="M13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e6c07c144d52704210419358ba4a8d2e</v>
      </c>
      <c r="N13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2" s="138" t="str" cm="1">
        <f t="array" ref="O132">IFERROR(INDEX(CategoriesTable[Category type],MATCH(Table1[[#This Row],[Category]],CategoriesTable[Category name],0),0),"")</f>
        <v>Expense</v>
      </c>
      <c r="P132" s="138">
        <v>5</v>
      </c>
      <c r="Q132" s="138">
        <f>MONTH(Table1[[#This Row],[Date]])</f>
        <v>12</v>
      </c>
      <c r="R132" s="138">
        <v>2021</v>
      </c>
      <c r="S132" s="139">
        <f>IF(ISBLANK(Table1[[#This Row],[Date]]),"",Table1[[#This Row],[Date]]-WEEKDAY(Table1[[#This Row],[Date]],2)+1)</f>
        <v>44529</v>
      </c>
      <c r="T132" s="140">
        <f>IF(ISBLANK(Table1[[#This Row],[Date]]),"",DATE(Table1[[#This Row],[Date_Year]],Table1[[#This Row],[Date_Month]],1))</f>
        <v>44531</v>
      </c>
    </row>
    <row r="133" spans="2:20" ht="15.75">
      <c r="B133" s="154">
        <v>44535</v>
      </c>
      <c r="C133" s="119" t="s">
        <v>691</v>
      </c>
      <c r="D133" s="119" t="s">
        <v>106</v>
      </c>
      <c r="E133" s="119" t="s">
        <v>178</v>
      </c>
      <c r="F133" s="155">
        <v>-7.58</v>
      </c>
      <c r="G133" s="133" t="str">
        <f>_xlfn.XLOOKUP(Table1[[#This Row],[Account_ID]], Accounts[ID], Accounts[Account nickname], "Unknown")</f>
        <v>WF</v>
      </c>
      <c r="H133" s="134" t="str">
        <f>_xlfn.XLOOKUP(Table1[[#This Row],[Account_ID]], Accounts[ID], Accounts[Account'#], "Unknown")</f>
        <v>4636</v>
      </c>
      <c r="I133" s="135" t="str">
        <f>_xlfn.XLOOKUP(_xlfn.XLOOKUP(Table1[[#This Row],[Account]],Accounts[Account nickname],Accounts[Institution ID]),Institutions[ID],Institutions[Institution nickname],"Unknown")</f>
        <v>Wells Fargo</v>
      </c>
      <c r="J133" s="136" t="s">
        <v>837</v>
      </c>
      <c r="K133" s="137" t="s">
        <v>808</v>
      </c>
      <c r="L133" s="137" t="s">
        <v>807</v>
      </c>
      <c r="M13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3dafc6bd8d7c45ae9840ff09e01567d1</v>
      </c>
      <c r="N13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500e6ba7cba37a7a2a33da8c057b4cb8</v>
      </c>
      <c r="O133" s="138" t="str" cm="1">
        <f t="array" ref="O133">IFERROR(INDEX(CategoriesTable[Category type],MATCH(Table1[[#This Row],[Category]],CategoriesTable[Category name],0),0),"")</f>
        <v>Expense</v>
      </c>
      <c r="P133" s="138">
        <v>5</v>
      </c>
      <c r="Q133" s="138">
        <f>MONTH(Table1[[#This Row],[Date]])</f>
        <v>12</v>
      </c>
      <c r="R133" s="138">
        <v>2021</v>
      </c>
      <c r="S133" s="139">
        <f>IF(ISBLANK(Table1[[#This Row],[Date]]),"",Table1[[#This Row],[Date]]-WEEKDAY(Table1[[#This Row],[Date]],2)+1)</f>
        <v>44529</v>
      </c>
      <c r="T133" s="140">
        <f>IF(ISBLANK(Table1[[#This Row],[Date]]),"",DATE(Table1[[#This Row],[Date_Year]],Table1[[#This Row],[Date_Month]],1))</f>
        <v>44531</v>
      </c>
    </row>
    <row r="134" spans="2:20" ht="15.75">
      <c r="B134" s="154">
        <v>44535</v>
      </c>
      <c r="C134" s="119" t="s">
        <v>692</v>
      </c>
      <c r="D134" s="119" t="s">
        <v>123</v>
      </c>
      <c r="E134" s="119" t="s">
        <v>175</v>
      </c>
      <c r="F134" s="155">
        <v>-413.18</v>
      </c>
      <c r="G134" s="133" t="str">
        <f>_xlfn.XLOOKUP(Table1[[#This Row],[Account_ID]], Accounts[ID], Accounts[Account nickname], "Unknown")</f>
        <v>WF</v>
      </c>
      <c r="H134" s="134" t="str">
        <f>_xlfn.XLOOKUP(Table1[[#This Row],[Account_ID]], Accounts[ID], Accounts[Account'#], "Unknown")</f>
        <v>4636</v>
      </c>
      <c r="I134" s="135" t="str">
        <f>_xlfn.XLOOKUP(_xlfn.XLOOKUP(Table1[[#This Row],[Account]],Accounts[Account nickname],Accounts[Institution ID]),Institutions[ID],Institutions[Institution nickname],"Unknown")</f>
        <v>Wells Fargo</v>
      </c>
      <c r="J134" s="136" t="s">
        <v>838</v>
      </c>
      <c r="K134" s="137" t="s">
        <v>808</v>
      </c>
      <c r="L134" s="137" t="s">
        <v>807</v>
      </c>
      <c r="M13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f870f35280fadaf3c3539ad54e3062cd</v>
      </c>
      <c r="N13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9fbba331d1ae096cbce7fb1035aebbc1</v>
      </c>
      <c r="O134" s="138" t="str" cm="1">
        <f t="array" ref="O134">IFERROR(INDEX(CategoriesTable[Category type],MATCH(Table1[[#This Row],[Category]],CategoriesTable[Category name],0),0),"")</f>
        <v>Expense</v>
      </c>
      <c r="P134" s="138">
        <v>5</v>
      </c>
      <c r="Q134" s="138">
        <f>MONTH(Table1[[#This Row],[Date]])</f>
        <v>12</v>
      </c>
      <c r="R134" s="138">
        <v>2021</v>
      </c>
      <c r="S134" s="139">
        <f>IF(ISBLANK(Table1[[#This Row],[Date]]),"",Table1[[#This Row],[Date]]-WEEKDAY(Table1[[#This Row],[Date]],2)+1)</f>
        <v>44529</v>
      </c>
      <c r="T134" s="140">
        <f>IF(ISBLANK(Table1[[#This Row],[Date]]),"",DATE(Table1[[#This Row],[Date_Year]],Table1[[#This Row],[Date_Month]],1))</f>
        <v>44531</v>
      </c>
    </row>
    <row r="135" spans="2:20" ht="15.75">
      <c r="B135" s="154">
        <v>44535</v>
      </c>
      <c r="C135" s="119" t="s">
        <v>922</v>
      </c>
      <c r="D135" s="119" t="s">
        <v>122</v>
      </c>
      <c r="E135" s="119"/>
      <c r="F135" s="155">
        <v>-34.22</v>
      </c>
      <c r="G135" s="133" t="str">
        <f>_xlfn.XLOOKUP(Table1[[#This Row],[Account_ID]], Accounts[ID], Accounts[Account nickname], "Unknown")</f>
        <v>Discover</v>
      </c>
      <c r="H135" s="134" t="str">
        <f>_xlfn.XLOOKUP(Table1[[#This Row],[Account_ID]], Accounts[ID], Accounts[Account'#], "Unknown")</f>
        <v>4618</v>
      </c>
      <c r="I135" s="135" t="str">
        <f>_xlfn.XLOOKUP(_xlfn.XLOOKUP(Table1[[#This Row],[Account]],Accounts[Account nickname],Accounts[Institution ID]),Institutions[ID],Institutions[Institution nickname],"Unknown")</f>
        <v>Discover</v>
      </c>
      <c r="J135" s="136" t="s">
        <v>965</v>
      </c>
      <c r="K135" s="137" t="s">
        <v>843</v>
      </c>
      <c r="L135" s="137" t="s">
        <v>841</v>
      </c>
      <c r="M13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f9fd776a16da81a948d166fcd5952d14</v>
      </c>
      <c r="N13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5" s="138" t="str" cm="1">
        <f t="array" ref="O135">IFERROR(INDEX(CategoriesTable[Category type],MATCH(Table1[[#This Row],[Category]],CategoriesTable[Category name],0),0),"")</f>
        <v>Expense</v>
      </c>
      <c r="P135" s="138">
        <v>5</v>
      </c>
      <c r="Q135" s="138">
        <f>MONTH(Table1[[#This Row],[Date]])</f>
        <v>12</v>
      </c>
      <c r="R135" s="138">
        <v>2021</v>
      </c>
      <c r="S135" s="139">
        <f>IF(ISBLANK(Table1[[#This Row],[Date]]),"",Table1[[#This Row],[Date]]-WEEKDAY(Table1[[#This Row],[Date]],2)+1)</f>
        <v>44529</v>
      </c>
      <c r="T135" s="140">
        <f>IF(ISBLANK(Table1[[#This Row],[Date]]),"",DATE(Table1[[#This Row],[Date_Year]],Table1[[#This Row],[Date_Month]],1))</f>
        <v>44531</v>
      </c>
    </row>
    <row r="136" spans="2:20" ht="15.75">
      <c r="B136" s="154">
        <v>44535</v>
      </c>
      <c r="C136" s="119" t="s">
        <v>967</v>
      </c>
      <c r="D136" s="119" t="s">
        <v>106</v>
      </c>
      <c r="E136" s="119" t="s">
        <v>178</v>
      </c>
      <c r="F136" s="155">
        <v>-62.39</v>
      </c>
      <c r="G136" s="133" t="str">
        <f>_xlfn.XLOOKUP(Table1[[#This Row],[Account_ID]], Accounts[ID], Accounts[Account nickname], "Unknown")</f>
        <v>Discover</v>
      </c>
      <c r="H136" s="134" t="str">
        <f>_xlfn.XLOOKUP(Table1[[#This Row],[Account_ID]], Accounts[ID], Accounts[Account'#], "Unknown")</f>
        <v>4618</v>
      </c>
      <c r="I136" s="135" t="str">
        <f>_xlfn.XLOOKUP(_xlfn.XLOOKUP(Table1[[#This Row],[Account]],Accounts[Account nickname],Accounts[Institution ID]),Institutions[ID],Institutions[Institution nickname],"Unknown")</f>
        <v>Discover</v>
      </c>
      <c r="J136" s="152" t="s">
        <v>968</v>
      </c>
      <c r="K136" s="137" t="s">
        <v>843</v>
      </c>
      <c r="L136" s="137" t="s">
        <v>841</v>
      </c>
      <c r="M13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3dafc6bd8d7c45ae9840ff09e01567d1</v>
      </c>
      <c r="N13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500e6ba7cba37a7a2a33da8c057b4cb8</v>
      </c>
      <c r="O136" s="138" t="str" cm="1">
        <f t="array" ref="O136">IFERROR(INDEX(CategoriesTable[Category type],MATCH(Table1[[#This Row],[Category]],CategoriesTable[Category name],0),0),"")</f>
        <v>Expense</v>
      </c>
      <c r="P136" s="138">
        <v>5</v>
      </c>
      <c r="Q136" s="138">
        <f>MONTH(Table1[[#This Row],[Date]])</f>
        <v>12</v>
      </c>
      <c r="R136" s="138">
        <v>2021</v>
      </c>
      <c r="S136" s="139">
        <f>IF(ISBLANK(Table1[[#This Row],[Date]]),"",Table1[[#This Row],[Date]]-WEEKDAY(Table1[[#This Row],[Date]],2)+1)</f>
        <v>44529</v>
      </c>
      <c r="T136" s="140">
        <f>IF(ISBLANK(Table1[[#This Row],[Date]]),"",DATE(Table1[[#This Row],[Date_Year]],Table1[[#This Row],[Date_Month]],1))</f>
        <v>44531</v>
      </c>
    </row>
    <row r="137" spans="2:20" ht="15.75">
      <c r="B137" s="154">
        <v>44534</v>
      </c>
      <c r="C137" s="119" t="s">
        <v>1391</v>
      </c>
      <c r="D137" s="119" t="s">
        <v>106</v>
      </c>
      <c r="E137" s="119" t="s">
        <v>178</v>
      </c>
      <c r="F137" s="155">
        <v>-7.04</v>
      </c>
      <c r="G137" s="133" t="str">
        <f>_xlfn.XLOOKUP(Table1[[#This Row],[Account_ID]], Accounts[ID], Accounts[Account nickname], "Unknown")</f>
        <v>Discover</v>
      </c>
      <c r="H137" s="134" t="str">
        <f>_xlfn.XLOOKUP(Table1[[#This Row],[Account_ID]], Accounts[ID], Accounts[Account'#], "Unknown")</f>
        <v>4618</v>
      </c>
      <c r="I137" s="135" t="str">
        <f>_xlfn.XLOOKUP(_xlfn.XLOOKUP(Table1[[#This Row],[Account]],Accounts[Account nickname],Accounts[Institution ID]),Institutions[ID],Institutions[Institution nickname],"Unknown")</f>
        <v>Discover</v>
      </c>
      <c r="J137" s="136" t="s">
        <v>1392</v>
      </c>
      <c r="K137" s="137" t="s">
        <v>843</v>
      </c>
      <c r="L137" s="137" t="s">
        <v>841</v>
      </c>
      <c r="M13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3dafc6bd8d7c45ae9840ff09e01567d1</v>
      </c>
      <c r="N13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500e6ba7cba37a7a2a33da8c057b4cb8</v>
      </c>
      <c r="O137" s="138" t="str" cm="1">
        <f t="array" ref="O137">IFERROR(INDEX(CategoriesTable[Category type],MATCH(Table1[[#This Row],[Category]],CategoriesTable[Category name],0),0),"")</f>
        <v>Expense</v>
      </c>
      <c r="P137" s="138">
        <v>4</v>
      </c>
      <c r="Q137" s="138">
        <f>MONTH(Table1[[#This Row],[Date]])</f>
        <v>12</v>
      </c>
      <c r="R137" s="138">
        <v>2021</v>
      </c>
      <c r="S137" s="139">
        <f>IF(ISBLANK(Table1[[#This Row],[Date]]),"",Table1[[#This Row],[Date]]-WEEKDAY(Table1[[#This Row],[Date]],2)+1)</f>
        <v>44529</v>
      </c>
      <c r="T137" s="140">
        <f>IF(ISBLANK(Table1[[#This Row],[Date]]),"",DATE(Table1[[#This Row],[Date_Year]],Table1[[#This Row],[Date_Month]],1))</f>
        <v>44531</v>
      </c>
    </row>
    <row r="138" spans="2:20" ht="15.75">
      <c r="B138" s="154">
        <v>44534</v>
      </c>
      <c r="C138" s="119" t="s">
        <v>1397</v>
      </c>
      <c r="D138" s="119" t="s">
        <v>106</v>
      </c>
      <c r="E138" s="119" t="s">
        <v>178</v>
      </c>
      <c r="F138" s="155">
        <v>-10</v>
      </c>
      <c r="G138" s="133" t="str">
        <f>_xlfn.XLOOKUP(Table1[[#This Row],[Account_ID]], Accounts[ID], Accounts[Account nickname], "Unknown")</f>
        <v>Discover</v>
      </c>
      <c r="H138" s="134" t="str">
        <f>_xlfn.XLOOKUP(Table1[[#This Row],[Account_ID]], Accounts[ID], Accounts[Account'#], "Unknown")</f>
        <v>4618</v>
      </c>
      <c r="I138" s="135" t="str">
        <f>_xlfn.XLOOKUP(_xlfn.XLOOKUP(Table1[[#This Row],[Account]],Accounts[Account nickname],Accounts[Institution ID]),Institutions[ID],Institutions[Institution nickname],"Unknown")</f>
        <v>Discover</v>
      </c>
      <c r="J138" s="136" t="s">
        <v>1398</v>
      </c>
      <c r="K138" s="137" t="s">
        <v>843</v>
      </c>
      <c r="L138" s="137" t="s">
        <v>841</v>
      </c>
      <c r="M13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3dafc6bd8d7c45ae9840ff09e01567d1</v>
      </c>
      <c r="N13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500e6ba7cba37a7a2a33da8c057b4cb8</v>
      </c>
      <c r="O138" s="138" t="str" cm="1">
        <f t="array" ref="O138">IFERROR(INDEX(CategoriesTable[Category type],MATCH(Table1[[#This Row],[Category]],CategoriesTable[Category name],0),0),"")</f>
        <v>Expense</v>
      </c>
      <c r="P138" s="138">
        <v>4</v>
      </c>
      <c r="Q138" s="138">
        <f>MONTH(Table1[[#This Row],[Date]])</f>
        <v>12</v>
      </c>
      <c r="R138" s="138">
        <v>2021</v>
      </c>
      <c r="S138" s="139">
        <f>IF(ISBLANK(Table1[[#This Row],[Date]]),"",Table1[[#This Row],[Date]]-WEEKDAY(Table1[[#This Row],[Date]],2)+1)</f>
        <v>44529</v>
      </c>
      <c r="T138" s="140">
        <f>IF(ISBLANK(Table1[[#This Row],[Date]]),"",DATE(Table1[[#This Row],[Date_Year]],Table1[[#This Row],[Date_Month]],1))</f>
        <v>44531</v>
      </c>
    </row>
    <row r="139" spans="2:20" ht="15.75">
      <c r="B139" s="154">
        <v>44534</v>
      </c>
      <c r="C139" s="119" t="s">
        <v>1395</v>
      </c>
      <c r="D139" s="119" t="s">
        <v>106</v>
      </c>
      <c r="E139" s="119" t="s">
        <v>178</v>
      </c>
      <c r="F139" s="155">
        <v>-26</v>
      </c>
      <c r="G139" s="133" t="str">
        <f>_xlfn.XLOOKUP(Table1[[#This Row],[Account_ID]], Accounts[ID], Accounts[Account nickname], "Unknown")</f>
        <v>Discover</v>
      </c>
      <c r="H139" s="134" t="str">
        <f>_xlfn.XLOOKUP(Table1[[#This Row],[Account_ID]], Accounts[ID], Accounts[Account'#], "Unknown")</f>
        <v>4618</v>
      </c>
      <c r="I139" s="135" t="str">
        <f>_xlfn.XLOOKUP(_xlfn.XLOOKUP(Table1[[#This Row],[Account]],Accounts[Account nickname],Accounts[Institution ID]),Institutions[ID],Institutions[Institution nickname],"Unknown")</f>
        <v>Discover</v>
      </c>
      <c r="J139" s="136" t="s">
        <v>1396</v>
      </c>
      <c r="K139" s="137" t="s">
        <v>843</v>
      </c>
      <c r="L139" s="137" t="s">
        <v>841</v>
      </c>
      <c r="M13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3dafc6bd8d7c45ae9840ff09e01567d1</v>
      </c>
      <c r="N13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500e6ba7cba37a7a2a33da8c057b4cb8</v>
      </c>
      <c r="O139" s="138" t="str" cm="1">
        <f t="array" ref="O139">IFERROR(INDEX(CategoriesTable[Category type],MATCH(Table1[[#This Row],[Category]],CategoriesTable[Category name],0),0),"")</f>
        <v>Expense</v>
      </c>
      <c r="P139" s="138">
        <v>4</v>
      </c>
      <c r="Q139" s="138">
        <f>MONTH(Table1[[#This Row],[Date]])</f>
        <v>12</v>
      </c>
      <c r="R139" s="138">
        <v>2021</v>
      </c>
      <c r="S139" s="139">
        <f>IF(ISBLANK(Table1[[#This Row],[Date]]),"",Table1[[#This Row],[Date]]-WEEKDAY(Table1[[#This Row],[Date]],2)+1)</f>
        <v>44529</v>
      </c>
      <c r="T139" s="140">
        <f>IF(ISBLANK(Table1[[#This Row],[Date]]),"",DATE(Table1[[#This Row],[Date_Year]],Table1[[#This Row],[Date_Month]],1))</f>
        <v>44531</v>
      </c>
    </row>
    <row r="140" spans="2:20" ht="15.75">
      <c r="B140" s="154">
        <v>44534</v>
      </c>
      <c r="C140" s="119" t="s">
        <v>1393</v>
      </c>
      <c r="D140" s="119" t="s">
        <v>122</v>
      </c>
      <c r="E140" s="119"/>
      <c r="F140" s="155">
        <v>-33</v>
      </c>
      <c r="G140" s="133" t="str">
        <f>_xlfn.XLOOKUP(Table1[[#This Row],[Account_ID]], Accounts[ID], Accounts[Account nickname], "Unknown")</f>
        <v>Discover</v>
      </c>
      <c r="H140" s="134" t="str">
        <f>_xlfn.XLOOKUP(Table1[[#This Row],[Account_ID]], Accounts[ID], Accounts[Account'#], "Unknown")</f>
        <v>4618</v>
      </c>
      <c r="I140" s="135" t="str">
        <f>_xlfn.XLOOKUP(_xlfn.XLOOKUP(Table1[[#This Row],[Account]],Accounts[Account nickname],Accounts[Institution ID]),Institutions[ID],Institutions[Institution nickname],"Unknown")</f>
        <v>Discover</v>
      </c>
      <c r="J140" s="136" t="s">
        <v>1394</v>
      </c>
      <c r="K140" s="137" t="s">
        <v>843</v>
      </c>
      <c r="L140" s="137" t="s">
        <v>841</v>
      </c>
      <c r="M14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f9fd776a16da81a948d166fcd5952d14</v>
      </c>
      <c r="N14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0" s="138" t="str" cm="1">
        <f t="array" ref="O140">IFERROR(INDEX(CategoriesTable[Category type],MATCH(Table1[[#This Row],[Category]],CategoriesTable[Category name],0),0),"")</f>
        <v>Expense</v>
      </c>
      <c r="P140" s="138">
        <v>4</v>
      </c>
      <c r="Q140" s="138">
        <f>MONTH(Table1[[#This Row],[Date]])</f>
        <v>12</v>
      </c>
      <c r="R140" s="138">
        <v>2021</v>
      </c>
      <c r="S140" s="139">
        <f>IF(ISBLANK(Table1[[#This Row],[Date]]),"",Table1[[#This Row],[Date]]-WEEKDAY(Table1[[#This Row],[Date]],2)+1)</f>
        <v>44529</v>
      </c>
      <c r="T140" s="140">
        <f>IF(ISBLANK(Table1[[#This Row],[Date]]),"",DATE(Table1[[#This Row],[Date_Year]],Table1[[#This Row],[Date_Month]],1))</f>
        <v>44531</v>
      </c>
    </row>
    <row r="141" spans="2:20" ht="15.75">
      <c r="B141" s="154">
        <v>44533</v>
      </c>
      <c r="C141" s="119" t="s">
        <v>1403</v>
      </c>
      <c r="D141" s="119" t="s">
        <v>119</v>
      </c>
      <c r="E141" s="119" t="s">
        <v>3475</v>
      </c>
      <c r="F141" s="155">
        <v>-60.44</v>
      </c>
      <c r="G141" s="133" t="str">
        <f>_xlfn.XLOOKUP(Table1[[#This Row],[Account_ID]], Accounts[ID], Accounts[Account nickname], "Unknown")</f>
        <v>Discover</v>
      </c>
      <c r="H141" s="134" t="str">
        <f>_xlfn.XLOOKUP(Table1[[#This Row],[Account_ID]], Accounts[ID], Accounts[Account'#], "Unknown")</f>
        <v>4618</v>
      </c>
      <c r="I141" s="135" t="str">
        <f>_xlfn.XLOOKUP(_xlfn.XLOOKUP(Table1[[#This Row],[Account]],Accounts[Account nickname],Accounts[Institution ID]),Institutions[ID],Institutions[Institution nickname],"Unknown")</f>
        <v>Discover</v>
      </c>
      <c r="J141" s="136" t="s">
        <v>1404</v>
      </c>
      <c r="K141" s="137" t="s">
        <v>843</v>
      </c>
      <c r="L141" s="137" t="s">
        <v>841</v>
      </c>
      <c r="M14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fc644bd9ea3a9fa6cdcd5fd08cd93f11</v>
      </c>
      <c r="N14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9fd040d7c063625b540d46d873e8b61c</v>
      </c>
      <c r="O141" s="138" t="str" cm="1">
        <f t="array" ref="O141">IFERROR(INDEX(CategoriesTable[Category type],MATCH(Table1[[#This Row],[Category]],CategoriesTable[Category name],0),0),"")</f>
        <v>Expense</v>
      </c>
      <c r="P141" s="138">
        <v>3</v>
      </c>
      <c r="Q141" s="138">
        <f>MONTH(Table1[[#This Row],[Date]])</f>
        <v>12</v>
      </c>
      <c r="R141" s="138">
        <v>2021</v>
      </c>
      <c r="S141" s="139">
        <f>IF(ISBLANK(Table1[[#This Row],[Date]]),"",Table1[[#This Row],[Date]]-WEEKDAY(Table1[[#This Row],[Date]],2)+1)</f>
        <v>44529</v>
      </c>
      <c r="T141" s="140">
        <f>IF(ISBLANK(Table1[[#This Row],[Date]]),"",DATE(Table1[[#This Row],[Date_Year]],Table1[[#This Row],[Date_Month]],1))</f>
        <v>44531</v>
      </c>
    </row>
    <row r="142" spans="2:20" ht="15.75">
      <c r="B142" s="154">
        <v>44533</v>
      </c>
      <c r="C142" s="119" t="s">
        <v>679</v>
      </c>
      <c r="D142" s="119" t="s">
        <v>3476</v>
      </c>
      <c r="E142" s="119"/>
      <c r="F142" s="155">
        <v>1.66</v>
      </c>
      <c r="G142" s="133" t="str">
        <f>_xlfn.XLOOKUP(Table1[[#This Row],[Account_ID]], Accounts[ID], Accounts[Account nickname], "Unknown")</f>
        <v>WF</v>
      </c>
      <c r="H142" s="134" t="str">
        <f>_xlfn.XLOOKUP(Table1[[#This Row],[Account_ID]], Accounts[ID], Accounts[Account'#], "Unknown")</f>
        <v>4636</v>
      </c>
      <c r="I142" s="135" t="str">
        <f>_xlfn.XLOOKUP(_xlfn.XLOOKUP(Table1[[#This Row],[Account]],Accounts[Account nickname],Accounts[Institution ID]),Institutions[ID],Institutions[Institution nickname],"Unknown")</f>
        <v>Wells Fargo</v>
      </c>
      <c r="J142" s="136" t="s">
        <v>973</v>
      </c>
      <c r="K142" s="137" t="s">
        <v>808</v>
      </c>
      <c r="L142" s="137" t="s">
        <v>807</v>
      </c>
      <c r="M14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fabfe582932d48b78ac2846c1ec3d43f</v>
      </c>
      <c r="N14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2" s="138" t="str" cm="1">
        <f t="array" ref="O142">IFERROR(INDEX(CategoriesTable[Category type],MATCH(Table1[[#This Row],[Category]],CategoriesTable[Category name],0),0),"")</f>
        <v>Expense</v>
      </c>
      <c r="P142" s="138">
        <v>3</v>
      </c>
      <c r="Q142" s="138">
        <f>MONTH(Table1[[#This Row],[Date]])</f>
        <v>12</v>
      </c>
      <c r="R142" s="138">
        <v>2021</v>
      </c>
      <c r="S142" s="139">
        <f>IF(ISBLANK(Table1[[#This Row],[Date]]),"",Table1[[#This Row],[Date]]-WEEKDAY(Table1[[#This Row],[Date]],2)+1)</f>
        <v>44529</v>
      </c>
      <c r="T142" s="140">
        <f>IF(ISBLANK(Table1[[#This Row],[Date]]),"",DATE(Table1[[#This Row],[Date_Year]],Table1[[#This Row],[Date_Month]],1))</f>
        <v>44531</v>
      </c>
    </row>
    <row r="143" spans="2:20" ht="15.75">
      <c r="B143" s="154">
        <v>44533</v>
      </c>
      <c r="C143" s="119" t="s">
        <v>1401</v>
      </c>
      <c r="D143" s="119" t="s">
        <v>106</v>
      </c>
      <c r="E143" s="119" t="s">
        <v>178</v>
      </c>
      <c r="F143" s="155">
        <v>-25</v>
      </c>
      <c r="G143" s="133" t="str">
        <f>_xlfn.XLOOKUP(Table1[[#This Row],[Account_ID]], Accounts[ID], Accounts[Account nickname], "Unknown")</f>
        <v>Discover</v>
      </c>
      <c r="H143" s="134" t="str">
        <f>_xlfn.XLOOKUP(Table1[[#This Row],[Account_ID]], Accounts[ID], Accounts[Account'#], "Unknown")</f>
        <v>4618</v>
      </c>
      <c r="I143" s="135" t="str">
        <f>_xlfn.XLOOKUP(_xlfn.XLOOKUP(Table1[[#This Row],[Account]],Accounts[Account nickname],Accounts[Institution ID]),Institutions[ID],Institutions[Institution nickname],"Unknown")</f>
        <v>Discover</v>
      </c>
      <c r="J143" s="136" t="s">
        <v>1402</v>
      </c>
      <c r="K143" s="137" t="s">
        <v>843</v>
      </c>
      <c r="L143" s="137" t="s">
        <v>841</v>
      </c>
      <c r="M14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3dafc6bd8d7c45ae9840ff09e01567d1</v>
      </c>
      <c r="N14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500e6ba7cba37a7a2a33da8c057b4cb8</v>
      </c>
      <c r="O143" s="138" t="str" cm="1">
        <f t="array" ref="O143">IFERROR(INDEX(CategoriesTable[Category type],MATCH(Table1[[#This Row],[Category]],CategoriesTable[Category name],0),0),"")</f>
        <v>Expense</v>
      </c>
      <c r="P143" s="138">
        <v>3</v>
      </c>
      <c r="Q143" s="138">
        <f>MONTH(Table1[[#This Row],[Date]])</f>
        <v>12</v>
      </c>
      <c r="R143" s="138">
        <v>2021</v>
      </c>
      <c r="S143" s="139">
        <f>IF(ISBLANK(Table1[[#This Row],[Date]]),"",Table1[[#This Row],[Date]]-WEEKDAY(Table1[[#This Row],[Date]],2)+1)</f>
        <v>44529</v>
      </c>
      <c r="T143" s="140">
        <f>IF(ISBLANK(Table1[[#This Row],[Date]]),"",DATE(Table1[[#This Row],[Date_Year]],Table1[[#This Row],[Date_Month]],1))</f>
        <v>44531</v>
      </c>
    </row>
    <row r="144" spans="2:20" ht="15.75">
      <c r="B144" s="154">
        <v>44533</v>
      </c>
      <c r="C144" s="119" t="s">
        <v>1399</v>
      </c>
      <c r="D144" s="119"/>
      <c r="E144" s="119"/>
      <c r="F144" s="155">
        <v>1455.66</v>
      </c>
      <c r="G144" s="133" t="str">
        <f>_xlfn.XLOOKUP(Table1[[#This Row],[Account_ID]], Accounts[ID], Accounts[Account nickname], "Unknown")</f>
        <v>Discover</v>
      </c>
      <c r="H144" s="134" t="str">
        <f>_xlfn.XLOOKUP(Table1[[#This Row],[Account_ID]], Accounts[ID], Accounts[Account'#], "Unknown")</f>
        <v>4618</v>
      </c>
      <c r="I144" s="135" t="str">
        <f>_xlfn.XLOOKUP(_xlfn.XLOOKUP(Table1[[#This Row],[Account]],Accounts[Account nickname],Accounts[Institution ID]),Institutions[ID],Institutions[Institution nickname],"Unknown")</f>
        <v>Discover</v>
      </c>
      <c r="J144" s="136" t="s">
        <v>1400</v>
      </c>
      <c r="K144" s="137" t="s">
        <v>843</v>
      </c>
      <c r="L144" s="137" t="s">
        <v>841</v>
      </c>
      <c r="M14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4" s="138" t="str" cm="1">
        <f t="array" ref="O144">IFERROR(INDEX(CategoriesTable[Category type],MATCH(Table1[[#This Row],[Category]],CategoriesTable[Category name],0),0),"")</f>
        <v/>
      </c>
      <c r="P144" s="138">
        <v>3</v>
      </c>
      <c r="Q144" s="138">
        <f>MONTH(Table1[[#This Row],[Date]])</f>
        <v>12</v>
      </c>
      <c r="R144" s="138">
        <v>2021</v>
      </c>
      <c r="S144" s="139">
        <f>IF(ISBLANK(Table1[[#This Row],[Date]]),"",Table1[[#This Row],[Date]]-WEEKDAY(Table1[[#This Row],[Date]],2)+1)</f>
        <v>44529</v>
      </c>
      <c r="T144" s="140">
        <f>IF(ISBLANK(Table1[[#This Row],[Date]]),"",DATE(Table1[[#This Row],[Date_Year]],Table1[[#This Row],[Date_Month]],1))</f>
        <v>44531</v>
      </c>
    </row>
    <row r="145" spans="2:20" ht="15.75">
      <c r="B145" s="154">
        <v>44533</v>
      </c>
      <c r="C145" s="119" t="s">
        <v>689</v>
      </c>
      <c r="D145" s="119" t="s">
        <v>117</v>
      </c>
      <c r="E145" s="119" t="s">
        <v>85</v>
      </c>
      <c r="F145" s="155">
        <v>-16.989999999999998</v>
      </c>
      <c r="G145" s="133" t="str">
        <f>_xlfn.XLOOKUP(Table1[[#This Row],[Account_ID]], Accounts[ID], Accounts[Account nickname], "Unknown")</f>
        <v>WF</v>
      </c>
      <c r="H145" s="134" t="str">
        <f>_xlfn.XLOOKUP(Table1[[#This Row],[Account_ID]], Accounts[ID], Accounts[Account'#], "Unknown")</f>
        <v>4636</v>
      </c>
      <c r="I145" s="135" t="str">
        <f>_xlfn.XLOOKUP(_xlfn.XLOOKUP(Table1[[#This Row],[Account]],Accounts[Account nickname],Accounts[Institution ID]),Institutions[ID],Institutions[Institution nickname],"Unknown")</f>
        <v>Wells Fargo</v>
      </c>
      <c r="J145" s="136" t="s">
        <v>840</v>
      </c>
      <c r="K145" s="137" t="s">
        <v>808</v>
      </c>
      <c r="L145" s="137" t="s">
        <v>807</v>
      </c>
      <c r="M14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fec746a44521f2118fef19237dbf4f91</v>
      </c>
      <c r="N14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fd72ce5cfeedbe66d13df9602b6cff7d</v>
      </c>
      <c r="O145" s="138" t="str" cm="1">
        <f t="array" ref="O145">IFERROR(INDEX(CategoriesTable[Category type],MATCH(Table1[[#This Row],[Category]],CategoriesTable[Category name],0),0),"")</f>
        <v>Expense</v>
      </c>
      <c r="P145" s="138">
        <v>3</v>
      </c>
      <c r="Q145" s="138">
        <f>MONTH(Table1[[#This Row],[Date]])</f>
        <v>12</v>
      </c>
      <c r="R145" s="138">
        <v>2021</v>
      </c>
      <c r="S145" s="139">
        <f>IF(ISBLANK(Table1[[#This Row],[Date]]),"",Table1[[#This Row],[Date]]-WEEKDAY(Table1[[#This Row],[Date]],2)+1)</f>
        <v>44529</v>
      </c>
      <c r="T145" s="140">
        <f>IF(ISBLANK(Table1[[#This Row],[Date]]),"",DATE(Table1[[#This Row],[Date_Year]],Table1[[#This Row],[Date_Month]],1))</f>
        <v>44531</v>
      </c>
    </row>
    <row r="146" spans="2:20" ht="15.75">
      <c r="B146" s="154">
        <v>44533</v>
      </c>
      <c r="C146" s="119" t="s">
        <v>693</v>
      </c>
      <c r="D146" s="119" t="s">
        <v>3477</v>
      </c>
      <c r="E146" s="119" t="s">
        <v>3478</v>
      </c>
      <c r="F146" s="155">
        <v>-150</v>
      </c>
      <c r="G146" s="133" t="str">
        <f>_xlfn.XLOOKUP(Table1[[#This Row],[Account_ID]], Accounts[ID], Accounts[Account nickname], "Unknown")</f>
        <v>WF</v>
      </c>
      <c r="H146" s="134" t="str">
        <f>_xlfn.XLOOKUP(Table1[[#This Row],[Account_ID]], Accounts[ID], Accounts[Account'#], "Unknown")</f>
        <v>4636</v>
      </c>
      <c r="I146" s="135" t="str">
        <f>_xlfn.XLOOKUP(_xlfn.XLOOKUP(Table1[[#This Row],[Account]],Accounts[Account nickname],Accounts[Institution ID]),Institutions[ID],Institutions[Institution nickname],"Unknown")</f>
        <v>Wells Fargo</v>
      </c>
      <c r="J146" s="152" t="s">
        <v>839</v>
      </c>
      <c r="K146" s="137" t="s">
        <v>808</v>
      </c>
      <c r="L146" s="137" t="s">
        <v>807</v>
      </c>
      <c r="M14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013119218f2e4bdd86aa9097992873f8</v>
      </c>
      <c r="N14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48d67d3eb03a0a7e7838a7bf1479fa78</v>
      </c>
      <c r="O146" s="138" t="str" cm="1">
        <f t="array" ref="O146">IFERROR(INDEX(CategoriesTable[Category type],MATCH(Table1[[#This Row],[Category]],CategoriesTable[Category name],0),0),"")</f>
        <v>Expense</v>
      </c>
      <c r="P146" s="138">
        <v>3</v>
      </c>
      <c r="Q146" s="138">
        <f>MONTH(Table1[[#This Row],[Date]])</f>
        <v>12</v>
      </c>
      <c r="R146" s="138">
        <v>2021</v>
      </c>
      <c r="S146" s="139">
        <f>IF(ISBLANK(Table1[[#This Row],[Date]]),"",Table1[[#This Row],[Date]]-WEEKDAY(Table1[[#This Row],[Date]],2)+1)</f>
        <v>44529</v>
      </c>
      <c r="T146" s="140">
        <f>IF(ISBLANK(Table1[[#This Row],[Date]]),"",DATE(Table1[[#This Row],[Date_Year]],Table1[[#This Row],[Date_Month]],1))</f>
        <v>44531</v>
      </c>
    </row>
    <row r="147" spans="2:20" ht="15.75">
      <c r="B147" s="154">
        <v>44532</v>
      </c>
      <c r="C147" s="119" t="s">
        <v>694</v>
      </c>
      <c r="D147" s="119" t="s">
        <v>106</v>
      </c>
      <c r="E147" s="119" t="s">
        <v>178</v>
      </c>
      <c r="F147" s="155">
        <v>-13.22</v>
      </c>
      <c r="G147" s="133" t="str">
        <f>_xlfn.XLOOKUP(Table1[[#This Row],[Account_ID]], Accounts[ID], Accounts[Account nickname], "Unknown")</f>
        <v>WF</v>
      </c>
      <c r="H147" s="134" t="str">
        <f>_xlfn.XLOOKUP(Table1[[#This Row],[Account_ID]], Accounts[ID], Accounts[Account'#], "Unknown")</f>
        <v>4636</v>
      </c>
      <c r="I147" s="135" t="str">
        <f>_xlfn.XLOOKUP(_xlfn.XLOOKUP(Table1[[#This Row],[Account]],Accounts[Account nickname],Accounts[Institution ID]),Institutions[ID],Institutions[Institution nickname],"Unknown")</f>
        <v>Wells Fargo</v>
      </c>
      <c r="J147" s="136" t="s">
        <v>974</v>
      </c>
      <c r="K147" s="137" t="s">
        <v>808</v>
      </c>
      <c r="L147" s="137" t="s">
        <v>807</v>
      </c>
      <c r="M14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3dafc6bd8d7c45ae9840ff09e01567d1</v>
      </c>
      <c r="N14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500e6ba7cba37a7a2a33da8c057b4cb8</v>
      </c>
      <c r="O147" s="138" t="str" cm="1">
        <f t="array" ref="O147">IFERROR(INDEX(CategoriesTable[Category type],MATCH(Table1[[#This Row],[Category]],CategoriesTable[Category name],0),0),"")</f>
        <v>Expense</v>
      </c>
      <c r="P147" s="138">
        <v>2</v>
      </c>
      <c r="Q147" s="138">
        <f>MONTH(Table1[[#This Row],[Date]])</f>
        <v>12</v>
      </c>
      <c r="R147" s="138">
        <v>2021</v>
      </c>
      <c r="S147" s="139">
        <f>IF(ISBLANK(Table1[[#This Row],[Date]]),"",Table1[[#This Row],[Date]]-WEEKDAY(Table1[[#This Row],[Date]],2)+1)</f>
        <v>44529</v>
      </c>
      <c r="T147" s="140">
        <f>IF(ISBLANK(Table1[[#This Row],[Date]]),"",DATE(Table1[[#This Row],[Date_Year]],Table1[[#This Row],[Date_Month]],1))</f>
        <v>44531</v>
      </c>
    </row>
    <row r="148" spans="2:20" ht="15.75">
      <c r="B148" s="154">
        <v>44532</v>
      </c>
      <c r="C148" s="119" t="s">
        <v>677</v>
      </c>
      <c r="D148" s="119" t="s">
        <v>91</v>
      </c>
      <c r="E148" s="119"/>
      <c r="F148" s="155">
        <v>1962.31</v>
      </c>
      <c r="G148" s="133" t="str">
        <f>_xlfn.XLOOKUP(Table1[[#This Row],[Account_ID]], Accounts[ID], Accounts[Account nickname], "Unknown")</f>
        <v>WF</v>
      </c>
      <c r="H148" s="134" t="str">
        <f>_xlfn.XLOOKUP(Table1[[#This Row],[Account_ID]], Accounts[ID], Accounts[Account'#], "Unknown")</f>
        <v>4636</v>
      </c>
      <c r="I148" s="135" t="str">
        <f>_xlfn.XLOOKUP(_xlfn.XLOOKUP(Table1[[#This Row],[Account]],Accounts[Account nickname],Accounts[Institution ID]),Institutions[ID],Institutions[Institution nickname],"Unknown")</f>
        <v>Wells Fargo</v>
      </c>
      <c r="J148" s="136" t="s">
        <v>975</v>
      </c>
      <c r="K148" s="137" t="s">
        <v>808</v>
      </c>
      <c r="L148" s="137" t="s">
        <v>807</v>
      </c>
      <c r="M14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fabfe582932d48b78ac2846c1ec3d43f</v>
      </c>
      <c r="N14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8" s="138" t="str" cm="1">
        <f t="array" ref="O148">IFERROR(INDEX(CategoriesTable[Category type],MATCH(Table1[[#This Row],[Category]],CategoriesTable[Category name],0),0),"")</f>
        <v>Expense</v>
      </c>
      <c r="P148" s="138">
        <v>2</v>
      </c>
      <c r="Q148" s="138">
        <f>MONTH(Table1[[#This Row],[Date]])</f>
        <v>12</v>
      </c>
      <c r="R148" s="138">
        <v>2021</v>
      </c>
      <c r="S148" s="139">
        <f>IF(ISBLANK(Table1[[#This Row],[Date]]),"",Table1[[#This Row],[Date]]-WEEKDAY(Table1[[#This Row],[Date]],2)+1)</f>
        <v>44529</v>
      </c>
      <c r="T148" s="140">
        <f>IF(ISBLANK(Table1[[#This Row],[Date]]),"",DATE(Table1[[#This Row],[Date_Year]],Table1[[#This Row],[Date_Month]],1))</f>
        <v>44531</v>
      </c>
    </row>
    <row r="149" spans="2:20" ht="15.75">
      <c r="B149" s="154">
        <v>44532</v>
      </c>
      <c r="C149" s="119" t="s">
        <v>1405</v>
      </c>
      <c r="D149" s="119" t="s">
        <v>123</v>
      </c>
      <c r="E149" s="119" t="s">
        <v>167</v>
      </c>
      <c r="F149" s="155">
        <v>-10</v>
      </c>
      <c r="G149" s="133" t="str">
        <f>_xlfn.XLOOKUP(Table1[[#This Row],[Account_ID]], Accounts[ID], Accounts[Account nickname], "Unknown")</f>
        <v>Discover</v>
      </c>
      <c r="H149" s="134" t="str">
        <f>_xlfn.XLOOKUP(Table1[[#This Row],[Account_ID]], Accounts[ID], Accounts[Account'#], "Unknown")</f>
        <v>4618</v>
      </c>
      <c r="I149" s="135" t="str">
        <f>_xlfn.XLOOKUP(_xlfn.XLOOKUP(Table1[[#This Row],[Account]],Accounts[Account nickname],Accounts[Institution ID]),Institutions[ID],Institutions[Institution nickname],"Unknown")</f>
        <v>Discover</v>
      </c>
      <c r="J149" s="136" t="s">
        <v>1406</v>
      </c>
      <c r="K149" s="137" t="s">
        <v>843</v>
      </c>
      <c r="L149" s="137" t="s">
        <v>841</v>
      </c>
      <c r="M14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f870f35280fadaf3c3539ad54e3062cd</v>
      </c>
      <c r="N14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8aa9b4db7e16cd2041aa6bfdc219e567</v>
      </c>
      <c r="O149" s="138" t="str" cm="1">
        <f t="array" ref="O149">IFERROR(INDEX(CategoriesTable[Category type],MATCH(Table1[[#This Row],[Category]],CategoriesTable[Category name],0),0),"")</f>
        <v>Expense</v>
      </c>
      <c r="P149" s="138">
        <v>2</v>
      </c>
      <c r="Q149" s="138">
        <f>MONTH(Table1[[#This Row],[Date]])</f>
        <v>12</v>
      </c>
      <c r="R149" s="138">
        <v>2021</v>
      </c>
      <c r="S149" s="139">
        <f>IF(ISBLANK(Table1[[#This Row],[Date]]),"",Table1[[#This Row],[Date]]-WEEKDAY(Table1[[#This Row],[Date]],2)+1)</f>
        <v>44529</v>
      </c>
      <c r="T149" s="140">
        <f>IF(ISBLANK(Table1[[#This Row],[Date]]),"",DATE(Table1[[#This Row],[Date_Year]],Table1[[#This Row],[Date_Month]],1))</f>
        <v>44531</v>
      </c>
    </row>
    <row r="150" spans="2:20" ht="15.75">
      <c r="B150" s="154">
        <v>44531</v>
      </c>
      <c r="C150" s="119" t="s">
        <v>1411</v>
      </c>
      <c r="D150" s="119" t="s">
        <v>103</v>
      </c>
      <c r="E150" s="119"/>
      <c r="F150" s="155">
        <v>-54.01</v>
      </c>
      <c r="G150" s="133" t="str">
        <f>_xlfn.XLOOKUP(Table1[[#This Row],[Account_ID]], Accounts[ID], Accounts[Account nickname], "Unknown")</f>
        <v>BB</v>
      </c>
      <c r="H150" s="134" t="str">
        <f>_xlfn.XLOOKUP(Table1[[#This Row],[Account_ID]], Accounts[ID], Accounts[Account'#], "Unknown")</f>
        <v>4561</v>
      </c>
      <c r="I150" s="135" t="str">
        <f>_xlfn.XLOOKUP(_xlfn.XLOOKUP(Table1[[#This Row],[Account]],Accounts[Account nickname],Accounts[Institution ID]),Institutions[ID],Institutions[Institution nickname],"Unknown")</f>
        <v>Best Buy - Citi Card</v>
      </c>
      <c r="J150" s="136" t="s">
        <v>1412</v>
      </c>
      <c r="K150" s="137" t="s">
        <v>1375</v>
      </c>
      <c r="L150" s="137" t="s">
        <v>1372</v>
      </c>
      <c r="M15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fca5dd8329b743f7b77704e23a1e63ad</v>
      </c>
      <c r="N15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0" s="138" t="str" cm="1">
        <f t="array" ref="O150">IFERROR(INDEX(CategoriesTable[Category type],MATCH(Table1[[#This Row],[Category]],CategoriesTable[Category name],0),0),"")</f>
        <v>Expense</v>
      </c>
      <c r="P150" s="138">
        <v>1</v>
      </c>
      <c r="Q150" s="138">
        <f>MONTH(Table1[[#This Row],[Date]])</f>
        <v>12</v>
      </c>
      <c r="R150" s="138">
        <v>2021</v>
      </c>
      <c r="S150" s="139">
        <f>IF(ISBLANK(Table1[[#This Row],[Date]]),"",Table1[[#This Row],[Date]]-WEEKDAY(Table1[[#This Row],[Date]],2)+1)</f>
        <v>44529</v>
      </c>
      <c r="T150" s="140">
        <f>IF(ISBLANK(Table1[[#This Row],[Date]]),"",DATE(Table1[[#This Row],[Date_Year]],Table1[[#This Row],[Date_Month]],1))</f>
        <v>44531</v>
      </c>
    </row>
    <row r="151" spans="2:20" ht="15.75">
      <c r="B151" s="154">
        <v>44531</v>
      </c>
      <c r="C151" s="119" t="s">
        <v>678</v>
      </c>
      <c r="D151" s="119" t="s">
        <v>122</v>
      </c>
      <c r="E151" s="119"/>
      <c r="F151" s="155">
        <v>-70</v>
      </c>
      <c r="G151" s="133" t="str">
        <f>_xlfn.XLOOKUP(Table1[[#This Row],[Account_ID]], Accounts[ID], Accounts[Account nickname], "Unknown")</f>
        <v>WF</v>
      </c>
      <c r="H151" s="134" t="str">
        <f>_xlfn.XLOOKUP(Table1[[#This Row],[Account_ID]], Accounts[ID], Accounts[Account'#], "Unknown")</f>
        <v>4636</v>
      </c>
      <c r="I151" s="135" t="str">
        <f>_xlfn.XLOOKUP(_xlfn.XLOOKUP(Table1[[#This Row],[Account]],Accounts[Account nickname],Accounts[Institution ID]),Institutions[ID],Institutions[Institution nickname],"Unknown")</f>
        <v>Wells Fargo</v>
      </c>
      <c r="J151" s="136" t="s">
        <v>976</v>
      </c>
      <c r="K151" s="137" t="s">
        <v>808</v>
      </c>
      <c r="L151" s="137" t="s">
        <v>807</v>
      </c>
      <c r="M15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f9fd776a16da81a948d166fcd5952d14</v>
      </c>
      <c r="N15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1" s="138" t="str" cm="1">
        <f t="array" ref="O151">IFERROR(INDEX(CategoriesTable[Category type],MATCH(Table1[[#This Row],[Category]],CategoriesTable[Category name],0),0),"")</f>
        <v>Expense</v>
      </c>
      <c r="P151" s="138">
        <v>1</v>
      </c>
      <c r="Q151" s="138">
        <f>MONTH(Table1[[#This Row],[Date]])</f>
        <v>12</v>
      </c>
      <c r="R151" s="138">
        <v>2021</v>
      </c>
      <c r="S151" s="139">
        <f>IF(ISBLANK(Table1[[#This Row],[Date]]),"",Table1[[#This Row],[Date]]-WEEKDAY(Table1[[#This Row],[Date]],2)+1)</f>
        <v>44529</v>
      </c>
      <c r="T151" s="140">
        <f>IF(ISBLANK(Table1[[#This Row],[Date]]),"",DATE(Table1[[#This Row],[Date_Year]],Table1[[#This Row],[Date_Month]],1))</f>
        <v>44531</v>
      </c>
    </row>
    <row r="152" spans="2:20" ht="15.75">
      <c r="B152" s="154">
        <v>44531</v>
      </c>
      <c r="C152" s="119" t="s">
        <v>1408</v>
      </c>
      <c r="D152" s="119" t="s">
        <v>122</v>
      </c>
      <c r="E152" s="119"/>
      <c r="F152" s="155">
        <v>-7.59</v>
      </c>
      <c r="G152" s="133" t="str">
        <f>_xlfn.XLOOKUP(Table1[[#This Row],[Account_ID]], Accounts[ID], Accounts[Account nickname], "Unknown")</f>
        <v>Discover</v>
      </c>
      <c r="H152" s="134" t="str">
        <f>_xlfn.XLOOKUP(Table1[[#This Row],[Account_ID]], Accounts[ID], Accounts[Account'#], "Unknown")</f>
        <v>4618</v>
      </c>
      <c r="I152" s="135" t="str">
        <f>_xlfn.XLOOKUP(_xlfn.XLOOKUP(Table1[[#This Row],[Account]],Accounts[Account nickname],Accounts[Institution ID]),Institutions[ID],Institutions[Institution nickname],"Unknown")</f>
        <v>Discover</v>
      </c>
      <c r="J152" s="152" t="s">
        <v>1409</v>
      </c>
      <c r="K152" s="137" t="s">
        <v>843</v>
      </c>
      <c r="L152" s="137" t="s">
        <v>841</v>
      </c>
      <c r="M15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f9fd776a16da81a948d166fcd5952d14</v>
      </c>
      <c r="N15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2" s="138" t="str" cm="1">
        <f t="array" ref="O152">IFERROR(INDEX(CategoriesTable[Category type],MATCH(Table1[[#This Row],[Category]],CategoriesTable[Category name],0),0),"")</f>
        <v>Expense</v>
      </c>
      <c r="P152" s="138">
        <v>1</v>
      </c>
      <c r="Q152" s="138">
        <f>MONTH(Table1[[#This Row],[Date]])</f>
        <v>12</v>
      </c>
      <c r="R152" s="138">
        <v>2021</v>
      </c>
      <c r="S152" s="139">
        <f>IF(ISBLANK(Table1[[#This Row],[Date]]),"",Table1[[#This Row],[Date]]-WEEKDAY(Table1[[#This Row],[Date]],2)+1)</f>
        <v>44529</v>
      </c>
      <c r="T152" s="140">
        <f>IF(ISBLANK(Table1[[#This Row],[Date]]),"",DATE(Table1[[#This Row],[Date_Year]],Table1[[#This Row],[Date_Month]],1))</f>
        <v>44531</v>
      </c>
    </row>
    <row r="153" spans="2:20" ht="15.75">
      <c r="B153" s="154">
        <v>44531</v>
      </c>
      <c r="C153" s="119" t="s">
        <v>697</v>
      </c>
      <c r="D153" s="119" t="s">
        <v>123</v>
      </c>
      <c r="E153" s="119" t="s">
        <v>177</v>
      </c>
      <c r="F153" s="155">
        <v>-14.83</v>
      </c>
      <c r="G153" s="133" t="str">
        <f>_xlfn.XLOOKUP(Table1[[#This Row],[Account_ID]], Accounts[ID], Accounts[Account nickname], "Unknown")</f>
        <v>Discover</v>
      </c>
      <c r="H153" s="134" t="str">
        <f>_xlfn.XLOOKUP(Table1[[#This Row],[Account_ID]], Accounts[ID], Accounts[Account'#], "Unknown")</f>
        <v>4618</v>
      </c>
      <c r="I153" s="135" t="str">
        <f>_xlfn.XLOOKUP(_xlfn.XLOOKUP(Table1[[#This Row],[Account]],Accounts[Account nickname],Accounts[Institution ID]),Institutions[ID],Institutions[Institution nickname],"Unknown")</f>
        <v>Discover</v>
      </c>
      <c r="J153" s="136" t="s">
        <v>1407</v>
      </c>
      <c r="K153" s="137" t="s">
        <v>843</v>
      </c>
      <c r="L153" s="137" t="s">
        <v>841</v>
      </c>
      <c r="M15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f870f35280fadaf3c3539ad54e3062cd</v>
      </c>
      <c r="N15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62ae30b53561aa5d303e08e4369dbfc3</v>
      </c>
      <c r="O153" s="138" t="str" cm="1">
        <f t="array" ref="O153">IFERROR(INDEX(CategoriesTable[Category type],MATCH(Table1[[#This Row],[Category]],CategoriesTable[Category name],0),0),"")</f>
        <v>Expense</v>
      </c>
      <c r="P153" s="138">
        <v>1</v>
      </c>
      <c r="Q153" s="138">
        <f>MONTH(Table1[[#This Row],[Date]])</f>
        <v>12</v>
      </c>
      <c r="R153" s="138">
        <v>2021</v>
      </c>
      <c r="S153" s="139">
        <f>IF(ISBLANK(Table1[[#This Row],[Date]]),"",Table1[[#This Row],[Date]]-WEEKDAY(Table1[[#This Row],[Date]],2)+1)</f>
        <v>44529</v>
      </c>
      <c r="T153" s="140">
        <f>IF(ISBLANK(Table1[[#This Row],[Date]]),"",DATE(Table1[[#This Row],[Date_Year]],Table1[[#This Row],[Date_Month]],1))</f>
        <v>44531</v>
      </c>
    </row>
    <row r="154" spans="2:20" ht="15.75">
      <c r="B154" s="154">
        <v>44531</v>
      </c>
      <c r="C154" s="119" t="s">
        <v>698</v>
      </c>
      <c r="D154" s="119" t="s">
        <v>123</v>
      </c>
      <c r="E154" s="119" t="s">
        <v>177</v>
      </c>
      <c r="F154" s="155">
        <v>-9.99</v>
      </c>
      <c r="G154" s="133" t="str">
        <f>_xlfn.XLOOKUP(Table1[[#This Row],[Account_ID]], Accounts[ID], Accounts[Account nickname], "Unknown")</f>
        <v>Discover</v>
      </c>
      <c r="H154" s="134" t="str">
        <f>_xlfn.XLOOKUP(Table1[[#This Row],[Account_ID]], Accounts[ID], Accounts[Account'#], "Unknown")</f>
        <v>4618</v>
      </c>
      <c r="I154" s="135" t="str">
        <f>_xlfn.XLOOKUP(_xlfn.XLOOKUP(Table1[[#This Row],[Account]],Accounts[Account nickname],Accounts[Institution ID]),Institutions[ID],Institutions[Institution nickname],"Unknown")</f>
        <v>Discover</v>
      </c>
      <c r="J154" s="136" t="s">
        <v>1410</v>
      </c>
      <c r="K154" s="137" t="s">
        <v>843</v>
      </c>
      <c r="L154" s="137" t="s">
        <v>841</v>
      </c>
      <c r="M15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f870f35280fadaf3c3539ad54e3062cd</v>
      </c>
      <c r="N15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>62ae30b53561aa5d303e08e4369dbfc3</v>
      </c>
      <c r="O154" s="138" t="str" cm="1">
        <f t="array" ref="O154">IFERROR(INDEX(CategoriesTable[Category type],MATCH(Table1[[#This Row],[Category]],CategoriesTable[Category name],0),0),"")</f>
        <v>Expense</v>
      </c>
      <c r="P154" s="138">
        <v>1</v>
      </c>
      <c r="Q154" s="138">
        <f>MONTH(Table1[[#This Row],[Date]])</f>
        <v>12</v>
      </c>
      <c r="R154" s="138">
        <v>2021</v>
      </c>
      <c r="S154" s="139">
        <f>IF(ISBLANK(Table1[[#This Row],[Date]]),"",Table1[[#This Row],[Date]]-WEEKDAY(Table1[[#This Row],[Date]],2)+1)</f>
        <v>44529</v>
      </c>
      <c r="T154" s="140">
        <f>IF(ISBLANK(Table1[[#This Row],[Date]]),"",DATE(Table1[[#This Row],[Date_Year]],Table1[[#This Row],[Date_Month]],1))</f>
        <v>44531</v>
      </c>
    </row>
    <row r="155" spans="2:20" ht="15.75">
      <c r="B155" s="154">
        <v>44530</v>
      </c>
      <c r="C155" s="119" t="s">
        <v>694</v>
      </c>
      <c r="D155" s="119"/>
      <c r="E155" s="119"/>
      <c r="F155" s="155">
        <v>-12.13</v>
      </c>
      <c r="G155" s="133" t="str">
        <f>_xlfn.XLOOKUP(Table1[[#This Row],[Account_ID]], Accounts[ID], Accounts[Account nickname], "Unknown")</f>
        <v>Discover</v>
      </c>
      <c r="H155" s="134" t="str">
        <f>_xlfn.XLOOKUP(Table1[[#This Row],[Account_ID]], Accounts[ID], Accounts[Account'#], "Unknown")</f>
        <v>4618</v>
      </c>
      <c r="I155" s="135" t="str">
        <f>_xlfn.XLOOKUP(_xlfn.XLOOKUP(Table1[[#This Row],[Account]],Accounts[Account nickname],Accounts[Institution ID]),Institutions[ID],Institutions[Institution nickname],"Unknown")</f>
        <v>Discover</v>
      </c>
      <c r="J155" s="136" t="s">
        <v>1413</v>
      </c>
      <c r="K155" s="137" t="s">
        <v>843</v>
      </c>
      <c r="L155" s="137" t="s">
        <v>841</v>
      </c>
      <c r="M15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5" s="138" t="str" cm="1">
        <f t="array" ref="O155">IFERROR(INDEX(CategoriesTable[Category type],MATCH(Table1[[#This Row],[Category]],CategoriesTable[Category name],0),0),"")</f>
        <v/>
      </c>
      <c r="P155" s="138">
        <v>30</v>
      </c>
      <c r="Q155" s="138">
        <f>MONTH(Table1[[#This Row],[Date]])</f>
        <v>11</v>
      </c>
      <c r="R155" s="138">
        <v>2021</v>
      </c>
      <c r="S155" s="139">
        <f>IF(ISBLANK(Table1[[#This Row],[Date]]),"",Table1[[#This Row],[Date]]-WEEKDAY(Table1[[#This Row],[Date]],2)+1)</f>
        <v>44529</v>
      </c>
      <c r="T155" s="140">
        <f>IF(ISBLANK(Table1[[#This Row],[Date]]),"",DATE(Table1[[#This Row],[Date_Year]],Table1[[#This Row],[Date_Month]],1))</f>
        <v>44501</v>
      </c>
    </row>
    <row r="156" spans="2:20" ht="15.75">
      <c r="B156" s="154">
        <v>44530</v>
      </c>
      <c r="C156" s="119" t="s">
        <v>695</v>
      </c>
      <c r="D156" s="119"/>
      <c r="E156" s="119"/>
      <c r="F156" s="155">
        <v>-37.47</v>
      </c>
      <c r="G156" s="133" t="str">
        <f>_xlfn.XLOOKUP(Table1[[#This Row],[Account_ID]], Accounts[ID], Accounts[Account nickname], "Unknown")</f>
        <v>WF</v>
      </c>
      <c r="H156" s="134" t="str">
        <f>_xlfn.XLOOKUP(Table1[[#This Row],[Account_ID]], Accounts[ID], Accounts[Account'#], "Unknown")</f>
        <v>4636</v>
      </c>
      <c r="I156" s="135" t="str">
        <f>_xlfn.XLOOKUP(_xlfn.XLOOKUP(Table1[[#This Row],[Account]],Accounts[Account nickname],Accounts[Institution ID]),Institutions[ID],Institutions[Institution nickname],"Unknown")</f>
        <v>Wells Fargo</v>
      </c>
      <c r="J156" s="136" t="s">
        <v>977</v>
      </c>
      <c r="K156" s="137" t="s">
        <v>808</v>
      </c>
      <c r="L156" s="137" t="s">
        <v>807</v>
      </c>
      <c r="M15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6" s="138" t="str" cm="1">
        <f t="array" ref="O156">IFERROR(INDEX(CategoriesTable[Category type],MATCH(Table1[[#This Row],[Category]],CategoriesTable[Category name],0),0),"")</f>
        <v/>
      </c>
      <c r="P156" s="138">
        <v>30</v>
      </c>
      <c r="Q156" s="138">
        <f>MONTH(Table1[[#This Row],[Date]])</f>
        <v>11</v>
      </c>
      <c r="R156" s="138">
        <v>2021</v>
      </c>
      <c r="S156" s="139">
        <f>IF(ISBLANK(Table1[[#This Row],[Date]]),"",Table1[[#This Row],[Date]]-WEEKDAY(Table1[[#This Row],[Date]],2)+1)</f>
        <v>44529</v>
      </c>
      <c r="T156" s="140">
        <f>IF(ISBLANK(Table1[[#This Row],[Date]]),"",DATE(Table1[[#This Row],[Date_Year]],Table1[[#This Row],[Date_Month]],1))</f>
        <v>44501</v>
      </c>
    </row>
    <row r="157" spans="2:20" ht="15.75">
      <c r="B157" s="154">
        <v>44530</v>
      </c>
      <c r="C157" s="119" t="s">
        <v>689</v>
      </c>
      <c r="D157" s="119"/>
      <c r="E157" s="119"/>
      <c r="F157" s="155">
        <v>-50.84</v>
      </c>
      <c r="G157" s="133" t="str">
        <f>_xlfn.XLOOKUP(Table1[[#This Row],[Account_ID]], Accounts[ID], Accounts[Account nickname], "Unknown")</f>
        <v>Discover</v>
      </c>
      <c r="H157" s="134" t="str">
        <f>_xlfn.XLOOKUP(Table1[[#This Row],[Account_ID]], Accounts[ID], Accounts[Account'#], "Unknown")</f>
        <v>4618</v>
      </c>
      <c r="I157" s="135" t="str">
        <f>_xlfn.XLOOKUP(_xlfn.XLOOKUP(Table1[[#This Row],[Account]],Accounts[Account nickname],Accounts[Institution ID]),Institutions[ID],Institutions[Institution nickname],"Unknown")</f>
        <v>Discover</v>
      </c>
      <c r="J157" s="136" t="s">
        <v>1414</v>
      </c>
      <c r="K157" s="137" t="s">
        <v>843</v>
      </c>
      <c r="L157" s="137" t="s">
        <v>841</v>
      </c>
      <c r="M15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7" s="138" t="str" cm="1">
        <f t="array" ref="O157">IFERROR(INDEX(CategoriesTable[Category type],MATCH(Table1[[#This Row],[Category]],CategoriesTable[Category name],0),0),"")</f>
        <v/>
      </c>
      <c r="P157" s="138">
        <v>30</v>
      </c>
      <c r="Q157" s="138">
        <f>MONTH(Table1[[#This Row],[Date]])</f>
        <v>11</v>
      </c>
      <c r="R157" s="138">
        <v>2021</v>
      </c>
      <c r="S157" s="139">
        <f>IF(ISBLANK(Table1[[#This Row],[Date]]),"",Table1[[#This Row],[Date]]-WEEKDAY(Table1[[#This Row],[Date]],2)+1)</f>
        <v>44529</v>
      </c>
      <c r="T157" s="140">
        <f>IF(ISBLANK(Table1[[#This Row],[Date]]),"",DATE(Table1[[#This Row],[Date_Year]],Table1[[#This Row],[Date_Month]],1))</f>
        <v>44501</v>
      </c>
    </row>
    <row r="158" spans="2:20" ht="15.75">
      <c r="B158" s="154">
        <v>44529</v>
      </c>
      <c r="C158" s="119" t="s">
        <v>696</v>
      </c>
      <c r="D158" s="119"/>
      <c r="E158" s="119"/>
      <c r="F158" s="155">
        <v>-10</v>
      </c>
      <c r="G158" s="133" t="str">
        <f>_xlfn.XLOOKUP(Table1[[#This Row],[Account_ID]], Accounts[ID], Accounts[Account nickname], "Unknown")</f>
        <v>WF</v>
      </c>
      <c r="H158" s="134" t="str">
        <f>_xlfn.XLOOKUP(Table1[[#This Row],[Account_ID]], Accounts[ID], Accounts[Account'#], "Unknown")</f>
        <v>4636</v>
      </c>
      <c r="I158" s="135" t="str">
        <f>_xlfn.XLOOKUP(_xlfn.XLOOKUP(Table1[[#This Row],[Account]],Accounts[Account nickname],Accounts[Institution ID]),Institutions[ID],Institutions[Institution nickname],"Unknown")</f>
        <v>Wells Fargo</v>
      </c>
      <c r="J158" s="136" t="s">
        <v>978</v>
      </c>
      <c r="K158" s="137" t="s">
        <v>808</v>
      </c>
      <c r="L158" s="137" t="s">
        <v>807</v>
      </c>
      <c r="M15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8" s="138" t="str" cm="1">
        <f t="array" ref="O158">IFERROR(INDEX(CategoriesTable[Category type],MATCH(Table1[[#This Row],[Category]],CategoriesTable[Category name],0),0),"")</f>
        <v/>
      </c>
      <c r="P158" s="138">
        <v>29</v>
      </c>
      <c r="Q158" s="138">
        <f>MONTH(Table1[[#This Row],[Date]])</f>
        <v>11</v>
      </c>
      <c r="R158" s="138">
        <v>2021</v>
      </c>
      <c r="S158" s="139">
        <f>IF(ISBLANK(Table1[[#This Row],[Date]]),"",Table1[[#This Row],[Date]]-WEEKDAY(Table1[[#This Row],[Date]],2)+1)</f>
        <v>44529</v>
      </c>
      <c r="T158" s="140">
        <f>IF(ISBLANK(Table1[[#This Row],[Date]]),"",DATE(Table1[[#This Row],[Date_Year]],Table1[[#This Row],[Date_Month]],1))</f>
        <v>44501</v>
      </c>
    </row>
    <row r="159" spans="2:20" ht="15.75">
      <c r="B159" s="154">
        <v>44529</v>
      </c>
      <c r="C159" s="119" t="s">
        <v>694</v>
      </c>
      <c r="D159" s="119"/>
      <c r="E159" s="119"/>
      <c r="F159" s="155">
        <v>-10.72</v>
      </c>
      <c r="G159" s="133" t="str">
        <f>_xlfn.XLOOKUP(Table1[[#This Row],[Account_ID]], Accounts[ID], Accounts[Account nickname], "Unknown")</f>
        <v>Discover</v>
      </c>
      <c r="H159" s="134" t="str">
        <f>_xlfn.XLOOKUP(Table1[[#This Row],[Account_ID]], Accounts[ID], Accounts[Account'#], "Unknown")</f>
        <v>4618</v>
      </c>
      <c r="I159" s="135" t="str">
        <f>_xlfn.XLOOKUP(_xlfn.XLOOKUP(Table1[[#This Row],[Account]],Accounts[Account nickname],Accounts[Institution ID]),Institutions[ID],Institutions[Institution nickname],"Unknown")</f>
        <v>Discover</v>
      </c>
      <c r="J159" s="136" t="s">
        <v>1415</v>
      </c>
      <c r="K159" s="137" t="s">
        <v>843</v>
      </c>
      <c r="L159" s="137" t="s">
        <v>841</v>
      </c>
      <c r="M15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9" s="138" t="str" cm="1">
        <f t="array" ref="O159">IFERROR(INDEX(CategoriesTable[Category type],MATCH(Table1[[#This Row],[Category]],CategoriesTable[Category name],0),0),"")</f>
        <v/>
      </c>
      <c r="P159" s="138">
        <v>29</v>
      </c>
      <c r="Q159" s="138">
        <f>MONTH(Table1[[#This Row],[Date]])</f>
        <v>11</v>
      </c>
      <c r="R159" s="138">
        <v>2021</v>
      </c>
      <c r="S159" s="139">
        <f>IF(ISBLANK(Table1[[#This Row],[Date]]),"",Table1[[#This Row],[Date]]-WEEKDAY(Table1[[#This Row],[Date]],2)+1)</f>
        <v>44529</v>
      </c>
      <c r="T159" s="140">
        <f>IF(ISBLANK(Table1[[#This Row],[Date]]),"",DATE(Table1[[#This Row],[Date_Year]],Table1[[#This Row],[Date_Month]],1))</f>
        <v>44501</v>
      </c>
    </row>
    <row r="160" spans="2:20" ht="15.75">
      <c r="B160" s="154">
        <v>44528</v>
      </c>
      <c r="C160" s="119" t="s">
        <v>1416</v>
      </c>
      <c r="D160" s="119"/>
      <c r="E160" s="119"/>
      <c r="F160" s="155">
        <v>-34.61</v>
      </c>
      <c r="G160" s="133" t="str">
        <f>_xlfn.XLOOKUP(Table1[[#This Row],[Account_ID]], Accounts[ID], Accounts[Account nickname], "Unknown")</f>
        <v>Discover</v>
      </c>
      <c r="H160" s="134" t="str">
        <f>_xlfn.XLOOKUP(Table1[[#This Row],[Account_ID]], Accounts[ID], Accounts[Account'#], "Unknown")</f>
        <v>4618</v>
      </c>
      <c r="I160" s="135" t="str">
        <f>_xlfn.XLOOKUP(_xlfn.XLOOKUP(Table1[[#This Row],[Account]],Accounts[Account nickname],Accounts[Institution ID]),Institutions[ID],Institutions[Institution nickname],"Unknown")</f>
        <v>Discover</v>
      </c>
      <c r="J160" s="136" t="s">
        <v>1417</v>
      </c>
      <c r="K160" s="137" t="s">
        <v>843</v>
      </c>
      <c r="L160" s="137" t="s">
        <v>841</v>
      </c>
      <c r="M16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0" s="138" t="str" cm="1">
        <f t="array" ref="O160">IFERROR(INDEX(CategoriesTable[Category type],MATCH(Table1[[#This Row],[Category]],CategoriesTable[Category name],0),0),"")</f>
        <v/>
      </c>
      <c r="P160" s="138">
        <v>28</v>
      </c>
      <c r="Q160" s="138">
        <f>MONTH(Table1[[#This Row],[Date]])</f>
        <v>11</v>
      </c>
      <c r="R160" s="138">
        <v>2021</v>
      </c>
      <c r="S160" s="139">
        <f>IF(ISBLANK(Table1[[#This Row],[Date]]),"",Table1[[#This Row],[Date]]-WEEKDAY(Table1[[#This Row],[Date]],2)+1)</f>
        <v>44522</v>
      </c>
      <c r="T160" s="140">
        <f>IF(ISBLANK(Table1[[#This Row],[Date]]),"",DATE(Table1[[#This Row],[Date_Year]],Table1[[#This Row],[Date_Month]],1))</f>
        <v>44501</v>
      </c>
    </row>
    <row r="161" spans="2:20" ht="15.75">
      <c r="B161" s="154">
        <v>44528</v>
      </c>
      <c r="C161" s="119" t="s">
        <v>849</v>
      </c>
      <c r="D161" s="119"/>
      <c r="E161" s="119"/>
      <c r="F161" s="155">
        <v>-26.21</v>
      </c>
      <c r="G161" s="133" t="str">
        <f>_xlfn.XLOOKUP(Table1[[#This Row],[Account_ID]], Accounts[ID], Accounts[Account nickname], "Unknown")</f>
        <v>Discover</v>
      </c>
      <c r="H161" s="134" t="str">
        <f>_xlfn.XLOOKUP(Table1[[#This Row],[Account_ID]], Accounts[ID], Accounts[Account'#], "Unknown")</f>
        <v>4618</v>
      </c>
      <c r="I161" s="135" t="str">
        <f>_xlfn.XLOOKUP(_xlfn.XLOOKUP(Table1[[#This Row],[Account]],Accounts[Account nickname],Accounts[Institution ID]),Institutions[ID],Institutions[Institution nickname],"Unknown")</f>
        <v>Discover</v>
      </c>
      <c r="J161" s="136" t="s">
        <v>1418</v>
      </c>
      <c r="K161" s="137" t="s">
        <v>843</v>
      </c>
      <c r="L161" s="137" t="s">
        <v>841</v>
      </c>
      <c r="M16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1" s="138" t="str" cm="1">
        <f t="array" ref="O161">IFERROR(INDEX(CategoriesTable[Category type],MATCH(Table1[[#This Row],[Category]],CategoriesTable[Category name],0),0),"")</f>
        <v/>
      </c>
      <c r="P161" s="138">
        <v>28</v>
      </c>
      <c r="Q161" s="138">
        <f>MONTH(Table1[[#This Row],[Date]])</f>
        <v>11</v>
      </c>
      <c r="R161" s="138">
        <v>2021</v>
      </c>
      <c r="S161" s="139">
        <f>IF(ISBLANK(Table1[[#This Row],[Date]]),"",Table1[[#This Row],[Date]]-WEEKDAY(Table1[[#This Row],[Date]],2)+1)</f>
        <v>44522</v>
      </c>
      <c r="T161" s="140">
        <f>IF(ISBLANK(Table1[[#This Row],[Date]]),"",DATE(Table1[[#This Row],[Date_Year]],Table1[[#This Row],[Date_Month]],1))</f>
        <v>44501</v>
      </c>
    </row>
    <row r="162" spans="2:20" ht="15.75">
      <c r="B162" s="154">
        <v>44527</v>
      </c>
      <c r="C162" s="119" t="s">
        <v>1419</v>
      </c>
      <c r="D162" s="119"/>
      <c r="E162" s="119"/>
      <c r="F162" s="155">
        <v>-1455.66</v>
      </c>
      <c r="G162" s="133" t="str">
        <f>_xlfn.XLOOKUP(Table1[[#This Row],[Account_ID]], Accounts[ID], Accounts[Account nickname], "Unknown")</f>
        <v>Discover</v>
      </c>
      <c r="H162" s="134" t="str">
        <f>_xlfn.XLOOKUP(Table1[[#This Row],[Account_ID]], Accounts[ID], Accounts[Account'#], "Unknown")</f>
        <v>4618</v>
      </c>
      <c r="I162" s="135" t="str">
        <f>_xlfn.XLOOKUP(_xlfn.XLOOKUP(Table1[[#This Row],[Account]],Accounts[Account nickname],Accounts[Institution ID]),Institutions[ID],Institutions[Institution nickname],"Unknown")</f>
        <v>Discover</v>
      </c>
      <c r="J162" s="136" t="s">
        <v>1420</v>
      </c>
      <c r="K162" s="137" t="s">
        <v>843</v>
      </c>
      <c r="L162" s="137" t="s">
        <v>841</v>
      </c>
      <c r="M16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2" s="138" t="str" cm="1">
        <f t="array" ref="O162">IFERROR(INDEX(CategoriesTable[Category type],MATCH(Table1[[#This Row],[Category]],CategoriesTable[Category name],0),0),"")</f>
        <v/>
      </c>
      <c r="P162" s="138">
        <v>27</v>
      </c>
      <c r="Q162" s="138">
        <f>MONTH(Table1[[#This Row],[Date]])</f>
        <v>11</v>
      </c>
      <c r="R162" s="138">
        <v>2021</v>
      </c>
      <c r="S162" s="139">
        <f>IF(ISBLANK(Table1[[#This Row],[Date]]),"",Table1[[#This Row],[Date]]-WEEKDAY(Table1[[#This Row],[Date]],2)+1)</f>
        <v>44522</v>
      </c>
      <c r="T162" s="140">
        <f>IF(ISBLANK(Table1[[#This Row],[Date]]),"",DATE(Table1[[#This Row],[Date_Year]],Table1[[#This Row],[Date_Month]],1))</f>
        <v>44501</v>
      </c>
    </row>
    <row r="163" spans="2:20" ht="15.75">
      <c r="B163" s="154">
        <v>44526</v>
      </c>
      <c r="C163" s="119" t="s">
        <v>1421</v>
      </c>
      <c r="D163" s="119"/>
      <c r="E163" s="119"/>
      <c r="F163" s="155">
        <v>-29.99</v>
      </c>
      <c r="G163" s="133" t="str">
        <f>_xlfn.XLOOKUP(Table1[[#This Row],[Account_ID]], Accounts[ID], Accounts[Account nickname], "Unknown")</f>
        <v>Discover</v>
      </c>
      <c r="H163" s="134" t="str">
        <f>_xlfn.XLOOKUP(Table1[[#This Row],[Account_ID]], Accounts[ID], Accounts[Account'#], "Unknown")</f>
        <v>4618</v>
      </c>
      <c r="I163" s="135" t="str">
        <f>_xlfn.XLOOKUP(_xlfn.XLOOKUP(Table1[[#This Row],[Account]],Accounts[Account nickname],Accounts[Institution ID]),Institutions[ID],Institutions[Institution nickname],"Unknown")</f>
        <v>Discover</v>
      </c>
      <c r="J163" s="136" t="s">
        <v>1422</v>
      </c>
      <c r="K163" s="137" t="s">
        <v>843</v>
      </c>
      <c r="L163" s="137" t="s">
        <v>841</v>
      </c>
      <c r="M16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3" s="138" t="str" cm="1">
        <f t="array" ref="O163">IFERROR(INDEX(CategoriesTable[Category type],MATCH(Table1[[#This Row],[Category]],CategoriesTable[Category name],0),0),"")</f>
        <v/>
      </c>
      <c r="P163" s="138">
        <v>26</v>
      </c>
      <c r="Q163" s="138">
        <f>MONTH(Table1[[#This Row],[Date]])</f>
        <v>11</v>
      </c>
      <c r="R163" s="138">
        <v>2021</v>
      </c>
      <c r="S163" s="139">
        <f>IF(ISBLANK(Table1[[#This Row],[Date]]),"",Table1[[#This Row],[Date]]-WEEKDAY(Table1[[#This Row],[Date]],2)+1)</f>
        <v>44522</v>
      </c>
      <c r="T163" s="140">
        <f>IF(ISBLANK(Table1[[#This Row],[Date]]),"",DATE(Table1[[#This Row],[Date_Year]],Table1[[#This Row],[Date_Month]],1))</f>
        <v>44501</v>
      </c>
    </row>
    <row r="164" spans="2:20" ht="15.75">
      <c r="B164" s="154">
        <v>44526</v>
      </c>
      <c r="C164" s="119" t="s">
        <v>1423</v>
      </c>
      <c r="D164" s="119"/>
      <c r="E164" s="119"/>
      <c r="F164" s="155">
        <v>-60</v>
      </c>
      <c r="G164" s="133" t="str">
        <f>_xlfn.XLOOKUP(Table1[[#This Row],[Account_ID]], Accounts[ID], Accounts[Account nickname], "Unknown")</f>
        <v>Discover</v>
      </c>
      <c r="H164" s="134" t="str">
        <f>_xlfn.XLOOKUP(Table1[[#This Row],[Account_ID]], Accounts[ID], Accounts[Account'#], "Unknown")</f>
        <v>4618</v>
      </c>
      <c r="I164" s="135" t="str">
        <f>_xlfn.XLOOKUP(_xlfn.XLOOKUP(Table1[[#This Row],[Account]],Accounts[Account nickname],Accounts[Institution ID]),Institutions[ID],Institutions[Institution nickname],"Unknown")</f>
        <v>Discover</v>
      </c>
      <c r="J164" s="136" t="s">
        <v>1424</v>
      </c>
      <c r="K164" s="137" t="s">
        <v>843</v>
      </c>
      <c r="L164" s="137" t="s">
        <v>841</v>
      </c>
      <c r="M16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4" s="138" t="str" cm="1">
        <f t="array" ref="O164">IFERROR(INDEX(CategoriesTable[Category type],MATCH(Table1[[#This Row],[Category]],CategoriesTable[Category name],0),0),"")</f>
        <v/>
      </c>
      <c r="P164" s="138">
        <v>26</v>
      </c>
      <c r="Q164" s="138">
        <f>MONTH(Table1[[#This Row],[Date]])</f>
        <v>11</v>
      </c>
      <c r="R164" s="138">
        <v>2021</v>
      </c>
      <c r="S164" s="139">
        <f>IF(ISBLANK(Table1[[#This Row],[Date]]),"",Table1[[#This Row],[Date]]-WEEKDAY(Table1[[#This Row],[Date]],2)+1)</f>
        <v>44522</v>
      </c>
      <c r="T164" s="140">
        <f>IF(ISBLANK(Table1[[#This Row],[Date]]),"",DATE(Table1[[#This Row],[Date_Year]],Table1[[#This Row],[Date_Month]],1))</f>
        <v>44501</v>
      </c>
    </row>
    <row r="165" spans="2:20" ht="15.75">
      <c r="B165" s="154">
        <v>44525</v>
      </c>
      <c r="C165" s="119" t="s">
        <v>1425</v>
      </c>
      <c r="D165" s="119"/>
      <c r="E165" s="119"/>
      <c r="F165" s="155">
        <v>-320</v>
      </c>
      <c r="G165" s="133" t="str">
        <f>_xlfn.XLOOKUP(Table1[[#This Row],[Account_ID]], Accounts[ID], Accounts[Account nickname], "Unknown")</f>
        <v>Discover</v>
      </c>
      <c r="H165" s="134" t="str">
        <f>_xlfn.XLOOKUP(Table1[[#This Row],[Account_ID]], Accounts[ID], Accounts[Account'#], "Unknown")</f>
        <v>4618</v>
      </c>
      <c r="I165" s="135" t="str">
        <f>_xlfn.XLOOKUP(_xlfn.XLOOKUP(Table1[[#This Row],[Account]],Accounts[Account nickname],Accounts[Institution ID]),Institutions[ID],Institutions[Institution nickname],"Unknown")</f>
        <v>Discover</v>
      </c>
      <c r="J165" s="136" t="s">
        <v>1426</v>
      </c>
      <c r="K165" s="137" t="s">
        <v>843</v>
      </c>
      <c r="L165" s="137" t="s">
        <v>841</v>
      </c>
      <c r="M16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5" s="138" t="str" cm="1">
        <f t="array" ref="O165">IFERROR(INDEX(CategoriesTable[Category type],MATCH(Table1[[#This Row],[Category]],CategoriesTable[Category name],0),0),"")</f>
        <v/>
      </c>
      <c r="P165" s="138">
        <v>25</v>
      </c>
      <c r="Q165" s="138">
        <f>MONTH(Table1[[#This Row],[Date]])</f>
        <v>11</v>
      </c>
      <c r="R165" s="138">
        <v>2021</v>
      </c>
      <c r="S165" s="139">
        <f>IF(ISBLANK(Table1[[#This Row],[Date]]),"",Table1[[#This Row],[Date]]-WEEKDAY(Table1[[#This Row],[Date]],2)+1)</f>
        <v>44522</v>
      </c>
      <c r="T165" s="140">
        <f>IF(ISBLANK(Table1[[#This Row],[Date]]),"",DATE(Table1[[#This Row],[Date_Year]],Table1[[#This Row],[Date_Month]],1))</f>
        <v>44501</v>
      </c>
    </row>
    <row r="166" spans="2:20" ht="15.75">
      <c r="B166" s="154">
        <v>44525</v>
      </c>
      <c r="C166" s="119" t="s">
        <v>689</v>
      </c>
      <c r="D166" s="119"/>
      <c r="E166" s="119"/>
      <c r="F166" s="155">
        <v>-17.350000000000001</v>
      </c>
      <c r="G166" s="133" t="str">
        <f>_xlfn.XLOOKUP(Table1[[#This Row],[Account_ID]], Accounts[ID], Accounts[Account nickname], "Unknown")</f>
        <v>Discover</v>
      </c>
      <c r="H166" s="134" t="str">
        <f>_xlfn.XLOOKUP(Table1[[#This Row],[Account_ID]], Accounts[ID], Accounts[Account'#], "Unknown")</f>
        <v>4618</v>
      </c>
      <c r="I166" s="135" t="str">
        <f>_xlfn.XLOOKUP(_xlfn.XLOOKUP(Table1[[#This Row],[Account]],Accounts[Account nickname],Accounts[Institution ID]),Institutions[ID],Institutions[Institution nickname],"Unknown")</f>
        <v>Discover</v>
      </c>
      <c r="J166" s="136" t="s">
        <v>1427</v>
      </c>
      <c r="K166" s="137" t="s">
        <v>843</v>
      </c>
      <c r="L166" s="137" t="s">
        <v>841</v>
      </c>
      <c r="M16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6" s="138" t="str" cm="1">
        <f t="array" ref="O166">IFERROR(INDEX(CategoriesTable[Category type],MATCH(Table1[[#This Row],[Category]],CategoriesTable[Category name],0),0),"")</f>
        <v/>
      </c>
      <c r="P166" s="138">
        <v>25</v>
      </c>
      <c r="Q166" s="138">
        <f>MONTH(Table1[[#This Row],[Date]])</f>
        <v>11</v>
      </c>
      <c r="R166" s="138">
        <v>2021</v>
      </c>
      <c r="S166" s="139">
        <f>IF(ISBLANK(Table1[[#This Row],[Date]]),"",Table1[[#This Row],[Date]]-WEEKDAY(Table1[[#This Row],[Date]],2)+1)</f>
        <v>44522</v>
      </c>
      <c r="T166" s="140">
        <f>IF(ISBLANK(Table1[[#This Row],[Date]]),"",DATE(Table1[[#This Row],[Date_Year]],Table1[[#This Row],[Date_Month]],1))</f>
        <v>44501</v>
      </c>
    </row>
    <row r="167" spans="2:20" ht="15.75">
      <c r="B167" s="154">
        <v>44524</v>
      </c>
      <c r="C167" s="119" t="s">
        <v>1428</v>
      </c>
      <c r="D167" s="119"/>
      <c r="E167" s="119"/>
      <c r="F167" s="155">
        <v>-14.63</v>
      </c>
      <c r="G167" s="133" t="str">
        <f>_xlfn.XLOOKUP(Table1[[#This Row],[Account_ID]], Accounts[ID], Accounts[Account nickname], "Unknown")</f>
        <v>Discover</v>
      </c>
      <c r="H167" s="134" t="str">
        <f>_xlfn.XLOOKUP(Table1[[#This Row],[Account_ID]], Accounts[ID], Accounts[Account'#], "Unknown")</f>
        <v>4618</v>
      </c>
      <c r="I167" s="135" t="str">
        <f>_xlfn.XLOOKUP(_xlfn.XLOOKUP(Table1[[#This Row],[Account]],Accounts[Account nickname],Accounts[Institution ID]),Institutions[ID],Institutions[Institution nickname],"Unknown")</f>
        <v>Discover</v>
      </c>
      <c r="J167" s="136" t="s">
        <v>1429</v>
      </c>
      <c r="K167" s="137" t="s">
        <v>843</v>
      </c>
      <c r="L167" s="137" t="s">
        <v>841</v>
      </c>
      <c r="M16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7" s="138" t="str" cm="1">
        <f t="array" ref="O167">IFERROR(INDEX(CategoriesTable[Category type],MATCH(Table1[[#This Row],[Category]],CategoriesTable[Category name],0),0),"")</f>
        <v/>
      </c>
      <c r="P167" s="138">
        <v>24</v>
      </c>
      <c r="Q167" s="138">
        <f>MONTH(Table1[[#This Row],[Date]])</f>
        <v>11</v>
      </c>
      <c r="R167" s="138">
        <v>2021</v>
      </c>
      <c r="S167" s="139">
        <f>IF(ISBLANK(Table1[[#This Row],[Date]]),"",Table1[[#This Row],[Date]]-WEEKDAY(Table1[[#This Row],[Date]],2)+1)</f>
        <v>44522</v>
      </c>
      <c r="T167" s="140">
        <f>IF(ISBLANK(Table1[[#This Row],[Date]]),"",DATE(Table1[[#This Row],[Date_Year]],Table1[[#This Row],[Date_Month]],1))</f>
        <v>44501</v>
      </c>
    </row>
    <row r="168" spans="2:20" ht="15.75">
      <c r="B168" s="154">
        <v>44523</v>
      </c>
      <c r="C168" s="119" t="s">
        <v>689</v>
      </c>
      <c r="D168" s="119"/>
      <c r="E168" s="119"/>
      <c r="F168" s="155">
        <v>-32.71</v>
      </c>
      <c r="G168" s="133" t="str">
        <f>_xlfn.XLOOKUP(Table1[[#This Row],[Account_ID]], Accounts[ID], Accounts[Account nickname], "Unknown")</f>
        <v>Discover</v>
      </c>
      <c r="H168" s="134" t="str">
        <f>_xlfn.XLOOKUP(Table1[[#This Row],[Account_ID]], Accounts[ID], Accounts[Account'#], "Unknown")</f>
        <v>4618</v>
      </c>
      <c r="I168" s="135" t="str">
        <f>_xlfn.XLOOKUP(_xlfn.XLOOKUP(Table1[[#This Row],[Account]],Accounts[Account nickname],Accounts[Institution ID]),Institutions[ID],Institutions[Institution nickname],"Unknown")</f>
        <v>Discover</v>
      </c>
      <c r="J168" s="136" t="s">
        <v>1430</v>
      </c>
      <c r="K168" s="137" t="s">
        <v>843</v>
      </c>
      <c r="L168" s="137" t="s">
        <v>841</v>
      </c>
      <c r="M16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8" s="138" t="str" cm="1">
        <f t="array" ref="O168">IFERROR(INDEX(CategoriesTable[Category type],MATCH(Table1[[#This Row],[Category]],CategoriesTable[Category name],0),0),"")</f>
        <v/>
      </c>
      <c r="P168" s="138">
        <v>23</v>
      </c>
      <c r="Q168" s="138">
        <f>MONTH(Table1[[#This Row],[Date]])</f>
        <v>11</v>
      </c>
      <c r="R168" s="138">
        <v>2021</v>
      </c>
      <c r="S168" s="139">
        <f>IF(ISBLANK(Table1[[#This Row],[Date]]),"",Table1[[#This Row],[Date]]-WEEKDAY(Table1[[#This Row],[Date]],2)+1)</f>
        <v>44522</v>
      </c>
      <c r="T168" s="140">
        <f>IF(ISBLANK(Table1[[#This Row],[Date]]),"",DATE(Table1[[#This Row],[Date_Year]],Table1[[#This Row],[Date_Month]],1))</f>
        <v>44501</v>
      </c>
    </row>
    <row r="169" spans="2:20" ht="15.75">
      <c r="B169" s="154">
        <v>44523</v>
      </c>
      <c r="C169" s="119" t="s">
        <v>678</v>
      </c>
      <c r="D169" s="119"/>
      <c r="E169" s="119"/>
      <c r="F169" s="155">
        <v>-70</v>
      </c>
      <c r="G169" s="133" t="str">
        <f>_xlfn.XLOOKUP(Table1[[#This Row],[Account_ID]], Accounts[ID], Accounts[Account nickname], "Unknown")</f>
        <v>WF</v>
      </c>
      <c r="H169" s="134" t="str">
        <f>_xlfn.XLOOKUP(Table1[[#This Row],[Account_ID]], Accounts[ID], Accounts[Account'#], "Unknown")</f>
        <v>4636</v>
      </c>
      <c r="I169" s="135" t="str">
        <f>_xlfn.XLOOKUP(_xlfn.XLOOKUP(Table1[[#This Row],[Account]],Accounts[Account nickname],Accounts[Institution ID]),Institutions[ID],Institutions[Institution nickname],"Unknown")</f>
        <v>Wells Fargo</v>
      </c>
      <c r="J169" s="136" t="s">
        <v>979</v>
      </c>
      <c r="K169" s="137" t="s">
        <v>808</v>
      </c>
      <c r="L169" s="137" t="s">
        <v>807</v>
      </c>
      <c r="M16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9" s="138" t="str" cm="1">
        <f t="array" ref="O169">IFERROR(INDEX(CategoriesTable[Category type],MATCH(Table1[[#This Row],[Category]],CategoriesTable[Category name],0),0),"")</f>
        <v/>
      </c>
      <c r="P169" s="138">
        <v>23</v>
      </c>
      <c r="Q169" s="138">
        <f>MONTH(Table1[[#This Row],[Date]])</f>
        <v>11</v>
      </c>
      <c r="R169" s="138">
        <v>2021</v>
      </c>
      <c r="S169" s="139">
        <f>IF(ISBLANK(Table1[[#This Row],[Date]]),"",Table1[[#This Row],[Date]]-WEEKDAY(Table1[[#This Row],[Date]],2)+1)</f>
        <v>44522</v>
      </c>
      <c r="T169" s="140">
        <f>IF(ISBLANK(Table1[[#This Row],[Date]]),"",DATE(Table1[[#This Row],[Date_Year]],Table1[[#This Row],[Date_Month]],1))</f>
        <v>44501</v>
      </c>
    </row>
    <row r="170" spans="2:20" ht="15.75">
      <c r="B170" s="154">
        <v>44522</v>
      </c>
      <c r="C170" s="119" t="s">
        <v>787</v>
      </c>
      <c r="D170" s="119"/>
      <c r="E170" s="119"/>
      <c r="F170" s="155">
        <v>-75.510000000000005</v>
      </c>
      <c r="G170" s="133" t="str">
        <f>_xlfn.XLOOKUP(Table1[[#This Row],[Account_ID]], Accounts[ID], Accounts[Account nickname], "Unknown")</f>
        <v>Discover</v>
      </c>
      <c r="H170" s="134" t="str">
        <f>_xlfn.XLOOKUP(Table1[[#This Row],[Account_ID]], Accounts[ID], Accounts[Account'#], "Unknown")</f>
        <v>4618</v>
      </c>
      <c r="I170" s="135" t="str">
        <f>_xlfn.XLOOKUP(_xlfn.XLOOKUP(Table1[[#This Row],[Account]],Accounts[Account nickname],Accounts[Institution ID]),Institutions[ID],Institutions[Institution nickname],"Unknown")</f>
        <v>Discover</v>
      </c>
      <c r="J170" s="136" t="s">
        <v>1432</v>
      </c>
      <c r="K170" s="137" t="s">
        <v>843</v>
      </c>
      <c r="L170" s="137" t="s">
        <v>841</v>
      </c>
      <c r="M17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0" s="138" t="str" cm="1">
        <f t="array" ref="O170">IFERROR(INDEX(CategoriesTable[Category type],MATCH(Table1[[#This Row],[Category]],CategoriesTable[Category name],0),0),"")</f>
        <v/>
      </c>
      <c r="P170" s="138">
        <v>22</v>
      </c>
      <c r="Q170" s="138">
        <f>MONTH(Table1[[#This Row],[Date]])</f>
        <v>11</v>
      </c>
      <c r="R170" s="138">
        <v>2021</v>
      </c>
      <c r="S170" s="139">
        <f>IF(ISBLANK(Table1[[#This Row],[Date]]),"",Table1[[#This Row],[Date]]-WEEKDAY(Table1[[#This Row],[Date]],2)+1)</f>
        <v>44522</v>
      </c>
      <c r="T170" s="140">
        <f>IF(ISBLANK(Table1[[#This Row],[Date]]),"",DATE(Table1[[#This Row],[Date_Year]],Table1[[#This Row],[Date_Month]],1))</f>
        <v>44501</v>
      </c>
    </row>
    <row r="171" spans="2:20" ht="15.75">
      <c r="B171" s="154">
        <v>44522</v>
      </c>
      <c r="C171" s="119" t="s">
        <v>694</v>
      </c>
      <c r="D171" s="119"/>
      <c r="E171" s="119"/>
      <c r="F171" s="155">
        <v>-17.23</v>
      </c>
      <c r="G171" s="133" t="str">
        <f>_xlfn.XLOOKUP(Table1[[#This Row],[Account_ID]], Accounts[ID], Accounts[Account nickname], "Unknown")</f>
        <v>Discover</v>
      </c>
      <c r="H171" s="134" t="str">
        <f>_xlfn.XLOOKUP(Table1[[#This Row],[Account_ID]], Accounts[ID], Accounts[Account'#], "Unknown")</f>
        <v>4618</v>
      </c>
      <c r="I171" s="135" t="str">
        <f>_xlfn.XLOOKUP(_xlfn.XLOOKUP(Table1[[#This Row],[Account]],Accounts[Account nickname],Accounts[Institution ID]),Institutions[ID],Institutions[Institution nickname],"Unknown")</f>
        <v>Discover</v>
      </c>
      <c r="J171" s="136" t="s">
        <v>1431</v>
      </c>
      <c r="K171" s="137" t="s">
        <v>843</v>
      </c>
      <c r="L171" s="137" t="s">
        <v>841</v>
      </c>
      <c r="M17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1" s="138" t="str" cm="1">
        <f t="array" ref="O171">IFERROR(INDEX(CategoriesTable[Category type],MATCH(Table1[[#This Row],[Category]],CategoriesTable[Category name],0),0),"")</f>
        <v/>
      </c>
      <c r="P171" s="138">
        <v>22</v>
      </c>
      <c r="Q171" s="138">
        <f>MONTH(Table1[[#This Row],[Date]])</f>
        <v>11</v>
      </c>
      <c r="R171" s="138">
        <v>2021</v>
      </c>
      <c r="S171" s="139">
        <f>IF(ISBLANK(Table1[[#This Row],[Date]]),"",Table1[[#This Row],[Date]]-WEEKDAY(Table1[[#This Row],[Date]],2)+1)</f>
        <v>44522</v>
      </c>
      <c r="T171" s="140">
        <f>IF(ISBLANK(Table1[[#This Row],[Date]]),"",DATE(Table1[[#This Row],[Date_Year]],Table1[[#This Row],[Date_Month]],1))</f>
        <v>44501</v>
      </c>
    </row>
    <row r="172" spans="2:20" ht="15.75">
      <c r="B172" s="154">
        <v>44522</v>
      </c>
      <c r="C172" s="119" t="s">
        <v>936</v>
      </c>
      <c r="D172" s="119"/>
      <c r="E172" s="119"/>
      <c r="F172" s="155">
        <v>-52.11</v>
      </c>
      <c r="G172" s="133" t="str">
        <f>_xlfn.XLOOKUP(Table1[[#This Row],[Account_ID]], Accounts[ID], Accounts[Account nickname], "Unknown")</f>
        <v>Discover</v>
      </c>
      <c r="H172" s="134" t="str">
        <f>_xlfn.XLOOKUP(Table1[[#This Row],[Account_ID]], Accounts[ID], Accounts[Account'#], "Unknown")</f>
        <v>4618</v>
      </c>
      <c r="I172" s="135" t="str">
        <f>_xlfn.XLOOKUP(_xlfn.XLOOKUP(Table1[[#This Row],[Account]],Accounts[Account nickname],Accounts[Institution ID]),Institutions[ID],Institutions[Institution nickname],"Unknown")</f>
        <v>Discover</v>
      </c>
      <c r="J172" s="136" t="s">
        <v>1433</v>
      </c>
      <c r="K172" s="137" t="s">
        <v>843</v>
      </c>
      <c r="L172" s="137" t="s">
        <v>841</v>
      </c>
      <c r="M17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2" s="138" t="str" cm="1">
        <f t="array" ref="O172">IFERROR(INDEX(CategoriesTable[Category type],MATCH(Table1[[#This Row],[Category]],CategoriesTable[Category name],0),0),"")</f>
        <v/>
      </c>
      <c r="P172" s="138">
        <v>22</v>
      </c>
      <c r="Q172" s="138">
        <f>MONTH(Table1[[#This Row],[Date]])</f>
        <v>11</v>
      </c>
      <c r="R172" s="138">
        <v>2021</v>
      </c>
      <c r="S172" s="139">
        <f>IF(ISBLANK(Table1[[#This Row],[Date]]),"",Table1[[#This Row],[Date]]-WEEKDAY(Table1[[#This Row],[Date]],2)+1)</f>
        <v>44522</v>
      </c>
      <c r="T172" s="140">
        <f>IF(ISBLANK(Table1[[#This Row],[Date]]),"",DATE(Table1[[#This Row],[Date_Year]],Table1[[#This Row],[Date_Month]],1))</f>
        <v>44501</v>
      </c>
    </row>
    <row r="173" spans="2:20" ht="15.75">
      <c r="B173" s="154">
        <v>44521</v>
      </c>
      <c r="C173" s="119" t="s">
        <v>1436</v>
      </c>
      <c r="D173" s="119"/>
      <c r="E173" s="119"/>
      <c r="F173" s="155">
        <v>-7.99</v>
      </c>
      <c r="G173" s="133" t="str">
        <f>_xlfn.XLOOKUP(Table1[[#This Row],[Account_ID]], Accounts[ID], Accounts[Account nickname], "Unknown")</f>
        <v>Discover</v>
      </c>
      <c r="H173" s="134" t="str">
        <f>_xlfn.XLOOKUP(Table1[[#This Row],[Account_ID]], Accounts[ID], Accounts[Account'#], "Unknown")</f>
        <v>4618</v>
      </c>
      <c r="I173" s="135" t="str">
        <f>_xlfn.XLOOKUP(_xlfn.XLOOKUP(Table1[[#This Row],[Account]],Accounts[Account nickname],Accounts[Institution ID]),Institutions[ID],Institutions[Institution nickname],"Unknown")</f>
        <v>Discover</v>
      </c>
      <c r="J173" s="136" t="s">
        <v>1437</v>
      </c>
      <c r="K173" s="137" t="s">
        <v>843</v>
      </c>
      <c r="L173" s="137" t="s">
        <v>841</v>
      </c>
      <c r="M17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3" s="138" t="str" cm="1">
        <f t="array" ref="O173">IFERROR(INDEX(CategoriesTable[Category type],MATCH(Table1[[#This Row],[Category]],CategoriesTable[Category name],0),0),"")</f>
        <v/>
      </c>
      <c r="P173" s="138">
        <v>21</v>
      </c>
      <c r="Q173" s="138">
        <f>MONTH(Table1[[#This Row],[Date]])</f>
        <v>11</v>
      </c>
      <c r="R173" s="138">
        <v>2021</v>
      </c>
      <c r="S173" s="139">
        <f>IF(ISBLANK(Table1[[#This Row],[Date]]),"",Table1[[#This Row],[Date]]-WEEKDAY(Table1[[#This Row],[Date]],2)+1)</f>
        <v>44515</v>
      </c>
      <c r="T173" s="140">
        <f>IF(ISBLANK(Table1[[#This Row],[Date]]),"",DATE(Table1[[#This Row],[Date_Year]],Table1[[#This Row],[Date_Month]],1))</f>
        <v>44501</v>
      </c>
    </row>
    <row r="174" spans="2:20" ht="15.75">
      <c r="B174" s="154">
        <v>44521</v>
      </c>
      <c r="C174" s="119" t="s">
        <v>718</v>
      </c>
      <c r="D174" s="119"/>
      <c r="E174" s="119"/>
      <c r="F174" s="155">
        <v>-81.86</v>
      </c>
      <c r="G174" s="133" t="str">
        <f>_xlfn.XLOOKUP(Table1[[#This Row],[Account_ID]], Accounts[ID], Accounts[Account nickname], "Unknown")</f>
        <v>Discover</v>
      </c>
      <c r="H174" s="134" t="str">
        <f>_xlfn.XLOOKUP(Table1[[#This Row],[Account_ID]], Accounts[ID], Accounts[Account'#], "Unknown")</f>
        <v>4618</v>
      </c>
      <c r="I174" s="135" t="str">
        <f>_xlfn.XLOOKUP(_xlfn.XLOOKUP(Table1[[#This Row],[Account]],Accounts[Account nickname],Accounts[Institution ID]),Institutions[ID],Institutions[Institution nickname],"Unknown")</f>
        <v>Discover</v>
      </c>
      <c r="J174" s="136" t="s">
        <v>1438</v>
      </c>
      <c r="K174" s="137" t="s">
        <v>843</v>
      </c>
      <c r="L174" s="137" t="s">
        <v>841</v>
      </c>
      <c r="M17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4" s="138" t="str" cm="1">
        <f t="array" ref="O174">IFERROR(INDEX(CategoriesTable[Category type],MATCH(Table1[[#This Row],[Category]],CategoriesTable[Category name],0),0),"")</f>
        <v/>
      </c>
      <c r="P174" s="138">
        <v>21</v>
      </c>
      <c r="Q174" s="138">
        <f>MONTH(Table1[[#This Row],[Date]])</f>
        <v>11</v>
      </c>
      <c r="R174" s="138">
        <v>2021</v>
      </c>
      <c r="S174" s="139">
        <f>IF(ISBLANK(Table1[[#This Row],[Date]]),"",Table1[[#This Row],[Date]]-WEEKDAY(Table1[[#This Row],[Date]],2)+1)</f>
        <v>44515</v>
      </c>
      <c r="T174" s="140">
        <f>IF(ISBLANK(Table1[[#This Row],[Date]]),"",DATE(Table1[[#This Row],[Date_Year]],Table1[[#This Row],[Date_Month]],1))</f>
        <v>44501</v>
      </c>
    </row>
    <row r="175" spans="2:20" ht="15.75">
      <c r="B175" s="154">
        <v>44521</v>
      </c>
      <c r="C175" s="119" t="s">
        <v>1434</v>
      </c>
      <c r="D175" s="119"/>
      <c r="E175" s="119"/>
      <c r="F175" s="155">
        <v>-54.57</v>
      </c>
      <c r="G175" s="133" t="str">
        <f>_xlfn.XLOOKUP(Table1[[#This Row],[Account_ID]], Accounts[ID], Accounts[Account nickname], "Unknown")</f>
        <v>Discover</v>
      </c>
      <c r="H175" s="134" t="str">
        <f>_xlfn.XLOOKUP(Table1[[#This Row],[Account_ID]], Accounts[ID], Accounts[Account'#], "Unknown")</f>
        <v>4618</v>
      </c>
      <c r="I175" s="135" t="str">
        <f>_xlfn.XLOOKUP(_xlfn.XLOOKUP(Table1[[#This Row],[Account]],Accounts[Account nickname],Accounts[Institution ID]),Institutions[ID],Institutions[Institution nickname],"Unknown")</f>
        <v>Discover</v>
      </c>
      <c r="J175" s="136" t="s">
        <v>1435</v>
      </c>
      <c r="K175" s="137" t="s">
        <v>843</v>
      </c>
      <c r="L175" s="137" t="s">
        <v>841</v>
      </c>
      <c r="M17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5" s="138" t="str" cm="1">
        <f t="array" ref="O175">IFERROR(INDEX(CategoriesTable[Category type],MATCH(Table1[[#This Row],[Category]],CategoriesTable[Category name],0),0),"")</f>
        <v/>
      </c>
      <c r="P175" s="138">
        <v>21</v>
      </c>
      <c r="Q175" s="138">
        <f>MONTH(Table1[[#This Row],[Date]])</f>
        <v>11</v>
      </c>
      <c r="R175" s="138">
        <v>2021</v>
      </c>
      <c r="S175" s="139">
        <f>IF(ISBLANK(Table1[[#This Row],[Date]]),"",Table1[[#This Row],[Date]]-WEEKDAY(Table1[[#This Row],[Date]],2)+1)</f>
        <v>44515</v>
      </c>
      <c r="T175" s="140">
        <f>IF(ISBLANK(Table1[[#This Row],[Date]]),"",DATE(Table1[[#This Row],[Date_Year]],Table1[[#This Row],[Date_Month]],1))</f>
        <v>44501</v>
      </c>
    </row>
    <row r="176" spans="2:20" ht="15.75">
      <c r="B176" s="154">
        <v>44520</v>
      </c>
      <c r="C176" s="119" t="s">
        <v>910</v>
      </c>
      <c r="D176" s="119"/>
      <c r="E176" s="119"/>
      <c r="F176" s="155">
        <v>-5.29</v>
      </c>
      <c r="G176" s="133" t="str">
        <f>_xlfn.XLOOKUP(Table1[[#This Row],[Account_ID]], Accounts[ID], Accounts[Account nickname], "Unknown")</f>
        <v>Discover</v>
      </c>
      <c r="H176" s="134" t="str">
        <f>_xlfn.XLOOKUP(Table1[[#This Row],[Account_ID]], Accounts[ID], Accounts[Account'#], "Unknown")</f>
        <v>4618</v>
      </c>
      <c r="I176" s="135" t="str">
        <f>_xlfn.XLOOKUP(_xlfn.XLOOKUP(Table1[[#This Row],[Account]],Accounts[Account nickname],Accounts[Institution ID]),Institutions[ID],Institutions[Institution nickname],"Unknown")</f>
        <v>Discover</v>
      </c>
      <c r="J176" s="136" t="s">
        <v>1439</v>
      </c>
      <c r="K176" s="137" t="s">
        <v>843</v>
      </c>
      <c r="L176" s="137" t="s">
        <v>841</v>
      </c>
      <c r="M17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6" s="138" t="str" cm="1">
        <f t="array" ref="O176">IFERROR(INDEX(CategoriesTable[Category type],MATCH(Table1[[#This Row],[Category]],CategoriesTable[Category name],0),0),"")</f>
        <v/>
      </c>
      <c r="P176" s="138">
        <v>20</v>
      </c>
      <c r="Q176" s="138">
        <f>MONTH(Table1[[#This Row],[Date]])</f>
        <v>11</v>
      </c>
      <c r="R176" s="138">
        <v>2021</v>
      </c>
      <c r="S176" s="139">
        <f>IF(ISBLANK(Table1[[#This Row],[Date]]),"",Table1[[#This Row],[Date]]-WEEKDAY(Table1[[#This Row],[Date]],2)+1)</f>
        <v>44515</v>
      </c>
      <c r="T176" s="140">
        <f>IF(ISBLANK(Table1[[#This Row],[Date]]),"",DATE(Table1[[#This Row],[Date_Year]],Table1[[#This Row],[Date_Month]],1))</f>
        <v>44501</v>
      </c>
    </row>
    <row r="177" spans="2:20" ht="15.75">
      <c r="B177" s="154">
        <v>44520</v>
      </c>
      <c r="C177" s="119" t="s">
        <v>1440</v>
      </c>
      <c r="D177" s="119"/>
      <c r="E177" s="119"/>
      <c r="F177" s="155">
        <v>-15</v>
      </c>
      <c r="G177" s="133" t="str">
        <f>_xlfn.XLOOKUP(Table1[[#This Row],[Account_ID]], Accounts[ID], Accounts[Account nickname], "Unknown")</f>
        <v>Discover</v>
      </c>
      <c r="H177" s="134" t="str">
        <f>_xlfn.XLOOKUP(Table1[[#This Row],[Account_ID]], Accounts[ID], Accounts[Account'#], "Unknown")</f>
        <v>4618</v>
      </c>
      <c r="I177" s="135" t="str">
        <f>_xlfn.XLOOKUP(_xlfn.XLOOKUP(Table1[[#This Row],[Account]],Accounts[Account nickname],Accounts[Institution ID]),Institutions[ID],Institutions[Institution nickname],"Unknown")</f>
        <v>Discover</v>
      </c>
      <c r="J177" s="136" t="s">
        <v>1441</v>
      </c>
      <c r="K177" s="137" t="s">
        <v>843</v>
      </c>
      <c r="L177" s="137" t="s">
        <v>841</v>
      </c>
      <c r="M17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7" s="138" t="str" cm="1">
        <f t="array" ref="O177">IFERROR(INDEX(CategoriesTable[Category type],MATCH(Table1[[#This Row],[Category]],CategoriesTable[Category name],0),0),"")</f>
        <v/>
      </c>
      <c r="P177" s="138">
        <v>20</v>
      </c>
      <c r="Q177" s="138">
        <f>MONTH(Table1[[#This Row],[Date]])</f>
        <v>11</v>
      </c>
      <c r="R177" s="138">
        <v>2021</v>
      </c>
      <c r="S177" s="139">
        <f>IF(ISBLANK(Table1[[#This Row],[Date]]),"",Table1[[#This Row],[Date]]-WEEKDAY(Table1[[#This Row],[Date]],2)+1)</f>
        <v>44515</v>
      </c>
      <c r="T177" s="140">
        <f>IF(ISBLANK(Table1[[#This Row],[Date]]),"",DATE(Table1[[#This Row],[Date_Year]],Table1[[#This Row],[Date_Month]],1))</f>
        <v>44501</v>
      </c>
    </row>
    <row r="178" spans="2:20" ht="15.75">
      <c r="B178" s="154">
        <v>44519</v>
      </c>
      <c r="C178" s="119" t="s">
        <v>678</v>
      </c>
      <c r="D178" s="119"/>
      <c r="E178" s="119"/>
      <c r="F178" s="155">
        <v>-50</v>
      </c>
      <c r="G178" s="133" t="str">
        <f>_xlfn.XLOOKUP(Table1[[#This Row],[Account_ID]], Accounts[ID], Accounts[Account nickname], "Unknown")</f>
        <v>WF</v>
      </c>
      <c r="H178" s="134" t="str">
        <f>_xlfn.XLOOKUP(Table1[[#This Row],[Account_ID]], Accounts[ID], Accounts[Account'#], "Unknown")</f>
        <v>4636</v>
      </c>
      <c r="I178" s="135" t="str">
        <f>_xlfn.XLOOKUP(_xlfn.XLOOKUP(Table1[[#This Row],[Account]],Accounts[Account nickname],Accounts[Institution ID]),Institutions[ID],Institutions[Institution nickname],"Unknown")</f>
        <v>Wells Fargo</v>
      </c>
      <c r="J178" s="136" t="s">
        <v>980</v>
      </c>
      <c r="K178" s="137" t="s">
        <v>808</v>
      </c>
      <c r="L178" s="137" t="s">
        <v>807</v>
      </c>
      <c r="M17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8" s="138" t="str" cm="1">
        <f t="array" ref="O178">IFERROR(INDEX(CategoriesTable[Category type],MATCH(Table1[[#This Row],[Category]],CategoriesTable[Category name],0),0),"")</f>
        <v/>
      </c>
      <c r="P178" s="138">
        <v>19</v>
      </c>
      <c r="Q178" s="138">
        <f>MONTH(Table1[[#This Row],[Date]])</f>
        <v>11</v>
      </c>
      <c r="R178" s="138">
        <v>2021</v>
      </c>
      <c r="S178" s="139">
        <f>IF(ISBLANK(Table1[[#This Row],[Date]]),"",Table1[[#This Row],[Date]]-WEEKDAY(Table1[[#This Row],[Date]],2)+1)</f>
        <v>44515</v>
      </c>
      <c r="T178" s="140">
        <f>IF(ISBLANK(Table1[[#This Row],[Date]]),"",DATE(Table1[[#This Row],[Date_Year]],Table1[[#This Row],[Date_Month]],1))</f>
        <v>44501</v>
      </c>
    </row>
    <row r="179" spans="2:20" ht="15.75">
      <c r="B179" s="154">
        <v>44519</v>
      </c>
      <c r="C179" s="119" t="s">
        <v>1447</v>
      </c>
      <c r="D179" s="119"/>
      <c r="E179" s="119"/>
      <c r="F179" s="155">
        <v>-4.5</v>
      </c>
      <c r="G179" s="133" t="str">
        <f>_xlfn.XLOOKUP(Table1[[#This Row],[Account_ID]], Accounts[ID], Accounts[Account nickname], "Unknown")</f>
        <v>Discover</v>
      </c>
      <c r="H179" s="134" t="str">
        <f>_xlfn.XLOOKUP(Table1[[#This Row],[Account_ID]], Accounts[ID], Accounts[Account'#], "Unknown")</f>
        <v>4618</v>
      </c>
      <c r="I179" s="135" t="str">
        <f>_xlfn.XLOOKUP(_xlfn.XLOOKUP(Table1[[#This Row],[Account]],Accounts[Account nickname],Accounts[Institution ID]),Institutions[ID],Institutions[Institution nickname],"Unknown")</f>
        <v>Discover</v>
      </c>
      <c r="J179" s="136" t="s">
        <v>1448</v>
      </c>
      <c r="K179" s="137" t="s">
        <v>843</v>
      </c>
      <c r="L179" s="137" t="s">
        <v>841</v>
      </c>
      <c r="M17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9" s="138" t="str" cm="1">
        <f t="array" ref="O179">IFERROR(INDEX(CategoriesTable[Category type],MATCH(Table1[[#This Row],[Category]],CategoriesTable[Category name],0),0),"")</f>
        <v/>
      </c>
      <c r="P179" s="138">
        <v>19</v>
      </c>
      <c r="Q179" s="138">
        <f>MONTH(Table1[[#This Row],[Date]])</f>
        <v>11</v>
      </c>
      <c r="R179" s="138">
        <v>2021</v>
      </c>
      <c r="S179" s="139">
        <f>IF(ISBLANK(Table1[[#This Row],[Date]]),"",Table1[[#This Row],[Date]]-WEEKDAY(Table1[[#This Row],[Date]],2)+1)</f>
        <v>44515</v>
      </c>
      <c r="T179" s="140">
        <f>IF(ISBLANK(Table1[[#This Row],[Date]]),"",DATE(Table1[[#This Row],[Date_Year]],Table1[[#This Row],[Date_Month]],1))</f>
        <v>44501</v>
      </c>
    </row>
    <row r="180" spans="2:20" ht="15.75">
      <c r="B180" s="154">
        <v>44519</v>
      </c>
      <c r="C180" s="119" t="s">
        <v>1401</v>
      </c>
      <c r="D180" s="119"/>
      <c r="E180" s="119"/>
      <c r="F180" s="155">
        <v>-22</v>
      </c>
      <c r="G180" s="133" t="str">
        <f>_xlfn.XLOOKUP(Table1[[#This Row],[Account_ID]], Accounts[ID], Accounts[Account nickname], "Unknown")</f>
        <v>Discover</v>
      </c>
      <c r="H180" s="134" t="str">
        <f>_xlfn.XLOOKUP(Table1[[#This Row],[Account_ID]], Accounts[ID], Accounts[Account'#], "Unknown")</f>
        <v>4618</v>
      </c>
      <c r="I180" s="135" t="str">
        <f>_xlfn.XLOOKUP(_xlfn.XLOOKUP(Table1[[#This Row],[Account]],Accounts[Account nickname],Accounts[Institution ID]),Institutions[ID],Institutions[Institution nickname],"Unknown")</f>
        <v>Discover</v>
      </c>
      <c r="J180" s="136" t="s">
        <v>1442</v>
      </c>
      <c r="K180" s="137" t="s">
        <v>843</v>
      </c>
      <c r="L180" s="137" t="s">
        <v>841</v>
      </c>
      <c r="M18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0" s="138" t="str" cm="1">
        <f t="array" ref="O180">IFERROR(INDEX(CategoriesTable[Category type],MATCH(Table1[[#This Row],[Category]],CategoriesTable[Category name],0),0),"")</f>
        <v/>
      </c>
      <c r="P180" s="138">
        <v>19</v>
      </c>
      <c r="Q180" s="138">
        <f>MONTH(Table1[[#This Row],[Date]])</f>
        <v>11</v>
      </c>
      <c r="R180" s="138">
        <v>2021</v>
      </c>
      <c r="S180" s="139">
        <f>IF(ISBLANK(Table1[[#This Row],[Date]]),"",Table1[[#This Row],[Date]]-WEEKDAY(Table1[[#This Row],[Date]],2)+1)</f>
        <v>44515</v>
      </c>
      <c r="T180" s="140">
        <f>IF(ISBLANK(Table1[[#This Row],[Date]]),"",DATE(Table1[[#This Row],[Date_Year]],Table1[[#This Row],[Date_Month]],1))</f>
        <v>44501</v>
      </c>
    </row>
    <row r="181" spans="2:20" ht="15.75">
      <c r="B181" s="154">
        <v>44519</v>
      </c>
      <c r="C181" s="119" t="s">
        <v>1445</v>
      </c>
      <c r="D181" s="119"/>
      <c r="E181" s="119"/>
      <c r="F181" s="155">
        <v>-15.22</v>
      </c>
      <c r="G181" s="133" t="str">
        <f>_xlfn.XLOOKUP(Table1[[#This Row],[Account_ID]], Accounts[ID], Accounts[Account nickname], "Unknown")</f>
        <v>Discover</v>
      </c>
      <c r="H181" s="134" t="str">
        <f>_xlfn.XLOOKUP(Table1[[#This Row],[Account_ID]], Accounts[ID], Accounts[Account'#], "Unknown")</f>
        <v>4618</v>
      </c>
      <c r="I181" s="135" t="str">
        <f>_xlfn.XLOOKUP(_xlfn.XLOOKUP(Table1[[#This Row],[Account]],Accounts[Account nickname],Accounts[Institution ID]),Institutions[ID],Institutions[Institution nickname],"Unknown")</f>
        <v>Discover</v>
      </c>
      <c r="J181" s="136" t="s">
        <v>1446</v>
      </c>
      <c r="K181" s="137" t="s">
        <v>843</v>
      </c>
      <c r="L181" s="137" t="s">
        <v>841</v>
      </c>
      <c r="M18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1" s="138" t="str" cm="1">
        <f t="array" ref="O181">IFERROR(INDEX(CategoriesTable[Category type],MATCH(Table1[[#This Row],[Category]],CategoriesTable[Category name],0),0),"")</f>
        <v/>
      </c>
      <c r="P181" s="138">
        <v>19</v>
      </c>
      <c r="Q181" s="138">
        <f>MONTH(Table1[[#This Row],[Date]])</f>
        <v>11</v>
      </c>
      <c r="R181" s="138">
        <v>2021</v>
      </c>
      <c r="S181" s="139">
        <f>IF(ISBLANK(Table1[[#This Row],[Date]]),"",Table1[[#This Row],[Date]]-WEEKDAY(Table1[[#This Row],[Date]],2)+1)</f>
        <v>44515</v>
      </c>
      <c r="T181" s="140">
        <f>IF(ISBLANK(Table1[[#This Row],[Date]]),"",DATE(Table1[[#This Row],[Date_Year]],Table1[[#This Row],[Date_Month]],1))</f>
        <v>44501</v>
      </c>
    </row>
    <row r="182" spans="2:20" ht="15.75">
      <c r="B182" s="154">
        <v>44519</v>
      </c>
      <c r="C182" s="119" t="s">
        <v>890</v>
      </c>
      <c r="D182" s="119"/>
      <c r="E182" s="119"/>
      <c r="F182" s="155">
        <v>-102.06</v>
      </c>
      <c r="G182" s="133" t="str">
        <f>_xlfn.XLOOKUP(Table1[[#This Row],[Account_ID]], Accounts[ID], Accounts[Account nickname], "Unknown")</f>
        <v>Discover</v>
      </c>
      <c r="H182" s="134" t="str">
        <f>_xlfn.XLOOKUP(Table1[[#This Row],[Account_ID]], Accounts[ID], Accounts[Account'#], "Unknown")</f>
        <v>4618</v>
      </c>
      <c r="I182" s="135" t="str">
        <f>_xlfn.XLOOKUP(_xlfn.XLOOKUP(Table1[[#This Row],[Account]],Accounts[Account nickname],Accounts[Institution ID]),Institutions[ID],Institutions[Institution nickname],"Unknown")</f>
        <v>Discover</v>
      </c>
      <c r="J182" s="136" t="s">
        <v>1449</v>
      </c>
      <c r="K182" s="137" t="s">
        <v>843</v>
      </c>
      <c r="L182" s="137" t="s">
        <v>841</v>
      </c>
      <c r="M18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2" s="138" t="str" cm="1">
        <f t="array" ref="O182">IFERROR(INDEX(CategoriesTable[Category type],MATCH(Table1[[#This Row],[Category]],CategoriesTable[Category name],0),0),"")</f>
        <v/>
      </c>
      <c r="P182" s="138">
        <v>19</v>
      </c>
      <c r="Q182" s="138">
        <f>MONTH(Table1[[#This Row],[Date]])</f>
        <v>11</v>
      </c>
      <c r="R182" s="138">
        <v>2021</v>
      </c>
      <c r="S182" s="139">
        <f>IF(ISBLANK(Table1[[#This Row],[Date]]),"",Table1[[#This Row],[Date]]-WEEKDAY(Table1[[#This Row],[Date]],2)+1)</f>
        <v>44515</v>
      </c>
      <c r="T182" s="140">
        <f>IF(ISBLANK(Table1[[#This Row],[Date]]),"",DATE(Table1[[#This Row],[Date_Year]],Table1[[#This Row],[Date_Month]],1))</f>
        <v>44501</v>
      </c>
    </row>
    <row r="183" spans="2:20" ht="15.75">
      <c r="B183" s="154">
        <v>44519</v>
      </c>
      <c r="C183" s="119" t="s">
        <v>1443</v>
      </c>
      <c r="D183" s="119"/>
      <c r="E183" s="119"/>
      <c r="F183" s="155">
        <v>-30</v>
      </c>
      <c r="G183" s="133" t="str">
        <f>_xlfn.XLOOKUP(Table1[[#This Row],[Account_ID]], Accounts[ID], Accounts[Account nickname], "Unknown")</f>
        <v>Discover</v>
      </c>
      <c r="H183" s="134" t="str">
        <f>_xlfn.XLOOKUP(Table1[[#This Row],[Account_ID]], Accounts[ID], Accounts[Account'#], "Unknown")</f>
        <v>4618</v>
      </c>
      <c r="I183" s="135" t="str">
        <f>_xlfn.XLOOKUP(_xlfn.XLOOKUP(Table1[[#This Row],[Account]],Accounts[Account nickname],Accounts[Institution ID]),Institutions[ID],Institutions[Institution nickname],"Unknown")</f>
        <v>Discover</v>
      </c>
      <c r="J183" s="136" t="s">
        <v>1444</v>
      </c>
      <c r="K183" s="137" t="s">
        <v>843</v>
      </c>
      <c r="L183" s="137" t="s">
        <v>841</v>
      </c>
      <c r="M18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3" s="138" t="str" cm="1">
        <f t="array" ref="O183">IFERROR(INDEX(CategoriesTable[Category type],MATCH(Table1[[#This Row],[Category]],CategoriesTable[Category name],0),0),"")</f>
        <v/>
      </c>
      <c r="P183" s="138">
        <v>19</v>
      </c>
      <c r="Q183" s="138">
        <f>MONTH(Table1[[#This Row],[Date]])</f>
        <v>11</v>
      </c>
      <c r="R183" s="138">
        <v>2021</v>
      </c>
      <c r="S183" s="139">
        <f>IF(ISBLANK(Table1[[#This Row],[Date]]),"",Table1[[#This Row],[Date]]-WEEKDAY(Table1[[#This Row],[Date]],2)+1)</f>
        <v>44515</v>
      </c>
      <c r="T183" s="140">
        <f>IF(ISBLANK(Table1[[#This Row],[Date]]),"",DATE(Table1[[#This Row],[Date_Year]],Table1[[#This Row],[Date_Month]],1))</f>
        <v>44501</v>
      </c>
    </row>
    <row r="184" spans="2:20" ht="15.75">
      <c r="B184" s="154">
        <v>44518</v>
      </c>
      <c r="C184" s="119" t="s">
        <v>907</v>
      </c>
      <c r="D184" s="119"/>
      <c r="E184" s="119"/>
      <c r="F184" s="155">
        <v>-4.5599999999999996</v>
      </c>
      <c r="G184" s="133" t="str">
        <f>_xlfn.XLOOKUP(Table1[[#This Row],[Account_ID]], Accounts[ID], Accounts[Account nickname], "Unknown")</f>
        <v>Discover</v>
      </c>
      <c r="H184" s="134" t="str">
        <f>_xlfn.XLOOKUP(Table1[[#This Row],[Account_ID]], Accounts[ID], Accounts[Account'#], "Unknown")</f>
        <v>4618</v>
      </c>
      <c r="I184" s="135" t="str">
        <f>_xlfn.XLOOKUP(_xlfn.XLOOKUP(Table1[[#This Row],[Account]],Accounts[Account nickname],Accounts[Institution ID]),Institutions[ID],Institutions[Institution nickname],"Unknown")</f>
        <v>Discover</v>
      </c>
      <c r="J184" s="136" t="s">
        <v>1455</v>
      </c>
      <c r="K184" s="137" t="s">
        <v>843</v>
      </c>
      <c r="L184" s="137" t="s">
        <v>841</v>
      </c>
      <c r="M18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4" s="138" t="str" cm="1">
        <f t="array" ref="O184">IFERROR(INDEX(CategoriesTable[Category type],MATCH(Table1[[#This Row],[Category]],CategoriesTable[Category name],0),0),"")</f>
        <v/>
      </c>
      <c r="P184" s="138">
        <v>18</v>
      </c>
      <c r="Q184" s="138">
        <f>MONTH(Table1[[#This Row],[Date]])</f>
        <v>11</v>
      </c>
      <c r="R184" s="138">
        <v>2021</v>
      </c>
      <c r="S184" s="139">
        <f>IF(ISBLANK(Table1[[#This Row],[Date]]),"",Table1[[#This Row],[Date]]-WEEKDAY(Table1[[#This Row],[Date]],2)+1)</f>
        <v>44515</v>
      </c>
      <c r="T184" s="140">
        <f>IF(ISBLANK(Table1[[#This Row],[Date]]),"",DATE(Table1[[#This Row],[Date_Year]],Table1[[#This Row],[Date_Month]],1))</f>
        <v>44501</v>
      </c>
    </row>
    <row r="185" spans="2:20" ht="15.75">
      <c r="B185" s="154">
        <v>44518</v>
      </c>
      <c r="C185" s="119" t="s">
        <v>1461</v>
      </c>
      <c r="D185" s="119"/>
      <c r="E185" s="119"/>
      <c r="F185" s="155">
        <v>-50</v>
      </c>
      <c r="G185" s="133" t="str">
        <f>_xlfn.XLOOKUP(Table1[[#This Row],[Account_ID]], Accounts[ID], Accounts[Account nickname], "Unknown")</f>
        <v>Discover</v>
      </c>
      <c r="H185" s="134" t="str">
        <f>_xlfn.XLOOKUP(Table1[[#This Row],[Account_ID]], Accounts[ID], Accounts[Account'#], "Unknown")</f>
        <v>4618</v>
      </c>
      <c r="I185" s="135" t="str">
        <f>_xlfn.XLOOKUP(_xlfn.XLOOKUP(Table1[[#This Row],[Account]],Accounts[Account nickname],Accounts[Institution ID]),Institutions[ID],Institutions[Institution nickname],"Unknown")</f>
        <v>Discover</v>
      </c>
      <c r="J185" s="136" t="s">
        <v>1462</v>
      </c>
      <c r="K185" s="137" t="s">
        <v>843</v>
      </c>
      <c r="L185" s="137" t="s">
        <v>841</v>
      </c>
      <c r="M18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5" s="138" t="str" cm="1">
        <f t="array" ref="O185">IFERROR(INDEX(CategoriesTable[Category type],MATCH(Table1[[#This Row],[Category]],CategoriesTable[Category name],0),0),"")</f>
        <v/>
      </c>
      <c r="P185" s="138">
        <v>18</v>
      </c>
      <c r="Q185" s="138">
        <f>MONTH(Table1[[#This Row],[Date]])</f>
        <v>11</v>
      </c>
      <c r="R185" s="138">
        <v>2021</v>
      </c>
      <c r="S185" s="139">
        <f>IF(ISBLANK(Table1[[#This Row],[Date]]),"",Table1[[#This Row],[Date]]-WEEKDAY(Table1[[#This Row],[Date]],2)+1)</f>
        <v>44515</v>
      </c>
      <c r="T185" s="140">
        <f>IF(ISBLANK(Table1[[#This Row],[Date]]),"",DATE(Table1[[#This Row],[Date_Year]],Table1[[#This Row],[Date_Month]],1))</f>
        <v>44501</v>
      </c>
    </row>
    <row r="186" spans="2:20" ht="15.75">
      <c r="B186" s="154">
        <v>44518</v>
      </c>
      <c r="C186" s="119" t="s">
        <v>907</v>
      </c>
      <c r="D186" s="119"/>
      <c r="E186" s="119"/>
      <c r="F186" s="155">
        <v>-15.64</v>
      </c>
      <c r="G186" s="133" t="str">
        <f>_xlfn.XLOOKUP(Table1[[#This Row],[Account_ID]], Accounts[ID], Accounts[Account nickname], "Unknown")</f>
        <v>Discover</v>
      </c>
      <c r="H186" s="134" t="str">
        <f>_xlfn.XLOOKUP(Table1[[#This Row],[Account_ID]], Accounts[ID], Accounts[Account'#], "Unknown")</f>
        <v>4618</v>
      </c>
      <c r="I186" s="135" t="str">
        <f>_xlfn.XLOOKUP(_xlfn.XLOOKUP(Table1[[#This Row],[Account]],Accounts[Account nickname],Accounts[Institution ID]),Institutions[ID],Institutions[Institution nickname],"Unknown")</f>
        <v>Discover</v>
      </c>
      <c r="J186" s="136" t="s">
        <v>1456</v>
      </c>
      <c r="K186" s="137" t="s">
        <v>843</v>
      </c>
      <c r="L186" s="137" t="s">
        <v>841</v>
      </c>
      <c r="M18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6" s="138" t="str" cm="1">
        <f t="array" ref="O186">IFERROR(INDEX(CategoriesTable[Category type],MATCH(Table1[[#This Row],[Category]],CategoriesTable[Category name],0),0),"")</f>
        <v/>
      </c>
      <c r="P186" s="138">
        <v>18</v>
      </c>
      <c r="Q186" s="138">
        <f>MONTH(Table1[[#This Row],[Date]])</f>
        <v>11</v>
      </c>
      <c r="R186" s="138">
        <v>2021</v>
      </c>
      <c r="S186" s="139">
        <f>IF(ISBLANK(Table1[[#This Row],[Date]]),"",Table1[[#This Row],[Date]]-WEEKDAY(Table1[[#This Row],[Date]],2)+1)</f>
        <v>44515</v>
      </c>
      <c r="T186" s="140">
        <f>IF(ISBLANK(Table1[[#This Row],[Date]]),"",DATE(Table1[[#This Row],[Date_Year]],Table1[[#This Row],[Date_Month]],1))</f>
        <v>44501</v>
      </c>
    </row>
    <row r="187" spans="2:20" ht="15.75">
      <c r="B187" s="154">
        <v>44518</v>
      </c>
      <c r="C187" s="119" t="s">
        <v>1459</v>
      </c>
      <c r="D187" s="119"/>
      <c r="E187" s="119"/>
      <c r="F187" s="155">
        <v>-30</v>
      </c>
      <c r="G187" s="133" t="str">
        <f>_xlfn.XLOOKUP(Table1[[#This Row],[Account_ID]], Accounts[ID], Accounts[Account nickname], "Unknown")</f>
        <v>Discover</v>
      </c>
      <c r="H187" s="134" t="str">
        <f>_xlfn.XLOOKUP(Table1[[#This Row],[Account_ID]], Accounts[ID], Accounts[Account'#], "Unknown")</f>
        <v>4618</v>
      </c>
      <c r="I187" s="135" t="str">
        <f>_xlfn.XLOOKUP(_xlfn.XLOOKUP(Table1[[#This Row],[Account]],Accounts[Account nickname],Accounts[Institution ID]),Institutions[ID],Institutions[Institution nickname],"Unknown")</f>
        <v>Discover</v>
      </c>
      <c r="J187" s="136" t="s">
        <v>1460</v>
      </c>
      <c r="K187" s="137" t="s">
        <v>843</v>
      </c>
      <c r="L187" s="137" t="s">
        <v>841</v>
      </c>
      <c r="M18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7" s="138" t="str" cm="1">
        <f t="array" ref="O187">IFERROR(INDEX(CategoriesTable[Category type],MATCH(Table1[[#This Row],[Category]],CategoriesTable[Category name],0),0),"")</f>
        <v/>
      </c>
      <c r="P187" s="138">
        <v>18</v>
      </c>
      <c r="Q187" s="138">
        <f>MONTH(Table1[[#This Row],[Date]])</f>
        <v>11</v>
      </c>
      <c r="R187" s="138">
        <v>2021</v>
      </c>
      <c r="S187" s="139">
        <f>IF(ISBLANK(Table1[[#This Row],[Date]]),"",Table1[[#This Row],[Date]]-WEEKDAY(Table1[[#This Row],[Date]],2)+1)</f>
        <v>44515</v>
      </c>
      <c r="T187" s="140">
        <f>IF(ISBLANK(Table1[[#This Row],[Date]]),"",DATE(Table1[[#This Row],[Date_Year]],Table1[[#This Row],[Date_Month]],1))</f>
        <v>44501</v>
      </c>
    </row>
    <row r="188" spans="2:20" ht="15.75">
      <c r="B188" s="154">
        <v>44518</v>
      </c>
      <c r="C188" s="119" t="s">
        <v>1453</v>
      </c>
      <c r="D188" s="119"/>
      <c r="E188" s="119"/>
      <c r="F188" s="155">
        <v>-27.16</v>
      </c>
      <c r="G188" s="133" t="str">
        <f>_xlfn.XLOOKUP(Table1[[#This Row],[Account_ID]], Accounts[ID], Accounts[Account nickname], "Unknown")</f>
        <v>Discover</v>
      </c>
      <c r="H188" s="134" t="str">
        <f>_xlfn.XLOOKUP(Table1[[#This Row],[Account_ID]], Accounts[ID], Accounts[Account'#], "Unknown")</f>
        <v>4618</v>
      </c>
      <c r="I188" s="135" t="str">
        <f>_xlfn.XLOOKUP(_xlfn.XLOOKUP(Table1[[#This Row],[Account]],Accounts[Account nickname],Accounts[Institution ID]),Institutions[ID],Institutions[Institution nickname],"Unknown")</f>
        <v>Discover</v>
      </c>
      <c r="J188" s="136" t="s">
        <v>1454</v>
      </c>
      <c r="K188" s="137" t="s">
        <v>843</v>
      </c>
      <c r="L188" s="137" t="s">
        <v>841</v>
      </c>
      <c r="M18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8" s="138" t="str" cm="1">
        <f t="array" ref="O188">IFERROR(INDEX(CategoriesTable[Category type],MATCH(Table1[[#This Row],[Category]],CategoriesTable[Category name],0),0),"")</f>
        <v/>
      </c>
      <c r="P188" s="138">
        <v>18</v>
      </c>
      <c r="Q188" s="138">
        <f>MONTH(Table1[[#This Row],[Date]])</f>
        <v>11</v>
      </c>
      <c r="R188" s="138">
        <v>2021</v>
      </c>
      <c r="S188" s="139">
        <f>IF(ISBLANK(Table1[[#This Row],[Date]]),"",Table1[[#This Row],[Date]]-WEEKDAY(Table1[[#This Row],[Date]],2)+1)</f>
        <v>44515</v>
      </c>
      <c r="T188" s="140">
        <f>IF(ISBLANK(Table1[[#This Row],[Date]]),"",DATE(Table1[[#This Row],[Date_Year]],Table1[[#This Row],[Date_Month]],1))</f>
        <v>44501</v>
      </c>
    </row>
    <row r="189" spans="2:20" ht="15.75">
      <c r="B189" s="154">
        <v>44518</v>
      </c>
      <c r="C189" s="119" t="s">
        <v>1450</v>
      </c>
      <c r="D189" s="119"/>
      <c r="E189" s="119"/>
      <c r="F189" s="155">
        <v>-16.739999999999998</v>
      </c>
      <c r="G189" s="133" t="str">
        <f>_xlfn.XLOOKUP(Table1[[#This Row],[Account_ID]], Accounts[ID], Accounts[Account nickname], "Unknown")</f>
        <v>Discover</v>
      </c>
      <c r="H189" s="134" t="str">
        <f>_xlfn.XLOOKUP(Table1[[#This Row],[Account_ID]], Accounts[ID], Accounts[Account'#], "Unknown")</f>
        <v>4618</v>
      </c>
      <c r="I189" s="135" t="str">
        <f>_xlfn.XLOOKUP(_xlfn.XLOOKUP(Table1[[#This Row],[Account]],Accounts[Account nickname],Accounts[Institution ID]),Institutions[ID],Institutions[Institution nickname],"Unknown")</f>
        <v>Discover</v>
      </c>
      <c r="J189" s="136" t="s">
        <v>1451</v>
      </c>
      <c r="K189" s="137" t="s">
        <v>843</v>
      </c>
      <c r="L189" s="137" t="s">
        <v>841</v>
      </c>
      <c r="M18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9" s="138" t="str" cm="1">
        <f t="array" ref="O189">IFERROR(INDEX(CategoriesTable[Category type],MATCH(Table1[[#This Row],[Category]],CategoriesTable[Category name],0),0),"")</f>
        <v/>
      </c>
      <c r="P189" s="138">
        <v>18</v>
      </c>
      <c r="Q189" s="138">
        <f>MONTH(Table1[[#This Row],[Date]])</f>
        <v>11</v>
      </c>
      <c r="R189" s="138">
        <v>2021</v>
      </c>
      <c r="S189" s="139">
        <f>IF(ISBLANK(Table1[[#This Row],[Date]]),"",Table1[[#This Row],[Date]]-WEEKDAY(Table1[[#This Row],[Date]],2)+1)</f>
        <v>44515</v>
      </c>
      <c r="T189" s="140">
        <f>IF(ISBLANK(Table1[[#This Row],[Date]]),"",DATE(Table1[[#This Row],[Date_Year]],Table1[[#This Row],[Date_Month]],1))</f>
        <v>44501</v>
      </c>
    </row>
    <row r="190" spans="2:20" ht="15.75">
      <c r="B190" s="154">
        <v>44518</v>
      </c>
      <c r="C190" s="119" t="s">
        <v>677</v>
      </c>
      <c r="D190" s="119"/>
      <c r="E190" s="119"/>
      <c r="F190" s="155">
        <v>1900.88</v>
      </c>
      <c r="G190" s="133" t="str">
        <f>_xlfn.XLOOKUP(Table1[[#This Row],[Account_ID]], Accounts[ID], Accounts[Account nickname], "Unknown")</f>
        <v>WF</v>
      </c>
      <c r="H190" s="134" t="str">
        <f>_xlfn.XLOOKUP(Table1[[#This Row],[Account_ID]], Accounts[ID], Accounts[Account'#], "Unknown")</f>
        <v>4636</v>
      </c>
      <c r="I190" s="135" t="str">
        <f>_xlfn.XLOOKUP(_xlfn.XLOOKUP(Table1[[#This Row],[Account]],Accounts[Account nickname],Accounts[Institution ID]),Institutions[ID],Institutions[Institution nickname],"Unknown")</f>
        <v>Wells Fargo</v>
      </c>
      <c r="J190" s="136" t="s">
        <v>982</v>
      </c>
      <c r="K190" s="137" t="s">
        <v>808</v>
      </c>
      <c r="L190" s="137" t="s">
        <v>807</v>
      </c>
      <c r="M19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0" s="138" t="str" cm="1">
        <f t="array" ref="O190">IFERROR(INDEX(CategoriesTable[Category type],MATCH(Table1[[#This Row],[Category]],CategoriesTable[Category name],0),0),"")</f>
        <v/>
      </c>
      <c r="P190" s="138">
        <v>18</v>
      </c>
      <c r="Q190" s="138">
        <f>MONTH(Table1[[#This Row],[Date]])</f>
        <v>11</v>
      </c>
      <c r="R190" s="138">
        <v>2021</v>
      </c>
      <c r="S190" s="139">
        <f>IF(ISBLANK(Table1[[#This Row],[Date]]),"",Table1[[#This Row],[Date]]-WEEKDAY(Table1[[#This Row],[Date]],2)+1)</f>
        <v>44515</v>
      </c>
      <c r="T190" s="140">
        <f>IF(ISBLANK(Table1[[#This Row],[Date]]),"",DATE(Table1[[#This Row],[Date_Year]],Table1[[#This Row],[Date_Month]],1))</f>
        <v>44501</v>
      </c>
    </row>
    <row r="191" spans="2:20" ht="15.75">
      <c r="B191" s="154">
        <v>44518</v>
      </c>
      <c r="C191" s="119" t="s">
        <v>845</v>
      </c>
      <c r="D191" s="119"/>
      <c r="E191" s="119"/>
      <c r="F191" s="155">
        <v>500</v>
      </c>
      <c r="G191" s="133" t="str">
        <f>_xlfn.XLOOKUP(Table1[[#This Row],[Account_ID]], Accounts[ID], Accounts[Account nickname], "Unknown")</f>
        <v>Discover</v>
      </c>
      <c r="H191" s="134" t="str">
        <f>_xlfn.XLOOKUP(Table1[[#This Row],[Account_ID]], Accounts[ID], Accounts[Account'#], "Unknown")</f>
        <v>4618</v>
      </c>
      <c r="I191" s="135" t="str">
        <f>_xlfn.XLOOKUP(_xlfn.XLOOKUP(Table1[[#This Row],[Account]],Accounts[Account nickname],Accounts[Institution ID]),Institutions[ID],Institutions[Institution nickname],"Unknown")</f>
        <v>Discover</v>
      </c>
      <c r="J191" s="136" t="s">
        <v>1452</v>
      </c>
      <c r="K191" s="137" t="s">
        <v>843</v>
      </c>
      <c r="L191" s="137" t="s">
        <v>841</v>
      </c>
      <c r="M19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1" s="138" t="str" cm="1">
        <f t="array" ref="O191">IFERROR(INDEX(CategoriesTable[Category type],MATCH(Table1[[#This Row],[Category]],CategoriesTable[Category name],0),0),"")</f>
        <v/>
      </c>
      <c r="P191" s="138">
        <v>18</v>
      </c>
      <c r="Q191" s="138">
        <f>MONTH(Table1[[#This Row],[Date]])</f>
        <v>11</v>
      </c>
      <c r="R191" s="138">
        <v>2021</v>
      </c>
      <c r="S191" s="139">
        <f>IF(ISBLANK(Table1[[#This Row],[Date]]),"",Table1[[#This Row],[Date]]-WEEKDAY(Table1[[#This Row],[Date]],2)+1)</f>
        <v>44515</v>
      </c>
      <c r="T191" s="140">
        <f>IF(ISBLANK(Table1[[#This Row],[Date]]),"",DATE(Table1[[#This Row],[Date_Year]],Table1[[#This Row],[Date_Month]],1))</f>
        <v>44501</v>
      </c>
    </row>
    <row r="192" spans="2:20" ht="15.75">
      <c r="B192" s="154">
        <v>44518</v>
      </c>
      <c r="C192" s="119" t="s">
        <v>1457</v>
      </c>
      <c r="D192" s="119"/>
      <c r="E192" s="119"/>
      <c r="F192" s="155">
        <v>-12</v>
      </c>
      <c r="G192" s="133" t="str">
        <f>_xlfn.XLOOKUP(Table1[[#This Row],[Account_ID]], Accounts[ID], Accounts[Account nickname], "Unknown")</f>
        <v>Discover</v>
      </c>
      <c r="H192" s="134" t="str">
        <f>_xlfn.XLOOKUP(Table1[[#This Row],[Account_ID]], Accounts[ID], Accounts[Account'#], "Unknown")</f>
        <v>4618</v>
      </c>
      <c r="I192" s="135" t="str">
        <f>_xlfn.XLOOKUP(_xlfn.XLOOKUP(Table1[[#This Row],[Account]],Accounts[Account nickname],Accounts[Institution ID]),Institutions[ID],Institutions[Institution nickname],"Unknown")</f>
        <v>Discover</v>
      </c>
      <c r="J192" s="136" t="s">
        <v>1458</v>
      </c>
      <c r="K192" s="137" t="s">
        <v>843</v>
      </c>
      <c r="L192" s="137" t="s">
        <v>841</v>
      </c>
      <c r="M19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2" s="138" t="str" cm="1">
        <f t="array" ref="O192">IFERROR(INDEX(CategoriesTable[Category type],MATCH(Table1[[#This Row],[Category]],CategoriesTable[Category name],0),0),"")</f>
        <v/>
      </c>
      <c r="P192" s="138">
        <v>18</v>
      </c>
      <c r="Q192" s="138">
        <f>MONTH(Table1[[#This Row],[Date]])</f>
        <v>11</v>
      </c>
      <c r="R192" s="138">
        <v>2021</v>
      </c>
      <c r="S192" s="139">
        <f>IF(ISBLANK(Table1[[#This Row],[Date]]),"",Table1[[#This Row],[Date]]-WEEKDAY(Table1[[#This Row],[Date]],2)+1)</f>
        <v>44515</v>
      </c>
      <c r="T192" s="140">
        <f>IF(ISBLANK(Table1[[#This Row],[Date]]),"",DATE(Table1[[#This Row],[Date_Year]],Table1[[#This Row],[Date_Month]],1))</f>
        <v>44501</v>
      </c>
    </row>
    <row r="193" spans="2:20" ht="15.75">
      <c r="B193" s="154">
        <v>44518</v>
      </c>
      <c r="C193" s="119" t="s">
        <v>678</v>
      </c>
      <c r="D193" s="119"/>
      <c r="E193" s="119"/>
      <c r="F193" s="155">
        <v>-1866.67</v>
      </c>
      <c r="G193" s="133" t="str">
        <f>_xlfn.XLOOKUP(Table1[[#This Row],[Account_ID]], Accounts[ID], Accounts[Account nickname], "Unknown")</f>
        <v>WF</v>
      </c>
      <c r="H193" s="134" t="str">
        <f>_xlfn.XLOOKUP(Table1[[#This Row],[Account_ID]], Accounts[ID], Accounts[Account'#], "Unknown")</f>
        <v>4636</v>
      </c>
      <c r="I193" s="135" t="str">
        <f>_xlfn.XLOOKUP(_xlfn.XLOOKUP(Table1[[#This Row],[Account]],Accounts[Account nickname],Accounts[Institution ID]),Institutions[ID],Institutions[Institution nickname],"Unknown")</f>
        <v>Wells Fargo</v>
      </c>
      <c r="J193" s="136" t="s">
        <v>983</v>
      </c>
      <c r="K193" s="137" t="s">
        <v>808</v>
      </c>
      <c r="L193" s="137" t="s">
        <v>807</v>
      </c>
      <c r="M19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3" s="138" t="str" cm="1">
        <f t="array" ref="O193">IFERROR(INDEX(CategoriesTable[Category type],MATCH(Table1[[#This Row],[Category]],CategoriesTable[Category name],0),0),"")</f>
        <v/>
      </c>
      <c r="P193" s="138">
        <v>18</v>
      </c>
      <c r="Q193" s="138">
        <f>MONTH(Table1[[#This Row],[Date]])</f>
        <v>11</v>
      </c>
      <c r="R193" s="138">
        <v>2021</v>
      </c>
      <c r="S193" s="139">
        <f>IF(ISBLANK(Table1[[#This Row],[Date]]),"",Table1[[#This Row],[Date]]-WEEKDAY(Table1[[#This Row],[Date]],2)+1)</f>
        <v>44515</v>
      </c>
      <c r="T193" s="140">
        <f>IF(ISBLANK(Table1[[#This Row],[Date]]),"",DATE(Table1[[#This Row],[Date_Year]],Table1[[#This Row],[Date_Month]],1))</f>
        <v>44501</v>
      </c>
    </row>
    <row r="194" spans="2:20" ht="15.75">
      <c r="B194" s="154">
        <v>44518</v>
      </c>
      <c r="C194" s="119" t="s">
        <v>686</v>
      </c>
      <c r="D194" s="119"/>
      <c r="E194" s="119"/>
      <c r="F194" s="155">
        <v>-500</v>
      </c>
      <c r="G194" s="133" t="str">
        <f>_xlfn.XLOOKUP(Table1[[#This Row],[Account_ID]], Accounts[ID], Accounts[Account nickname], "Unknown")</f>
        <v>WF</v>
      </c>
      <c r="H194" s="134" t="str">
        <f>_xlfn.XLOOKUP(Table1[[#This Row],[Account_ID]], Accounts[ID], Accounts[Account'#], "Unknown")</f>
        <v>4636</v>
      </c>
      <c r="I194" s="135" t="str">
        <f>_xlfn.XLOOKUP(_xlfn.XLOOKUP(Table1[[#This Row],[Account]],Accounts[Account nickname],Accounts[Institution ID]),Institutions[ID],Institutions[Institution nickname],"Unknown")</f>
        <v>Wells Fargo</v>
      </c>
      <c r="J194" s="136" t="s">
        <v>981</v>
      </c>
      <c r="K194" s="137" t="s">
        <v>808</v>
      </c>
      <c r="L194" s="137" t="s">
        <v>807</v>
      </c>
      <c r="M19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4" s="138" t="str" cm="1">
        <f t="array" ref="O194">IFERROR(INDEX(CategoriesTable[Category type],MATCH(Table1[[#This Row],[Category]],CategoriesTable[Category name],0),0),"")</f>
        <v/>
      </c>
      <c r="P194" s="138">
        <v>18</v>
      </c>
      <c r="Q194" s="138">
        <f>MONTH(Table1[[#This Row],[Date]])</f>
        <v>11</v>
      </c>
      <c r="R194" s="138">
        <v>2021</v>
      </c>
      <c r="S194" s="139">
        <f>IF(ISBLANK(Table1[[#This Row],[Date]]),"",Table1[[#This Row],[Date]]-WEEKDAY(Table1[[#This Row],[Date]],2)+1)</f>
        <v>44515</v>
      </c>
      <c r="T194" s="140">
        <f>IF(ISBLANK(Table1[[#This Row],[Date]]),"",DATE(Table1[[#This Row],[Date_Year]],Table1[[#This Row],[Date_Month]],1))</f>
        <v>44501</v>
      </c>
    </row>
    <row r="195" spans="2:20" ht="15.75">
      <c r="B195" s="154">
        <v>44517</v>
      </c>
      <c r="C195" s="119" t="s">
        <v>678</v>
      </c>
      <c r="D195" s="119"/>
      <c r="E195" s="119"/>
      <c r="F195" s="155">
        <v>181</v>
      </c>
      <c r="G195" s="133" t="str">
        <f>_xlfn.XLOOKUP(Table1[[#This Row],[Account_ID]], Accounts[ID], Accounts[Account nickname], "Unknown")</f>
        <v>WF</v>
      </c>
      <c r="H195" s="134" t="str">
        <f>_xlfn.XLOOKUP(Table1[[#This Row],[Account_ID]], Accounts[ID], Accounts[Account'#], "Unknown")</f>
        <v>4636</v>
      </c>
      <c r="I195" s="135" t="str">
        <f>_xlfn.XLOOKUP(_xlfn.XLOOKUP(Table1[[#This Row],[Account]],Accounts[Account nickname],Accounts[Institution ID]),Institutions[ID],Institutions[Institution nickname],"Unknown")</f>
        <v>Wells Fargo</v>
      </c>
      <c r="J195" s="136" t="s">
        <v>984</v>
      </c>
      <c r="K195" s="137" t="s">
        <v>808</v>
      </c>
      <c r="L195" s="137" t="s">
        <v>807</v>
      </c>
      <c r="M19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5" s="138" t="str" cm="1">
        <f t="array" ref="O195">IFERROR(INDEX(CategoriesTable[Category type],MATCH(Table1[[#This Row],[Category]],CategoriesTable[Category name],0),0),"")</f>
        <v/>
      </c>
      <c r="P195" s="138">
        <v>17</v>
      </c>
      <c r="Q195" s="138">
        <f>MONTH(Table1[[#This Row],[Date]])</f>
        <v>11</v>
      </c>
      <c r="R195" s="138">
        <v>2021</v>
      </c>
      <c r="S195" s="139">
        <f>IF(ISBLANK(Table1[[#This Row],[Date]]),"",Table1[[#This Row],[Date]]-WEEKDAY(Table1[[#This Row],[Date]],2)+1)</f>
        <v>44515</v>
      </c>
      <c r="T195" s="140">
        <f>IF(ISBLANK(Table1[[#This Row],[Date]]),"",DATE(Table1[[#This Row],[Date_Year]],Table1[[#This Row],[Date_Month]],1))</f>
        <v>44501</v>
      </c>
    </row>
    <row r="196" spans="2:20" ht="15.75">
      <c r="B196" s="154">
        <v>44517</v>
      </c>
      <c r="C196" s="119" t="s">
        <v>1450</v>
      </c>
      <c r="D196" s="119"/>
      <c r="E196" s="119"/>
      <c r="F196" s="155">
        <v>-9.6</v>
      </c>
      <c r="G196" s="133" t="str">
        <f>_xlfn.XLOOKUP(Table1[[#This Row],[Account_ID]], Accounts[ID], Accounts[Account nickname], "Unknown")</f>
        <v>Discover</v>
      </c>
      <c r="H196" s="134" t="str">
        <f>_xlfn.XLOOKUP(Table1[[#This Row],[Account_ID]], Accounts[ID], Accounts[Account'#], "Unknown")</f>
        <v>4618</v>
      </c>
      <c r="I196" s="135" t="str">
        <f>_xlfn.XLOOKUP(_xlfn.XLOOKUP(Table1[[#This Row],[Account]],Accounts[Account nickname],Accounts[Institution ID]),Institutions[ID],Institutions[Institution nickname],"Unknown")</f>
        <v>Discover</v>
      </c>
      <c r="J196" s="136" t="s">
        <v>1463</v>
      </c>
      <c r="K196" s="137" t="s">
        <v>843</v>
      </c>
      <c r="L196" s="137" t="s">
        <v>841</v>
      </c>
      <c r="M19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6" s="138" t="str" cm="1">
        <f t="array" ref="O196">IFERROR(INDEX(CategoriesTable[Category type],MATCH(Table1[[#This Row],[Category]],CategoriesTable[Category name],0),0),"")</f>
        <v/>
      </c>
      <c r="P196" s="138">
        <v>17</v>
      </c>
      <c r="Q196" s="138">
        <f>MONTH(Table1[[#This Row],[Date]])</f>
        <v>11</v>
      </c>
      <c r="R196" s="138">
        <v>2021</v>
      </c>
      <c r="S196" s="139">
        <f>IF(ISBLANK(Table1[[#This Row],[Date]]),"",Table1[[#This Row],[Date]]-WEEKDAY(Table1[[#This Row],[Date]],2)+1)</f>
        <v>44515</v>
      </c>
      <c r="T196" s="140">
        <f>IF(ISBLANK(Table1[[#This Row],[Date]]),"",DATE(Table1[[#This Row],[Date_Year]],Table1[[#This Row],[Date_Month]],1))</f>
        <v>44501</v>
      </c>
    </row>
    <row r="197" spans="2:20" ht="15.75">
      <c r="B197" s="154">
        <v>44517</v>
      </c>
      <c r="C197" s="119" t="s">
        <v>1467</v>
      </c>
      <c r="D197" s="119"/>
      <c r="E197" s="119"/>
      <c r="F197" s="155">
        <v>-8.8000000000000007</v>
      </c>
      <c r="G197" s="133" t="str">
        <f>_xlfn.XLOOKUP(Table1[[#This Row],[Account_ID]], Accounts[ID], Accounts[Account nickname], "Unknown")</f>
        <v>Discover</v>
      </c>
      <c r="H197" s="134" t="str">
        <f>_xlfn.XLOOKUP(Table1[[#This Row],[Account_ID]], Accounts[ID], Accounts[Account'#], "Unknown")</f>
        <v>4618</v>
      </c>
      <c r="I197" s="135" t="str">
        <f>_xlfn.XLOOKUP(_xlfn.XLOOKUP(Table1[[#This Row],[Account]],Accounts[Account nickname],Accounts[Institution ID]),Institutions[ID],Institutions[Institution nickname],"Unknown")</f>
        <v>Discover</v>
      </c>
      <c r="J197" s="136" t="s">
        <v>1468</v>
      </c>
      <c r="K197" s="137" t="s">
        <v>843</v>
      </c>
      <c r="L197" s="137" t="s">
        <v>841</v>
      </c>
      <c r="M19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7" s="138" t="str" cm="1">
        <f t="array" ref="O197">IFERROR(INDEX(CategoriesTable[Category type],MATCH(Table1[[#This Row],[Category]],CategoriesTable[Category name],0),0),"")</f>
        <v/>
      </c>
      <c r="P197" s="138">
        <v>17</v>
      </c>
      <c r="Q197" s="138">
        <f>MONTH(Table1[[#This Row],[Date]])</f>
        <v>11</v>
      </c>
      <c r="R197" s="138">
        <v>2021</v>
      </c>
      <c r="S197" s="139">
        <f>IF(ISBLANK(Table1[[#This Row],[Date]]),"",Table1[[#This Row],[Date]]-WEEKDAY(Table1[[#This Row],[Date]],2)+1)</f>
        <v>44515</v>
      </c>
      <c r="T197" s="140">
        <f>IF(ISBLANK(Table1[[#This Row],[Date]]),"",DATE(Table1[[#This Row],[Date_Year]],Table1[[#This Row],[Date_Month]],1))</f>
        <v>44501</v>
      </c>
    </row>
    <row r="198" spans="2:20" ht="15.75">
      <c r="B198" s="154">
        <v>44517</v>
      </c>
      <c r="C198" s="119" t="s">
        <v>1464</v>
      </c>
      <c r="D198" s="119"/>
      <c r="E198" s="119"/>
      <c r="F198" s="155">
        <v>-13.8</v>
      </c>
      <c r="G198" s="133" t="str">
        <f>_xlfn.XLOOKUP(Table1[[#This Row],[Account_ID]], Accounts[ID], Accounts[Account nickname], "Unknown")</f>
        <v>Discover</v>
      </c>
      <c r="H198" s="134" t="str">
        <f>_xlfn.XLOOKUP(Table1[[#This Row],[Account_ID]], Accounts[ID], Accounts[Account'#], "Unknown")</f>
        <v>4618</v>
      </c>
      <c r="I198" s="135" t="str">
        <f>_xlfn.XLOOKUP(_xlfn.XLOOKUP(Table1[[#This Row],[Account]],Accounts[Account nickname],Accounts[Institution ID]),Institutions[ID],Institutions[Institution nickname],"Unknown")</f>
        <v>Discover</v>
      </c>
      <c r="J198" s="136" t="s">
        <v>1465</v>
      </c>
      <c r="K198" s="137" t="s">
        <v>843</v>
      </c>
      <c r="L198" s="137" t="s">
        <v>841</v>
      </c>
      <c r="M19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8" s="138" t="str" cm="1">
        <f t="array" ref="O198">IFERROR(INDEX(CategoriesTable[Category type],MATCH(Table1[[#This Row],[Category]],CategoriesTable[Category name],0),0),"")</f>
        <v/>
      </c>
      <c r="P198" s="138">
        <v>17</v>
      </c>
      <c r="Q198" s="138">
        <f>MONTH(Table1[[#This Row],[Date]])</f>
        <v>11</v>
      </c>
      <c r="R198" s="138">
        <v>2021</v>
      </c>
      <c r="S198" s="139">
        <f>IF(ISBLANK(Table1[[#This Row],[Date]]),"",Table1[[#This Row],[Date]]-WEEKDAY(Table1[[#This Row],[Date]],2)+1)</f>
        <v>44515</v>
      </c>
      <c r="T198" s="140">
        <f>IF(ISBLANK(Table1[[#This Row],[Date]]),"",DATE(Table1[[#This Row],[Date_Year]],Table1[[#This Row],[Date_Month]],1))</f>
        <v>44501</v>
      </c>
    </row>
    <row r="199" spans="2:20" ht="15.75">
      <c r="B199" s="154">
        <v>44517</v>
      </c>
      <c r="C199" s="119" t="s">
        <v>917</v>
      </c>
      <c r="D199" s="119"/>
      <c r="E199" s="119"/>
      <c r="F199" s="155">
        <v>-70</v>
      </c>
      <c r="G199" s="133" t="str">
        <f>_xlfn.XLOOKUP(Table1[[#This Row],[Account_ID]], Accounts[ID], Accounts[Account nickname], "Unknown")</f>
        <v>Discover</v>
      </c>
      <c r="H199" s="134" t="str">
        <f>_xlfn.XLOOKUP(Table1[[#This Row],[Account_ID]], Accounts[ID], Accounts[Account'#], "Unknown")</f>
        <v>4618</v>
      </c>
      <c r="I199" s="135" t="str">
        <f>_xlfn.XLOOKUP(_xlfn.XLOOKUP(Table1[[#This Row],[Account]],Accounts[Account nickname],Accounts[Institution ID]),Institutions[ID],Institutions[Institution nickname],"Unknown")</f>
        <v>Discover</v>
      </c>
      <c r="J199" s="136" t="s">
        <v>1466</v>
      </c>
      <c r="K199" s="137" t="s">
        <v>843</v>
      </c>
      <c r="L199" s="137" t="s">
        <v>841</v>
      </c>
      <c r="M19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9" s="138" t="str" cm="1">
        <f t="array" ref="O199">IFERROR(INDEX(CategoriesTable[Category type],MATCH(Table1[[#This Row],[Category]],CategoriesTable[Category name],0),0),"")</f>
        <v/>
      </c>
      <c r="P199" s="138">
        <v>17</v>
      </c>
      <c r="Q199" s="138">
        <f>MONTH(Table1[[#This Row],[Date]])</f>
        <v>11</v>
      </c>
      <c r="R199" s="138">
        <v>2021</v>
      </c>
      <c r="S199" s="139">
        <f>IF(ISBLANK(Table1[[#This Row],[Date]]),"",Table1[[#This Row],[Date]]-WEEKDAY(Table1[[#This Row],[Date]],2)+1)</f>
        <v>44515</v>
      </c>
      <c r="T199" s="140">
        <f>IF(ISBLANK(Table1[[#This Row],[Date]]),"",DATE(Table1[[#This Row],[Date_Year]],Table1[[#This Row],[Date_Month]],1))</f>
        <v>44501</v>
      </c>
    </row>
    <row r="200" spans="2:20" ht="15.75">
      <c r="B200" s="154">
        <v>44516</v>
      </c>
      <c r="C200" s="119" t="s">
        <v>1472</v>
      </c>
      <c r="D200" s="119"/>
      <c r="E200" s="119"/>
      <c r="F200" s="155">
        <v>-9.1</v>
      </c>
      <c r="G200" s="133" t="str">
        <f>_xlfn.XLOOKUP(Table1[[#This Row],[Account_ID]], Accounts[ID], Accounts[Account nickname], "Unknown")</f>
        <v>Discover</v>
      </c>
      <c r="H200" s="134" t="str">
        <f>_xlfn.XLOOKUP(Table1[[#This Row],[Account_ID]], Accounts[ID], Accounts[Account'#], "Unknown")</f>
        <v>4618</v>
      </c>
      <c r="I200" s="135" t="str">
        <f>_xlfn.XLOOKUP(_xlfn.XLOOKUP(Table1[[#This Row],[Account]],Accounts[Account nickname],Accounts[Institution ID]),Institutions[ID],Institutions[Institution nickname],"Unknown")</f>
        <v>Discover</v>
      </c>
      <c r="J200" s="136" t="s">
        <v>1473</v>
      </c>
      <c r="K200" s="137" t="s">
        <v>843</v>
      </c>
      <c r="L200" s="137" t="s">
        <v>841</v>
      </c>
      <c r="M20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0" s="138" t="str" cm="1">
        <f t="array" ref="O200">IFERROR(INDEX(CategoriesTable[Category type],MATCH(Table1[[#This Row],[Category]],CategoriesTable[Category name],0),0),"")</f>
        <v/>
      </c>
      <c r="P200" s="138">
        <v>16</v>
      </c>
      <c r="Q200" s="138">
        <f>MONTH(Table1[[#This Row],[Date]])</f>
        <v>11</v>
      </c>
      <c r="R200" s="138">
        <v>2021</v>
      </c>
      <c r="S200" s="139">
        <f>IF(ISBLANK(Table1[[#This Row],[Date]]),"",Table1[[#This Row],[Date]]-WEEKDAY(Table1[[#This Row],[Date]],2)+1)</f>
        <v>44515</v>
      </c>
      <c r="T200" s="140">
        <f>IF(ISBLANK(Table1[[#This Row],[Date]]),"",DATE(Table1[[#This Row],[Date_Year]],Table1[[#This Row],[Date_Month]],1))</f>
        <v>44501</v>
      </c>
    </row>
    <row r="201" spans="2:20" ht="15.75">
      <c r="B201" s="154">
        <v>44516</v>
      </c>
      <c r="C201" s="119" t="s">
        <v>1474</v>
      </c>
      <c r="D201" s="119"/>
      <c r="E201" s="119"/>
      <c r="F201" s="155">
        <v>-140.26</v>
      </c>
      <c r="G201" s="133" t="str">
        <f>_xlfn.XLOOKUP(Table1[[#This Row],[Account_ID]], Accounts[ID], Accounts[Account nickname], "Unknown")</f>
        <v>Discover</v>
      </c>
      <c r="H201" s="134" t="str">
        <f>_xlfn.XLOOKUP(Table1[[#This Row],[Account_ID]], Accounts[ID], Accounts[Account'#], "Unknown")</f>
        <v>4618</v>
      </c>
      <c r="I201" s="135" t="str">
        <f>_xlfn.XLOOKUP(_xlfn.XLOOKUP(Table1[[#This Row],[Account]],Accounts[Account nickname],Accounts[Institution ID]),Institutions[ID],Institutions[Institution nickname],"Unknown")</f>
        <v>Discover</v>
      </c>
      <c r="J201" s="136" t="s">
        <v>1475</v>
      </c>
      <c r="K201" s="137" t="s">
        <v>843</v>
      </c>
      <c r="L201" s="137" t="s">
        <v>841</v>
      </c>
      <c r="M20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1" s="138" t="str" cm="1">
        <f t="array" ref="O201">IFERROR(INDEX(CategoriesTable[Category type],MATCH(Table1[[#This Row],[Category]],CategoriesTable[Category name],0),0),"")</f>
        <v/>
      </c>
      <c r="P201" s="138">
        <v>16</v>
      </c>
      <c r="Q201" s="138">
        <f>MONTH(Table1[[#This Row],[Date]])</f>
        <v>11</v>
      </c>
      <c r="R201" s="138">
        <v>2021</v>
      </c>
      <c r="S201" s="139">
        <f>IF(ISBLANK(Table1[[#This Row],[Date]]),"",Table1[[#This Row],[Date]]-WEEKDAY(Table1[[#This Row],[Date]],2)+1)</f>
        <v>44515</v>
      </c>
      <c r="T201" s="140">
        <f>IF(ISBLANK(Table1[[#This Row],[Date]]),"",DATE(Table1[[#This Row],[Date_Year]],Table1[[#This Row],[Date_Month]],1))</f>
        <v>44501</v>
      </c>
    </row>
    <row r="202" spans="2:20" ht="15.75">
      <c r="B202" s="154">
        <v>44516</v>
      </c>
      <c r="C202" s="119" t="s">
        <v>910</v>
      </c>
      <c r="D202" s="119"/>
      <c r="E202" s="119"/>
      <c r="F202" s="155">
        <v>-15.89</v>
      </c>
      <c r="G202" s="133" t="str">
        <f>_xlfn.XLOOKUP(Table1[[#This Row],[Account_ID]], Accounts[ID], Accounts[Account nickname], "Unknown")</f>
        <v>Discover</v>
      </c>
      <c r="H202" s="134" t="str">
        <f>_xlfn.XLOOKUP(Table1[[#This Row],[Account_ID]], Accounts[ID], Accounts[Account'#], "Unknown")</f>
        <v>4618</v>
      </c>
      <c r="I202" s="135" t="str">
        <f>_xlfn.XLOOKUP(_xlfn.XLOOKUP(Table1[[#This Row],[Account]],Accounts[Account nickname],Accounts[Institution ID]),Institutions[ID],Institutions[Institution nickname],"Unknown")</f>
        <v>Discover</v>
      </c>
      <c r="J202" s="136" t="s">
        <v>1469</v>
      </c>
      <c r="K202" s="137" t="s">
        <v>843</v>
      </c>
      <c r="L202" s="137" t="s">
        <v>841</v>
      </c>
      <c r="M20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2" s="138" t="str" cm="1">
        <f t="array" ref="O202">IFERROR(INDEX(CategoriesTable[Category type],MATCH(Table1[[#This Row],[Category]],CategoriesTable[Category name],0),0),"")</f>
        <v/>
      </c>
      <c r="P202" s="138">
        <v>16</v>
      </c>
      <c r="Q202" s="138">
        <f>MONTH(Table1[[#This Row],[Date]])</f>
        <v>11</v>
      </c>
      <c r="R202" s="138">
        <v>2021</v>
      </c>
      <c r="S202" s="139">
        <f>IF(ISBLANK(Table1[[#This Row],[Date]]),"",Table1[[#This Row],[Date]]-WEEKDAY(Table1[[#This Row],[Date]],2)+1)</f>
        <v>44515</v>
      </c>
      <c r="T202" s="140">
        <f>IF(ISBLANK(Table1[[#This Row],[Date]]),"",DATE(Table1[[#This Row],[Date_Year]],Table1[[#This Row],[Date_Month]],1))</f>
        <v>44501</v>
      </c>
    </row>
    <row r="203" spans="2:20" ht="15.75">
      <c r="B203" s="154">
        <v>44516</v>
      </c>
      <c r="C203" s="119" t="s">
        <v>1470</v>
      </c>
      <c r="D203" s="119"/>
      <c r="E203" s="119"/>
      <c r="F203" s="155">
        <v>-17.690000000000001</v>
      </c>
      <c r="G203" s="133" t="str">
        <f>_xlfn.XLOOKUP(Table1[[#This Row],[Account_ID]], Accounts[ID], Accounts[Account nickname], "Unknown")</f>
        <v>Discover</v>
      </c>
      <c r="H203" s="134" t="str">
        <f>_xlfn.XLOOKUP(Table1[[#This Row],[Account_ID]], Accounts[ID], Accounts[Account'#], "Unknown")</f>
        <v>4618</v>
      </c>
      <c r="I203" s="135" t="str">
        <f>_xlfn.XLOOKUP(_xlfn.XLOOKUP(Table1[[#This Row],[Account]],Accounts[Account nickname],Accounts[Institution ID]),Institutions[ID],Institutions[Institution nickname],"Unknown")</f>
        <v>Discover</v>
      </c>
      <c r="J203" s="136" t="s">
        <v>1471</v>
      </c>
      <c r="K203" s="137" t="s">
        <v>843</v>
      </c>
      <c r="L203" s="137" t="s">
        <v>841</v>
      </c>
      <c r="M20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3" s="138" t="str" cm="1">
        <f t="array" ref="O203">IFERROR(INDEX(CategoriesTable[Category type],MATCH(Table1[[#This Row],[Category]],CategoriesTable[Category name],0),0),"")</f>
        <v/>
      </c>
      <c r="P203" s="138">
        <v>16</v>
      </c>
      <c r="Q203" s="138">
        <f>MONTH(Table1[[#This Row],[Date]])</f>
        <v>11</v>
      </c>
      <c r="R203" s="138">
        <v>2021</v>
      </c>
      <c r="S203" s="139">
        <f>IF(ISBLANK(Table1[[#This Row],[Date]]),"",Table1[[#This Row],[Date]]-WEEKDAY(Table1[[#This Row],[Date]],2)+1)</f>
        <v>44515</v>
      </c>
      <c r="T203" s="140">
        <f>IF(ISBLANK(Table1[[#This Row],[Date]]),"",DATE(Table1[[#This Row],[Date_Year]],Table1[[#This Row],[Date_Month]],1))</f>
        <v>44501</v>
      </c>
    </row>
    <row r="204" spans="2:20" ht="15.75">
      <c r="B204" s="154">
        <v>44515</v>
      </c>
      <c r="C204" s="119" t="s">
        <v>1476</v>
      </c>
      <c r="D204" s="119"/>
      <c r="E204" s="119"/>
      <c r="F204" s="155">
        <v>-30</v>
      </c>
      <c r="G204" s="133" t="str">
        <f>_xlfn.XLOOKUP(Table1[[#This Row],[Account_ID]], Accounts[ID], Accounts[Account nickname], "Unknown")</f>
        <v>Discover</v>
      </c>
      <c r="H204" s="134" t="str">
        <f>_xlfn.XLOOKUP(Table1[[#This Row],[Account_ID]], Accounts[ID], Accounts[Account'#], "Unknown")</f>
        <v>4618</v>
      </c>
      <c r="I204" s="135" t="str">
        <f>_xlfn.XLOOKUP(_xlfn.XLOOKUP(Table1[[#This Row],[Account]],Accounts[Account nickname],Accounts[Institution ID]),Institutions[ID],Institutions[Institution nickname],"Unknown")</f>
        <v>Discover</v>
      </c>
      <c r="J204" s="136" t="s">
        <v>1477</v>
      </c>
      <c r="K204" s="137" t="s">
        <v>843</v>
      </c>
      <c r="L204" s="137" t="s">
        <v>841</v>
      </c>
      <c r="M20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4" s="138" t="str" cm="1">
        <f t="array" ref="O204">IFERROR(INDEX(CategoriesTable[Category type],MATCH(Table1[[#This Row],[Category]],CategoriesTable[Category name],0),0),"")</f>
        <v/>
      </c>
      <c r="P204" s="138">
        <v>15</v>
      </c>
      <c r="Q204" s="138">
        <f>MONTH(Table1[[#This Row],[Date]])</f>
        <v>11</v>
      </c>
      <c r="R204" s="138">
        <v>2021</v>
      </c>
      <c r="S204" s="139">
        <f>IF(ISBLANK(Table1[[#This Row],[Date]]),"",Table1[[#This Row],[Date]]-WEEKDAY(Table1[[#This Row],[Date]],2)+1)</f>
        <v>44515</v>
      </c>
      <c r="T204" s="140">
        <f>IF(ISBLANK(Table1[[#This Row],[Date]]),"",DATE(Table1[[#This Row],[Date_Year]],Table1[[#This Row],[Date_Month]],1))</f>
        <v>44501</v>
      </c>
    </row>
    <row r="205" spans="2:20" ht="15.75">
      <c r="B205" s="154">
        <v>44515</v>
      </c>
      <c r="C205" s="119" t="s">
        <v>683</v>
      </c>
      <c r="D205" s="119"/>
      <c r="E205" s="119"/>
      <c r="F205" s="155">
        <v>-300</v>
      </c>
      <c r="G205" s="133" t="str">
        <f>_xlfn.XLOOKUP(Table1[[#This Row],[Account_ID]], Accounts[ID], Accounts[Account nickname], "Unknown")</f>
        <v>WF</v>
      </c>
      <c r="H205" s="134" t="str">
        <f>_xlfn.XLOOKUP(Table1[[#This Row],[Account_ID]], Accounts[ID], Accounts[Account'#], "Unknown")</f>
        <v>4636</v>
      </c>
      <c r="I205" s="135" t="str">
        <f>_xlfn.XLOOKUP(_xlfn.XLOOKUP(Table1[[#This Row],[Account]],Accounts[Account nickname],Accounts[Institution ID]),Institutions[ID],Institutions[Institution nickname],"Unknown")</f>
        <v>Wells Fargo</v>
      </c>
      <c r="J205" s="136" t="s">
        <v>985</v>
      </c>
      <c r="K205" s="137" t="s">
        <v>808</v>
      </c>
      <c r="L205" s="137" t="s">
        <v>807</v>
      </c>
      <c r="M20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5" s="138" t="str" cm="1">
        <f t="array" ref="O205">IFERROR(INDEX(CategoriesTable[Category type],MATCH(Table1[[#This Row],[Category]],CategoriesTable[Category name],0),0),"")</f>
        <v/>
      </c>
      <c r="P205" s="138">
        <v>15</v>
      </c>
      <c r="Q205" s="138">
        <f>MONTH(Table1[[#This Row],[Date]])</f>
        <v>11</v>
      </c>
      <c r="R205" s="138">
        <v>2021</v>
      </c>
      <c r="S205" s="139">
        <f>IF(ISBLANK(Table1[[#This Row],[Date]]),"",Table1[[#This Row],[Date]]-WEEKDAY(Table1[[#This Row],[Date]],2)+1)</f>
        <v>44515</v>
      </c>
      <c r="T205" s="140">
        <f>IF(ISBLANK(Table1[[#This Row],[Date]]),"",DATE(Table1[[#This Row],[Date_Year]],Table1[[#This Row],[Date_Month]],1))</f>
        <v>44501</v>
      </c>
    </row>
    <row r="206" spans="2:20" ht="15.75">
      <c r="B206" s="154">
        <v>44515</v>
      </c>
      <c r="C206" s="119" t="s">
        <v>1472</v>
      </c>
      <c r="D206" s="119"/>
      <c r="E206" s="119"/>
      <c r="F206" s="155">
        <v>-3.78</v>
      </c>
      <c r="G206" s="133" t="str">
        <f>_xlfn.XLOOKUP(Table1[[#This Row],[Account_ID]], Accounts[ID], Accounts[Account nickname], "Unknown")</f>
        <v>Discover</v>
      </c>
      <c r="H206" s="134" t="str">
        <f>_xlfn.XLOOKUP(Table1[[#This Row],[Account_ID]], Accounts[ID], Accounts[Account'#], "Unknown")</f>
        <v>4618</v>
      </c>
      <c r="I206" s="135" t="str">
        <f>_xlfn.XLOOKUP(_xlfn.XLOOKUP(Table1[[#This Row],[Account]],Accounts[Account nickname],Accounts[Institution ID]),Institutions[ID],Institutions[Institution nickname],"Unknown")</f>
        <v>Discover</v>
      </c>
      <c r="J206" s="136" t="s">
        <v>1478</v>
      </c>
      <c r="K206" s="137" t="s">
        <v>843</v>
      </c>
      <c r="L206" s="137" t="s">
        <v>841</v>
      </c>
      <c r="M20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6" s="138" t="str" cm="1">
        <f t="array" ref="O206">IFERROR(INDEX(CategoriesTable[Category type],MATCH(Table1[[#This Row],[Category]],CategoriesTable[Category name],0),0),"")</f>
        <v/>
      </c>
      <c r="P206" s="138">
        <v>15</v>
      </c>
      <c r="Q206" s="138">
        <f>MONTH(Table1[[#This Row],[Date]])</f>
        <v>11</v>
      </c>
      <c r="R206" s="138">
        <v>2021</v>
      </c>
      <c r="S206" s="139">
        <f>IF(ISBLANK(Table1[[#This Row],[Date]]),"",Table1[[#This Row],[Date]]-WEEKDAY(Table1[[#This Row],[Date]],2)+1)</f>
        <v>44515</v>
      </c>
      <c r="T206" s="140">
        <f>IF(ISBLANK(Table1[[#This Row],[Date]]),"",DATE(Table1[[#This Row],[Date_Year]],Table1[[#This Row],[Date_Month]],1))</f>
        <v>44501</v>
      </c>
    </row>
    <row r="207" spans="2:20" ht="15.75">
      <c r="B207" s="154">
        <v>44515</v>
      </c>
      <c r="C207" s="119" t="s">
        <v>1479</v>
      </c>
      <c r="D207" s="119"/>
      <c r="E207" s="119"/>
      <c r="F207" s="155">
        <v>1675.51</v>
      </c>
      <c r="G207" s="133" t="str">
        <f>_xlfn.XLOOKUP(Table1[[#This Row],[Account_ID]], Accounts[ID], Accounts[Account nickname], "Unknown")</f>
        <v>Discover</v>
      </c>
      <c r="H207" s="134" t="str">
        <f>_xlfn.XLOOKUP(Table1[[#This Row],[Account_ID]], Accounts[ID], Accounts[Account'#], "Unknown")</f>
        <v>4618</v>
      </c>
      <c r="I207" s="135" t="str">
        <f>_xlfn.XLOOKUP(_xlfn.XLOOKUP(Table1[[#This Row],[Account]],Accounts[Account nickname],Accounts[Institution ID]),Institutions[ID],Institutions[Institution nickname],"Unknown")</f>
        <v>Discover</v>
      </c>
      <c r="J207" s="136" t="s">
        <v>1480</v>
      </c>
      <c r="K207" s="137" t="s">
        <v>843</v>
      </c>
      <c r="L207" s="137" t="s">
        <v>841</v>
      </c>
      <c r="M20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7" s="138" t="str" cm="1">
        <f t="array" ref="O207">IFERROR(INDEX(CategoriesTable[Category type],MATCH(Table1[[#This Row],[Category]],CategoriesTable[Category name],0),0),"")</f>
        <v/>
      </c>
      <c r="P207" s="138">
        <v>15</v>
      </c>
      <c r="Q207" s="138">
        <f>MONTH(Table1[[#This Row],[Date]])</f>
        <v>11</v>
      </c>
      <c r="R207" s="138">
        <v>2021</v>
      </c>
      <c r="S207" s="139">
        <f>IF(ISBLANK(Table1[[#This Row],[Date]]),"",Table1[[#This Row],[Date]]-WEEKDAY(Table1[[#This Row],[Date]],2)+1)</f>
        <v>44515</v>
      </c>
      <c r="T207" s="140">
        <f>IF(ISBLANK(Table1[[#This Row],[Date]]),"",DATE(Table1[[#This Row],[Date_Year]],Table1[[#This Row],[Date_Month]],1))</f>
        <v>44501</v>
      </c>
    </row>
    <row r="208" spans="2:20" ht="15.75">
      <c r="B208" s="154">
        <v>44514</v>
      </c>
      <c r="C208" s="119" t="s">
        <v>907</v>
      </c>
      <c r="D208" s="119"/>
      <c r="E208" s="119"/>
      <c r="F208" s="155">
        <v>-8.6199999999999992</v>
      </c>
      <c r="G208" s="133" t="str">
        <f>_xlfn.XLOOKUP(Table1[[#This Row],[Account_ID]], Accounts[ID], Accounts[Account nickname], "Unknown")</f>
        <v>Discover</v>
      </c>
      <c r="H208" s="134" t="str">
        <f>_xlfn.XLOOKUP(Table1[[#This Row],[Account_ID]], Accounts[ID], Accounts[Account'#], "Unknown")</f>
        <v>4618</v>
      </c>
      <c r="I208" s="135" t="str">
        <f>_xlfn.XLOOKUP(_xlfn.XLOOKUP(Table1[[#This Row],[Account]],Accounts[Account nickname],Accounts[Institution ID]),Institutions[ID],Institutions[Institution nickname],"Unknown")</f>
        <v>Discover</v>
      </c>
      <c r="J208" s="136" t="s">
        <v>1494</v>
      </c>
      <c r="K208" s="137" t="s">
        <v>843</v>
      </c>
      <c r="L208" s="137" t="s">
        <v>841</v>
      </c>
      <c r="M20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8" s="138" t="str" cm="1">
        <f t="array" ref="O208">IFERROR(INDEX(CategoriesTable[Category type],MATCH(Table1[[#This Row],[Category]],CategoriesTable[Category name],0),0),"")</f>
        <v/>
      </c>
      <c r="P208" s="138">
        <v>14</v>
      </c>
      <c r="Q208" s="138">
        <f>MONTH(Table1[[#This Row],[Date]])</f>
        <v>11</v>
      </c>
      <c r="R208" s="138">
        <v>2021</v>
      </c>
      <c r="S208" s="139">
        <f>IF(ISBLANK(Table1[[#This Row],[Date]]),"",Table1[[#This Row],[Date]]-WEEKDAY(Table1[[#This Row],[Date]],2)+1)</f>
        <v>44508</v>
      </c>
      <c r="T208" s="140">
        <f>IF(ISBLANK(Table1[[#This Row],[Date]]),"",DATE(Table1[[#This Row],[Date_Year]],Table1[[#This Row],[Date_Month]],1))</f>
        <v>44501</v>
      </c>
    </row>
    <row r="209" spans="2:20" ht="15.75">
      <c r="B209" s="154">
        <v>44514</v>
      </c>
      <c r="C209" s="119" t="s">
        <v>1491</v>
      </c>
      <c r="D209" s="119"/>
      <c r="E209" s="119"/>
      <c r="F209" s="155">
        <v>-26.84</v>
      </c>
      <c r="G209" s="133" t="str">
        <f>_xlfn.XLOOKUP(Table1[[#This Row],[Account_ID]], Accounts[ID], Accounts[Account nickname], "Unknown")</f>
        <v>Discover</v>
      </c>
      <c r="H209" s="134" t="str">
        <f>_xlfn.XLOOKUP(Table1[[#This Row],[Account_ID]], Accounts[ID], Accounts[Account'#], "Unknown")</f>
        <v>4618</v>
      </c>
      <c r="I209" s="135" t="str">
        <f>_xlfn.XLOOKUP(_xlfn.XLOOKUP(Table1[[#This Row],[Account]],Accounts[Account nickname],Accounts[Institution ID]),Institutions[ID],Institutions[Institution nickname],"Unknown")</f>
        <v>Discover</v>
      </c>
      <c r="J209" s="136" t="s">
        <v>1492</v>
      </c>
      <c r="K209" s="137" t="s">
        <v>843</v>
      </c>
      <c r="L209" s="137" t="s">
        <v>841</v>
      </c>
      <c r="M20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9" s="138" t="str" cm="1">
        <f t="array" ref="O209">IFERROR(INDEX(CategoriesTable[Category type],MATCH(Table1[[#This Row],[Category]],CategoriesTable[Category name],0),0),"")</f>
        <v/>
      </c>
      <c r="P209" s="138">
        <v>14</v>
      </c>
      <c r="Q209" s="138">
        <f>MONTH(Table1[[#This Row],[Date]])</f>
        <v>11</v>
      </c>
      <c r="R209" s="138">
        <v>2021</v>
      </c>
      <c r="S209" s="139">
        <f>IF(ISBLANK(Table1[[#This Row],[Date]]),"",Table1[[#This Row],[Date]]-WEEKDAY(Table1[[#This Row],[Date]],2)+1)</f>
        <v>44508</v>
      </c>
      <c r="T209" s="140">
        <f>IF(ISBLANK(Table1[[#This Row],[Date]]),"",DATE(Table1[[#This Row],[Date_Year]],Table1[[#This Row],[Date_Month]],1))</f>
        <v>44501</v>
      </c>
    </row>
    <row r="210" spans="2:20" ht="15.75">
      <c r="B210" s="154">
        <v>44514</v>
      </c>
      <c r="C210" s="119" t="s">
        <v>1483</v>
      </c>
      <c r="D210" s="119"/>
      <c r="E210" s="119"/>
      <c r="F210" s="155">
        <v>-11.05</v>
      </c>
      <c r="G210" s="133" t="str">
        <f>_xlfn.XLOOKUP(Table1[[#This Row],[Account_ID]], Accounts[ID], Accounts[Account nickname], "Unknown")</f>
        <v>Discover</v>
      </c>
      <c r="H210" s="134" t="str">
        <f>_xlfn.XLOOKUP(Table1[[#This Row],[Account_ID]], Accounts[ID], Accounts[Account'#], "Unknown")</f>
        <v>4618</v>
      </c>
      <c r="I210" s="135" t="str">
        <f>_xlfn.XLOOKUP(_xlfn.XLOOKUP(Table1[[#This Row],[Account]],Accounts[Account nickname],Accounts[Institution ID]),Institutions[ID],Institutions[Institution nickname],"Unknown")</f>
        <v>Discover</v>
      </c>
      <c r="J210" s="136" t="s">
        <v>1484</v>
      </c>
      <c r="K210" s="137" t="s">
        <v>843</v>
      </c>
      <c r="L210" s="137" t="s">
        <v>841</v>
      </c>
      <c r="M21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1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10" s="138" t="str" cm="1">
        <f t="array" ref="O210">IFERROR(INDEX(CategoriesTable[Category type],MATCH(Table1[[#This Row],[Category]],CategoriesTable[Category name],0),0),"")</f>
        <v/>
      </c>
      <c r="P210" s="138">
        <v>14</v>
      </c>
      <c r="Q210" s="138">
        <f>MONTH(Table1[[#This Row],[Date]])</f>
        <v>11</v>
      </c>
      <c r="R210" s="138">
        <v>2021</v>
      </c>
      <c r="S210" s="139">
        <f>IF(ISBLANK(Table1[[#This Row],[Date]]),"",Table1[[#This Row],[Date]]-WEEKDAY(Table1[[#This Row],[Date]],2)+1)</f>
        <v>44508</v>
      </c>
      <c r="T210" s="140">
        <f>IF(ISBLANK(Table1[[#This Row],[Date]]),"",DATE(Table1[[#This Row],[Date_Year]],Table1[[#This Row],[Date_Month]],1))</f>
        <v>44501</v>
      </c>
    </row>
    <row r="211" spans="2:20" ht="15.75">
      <c r="B211" s="154">
        <v>44514</v>
      </c>
      <c r="C211" s="119" t="s">
        <v>907</v>
      </c>
      <c r="D211" s="119"/>
      <c r="E211" s="119"/>
      <c r="F211" s="155">
        <v>-0.15</v>
      </c>
      <c r="G211" s="133" t="str">
        <f>_xlfn.XLOOKUP(Table1[[#This Row],[Account_ID]], Accounts[ID], Accounts[Account nickname], "Unknown")</f>
        <v>Discover</v>
      </c>
      <c r="H211" s="134" t="str">
        <f>_xlfn.XLOOKUP(Table1[[#This Row],[Account_ID]], Accounts[ID], Accounts[Account'#], "Unknown")</f>
        <v>4618</v>
      </c>
      <c r="I211" s="135" t="str">
        <f>_xlfn.XLOOKUP(_xlfn.XLOOKUP(Table1[[#This Row],[Account]],Accounts[Account nickname],Accounts[Institution ID]),Institutions[ID],Institutions[Institution nickname],"Unknown")</f>
        <v>Discover</v>
      </c>
      <c r="J211" s="136" t="s">
        <v>1493</v>
      </c>
      <c r="K211" s="137" t="s">
        <v>843</v>
      </c>
      <c r="L211" s="137" t="s">
        <v>841</v>
      </c>
      <c r="M21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1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11" s="138" t="str" cm="1">
        <f t="array" ref="O211">IFERROR(INDEX(CategoriesTable[Category type],MATCH(Table1[[#This Row],[Category]],CategoriesTable[Category name],0),0),"")</f>
        <v/>
      </c>
      <c r="P211" s="138">
        <v>14</v>
      </c>
      <c r="Q211" s="138">
        <f>MONTH(Table1[[#This Row],[Date]])</f>
        <v>11</v>
      </c>
      <c r="R211" s="138">
        <v>2021</v>
      </c>
      <c r="S211" s="139">
        <f>IF(ISBLANK(Table1[[#This Row],[Date]]),"",Table1[[#This Row],[Date]]-WEEKDAY(Table1[[#This Row],[Date]],2)+1)</f>
        <v>44508</v>
      </c>
      <c r="T211" s="140">
        <f>IF(ISBLANK(Table1[[#This Row],[Date]]),"",DATE(Table1[[#This Row],[Date_Year]],Table1[[#This Row],[Date_Month]],1))</f>
        <v>44501</v>
      </c>
    </row>
    <row r="212" spans="2:20" ht="15.75">
      <c r="B212" s="154">
        <v>44514</v>
      </c>
      <c r="C212" s="119" t="s">
        <v>907</v>
      </c>
      <c r="D212" s="119"/>
      <c r="E212" s="119"/>
      <c r="F212" s="155">
        <v>-10.1</v>
      </c>
      <c r="G212" s="133" t="str">
        <f>_xlfn.XLOOKUP(Table1[[#This Row],[Account_ID]], Accounts[ID], Accounts[Account nickname], "Unknown")</f>
        <v>Discover</v>
      </c>
      <c r="H212" s="134" t="str">
        <f>_xlfn.XLOOKUP(Table1[[#This Row],[Account_ID]], Accounts[ID], Accounts[Account'#], "Unknown")</f>
        <v>4618</v>
      </c>
      <c r="I212" s="135" t="str">
        <f>_xlfn.XLOOKUP(_xlfn.XLOOKUP(Table1[[#This Row],[Account]],Accounts[Account nickname],Accounts[Institution ID]),Institutions[ID],Institutions[Institution nickname],"Unknown")</f>
        <v>Discover</v>
      </c>
      <c r="J212" s="136" t="s">
        <v>1495</v>
      </c>
      <c r="K212" s="137" t="s">
        <v>843</v>
      </c>
      <c r="L212" s="137" t="s">
        <v>841</v>
      </c>
      <c r="M21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1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12" s="138" t="str" cm="1">
        <f t="array" ref="O212">IFERROR(INDEX(CategoriesTable[Category type],MATCH(Table1[[#This Row],[Category]],CategoriesTable[Category name],0),0),"")</f>
        <v/>
      </c>
      <c r="P212" s="138">
        <v>14</v>
      </c>
      <c r="Q212" s="138">
        <f>MONTH(Table1[[#This Row],[Date]])</f>
        <v>11</v>
      </c>
      <c r="R212" s="138">
        <v>2021</v>
      </c>
      <c r="S212" s="139">
        <f>IF(ISBLANK(Table1[[#This Row],[Date]]),"",Table1[[#This Row],[Date]]-WEEKDAY(Table1[[#This Row],[Date]],2)+1)</f>
        <v>44508</v>
      </c>
      <c r="T212" s="140">
        <f>IF(ISBLANK(Table1[[#This Row],[Date]]),"",DATE(Table1[[#This Row],[Date_Year]],Table1[[#This Row],[Date_Month]],1))</f>
        <v>44501</v>
      </c>
    </row>
    <row r="213" spans="2:20" ht="15.75">
      <c r="B213" s="154">
        <v>44514</v>
      </c>
      <c r="C213" s="119" t="s">
        <v>1481</v>
      </c>
      <c r="D213" s="119"/>
      <c r="E213" s="119"/>
      <c r="F213" s="155">
        <v>-15.33</v>
      </c>
      <c r="G213" s="133" t="str">
        <f>_xlfn.XLOOKUP(Table1[[#This Row],[Account_ID]], Accounts[ID], Accounts[Account nickname], "Unknown")</f>
        <v>Discover</v>
      </c>
      <c r="H213" s="134" t="str">
        <f>_xlfn.XLOOKUP(Table1[[#This Row],[Account_ID]], Accounts[ID], Accounts[Account'#], "Unknown")</f>
        <v>4618</v>
      </c>
      <c r="I213" s="135" t="str">
        <f>_xlfn.XLOOKUP(_xlfn.XLOOKUP(Table1[[#This Row],[Account]],Accounts[Account nickname],Accounts[Institution ID]),Institutions[ID],Institutions[Institution nickname],"Unknown")</f>
        <v>Discover</v>
      </c>
      <c r="J213" s="136" t="s">
        <v>1482</v>
      </c>
      <c r="K213" s="137" t="s">
        <v>843</v>
      </c>
      <c r="L213" s="137" t="s">
        <v>841</v>
      </c>
      <c r="M21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1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13" s="138" t="str" cm="1">
        <f t="array" ref="O213">IFERROR(INDEX(CategoriesTable[Category type],MATCH(Table1[[#This Row],[Category]],CategoriesTable[Category name],0),0),"")</f>
        <v/>
      </c>
      <c r="P213" s="138">
        <v>14</v>
      </c>
      <c r="Q213" s="138">
        <f>MONTH(Table1[[#This Row],[Date]])</f>
        <v>11</v>
      </c>
      <c r="R213" s="138">
        <v>2021</v>
      </c>
      <c r="S213" s="139">
        <f>IF(ISBLANK(Table1[[#This Row],[Date]]),"",Table1[[#This Row],[Date]]-WEEKDAY(Table1[[#This Row],[Date]],2)+1)</f>
        <v>44508</v>
      </c>
      <c r="T213" s="140">
        <f>IF(ISBLANK(Table1[[#This Row],[Date]]),"",DATE(Table1[[#This Row],[Date_Year]],Table1[[#This Row],[Date_Month]],1))</f>
        <v>44501</v>
      </c>
    </row>
    <row r="214" spans="2:20" ht="15.75">
      <c r="B214" s="154">
        <v>44514</v>
      </c>
      <c r="C214" s="119" t="s">
        <v>1485</v>
      </c>
      <c r="D214" s="119"/>
      <c r="E214" s="119"/>
      <c r="F214" s="155">
        <v>-6.5</v>
      </c>
      <c r="G214" s="133" t="str">
        <f>_xlfn.XLOOKUP(Table1[[#This Row],[Account_ID]], Accounts[ID], Accounts[Account nickname], "Unknown")</f>
        <v>Discover</v>
      </c>
      <c r="H214" s="134" t="str">
        <f>_xlfn.XLOOKUP(Table1[[#This Row],[Account_ID]], Accounts[ID], Accounts[Account'#], "Unknown")</f>
        <v>4618</v>
      </c>
      <c r="I214" s="135" t="str">
        <f>_xlfn.XLOOKUP(_xlfn.XLOOKUP(Table1[[#This Row],[Account]],Accounts[Account nickname],Accounts[Institution ID]),Institutions[ID],Institutions[Institution nickname],"Unknown")</f>
        <v>Discover</v>
      </c>
      <c r="J214" s="152" t="s">
        <v>1486</v>
      </c>
      <c r="K214" s="137" t="s">
        <v>843</v>
      </c>
      <c r="L214" s="137" t="s">
        <v>841</v>
      </c>
      <c r="M21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1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14" s="138" t="str" cm="1">
        <f t="array" ref="O214">IFERROR(INDEX(CategoriesTable[Category type],MATCH(Table1[[#This Row],[Category]],CategoriesTable[Category name],0),0),"")</f>
        <v/>
      </c>
      <c r="P214" s="138">
        <v>14</v>
      </c>
      <c r="Q214" s="138">
        <f>MONTH(Table1[[#This Row],[Date]])</f>
        <v>11</v>
      </c>
      <c r="R214" s="138">
        <v>2021</v>
      </c>
      <c r="S214" s="139">
        <f>IF(ISBLANK(Table1[[#This Row],[Date]]),"",Table1[[#This Row],[Date]]-WEEKDAY(Table1[[#This Row],[Date]],2)+1)</f>
        <v>44508</v>
      </c>
      <c r="T214" s="140">
        <f>IF(ISBLANK(Table1[[#This Row],[Date]]),"",DATE(Table1[[#This Row],[Date_Year]],Table1[[#This Row],[Date_Month]],1))</f>
        <v>44501</v>
      </c>
    </row>
    <row r="215" spans="2:20" ht="15.75">
      <c r="B215" s="154">
        <v>44514</v>
      </c>
      <c r="C215" s="119" t="s">
        <v>1489</v>
      </c>
      <c r="D215" s="119"/>
      <c r="E215" s="119"/>
      <c r="F215" s="155">
        <v>-44.31</v>
      </c>
      <c r="G215" s="133" t="str">
        <f>_xlfn.XLOOKUP(Table1[[#This Row],[Account_ID]], Accounts[ID], Accounts[Account nickname], "Unknown")</f>
        <v>Discover</v>
      </c>
      <c r="H215" s="134" t="str">
        <f>_xlfn.XLOOKUP(Table1[[#This Row],[Account_ID]], Accounts[ID], Accounts[Account'#], "Unknown")</f>
        <v>4618</v>
      </c>
      <c r="I215" s="135" t="str">
        <f>_xlfn.XLOOKUP(_xlfn.XLOOKUP(Table1[[#This Row],[Account]],Accounts[Account nickname],Accounts[Institution ID]),Institutions[ID],Institutions[Institution nickname],"Unknown")</f>
        <v>Discover</v>
      </c>
      <c r="J215" s="136" t="s">
        <v>1490</v>
      </c>
      <c r="K215" s="137" t="s">
        <v>843</v>
      </c>
      <c r="L215" s="137" t="s">
        <v>841</v>
      </c>
      <c r="M21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1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15" s="138" t="str" cm="1">
        <f t="array" ref="O215">IFERROR(INDEX(CategoriesTable[Category type],MATCH(Table1[[#This Row],[Category]],CategoriesTable[Category name],0),0),"")</f>
        <v/>
      </c>
      <c r="P215" s="138">
        <v>14</v>
      </c>
      <c r="Q215" s="138">
        <f>MONTH(Table1[[#This Row],[Date]])</f>
        <v>11</v>
      </c>
      <c r="R215" s="138">
        <v>2021</v>
      </c>
      <c r="S215" s="139">
        <f>IF(ISBLANK(Table1[[#This Row],[Date]]),"",Table1[[#This Row],[Date]]-WEEKDAY(Table1[[#This Row],[Date]],2)+1)</f>
        <v>44508</v>
      </c>
      <c r="T215" s="140">
        <f>IF(ISBLANK(Table1[[#This Row],[Date]]),"",DATE(Table1[[#This Row],[Date_Year]],Table1[[#This Row],[Date_Month]],1))</f>
        <v>44501</v>
      </c>
    </row>
    <row r="216" spans="2:20" ht="15.75">
      <c r="B216" s="154">
        <v>44514</v>
      </c>
      <c r="C216" s="119" t="s">
        <v>1487</v>
      </c>
      <c r="D216" s="119"/>
      <c r="E216" s="119"/>
      <c r="F216" s="155">
        <v>-6.01</v>
      </c>
      <c r="G216" s="133" t="str">
        <f>_xlfn.XLOOKUP(Table1[[#This Row],[Account_ID]], Accounts[ID], Accounts[Account nickname], "Unknown")</f>
        <v>Discover</v>
      </c>
      <c r="H216" s="134" t="str">
        <f>_xlfn.XLOOKUP(Table1[[#This Row],[Account_ID]], Accounts[ID], Accounts[Account'#], "Unknown")</f>
        <v>4618</v>
      </c>
      <c r="I216" s="135" t="str">
        <f>_xlfn.XLOOKUP(_xlfn.XLOOKUP(Table1[[#This Row],[Account]],Accounts[Account nickname],Accounts[Institution ID]),Institutions[ID],Institutions[Institution nickname],"Unknown")</f>
        <v>Discover</v>
      </c>
      <c r="J216" s="136" t="s">
        <v>1488</v>
      </c>
      <c r="K216" s="137" t="s">
        <v>843</v>
      </c>
      <c r="L216" s="137" t="s">
        <v>841</v>
      </c>
      <c r="M21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1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16" s="138" t="str" cm="1">
        <f t="array" ref="O216">IFERROR(INDEX(CategoriesTable[Category type],MATCH(Table1[[#This Row],[Category]],CategoriesTable[Category name],0),0),"")</f>
        <v/>
      </c>
      <c r="P216" s="138">
        <v>14</v>
      </c>
      <c r="Q216" s="138">
        <f>MONTH(Table1[[#This Row],[Date]])</f>
        <v>11</v>
      </c>
      <c r="R216" s="138">
        <v>2021</v>
      </c>
      <c r="S216" s="139">
        <f>IF(ISBLANK(Table1[[#This Row],[Date]]),"",Table1[[#This Row],[Date]]-WEEKDAY(Table1[[#This Row],[Date]],2)+1)</f>
        <v>44508</v>
      </c>
      <c r="T216" s="140">
        <f>IF(ISBLANK(Table1[[#This Row],[Date]]),"",DATE(Table1[[#This Row],[Date_Year]],Table1[[#This Row],[Date_Month]],1))</f>
        <v>44501</v>
      </c>
    </row>
    <row r="217" spans="2:20" ht="15.75">
      <c r="B217" s="154">
        <v>44513</v>
      </c>
      <c r="C217" s="119" t="s">
        <v>1496</v>
      </c>
      <c r="D217" s="119"/>
      <c r="E217" s="119"/>
      <c r="F217" s="155">
        <v>-50</v>
      </c>
      <c r="G217" s="133" t="str">
        <f>_xlfn.XLOOKUP(Table1[[#This Row],[Account_ID]], Accounts[ID], Accounts[Account nickname], "Unknown")</f>
        <v>Discover</v>
      </c>
      <c r="H217" s="134" t="str">
        <f>_xlfn.XLOOKUP(Table1[[#This Row],[Account_ID]], Accounts[ID], Accounts[Account'#], "Unknown")</f>
        <v>4618</v>
      </c>
      <c r="I217" s="135" t="str">
        <f>_xlfn.XLOOKUP(_xlfn.XLOOKUP(Table1[[#This Row],[Account]],Accounts[Account nickname],Accounts[Institution ID]),Institutions[ID],Institutions[Institution nickname],"Unknown")</f>
        <v>Discover</v>
      </c>
      <c r="J217" s="136" t="s">
        <v>1497</v>
      </c>
      <c r="K217" s="137" t="s">
        <v>843</v>
      </c>
      <c r="L217" s="137" t="s">
        <v>841</v>
      </c>
      <c r="M21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1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17" s="138" t="str" cm="1">
        <f t="array" ref="O217">IFERROR(INDEX(CategoriesTable[Category type],MATCH(Table1[[#This Row],[Category]],CategoriesTable[Category name],0),0),"")</f>
        <v/>
      </c>
      <c r="P217" s="138">
        <v>13</v>
      </c>
      <c r="Q217" s="138">
        <f>MONTH(Table1[[#This Row],[Date]])</f>
        <v>11</v>
      </c>
      <c r="R217" s="138">
        <v>2021</v>
      </c>
      <c r="S217" s="139">
        <f>IF(ISBLANK(Table1[[#This Row],[Date]]),"",Table1[[#This Row],[Date]]-WEEKDAY(Table1[[#This Row],[Date]],2)+1)</f>
        <v>44508</v>
      </c>
      <c r="T217" s="140">
        <f>IF(ISBLANK(Table1[[#This Row],[Date]]),"",DATE(Table1[[#This Row],[Date_Year]],Table1[[#This Row],[Date_Month]],1))</f>
        <v>44501</v>
      </c>
    </row>
    <row r="218" spans="2:20" ht="15.75">
      <c r="B218" s="154">
        <v>44512</v>
      </c>
      <c r="C218" s="119" t="s">
        <v>1498</v>
      </c>
      <c r="D218" s="119"/>
      <c r="E218" s="119"/>
      <c r="F218" s="155">
        <v>-34.92</v>
      </c>
      <c r="G218" s="133" t="str">
        <f>_xlfn.XLOOKUP(Table1[[#This Row],[Account_ID]], Accounts[ID], Accounts[Account nickname], "Unknown")</f>
        <v>Discover</v>
      </c>
      <c r="H218" s="134" t="str">
        <f>_xlfn.XLOOKUP(Table1[[#This Row],[Account_ID]], Accounts[ID], Accounts[Account'#], "Unknown")</f>
        <v>4618</v>
      </c>
      <c r="I218" s="135" t="str">
        <f>_xlfn.XLOOKUP(_xlfn.XLOOKUP(Table1[[#This Row],[Account]],Accounts[Account nickname],Accounts[Institution ID]),Institutions[ID],Institutions[Institution nickname],"Unknown")</f>
        <v>Discover</v>
      </c>
      <c r="J218" s="136" t="s">
        <v>1499</v>
      </c>
      <c r="K218" s="137" t="s">
        <v>843</v>
      </c>
      <c r="L218" s="137" t="s">
        <v>841</v>
      </c>
      <c r="M21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1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18" s="138" t="str" cm="1">
        <f t="array" ref="O218">IFERROR(INDEX(CategoriesTable[Category type],MATCH(Table1[[#This Row],[Category]],CategoriesTable[Category name],0),0),"")</f>
        <v/>
      </c>
      <c r="P218" s="138">
        <v>12</v>
      </c>
      <c r="Q218" s="138">
        <f>MONTH(Table1[[#This Row],[Date]])</f>
        <v>11</v>
      </c>
      <c r="R218" s="138">
        <v>2021</v>
      </c>
      <c r="S218" s="139">
        <f>IF(ISBLANK(Table1[[#This Row],[Date]]),"",Table1[[#This Row],[Date]]-WEEKDAY(Table1[[#This Row],[Date]],2)+1)</f>
        <v>44508</v>
      </c>
      <c r="T218" s="140">
        <f>IF(ISBLANK(Table1[[#This Row],[Date]]),"",DATE(Table1[[#This Row],[Date_Year]],Table1[[#This Row],[Date_Month]],1))</f>
        <v>44501</v>
      </c>
    </row>
    <row r="219" spans="2:20" ht="15.75">
      <c r="B219" s="154">
        <v>44512</v>
      </c>
      <c r="C219" s="119" t="s">
        <v>678</v>
      </c>
      <c r="D219" s="119"/>
      <c r="E219" s="119"/>
      <c r="F219" s="155">
        <v>36.1</v>
      </c>
      <c r="G219" s="133" t="str">
        <f>_xlfn.XLOOKUP(Table1[[#This Row],[Account_ID]], Accounts[ID], Accounts[Account nickname], "Unknown")</f>
        <v>WF</v>
      </c>
      <c r="H219" s="134" t="str">
        <f>_xlfn.XLOOKUP(Table1[[#This Row],[Account_ID]], Accounts[ID], Accounts[Account'#], "Unknown")</f>
        <v>4636</v>
      </c>
      <c r="I219" s="135" t="str">
        <f>_xlfn.XLOOKUP(_xlfn.XLOOKUP(Table1[[#This Row],[Account]],Accounts[Account nickname],Accounts[Institution ID]),Institutions[ID],Institutions[Institution nickname],"Unknown")</f>
        <v>Wells Fargo</v>
      </c>
      <c r="J219" s="136" t="s">
        <v>986</v>
      </c>
      <c r="K219" s="137" t="s">
        <v>808</v>
      </c>
      <c r="L219" s="137" t="s">
        <v>807</v>
      </c>
      <c r="M21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1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19" s="138" t="str" cm="1">
        <f t="array" ref="O219">IFERROR(INDEX(CategoriesTable[Category type],MATCH(Table1[[#This Row],[Category]],CategoriesTable[Category name],0),0),"")</f>
        <v/>
      </c>
      <c r="P219" s="138">
        <v>12</v>
      </c>
      <c r="Q219" s="138">
        <f>MONTH(Table1[[#This Row],[Date]])</f>
        <v>11</v>
      </c>
      <c r="R219" s="138">
        <v>2021</v>
      </c>
      <c r="S219" s="139">
        <f>IF(ISBLANK(Table1[[#This Row],[Date]]),"",Table1[[#This Row],[Date]]-WEEKDAY(Table1[[#This Row],[Date]],2)+1)</f>
        <v>44508</v>
      </c>
      <c r="T219" s="140">
        <f>IF(ISBLANK(Table1[[#This Row],[Date]]),"",DATE(Table1[[#This Row],[Date_Year]],Table1[[#This Row],[Date_Month]],1))</f>
        <v>44501</v>
      </c>
    </row>
    <row r="220" spans="2:20" ht="15.75">
      <c r="B220" s="154">
        <v>44512</v>
      </c>
      <c r="C220" s="119" t="s">
        <v>1500</v>
      </c>
      <c r="D220" s="119"/>
      <c r="E220" s="119"/>
      <c r="F220" s="155">
        <v>-1.99</v>
      </c>
      <c r="G220" s="133" t="str">
        <f>_xlfn.XLOOKUP(Table1[[#This Row],[Account_ID]], Accounts[ID], Accounts[Account nickname], "Unknown")</f>
        <v>Discover</v>
      </c>
      <c r="H220" s="134" t="str">
        <f>_xlfn.XLOOKUP(Table1[[#This Row],[Account_ID]], Accounts[ID], Accounts[Account'#], "Unknown")</f>
        <v>4618</v>
      </c>
      <c r="I220" s="135" t="str">
        <f>_xlfn.XLOOKUP(_xlfn.XLOOKUP(Table1[[#This Row],[Account]],Accounts[Account nickname],Accounts[Institution ID]),Institutions[ID],Institutions[Institution nickname],"Unknown")</f>
        <v>Discover</v>
      </c>
      <c r="J220" s="136" t="s">
        <v>1501</v>
      </c>
      <c r="K220" s="137" t="s">
        <v>843</v>
      </c>
      <c r="L220" s="137" t="s">
        <v>841</v>
      </c>
      <c r="M22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2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20" s="138" t="str" cm="1">
        <f t="array" ref="O220">IFERROR(INDEX(CategoriesTable[Category type],MATCH(Table1[[#This Row],[Category]],CategoriesTable[Category name],0),0),"")</f>
        <v/>
      </c>
      <c r="P220" s="138">
        <v>12</v>
      </c>
      <c r="Q220" s="138">
        <f>MONTH(Table1[[#This Row],[Date]])</f>
        <v>11</v>
      </c>
      <c r="R220" s="138">
        <v>2021</v>
      </c>
      <c r="S220" s="139">
        <f>IF(ISBLANK(Table1[[#This Row],[Date]]),"",Table1[[#This Row],[Date]]-WEEKDAY(Table1[[#This Row],[Date]],2)+1)</f>
        <v>44508</v>
      </c>
      <c r="T220" s="140">
        <f>IF(ISBLANK(Table1[[#This Row],[Date]]),"",DATE(Table1[[#This Row],[Date_Year]],Table1[[#This Row],[Date_Month]],1))</f>
        <v>44501</v>
      </c>
    </row>
    <row r="221" spans="2:20" ht="15.75">
      <c r="B221" s="154">
        <v>44511</v>
      </c>
      <c r="C221" s="119" t="s">
        <v>693</v>
      </c>
      <c r="D221" s="119"/>
      <c r="E221" s="119"/>
      <c r="F221" s="155">
        <v>-40</v>
      </c>
      <c r="G221" s="133" t="str">
        <f>_xlfn.XLOOKUP(Table1[[#This Row],[Account_ID]], Accounts[ID], Accounts[Account nickname], "Unknown")</f>
        <v>WF</v>
      </c>
      <c r="H221" s="134" t="str">
        <f>_xlfn.XLOOKUP(Table1[[#This Row],[Account_ID]], Accounts[ID], Accounts[Account'#], "Unknown")</f>
        <v>4636</v>
      </c>
      <c r="I221" s="135" t="str">
        <f>_xlfn.XLOOKUP(_xlfn.XLOOKUP(Table1[[#This Row],[Account]],Accounts[Account nickname],Accounts[Institution ID]),Institutions[ID],Institutions[Institution nickname],"Unknown")</f>
        <v>Wells Fargo</v>
      </c>
      <c r="J221" s="136" t="s">
        <v>987</v>
      </c>
      <c r="K221" s="137" t="s">
        <v>808</v>
      </c>
      <c r="L221" s="137" t="s">
        <v>807</v>
      </c>
      <c r="M22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2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21" s="138" t="str" cm="1">
        <f t="array" ref="O221">IFERROR(INDEX(CategoriesTable[Category type],MATCH(Table1[[#This Row],[Category]],CategoriesTable[Category name],0),0),"")</f>
        <v/>
      </c>
      <c r="P221" s="138">
        <v>11</v>
      </c>
      <c r="Q221" s="138">
        <f>MONTH(Table1[[#This Row],[Date]])</f>
        <v>11</v>
      </c>
      <c r="R221" s="138">
        <v>2021</v>
      </c>
      <c r="S221" s="139">
        <f>IF(ISBLANK(Table1[[#This Row],[Date]]),"",Table1[[#This Row],[Date]]-WEEKDAY(Table1[[#This Row],[Date]],2)+1)</f>
        <v>44508</v>
      </c>
      <c r="T221" s="140">
        <f>IF(ISBLANK(Table1[[#This Row],[Date]]),"",DATE(Table1[[#This Row],[Date_Year]],Table1[[#This Row],[Date_Month]],1))</f>
        <v>44501</v>
      </c>
    </row>
    <row r="222" spans="2:20" ht="15.75">
      <c r="B222" s="154">
        <v>44510</v>
      </c>
      <c r="C222" s="119" t="s">
        <v>1502</v>
      </c>
      <c r="D222" s="119"/>
      <c r="E222" s="119"/>
      <c r="F222" s="155">
        <v>-20.37</v>
      </c>
      <c r="G222" s="133" t="str">
        <f>_xlfn.XLOOKUP(Table1[[#This Row],[Account_ID]], Accounts[ID], Accounts[Account nickname], "Unknown")</f>
        <v>Discover</v>
      </c>
      <c r="H222" s="134" t="str">
        <f>_xlfn.XLOOKUP(Table1[[#This Row],[Account_ID]], Accounts[ID], Accounts[Account'#], "Unknown")</f>
        <v>4618</v>
      </c>
      <c r="I222" s="135" t="str">
        <f>_xlfn.XLOOKUP(_xlfn.XLOOKUP(Table1[[#This Row],[Account]],Accounts[Account nickname],Accounts[Institution ID]),Institutions[ID],Institutions[Institution nickname],"Unknown")</f>
        <v>Discover</v>
      </c>
      <c r="J222" s="136" t="s">
        <v>1503</v>
      </c>
      <c r="K222" s="137" t="s">
        <v>843</v>
      </c>
      <c r="L222" s="137" t="s">
        <v>841</v>
      </c>
      <c r="M22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2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22" s="138" t="str" cm="1">
        <f t="array" ref="O222">IFERROR(INDEX(CategoriesTable[Category type],MATCH(Table1[[#This Row],[Category]],CategoriesTable[Category name],0),0),"")</f>
        <v/>
      </c>
      <c r="P222" s="138">
        <v>10</v>
      </c>
      <c r="Q222" s="138">
        <f>MONTH(Table1[[#This Row],[Date]])</f>
        <v>11</v>
      </c>
      <c r="R222" s="138">
        <v>2021</v>
      </c>
      <c r="S222" s="139">
        <f>IF(ISBLANK(Table1[[#This Row],[Date]]),"",Table1[[#This Row],[Date]]-WEEKDAY(Table1[[#This Row],[Date]],2)+1)</f>
        <v>44508</v>
      </c>
      <c r="T222" s="140">
        <f>IF(ISBLANK(Table1[[#This Row],[Date]]),"",DATE(Table1[[#This Row],[Date_Year]],Table1[[#This Row],[Date_Month]],1))</f>
        <v>44501</v>
      </c>
    </row>
    <row r="223" spans="2:20" ht="15.75">
      <c r="B223" s="154">
        <v>44509</v>
      </c>
      <c r="C223" s="119" t="s">
        <v>1507</v>
      </c>
      <c r="D223" s="119"/>
      <c r="E223" s="119"/>
      <c r="F223" s="155">
        <v>-3.96</v>
      </c>
      <c r="G223" s="133" t="str">
        <f>_xlfn.XLOOKUP(Table1[[#This Row],[Account_ID]], Accounts[ID], Accounts[Account nickname], "Unknown")</f>
        <v>Discover</v>
      </c>
      <c r="H223" s="134" t="str">
        <f>_xlfn.XLOOKUP(Table1[[#This Row],[Account_ID]], Accounts[ID], Accounts[Account'#], "Unknown")</f>
        <v>4618</v>
      </c>
      <c r="I223" s="135" t="str">
        <f>_xlfn.XLOOKUP(_xlfn.XLOOKUP(Table1[[#This Row],[Account]],Accounts[Account nickname],Accounts[Institution ID]),Institutions[ID],Institutions[Institution nickname],"Unknown")</f>
        <v>Discover</v>
      </c>
      <c r="J223" s="136" t="s">
        <v>1508</v>
      </c>
      <c r="K223" s="137" t="s">
        <v>843</v>
      </c>
      <c r="L223" s="137" t="s">
        <v>841</v>
      </c>
      <c r="M22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2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23" s="138" t="str" cm="1">
        <f t="array" ref="O223">IFERROR(INDEX(CategoriesTable[Category type],MATCH(Table1[[#This Row],[Category]],CategoriesTable[Category name],0),0),"")</f>
        <v/>
      </c>
      <c r="P223" s="138">
        <v>9</v>
      </c>
      <c r="Q223" s="138">
        <f>MONTH(Table1[[#This Row],[Date]])</f>
        <v>11</v>
      </c>
      <c r="R223" s="138">
        <v>2021</v>
      </c>
      <c r="S223" s="139">
        <f>IF(ISBLANK(Table1[[#This Row],[Date]]),"",Table1[[#This Row],[Date]]-WEEKDAY(Table1[[#This Row],[Date]],2)+1)</f>
        <v>44508</v>
      </c>
      <c r="T223" s="140">
        <f>IF(ISBLANK(Table1[[#This Row],[Date]]),"",DATE(Table1[[#This Row],[Date_Year]],Table1[[#This Row],[Date_Month]],1))</f>
        <v>44501</v>
      </c>
    </row>
    <row r="224" spans="2:20" ht="15.75">
      <c r="B224" s="154">
        <v>44509</v>
      </c>
      <c r="C224" s="119" t="s">
        <v>678</v>
      </c>
      <c r="D224" s="119"/>
      <c r="E224" s="119"/>
      <c r="F224" s="155">
        <v>-70</v>
      </c>
      <c r="G224" s="133" t="str">
        <f>_xlfn.XLOOKUP(Table1[[#This Row],[Account_ID]], Accounts[ID], Accounts[Account nickname], "Unknown")</f>
        <v>WF</v>
      </c>
      <c r="H224" s="134" t="str">
        <f>_xlfn.XLOOKUP(Table1[[#This Row],[Account_ID]], Accounts[ID], Accounts[Account'#], "Unknown")</f>
        <v>4636</v>
      </c>
      <c r="I224" s="135" t="str">
        <f>_xlfn.XLOOKUP(_xlfn.XLOOKUP(Table1[[#This Row],[Account]],Accounts[Account nickname],Accounts[Institution ID]),Institutions[ID],Institutions[Institution nickname],"Unknown")</f>
        <v>Wells Fargo</v>
      </c>
      <c r="J224" s="136" t="s">
        <v>988</v>
      </c>
      <c r="K224" s="137" t="s">
        <v>808</v>
      </c>
      <c r="L224" s="137" t="s">
        <v>807</v>
      </c>
      <c r="M22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2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24" s="138" t="str" cm="1">
        <f t="array" ref="O224">IFERROR(INDEX(CategoriesTable[Category type],MATCH(Table1[[#This Row],[Category]],CategoriesTable[Category name],0),0),"")</f>
        <v/>
      </c>
      <c r="P224" s="138">
        <v>9</v>
      </c>
      <c r="Q224" s="138">
        <f>MONTH(Table1[[#This Row],[Date]])</f>
        <v>11</v>
      </c>
      <c r="R224" s="138">
        <v>2021</v>
      </c>
      <c r="S224" s="139">
        <f>IF(ISBLANK(Table1[[#This Row],[Date]]),"",Table1[[#This Row],[Date]]-WEEKDAY(Table1[[#This Row],[Date]],2)+1)</f>
        <v>44508</v>
      </c>
      <c r="T224" s="140">
        <f>IF(ISBLANK(Table1[[#This Row],[Date]]),"",DATE(Table1[[#This Row],[Date_Year]],Table1[[#This Row],[Date_Month]],1))</f>
        <v>44501</v>
      </c>
    </row>
    <row r="225" spans="2:20" ht="15.75">
      <c r="B225" s="154">
        <v>44509</v>
      </c>
      <c r="C225" s="119" t="s">
        <v>704</v>
      </c>
      <c r="D225" s="119"/>
      <c r="E225" s="119"/>
      <c r="F225" s="155">
        <v>-20.83</v>
      </c>
      <c r="G225" s="133" t="str">
        <f>_xlfn.XLOOKUP(Table1[[#This Row],[Account_ID]], Accounts[ID], Accounts[Account nickname], "Unknown")</f>
        <v>Discover</v>
      </c>
      <c r="H225" s="134" t="str">
        <f>_xlfn.XLOOKUP(Table1[[#This Row],[Account_ID]], Accounts[ID], Accounts[Account'#], "Unknown")</f>
        <v>4618</v>
      </c>
      <c r="I225" s="135" t="str">
        <f>_xlfn.XLOOKUP(_xlfn.XLOOKUP(Table1[[#This Row],[Account]],Accounts[Account nickname],Accounts[Institution ID]),Institutions[ID],Institutions[Institution nickname],"Unknown")</f>
        <v>Discover</v>
      </c>
      <c r="J225" s="136" t="s">
        <v>1506</v>
      </c>
      <c r="K225" s="137" t="s">
        <v>843</v>
      </c>
      <c r="L225" s="137" t="s">
        <v>841</v>
      </c>
      <c r="M22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2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25" s="138" t="str" cm="1">
        <f t="array" ref="O225">IFERROR(INDEX(CategoriesTable[Category type],MATCH(Table1[[#This Row],[Category]],CategoriesTable[Category name],0),0),"")</f>
        <v/>
      </c>
      <c r="P225" s="138">
        <v>9</v>
      </c>
      <c r="Q225" s="138">
        <f>MONTH(Table1[[#This Row],[Date]])</f>
        <v>11</v>
      </c>
      <c r="R225" s="138">
        <v>2021</v>
      </c>
      <c r="S225" s="139">
        <f>IF(ISBLANK(Table1[[#This Row],[Date]]),"",Table1[[#This Row],[Date]]-WEEKDAY(Table1[[#This Row],[Date]],2)+1)</f>
        <v>44508</v>
      </c>
      <c r="T225" s="140">
        <f>IF(ISBLANK(Table1[[#This Row],[Date]]),"",DATE(Table1[[#This Row],[Date_Year]],Table1[[#This Row],[Date_Month]],1))</f>
        <v>44501</v>
      </c>
    </row>
    <row r="226" spans="2:20" ht="15.75">
      <c r="B226" s="154">
        <v>44509</v>
      </c>
      <c r="C226" s="119" t="s">
        <v>1504</v>
      </c>
      <c r="D226" s="119"/>
      <c r="E226" s="119"/>
      <c r="F226" s="155">
        <v>-134.18</v>
      </c>
      <c r="G226" s="133" t="str">
        <f>_xlfn.XLOOKUP(Table1[[#This Row],[Account_ID]], Accounts[ID], Accounts[Account nickname], "Unknown")</f>
        <v>Discover</v>
      </c>
      <c r="H226" s="134" t="str">
        <f>_xlfn.XLOOKUP(Table1[[#This Row],[Account_ID]], Accounts[ID], Accounts[Account'#], "Unknown")</f>
        <v>4618</v>
      </c>
      <c r="I226" s="135" t="str">
        <f>_xlfn.XLOOKUP(_xlfn.XLOOKUP(Table1[[#This Row],[Account]],Accounts[Account nickname],Accounts[Institution ID]),Institutions[ID],Institutions[Institution nickname],"Unknown")</f>
        <v>Discover</v>
      </c>
      <c r="J226" s="136" t="s">
        <v>1505</v>
      </c>
      <c r="K226" s="137" t="s">
        <v>843</v>
      </c>
      <c r="L226" s="137" t="s">
        <v>841</v>
      </c>
      <c r="M22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2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26" s="138" t="str" cm="1">
        <f t="array" ref="O226">IFERROR(INDEX(CategoriesTable[Category type],MATCH(Table1[[#This Row],[Category]],CategoriesTable[Category name],0),0),"")</f>
        <v/>
      </c>
      <c r="P226" s="138">
        <v>9</v>
      </c>
      <c r="Q226" s="138">
        <f>MONTH(Table1[[#This Row],[Date]])</f>
        <v>11</v>
      </c>
      <c r="R226" s="138">
        <v>2021</v>
      </c>
      <c r="S226" s="139">
        <f>IF(ISBLANK(Table1[[#This Row],[Date]]),"",Table1[[#This Row],[Date]]-WEEKDAY(Table1[[#This Row],[Date]],2)+1)</f>
        <v>44508</v>
      </c>
      <c r="T226" s="140">
        <f>IF(ISBLANK(Table1[[#This Row],[Date]]),"",DATE(Table1[[#This Row],[Date_Year]],Table1[[#This Row],[Date_Month]],1))</f>
        <v>44501</v>
      </c>
    </row>
    <row r="227" spans="2:20" ht="15.75">
      <c r="B227" s="154">
        <v>44509</v>
      </c>
      <c r="C227" s="119" t="s">
        <v>1498</v>
      </c>
      <c r="D227" s="119"/>
      <c r="E227" s="119"/>
      <c r="F227" s="155">
        <v>-27.82</v>
      </c>
      <c r="G227" s="133" t="str">
        <f>_xlfn.XLOOKUP(Table1[[#This Row],[Account_ID]], Accounts[ID], Accounts[Account nickname], "Unknown")</f>
        <v>Discover</v>
      </c>
      <c r="H227" s="134" t="str">
        <f>_xlfn.XLOOKUP(Table1[[#This Row],[Account_ID]], Accounts[ID], Accounts[Account'#], "Unknown")</f>
        <v>4618</v>
      </c>
      <c r="I227" s="135" t="str">
        <f>_xlfn.XLOOKUP(_xlfn.XLOOKUP(Table1[[#This Row],[Account]],Accounts[Account nickname],Accounts[Institution ID]),Institutions[ID],Institutions[Institution nickname],"Unknown")</f>
        <v>Discover</v>
      </c>
      <c r="J227" s="136" t="s">
        <v>1509</v>
      </c>
      <c r="K227" s="137" t="s">
        <v>843</v>
      </c>
      <c r="L227" s="137" t="s">
        <v>841</v>
      </c>
      <c r="M22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2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27" s="138" t="str" cm="1">
        <f t="array" ref="O227">IFERROR(INDEX(CategoriesTable[Category type],MATCH(Table1[[#This Row],[Category]],CategoriesTable[Category name],0),0),"")</f>
        <v/>
      </c>
      <c r="P227" s="138">
        <v>9</v>
      </c>
      <c r="Q227" s="138">
        <f>MONTH(Table1[[#This Row],[Date]])</f>
        <v>11</v>
      </c>
      <c r="R227" s="138">
        <v>2021</v>
      </c>
      <c r="S227" s="139">
        <f>IF(ISBLANK(Table1[[#This Row],[Date]]),"",Table1[[#This Row],[Date]]-WEEKDAY(Table1[[#This Row],[Date]],2)+1)</f>
        <v>44508</v>
      </c>
      <c r="T227" s="140">
        <f>IF(ISBLANK(Table1[[#This Row],[Date]]),"",DATE(Table1[[#This Row],[Date_Year]],Table1[[#This Row],[Date_Month]],1))</f>
        <v>44501</v>
      </c>
    </row>
    <row r="228" spans="2:20" ht="15.75">
      <c r="B228" s="154">
        <v>44509</v>
      </c>
      <c r="C228" s="119" t="s">
        <v>689</v>
      </c>
      <c r="D228" s="119"/>
      <c r="E228" s="119"/>
      <c r="F228" s="155">
        <v>-41.34</v>
      </c>
      <c r="G228" s="133" t="str">
        <f>_xlfn.XLOOKUP(Table1[[#This Row],[Account_ID]], Accounts[ID], Accounts[Account nickname], "Unknown")</f>
        <v>Discover</v>
      </c>
      <c r="H228" s="134" t="str">
        <f>_xlfn.XLOOKUP(Table1[[#This Row],[Account_ID]], Accounts[ID], Accounts[Account'#], "Unknown")</f>
        <v>4618</v>
      </c>
      <c r="I228" s="135" t="str">
        <f>_xlfn.XLOOKUP(_xlfn.XLOOKUP(Table1[[#This Row],[Account]],Accounts[Account nickname],Accounts[Institution ID]),Institutions[ID],Institutions[Institution nickname],"Unknown")</f>
        <v>Discover</v>
      </c>
      <c r="J228" s="136" t="s">
        <v>1510</v>
      </c>
      <c r="K228" s="137" t="s">
        <v>843</v>
      </c>
      <c r="L228" s="137" t="s">
        <v>841</v>
      </c>
      <c r="M22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2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28" s="138" t="str" cm="1">
        <f t="array" ref="O228">IFERROR(INDEX(CategoriesTable[Category type],MATCH(Table1[[#This Row],[Category]],CategoriesTable[Category name],0),0),"")</f>
        <v/>
      </c>
      <c r="P228" s="138">
        <v>9</v>
      </c>
      <c r="Q228" s="138">
        <f>MONTH(Table1[[#This Row],[Date]])</f>
        <v>11</v>
      </c>
      <c r="R228" s="138">
        <v>2021</v>
      </c>
      <c r="S228" s="139">
        <f>IF(ISBLANK(Table1[[#This Row],[Date]]),"",Table1[[#This Row],[Date]]-WEEKDAY(Table1[[#This Row],[Date]],2)+1)</f>
        <v>44508</v>
      </c>
      <c r="T228" s="140">
        <f>IF(ISBLANK(Table1[[#This Row],[Date]]),"",DATE(Table1[[#This Row],[Date_Year]],Table1[[#This Row],[Date_Month]],1))</f>
        <v>44501</v>
      </c>
    </row>
    <row r="229" spans="2:20" ht="15.75">
      <c r="B229" s="154">
        <v>44509</v>
      </c>
      <c r="C229" s="119" t="s">
        <v>1511</v>
      </c>
      <c r="D229" s="119"/>
      <c r="E229" s="119"/>
      <c r="F229" s="155">
        <v>-25</v>
      </c>
      <c r="G229" s="133" t="str">
        <f>_xlfn.XLOOKUP(Table1[[#This Row],[Account_ID]], Accounts[ID], Accounts[Account nickname], "Unknown")</f>
        <v>Discover</v>
      </c>
      <c r="H229" s="134" t="str">
        <f>_xlfn.XLOOKUP(Table1[[#This Row],[Account_ID]], Accounts[ID], Accounts[Account'#], "Unknown")</f>
        <v>4618</v>
      </c>
      <c r="I229" s="135" t="str">
        <f>_xlfn.XLOOKUP(_xlfn.XLOOKUP(Table1[[#This Row],[Account]],Accounts[Account nickname],Accounts[Institution ID]),Institutions[ID],Institutions[Institution nickname],"Unknown")</f>
        <v>Discover</v>
      </c>
      <c r="J229" s="136" t="s">
        <v>1512</v>
      </c>
      <c r="K229" s="137" t="s">
        <v>843</v>
      </c>
      <c r="L229" s="137" t="s">
        <v>841</v>
      </c>
      <c r="M22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2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29" s="138" t="str" cm="1">
        <f t="array" ref="O229">IFERROR(INDEX(CategoriesTable[Category type],MATCH(Table1[[#This Row],[Category]],CategoriesTable[Category name],0),0),"")</f>
        <v/>
      </c>
      <c r="P229" s="138">
        <v>9</v>
      </c>
      <c r="Q229" s="138">
        <f>MONTH(Table1[[#This Row],[Date]])</f>
        <v>11</v>
      </c>
      <c r="R229" s="138">
        <v>2021</v>
      </c>
      <c r="S229" s="139">
        <f>IF(ISBLANK(Table1[[#This Row],[Date]]),"",Table1[[#This Row],[Date]]-WEEKDAY(Table1[[#This Row],[Date]],2)+1)</f>
        <v>44508</v>
      </c>
      <c r="T229" s="140">
        <f>IF(ISBLANK(Table1[[#This Row],[Date]]),"",DATE(Table1[[#This Row],[Date_Year]],Table1[[#This Row],[Date_Month]],1))</f>
        <v>44501</v>
      </c>
    </row>
    <row r="230" spans="2:20" ht="15.75">
      <c r="B230" s="154">
        <v>44508</v>
      </c>
      <c r="C230" s="119" t="s">
        <v>686</v>
      </c>
      <c r="D230" s="119"/>
      <c r="E230" s="119"/>
      <c r="F230" s="155">
        <v>-1000</v>
      </c>
      <c r="G230" s="133" t="str">
        <f>_xlfn.XLOOKUP(Table1[[#This Row],[Account_ID]], Accounts[ID], Accounts[Account nickname], "Unknown")</f>
        <v>WF</v>
      </c>
      <c r="H230" s="134" t="str">
        <f>_xlfn.XLOOKUP(Table1[[#This Row],[Account_ID]], Accounts[ID], Accounts[Account'#], "Unknown")</f>
        <v>4636</v>
      </c>
      <c r="I230" s="135" t="str">
        <f>_xlfn.XLOOKUP(_xlfn.XLOOKUP(Table1[[#This Row],[Account]],Accounts[Account nickname],Accounts[Institution ID]),Institutions[ID],Institutions[Institution nickname],"Unknown")</f>
        <v>Wells Fargo</v>
      </c>
      <c r="J230" s="136" t="s">
        <v>989</v>
      </c>
      <c r="K230" s="137" t="s">
        <v>808</v>
      </c>
      <c r="L230" s="137" t="s">
        <v>807</v>
      </c>
      <c r="M23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3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30" s="138" t="str" cm="1">
        <f t="array" ref="O230">IFERROR(INDEX(CategoriesTable[Category type],MATCH(Table1[[#This Row],[Category]],CategoriesTable[Category name],0),0),"")</f>
        <v/>
      </c>
      <c r="P230" s="138">
        <v>8</v>
      </c>
      <c r="Q230" s="138">
        <f>MONTH(Table1[[#This Row],[Date]])</f>
        <v>11</v>
      </c>
      <c r="R230" s="138">
        <v>2021</v>
      </c>
      <c r="S230" s="139">
        <f>IF(ISBLANK(Table1[[#This Row],[Date]]),"",Table1[[#This Row],[Date]]-WEEKDAY(Table1[[#This Row],[Date]],2)+1)</f>
        <v>44508</v>
      </c>
      <c r="T230" s="140">
        <f>IF(ISBLANK(Table1[[#This Row],[Date]]),"",DATE(Table1[[#This Row],[Date_Year]],Table1[[#This Row],[Date_Month]],1))</f>
        <v>44501</v>
      </c>
    </row>
    <row r="231" spans="2:20" ht="15.75">
      <c r="B231" s="154">
        <v>44508</v>
      </c>
      <c r="C231" s="119" t="s">
        <v>936</v>
      </c>
      <c r="D231" s="119"/>
      <c r="E231" s="119"/>
      <c r="F231" s="155">
        <v>-50.46</v>
      </c>
      <c r="G231" s="133" t="str">
        <f>_xlfn.XLOOKUP(Table1[[#This Row],[Account_ID]], Accounts[ID], Accounts[Account nickname], "Unknown")</f>
        <v>Discover</v>
      </c>
      <c r="H231" s="134" t="str">
        <f>_xlfn.XLOOKUP(Table1[[#This Row],[Account_ID]], Accounts[ID], Accounts[Account'#], "Unknown")</f>
        <v>4618</v>
      </c>
      <c r="I231" s="135" t="str">
        <f>_xlfn.XLOOKUP(_xlfn.XLOOKUP(Table1[[#This Row],[Account]],Accounts[Account nickname],Accounts[Institution ID]),Institutions[ID],Institutions[Institution nickname],"Unknown")</f>
        <v>Discover</v>
      </c>
      <c r="J231" s="136" t="s">
        <v>1513</v>
      </c>
      <c r="K231" s="137" t="s">
        <v>843</v>
      </c>
      <c r="L231" s="137" t="s">
        <v>841</v>
      </c>
      <c r="M23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3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31" s="138" t="str" cm="1">
        <f t="array" ref="O231">IFERROR(INDEX(CategoriesTable[Category type],MATCH(Table1[[#This Row],[Category]],CategoriesTable[Category name],0),0),"")</f>
        <v/>
      </c>
      <c r="P231" s="138">
        <v>8</v>
      </c>
      <c r="Q231" s="138">
        <f>MONTH(Table1[[#This Row],[Date]])</f>
        <v>11</v>
      </c>
      <c r="R231" s="138">
        <v>2021</v>
      </c>
      <c r="S231" s="139">
        <f>IF(ISBLANK(Table1[[#This Row],[Date]]),"",Table1[[#This Row],[Date]]-WEEKDAY(Table1[[#This Row],[Date]],2)+1)</f>
        <v>44508</v>
      </c>
      <c r="T231" s="140">
        <f>IF(ISBLANK(Table1[[#This Row],[Date]]),"",DATE(Table1[[#This Row],[Date_Year]],Table1[[#This Row],[Date_Month]],1))</f>
        <v>44501</v>
      </c>
    </row>
    <row r="232" spans="2:20" ht="15.75">
      <c r="B232" s="154">
        <v>44507</v>
      </c>
      <c r="C232" s="119" t="s">
        <v>1514</v>
      </c>
      <c r="D232" s="119"/>
      <c r="E232" s="119"/>
      <c r="F232" s="155">
        <v>-5</v>
      </c>
      <c r="G232" s="133" t="str">
        <f>_xlfn.XLOOKUP(Table1[[#This Row],[Account_ID]], Accounts[ID], Accounts[Account nickname], "Unknown")</f>
        <v>Discover</v>
      </c>
      <c r="H232" s="134" t="str">
        <f>_xlfn.XLOOKUP(Table1[[#This Row],[Account_ID]], Accounts[ID], Accounts[Account'#], "Unknown")</f>
        <v>4618</v>
      </c>
      <c r="I232" s="135" t="str">
        <f>_xlfn.XLOOKUP(_xlfn.XLOOKUP(Table1[[#This Row],[Account]],Accounts[Account nickname],Accounts[Institution ID]),Institutions[ID],Institutions[Institution nickname],"Unknown")</f>
        <v>Discover</v>
      </c>
      <c r="J232" s="136" t="s">
        <v>1515</v>
      </c>
      <c r="K232" s="137" t="s">
        <v>843</v>
      </c>
      <c r="L232" s="137" t="s">
        <v>841</v>
      </c>
      <c r="M23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3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32" s="138" t="str" cm="1">
        <f t="array" ref="O232">IFERROR(INDEX(CategoriesTable[Category type],MATCH(Table1[[#This Row],[Category]],CategoriesTable[Category name],0),0),"")</f>
        <v/>
      </c>
      <c r="P232" s="138">
        <v>7</v>
      </c>
      <c r="Q232" s="138">
        <f>MONTH(Table1[[#This Row],[Date]])</f>
        <v>11</v>
      </c>
      <c r="R232" s="138">
        <v>2021</v>
      </c>
      <c r="S232" s="139">
        <f>IF(ISBLANK(Table1[[#This Row],[Date]]),"",Table1[[#This Row],[Date]]-WEEKDAY(Table1[[#This Row],[Date]],2)+1)</f>
        <v>44501</v>
      </c>
      <c r="T232" s="140">
        <f>IF(ISBLANK(Table1[[#This Row],[Date]]),"",DATE(Table1[[#This Row],[Date_Year]],Table1[[#This Row],[Date_Month]],1))</f>
        <v>44501</v>
      </c>
    </row>
    <row r="233" spans="2:20" ht="15.75">
      <c r="B233" s="154">
        <v>44507</v>
      </c>
      <c r="C233" s="119" t="s">
        <v>1416</v>
      </c>
      <c r="D233" s="119"/>
      <c r="E233" s="119"/>
      <c r="F233" s="155">
        <v>-16.690000000000001</v>
      </c>
      <c r="G233" s="133" t="str">
        <f>_xlfn.XLOOKUP(Table1[[#This Row],[Account_ID]], Accounts[ID], Accounts[Account nickname], "Unknown")</f>
        <v>Discover</v>
      </c>
      <c r="H233" s="134" t="str">
        <f>_xlfn.XLOOKUP(Table1[[#This Row],[Account_ID]], Accounts[ID], Accounts[Account'#], "Unknown")</f>
        <v>4618</v>
      </c>
      <c r="I233" s="135" t="str">
        <f>_xlfn.XLOOKUP(_xlfn.XLOOKUP(Table1[[#This Row],[Account]],Accounts[Account nickname],Accounts[Institution ID]),Institutions[ID],Institutions[Institution nickname],"Unknown")</f>
        <v>Discover</v>
      </c>
      <c r="J233" s="136" t="s">
        <v>1517</v>
      </c>
      <c r="K233" s="137" t="s">
        <v>843</v>
      </c>
      <c r="L233" s="137" t="s">
        <v>841</v>
      </c>
      <c r="M23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3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33" s="138" t="str" cm="1">
        <f t="array" ref="O233">IFERROR(INDEX(CategoriesTable[Category type],MATCH(Table1[[#This Row],[Category]],CategoriesTable[Category name],0),0),"")</f>
        <v/>
      </c>
      <c r="P233" s="138">
        <v>7</v>
      </c>
      <c r="Q233" s="138">
        <f>MONTH(Table1[[#This Row],[Date]])</f>
        <v>11</v>
      </c>
      <c r="R233" s="138">
        <v>2021</v>
      </c>
      <c r="S233" s="139">
        <f>IF(ISBLANK(Table1[[#This Row],[Date]]),"",Table1[[#This Row],[Date]]-WEEKDAY(Table1[[#This Row],[Date]],2)+1)</f>
        <v>44501</v>
      </c>
      <c r="T233" s="140">
        <f>IF(ISBLANK(Table1[[#This Row],[Date]]),"",DATE(Table1[[#This Row],[Date_Year]],Table1[[#This Row],[Date_Month]],1))</f>
        <v>44501</v>
      </c>
    </row>
    <row r="234" spans="2:20" ht="15.75">
      <c r="B234" s="154">
        <v>44507</v>
      </c>
      <c r="C234" s="119" t="s">
        <v>787</v>
      </c>
      <c r="D234" s="119"/>
      <c r="E234" s="119"/>
      <c r="F234" s="155">
        <v>-10.82</v>
      </c>
      <c r="G234" s="133" t="str">
        <f>_xlfn.XLOOKUP(Table1[[#This Row],[Account_ID]], Accounts[ID], Accounts[Account nickname], "Unknown")</f>
        <v>Discover</v>
      </c>
      <c r="H234" s="134" t="str">
        <f>_xlfn.XLOOKUP(Table1[[#This Row],[Account_ID]], Accounts[ID], Accounts[Account'#], "Unknown")</f>
        <v>4618</v>
      </c>
      <c r="I234" s="135" t="str">
        <f>_xlfn.XLOOKUP(_xlfn.XLOOKUP(Table1[[#This Row],[Account]],Accounts[Account nickname],Accounts[Institution ID]),Institutions[ID],Institutions[Institution nickname],"Unknown")</f>
        <v>Discover</v>
      </c>
      <c r="J234" s="136" t="s">
        <v>1520</v>
      </c>
      <c r="K234" s="137" t="s">
        <v>843</v>
      </c>
      <c r="L234" s="137" t="s">
        <v>841</v>
      </c>
      <c r="M23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3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34" s="138" t="str" cm="1">
        <f t="array" ref="O234">IFERROR(INDEX(CategoriesTable[Category type],MATCH(Table1[[#This Row],[Category]],CategoriesTable[Category name],0),0),"")</f>
        <v/>
      </c>
      <c r="P234" s="138">
        <v>7</v>
      </c>
      <c r="Q234" s="138">
        <f>MONTH(Table1[[#This Row],[Date]])</f>
        <v>11</v>
      </c>
      <c r="R234" s="138">
        <v>2021</v>
      </c>
      <c r="S234" s="139">
        <f>IF(ISBLANK(Table1[[#This Row],[Date]]),"",Table1[[#This Row],[Date]]-WEEKDAY(Table1[[#This Row],[Date]],2)+1)</f>
        <v>44501</v>
      </c>
      <c r="T234" s="140">
        <f>IF(ISBLANK(Table1[[#This Row],[Date]]),"",DATE(Table1[[#This Row],[Date_Year]],Table1[[#This Row],[Date_Month]],1))</f>
        <v>44501</v>
      </c>
    </row>
    <row r="235" spans="2:20" ht="15.75">
      <c r="B235" s="154">
        <v>44507</v>
      </c>
      <c r="C235" s="119" t="s">
        <v>1518</v>
      </c>
      <c r="D235" s="119"/>
      <c r="E235" s="119"/>
      <c r="F235" s="155">
        <v>-35</v>
      </c>
      <c r="G235" s="133" t="str">
        <f>_xlfn.XLOOKUP(Table1[[#This Row],[Account_ID]], Accounts[ID], Accounts[Account nickname], "Unknown")</f>
        <v>Discover</v>
      </c>
      <c r="H235" s="134" t="str">
        <f>_xlfn.XLOOKUP(Table1[[#This Row],[Account_ID]], Accounts[ID], Accounts[Account'#], "Unknown")</f>
        <v>4618</v>
      </c>
      <c r="I235" s="135" t="str">
        <f>_xlfn.XLOOKUP(_xlfn.XLOOKUP(Table1[[#This Row],[Account]],Accounts[Account nickname],Accounts[Institution ID]),Institutions[ID],Institutions[Institution nickname],"Unknown")</f>
        <v>Discover</v>
      </c>
      <c r="J235" s="136" t="s">
        <v>1519</v>
      </c>
      <c r="K235" s="137" t="s">
        <v>843</v>
      </c>
      <c r="L235" s="137" t="s">
        <v>841</v>
      </c>
      <c r="M23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3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35" s="138" t="str" cm="1">
        <f t="array" ref="O235">IFERROR(INDEX(CategoriesTable[Category type],MATCH(Table1[[#This Row],[Category]],CategoriesTable[Category name],0),0),"")</f>
        <v/>
      </c>
      <c r="P235" s="138">
        <v>7</v>
      </c>
      <c r="Q235" s="138">
        <f>MONTH(Table1[[#This Row],[Date]])</f>
        <v>11</v>
      </c>
      <c r="R235" s="138">
        <v>2021</v>
      </c>
      <c r="S235" s="139">
        <f>IF(ISBLANK(Table1[[#This Row],[Date]]),"",Table1[[#This Row],[Date]]-WEEKDAY(Table1[[#This Row],[Date]],2)+1)</f>
        <v>44501</v>
      </c>
      <c r="T235" s="140">
        <f>IF(ISBLANK(Table1[[#This Row],[Date]]),"",DATE(Table1[[#This Row],[Date_Year]],Table1[[#This Row],[Date_Month]],1))</f>
        <v>44501</v>
      </c>
    </row>
    <row r="236" spans="2:20" ht="15.75">
      <c r="B236" s="154">
        <v>44507</v>
      </c>
      <c r="C236" s="119" t="s">
        <v>1416</v>
      </c>
      <c r="D236" s="119"/>
      <c r="E236" s="119"/>
      <c r="F236" s="155">
        <v>-9.7799999999999994</v>
      </c>
      <c r="G236" s="133" t="str">
        <f>_xlfn.XLOOKUP(Table1[[#This Row],[Account_ID]], Accounts[ID], Accounts[Account nickname], "Unknown")</f>
        <v>Discover</v>
      </c>
      <c r="H236" s="134" t="str">
        <f>_xlfn.XLOOKUP(Table1[[#This Row],[Account_ID]], Accounts[ID], Accounts[Account'#], "Unknown")</f>
        <v>4618</v>
      </c>
      <c r="I236" s="135" t="str">
        <f>_xlfn.XLOOKUP(_xlfn.XLOOKUP(Table1[[#This Row],[Account]],Accounts[Account nickname],Accounts[Institution ID]),Institutions[ID],Institutions[Institution nickname],"Unknown")</f>
        <v>Discover</v>
      </c>
      <c r="J236" s="136" t="s">
        <v>1516</v>
      </c>
      <c r="K236" s="137" t="s">
        <v>843</v>
      </c>
      <c r="L236" s="137" t="s">
        <v>841</v>
      </c>
      <c r="M23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3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36" s="138" t="str" cm="1">
        <f t="array" ref="O236">IFERROR(INDEX(CategoriesTable[Category type],MATCH(Table1[[#This Row],[Category]],CategoriesTable[Category name],0),0),"")</f>
        <v/>
      </c>
      <c r="P236" s="138">
        <v>7</v>
      </c>
      <c r="Q236" s="138">
        <f>MONTH(Table1[[#This Row],[Date]])</f>
        <v>11</v>
      </c>
      <c r="R236" s="138">
        <v>2021</v>
      </c>
      <c r="S236" s="139">
        <f>IF(ISBLANK(Table1[[#This Row],[Date]]),"",Table1[[#This Row],[Date]]-WEEKDAY(Table1[[#This Row],[Date]],2)+1)</f>
        <v>44501</v>
      </c>
      <c r="T236" s="140">
        <f>IF(ISBLANK(Table1[[#This Row],[Date]]),"",DATE(Table1[[#This Row],[Date_Year]],Table1[[#This Row],[Date_Month]],1))</f>
        <v>44501</v>
      </c>
    </row>
    <row r="237" spans="2:20" ht="15.75">
      <c r="B237" s="154">
        <v>44506</v>
      </c>
      <c r="C237" s="119" t="s">
        <v>862</v>
      </c>
      <c r="D237" s="119"/>
      <c r="E237" s="119"/>
      <c r="F237" s="155">
        <v>-62.05</v>
      </c>
      <c r="G237" s="133" t="str">
        <f>_xlfn.XLOOKUP(Table1[[#This Row],[Account_ID]], Accounts[ID], Accounts[Account nickname], "Unknown")</f>
        <v>Discover</v>
      </c>
      <c r="H237" s="134" t="str">
        <f>_xlfn.XLOOKUP(Table1[[#This Row],[Account_ID]], Accounts[ID], Accounts[Account'#], "Unknown")</f>
        <v>4618</v>
      </c>
      <c r="I237" s="135" t="str">
        <f>_xlfn.XLOOKUP(_xlfn.XLOOKUP(Table1[[#This Row],[Account]],Accounts[Account nickname],Accounts[Institution ID]),Institutions[ID],Institutions[Institution nickname],"Unknown")</f>
        <v>Discover</v>
      </c>
      <c r="J237" s="136" t="s">
        <v>1522</v>
      </c>
      <c r="K237" s="137" t="s">
        <v>843</v>
      </c>
      <c r="L237" s="137" t="s">
        <v>841</v>
      </c>
      <c r="M23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3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37" s="138" t="str" cm="1">
        <f t="array" ref="O237">IFERROR(INDEX(CategoriesTable[Category type],MATCH(Table1[[#This Row],[Category]],CategoriesTable[Category name],0),0),"")</f>
        <v/>
      </c>
      <c r="P237" s="138">
        <v>6</v>
      </c>
      <c r="Q237" s="138">
        <f>MONTH(Table1[[#This Row],[Date]])</f>
        <v>11</v>
      </c>
      <c r="R237" s="138">
        <v>2021</v>
      </c>
      <c r="S237" s="139">
        <f>IF(ISBLANK(Table1[[#This Row],[Date]]),"",Table1[[#This Row],[Date]]-WEEKDAY(Table1[[#This Row],[Date]],2)+1)</f>
        <v>44501</v>
      </c>
      <c r="T237" s="140">
        <f>IF(ISBLANK(Table1[[#This Row],[Date]]),"",DATE(Table1[[#This Row],[Date_Year]],Table1[[#This Row],[Date_Month]],1))</f>
        <v>44501</v>
      </c>
    </row>
    <row r="238" spans="2:20" ht="15.75">
      <c r="B238" s="154">
        <v>44506</v>
      </c>
      <c r="C238" s="119" t="s">
        <v>845</v>
      </c>
      <c r="D238" s="119"/>
      <c r="E238" s="119"/>
      <c r="F238" s="155">
        <v>1000</v>
      </c>
      <c r="G238" s="133" t="str">
        <f>_xlfn.XLOOKUP(Table1[[#This Row],[Account_ID]], Accounts[ID], Accounts[Account nickname], "Unknown")</f>
        <v>Discover</v>
      </c>
      <c r="H238" s="134" t="str">
        <f>_xlfn.XLOOKUP(Table1[[#This Row],[Account_ID]], Accounts[ID], Accounts[Account'#], "Unknown")</f>
        <v>4618</v>
      </c>
      <c r="I238" s="135" t="str">
        <f>_xlfn.XLOOKUP(_xlfn.XLOOKUP(Table1[[#This Row],[Account]],Accounts[Account nickname],Accounts[Institution ID]),Institutions[ID],Institutions[Institution nickname],"Unknown")</f>
        <v>Discover</v>
      </c>
      <c r="J238" s="136" t="s">
        <v>1521</v>
      </c>
      <c r="K238" s="137" t="s">
        <v>843</v>
      </c>
      <c r="L238" s="137" t="s">
        <v>841</v>
      </c>
      <c r="M23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3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38" s="138" t="str" cm="1">
        <f t="array" ref="O238">IFERROR(INDEX(CategoriesTable[Category type],MATCH(Table1[[#This Row],[Category]],CategoriesTable[Category name],0),0),"")</f>
        <v/>
      </c>
      <c r="P238" s="138">
        <v>6</v>
      </c>
      <c r="Q238" s="138">
        <f>MONTH(Table1[[#This Row],[Date]])</f>
        <v>11</v>
      </c>
      <c r="R238" s="138">
        <v>2021</v>
      </c>
      <c r="S238" s="139">
        <f>IF(ISBLANK(Table1[[#This Row],[Date]]),"",Table1[[#This Row],[Date]]-WEEKDAY(Table1[[#This Row],[Date]],2)+1)</f>
        <v>44501</v>
      </c>
      <c r="T238" s="140">
        <f>IF(ISBLANK(Table1[[#This Row],[Date]]),"",DATE(Table1[[#This Row],[Date_Year]],Table1[[#This Row],[Date_Month]],1))</f>
        <v>44501</v>
      </c>
    </row>
    <row r="239" spans="2:20" ht="15.75">
      <c r="B239" s="154">
        <v>44505</v>
      </c>
      <c r="C239" s="119" t="s">
        <v>1523</v>
      </c>
      <c r="D239" s="119"/>
      <c r="E239" s="119"/>
      <c r="F239" s="155">
        <v>-14.98</v>
      </c>
      <c r="G239" s="133" t="str">
        <f>_xlfn.XLOOKUP(Table1[[#This Row],[Account_ID]], Accounts[ID], Accounts[Account nickname], "Unknown")</f>
        <v>Discover</v>
      </c>
      <c r="H239" s="134" t="str">
        <f>_xlfn.XLOOKUP(Table1[[#This Row],[Account_ID]], Accounts[ID], Accounts[Account'#], "Unknown")</f>
        <v>4618</v>
      </c>
      <c r="I239" s="135" t="str">
        <f>_xlfn.XLOOKUP(_xlfn.XLOOKUP(Table1[[#This Row],[Account]],Accounts[Account nickname],Accounts[Institution ID]),Institutions[ID],Institutions[Institution nickname],"Unknown")</f>
        <v>Discover</v>
      </c>
      <c r="J239" s="136" t="s">
        <v>1524</v>
      </c>
      <c r="K239" s="137" t="s">
        <v>843</v>
      </c>
      <c r="L239" s="137" t="s">
        <v>841</v>
      </c>
      <c r="M23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3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39" s="138" t="str" cm="1">
        <f t="array" ref="O239">IFERROR(INDEX(CategoriesTable[Category type],MATCH(Table1[[#This Row],[Category]],CategoriesTable[Category name],0),0),"")</f>
        <v/>
      </c>
      <c r="P239" s="138">
        <v>5</v>
      </c>
      <c r="Q239" s="138">
        <f>MONTH(Table1[[#This Row],[Date]])</f>
        <v>11</v>
      </c>
      <c r="R239" s="138">
        <v>2021</v>
      </c>
      <c r="S239" s="139">
        <f>IF(ISBLANK(Table1[[#This Row],[Date]]),"",Table1[[#This Row],[Date]]-WEEKDAY(Table1[[#This Row],[Date]],2)+1)</f>
        <v>44501</v>
      </c>
      <c r="T239" s="140">
        <f>IF(ISBLANK(Table1[[#This Row],[Date]]),"",DATE(Table1[[#This Row],[Date_Year]],Table1[[#This Row],[Date_Month]],1))</f>
        <v>44501</v>
      </c>
    </row>
    <row r="240" spans="2:20" ht="15.75">
      <c r="B240" s="154">
        <v>44505</v>
      </c>
      <c r="C240" s="119" t="s">
        <v>1526</v>
      </c>
      <c r="D240" s="119"/>
      <c r="E240" s="119"/>
      <c r="F240" s="155">
        <v>-107.36</v>
      </c>
      <c r="G240" s="133" t="str">
        <f>_xlfn.XLOOKUP(Table1[[#This Row],[Account_ID]], Accounts[ID], Accounts[Account nickname], "Unknown")</f>
        <v>Discover</v>
      </c>
      <c r="H240" s="134" t="str">
        <f>_xlfn.XLOOKUP(Table1[[#This Row],[Account_ID]], Accounts[ID], Accounts[Account'#], "Unknown")</f>
        <v>4618</v>
      </c>
      <c r="I240" s="135" t="str">
        <f>_xlfn.XLOOKUP(_xlfn.XLOOKUP(Table1[[#This Row],[Account]],Accounts[Account nickname],Accounts[Institution ID]),Institutions[ID],Institutions[Institution nickname],"Unknown")</f>
        <v>Discover</v>
      </c>
      <c r="J240" s="136" t="s">
        <v>1527</v>
      </c>
      <c r="K240" s="137" t="s">
        <v>843</v>
      </c>
      <c r="L240" s="137" t="s">
        <v>841</v>
      </c>
      <c r="M24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4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40" s="138" t="str" cm="1">
        <f t="array" ref="O240">IFERROR(INDEX(CategoriesTable[Category type],MATCH(Table1[[#This Row],[Category]],CategoriesTable[Category name],0),0),"")</f>
        <v/>
      </c>
      <c r="P240" s="138">
        <v>5</v>
      </c>
      <c r="Q240" s="138">
        <f>MONTH(Table1[[#This Row],[Date]])</f>
        <v>11</v>
      </c>
      <c r="R240" s="138">
        <v>2021</v>
      </c>
      <c r="S240" s="139">
        <f>IF(ISBLANK(Table1[[#This Row],[Date]]),"",Table1[[#This Row],[Date]]-WEEKDAY(Table1[[#This Row],[Date]],2)+1)</f>
        <v>44501</v>
      </c>
      <c r="T240" s="140">
        <f>IF(ISBLANK(Table1[[#This Row],[Date]]),"",DATE(Table1[[#This Row],[Date_Year]],Table1[[#This Row],[Date_Month]],1))</f>
        <v>44501</v>
      </c>
    </row>
    <row r="241" spans="2:20" ht="15.75">
      <c r="B241" s="154">
        <v>44505</v>
      </c>
      <c r="C241" s="119" t="s">
        <v>787</v>
      </c>
      <c r="D241" s="119"/>
      <c r="E241" s="119"/>
      <c r="F241" s="155">
        <v>-17.37</v>
      </c>
      <c r="G241" s="133" t="str">
        <f>_xlfn.XLOOKUP(Table1[[#This Row],[Account_ID]], Accounts[ID], Accounts[Account nickname], "Unknown")</f>
        <v>Discover</v>
      </c>
      <c r="H241" s="134" t="str">
        <f>_xlfn.XLOOKUP(Table1[[#This Row],[Account_ID]], Accounts[ID], Accounts[Account'#], "Unknown")</f>
        <v>4618</v>
      </c>
      <c r="I241" s="135" t="str">
        <f>_xlfn.XLOOKUP(_xlfn.XLOOKUP(Table1[[#This Row],[Account]],Accounts[Account nickname],Accounts[Institution ID]),Institutions[ID],Institutions[Institution nickname],"Unknown")</f>
        <v>Discover</v>
      </c>
      <c r="J241" s="136" t="s">
        <v>1525</v>
      </c>
      <c r="K241" s="137" t="s">
        <v>843</v>
      </c>
      <c r="L241" s="137" t="s">
        <v>841</v>
      </c>
      <c r="M24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4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41" s="138" t="str" cm="1">
        <f t="array" ref="O241">IFERROR(INDEX(CategoriesTable[Category type],MATCH(Table1[[#This Row],[Category]],CategoriesTable[Category name],0),0),"")</f>
        <v/>
      </c>
      <c r="P241" s="138">
        <v>5</v>
      </c>
      <c r="Q241" s="138">
        <f>MONTH(Table1[[#This Row],[Date]])</f>
        <v>11</v>
      </c>
      <c r="R241" s="138">
        <v>2021</v>
      </c>
      <c r="S241" s="139">
        <f>IF(ISBLANK(Table1[[#This Row],[Date]]),"",Table1[[#This Row],[Date]]-WEEKDAY(Table1[[#This Row],[Date]],2)+1)</f>
        <v>44501</v>
      </c>
      <c r="T241" s="140">
        <f>IF(ISBLANK(Table1[[#This Row],[Date]]),"",DATE(Table1[[#This Row],[Date_Year]],Table1[[#This Row],[Date_Month]],1))</f>
        <v>44501</v>
      </c>
    </row>
    <row r="242" spans="2:20" ht="15.75">
      <c r="B242" s="154">
        <v>44505</v>
      </c>
      <c r="C242" s="119" t="s">
        <v>679</v>
      </c>
      <c r="D242" s="119"/>
      <c r="E242" s="119"/>
      <c r="F242" s="155">
        <v>60.95</v>
      </c>
      <c r="G242" s="133" t="str">
        <f>_xlfn.XLOOKUP(Table1[[#This Row],[Account_ID]], Accounts[ID], Accounts[Account nickname], "Unknown")</f>
        <v>WF</v>
      </c>
      <c r="H242" s="134" t="str">
        <f>_xlfn.XLOOKUP(Table1[[#This Row],[Account_ID]], Accounts[ID], Accounts[Account'#], "Unknown")</f>
        <v>4636</v>
      </c>
      <c r="I242" s="135" t="str">
        <f>_xlfn.XLOOKUP(_xlfn.XLOOKUP(Table1[[#This Row],[Account]],Accounts[Account nickname],Accounts[Institution ID]),Institutions[ID],Institutions[Institution nickname],"Unknown")</f>
        <v>Wells Fargo</v>
      </c>
      <c r="J242" s="136" t="s">
        <v>990</v>
      </c>
      <c r="K242" s="137" t="s">
        <v>808</v>
      </c>
      <c r="L242" s="137" t="s">
        <v>807</v>
      </c>
      <c r="M24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4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42" s="138" t="str" cm="1">
        <f t="array" ref="O242">IFERROR(INDEX(CategoriesTable[Category type],MATCH(Table1[[#This Row],[Category]],CategoriesTable[Category name],0),0),"")</f>
        <v/>
      </c>
      <c r="P242" s="138">
        <v>5</v>
      </c>
      <c r="Q242" s="138">
        <f>MONTH(Table1[[#This Row],[Date]])</f>
        <v>11</v>
      </c>
      <c r="R242" s="138">
        <v>2021</v>
      </c>
      <c r="S242" s="139">
        <f>IF(ISBLANK(Table1[[#This Row],[Date]]),"",Table1[[#This Row],[Date]]-WEEKDAY(Table1[[#This Row],[Date]],2)+1)</f>
        <v>44501</v>
      </c>
      <c r="T242" s="140">
        <f>IF(ISBLANK(Table1[[#This Row],[Date]]),"",DATE(Table1[[#This Row],[Date_Year]],Table1[[#This Row],[Date_Month]],1))</f>
        <v>44501</v>
      </c>
    </row>
    <row r="243" spans="2:20" ht="15.75">
      <c r="B243" s="154">
        <v>44505</v>
      </c>
      <c r="C243" s="119" t="s">
        <v>721</v>
      </c>
      <c r="D243" s="119"/>
      <c r="E243" s="119"/>
      <c r="F243" s="155">
        <v>-69.47</v>
      </c>
      <c r="G243" s="133" t="str">
        <f>_xlfn.XLOOKUP(Table1[[#This Row],[Account_ID]], Accounts[ID], Accounts[Account nickname], "Unknown")</f>
        <v>WF</v>
      </c>
      <c r="H243" s="134" t="str">
        <f>_xlfn.XLOOKUP(Table1[[#This Row],[Account_ID]], Accounts[ID], Accounts[Account'#], "Unknown")</f>
        <v>4636</v>
      </c>
      <c r="I243" s="135" t="str">
        <f>_xlfn.XLOOKUP(_xlfn.XLOOKUP(Table1[[#This Row],[Account]],Accounts[Account nickname],Accounts[Institution ID]),Institutions[ID],Institutions[Institution nickname],"Unknown")</f>
        <v>Wells Fargo</v>
      </c>
      <c r="J243" s="136" t="s">
        <v>991</v>
      </c>
      <c r="K243" s="137" t="s">
        <v>808</v>
      </c>
      <c r="L243" s="137" t="s">
        <v>807</v>
      </c>
      <c r="M24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4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43" s="138" t="str" cm="1">
        <f t="array" ref="O243">IFERROR(INDEX(CategoriesTable[Category type],MATCH(Table1[[#This Row],[Category]],CategoriesTable[Category name],0),0),"")</f>
        <v/>
      </c>
      <c r="P243" s="138">
        <v>5</v>
      </c>
      <c r="Q243" s="138">
        <f>MONTH(Table1[[#This Row],[Date]])</f>
        <v>11</v>
      </c>
      <c r="R243" s="138">
        <v>2021</v>
      </c>
      <c r="S243" s="139">
        <f>IF(ISBLANK(Table1[[#This Row],[Date]]),"",Table1[[#This Row],[Date]]-WEEKDAY(Table1[[#This Row],[Date]],2)+1)</f>
        <v>44501</v>
      </c>
      <c r="T243" s="140">
        <f>IF(ISBLANK(Table1[[#This Row],[Date]]),"",DATE(Table1[[#This Row],[Date_Year]],Table1[[#This Row],[Date_Month]],1))</f>
        <v>44501</v>
      </c>
    </row>
    <row r="244" spans="2:20" ht="15.75">
      <c r="B244" s="154">
        <v>44504</v>
      </c>
      <c r="C244" s="119" t="s">
        <v>677</v>
      </c>
      <c r="D244" s="119"/>
      <c r="E244" s="119"/>
      <c r="F244" s="155">
        <v>1900.87</v>
      </c>
      <c r="G244" s="133" t="str">
        <f>_xlfn.XLOOKUP(Table1[[#This Row],[Account_ID]], Accounts[ID], Accounts[Account nickname], "Unknown")</f>
        <v>WF</v>
      </c>
      <c r="H244" s="134" t="str">
        <f>_xlfn.XLOOKUP(Table1[[#This Row],[Account_ID]], Accounts[ID], Accounts[Account'#], "Unknown")</f>
        <v>4636</v>
      </c>
      <c r="I244" s="135" t="str">
        <f>_xlfn.XLOOKUP(_xlfn.XLOOKUP(Table1[[#This Row],[Account]],Accounts[Account nickname],Accounts[Institution ID]),Institutions[ID],Institutions[Institution nickname],"Unknown")</f>
        <v>Wells Fargo</v>
      </c>
      <c r="J244" s="136" t="s">
        <v>992</v>
      </c>
      <c r="K244" s="137" t="s">
        <v>808</v>
      </c>
      <c r="L244" s="137" t="s">
        <v>807</v>
      </c>
      <c r="M24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4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44" s="138" t="str" cm="1">
        <f t="array" ref="O244">IFERROR(INDEX(CategoriesTable[Category type],MATCH(Table1[[#This Row],[Category]],CategoriesTable[Category name],0),0),"")</f>
        <v/>
      </c>
      <c r="P244" s="138">
        <v>4</v>
      </c>
      <c r="Q244" s="138">
        <f>MONTH(Table1[[#This Row],[Date]])</f>
        <v>11</v>
      </c>
      <c r="R244" s="138">
        <v>2021</v>
      </c>
      <c r="S244" s="139">
        <f>IF(ISBLANK(Table1[[#This Row],[Date]]),"",Table1[[#This Row],[Date]]-WEEKDAY(Table1[[#This Row],[Date]],2)+1)</f>
        <v>44501</v>
      </c>
      <c r="T244" s="140">
        <f>IF(ISBLANK(Table1[[#This Row],[Date]]),"",DATE(Table1[[#This Row],[Date_Year]],Table1[[#This Row],[Date_Month]],1))</f>
        <v>44501</v>
      </c>
    </row>
    <row r="245" spans="2:20" ht="15.75">
      <c r="B245" s="154">
        <v>44503</v>
      </c>
      <c r="C245" s="119" t="s">
        <v>717</v>
      </c>
      <c r="D245" s="119"/>
      <c r="E245" s="119"/>
      <c r="F245" s="155">
        <v>-17.29</v>
      </c>
      <c r="G245" s="133" t="str">
        <f>_xlfn.XLOOKUP(Table1[[#This Row],[Account_ID]], Accounts[ID], Accounts[Account nickname], "Unknown")</f>
        <v>Discover</v>
      </c>
      <c r="H245" s="134" t="str">
        <f>_xlfn.XLOOKUP(Table1[[#This Row],[Account_ID]], Accounts[ID], Accounts[Account'#], "Unknown")</f>
        <v>4618</v>
      </c>
      <c r="I245" s="135" t="str">
        <f>_xlfn.XLOOKUP(_xlfn.XLOOKUP(Table1[[#This Row],[Account]],Accounts[Account nickname],Accounts[Institution ID]),Institutions[ID],Institutions[Institution nickname],"Unknown")</f>
        <v>Discover</v>
      </c>
      <c r="J245" s="136" t="s">
        <v>1532</v>
      </c>
      <c r="K245" s="137" t="s">
        <v>843</v>
      </c>
      <c r="L245" s="137" t="s">
        <v>841</v>
      </c>
      <c r="M24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4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45" s="138" t="str" cm="1">
        <f t="array" ref="O245">IFERROR(INDEX(CategoriesTable[Category type],MATCH(Table1[[#This Row],[Category]],CategoriesTable[Category name],0),0),"")</f>
        <v/>
      </c>
      <c r="P245" s="138">
        <v>3</v>
      </c>
      <c r="Q245" s="138">
        <f>MONTH(Table1[[#This Row],[Date]])</f>
        <v>11</v>
      </c>
      <c r="R245" s="138">
        <v>2021</v>
      </c>
      <c r="S245" s="139">
        <f>IF(ISBLANK(Table1[[#This Row],[Date]]),"",Table1[[#This Row],[Date]]-WEEKDAY(Table1[[#This Row],[Date]],2)+1)</f>
        <v>44501</v>
      </c>
      <c r="T245" s="140">
        <f>IF(ISBLANK(Table1[[#This Row],[Date]]),"",DATE(Table1[[#This Row],[Date_Year]],Table1[[#This Row],[Date_Month]],1))</f>
        <v>44501</v>
      </c>
    </row>
    <row r="246" spans="2:20" ht="15.75">
      <c r="B246" s="154">
        <v>44503</v>
      </c>
      <c r="C246" s="119" t="s">
        <v>724</v>
      </c>
      <c r="D246" s="119"/>
      <c r="E246" s="119"/>
      <c r="F246" s="155">
        <v>-34.590000000000003</v>
      </c>
      <c r="G246" s="133" t="str">
        <f>_xlfn.XLOOKUP(Table1[[#This Row],[Account_ID]], Accounts[ID], Accounts[Account nickname], "Unknown")</f>
        <v>Discover</v>
      </c>
      <c r="H246" s="134" t="str">
        <f>_xlfn.XLOOKUP(Table1[[#This Row],[Account_ID]], Accounts[ID], Accounts[Account'#], "Unknown")</f>
        <v>4618</v>
      </c>
      <c r="I246" s="135" t="str">
        <f>_xlfn.XLOOKUP(_xlfn.XLOOKUP(Table1[[#This Row],[Account]],Accounts[Account nickname],Accounts[Institution ID]),Institutions[ID],Institutions[Institution nickname],"Unknown")</f>
        <v>Discover</v>
      </c>
      <c r="J246" s="136" t="s">
        <v>1533</v>
      </c>
      <c r="K246" s="137" t="s">
        <v>843</v>
      </c>
      <c r="L246" s="137" t="s">
        <v>841</v>
      </c>
      <c r="M24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4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46" s="138" t="str" cm="1">
        <f t="array" ref="O246">IFERROR(INDEX(CategoriesTable[Category type],MATCH(Table1[[#This Row],[Category]],CategoriesTable[Category name],0),0),"")</f>
        <v/>
      </c>
      <c r="P246" s="138">
        <v>3</v>
      </c>
      <c r="Q246" s="138">
        <f>MONTH(Table1[[#This Row],[Date]])</f>
        <v>11</v>
      </c>
      <c r="R246" s="138">
        <v>2021</v>
      </c>
      <c r="S246" s="139">
        <f>IF(ISBLANK(Table1[[#This Row],[Date]]),"",Table1[[#This Row],[Date]]-WEEKDAY(Table1[[#This Row],[Date]],2)+1)</f>
        <v>44501</v>
      </c>
      <c r="T246" s="140">
        <f>IF(ISBLANK(Table1[[#This Row],[Date]]),"",DATE(Table1[[#This Row],[Date_Year]],Table1[[#This Row],[Date_Month]],1))</f>
        <v>44501</v>
      </c>
    </row>
    <row r="247" spans="2:20" ht="15.75">
      <c r="B247" s="154">
        <v>44503</v>
      </c>
      <c r="C247" s="119" t="s">
        <v>961</v>
      </c>
      <c r="D247" s="119"/>
      <c r="E247" s="119"/>
      <c r="F247" s="155">
        <v>43.38</v>
      </c>
      <c r="G247" s="133" t="str">
        <f>_xlfn.XLOOKUP(Table1[[#This Row],[Account_ID]], Accounts[ID], Accounts[Account nickname], "Unknown")</f>
        <v>Discover</v>
      </c>
      <c r="H247" s="134" t="str">
        <f>_xlfn.XLOOKUP(Table1[[#This Row],[Account_ID]], Accounts[ID], Accounts[Account'#], "Unknown")</f>
        <v>4618</v>
      </c>
      <c r="I247" s="135" t="str">
        <f>_xlfn.XLOOKUP(_xlfn.XLOOKUP(Table1[[#This Row],[Account]],Accounts[Account nickname],Accounts[Institution ID]),Institutions[ID],Institutions[Institution nickname],"Unknown")</f>
        <v>Discover</v>
      </c>
      <c r="J247" s="136" t="s">
        <v>1528</v>
      </c>
      <c r="K247" s="137" t="s">
        <v>843</v>
      </c>
      <c r="L247" s="137" t="s">
        <v>841</v>
      </c>
      <c r="M24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4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47" s="138" t="str" cm="1">
        <f t="array" ref="O247">IFERROR(INDEX(CategoriesTable[Category type],MATCH(Table1[[#This Row],[Category]],CategoriesTable[Category name],0),0),"")</f>
        <v/>
      </c>
      <c r="P247" s="138">
        <v>3</v>
      </c>
      <c r="Q247" s="138">
        <f>MONTH(Table1[[#This Row],[Date]])</f>
        <v>11</v>
      </c>
      <c r="R247" s="138">
        <v>2021</v>
      </c>
      <c r="S247" s="139">
        <f>IF(ISBLANK(Table1[[#This Row],[Date]]),"",Table1[[#This Row],[Date]]-WEEKDAY(Table1[[#This Row],[Date]],2)+1)</f>
        <v>44501</v>
      </c>
      <c r="T247" s="140">
        <f>IF(ISBLANK(Table1[[#This Row],[Date]]),"",DATE(Table1[[#This Row],[Date_Year]],Table1[[#This Row],[Date_Month]],1))</f>
        <v>44501</v>
      </c>
    </row>
    <row r="248" spans="2:20" ht="15.75">
      <c r="B248" s="154">
        <v>44503</v>
      </c>
      <c r="C248" s="119" t="s">
        <v>845</v>
      </c>
      <c r="D248" s="119"/>
      <c r="E248" s="119"/>
      <c r="F248" s="155">
        <v>1000</v>
      </c>
      <c r="G248" s="133" t="str">
        <f>_xlfn.XLOOKUP(Table1[[#This Row],[Account_ID]], Accounts[ID], Accounts[Account nickname], "Unknown")</f>
        <v>Discover</v>
      </c>
      <c r="H248" s="134" t="str">
        <f>_xlfn.XLOOKUP(Table1[[#This Row],[Account_ID]], Accounts[ID], Accounts[Account'#], "Unknown")</f>
        <v>4618</v>
      </c>
      <c r="I248" s="135" t="str">
        <f>_xlfn.XLOOKUP(_xlfn.XLOOKUP(Table1[[#This Row],[Account]],Accounts[Account nickname],Accounts[Institution ID]),Institutions[ID],Institutions[Institution nickname],"Unknown")</f>
        <v>Discover</v>
      </c>
      <c r="J248" s="136" t="s">
        <v>1531</v>
      </c>
      <c r="K248" s="137" t="s">
        <v>843</v>
      </c>
      <c r="L248" s="137" t="s">
        <v>841</v>
      </c>
      <c r="M24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4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48" s="138" t="str" cm="1">
        <f t="array" ref="O248">IFERROR(INDEX(CategoriesTable[Category type],MATCH(Table1[[#This Row],[Category]],CategoriesTable[Category name],0),0),"")</f>
        <v/>
      </c>
      <c r="P248" s="138">
        <v>3</v>
      </c>
      <c r="Q248" s="138">
        <f>MONTH(Table1[[#This Row],[Date]])</f>
        <v>11</v>
      </c>
      <c r="R248" s="138">
        <v>2021</v>
      </c>
      <c r="S248" s="139">
        <f>IF(ISBLANK(Table1[[#This Row],[Date]]),"",Table1[[#This Row],[Date]]-WEEKDAY(Table1[[#This Row],[Date]],2)+1)</f>
        <v>44501</v>
      </c>
      <c r="T248" s="140">
        <f>IF(ISBLANK(Table1[[#This Row],[Date]]),"",DATE(Table1[[#This Row],[Date_Year]],Table1[[#This Row],[Date_Month]],1))</f>
        <v>44501</v>
      </c>
    </row>
    <row r="249" spans="2:20" ht="15.75">
      <c r="B249" s="154">
        <v>44503</v>
      </c>
      <c r="C249" s="119" t="s">
        <v>687</v>
      </c>
      <c r="D249" s="119"/>
      <c r="E249" s="119"/>
      <c r="F249" s="155">
        <v>-166.33</v>
      </c>
      <c r="G249" s="133" t="str">
        <f>_xlfn.XLOOKUP(Table1[[#This Row],[Account_ID]], Accounts[ID], Accounts[Account nickname], "Unknown")</f>
        <v>WF</v>
      </c>
      <c r="H249" s="134" t="str">
        <f>_xlfn.XLOOKUP(Table1[[#This Row],[Account_ID]], Accounts[ID], Accounts[Account'#], "Unknown")</f>
        <v>4636</v>
      </c>
      <c r="I249" s="135" t="str">
        <f>_xlfn.XLOOKUP(_xlfn.XLOOKUP(Table1[[#This Row],[Account]],Accounts[Account nickname],Accounts[Institution ID]),Institutions[ID],Institutions[Institution nickname],"Unknown")</f>
        <v>Wells Fargo</v>
      </c>
      <c r="J249" s="136" t="s">
        <v>993</v>
      </c>
      <c r="K249" s="137" t="s">
        <v>808</v>
      </c>
      <c r="L249" s="137" t="s">
        <v>807</v>
      </c>
      <c r="M24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4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49" s="138" t="str" cm="1">
        <f t="array" ref="O249">IFERROR(INDEX(CategoriesTable[Category type],MATCH(Table1[[#This Row],[Category]],CategoriesTable[Category name],0),0),"")</f>
        <v/>
      </c>
      <c r="P249" s="138">
        <v>3</v>
      </c>
      <c r="Q249" s="138">
        <f>MONTH(Table1[[#This Row],[Date]])</f>
        <v>11</v>
      </c>
      <c r="R249" s="138">
        <v>2021</v>
      </c>
      <c r="S249" s="139">
        <f>IF(ISBLANK(Table1[[#This Row],[Date]]),"",Table1[[#This Row],[Date]]-WEEKDAY(Table1[[#This Row],[Date]],2)+1)</f>
        <v>44501</v>
      </c>
      <c r="T249" s="140">
        <f>IF(ISBLANK(Table1[[#This Row],[Date]]),"",DATE(Table1[[#This Row],[Date_Year]],Table1[[#This Row],[Date_Month]],1))</f>
        <v>44501</v>
      </c>
    </row>
    <row r="250" spans="2:20" ht="15.75">
      <c r="B250" s="154">
        <v>44503</v>
      </c>
      <c r="C250" s="119" t="s">
        <v>686</v>
      </c>
      <c r="D250" s="119"/>
      <c r="E250" s="119"/>
      <c r="F250" s="155">
        <v>-1000</v>
      </c>
      <c r="G250" s="133" t="str">
        <f>_xlfn.XLOOKUP(Table1[[#This Row],[Account_ID]], Accounts[ID], Accounts[Account nickname], "Unknown")</f>
        <v>WF</v>
      </c>
      <c r="H250" s="134" t="str">
        <f>_xlfn.XLOOKUP(Table1[[#This Row],[Account_ID]], Accounts[ID], Accounts[Account'#], "Unknown")</f>
        <v>4636</v>
      </c>
      <c r="I250" s="135" t="str">
        <f>_xlfn.XLOOKUP(_xlfn.XLOOKUP(Table1[[#This Row],[Account]],Accounts[Account nickname],Accounts[Institution ID]),Institutions[ID],Institutions[Institution nickname],"Unknown")</f>
        <v>Wells Fargo</v>
      </c>
      <c r="J250" s="136" t="s">
        <v>994</v>
      </c>
      <c r="K250" s="137" t="s">
        <v>808</v>
      </c>
      <c r="L250" s="137" t="s">
        <v>807</v>
      </c>
      <c r="M25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5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50" s="138" t="str" cm="1">
        <f t="array" ref="O250">IFERROR(INDEX(CategoriesTable[Category type],MATCH(Table1[[#This Row],[Category]],CategoriesTable[Category name],0),0),"")</f>
        <v/>
      </c>
      <c r="P250" s="138">
        <v>3</v>
      </c>
      <c r="Q250" s="138">
        <f>MONTH(Table1[[#This Row],[Date]])</f>
        <v>11</v>
      </c>
      <c r="R250" s="138">
        <v>2021</v>
      </c>
      <c r="S250" s="139">
        <f>IF(ISBLANK(Table1[[#This Row],[Date]]),"",Table1[[#This Row],[Date]]-WEEKDAY(Table1[[#This Row],[Date]],2)+1)</f>
        <v>44501</v>
      </c>
      <c r="T250" s="140">
        <f>IF(ISBLANK(Table1[[#This Row],[Date]]),"",DATE(Table1[[#This Row],[Date_Year]],Table1[[#This Row],[Date_Month]],1))</f>
        <v>44501</v>
      </c>
    </row>
    <row r="251" spans="2:20" ht="15.75">
      <c r="B251" s="154">
        <v>44503</v>
      </c>
      <c r="C251" s="119" t="s">
        <v>1529</v>
      </c>
      <c r="D251" s="119"/>
      <c r="E251" s="119"/>
      <c r="F251" s="155">
        <v>-12.99</v>
      </c>
      <c r="G251" s="133" t="str">
        <f>_xlfn.XLOOKUP(Table1[[#This Row],[Account_ID]], Accounts[ID], Accounts[Account nickname], "Unknown")</f>
        <v>Discover</v>
      </c>
      <c r="H251" s="134" t="str">
        <f>_xlfn.XLOOKUP(Table1[[#This Row],[Account_ID]], Accounts[ID], Accounts[Account'#], "Unknown")</f>
        <v>4618</v>
      </c>
      <c r="I251" s="135" t="str">
        <f>_xlfn.XLOOKUP(_xlfn.XLOOKUP(Table1[[#This Row],[Account]],Accounts[Account nickname],Accounts[Institution ID]),Institutions[ID],Institutions[Institution nickname],"Unknown")</f>
        <v>Discover</v>
      </c>
      <c r="J251" s="136" t="s">
        <v>1530</v>
      </c>
      <c r="K251" s="137" t="s">
        <v>843</v>
      </c>
      <c r="L251" s="137" t="s">
        <v>841</v>
      </c>
      <c r="M25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5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51" s="138" t="str" cm="1">
        <f t="array" ref="O251">IFERROR(INDEX(CategoriesTable[Category type],MATCH(Table1[[#This Row],[Category]],CategoriesTable[Category name],0),0),"")</f>
        <v/>
      </c>
      <c r="P251" s="138">
        <v>3</v>
      </c>
      <c r="Q251" s="138">
        <f>MONTH(Table1[[#This Row],[Date]])</f>
        <v>11</v>
      </c>
      <c r="R251" s="138">
        <v>2021</v>
      </c>
      <c r="S251" s="139">
        <f>IF(ISBLANK(Table1[[#This Row],[Date]]),"",Table1[[#This Row],[Date]]-WEEKDAY(Table1[[#This Row],[Date]],2)+1)</f>
        <v>44501</v>
      </c>
      <c r="T251" s="140">
        <f>IF(ISBLANK(Table1[[#This Row],[Date]]),"",DATE(Table1[[#This Row],[Date_Year]],Table1[[#This Row],[Date_Month]],1))</f>
        <v>44501</v>
      </c>
    </row>
    <row r="252" spans="2:20" ht="15.75">
      <c r="B252" s="154">
        <v>44502</v>
      </c>
      <c r="C252" s="119" t="s">
        <v>1534</v>
      </c>
      <c r="D252" s="119"/>
      <c r="E252" s="119"/>
      <c r="F252" s="155">
        <v>-10</v>
      </c>
      <c r="G252" s="133" t="str">
        <f>_xlfn.XLOOKUP(Table1[[#This Row],[Account_ID]], Accounts[ID], Accounts[Account nickname], "Unknown")</f>
        <v>Discover</v>
      </c>
      <c r="H252" s="134" t="str">
        <f>_xlfn.XLOOKUP(Table1[[#This Row],[Account_ID]], Accounts[ID], Accounts[Account'#], "Unknown")</f>
        <v>4618</v>
      </c>
      <c r="I252" s="135" t="str">
        <f>_xlfn.XLOOKUP(_xlfn.XLOOKUP(Table1[[#This Row],[Account]],Accounts[Account nickname],Accounts[Institution ID]),Institutions[ID],Institutions[Institution nickname],"Unknown")</f>
        <v>Discover</v>
      </c>
      <c r="J252" s="136" t="s">
        <v>1535</v>
      </c>
      <c r="K252" s="137" t="s">
        <v>843</v>
      </c>
      <c r="L252" s="137" t="s">
        <v>841</v>
      </c>
      <c r="M25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5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52" s="138" t="str" cm="1">
        <f t="array" ref="O252">IFERROR(INDEX(CategoriesTable[Category type],MATCH(Table1[[#This Row],[Category]],CategoriesTable[Category name],0),0),"")</f>
        <v/>
      </c>
      <c r="P252" s="138">
        <v>2</v>
      </c>
      <c r="Q252" s="138">
        <f>MONTH(Table1[[#This Row],[Date]])</f>
        <v>11</v>
      </c>
      <c r="R252" s="138">
        <v>2021</v>
      </c>
      <c r="S252" s="139">
        <f>IF(ISBLANK(Table1[[#This Row],[Date]]),"",Table1[[#This Row],[Date]]-WEEKDAY(Table1[[#This Row],[Date]],2)+1)</f>
        <v>44501</v>
      </c>
      <c r="T252" s="140">
        <f>IF(ISBLANK(Table1[[#This Row],[Date]]),"",DATE(Table1[[#This Row],[Date_Year]],Table1[[#This Row],[Date_Month]],1))</f>
        <v>44501</v>
      </c>
    </row>
    <row r="253" spans="2:20" ht="15.75">
      <c r="B253" s="154">
        <v>44501</v>
      </c>
      <c r="C253" s="119" t="s">
        <v>698</v>
      </c>
      <c r="D253" s="119"/>
      <c r="E253" s="119"/>
      <c r="F253" s="155">
        <v>-9.99</v>
      </c>
      <c r="G253" s="133" t="str">
        <f>_xlfn.XLOOKUP(Table1[[#This Row],[Account_ID]], Accounts[ID], Accounts[Account nickname], "Unknown")</f>
        <v>Discover</v>
      </c>
      <c r="H253" s="134" t="str">
        <f>_xlfn.XLOOKUP(Table1[[#This Row],[Account_ID]], Accounts[ID], Accounts[Account'#], "Unknown")</f>
        <v>4618</v>
      </c>
      <c r="I253" s="135" t="str">
        <f>_xlfn.XLOOKUP(_xlfn.XLOOKUP(Table1[[#This Row],[Account]],Accounts[Account nickname],Accounts[Institution ID]),Institutions[ID],Institutions[Institution nickname],"Unknown")</f>
        <v>Discover</v>
      </c>
      <c r="J253" s="136" t="s">
        <v>1538</v>
      </c>
      <c r="K253" s="137" t="s">
        <v>843</v>
      </c>
      <c r="L253" s="137" t="s">
        <v>841</v>
      </c>
      <c r="M25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5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53" s="138" t="str" cm="1">
        <f t="array" ref="O253">IFERROR(INDEX(CategoriesTable[Category type],MATCH(Table1[[#This Row],[Category]],CategoriesTable[Category name],0),0),"")</f>
        <v/>
      </c>
      <c r="P253" s="138">
        <v>1</v>
      </c>
      <c r="Q253" s="138">
        <f>MONTH(Table1[[#This Row],[Date]])</f>
        <v>11</v>
      </c>
      <c r="R253" s="138">
        <v>2021</v>
      </c>
      <c r="S253" s="139">
        <f>IF(ISBLANK(Table1[[#This Row],[Date]]),"",Table1[[#This Row],[Date]]-WEEKDAY(Table1[[#This Row],[Date]],2)+1)</f>
        <v>44501</v>
      </c>
      <c r="T253" s="140">
        <f>IF(ISBLANK(Table1[[#This Row],[Date]]),"",DATE(Table1[[#This Row],[Date_Year]],Table1[[#This Row],[Date_Month]],1))</f>
        <v>44501</v>
      </c>
    </row>
    <row r="254" spans="2:20" ht="15.75">
      <c r="B254" s="154">
        <v>44501</v>
      </c>
      <c r="C254" s="119" t="s">
        <v>697</v>
      </c>
      <c r="D254" s="119"/>
      <c r="E254" s="119"/>
      <c r="F254" s="155">
        <v>-14.83</v>
      </c>
      <c r="G254" s="133" t="str">
        <f>_xlfn.XLOOKUP(Table1[[#This Row],[Account_ID]], Accounts[ID], Accounts[Account nickname], "Unknown")</f>
        <v>Discover</v>
      </c>
      <c r="H254" s="134" t="str">
        <f>_xlfn.XLOOKUP(Table1[[#This Row],[Account_ID]], Accounts[ID], Accounts[Account'#], "Unknown")</f>
        <v>4618</v>
      </c>
      <c r="I254" s="135" t="str">
        <f>_xlfn.XLOOKUP(_xlfn.XLOOKUP(Table1[[#This Row],[Account]],Accounts[Account nickname],Accounts[Institution ID]),Institutions[ID],Institutions[Institution nickname],"Unknown")</f>
        <v>Discover</v>
      </c>
      <c r="J254" s="136" t="s">
        <v>1537</v>
      </c>
      <c r="K254" s="137" t="s">
        <v>843</v>
      </c>
      <c r="L254" s="137" t="s">
        <v>841</v>
      </c>
      <c r="M25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5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54" s="138" t="str" cm="1">
        <f t="array" ref="O254">IFERROR(INDEX(CategoriesTable[Category type],MATCH(Table1[[#This Row],[Category]],CategoriesTable[Category name],0),0),"")</f>
        <v/>
      </c>
      <c r="P254" s="138">
        <v>1</v>
      </c>
      <c r="Q254" s="138">
        <f>MONTH(Table1[[#This Row],[Date]])</f>
        <v>11</v>
      </c>
      <c r="R254" s="138">
        <v>2021</v>
      </c>
      <c r="S254" s="139">
        <f>IF(ISBLANK(Table1[[#This Row],[Date]]),"",Table1[[#This Row],[Date]]-WEEKDAY(Table1[[#This Row],[Date]],2)+1)</f>
        <v>44501</v>
      </c>
      <c r="T254" s="140">
        <f>IF(ISBLANK(Table1[[#This Row],[Date]]),"",DATE(Table1[[#This Row],[Date_Year]],Table1[[#This Row],[Date_Month]],1))</f>
        <v>44501</v>
      </c>
    </row>
    <row r="255" spans="2:20" ht="15.75">
      <c r="B255" s="154">
        <v>44501</v>
      </c>
      <c r="C255" s="119" t="s">
        <v>1472</v>
      </c>
      <c r="D255" s="119"/>
      <c r="E255" s="119"/>
      <c r="F255" s="155">
        <v>-10.71</v>
      </c>
      <c r="G255" s="133" t="str">
        <f>_xlfn.XLOOKUP(Table1[[#This Row],[Account_ID]], Accounts[ID], Accounts[Account nickname], "Unknown")</f>
        <v>Discover</v>
      </c>
      <c r="H255" s="134" t="str">
        <f>_xlfn.XLOOKUP(Table1[[#This Row],[Account_ID]], Accounts[ID], Accounts[Account'#], "Unknown")</f>
        <v>4618</v>
      </c>
      <c r="I255" s="135" t="str">
        <f>_xlfn.XLOOKUP(_xlfn.XLOOKUP(Table1[[#This Row],[Account]],Accounts[Account nickname],Accounts[Institution ID]),Institutions[ID],Institutions[Institution nickname],"Unknown")</f>
        <v>Discover</v>
      </c>
      <c r="J255" s="136" t="s">
        <v>1536</v>
      </c>
      <c r="K255" s="137" t="s">
        <v>843</v>
      </c>
      <c r="L255" s="137" t="s">
        <v>841</v>
      </c>
      <c r="M25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5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55" s="138" t="str" cm="1">
        <f t="array" ref="O255">IFERROR(INDEX(CategoriesTable[Category type],MATCH(Table1[[#This Row],[Category]],CategoriesTable[Category name],0),0),"")</f>
        <v/>
      </c>
      <c r="P255" s="138">
        <v>1</v>
      </c>
      <c r="Q255" s="138">
        <f>MONTH(Table1[[#This Row],[Date]])</f>
        <v>11</v>
      </c>
      <c r="R255" s="138">
        <v>2021</v>
      </c>
      <c r="S255" s="139">
        <f>IF(ISBLANK(Table1[[#This Row],[Date]]),"",Table1[[#This Row],[Date]]-WEEKDAY(Table1[[#This Row],[Date]],2)+1)</f>
        <v>44501</v>
      </c>
      <c r="T255" s="140">
        <f>IF(ISBLANK(Table1[[#This Row],[Date]]),"",DATE(Table1[[#This Row],[Date_Year]],Table1[[#This Row],[Date_Month]],1))</f>
        <v>44501</v>
      </c>
    </row>
    <row r="256" spans="2:20" ht="15.75">
      <c r="B256" s="154">
        <v>44501</v>
      </c>
      <c r="C256" s="119" t="s">
        <v>678</v>
      </c>
      <c r="D256" s="119"/>
      <c r="E256" s="119"/>
      <c r="F256" s="155">
        <v>-1676.72</v>
      </c>
      <c r="G256" s="133" t="str">
        <f>_xlfn.XLOOKUP(Table1[[#This Row],[Account_ID]], Accounts[ID], Accounts[Account nickname], "Unknown")</f>
        <v>WF</v>
      </c>
      <c r="H256" s="134" t="str">
        <f>_xlfn.XLOOKUP(Table1[[#This Row],[Account_ID]], Accounts[ID], Accounts[Account'#], "Unknown")</f>
        <v>4636</v>
      </c>
      <c r="I256" s="135" t="str">
        <f>_xlfn.XLOOKUP(_xlfn.XLOOKUP(Table1[[#This Row],[Account]],Accounts[Account nickname],Accounts[Institution ID]),Institutions[ID],Institutions[Institution nickname],"Unknown")</f>
        <v>Wells Fargo</v>
      </c>
      <c r="J256" s="136" t="s">
        <v>995</v>
      </c>
      <c r="K256" s="137" t="s">
        <v>808</v>
      </c>
      <c r="L256" s="137" t="s">
        <v>807</v>
      </c>
      <c r="M25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5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56" s="138" t="str" cm="1">
        <f t="array" ref="O256">IFERROR(INDEX(CategoriesTable[Category type],MATCH(Table1[[#This Row],[Category]],CategoriesTable[Category name],0),0),"")</f>
        <v/>
      </c>
      <c r="P256" s="138">
        <v>1</v>
      </c>
      <c r="Q256" s="138">
        <f>MONTH(Table1[[#This Row],[Date]])</f>
        <v>11</v>
      </c>
      <c r="R256" s="138">
        <v>2021</v>
      </c>
      <c r="S256" s="139">
        <f>IF(ISBLANK(Table1[[#This Row],[Date]]),"",Table1[[#This Row],[Date]]-WEEKDAY(Table1[[#This Row],[Date]],2)+1)</f>
        <v>44501</v>
      </c>
      <c r="T256" s="140">
        <f>IF(ISBLANK(Table1[[#This Row],[Date]]),"",DATE(Table1[[#This Row],[Date_Year]],Table1[[#This Row],[Date_Month]],1))</f>
        <v>44501</v>
      </c>
    </row>
    <row r="257" spans="2:20" ht="15.75">
      <c r="B257" s="154">
        <v>44499</v>
      </c>
      <c r="C257" s="119" t="s">
        <v>718</v>
      </c>
      <c r="D257" s="119"/>
      <c r="E257" s="119"/>
      <c r="F257" s="155">
        <v>-8.1300000000000008</v>
      </c>
      <c r="G257" s="133" t="str">
        <f>_xlfn.XLOOKUP(Table1[[#This Row],[Account_ID]], Accounts[ID], Accounts[Account nickname], "Unknown")</f>
        <v>Discover</v>
      </c>
      <c r="H257" s="134" t="str">
        <f>_xlfn.XLOOKUP(Table1[[#This Row],[Account_ID]], Accounts[ID], Accounts[Account'#], "Unknown")</f>
        <v>4618</v>
      </c>
      <c r="I257" s="135" t="str">
        <f>_xlfn.XLOOKUP(_xlfn.XLOOKUP(Table1[[#This Row],[Account]],Accounts[Account nickname],Accounts[Institution ID]),Institutions[ID],Institutions[Institution nickname],"Unknown")</f>
        <v>Discover</v>
      </c>
      <c r="J257" s="136" t="s">
        <v>1543</v>
      </c>
      <c r="K257" s="137" t="s">
        <v>843</v>
      </c>
      <c r="L257" s="137" t="s">
        <v>841</v>
      </c>
      <c r="M25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5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57" s="138" t="str" cm="1">
        <f t="array" ref="O257">IFERROR(INDEX(CategoriesTable[Category type],MATCH(Table1[[#This Row],[Category]],CategoriesTable[Category name],0),0),"")</f>
        <v/>
      </c>
      <c r="P257" s="138">
        <v>30</v>
      </c>
      <c r="Q257" s="138">
        <f>MONTH(Table1[[#This Row],[Date]])</f>
        <v>10</v>
      </c>
      <c r="R257" s="138">
        <v>2021</v>
      </c>
      <c r="S257" s="139">
        <f>IF(ISBLANK(Table1[[#This Row],[Date]]),"",Table1[[#This Row],[Date]]-WEEKDAY(Table1[[#This Row],[Date]],2)+1)</f>
        <v>44494</v>
      </c>
      <c r="T257" s="140">
        <f>IF(ISBLANK(Table1[[#This Row],[Date]]),"",DATE(Table1[[#This Row],[Date_Year]],Table1[[#This Row],[Date_Month]],1))</f>
        <v>44470</v>
      </c>
    </row>
    <row r="258" spans="2:20" ht="15.75">
      <c r="B258" s="154">
        <v>44499</v>
      </c>
      <c r="C258" s="119" t="s">
        <v>922</v>
      </c>
      <c r="D258" s="119"/>
      <c r="E258" s="119"/>
      <c r="F258" s="155">
        <v>-4.88</v>
      </c>
      <c r="G258" s="133" t="str">
        <f>_xlfn.XLOOKUP(Table1[[#This Row],[Account_ID]], Accounts[ID], Accounts[Account nickname], "Unknown")</f>
        <v>Discover</v>
      </c>
      <c r="H258" s="134" t="str">
        <f>_xlfn.XLOOKUP(Table1[[#This Row],[Account_ID]], Accounts[ID], Accounts[Account'#], "Unknown")</f>
        <v>4618</v>
      </c>
      <c r="I258" s="135" t="str">
        <f>_xlfn.XLOOKUP(_xlfn.XLOOKUP(Table1[[#This Row],[Account]],Accounts[Account nickname],Accounts[Institution ID]),Institutions[ID],Institutions[Institution nickname],"Unknown")</f>
        <v>Discover</v>
      </c>
      <c r="J258" s="136" t="s">
        <v>1539</v>
      </c>
      <c r="K258" s="137" t="s">
        <v>843</v>
      </c>
      <c r="L258" s="137" t="s">
        <v>841</v>
      </c>
      <c r="M25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5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58" s="138" t="str" cm="1">
        <f t="array" ref="O258">IFERROR(INDEX(CategoriesTable[Category type],MATCH(Table1[[#This Row],[Category]],CategoriesTable[Category name],0),0),"")</f>
        <v/>
      </c>
      <c r="P258" s="138">
        <v>30</v>
      </c>
      <c r="Q258" s="138">
        <f>MONTH(Table1[[#This Row],[Date]])</f>
        <v>10</v>
      </c>
      <c r="R258" s="138">
        <v>2021</v>
      </c>
      <c r="S258" s="139">
        <f>IF(ISBLANK(Table1[[#This Row],[Date]]),"",Table1[[#This Row],[Date]]-WEEKDAY(Table1[[#This Row],[Date]],2)+1)</f>
        <v>44494</v>
      </c>
      <c r="T258" s="140">
        <f>IF(ISBLANK(Table1[[#This Row],[Date]]),"",DATE(Table1[[#This Row],[Date_Year]],Table1[[#This Row],[Date_Month]],1))</f>
        <v>44470</v>
      </c>
    </row>
    <row r="259" spans="2:20" ht="15.75">
      <c r="B259" s="154">
        <v>44499</v>
      </c>
      <c r="C259" s="119" t="s">
        <v>718</v>
      </c>
      <c r="D259" s="119"/>
      <c r="E259" s="119"/>
      <c r="F259" s="155">
        <v>-5.48</v>
      </c>
      <c r="G259" s="133" t="str">
        <f>_xlfn.XLOOKUP(Table1[[#This Row],[Account_ID]], Accounts[ID], Accounts[Account nickname], "Unknown")</f>
        <v>Discover</v>
      </c>
      <c r="H259" s="134" t="str">
        <f>_xlfn.XLOOKUP(Table1[[#This Row],[Account_ID]], Accounts[ID], Accounts[Account'#], "Unknown")</f>
        <v>4618</v>
      </c>
      <c r="I259" s="135" t="str">
        <f>_xlfn.XLOOKUP(_xlfn.XLOOKUP(Table1[[#This Row],[Account]],Accounts[Account nickname],Accounts[Institution ID]),Institutions[ID],Institutions[Institution nickname],"Unknown")</f>
        <v>Discover</v>
      </c>
      <c r="J259" s="136" t="s">
        <v>1542</v>
      </c>
      <c r="K259" s="137" t="s">
        <v>843</v>
      </c>
      <c r="L259" s="137" t="s">
        <v>841</v>
      </c>
      <c r="M25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5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59" s="138" t="str" cm="1">
        <f t="array" ref="O259">IFERROR(INDEX(CategoriesTable[Category type],MATCH(Table1[[#This Row],[Category]],CategoriesTable[Category name],0),0),"")</f>
        <v/>
      </c>
      <c r="P259" s="138">
        <v>30</v>
      </c>
      <c r="Q259" s="138">
        <f>MONTH(Table1[[#This Row],[Date]])</f>
        <v>10</v>
      </c>
      <c r="R259" s="138">
        <v>2021</v>
      </c>
      <c r="S259" s="139">
        <f>IF(ISBLANK(Table1[[#This Row],[Date]]),"",Table1[[#This Row],[Date]]-WEEKDAY(Table1[[#This Row],[Date]],2)+1)</f>
        <v>44494</v>
      </c>
      <c r="T259" s="140">
        <f>IF(ISBLANK(Table1[[#This Row],[Date]]),"",DATE(Table1[[#This Row],[Date_Year]],Table1[[#This Row],[Date_Month]],1))</f>
        <v>44470</v>
      </c>
    </row>
    <row r="260" spans="2:20" ht="15.75">
      <c r="B260" s="154">
        <v>44499</v>
      </c>
      <c r="C260" s="119" t="s">
        <v>1540</v>
      </c>
      <c r="D260" s="119"/>
      <c r="E260" s="119"/>
      <c r="F260" s="155">
        <v>32.42</v>
      </c>
      <c r="G260" s="133" t="str">
        <f>_xlfn.XLOOKUP(Table1[[#This Row],[Account_ID]], Accounts[ID], Accounts[Account nickname], "Unknown")</f>
        <v>Discover</v>
      </c>
      <c r="H260" s="134" t="str">
        <f>_xlfn.XLOOKUP(Table1[[#This Row],[Account_ID]], Accounts[ID], Accounts[Account'#], "Unknown")</f>
        <v>4618</v>
      </c>
      <c r="I260" s="135" t="str">
        <f>_xlfn.XLOOKUP(_xlfn.XLOOKUP(Table1[[#This Row],[Account]],Accounts[Account nickname],Accounts[Institution ID]),Institutions[ID],Institutions[Institution nickname],"Unknown")</f>
        <v>Discover</v>
      </c>
      <c r="J260" s="136" t="s">
        <v>1541</v>
      </c>
      <c r="K260" s="137" t="s">
        <v>843</v>
      </c>
      <c r="L260" s="137" t="s">
        <v>841</v>
      </c>
      <c r="M26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6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60" s="138" t="str" cm="1">
        <f t="array" ref="O260">IFERROR(INDEX(CategoriesTable[Category type],MATCH(Table1[[#This Row],[Category]],CategoriesTable[Category name],0),0),"")</f>
        <v/>
      </c>
      <c r="P260" s="138">
        <v>30</v>
      </c>
      <c r="Q260" s="138">
        <f>MONTH(Table1[[#This Row],[Date]])</f>
        <v>10</v>
      </c>
      <c r="R260" s="138">
        <v>2021</v>
      </c>
      <c r="S260" s="139">
        <f>IF(ISBLANK(Table1[[#This Row],[Date]]),"",Table1[[#This Row],[Date]]-WEEKDAY(Table1[[#This Row],[Date]],2)+1)</f>
        <v>44494</v>
      </c>
      <c r="T260" s="140">
        <f>IF(ISBLANK(Table1[[#This Row],[Date]]),"",DATE(Table1[[#This Row],[Date_Year]],Table1[[#This Row],[Date_Month]],1))</f>
        <v>44470</v>
      </c>
    </row>
    <row r="261" spans="2:20" ht="15.75">
      <c r="B261" s="154">
        <v>44498</v>
      </c>
      <c r="C261" s="119" t="s">
        <v>703</v>
      </c>
      <c r="D261" s="119"/>
      <c r="E261" s="119"/>
      <c r="F261" s="155">
        <v>-5.73</v>
      </c>
      <c r="G261" s="133" t="str">
        <f>_xlfn.XLOOKUP(Table1[[#This Row],[Account_ID]], Accounts[ID], Accounts[Account nickname], "Unknown")</f>
        <v>Discover</v>
      </c>
      <c r="H261" s="134" t="str">
        <f>_xlfn.XLOOKUP(Table1[[#This Row],[Account_ID]], Accounts[ID], Accounts[Account'#], "Unknown")</f>
        <v>4618</v>
      </c>
      <c r="I261" s="135" t="str">
        <f>_xlfn.XLOOKUP(_xlfn.XLOOKUP(Table1[[#This Row],[Account]],Accounts[Account nickname],Accounts[Institution ID]),Institutions[ID],Institutions[Institution nickname],"Unknown")</f>
        <v>Discover</v>
      </c>
      <c r="J261" s="136" t="s">
        <v>1547</v>
      </c>
      <c r="K261" s="137" t="s">
        <v>843</v>
      </c>
      <c r="L261" s="137" t="s">
        <v>841</v>
      </c>
      <c r="M26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6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61" s="138" t="str" cm="1">
        <f t="array" ref="O261">IFERROR(INDEX(CategoriesTable[Category type],MATCH(Table1[[#This Row],[Category]],CategoriesTable[Category name],0),0),"")</f>
        <v/>
      </c>
      <c r="P261" s="138">
        <v>29</v>
      </c>
      <c r="Q261" s="138">
        <f>MONTH(Table1[[#This Row],[Date]])</f>
        <v>10</v>
      </c>
      <c r="R261" s="138">
        <v>2021</v>
      </c>
      <c r="S261" s="139">
        <f>IF(ISBLANK(Table1[[#This Row],[Date]]),"",Table1[[#This Row],[Date]]-WEEKDAY(Table1[[#This Row],[Date]],2)+1)</f>
        <v>44494</v>
      </c>
      <c r="T261" s="140">
        <f>IF(ISBLANK(Table1[[#This Row],[Date]]),"",DATE(Table1[[#This Row],[Date_Year]],Table1[[#This Row],[Date_Month]],1))</f>
        <v>44470</v>
      </c>
    </row>
    <row r="262" spans="2:20" ht="15.75">
      <c r="B262" s="154">
        <v>44498</v>
      </c>
      <c r="C262" s="119" t="s">
        <v>718</v>
      </c>
      <c r="D262" s="119"/>
      <c r="E262" s="119"/>
      <c r="F262" s="155">
        <v>-92.77</v>
      </c>
      <c r="G262" s="133" t="str">
        <f>_xlfn.XLOOKUP(Table1[[#This Row],[Account_ID]], Accounts[ID], Accounts[Account nickname], "Unknown")</f>
        <v>Discover</v>
      </c>
      <c r="H262" s="134" t="str">
        <f>_xlfn.XLOOKUP(Table1[[#This Row],[Account_ID]], Accounts[ID], Accounts[Account'#], "Unknown")</f>
        <v>4618</v>
      </c>
      <c r="I262" s="135" t="str">
        <f>_xlfn.XLOOKUP(_xlfn.XLOOKUP(Table1[[#This Row],[Account]],Accounts[Account nickname],Accounts[Institution ID]),Institutions[ID],Institutions[Institution nickname],"Unknown")</f>
        <v>Discover</v>
      </c>
      <c r="J262" s="136" t="s">
        <v>1548</v>
      </c>
      <c r="K262" s="137" t="s">
        <v>843</v>
      </c>
      <c r="L262" s="137" t="s">
        <v>841</v>
      </c>
      <c r="M26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6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62" s="138" t="str" cm="1">
        <f t="array" ref="O262">IFERROR(INDEX(CategoriesTable[Category type],MATCH(Table1[[#This Row],[Category]],CategoriesTable[Category name],0),0),"")</f>
        <v/>
      </c>
      <c r="P262" s="138">
        <v>29</v>
      </c>
      <c r="Q262" s="138">
        <f>MONTH(Table1[[#This Row],[Date]])</f>
        <v>10</v>
      </c>
      <c r="R262" s="138">
        <v>2021</v>
      </c>
      <c r="S262" s="139">
        <f>IF(ISBLANK(Table1[[#This Row],[Date]]),"",Table1[[#This Row],[Date]]-WEEKDAY(Table1[[#This Row],[Date]],2)+1)</f>
        <v>44494</v>
      </c>
      <c r="T262" s="140">
        <f>IF(ISBLANK(Table1[[#This Row],[Date]]),"",DATE(Table1[[#This Row],[Date_Year]],Table1[[#This Row],[Date_Month]],1))</f>
        <v>44470</v>
      </c>
    </row>
    <row r="263" spans="2:20" ht="15.75">
      <c r="B263" s="154">
        <v>44498</v>
      </c>
      <c r="C263" s="119" t="s">
        <v>679</v>
      </c>
      <c r="D263" s="119"/>
      <c r="E263" s="119"/>
      <c r="F263" s="155">
        <v>21.88</v>
      </c>
      <c r="G263" s="133" t="str">
        <f>_xlfn.XLOOKUP(Table1[[#This Row],[Account_ID]], Accounts[ID], Accounts[Account nickname], "Unknown")</f>
        <v>WF</v>
      </c>
      <c r="H263" s="134" t="str">
        <f>_xlfn.XLOOKUP(Table1[[#This Row],[Account_ID]], Accounts[ID], Accounts[Account'#], "Unknown")</f>
        <v>4636</v>
      </c>
      <c r="I263" s="135" t="str">
        <f>_xlfn.XLOOKUP(_xlfn.XLOOKUP(Table1[[#This Row],[Account]],Accounts[Account nickname],Accounts[Institution ID]),Institutions[ID],Institutions[Institution nickname],"Unknown")</f>
        <v>Wells Fargo</v>
      </c>
      <c r="J263" s="136" t="s">
        <v>996</v>
      </c>
      <c r="K263" s="137" t="s">
        <v>808</v>
      </c>
      <c r="L263" s="137" t="s">
        <v>807</v>
      </c>
      <c r="M26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6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63" s="138" t="str" cm="1">
        <f t="array" ref="O263">IFERROR(INDEX(CategoriesTable[Category type],MATCH(Table1[[#This Row],[Category]],CategoriesTable[Category name],0),0),"")</f>
        <v/>
      </c>
      <c r="P263" s="138">
        <v>29</v>
      </c>
      <c r="Q263" s="138">
        <f>MONTH(Table1[[#This Row],[Date]])</f>
        <v>10</v>
      </c>
      <c r="R263" s="138">
        <v>2021</v>
      </c>
      <c r="S263" s="139">
        <f>IF(ISBLANK(Table1[[#This Row],[Date]]),"",Table1[[#This Row],[Date]]-WEEKDAY(Table1[[#This Row],[Date]],2)+1)</f>
        <v>44494</v>
      </c>
      <c r="T263" s="140">
        <f>IF(ISBLANK(Table1[[#This Row],[Date]]),"",DATE(Table1[[#This Row],[Date_Year]],Table1[[#This Row],[Date_Month]],1))</f>
        <v>44470</v>
      </c>
    </row>
    <row r="264" spans="2:20" ht="15.75">
      <c r="B264" s="154">
        <v>44498</v>
      </c>
      <c r="C264" s="119" t="s">
        <v>1470</v>
      </c>
      <c r="D264" s="119"/>
      <c r="E264" s="119"/>
      <c r="F264" s="155">
        <v>-27.41</v>
      </c>
      <c r="G264" s="133" t="str">
        <f>_xlfn.XLOOKUP(Table1[[#This Row],[Account_ID]], Accounts[ID], Accounts[Account nickname], "Unknown")</f>
        <v>Discover</v>
      </c>
      <c r="H264" s="134" t="str">
        <f>_xlfn.XLOOKUP(Table1[[#This Row],[Account_ID]], Accounts[ID], Accounts[Account'#], "Unknown")</f>
        <v>4618</v>
      </c>
      <c r="I264" s="135" t="str">
        <f>_xlfn.XLOOKUP(_xlfn.XLOOKUP(Table1[[#This Row],[Account]],Accounts[Account nickname],Accounts[Institution ID]),Institutions[ID],Institutions[Institution nickname],"Unknown")</f>
        <v>Discover</v>
      </c>
      <c r="J264" s="136" t="s">
        <v>1546</v>
      </c>
      <c r="K264" s="137" t="s">
        <v>843</v>
      </c>
      <c r="L264" s="137" t="s">
        <v>841</v>
      </c>
      <c r="M26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6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64" s="138" t="str" cm="1">
        <f t="array" ref="O264">IFERROR(INDEX(CategoriesTable[Category type],MATCH(Table1[[#This Row],[Category]],CategoriesTable[Category name],0),0),"")</f>
        <v/>
      </c>
      <c r="P264" s="138">
        <v>29</v>
      </c>
      <c r="Q264" s="138">
        <f>MONTH(Table1[[#This Row],[Date]])</f>
        <v>10</v>
      </c>
      <c r="R264" s="138">
        <v>2021</v>
      </c>
      <c r="S264" s="139">
        <f>IF(ISBLANK(Table1[[#This Row],[Date]]),"",Table1[[#This Row],[Date]]-WEEKDAY(Table1[[#This Row],[Date]],2)+1)</f>
        <v>44494</v>
      </c>
      <c r="T264" s="140">
        <f>IF(ISBLANK(Table1[[#This Row],[Date]]),"",DATE(Table1[[#This Row],[Date_Year]],Table1[[#This Row],[Date_Month]],1))</f>
        <v>44470</v>
      </c>
    </row>
    <row r="265" spans="2:20" ht="15.75">
      <c r="B265" s="154">
        <v>44498</v>
      </c>
      <c r="C265" s="119" t="s">
        <v>1544</v>
      </c>
      <c r="D265" s="119"/>
      <c r="E265" s="119"/>
      <c r="F265" s="155">
        <v>-17.14</v>
      </c>
      <c r="G265" s="133" t="str">
        <f>_xlfn.XLOOKUP(Table1[[#This Row],[Account_ID]], Accounts[ID], Accounts[Account nickname], "Unknown")</f>
        <v>Discover</v>
      </c>
      <c r="H265" s="134" t="str">
        <f>_xlfn.XLOOKUP(Table1[[#This Row],[Account_ID]], Accounts[ID], Accounts[Account'#], "Unknown")</f>
        <v>4618</v>
      </c>
      <c r="I265" s="135" t="str">
        <f>_xlfn.XLOOKUP(_xlfn.XLOOKUP(Table1[[#This Row],[Account]],Accounts[Account nickname],Accounts[Institution ID]),Institutions[ID],Institutions[Institution nickname],"Unknown")</f>
        <v>Discover</v>
      </c>
      <c r="J265" s="136" t="s">
        <v>1545</v>
      </c>
      <c r="K265" s="137" t="s">
        <v>843</v>
      </c>
      <c r="L265" s="137" t="s">
        <v>841</v>
      </c>
      <c r="M26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6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65" s="138" t="str" cm="1">
        <f t="array" ref="O265">IFERROR(INDEX(CategoriesTable[Category type],MATCH(Table1[[#This Row],[Category]],CategoriesTable[Category name],0),0),"")</f>
        <v/>
      </c>
      <c r="P265" s="138">
        <v>29</v>
      </c>
      <c r="Q265" s="138">
        <f>MONTH(Table1[[#This Row],[Date]])</f>
        <v>10</v>
      </c>
      <c r="R265" s="138">
        <v>2021</v>
      </c>
      <c r="S265" s="139">
        <f>IF(ISBLANK(Table1[[#This Row],[Date]]),"",Table1[[#This Row],[Date]]-WEEKDAY(Table1[[#This Row],[Date]],2)+1)</f>
        <v>44494</v>
      </c>
      <c r="T265" s="140">
        <f>IF(ISBLANK(Table1[[#This Row],[Date]]),"",DATE(Table1[[#This Row],[Date_Year]],Table1[[#This Row],[Date_Month]],1))</f>
        <v>44470</v>
      </c>
    </row>
    <row r="266" spans="2:20" ht="15.75">
      <c r="B266" s="154">
        <v>44497</v>
      </c>
      <c r="C266" s="119" t="s">
        <v>1549</v>
      </c>
      <c r="D266" s="119"/>
      <c r="E266" s="119"/>
      <c r="F266" s="155">
        <v>-366.23</v>
      </c>
      <c r="G266" s="133" t="str">
        <f>_xlfn.XLOOKUP(Table1[[#This Row],[Account_ID]], Accounts[ID], Accounts[Account nickname], "Unknown")</f>
        <v>Discover</v>
      </c>
      <c r="H266" s="134" t="str">
        <f>_xlfn.XLOOKUP(Table1[[#This Row],[Account_ID]], Accounts[ID], Accounts[Account'#], "Unknown")</f>
        <v>4618</v>
      </c>
      <c r="I266" s="135" t="str">
        <f>_xlfn.XLOOKUP(_xlfn.XLOOKUP(Table1[[#This Row],[Account]],Accounts[Account nickname],Accounts[Institution ID]),Institutions[ID],Institutions[Institution nickname],"Unknown")</f>
        <v>Discover</v>
      </c>
      <c r="J266" s="136" t="s">
        <v>1550</v>
      </c>
      <c r="K266" s="137" t="s">
        <v>843</v>
      </c>
      <c r="L266" s="137" t="s">
        <v>841</v>
      </c>
      <c r="M26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6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66" s="138" t="str" cm="1">
        <f t="array" ref="O266">IFERROR(INDEX(CategoriesTable[Category type],MATCH(Table1[[#This Row],[Category]],CategoriesTable[Category name],0),0),"")</f>
        <v/>
      </c>
      <c r="P266" s="138">
        <v>28</v>
      </c>
      <c r="Q266" s="138">
        <f>MONTH(Table1[[#This Row],[Date]])</f>
        <v>10</v>
      </c>
      <c r="R266" s="138">
        <v>2021</v>
      </c>
      <c r="S266" s="139">
        <f>IF(ISBLANK(Table1[[#This Row],[Date]]),"",Table1[[#This Row],[Date]]-WEEKDAY(Table1[[#This Row],[Date]],2)+1)</f>
        <v>44494</v>
      </c>
      <c r="T266" s="140">
        <f>IF(ISBLANK(Table1[[#This Row],[Date]]),"",DATE(Table1[[#This Row],[Date_Year]],Table1[[#This Row],[Date_Month]],1))</f>
        <v>44470</v>
      </c>
    </row>
    <row r="267" spans="2:20" ht="15.75">
      <c r="B267" s="154">
        <v>44496</v>
      </c>
      <c r="C267" s="119" t="s">
        <v>890</v>
      </c>
      <c r="D267" s="119"/>
      <c r="E267" s="119"/>
      <c r="F267" s="155">
        <v>-24.37</v>
      </c>
      <c r="G267" s="133" t="str">
        <f>_xlfn.XLOOKUP(Table1[[#This Row],[Account_ID]], Accounts[ID], Accounts[Account nickname], "Unknown")</f>
        <v>Discover</v>
      </c>
      <c r="H267" s="134" t="str">
        <f>_xlfn.XLOOKUP(Table1[[#This Row],[Account_ID]], Accounts[ID], Accounts[Account'#], "Unknown")</f>
        <v>4618</v>
      </c>
      <c r="I267" s="135" t="str">
        <f>_xlfn.XLOOKUP(_xlfn.XLOOKUP(Table1[[#This Row],[Account]],Accounts[Account nickname],Accounts[Institution ID]),Institutions[ID],Institutions[Institution nickname],"Unknown")</f>
        <v>Discover</v>
      </c>
      <c r="J267" s="136" t="s">
        <v>1553</v>
      </c>
      <c r="K267" s="137" t="s">
        <v>843</v>
      </c>
      <c r="L267" s="137" t="s">
        <v>841</v>
      </c>
      <c r="M26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6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67" s="138" t="str" cm="1">
        <f t="array" ref="O267">IFERROR(INDEX(CategoriesTable[Category type],MATCH(Table1[[#This Row],[Category]],CategoriesTable[Category name],0),0),"")</f>
        <v/>
      </c>
      <c r="P267" s="138">
        <v>27</v>
      </c>
      <c r="Q267" s="138">
        <f>MONTH(Table1[[#This Row],[Date]])</f>
        <v>10</v>
      </c>
      <c r="R267" s="138">
        <v>2021</v>
      </c>
      <c r="S267" s="139">
        <f>IF(ISBLANK(Table1[[#This Row],[Date]]),"",Table1[[#This Row],[Date]]-WEEKDAY(Table1[[#This Row],[Date]],2)+1)</f>
        <v>44494</v>
      </c>
      <c r="T267" s="140">
        <f>IF(ISBLANK(Table1[[#This Row],[Date]]),"",DATE(Table1[[#This Row],[Date_Year]],Table1[[#This Row],[Date_Month]],1))</f>
        <v>44470</v>
      </c>
    </row>
    <row r="268" spans="2:20" ht="15.75">
      <c r="B268" s="154">
        <v>44496</v>
      </c>
      <c r="C268" s="119" t="s">
        <v>1551</v>
      </c>
      <c r="D268" s="119"/>
      <c r="E268" s="119"/>
      <c r="F268" s="155">
        <v>-198.74</v>
      </c>
      <c r="G268" s="133" t="str">
        <f>_xlfn.XLOOKUP(Table1[[#This Row],[Account_ID]], Accounts[ID], Accounts[Account nickname], "Unknown")</f>
        <v>Discover</v>
      </c>
      <c r="H268" s="134" t="str">
        <f>_xlfn.XLOOKUP(Table1[[#This Row],[Account_ID]], Accounts[ID], Accounts[Account'#], "Unknown")</f>
        <v>4618</v>
      </c>
      <c r="I268" s="135" t="str">
        <f>_xlfn.XLOOKUP(_xlfn.XLOOKUP(Table1[[#This Row],[Account]],Accounts[Account nickname],Accounts[Institution ID]),Institutions[ID],Institutions[Institution nickname],"Unknown")</f>
        <v>Discover</v>
      </c>
      <c r="J268" s="136" t="s">
        <v>1552</v>
      </c>
      <c r="K268" s="137" t="s">
        <v>843</v>
      </c>
      <c r="L268" s="137" t="s">
        <v>841</v>
      </c>
      <c r="M26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6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68" s="138" t="str" cm="1">
        <f t="array" ref="O268">IFERROR(INDEX(CategoriesTable[Category type],MATCH(Table1[[#This Row],[Category]],CategoriesTable[Category name],0),0),"")</f>
        <v/>
      </c>
      <c r="P268" s="138">
        <v>27</v>
      </c>
      <c r="Q268" s="138">
        <f>MONTH(Table1[[#This Row],[Date]])</f>
        <v>10</v>
      </c>
      <c r="R268" s="138">
        <v>2021</v>
      </c>
      <c r="S268" s="139">
        <f>IF(ISBLANK(Table1[[#This Row],[Date]]),"",Table1[[#This Row],[Date]]-WEEKDAY(Table1[[#This Row],[Date]],2)+1)</f>
        <v>44494</v>
      </c>
      <c r="T268" s="140">
        <f>IF(ISBLANK(Table1[[#This Row],[Date]]),"",DATE(Table1[[#This Row],[Date_Year]],Table1[[#This Row],[Date_Month]],1))</f>
        <v>44470</v>
      </c>
    </row>
    <row r="269" spans="2:20" ht="15.75">
      <c r="B269" s="154">
        <v>44495</v>
      </c>
      <c r="C269" s="119" t="s">
        <v>922</v>
      </c>
      <c r="D269" s="119"/>
      <c r="E269" s="119"/>
      <c r="F269" s="155">
        <v>-35.58</v>
      </c>
      <c r="G269" s="133" t="str">
        <f>_xlfn.XLOOKUP(Table1[[#This Row],[Account_ID]], Accounts[ID], Accounts[Account nickname], "Unknown")</f>
        <v>Discover</v>
      </c>
      <c r="H269" s="134" t="str">
        <f>_xlfn.XLOOKUP(Table1[[#This Row],[Account_ID]], Accounts[ID], Accounts[Account'#], "Unknown")</f>
        <v>4618</v>
      </c>
      <c r="I269" s="135" t="str">
        <f>_xlfn.XLOOKUP(_xlfn.XLOOKUP(Table1[[#This Row],[Account]],Accounts[Account nickname],Accounts[Institution ID]),Institutions[ID],Institutions[Institution nickname],"Unknown")</f>
        <v>Discover</v>
      </c>
      <c r="J269" s="136" t="s">
        <v>1554</v>
      </c>
      <c r="K269" s="137" t="s">
        <v>843</v>
      </c>
      <c r="L269" s="137" t="s">
        <v>841</v>
      </c>
      <c r="M26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6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69" s="138" t="str" cm="1">
        <f t="array" ref="O269">IFERROR(INDEX(CategoriesTable[Category type],MATCH(Table1[[#This Row],[Category]],CategoriesTable[Category name],0),0),"")</f>
        <v/>
      </c>
      <c r="P269" s="138">
        <v>26</v>
      </c>
      <c r="Q269" s="138">
        <f>MONTH(Table1[[#This Row],[Date]])</f>
        <v>10</v>
      </c>
      <c r="R269" s="138">
        <v>2021</v>
      </c>
      <c r="S269" s="139">
        <f>IF(ISBLANK(Table1[[#This Row],[Date]]),"",Table1[[#This Row],[Date]]-WEEKDAY(Table1[[#This Row],[Date]],2)+1)</f>
        <v>44494</v>
      </c>
      <c r="T269" s="140">
        <f>IF(ISBLANK(Table1[[#This Row],[Date]]),"",DATE(Table1[[#This Row],[Date_Year]],Table1[[#This Row],[Date_Month]],1))</f>
        <v>44470</v>
      </c>
    </row>
    <row r="270" spans="2:20" ht="15.75">
      <c r="B270" s="154">
        <v>44495</v>
      </c>
      <c r="C270" s="119" t="s">
        <v>1555</v>
      </c>
      <c r="D270" s="119"/>
      <c r="E270" s="119"/>
      <c r="F270" s="155">
        <v>-48.86</v>
      </c>
      <c r="G270" s="133" t="str">
        <f>_xlfn.XLOOKUP(Table1[[#This Row],[Account_ID]], Accounts[ID], Accounts[Account nickname], "Unknown")</f>
        <v>Discover</v>
      </c>
      <c r="H270" s="134" t="str">
        <f>_xlfn.XLOOKUP(Table1[[#This Row],[Account_ID]], Accounts[ID], Accounts[Account'#], "Unknown")</f>
        <v>4618</v>
      </c>
      <c r="I270" s="135" t="str">
        <f>_xlfn.XLOOKUP(_xlfn.XLOOKUP(Table1[[#This Row],[Account]],Accounts[Account nickname],Accounts[Institution ID]),Institutions[ID],Institutions[Institution nickname],"Unknown")</f>
        <v>Discover</v>
      </c>
      <c r="J270" s="136" t="s">
        <v>1556</v>
      </c>
      <c r="K270" s="137" t="s">
        <v>843</v>
      </c>
      <c r="L270" s="137" t="s">
        <v>841</v>
      </c>
      <c r="M27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7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70" s="138" t="str" cm="1">
        <f t="array" ref="O270">IFERROR(INDEX(CategoriesTable[Category type],MATCH(Table1[[#This Row],[Category]],CategoriesTable[Category name],0),0),"")</f>
        <v/>
      </c>
      <c r="P270" s="138">
        <v>26</v>
      </c>
      <c r="Q270" s="138">
        <f>MONTH(Table1[[#This Row],[Date]])</f>
        <v>10</v>
      </c>
      <c r="R270" s="138">
        <v>2021</v>
      </c>
      <c r="S270" s="139">
        <f>IF(ISBLANK(Table1[[#This Row],[Date]]),"",Table1[[#This Row],[Date]]-WEEKDAY(Table1[[#This Row],[Date]],2)+1)</f>
        <v>44494</v>
      </c>
      <c r="T270" s="140">
        <f>IF(ISBLANK(Table1[[#This Row],[Date]]),"",DATE(Table1[[#This Row],[Date_Year]],Table1[[#This Row],[Date_Month]],1))</f>
        <v>44470</v>
      </c>
    </row>
    <row r="271" spans="2:20" ht="15.75">
      <c r="B271" s="154">
        <v>44495</v>
      </c>
      <c r="C271" s="119" t="s">
        <v>1557</v>
      </c>
      <c r="D271" s="119"/>
      <c r="E271" s="119"/>
      <c r="F271" s="155">
        <v>-30</v>
      </c>
      <c r="G271" s="133" t="str">
        <f>_xlfn.XLOOKUP(Table1[[#This Row],[Account_ID]], Accounts[ID], Accounts[Account nickname], "Unknown")</f>
        <v>Discover</v>
      </c>
      <c r="H271" s="134" t="str">
        <f>_xlfn.XLOOKUP(Table1[[#This Row],[Account_ID]], Accounts[ID], Accounts[Account'#], "Unknown")</f>
        <v>4618</v>
      </c>
      <c r="I271" s="135" t="str">
        <f>_xlfn.XLOOKUP(_xlfn.XLOOKUP(Table1[[#This Row],[Account]],Accounts[Account nickname],Accounts[Institution ID]),Institutions[ID],Institutions[Institution nickname],"Unknown")</f>
        <v>Discover</v>
      </c>
      <c r="J271" s="136" t="s">
        <v>1558</v>
      </c>
      <c r="K271" s="137" t="s">
        <v>843</v>
      </c>
      <c r="L271" s="137" t="s">
        <v>841</v>
      </c>
      <c r="M27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7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71" s="138" t="str" cm="1">
        <f t="array" ref="O271">IFERROR(INDEX(CategoriesTable[Category type],MATCH(Table1[[#This Row],[Category]],CategoriesTable[Category name],0),0),"")</f>
        <v/>
      </c>
      <c r="P271" s="138">
        <v>26</v>
      </c>
      <c r="Q271" s="138">
        <f>MONTH(Table1[[#This Row],[Date]])</f>
        <v>10</v>
      </c>
      <c r="R271" s="138">
        <v>2021</v>
      </c>
      <c r="S271" s="139">
        <f>IF(ISBLANK(Table1[[#This Row],[Date]]),"",Table1[[#This Row],[Date]]-WEEKDAY(Table1[[#This Row],[Date]],2)+1)</f>
        <v>44494</v>
      </c>
      <c r="T271" s="140">
        <f>IF(ISBLANK(Table1[[#This Row],[Date]]),"",DATE(Table1[[#This Row],[Date_Year]],Table1[[#This Row],[Date_Month]],1))</f>
        <v>44470</v>
      </c>
    </row>
    <row r="272" spans="2:20" ht="15.75">
      <c r="B272" s="154">
        <v>44494</v>
      </c>
      <c r="C272" s="119" t="s">
        <v>1425</v>
      </c>
      <c r="D272" s="119"/>
      <c r="E272" s="119"/>
      <c r="F272" s="155">
        <v>-320</v>
      </c>
      <c r="G272" s="133" t="str">
        <f>_xlfn.XLOOKUP(Table1[[#This Row],[Account_ID]], Accounts[ID], Accounts[Account nickname], "Unknown")</f>
        <v>Discover</v>
      </c>
      <c r="H272" s="134" t="str">
        <f>_xlfn.XLOOKUP(Table1[[#This Row],[Account_ID]], Accounts[ID], Accounts[Account'#], "Unknown")</f>
        <v>4618</v>
      </c>
      <c r="I272" s="135" t="str">
        <f>_xlfn.XLOOKUP(_xlfn.XLOOKUP(Table1[[#This Row],[Account]],Accounts[Account nickname],Accounts[Institution ID]),Institutions[ID],Institutions[Institution nickname],"Unknown")</f>
        <v>Discover</v>
      </c>
      <c r="J272" s="136" t="s">
        <v>1559</v>
      </c>
      <c r="K272" s="137" t="s">
        <v>843</v>
      </c>
      <c r="L272" s="137" t="s">
        <v>841</v>
      </c>
      <c r="M27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7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72" s="138" t="str" cm="1">
        <f t="array" ref="O272">IFERROR(INDEX(CategoriesTable[Category type],MATCH(Table1[[#This Row],[Category]],CategoriesTable[Category name],0),0),"")</f>
        <v/>
      </c>
      <c r="P272" s="138">
        <v>25</v>
      </c>
      <c r="Q272" s="138">
        <f>MONTH(Table1[[#This Row],[Date]])</f>
        <v>10</v>
      </c>
      <c r="R272" s="138">
        <v>2021</v>
      </c>
      <c r="S272" s="139">
        <f>IF(ISBLANK(Table1[[#This Row],[Date]]),"",Table1[[#This Row],[Date]]-WEEKDAY(Table1[[#This Row],[Date]],2)+1)</f>
        <v>44494</v>
      </c>
      <c r="T272" s="140">
        <f>IF(ISBLANK(Table1[[#This Row],[Date]]),"",DATE(Table1[[#This Row],[Date_Year]],Table1[[#This Row],[Date_Month]],1))</f>
        <v>44470</v>
      </c>
    </row>
    <row r="273" spans="2:20" ht="15.75">
      <c r="B273" s="154">
        <v>44494</v>
      </c>
      <c r="C273" s="119" t="s">
        <v>678</v>
      </c>
      <c r="D273" s="119"/>
      <c r="E273" s="119"/>
      <c r="F273" s="155">
        <v>-75.260000000000005</v>
      </c>
      <c r="G273" s="133" t="str">
        <f>_xlfn.XLOOKUP(Table1[[#This Row],[Account_ID]], Accounts[ID], Accounts[Account nickname], "Unknown")</f>
        <v>WF</v>
      </c>
      <c r="H273" s="134" t="str">
        <f>_xlfn.XLOOKUP(Table1[[#This Row],[Account_ID]], Accounts[ID], Accounts[Account'#], "Unknown")</f>
        <v>4636</v>
      </c>
      <c r="I273" s="135" t="str">
        <f>_xlfn.XLOOKUP(_xlfn.XLOOKUP(Table1[[#This Row],[Account]],Accounts[Account nickname],Accounts[Institution ID]),Institutions[ID],Institutions[Institution nickname],"Unknown")</f>
        <v>Wells Fargo</v>
      </c>
      <c r="J273" s="136" t="s">
        <v>997</v>
      </c>
      <c r="K273" s="137" t="s">
        <v>808</v>
      </c>
      <c r="L273" s="137" t="s">
        <v>807</v>
      </c>
      <c r="M27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7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73" s="138" t="str" cm="1">
        <f t="array" ref="O273">IFERROR(INDEX(CategoriesTable[Category type],MATCH(Table1[[#This Row],[Category]],CategoriesTable[Category name],0),0),"")</f>
        <v/>
      </c>
      <c r="P273" s="138">
        <v>25</v>
      </c>
      <c r="Q273" s="138">
        <f>MONTH(Table1[[#This Row],[Date]])</f>
        <v>10</v>
      </c>
      <c r="R273" s="138">
        <v>2021</v>
      </c>
      <c r="S273" s="139">
        <f>IF(ISBLANK(Table1[[#This Row],[Date]]),"",Table1[[#This Row],[Date]]-WEEKDAY(Table1[[#This Row],[Date]],2)+1)</f>
        <v>44494</v>
      </c>
      <c r="T273" s="140">
        <f>IF(ISBLANK(Table1[[#This Row],[Date]]),"",DATE(Table1[[#This Row],[Date_Year]],Table1[[#This Row],[Date_Month]],1))</f>
        <v>44470</v>
      </c>
    </row>
    <row r="274" spans="2:20" ht="15.75">
      <c r="B274" s="154">
        <v>44494</v>
      </c>
      <c r="C274" s="119" t="s">
        <v>689</v>
      </c>
      <c r="D274" s="119"/>
      <c r="E274" s="119"/>
      <c r="F274" s="155">
        <v>-14.49</v>
      </c>
      <c r="G274" s="133" t="str">
        <f>_xlfn.XLOOKUP(Table1[[#This Row],[Account_ID]], Accounts[ID], Accounts[Account nickname], "Unknown")</f>
        <v>Discover</v>
      </c>
      <c r="H274" s="134" t="str">
        <f>_xlfn.XLOOKUP(Table1[[#This Row],[Account_ID]], Accounts[ID], Accounts[Account'#], "Unknown")</f>
        <v>4618</v>
      </c>
      <c r="I274" s="135" t="str">
        <f>_xlfn.XLOOKUP(_xlfn.XLOOKUP(Table1[[#This Row],[Account]],Accounts[Account nickname],Accounts[Institution ID]),Institutions[ID],Institutions[Institution nickname],"Unknown")</f>
        <v>Discover</v>
      </c>
      <c r="J274" s="136" t="s">
        <v>1562</v>
      </c>
      <c r="K274" s="137" t="s">
        <v>843</v>
      </c>
      <c r="L274" s="137" t="s">
        <v>841</v>
      </c>
      <c r="M27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7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74" s="138" t="str" cm="1">
        <f t="array" ref="O274">IFERROR(INDEX(CategoriesTable[Category type],MATCH(Table1[[#This Row],[Category]],CategoriesTable[Category name],0),0),"")</f>
        <v/>
      </c>
      <c r="P274" s="138">
        <v>25</v>
      </c>
      <c r="Q274" s="138">
        <f>MONTH(Table1[[#This Row],[Date]])</f>
        <v>10</v>
      </c>
      <c r="R274" s="138">
        <v>2021</v>
      </c>
      <c r="S274" s="139">
        <f>IF(ISBLANK(Table1[[#This Row],[Date]]),"",Table1[[#This Row],[Date]]-WEEKDAY(Table1[[#This Row],[Date]],2)+1)</f>
        <v>44494</v>
      </c>
      <c r="T274" s="140">
        <f>IF(ISBLANK(Table1[[#This Row],[Date]]),"",DATE(Table1[[#This Row],[Date_Year]],Table1[[#This Row],[Date_Month]],1))</f>
        <v>44470</v>
      </c>
    </row>
    <row r="275" spans="2:20" ht="15.75">
      <c r="B275" s="154">
        <v>44494</v>
      </c>
      <c r="C275" s="119" t="s">
        <v>1563</v>
      </c>
      <c r="D275" s="119"/>
      <c r="E275" s="119"/>
      <c r="F275" s="155">
        <v>-39.08</v>
      </c>
      <c r="G275" s="133" t="str">
        <f>_xlfn.XLOOKUP(Table1[[#This Row],[Account_ID]], Accounts[ID], Accounts[Account nickname], "Unknown")</f>
        <v>Discover</v>
      </c>
      <c r="H275" s="134" t="str">
        <f>_xlfn.XLOOKUP(Table1[[#This Row],[Account_ID]], Accounts[ID], Accounts[Account'#], "Unknown")</f>
        <v>4618</v>
      </c>
      <c r="I275" s="135" t="str">
        <f>_xlfn.XLOOKUP(_xlfn.XLOOKUP(Table1[[#This Row],[Account]],Accounts[Account nickname],Accounts[Institution ID]),Institutions[ID],Institutions[Institution nickname],"Unknown")</f>
        <v>Discover</v>
      </c>
      <c r="J275" s="136" t="s">
        <v>1564</v>
      </c>
      <c r="K275" s="137" t="s">
        <v>843</v>
      </c>
      <c r="L275" s="137" t="s">
        <v>841</v>
      </c>
      <c r="M27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7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75" s="138" t="str" cm="1">
        <f t="array" ref="O275">IFERROR(INDEX(CategoriesTable[Category type],MATCH(Table1[[#This Row],[Category]],CategoriesTable[Category name],0),0),"")</f>
        <v/>
      </c>
      <c r="P275" s="138">
        <v>25</v>
      </c>
      <c r="Q275" s="138">
        <f>MONTH(Table1[[#This Row],[Date]])</f>
        <v>10</v>
      </c>
      <c r="R275" s="138">
        <v>2021</v>
      </c>
      <c r="S275" s="139">
        <f>IF(ISBLANK(Table1[[#This Row],[Date]]),"",Table1[[#This Row],[Date]]-WEEKDAY(Table1[[#This Row],[Date]],2)+1)</f>
        <v>44494</v>
      </c>
      <c r="T275" s="140">
        <f>IF(ISBLANK(Table1[[#This Row],[Date]]),"",DATE(Table1[[#This Row],[Date_Year]],Table1[[#This Row],[Date_Month]],1))</f>
        <v>44470</v>
      </c>
    </row>
    <row r="276" spans="2:20" ht="15.75">
      <c r="B276" s="154">
        <v>44494</v>
      </c>
      <c r="C276" s="119" t="s">
        <v>1560</v>
      </c>
      <c r="D276" s="119"/>
      <c r="E276" s="119"/>
      <c r="F276" s="155">
        <v>-16.149999999999999</v>
      </c>
      <c r="G276" s="133" t="str">
        <f>_xlfn.XLOOKUP(Table1[[#This Row],[Account_ID]], Accounts[ID], Accounts[Account nickname], "Unknown")</f>
        <v>Discover</v>
      </c>
      <c r="H276" s="134" t="str">
        <f>_xlfn.XLOOKUP(Table1[[#This Row],[Account_ID]], Accounts[ID], Accounts[Account'#], "Unknown")</f>
        <v>4618</v>
      </c>
      <c r="I276" s="135" t="str">
        <f>_xlfn.XLOOKUP(_xlfn.XLOOKUP(Table1[[#This Row],[Account]],Accounts[Account nickname],Accounts[Institution ID]),Institutions[ID],Institutions[Institution nickname],"Unknown")</f>
        <v>Discover</v>
      </c>
      <c r="J276" s="136" t="s">
        <v>1561</v>
      </c>
      <c r="K276" s="137" t="s">
        <v>843</v>
      </c>
      <c r="L276" s="137" t="s">
        <v>841</v>
      </c>
      <c r="M27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7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76" s="138" t="str" cm="1">
        <f t="array" ref="O276">IFERROR(INDEX(CategoriesTable[Category type],MATCH(Table1[[#This Row],[Category]],CategoriesTable[Category name],0),0),"")</f>
        <v/>
      </c>
      <c r="P276" s="138">
        <v>25</v>
      </c>
      <c r="Q276" s="138">
        <f>MONTH(Table1[[#This Row],[Date]])</f>
        <v>10</v>
      </c>
      <c r="R276" s="138">
        <v>2021</v>
      </c>
      <c r="S276" s="139">
        <f>IF(ISBLANK(Table1[[#This Row],[Date]]),"",Table1[[#This Row],[Date]]-WEEKDAY(Table1[[#This Row],[Date]],2)+1)</f>
        <v>44494</v>
      </c>
      <c r="T276" s="140">
        <f>IF(ISBLANK(Table1[[#This Row],[Date]]),"",DATE(Table1[[#This Row],[Date_Year]],Table1[[#This Row],[Date_Month]],1))</f>
        <v>44470</v>
      </c>
    </row>
    <row r="277" spans="2:20" ht="15.75">
      <c r="B277" s="154">
        <v>44492</v>
      </c>
      <c r="C277" s="119" t="s">
        <v>910</v>
      </c>
      <c r="D277" s="119"/>
      <c r="E277" s="119"/>
      <c r="F277" s="155">
        <v>-105.99</v>
      </c>
      <c r="G277" s="133" t="str">
        <f>_xlfn.XLOOKUP(Table1[[#This Row],[Account_ID]], Accounts[ID], Accounts[Account nickname], "Unknown")</f>
        <v>Discover</v>
      </c>
      <c r="H277" s="134" t="str">
        <f>_xlfn.XLOOKUP(Table1[[#This Row],[Account_ID]], Accounts[ID], Accounts[Account'#], "Unknown")</f>
        <v>4618</v>
      </c>
      <c r="I277" s="135" t="str">
        <f>_xlfn.XLOOKUP(_xlfn.XLOOKUP(Table1[[#This Row],[Account]],Accounts[Account nickname],Accounts[Institution ID]),Institutions[ID],Institutions[Institution nickname],"Unknown")</f>
        <v>Discover</v>
      </c>
      <c r="J277" s="136" t="s">
        <v>1565</v>
      </c>
      <c r="K277" s="137" t="s">
        <v>843</v>
      </c>
      <c r="L277" s="137" t="s">
        <v>841</v>
      </c>
      <c r="M27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7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77" s="138" t="str" cm="1">
        <f t="array" ref="O277">IFERROR(INDEX(CategoriesTable[Category type],MATCH(Table1[[#This Row],[Category]],CategoriesTable[Category name],0),0),"")</f>
        <v/>
      </c>
      <c r="P277" s="138">
        <v>23</v>
      </c>
      <c r="Q277" s="138">
        <f>MONTH(Table1[[#This Row],[Date]])</f>
        <v>10</v>
      </c>
      <c r="R277" s="138">
        <v>2021</v>
      </c>
      <c r="S277" s="139">
        <f>IF(ISBLANK(Table1[[#This Row],[Date]]),"",Table1[[#This Row],[Date]]-WEEKDAY(Table1[[#This Row],[Date]],2)+1)</f>
        <v>44487</v>
      </c>
      <c r="T277" s="140">
        <f>IF(ISBLANK(Table1[[#This Row],[Date]]),"",DATE(Table1[[#This Row],[Date_Year]],Table1[[#This Row],[Date_Month]],1))</f>
        <v>44470</v>
      </c>
    </row>
    <row r="278" spans="2:20" ht="15.75">
      <c r="B278" s="154">
        <v>44492</v>
      </c>
      <c r="C278" s="119" t="s">
        <v>717</v>
      </c>
      <c r="D278" s="119"/>
      <c r="E278" s="119"/>
      <c r="F278" s="155">
        <v>-17.54</v>
      </c>
      <c r="G278" s="133" t="str">
        <f>_xlfn.XLOOKUP(Table1[[#This Row],[Account_ID]], Accounts[ID], Accounts[Account nickname], "Unknown")</f>
        <v>Discover</v>
      </c>
      <c r="H278" s="134" t="str">
        <f>_xlfn.XLOOKUP(Table1[[#This Row],[Account_ID]], Accounts[ID], Accounts[Account'#], "Unknown")</f>
        <v>4618</v>
      </c>
      <c r="I278" s="135" t="str">
        <f>_xlfn.XLOOKUP(_xlfn.XLOOKUP(Table1[[#This Row],[Account]],Accounts[Account nickname],Accounts[Institution ID]),Institutions[ID],Institutions[Institution nickname],"Unknown")</f>
        <v>Discover</v>
      </c>
      <c r="J278" s="136" t="s">
        <v>1568</v>
      </c>
      <c r="K278" s="137" t="s">
        <v>843</v>
      </c>
      <c r="L278" s="137" t="s">
        <v>841</v>
      </c>
      <c r="M27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7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78" s="138" t="str" cm="1">
        <f t="array" ref="O278">IFERROR(INDEX(CategoriesTable[Category type],MATCH(Table1[[#This Row],[Category]],CategoriesTable[Category name],0),0),"")</f>
        <v/>
      </c>
      <c r="P278" s="138">
        <v>23</v>
      </c>
      <c r="Q278" s="138">
        <f>MONTH(Table1[[#This Row],[Date]])</f>
        <v>10</v>
      </c>
      <c r="R278" s="138">
        <v>2021</v>
      </c>
      <c r="S278" s="139">
        <f>IF(ISBLANK(Table1[[#This Row],[Date]]),"",Table1[[#This Row],[Date]]-WEEKDAY(Table1[[#This Row],[Date]],2)+1)</f>
        <v>44487</v>
      </c>
      <c r="T278" s="140">
        <f>IF(ISBLANK(Table1[[#This Row],[Date]]),"",DATE(Table1[[#This Row],[Date_Year]],Table1[[#This Row],[Date_Month]],1))</f>
        <v>44470</v>
      </c>
    </row>
    <row r="279" spans="2:20" ht="15.75">
      <c r="B279" s="154">
        <v>44492</v>
      </c>
      <c r="C279" s="119" t="s">
        <v>1566</v>
      </c>
      <c r="D279" s="119"/>
      <c r="E279" s="119"/>
      <c r="F279" s="155">
        <v>-40</v>
      </c>
      <c r="G279" s="133" t="str">
        <f>_xlfn.XLOOKUP(Table1[[#This Row],[Account_ID]], Accounts[ID], Accounts[Account nickname], "Unknown")</f>
        <v>Discover</v>
      </c>
      <c r="H279" s="134" t="str">
        <f>_xlfn.XLOOKUP(Table1[[#This Row],[Account_ID]], Accounts[ID], Accounts[Account'#], "Unknown")</f>
        <v>4618</v>
      </c>
      <c r="I279" s="135" t="str">
        <f>_xlfn.XLOOKUP(_xlfn.XLOOKUP(Table1[[#This Row],[Account]],Accounts[Account nickname],Accounts[Institution ID]),Institutions[ID],Institutions[Institution nickname],"Unknown")</f>
        <v>Discover</v>
      </c>
      <c r="J279" s="136" t="s">
        <v>1567</v>
      </c>
      <c r="K279" s="137" t="s">
        <v>843</v>
      </c>
      <c r="L279" s="137" t="s">
        <v>841</v>
      </c>
      <c r="M27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7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79" s="138" t="str" cm="1">
        <f t="array" ref="O279">IFERROR(INDEX(CategoriesTable[Category type],MATCH(Table1[[#This Row],[Category]],CategoriesTable[Category name],0),0),"")</f>
        <v/>
      </c>
      <c r="P279" s="138">
        <v>23</v>
      </c>
      <c r="Q279" s="138">
        <f>MONTH(Table1[[#This Row],[Date]])</f>
        <v>10</v>
      </c>
      <c r="R279" s="138">
        <v>2021</v>
      </c>
      <c r="S279" s="139">
        <f>IF(ISBLANK(Table1[[#This Row],[Date]]),"",Table1[[#This Row],[Date]]-WEEKDAY(Table1[[#This Row],[Date]],2)+1)</f>
        <v>44487</v>
      </c>
      <c r="T279" s="140">
        <f>IF(ISBLANK(Table1[[#This Row],[Date]]),"",DATE(Table1[[#This Row],[Date_Year]],Table1[[#This Row],[Date_Month]],1))</f>
        <v>44470</v>
      </c>
    </row>
    <row r="280" spans="2:20" ht="15.75">
      <c r="B280" s="154">
        <v>44491</v>
      </c>
      <c r="C280" s="119" t="s">
        <v>1540</v>
      </c>
      <c r="D280" s="119"/>
      <c r="E280" s="119"/>
      <c r="F280" s="155">
        <v>-103</v>
      </c>
      <c r="G280" s="133" t="str">
        <f>_xlfn.XLOOKUP(Table1[[#This Row],[Account_ID]], Accounts[ID], Accounts[Account nickname], "Unknown")</f>
        <v>Discover</v>
      </c>
      <c r="H280" s="134" t="str">
        <f>_xlfn.XLOOKUP(Table1[[#This Row],[Account_ID]], Accounts[ID], Accounts[Account'#], "Unknown")</f>
        <v>4618</v>
      </c>
      <c r="I280" s="135" t="str">
        <f>_xlfn.XLOOKUP(_xlfn.XLOOKUP(Table1[[#This Row],[Account]],Accounts[Account nickname],Accounts[Institution ID]),Institutions[ID],Institutions[Institution nickname],"Unknown")</f>
        <v>Discover</v>
      </c>
      <c r="J280" s="136" t="s">
        <v>1569</v>
      </c>
      <c r="K280" s="137" t="s">
        <v>843</v>
      </c>
      <c r="L280" s="137" t="s">
        <v>841</v>
      </c>
      <c r="M28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8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80" s="138" t="str" cm="1">
        <f t="array" ref="O280">IFERROR(INDEX(CategoriesTable[Category type],MATCH(Table1[[#This Row],[Category]],CategoriesTable[Category name],0),0),"")</f>
        <v/>
      </c>
      <c r="P280" s="138">
        <v>22</v>
      </c>
      <c r="Q280" s="138">
        <f>MONTH(Table1[[#This Row],[Date]])</f>
        <v>10</v>
      </c>
      <c r="R280" s="138">
        <v>2021</v>
      </c>
      <c r="S280" s="139">
        <f>IF(ISBLANK(Table1[[#This Row],[Date]]),"",Table1[[#This Row],[Date]]-WEEKDAY(Table1[[#This Row],[Date]],2)+1)</f>
        <v>44487</v>
      </c>
      <c r="T280" s="140">
        <f>IF(ISBLANK(Table1[[#This Row],[Date]]),"",DATE(Table1[[#This Row],[Date_Year]],Table1[[#This Row],[Date_Month]],1))</f>
        <v>44470</v>
      </c>
    </row>
    <row r="281" spans="2:20" ht="15.75">
      <c r="B281" s="154">
        <v>44491</v>
      </c>
      <c r="C281" s="119" t="s">
        <v>857</v>
      </c>
      <c r="D281" s="119"/>
      <c r="E281" s="119"/>
      <c r="F281" s="155">
        <v>-12.57</v>
      </c>
      <c r="G281" s="133" t="str">
        <f>_xlfn.XLOOKUP(Table1[[#This Row],[Account_ID]], Accounts[ID], Accounts[Account nickname], "Unknown")</f>
        <v>Discover</v>
      </c>
      <c r="H281" s="134" t="str">
        <f>_xlfn.XLOOKUP(Table1[[#This Row],[Account_ID]], Accounts[ID], Accounts[Account'#], "Unknown")</f>
        <v>4618</v>
      </c>
      <c r="I281" s="135" t="str">
        <f>_xlfn.XLOOKUP(_xlfn.XLOOKUP(Table1[[#This Row],[Account]],Accounts[Account nickname],Accounts[Institution ID]),Institutions[ID],Institutions[Institution nickname],"Unknown")</f>
        <v>Discover</v>
      </c>
      <c r="J281" s="152" t="s">
        <v>1570</v>
      </c>
      <c r="K281" s="137" t="s">
        <v>843</v>
      </c>
      <c r="L281" s="137" t="s">
        <v>841</v>
      </c>
      <c r="M28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8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81" s="138" t="str" cm="1">
        <f t="array" ref="O281">IFERROR(INDEX(CategoriesTable[Category type],MATCH(Table1[[#This Row],[Category]],CategoriesTable[Category name],0),0),"")</f>
        <v/>
      </c>
      <c r="P281" s="138">
        <v>22</v>
      </c>
      <c r="Q281" s="138">
        <f>MONTH(Table1[[#This Row],[Date]])</f>
        <v>10</v>
      </c>
      <c r="R281" s="138">
        <v>2021</v>
      </c>
      <c r="S281" s="139">
        <f>IF(ISBLANK(Table1[[#This Row],[Date]]),"",Table1[[#This Row],[Date]]-WEEKDAY(Table1[[#This Row],[Date]],2)+1)</f>
        <v>44487</v>
      </c>
      <c r="T281" s="140">
        <f>IF(ISBLANK(Table1[[#This Row],[Date]]),"",DATE(Table1[[#This Row],[Date_Year]],Table1[[#This Row],[Date_Month]],1))</f>
        <v>44470</v>
      </c>
    </row>
    <row r="282" spans="2:20" ht="15.75">
      <c r="B282" s="154">
        <v>44490</v>
      </c>
      <c r="C282" s="119" t="s">
        <v>677</v>
      </c>
      <c r="D282" s="119"/>
      <c r="E282" s="119"/>
      <c r="F282" s="155">
        <v>1900.88</v>
      </c>
      <c r="G282" s="133" t="str">
        <f>_xlfn.XLOOKUP(Table1[[#This Row],[Account_ID]], Accounts[ID], Accounts[Account nickname], "Unknown")</f>
        <v>WF</v>
      </c>
      <c r="H282" s="134" t="str">
        <f>_xlfn.XLOOKUP(Table1[[#This Row],[Account_ID]], Accounts[ID], Accounts[Account'#], "Unknown")</f>
        <v>4636</v>
      </c>
      <c r="I282" s="135" t="str">
        <f>_xlfn.XLOOKUP(_xlfn.XLOOKUP(Table1[[#This Row],[Account]],Accounts[Account nickname],Accounts[Institution ID]),Institutions[ID],Institutions[Institution nickname],"Unknown")</f>
        <v>Wells Fargo</v>
      </c>
      <c r="J282" s="136" t="s">
        <v>998</v>
      </c>
      <c r="K282" s="137" t="s">
        <v>808</v>
      </c>
      <c r="L282" s="137" t="s">
        <v>807</v>
      </c>
      <c r="M28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8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82" s="138" t="str" cm="1">
        <f t="array" ref="O282">IFERROR(INDEX(CategoriesTable[Category type],MATCH(Table1[[#This Row],[Category]],CategoriesTable[Category name],0),0),"")</f>
        <v/>
      </c>
      <c r="P282" s="138">
        <v>21</v>
      </c>
      <c r="Q282" s="138">
        <f>MONTH(Table1[[#This Row],[Date]])</f>
        <v>10</v>
      </c>
      <c r="R282" s="138">
        <v>2021</v>
      </c>
      <c r="S282" s="139">
        <f>IF(ISBLANK(Table1[[#This Row],[Date]]),"",Table1[[#This Row],[Date]]-WEEKDAY(Table1[[#This Row],[Date]],2)+1)</f>
        <v>44487</v>
      </c>
      <c r="T282" s="140">
        <f>IF(ISBLANK(Table1[[#This Row],[Date]]),"",DATE(Table1[[#This Row],[Date_Year]],Table1[[#This Row],[Date_Month]],1))</f>
        <v>44470</v>
      </c>
    </row>
    <row r="283" spans="2:20" ht="15.75">
      <c r="B283" s="154">
        <v>44490</v>
      </c>
      <c r="C283" s="119" t="s">
        <v>860</v>
      </c>
      <c r="D283" s="119"/>
      <c r="E283" s="119"/>
      <c r="F283" s="155">
        <v>-26.65</v>
      </c>
      <c r="G283" s="133" t="str">
        <f>_xlfn.XLOOKUP(Table1[[#This Row],[Account_ID]], Accounts[ID], Accounts[Account nickname], "Unknown")</f>
        <v>Discover</v>
      </c>
      <c r="H283" s="134" t="str">
        <f>_xlfn.XLOOKUP(Table1[[#This Row],[Account_ID]], Accounts[ID], Accounts[Account'#], "Unknown")</f>
        <v>4618</v>
      </c>
      <c r="I283" s="135" t="str">
        <f>_xlfn.XLOOKUP(_xlfn.XLOOKUP(Table1[[#This Row],[Account]],Accounts[Account nickname],Accounts[Institution ID]),Institutions[ID],Institutions[Institution nickname],"Unknown")</f>
        <v>Discover</v>
      </c>
      <c r="J283" s="136" t="s">
        <v>1571</v>
      </c>
      <c r="K283" s="137" t="s">
        <v>843</v>
      </c>
      <c r="L283" s="137" t="s">
        <v>841</v>
      </c>
      <c r="M28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8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83" s="138" t="str" cm="1">
        <f t="array" ref="O283">IFERROR(INDEX(CategoriesTable[Category type],MATCH(Table1[[#This Row],[Category]],CategoriesTable[Category name],0),0),"")</f>
        <v/>
      </c>
      <c r="P283" s="138">
        <v>21</v>
      </c>
      <c r="Q283" s="138">
        <f>MONTH(Table1[[#This Row],[Date]])</f>
        <v>10</v>
      </c>
      <c r="R283" s="138">
        <v>2021</v>
      </c>
      <c r="S283" s="139">
        <f>IF(ISBLANK(Table1[[#This Row],[Date]]),"",Table1[[#This Row],[Date]]-WEEKDAY(Table1[[#This Row],[Date]],2)+1)</f>
        <v>44487</v>
      </c>
      <c r="T283" s="140">
        <f>IF(ISBLANK(Table1[[#This Row],[Date]]),"",DATE(Table1[[#This Row],[Date_Year]],Table1[[#This Row],[Date_Month]],1))</f>
        <v>44470</v>
      </c>
    </row>
    <row r="284" spans="2:20" ht="15.75">
      <c r="B284" s="154">
        <v>44490</v>
      </c>
      <c r="C284" s="119" t="s">
        <v>678</v>
      </c>
      <c r="D284" s="119"/>
      <c r="E284" s="119"/>
      <c r="F284" s="155">
        <v>-1682.31</v>
      </c>
      <c r="G284" s="133" t="str">
        <f>_xlfn.XLOOKUP(Table1[[#This Row],[Account_ID]], Accounts[ID], Accounts[Account nickname], "Unknown")</f>
        <v>WF</v>
      </c>
      <c r="H284" s="134" t="str">
        <f>_xlfn.XLOOKUP(Table1[[#This Row],[Account_ID]], Accounts[ID], Accounts[Account'#], "Unknown")</f>
        <v>4636</v>
      </c>
      <c r="I284" s="135" t="str">
        <f>_xlfn.XLOOKUP(_xlfn.XLOOKUP(Table1[[#This Row],[Account]],Accounts[Account nickname],Accounts[Institution ID]),Institutions[ID],Institutions[Institution nickname],"Unknown")</f>
        <v>Wells Fargo</v>
      </c>
      <c r="J284" s="136" t="s">
        <v>999</v>
      </c>
      <c r="K284" s="137" t="s">
        <v>808</v>
      </c>
      <c r="L284" s="137" t="s">
        <v>807</v>
      </c>
      <c r="M28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8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84" s="138" t="str" cm="1">
        <f t="array" ref="O284">IFERROR(INDEX(CategoriesTable[Category type],MATCH(Table1[[#This Row],[Category]],CategoriesTable[Category name],0),0),"")</f>
        <v/>
      </c>
      <c r="P284" s="138">
        <v>21</v>
      </c>
      <c r="Q284" s="138">
        <f>MONTH(Table1[[#This Row],[Date]])</f>
        <v>10</v>
      </c>
      <c r="R284" s="138">
        <v>2021</v>
      </c>
      <c r="S284" s="139">
        <f>IF(ISBLANK(Table1[[#This Row],[Date]]),"",Table1[[#This Row],[Date]]-WEEKDAY(Table1[[#This Row],[Date]],2)+1)</f>
        <v>44487</v>
      </c>
      <c r="T284" s="140">
        <f>IF(ISBLANK(Table1[[#This Row],[Date]]),"",DATE(Table1[[#This Row],[Date_Year]],Table1[[#This Row],[Date_Month]],1))</f>
        <v>44470</v>
      </c>
    </row>
    <row r="285" spans="2:20" ht="15.75">
      <c r="B285" s="154">
        <v>44490</v>
      </c>
      <c r="C285" s="119" t="s">
        <v>1436</v>
      </c>
      <c r="D285" s="119"/>
      <c r="E285" s="119"/>
      <c r="F285" s="155">
        <v>-7.99</v>
      </c>
      <c r="G285" s="133" t="str">
        <f>_xlfn.XLOOKUP(Table1[[#This Row],[Account_ID]], Accounts[ID], Accounts[Account nickname], "Unknown")</f>
        <v>Discover</v>
      </c>
      <c r="H285" s="134" t="str">
        <f>_xlfn.XLOOKUP(Table1[[#This Row],[Account_ID]], Accounts[ID], Accounts[Account'#], "Unknown")</f>
        <v>4618</v>
      </c>
      <c r="I285" s="135" t="str">
        <f>_xlfn.XLOOKUP(_xlfn.XLOOKUP(Table1[[#This Row],[Account]],Accounts[Account nickname],Accounts[Institution ID]),Institutions[ID],Institutions[Institution nickname],"Unknown")</f>
        <v>Discover</v>
      </c>
      <c r="J285" s="136" t="s">
        <v>1573</v>
      </c>
      <c r="K285" s="137" t="s">
        <v>843</v>
      </c>
      <c r="L285" s="137" t="s">
        <v>841</v>
      </c>
      <c r="M28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8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85" s="138" t="str" cm="1">
        <f t="array" ref="O285">IFERROR(INDEX(CategoriesTable[Category type],MATCH(Table1[[#This Row],[Category]],CategoriesTable[Category name],0),0),"")</f>
        <v/>
      </c>
      <c r="P285" s="138">
        <v>21</v>
      </c>
      <c r="Q285" s="138">
        <f>MONTH(Table1[[#This Row],[Date]])</f>
        <v>10</v>
      </c>
      <c r="R285" s="138">
        <v>2021</v>
      </c>
      <c r="S285" s="139">
        <f>IF(ISBLANK(Table1[[#This Row],[Date]]),"",Table1[[#This Row],[Date]]-WEEKDAY(Table1[[#This Row],[Date]],2)+1)</f>
        <v>44487</v>
      </c>
      <c r="T285" s="140">
        <f>IF(ISBLANK(Table1[[#This Row],[Date]]),"",DATE(Table1[[#This Row],[Date_Year]],Table1[[#This Row],[Date_Month]],1))</f>
        <v>44470</v>
      </c>
    </row>
    <row r="286" spans="2:20" ht="15.75">
      <c r="B286" s="154">
        <v>44490</v>
      </c>
      <c r="C286" s="119" t="s">
        <v>694</v>
      </c>
      <c r="D286" s="119"/>
      <c r="E286" s="119"/>
      <c r="F286" s="155">
        <v>-10.72</v>
      </c>
      <c r="G286" s="133" t="str">
        <f>_xlfn.XLOOKUP(Table1[[#This Row],[Account_ID]], Accounts[ID], Accounts[Account nickname], "Unknown")</f>
        <v>Discover</v>
      </c>
      <c r="H286" s="134" t="str">
        <f>_xlfn.XLOOKUP(Table1[[#This Row],[Account_ID]], Accounts[ID], Accounts[Account'#], "Unknown")</f>
        <v>4618</v>
      </c>
      <c r="I286" s="135" t="str">
        <f>_xlfn.XLOOKUP(_xlfn.XLOOKUP(Table1[[#This Row],[Account]],Accounts[Account nickname],Accounts[Institution ID]),Institutions[ID],Institutions[Institution nickname],"Unknown")</f>
        <v>Discover</v>
      </c>
      <c r="J286" s="152" t="s">
        <v>1572</v>
      </c>
      <c r="K286" s="137" t="s">
        <v>843</v>
      </c>
      <c r="L286" s="137" t="s">
        <v>841</v>
      </c>
      <c r="M28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8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86" s="138" t="str" cm="1">
        <f t="array" ref="O286">IFERROR(INDEX(CategoriesTable[Category type],MATCH(Table1[[#This Row],[Category]],CategoriesTable[Category name],0),0),"")</f>
        <v/>
      </c>
      <c r="P286" s="138">
        <v>21</v>
      </c>
      <c r="Q286" s="138">
        <f>MONTH(Table1[[#This Row],[Date]])</f>
        <v>10</v>
      </c>
      <c r="R286" s="138">
        <v>2021</v>
      </c>
      <c r="S286" s="139">
        <f>IF(ISBLANK(Table1[[#This Row],[Date]]),"",Table1[[#This Row],[Date]]-WEEKDAY(Table1[[#This Row],[Date]],2)+1)</f>
        <v>44487</v>
      </c>
      <c r="T286" s="140">
        <f>IF(ISBLANK(Table1[[#This Row],[Date]]),"",DATE(Table1[[#This Row],[Date_Year]],Table1[[#This Row],[Date_Month]],1))</f>
        <v>44470</v>
      </c>
    </row>
    <row r="287" spans="2:20" ht="15.75">
      <c r="B287" s="154">
        <v>44489</v>
      </c>
      <c r="C287" s="119" t="s">
        <v>722</v>
      </c>
      <c r="D287" s="119"/>
      <c r="E287" s="119"/>
      <c r="F287" s="155">
        <v>377.98</v>
      </c>
      <c r="G287" s="133" t="str">
        <f>_xlfn.XLOOKUP(Table1[[#This Row],[Account_ID]], Accounts[ID], Accounts[Account nickname], "Unknown")</f>
        <v>WF</v>
      </c>
      <c r="H287" s="134" t="str">
        <f>_xlfn.XLOOKUP(Table1[[#This Row],[Account_ID]], Accounts[ID], Accounts[Account'#], "Unknown")</f>
        <v>4636</v>
      </c>
      <c r="I287" s="135" t="str">
        <f>_xlfn.XLOOKUP(_xlfn.XLOOKUP(Table1[[#This Row],[Account]],Accounts[Account nickname],Accounts[Institution ID]),Institutions[ID],Institutions[Institution nickname],"Unknown")</f>
        <v>Wells Fargo</v>
      </c>
      <c r="J287" s="136" t="s">
        <v>1001</v>
      </c>
      <c r="K287" s="137" t="s">
        <v>808</v>
      </c>
      <c r="L287" s="137" t="s">
        <v>807</v>
      </c>
      <c r="M28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8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87" s="138" t="str" cm="1">
        <f t="array" ref="O287">IFERROR(INDEX(CategoriesTable[Category type],MATCH(Table1[[#This Row],[Category]],CategoriesTable[Category name],0),0),"")</f>
        <v/>
      </c>
      <c r="P287" s="138">
        <v>20</v>
      </c>
      <c r="Q287" s="138">
        <f>MONTH(Table1[[#This Row],[Date]])</f>
        <v>10</v>
      </c>
      <c r="R287" s="138">
        <v>2021</v>
      </c>
      <c r="S287" s="139">
        <f>IF(ISBLANK(Table1[[#This Row],[Date]]),"",Table1[[#This Row],[Date]]-WEEKDAY(Table1[[#This Row],[Date]],2)+1)</f>
        <v>44487</v>
      </c>
      <c r="T287" s="140">
        <f>IF(ISBLANK(Table1[[#This Row],[Date]]),"",DATE(Table1[[#This Row],[Date_Year]],Table1[[#This Row],[Date_Month]],1))</f>
        <v>44470</v>
      </c>
    </row>
    <row r="288" spans="2:20" ht="15.75">
      <c r="B288" s="154">
        <v>44489</v>
      </c>
      <c r="C288" s="119" t="s">
        <v>1472</v>
      </c>
      <c r="D288" s="119"/>
      <c r="E288" s="119"/>
      <c r="F288" s="155">
        <v>-10.45</v>
      </c>
      <c r="G288" s="133" t="str">
        <f>_xlfn.XLOOKUP(Table1[[#This Row],[Account_ID]], Accounts[ID], Accounts[Account nickname], "Unknown")</f>
        <v>Discover</v>
      </c>
      <c r="H288" s="134" t="str">
        <f>_xlfn.XLOOKUP(Table1[[#This Row],[Account_ID]], Accounts[ID], Accounts[Account'#], "Unknown")</f>
        <v>4618</v>
      </c>
      <c r="I288" s="135" t="str">
        <f>_xlfn.XLOOKUP(_xlfn.XLOOKUP(Table1[[#This Row],[Account]],Accounts[Account nickname],Accounts[Institution ID]),Institutions[ID],Institutions[Institution nickname],"Unknown")</f>
        <v>Discover</v>
      </c>
      <c r="J288" s="136" t="s">
        <v>1574</v>
      </c>
      <c r="K288" s="137" t="s">
        <v>843</v>
      </c>
      <c r="L288" s="137" t="s">
        <v>841</v>
      </c>
      <c r="M28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8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88" s="138" t="str" cm="1">
        <f t="array" ref="O288">IFERROR(INDEX(CategoriesTable[Category type],MATCH(Table1[[#This Row],[Category]],CategoriesTable[Category name],0),0),"")</f>
        <v/>
      </c>
      <c r="P288" s="138">
        <v>20</v>
      </c>
      <c r="Q288" s="138">
        <f>MONTH(Table1[[#This Row],[Date]])</f>
        <v>10</v>
      </c>
      <c r="R288" s="138">
        <v>2021</v>
      </c>
      <c r="S288" s="139">
        <f>IF(ISBLANK(Table1[[#This Row],[Date]]),"",Table1[[#This Row],[Date]]-WEEKDAY(Table1[[#This Row],[Date]],2)+1)</f>
        <v>44487</v>
      </c>
      <c r="T288" s="140">
        <f>IF(ISBLANK(Table1[[#This Row],[Date]]),"",DATE(Table1[[#This Row],[Date_Year]],Table1[[#This Row],[Date_Month]],1))</f>
        <v>44470</v>
      </c>
    </row>
    <row r="289" spans="2:20" ht="15.75">
      <c r="B289" s="154">
        <v>44489</v>
      </c>
      <c r="C289" s="119" t="s">
        <v>1385</v>
      </c>
      <c r="D289" s="119" t="s">
        <v>113</v>
      </c>
      <c r="E289" s="119"/>
      <c r="F289" s="155">
        <v>0</v>
      </c>
      <c r="G289" s="133" t="str">
        <f>_xlfn.XLOOKUP(Table1[[#This Row],[Account_ID]], Accounts[ID], Accounts[Account nickname], "Unknown")</f>
        <v>BB</v>
      </c>
      <c r="H289" s="134" t="str">
        <f>_xlfn.XLOOKUP(Table1[[#This Row],[Account_ID]], Accounts[ID], Accounts[Account'#], "Unknown")</f>
        <v>4561</v>
      </c>
      <c r="I289" s="135" t="str">
        <f>_xlfn.XLOOKUP(_xlfn.XLOOKUP(Table1[[#This Row],[Account]],Accounts[Account nickname],Accounts[Institution ID]),Institutions[ID],Institutions[Institution nickname],"Unknown")</f>
        <v>Best Buy - Citi Card</v>
      </c>
      <c r="J289" s="136" t="s">
        <v>1577</v>
      </c>
      <c r="K289" s="137" t="s">
        <v>1375</v>
      </c>
      <c r="L289" s="137" t="s">
        <v>1372</v>
      </c>
      <c r="M28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de9b1d2511bc45a9bb2d484aa9e33b31</v>
      </c>
      <c r="N28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89" s="138" t="str" cm="1">
        <f t="array" ref="O289">IFERROR(INDEX(CategoriesTable[Category type],MATCH(Table1[[#This Row],[Category]],CategoriesTable[Category name],0),0),"")</f>
        <v>Expense</v>
      </c>
      <c r="P289" s="138">
        <v>20</v>
      </c>
      <c r="Q289" s="138">
        <f>MONTH(Table1[[#This Row],[Date]])</f>
        <v>10</v>
      </c>
      <c r="R289" s="138">
        <v>2021</v>
      </c>
      <c r="S289" s="139">
        <f>IF(ISBLANK(Table1[[#This Row],[Date]]),"",Table1[[#This Row],[Date]]-WEEKDAY(Table1[[#This Row],[Date]],2)+1)</f>
        <v>44487</v>
      </c>
      <c r="T289" s="140">
        <f>IF(ISBLANK(Table1[[#This Row],[Date]]),"",DATE(Table1[[#This Row],[Date_Year]],Table1[[#This Row],[Date_Month]],1))</f>
        <v>44470</v>
      </c>
    </row>
    <row r="290" spans="2:20" ht="15.75">
      <c r="B290" s="154">
        <v>44489</v>
      </c>
      <c r="C290" s="119" t="s">
        <v>722</v>
      </c>
      <c r="D290" s="119"/>
      <c r="E290" s="119"/>
      <c r="F290" s="155">
        <v>812.12</v>
      </c>
      <c r="G290" s="133" t="str">
        <f>_xlfn.XLOOKUP(Table1[[#This Row],[Account_ID]], Accounts[ID], Accounts[Account nickname], "Unknown")</f>
        <v>WF</v>
      </c>
      <c r="H290" s="134" t="str">
        <f>_xlfn.XLOOKUP(Table1[[#This Row],[Account_ID]], Accounts[ID], Accounts[Account'#], "Unknown")</f>
        <v>4636</v>
      </c>
      <c r="I290" s="135" t="str">
        <f>_xlfn.XLOOKUP(_xlfn.XLOOKUP(Table1[[#This Row],[Account]],Accounts[Account nickname],Accounts[Institution ID]),Institutions[ID],Institutions[Institution nickname],"Unknown")</f>
        <v>Wells Fargo</v>
      </c>
      <c r="J290" s="136" t="s">
        <v>1000</v>
      </c>
      <c r="K290" s="137" t="s">
        <v>808</v>
      </c>
      <c r="L290" s="137" t="s">
        <v>807</v>
      </c>
      <c r="M29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9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90" s="138" t="str" cm="1">
        <f t="array" ref="O290">IFERROR(INDEX(CategoriesTable[Category type],MATCH(Table1[[#This Row],[Category]],CategoriesTable[Category name],0),0),"")</f>
        <v/>
      </c>
      <c r="P290" s="138">
        <v>20</v>
      </c>
      <c r="Q290" s="138">
        <f>MONTH(Table1[[#This Row],[Date]])</f>
        <v>10</v>
      </c>
      <c r="R290" s="138">
        <v>2021</v>
      </c>
      <c r="S290" s="139">
        <f>IF(ISBLANK(Table1[[#This Row],[Date]]),"",Table1[[#This Row],[Date]]-WEEKDAY(Table1[[#This Row],[Date]],2)+1)</f>
        <v>44487</v>
      </c>
      <c r="T290" s="140">
        <f>IF(ISBLANK(Table1[[#This Row],[Date]]),"",DATE(Table1[[#This Row],[Date_Year]],Table1[[#This Row],[Date_Month]],1))</f>
        <v>44470</v>
      </c>
    </row>
    <row r="291" spans="2:20" ht="15.75">
      <c r="B291" s="154">
        <v>44489</v>
      </c>
      <c r="C291" s="119" t="s">
        <v>1383</v>
      </c>
      <c r="D291" s="119" t="s">
        <v>113</v>
      </c>
      <c r="E291" s="119"/>
      <c r="F291" s="155">
        <v>0</v>
      </c>
      <c r="G291" s="133" t="str">
        <f>_xlfn.XLOOKUP(Table1[[#This Row],[Account_ID]], Accounts[ID], Accounts[Account nickname], "Unknown")</f>
        <v>BB</v>
      </c>
      <c r="H291" s="134" t="str">
        <f>_xlfn.XLOOKUP(Table1[[#This Row],[Account_ID]], Accounts[ID], Accounts[Account'#], "Unknown")</f>
        <v>4561</v>
      </c>
      <c r="I291" s="135" t="str">
        <f>_xlfn.XLOOKUP(_xlfn.XLOOKUP(Table1[[#This Row],[Account]],Accounts[Account nickname],Accounts[Institution ID]),Institutions[ID],Institutions[Institution nickname],"Unknown")</f>
        <v>Best Buy - Citi Card</v>
      </c>
      <c r="J291" s="136" t="s">
        <v>1576</v>
      </c>
      <c r="K291" s="137" t="s">
        <v>1375</v>
      </c>
      <c r="L291" s="137" t="s">
        <v>1372</v>
      </c>
      <c r="M29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de9b1d2511bc45a9bb2d484aa9e33b31</v>
      </c>
      <c r="N29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91" s="138" t="str" cm="1">
        <f t="array" ref="O291">IFERROR(INDEX(CategoriesTable[Category type],MATCH(Table1[[#This Row],[Category]],CategoriesTable[Category name],0),0),"")</f>
        <v>Expense</v>
      </c>
      <c r="P291" s="138">
        <v>20</v>
      </c>
      <c r="Q291" s="138">
        <f>MONTH(Table1[[#This Row],[Date]])</f>
        <v>10</v>
      </c>
      <c r="R291" s="138">
        <v>2021</v>
      </c>
      <c r="S291" s="139">
        <f>IF(ISBLANK(Table1[[#This Row],[Date]]),"",Table1[[#This Row],[Date]]-WEEKDAY(Table1[[#This Row],[Date]],2)+1)</f>
        <v>44487</v>
      </c>
      <c r="T291" s="140">
        <f>IF(ISBLANK(Table1[[#This Row],[Date]]),"",DATE(Table1[[#This Row],[Date_Year]],Table1[[#This Row],[Date_Month]],1))</f>
        <v>44470</v>
      </c>
    </row>
    <row r="292" spans="2:20" ht="15.75">
      <c r="B292" s="154">
        <v>44489</v>
      </c>
      <c r="C292" s="119" t="s">
        <v>890</v>
      </c>
      <c r="D292" s="119"/>
      <c r="E292" s="119"/>
      <c r="F292" s="155">
        <v>-70.58</v>
      </c>
      <c r="G292" s="133" t="str">
        <f>_xlfn.XLOOKUP(Table1[[#This Row],[Account_ID]], Accounts[ID], Accounts[Account nickname], "Unknown")</f>
        <v>Discover</v>
      </c>
      <c r="H292" s="134" t="str">
        <f>_xlfn.XLOOKUP(Table1[[#This Row],[Account_ID]], Accounts[ID], Accounts[Account'#], "Unknown")</f>
        <v>4618</v>
      </c>
      <c r="I292" s="135" t="str">
        <f>_xlfn.XLOOKUP(_xlfn.XLOOKUP(Table1[[#This Row],[Account]],Accounts[Account nickname],Accounts[Institution ID]),Institutions[ID],Institutions[Institution nickname],"Unknown")</f>
        <v>Discover</v>
      </c>
      <c r="J292" s="136" t="s">
        <v>1575</v>
      </c>
      <c r="K292" s="137" t="s">
        <v>843</v>
      </c>
      <c r="L292" s="137" t="s">
        <v>841</v>
      </c>
      <c r="M29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9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92" s="138" t="str" cm="1">
        <f t="array" ref="O292">IFERROR(INDEX(CategoriesTable[Category type],MATCH(Table1[[#This Row],[Category]],CategoriesTable[Category name],0),0),"")</f>
        <v/>
      </c>
      <c r="P292" s="138">
        <v>20</v>
      </c>
      <c r="Q292" s="138">
        <f>MONTH(Table1[[#This Row],[Date]])</f>
        <v>10</v>
      </c>
      <c r="R292" s="138">
        <v>2021</v>
      </c>
      <c r="S292" s="139">
        <f>IF(ISBLANK(Table1[[#This Row],[Date]]),"",Table1[[#This Row],[Date]]-WEEKDAY(Table1[[#This Row],[Date]],2)+1)</f>
        <v>44487</v>
      </c>
      <c r="T292" s="140">
        <f>IF(ISBLANK(Table1[[#This Row],[Date]]),"",DATE(Table1[[#This Row],[Date_Year]],Table1[[#This Row],[Date_Month]],1))</f>
        <v>44470</v>
      </c>
    </row>
    <row r="293" spans="2:20" ht="15.75">
      <c r="B293" s="154">
        <v>44488</v>
      </c>
      <c r="C293" s="119" t="s">
        <v>1578</v>
      </c>
      <c r="D293" s="119"/>
      <c r="E293" s="119"/>
      <c r="F293" s="155">
        <v>-19.28</v>
      </c>
      <c r="G293" s="133" t="str">
        <f>_xlfn.XLOOKUP(Table1[[#This Row],[Account_ID]], Accounts[ID], Accounts[Account nickname], "Unknown")</f>
        <v>Discover</v>
      </c>
      <c r="H293" s="134" t="str">
        <f>_xlfn.XLOOKUP(Table1[[#This Row],[Account_ID]], Accounts[ID], Accounts[Account'#], "Unknown")</f>
        <v>4618</v>
      </c>
      <c r="I293" s="135" t="str">
        <f>_xlfn.XLOOKUP(_xlfn.XLOOKUP(Table1[[#This Row],[Account]],Accounts[Account nickname],Accounts[Institution ID]),Institutions[ID],Institutions[Institution nickname],"Unknown")</f>
        <v>Discover</v>
      </c>
      <c r="J293" s="136" t="s">
        <v>1579</v>
      </c>
      <c r="K293" s="137" t="s">
        <v>843</v>
      </c>
      <c r="L293" s="137" t="s">
        <v>841</v>
      </c>
      <c r="M29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9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93" s="138" t="str" cm="1">
        <f t="array" ref="O293">IFERROR(INDEX(CategoriesTable[Category type],MATCH(Table1[[#This Row],[Category]],CategoriesTable[Category name],0),0),"")</f>
        <v/>
      </c>
      <c r="P293" s="138">
        <v>19</v>
      </c>
      <c r="Q293" s="138">
        <f>MONTH(Table1[[#This Row],[Date]])</f>
        <v>10</v>
      </c>
      <c r="R293" s="138">
        <v>2021</v>
      </c>
      <c r="S293" s="139">
        <f>IF(ISBLANK(Table1[[#This Row],[Date]]),"",Table1[[#This Row],[Date]]-WEEKDAY(Table1[[#This Row],[Date]],2)+1)</f>
        <v>44487</v>
      </c>
      <c r="T293" s="140">
        <f>IF(ISBLANK(Table1[[#This Row],[Date]]),"",DATE(Table1[[#This Row],[Date_Year]],Table1[[#This Row],[Date_Month]],1))</f>
        <v>44470</v>
      </c>
    </row>
    <row r="294" spans="2:20" ht="15.75">
      <c r="B294" s="154">
        <v>44488</v>
      </c>
      <c r="C294" s="119" t="s">
        <v>1581</v>
      </c>
      <c r="D294" s="119"/>
      <c r="E294" s="119"/>
      <c r="F294" s="155">
        <v>-35</v>
      </c>
      <c r="G294" s="133" t="str">
        <f>_xlfn.XLOOKUP(Table1[[#This Row],[Account_ID]], Accounts[ID], Accounts[Account nickname], "Unknown")</f>
        <v>Discover</v>
      </c>
      <c r="H294" s="134" t="str">
        <f>_xlfn.XLOOKUP(Table1[[#This Row],[Account_ID]], Accounts[ID], Accounts[Account'#], "Unknown")</f>
        <v>4618</v>
      </c>
      <c r="I294" s="135" t="str">
        <f>_xlfn.XLOOKUP(_xlfn.XLOOKUP(Table1[[#This Row],[Account]],Accounts[Account nickname],Accounts[Institution ID]),Institutions[ID],Institutions[Institution nickname],"Unknown")</f>
        <v>Discover</v>
      </c>
      <c r="J294" s="136" t="s">
        <v>1582</v>
      </c>
      <c r="K294" s="137" t="s">
        <v>843</v>
      </c>
      <c r="L294" s="137" t="s">
        <v>841</v>
      </c>
      <c r="M29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9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94" s="138" t="str" cm="1">
        <f t="array" ref="O294">IFERROR(INDEX(CategoriesTable[Category type],MATCH(Table1[[#This Row],[Category]],CategoriesTable[Category name],0),0),"")</f>
        <v/>
      </c>
      <c r="P294" s="138">
        <v>19</v>
      </c>
      <c r="Q294" s="138">
        <f>MONTH(Table1[[#This Row],[Date]])</f>
        <v>10</v>
      </c>
      <c r="R294" s="138">
        <v>2021</v>
      </c>
      <c r="S294" s="139">
        <f>IF(ISBLANK(Table1[[#This Row],[Date]]),"",Table1[[#This Row],[Date]]-WEEKDAY(Table1[[#This Row],[Date]],2)+1)</f>
        <v>44487</v>
      </c>
      <c r="T294" s="140">
        <f>IF(ISBLANK(Table1[[#This Row],[Date]]),"",DATE(Table1[[#This Row],[Date_Year]],Table1[[#This Row],[Date_Month]],1))</f>
        <v>44470</v>
      </c>
    </row>
    <row r="295" spans="2:20" ht="15.75">
      <c r="B295" s="154">
        <v>44488</v>
      </c>
      <c r="C295" s="119" t="s">
        <v>1472</v>
      </c>
      <c r="D295" s="119"/>
      <c r="E295" s="119"/>
      <c r="F295" s="155">
        <v>-6.13</v>
      </c>
      <c r="G295" s="133" t="str">
        <f>_xlfn.XLOOKUP(Table1[[#This Row],[Account_ID]], Accounts[ID], Accounts[Account nickname], "Unknown")</f>
        <v>Discover</v>
      </c>
      <c r="H295" s="134" t="str">
        <f>_xlfn.XLOOKUP(Table1[[#This Row],[Account_ID]], Accounts[ID], Accounts[Account'#], "Unknown")</f>
        <v>4618</v>
      </c>
      <c r="I295" s="135" t="str">
        <f>_xlfn.XLOOKUP(_xlfn.XLOOKUP(Table1[[#This Row],[Account]],Accounts[Account nickname],Accounts[Institution ID]),Institutions[ID],Institutions[Institution nickname],"Unknown")</f>
        <v>Discover</v>
      </c>
      <c r="J295" s="136" t="s">
        <v>1580</v>
      </c>
      <c r="K295" s="137" t="s">
        <v>843</v>
      </c>
      <c r="L295" s="137" t="s">
        <v>841</v>
      </c>
      <c r="M29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9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95" s="138" t="str" cm="1">
        <f t="array" ref="O295">IFERROR(INDEX(CategoriesTable[Category type],MATCH(Table1[[#This Row],[Category]],CategoriesTable[Category name],0),0),"")</f>
        <v/>
      </c>
      <c r="P295" s="138">
        <v>19</v>
      </c>
      <c r="Q295" s="138">
        <f>MONTH(Table1[[#This Row],[Date]])</f>
        <v>10</v>
      </c>
      <c r="R295" s="138">
        <v>2021</v>
      </c>
      <c r="S295" s="139">
        <f>IF(ISBLANK(Table1[[#This Row],[Date]]),"",Table1[[#This Row],[Date]]-WEEKDAY(Table1[[#This Row],[Date]],2)+1)</f>
        <v>44487</v>
      </c>
      <c r="T295" s="140">
        <f>IF(ISBLANK(Table1[[#This Row],[Date]]),"",DATE(Table1[[#This Row],[Date_Year]],Table1[[#This Row],[Date_Month]],1))</f>
        <v>44470</v>
      </c>
    </row>
    <row r="296" spans="2:20" ht="15.75">
      <c r="B296" s="154">
        <v>44487</v>
      </c>
      <c r="C296" s="119" t="s">
        <v>1583</v>
      </c>
      <c r="D296" s="119"/>
      <c r="E296" s="119"/>
      <c r="F296" s="155">
        <v>-26.69</v>
      </c>
      <c r="G296" s="133" t="str">
        <f>_xlfn.XLOOKUP(Table1[[#This Row],[Account_ID]], Accounts[ID], Accounts[Account nickname], "Unknown")</f>
        <v>Discover</v>
      </c>
      <c r="H296" s="134" t="str">
        <f>_xlfn.XLOOKUP(Table1[[#This Row],[Account_ID]], Accounts[ID], Accounts[Account'#], "Unknown")</f>
        <v>4618</v>
      </c>
      <c r="I296" s="135" t="str">
        <f>_xlfn.XLOOKUP(_xlfn.XLOOKUP(Table1[[#This Row],[Account]],Accounts[Account nickname],Accounts[Institution ID]),Institutions[ID],Institutions[Institution nickname],"Unknown")</f>
        <v>Discover</v>
      </c>
      <c r="J296" s="136" t="s">
        <v>1584</v>
      </c>
      <c r="K296" s="137" t="s">
        <v>843</v>
      </c>
      <c r="L296" s="137" t="s">
        <v>841</v>
      </c>
      <c r="M29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9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96" s="138" t="str" cm="1">
        <f t="array" ref="O296">IFERROR(INDEX(CategoriesTable[Category type],MATCH(Table1[[#This Row],[Category]],CategoriesTable[Category name],0),0),"")</f>
        <v/>
      </c>
      <c r="P296" s="138">
        <v>18</v>
      </c>
      <c r="Q296" s="138">
        <f>MONTH(Table1[[#This Row],[Date]])</f>
        <v>10</v>
      </c>
      <c r="R296" s="138">
        <v>2021</v>
      </c>
      <c r="S296" s="139">
        <f>IF(ISBLANK(Table1[[#This Row],[Date]]),"",Table1[[#This Row],[Date]]-WEEKDAY(Table1[[#This Row],[Date]],2)+1)</f>
        <v>44487</v>
      </c>
      <c r="T296" s="140">
        <f>IF(ISBLANK(Table1[[#This Row],[Date]]),"",DATE(Table1[[#This Row],[Date_Year]],Table1[[#This Row],[Date_Month]],1))</f>
        <v>44470</v>
      </c>
    </row>
    <row r="297" spans="2:20" ht="15.75">
      <c r="B297" s="154">
        <v>44487</v>
      </c>
      <c r="C297" s="119" t="s">
        <v>678</v>
      </c>
      <c r="D297" s="119"/>
      <c r="E297" s="119"/>
      <c r="F297" s="155">
        <v>-50</v>
      </c>
      <c r="G297" s="133" t="str">
        <f>_xlfn.XLOOKUP(Table1[[#This Row],[Account_ID]], Accounts[ID], Accounts[Account nickname], "Unknown")</f>
        <v>WF</v>
      </c>
      <c r="H297" s="134" t="str">
        <f>_xlfn.XLOOKUP(Table1[[#This Row],[Account_ID]], Accounts[ID], Accounts[Account'#], "Unknown")</f>
        <v>4636</v>
      </c>
      <c r="I297" s="135" t="str">
        <f>_xlfn.XLOOKUP(_xlfn.XLOOKUP(Table1[[#This Row],[Account]],Accounts[Account nickname],Accounts[Institution ID]),Institutions[ID],Institutions[Institution nickname],"Unknown")</f>
        <v>Wells Fargo</v>
      </c>
      <c r="J297" s="136" t="s">
        <v>1002</v>
      </c>
      <c r="K297" s="137" t="s">
        <v>808</v>
      </c>
      <c r="L297" s="137" t="s">
        <v>807</v>
      </c>
      <c r="M29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9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97" s="138" t="str" cm="1">
        <f t="array" ref="O297">IFERROR(INDEX(CategoriesTable[Category type],MATCH(Table1[[#This Row],[Category]],CategoriesTable[Category name],0),0),"")</f>
        <v/>
      </c>
      <c r="P297" s="138">
        <v>18</v>
      </c>
      <c r="Q297" s="138">
        <f>MONTH(Table1[[#This Row],[Date]])</f>
        <v>10</v>
      </c>
      <c r="R297" s="138">
        <v>2021</v>
      </c>
      <c r="S297" s="139">
        <f>IF(ISBLANK(Table1[[#This Row],[Date]]),"",Table1[[#This Row],[Date]]-WEEKDAY(Table1[[#This Row],[Date]],2)+1)</f>
        <v>44487</v>
      </c>
      <c r="T297" s="140">
        <f>IF(ISBLANK(Table1[[#This Row],[Date]]),"",DATE(Table1[[#This Row],[Date_Year]],Table1[[#This Row],[Date_Month]],1))</f>
        <v>44470</v>
      </c>
    </row>
    <row r="298" spans="2:20" ht="15.75">
      <c r="B298" s="154">
        <v>44486</v>
      </c>
      <c r="C298" s="119" t="s">
        <v>910</v>
      </c>
      <c r="D298" s="119"/>
      <c r="E298" s="119"/>
      <c r="F298" s="155">
        <v>-5.29</v>
      </c>
      <c r="G298" s="133" t="str">
        <f>_xlfn.XLOOKUP(Table1[[#This Row],[Account_ID]], Accounts[ID], Accounts[Account nickname], "Unknown")</f>
        <v>Discover</v>
      </c>
      <c r="H298" s="134" t="str">
        <f>_xlfn.XLOOKUP(Table1[[#This Row],[Account_ID]], Accounts[ID], Accounts[Account'#], "Unknown")</f>
        <v>4618</v>
      </c>
      <c r="I298" s="135" t="str">
        <f>_xlfn.XLOOKUP(_xlfn.XLOOKUP(Table1[[#This Row],[Account]],Accounts[Account nickname],Accounts[Institution ID]),Institutions[ID],Institutions[Institution nickname],"Unknown")</f>
        <v>Discover</v>
      </c>
      <c r="J298" s="136" t="s">
        <v>1585</v>
      </c>
      <c r="K298" s="137" t="s">
        <v>843</v>
      </c>
      <c r="L298" s="137" t="s">
        <v>841</v>
      </c>
      <c r="M29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9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98" s="138" t="str" cm="1">
        <f t="array" ref="O298">IFERROR(INDEX(CategoriesTable[Category type],MATCH(Table1[[#This Row],[Category]],CategoriesTable[Category name],0),0),"")</f>
        <v/>
      </c>
      <c r="P298" s="138">
        <v>17</v>
      </c>
      <c r="Q298" s="138">
        <f>MONTH(Table1[[#This Row],[Date]])</f>
        <v>10</v>
      </c>
      <c r="R298" s="138">
        <v>2021</v>
      </c>
      <c r="S298" s="139">
        <f>IF(ISBLANK(Table1[[#This Row],[Date]]),"",Table1[[#This Row],[Date]]-WEEKDAY(Table1[[#This Row],[Date]],2)+1)</f>
        <v>44480</v>
      </c>
      <c r="T298" s="140">
        <f>IF(ISBLANK(Table1[[#This Row],[Date]]),"",DATE(Table1[[#This Row],[Date_Year]],Table1[[#This Row],[Date_Month]],1))</f>
        <v>44470</v>
      </c>
    </row>
    <row r="299" spans="2:20" ht="15.75">
      <c r="B299" s="154">
        <v>44486</v>
      </c>
      <c r="C299" s="119" t="s">
        <v>1588</v>
      </c>
      <c r="D299" s="119"/>
      <c r="E299" s="119"/>
      <c r="F299" s="155">
        <v>-15.45</v>
      </c>
      <c r="G299" s="133" t="str">
        <f>_xlfn.XLOOKUP(Table1[[#This Row],[Account_ID]], Accounts[ID], Accounts[Account nickname], "Unknown")</f>
        <v>Discover</v>
      </c>
      <c r="H299" s="134" t="str">
        <f>_xlfn.XLOOKUP(Table1[[#This Row],[Account_ID]], Accounts[ID], Accounts[Account'#], "Unknown")</f>
        <v>4618</v>
      </c>
      <c r="I299" s="135" t="str">
        <f>_xlfn.XLOOKUP(_xlfn.XLOOKUP(Table1[[#This Row],[Account]],Accounts[Account nickname],Accounts[Institution ID]),Institutions[ID],Institutions[Institution nickname],"Unknown")</f>
        <v>Discover</v>
      </c>
      <c r="J299" s="136" t="s">
        <v>1589</v>
      </c>
      <c r="K299" s="137" t="s">
        <v>843</v>
      </c>
      <c r="L299" s="137" t="s">
        <v>841</v>
      </c>
      <c r="M29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9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99" s="138" t="str" cm="1">
        <f t="array" ref="O299">IFERROR(INDEX(CategoriesTable[Category type],MATCH(Table1[[#This Row],[Category]],CategoriesTable[Category name],0),0),"")</f>
        <v/>
      </c>
      <c r="P299" s="138">
        <v>17</v>
      </c>
      <c r="Q299" s="138">
        <f>MONTH(Table1[[#This Row],[Date]])</f>
        <v>10</v>
      </c>
      <c r="R299" s="138">
        <v>2021</v>
      </c>
      <c r="S299" s="139">
        <f>IF(ISBLANK(Table1[[#This Row],[Date]]),"",Table1[[#This Row],[Date]]-WEEKDAY(Table1[[#This Row],[Date]],2)+1)</f>
        <v>44480</v>
      </c>
      <c r="T299" s="140">
        <f>IF(ISBLANK(Table1[[#This Row],[Date]]),"",DATE(Table1[[#This Row],[Date_Year]],Table1[[#This Row],[Date_Month]],1))</f>
        <v>44470</v>
      </c>
    </row>
    <row r="300" spans="2:20" ht="15.75">
      <c r="B300" s="154">
        <v>44486</v>
      </c>
      <c r="C300" s="119" t="s">
        <v>717</v>
      </c>
      <c r="D300" s="119"/>
      <c r="E300" s="119"/>
      <c r="F300" s="155">
        <v>-22.81</v>
      </c>
      <c r="G300" s="133" t="str">
        <f>_xlfn.XLOOKUP(Table1[[#This Row],[Account_ID]], Accounts[ID], Accounts[Account nickname], "Unknown")</f>
        <v>Discover</v>
      </c>
      <c r="H300" s="134" t="str">
        <f>_xlfn.XLOOKUP(Table1[[#This Row],[Account_ID]], Accounts[ID], Accounts[Account'#], "Unknown")</f>
        <v>4618</v>
      </c>
      <c r="I300" s="135" t="str">
        <f>_xlfn.XLOOKUP(_xlfn.XLOOKUP(Table1[[#This Row],[Account]],Accounts[Account nickname],Accounts[Institution ID]),Institutions[ID],Institutions[Institution nickname],"Unknown")</f>
        <v>Discover</v>
      </c>
      <c r="J300" s="136" t="s">
        <v>1587</v>
      </c>
      <c r="K300" s="137" t="s">
        <v>843</v>
      </c>
      <c r="L300" s="137" t="s">
        <v>841</v>
      </c>
      <c r="M30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0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00" s="138" t="str" cm="1">
        <f t="array" ref="O300">IFERROR(INDEX(CategoriesTable[Category type],MATCH(Table1[[#This Row],[Category]],CategoriesTable[Category name],0),0),"")</f>
        <v/>
      </c>
      <c r="P300" s="138">
        <v>17</v>
      </c>
      <c r="Q300" s="138">
        <f>MONTH(Table1[[#This Row],[Date]])</f>
        <v>10</v>
      </c>
      <c r="R300" s="138">
        <v>2021</v>
      </c>
      <c r="S300" s="139">
        <f>IF(ISBLANK(Table1[[#This Row],[Date]]),"",Table1[[#This Row],[Date]]-WEEKDAY(Table1[[#This Row],[Date]],2)+1)</f>
        <v>44480</v>
      </c>
      <c r="T300" s="140">
        <f>IF(ISBLANK(Table1[[#This Row],[Date]]),"",DATE(Table1[[#This Row],[Date_Year]],Table1[[#This Row],[Date_Month]],1))</f>
        <v>44470</v>
      </c>
    </row>
    <row r="301" spans="2:20" ht="15.75">
      <c r="B301" s="154">
        <v>44486</v>
      </c>
      <c r="C301" s="119" t="s">
        <v>860</v>
      </c>
      <c r="D301" s="119"/>
      <c r="E301" s="119"/>
      <c r="F301" s="155">
        <v>-39.68</v>
      </c>
      <c r="G301" s="133" t="str">
        <f>_xlfn.XLOOKUP(Table1[[#This Row],[Account_ID]], Accounts[ID], Accounts[Account nickname], "Unknown")</f>
        <v>Discover</v>
      </c>
      <c r="H301" s="134" t="str">
        <f>_xlfn.XLOOKUP(Table1[[#This Row],[Account_ID]], Accounts[ID], Accounts[Account'#], "Unknown")</f>
        <v>4618</v>
      </c>
      <c r="I301" s="135" t="str">
        <f>_xlfn.XLOOKUP(_xlfn.XLOOKUP(Table1[[#This Row],[Account]],Accounts[Account nickname],Accounts[Institution ID]),Institutions[ID],Institutions[Institution nickname],"Unknown")</f>
        <v>Discover</v>
      </c>
      <c r="J301" s="136" t="s">
        <v>1586</v>
      </c>
      <c r="K301" s="137" t="s">
        <v>843</v>
      </c>
      <c r="L301" s="137" t="s">
        <v>841</v>
      </c>
      <c r="M30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0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01" s="138" t="str" cm="1">
        <f t="array" ref="O301">IFERROR(INDEX(CategoriesTable[Category type],MATCH(Table1[[#This Row],[Category]],CategoriesTable[Category name],0),0),"")</f>
        <v/>
      </c>
      <c r="P301" s="138">
        <v>17</v>
      </c>
      <c r="Q301" s="138">
        <f>MONTH(Table1[[#This Row],[Date]])</f>
        <v>10</v>
      </c>
      <c r="R301" s="138">
        <v>2021</v>
      </c>
      <c r="S301" s="139">
        <f>IF(ISBLANK(Table1[[#This Row],[Date]]),"",Table1[[#This Row],[Date]]-WEEKDAY(Table1[[#This Row],[Date]],2)+1)</f>
        <v>44480</v>
      </c>
      <c r="T301" s="140">
        <f>IF(ISBLANK(Table1[[#This Row],[Date]]),"",DATE(Table1[[#This Row],[Date_Year]],Table1[[#This Row],[Date_Month]],1))</f>
        <v>44470</v>
      </c>
    </row>
    <row r="302" spans="2:20" ht="15.75">
      <c r="B302" s="154">
        <v>44486</v>
      </c>
      <c r="C302" s="119" t="s">
        <v>707</v>
      </c>
      <c r="D302" s="119"/>
      <c r="E302" s="119"/>
      <c r="F302" s="155">
        <v>-59.99</v>
      </c>
      <c r="G302" s="133" t="str">
        <f>_xlfn.XLOOKUP(Table1[[#This Row],[Account_ID]], Accounts[ID], Accounts[Account nickname], "Unknown")</f>
        <v>Discover</v>
      </c>
      <c r="H302" s="134" t="str">
        <f>_xlfn.XLOOKUP(Table1[[#This Row],[Account_ID]], Accounts[ID], Accounts[Account'#], "Unknown")</f>
        <v>4618</v>
      </c>
      <c r="I302" s="135" t="str">
        <f>_xlfn.XLOOKUP(_xlfn.XLOOKUP(Table1[[#This Row],[Account]],Accounts[Account nickname],Accounts[Institution ID]),Institutions[ID],Institutions[Institution nickname],"Unknown")</f>
        <v>Discover</v>
      </c>
      <c r="J302" s="136" t="s">
        <v>1590</v>
      </c>
      <c r="K302" s="137" t="s">
        <v>843</v>
      </c>
      <c r="L302" s="137" t="s">
        <v>841</v>
      </c>
      <c r="M30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0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02" s="138" t="str" cm="1">
        <f t="array" ref="O302">IFERROR(INDEX(CategoriesTable[Category type],MATCH(Table1[[#This Row],[Category]],CategoriesTable[Category name],0),0),"")</f>
        <v/>
      </c>
      <c r="P302" s="138">
        <v>17</v>
      </c>
      <c r="Q302" s="138">
        <f>MONTH(Table1[[#This Row],[Date]])</f>
        <v>10</v>
      </c>
      <c r="R302" s="138">
        <v>2021</v>
      </c>
      <c r="S302" s="139">
        <f>IF(ISBLANK(Table1[[#This Row],[Date]]),"",Table1[[#This Row],[Date]]-WEEKDAY(Table1[[#This Row],[Date]],2)+1)</f>
        <v>44480</v>
      </c>
      <c r="T302" s="140">
        <f>IF(ISBLANK(Table1[[#This Row],[Date]]),"",DATE(Table1[[#This Row],[Date_Year]],Table1[[#This Row],[Date_Month]],1))</f>
        <v>44470</v>
      </c>
    </row>
    <row r="303" spans="2:20" ht="15.75">
      <c r="B303" s="154">
        <v>44486</v>
      </c>
      <c r="C303" s="119" t="s">
        <v>917</v>
      </c>
      <c r="D303" s="119"/>
      <c r="E303" s="119"/>
      <c r="F303" s="155">
        <v>-80</v>
      </c>
      <c r="G303" s="133" t="str">
        <f>_xlfn.XLOOKUP(Table1[[#This Row],[Account_ID]], Accounts[ID], Accounts[Account nickname], "Unknown")</f>
        <v>Discover</v>
      </c>
      <c r="H303" s="134" t="str">
        <f>_xlfn.XLOOKUP(Table1[[#This Row],[Account_ID]], Accounts[ID], Accounts[Account'#], "Unknown")</f>
        <v>4618</v>
      </c>
      <c r="I303" s="135" t="str">
        <f>_xlfn.XLOOKUP(_xlfn.XLOOKUP(Table1[[#This Row],[Account]],Accounts[Account nickname],Accounts[Institution ID]),Institutions[ID],Institutions[Institution nickname],"Unknown")</f>
        <v>Discover</v>
      </c>
      <c r="J303" s="136" t="s">
        <v>1591</v>
      </c>
      <c r="K303" s="137" t="s">
        <v>843</v>
      </c>
      <c r="L303" s="137" t="s">
        <v>841</v>
      </c>
      <c r="M30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0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03" s="138" t="str" cm="1">
        <f t="array" ref="O303">IFERROR(INDEX(CategoriesTable[Category type],MATCH(Table1[[#This Row],[Category]],CategoriesTable[Category name],0),0),"")</f>
        <v/>
      </c>
      <c r="P303" s="138">
        <v>17</v>
      </c>
      <c r="Q303" s="138">
        <f>MONTH(Table1[[#This Row],[Date]])</f>
        <v>10</v>
      </c>
      <c r="R303" s="138">
        <v>2021</v>
      </c>
      <c r="S303" s="139">
        <f>IF(ISBLANK(Table1[[#This Row],[Date]]),"",Table1[[#This Row],[Date]]-WEEKDAY(Table1[[#This Row],[Date]],2)+1)</f>
        <v>44480</v>
      </c>
      <c r="T303" s="140">
        <f>IF(ISBLANK(Table1[[#This Row],[Date]]),"",DATE(Table1[[#This Row],[Date_Year]],Table1[[#This Row],[Date_Month]],1))</f>
        <v>44470</v>
      </c>
    </row>
    <row r="304" spans="2:20" ht="15.75">
      <c r="B304" s="154">
        <v>44485</v>
      </c>
      <c r="C304" s="119" t="s">
        <v>922</v>
      </c>
      <c r="D304" s="119"/>
      <c r="E304" s="119"/>
      <c r="F304" s="155">
        <v>-34.35</v>
      </c>
      <c r="G304" s="133" t="str">
        <f>_xlfn.XLOOKUP(Table1[[#This Row],[Account_ID]], Accounts[ID], Accounts[Account nickname], "Unknown")</f>
        <v>Discover</v>
      </c>
      <c r="H304" s="134" t="str">
        <f>_xlfn.XLOOKUP(Table1[[#This Row],[Account_ID]], Accounts[ID], Accounts[Account'#], "Unknown")</f>
        <v>4618</v>
      </c>
      <c r="I304" s="135" t="str">
        <f>_xlfn.XLOOKUP(_xlfn.XLOOKUP(Table1[[#This Row],[Account]],Accounts[Account nickname],Accounts[Institution ID]),Institutions[ID],Institutions[Institution nickname],"Unknown")</f>
        <v>Discover</v>
      </c>
      <c r="J304" s="136" t="s">
        <v>1592</v>
      </c>
      <c r="K304" s="137" t="s">
        <v>843</v>
      </c>
      <c r="L304" s="137" t="s">
        <v>841</v>
      </c>
      <c r="M30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0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04" s="138" t="str" cm="1">
        <f t="array" ref="O304">IFERROR(INDEX(CategoriesTable[Category type],MATCH(Table1[[#This Row],[Category]],CategoriesTable[Category name],0),0),"")</f>
        <v/>
      </c>
      <c r="P304" s="138">
        <v>16</v>
      </c>
      <c r="Q304" s="138">
        <f>MONTH(Table1[[#This Row],[Date]])</f>
        <v>10</v>
      </c>
      <c r="R304" s="138">
        <v>2021</v>
      </c>
      <c r="S304" s="139">
        <f>IF(ISBLANK(Table1[[#This Row],[Date]]),"",Table1[[#This Row],[Date]]-WEEKDAY(Table1[[#This Row],[Date]],2)+1)</f>
        <v>44480</v>
      </c>
      <c r="T304" s="140">
        <f>IF(ISBLANK(Table1[[#This Row],[Date]]),"",DATE(Table1[[#This Row],[Date_Year]],Table1[[#This Row],[Date_Month]],1))</f>
        <v>44470</v>
      </c>
    </row>
    <row r="305" spans="2:20" ht="15.75">
      <c r="B305" s="154">
        <v>44484</v>
      </c>
      <c r="C305" s="119" t="s">
        <v>910</v>
      </c>
      <c r="D305" s="119"/>
      <c r="E305" s="119"/>
      <c r="F305" s="155">
        <v>-15.89</v>
      </c>
      <c r="G305" s="133" t="str">
        <f>_xlfn.XLOOKUP(Table1[[#This Row],[Account_ID]], Accounts[ID], Accounts[Account nickname], "Unknown")</f>
        <v>Discover</v>
      </c>
      <c r="H305" s="134" t="str">
        <f>_xlfn.XLOOKUP(Table1[[#This Row],[Account_ID]], Accounts[ID], Accounts[Account'#], "Unknown")</f>
        <v>4618</v>
      </c>
      <c r="I305" s="135" t="str">
        <f>_xlfn.XLOOKUP(_xlfn.XLOOKUP(Table1[[#This Row],[Account]],Accounts[Account nickname],Accounts[Institution ID]),Institutions[ID],Institutions[Institution nickname],"Unknown")</f>
        <v>Discover</v>
      </c>
      <c r="J305" s="136" t="s">
        <v>1593</v>
      </c>
      <c r="K305" s="137" t="s">
        <v>843</v>
      </c>
      <c r="L305" s="137" t="s">
        <v>841</v>
      </c>
      <c r="M30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0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05" s="138" t="str" cm="1">
        <f t="array" ref="O305">IFERROR(INDEX(CategoriesTable[Category type],MATCH(Table1[[#This Row],[Category]],CategoriesTable[Category name],0),0),"")</f>
        <v/>
      </c>
      <c r="P305" s="138">
        <v>15</v>
      </c>
      <c r="Q305" s="138">
        <f>MONTH(Table1[[#This Row],[Date]])</f>
        <v>10</v>
      </c>
      <c r="R305" s="138">
        <v>2021</v>
      </c>
      <c r="S305" s="139">
        <f>IF(ISBLANK(Table1[[#This Row],[Date]]),"",Table1[[#This Row],[Date]]-WEEKDAY(Table1[[#This Row],[Date]],2)+1)</f>
        <v>44480</v>
      </c>
      <c r="T305" s="140">
        <f>IF(ISBLANK(Table1[[#This Row],[Date]]),"",DATE(Table1[[#This Row],[Date_Year]],Table1[[#This Row],[Date_Month]],1))</f>
        <v>44470</v>
      </c>
    </row>
    <row r="306" spans="2:20" ht="15.75">
      <c r="B306" s="154">
        <v>44484</v>
      </c>
      <c r="C306" s="119" t="s">
        <v>689</v>
      </c>
      <c r="D306" s="119"/>
      <c r="E306" s="119"/>
      <c r="F306" s="155">
        <v>-84.14</v>
      </c>
      <c r="G306" s="133" t="str">
        <f>_xlfn.XLOOKUP(Table1[[#This Row],[Account_ID]], Accounts[ID], Accounts[Account nickname], "Unknown")</f>
        <v>Discover</v>
      </c>
      <c r="H306" s="134" t="str">
        <f>_xlfn.XLOOKUP(Table1[[#This Row],[Account_ID]], Accounts[ID], Accounts[Account'#], "Unknown")</f>
        <v>4618</v>
      </c>
      <c r="I306" s="135" t="str">
        <f>_xlfn.XLOOKUP(_xlfn.XLOOKUP(Table1[[#This Row],[Account]],Accounts[Account nickname],Accounts[Institution ID]),Institutions[ID],Institutions[Institution nickname],"Unknown")</f>
        <v>Discover</v>
      </c>
      <c r="J306" s="136" t="s">
        <v>1594</v>
      </c>
      <c r="K306" s="137" t="s">
        <v>843</v>
      </c>
      <c r="L306" s="137" t="s">
        <v>841</v>
      </c>
      <c r="M30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0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06" s="138" t="str" cm="1">
        <f t="array" ref="O306">IFERROR(INDEX(CategoriesTable[Category type],MATCH(Table1[[#This Row],[Category]],CategoriesTable[Category name],0),0),"")</f>
        <v/>
      </c>
      <c r="P306" s="138">
        <v>15</v>
      </c>
      <c r="Q306" s="138">
        <f>MONTH(Table1[[#This Row],[Date]])</f>
        <v>10</v>
      </c>
      <c r="R306" s="138">
        <v>2021</v>
      </c>
      <c r="S306" s="139">
        <f>IF(ISBLANK(Table1[[#This Row],[Date]]),"",Table1[[#This Row],[Date]]-WEEKDAY(Table1[[#This Row],[Date]],2)+1)</f>
        <v>44480</v>
      </c>
      <c r="T306" s="140">
        <f>IF(ISBLANK(Table1[[#This Row],[Date]]),"",DATE(Table1[[#This Row],[Date_Year]],Table1[[#This Row],[Date_Month]],1))</f>
        <v>44470</v>
      </c>
    </row>
    <row r="307" spans="2:20" ht="15.75">
      <c r="B307" s="154">
        <v>44483</v>
      </c>
      <c r="C307" s="119" t="s">
        <v>1598</v>
      </c>
      <c r="D307" s="119"/>
      <c r="E307" s="119"/>
      <c r="F307" s="155">
        <v>-44.98</v>
      </c>
      <c r="G307" s="133" t="str">
        <f>_xlfn.XLOOKUP(Table1[[#This Row],[Account_ID]], Accounts[ID], Accounts[Account nickname], "Unknown")</f>
        <v>Discover</v>
      </c>
      <c r="H307" s="134" t="str">
        <f>_xlfn.XLOOKUP(Table1[[#This Row],[Account_ID]], Accounts[ID], Accounts[Account'#], "Unknown")</f>
        <v>4618</v>
      </c>
      <c r="I307" s="135" t="str">
        <f>_xlfn.XLOOKUP(_xlfn.XLOOKUP(Table1[[#This Row],[Account]],Accounts[Account nickname],Accounts[Institution ID]),Institutions[ID],Institutions[Institution nickname],"Unknown")</f>
        <v>Discover</v>
      </c>
      <c r="J307" s="136" t="s">
        <v>1599</v>
      </c>
      <c r="K307" s="137" t="s">
        <v>843</v>
      </c>
      <c r="L307" s="137" t="s">
        <v>841</v>
      </c>
      <c r="M30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0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07" s="138" t="str" cm="1">
        <f t="array" ref="O307">IFERROR(INDEX(CategoriesTable[Category type],MATCH(Table1[[#This Row],[Category]],CategoriesTable[Category name],0),0),"")</f>
        <v/>
      </c>
      <c r="P307" s="138">
        <v>14</v>
      </c>
      <c r="Q307" s="138">
        <f>MONTH(Table1[[#This Row],[Date]])</f>
        <v>10</v>
      </c>
      <c r="R307" s="138">
        <v>2021</v>
      </c>
      <c r="S307" s="139">
        <f>IF(ISBLANK(Table1[[#This Row],[Date]]),"",Table1[[#This Row],[Date]]-WEEKDAY(Table1[[#This Row],[Date]],2)+1)</f>
        <v>44480</v>
      </c>
      <c r="T307" s="140">
        <f>IF(ISBLANK(Table1[[#This Row],[Date]]),"",DATE(Table1[[#This Row],[Date_Year]],Table1[[#This Row],[Date_Month]],1))</f>
        <v>44470</v>
      </c>
    </row>
    <row r="308" spans="2:20" ht="15.75">
      <c r="B308" s="154">
        <v>44483</v>
      </c>
      <c r="C308" s="119" t="s">
        <v>1595</v>
      </c>
      <c r="D308" s="119"/>
      <c r="E308" s="119"/>
      <c r="F308" s="155">
        <v>-31.87</v>
      </c>
      <c r="G308" s="133" t="str">
        <f>_xlfn.XLOOKUP(Table1[[#This Row],[Account_ID]], Accounts[ID], Accounts[Account nickname], "Unknown")</f>
        <v>Discover</v>
      </c>
      <c r="H308" s="134" t="str">
        <f>_xlfn.XLOOKUP(Table1[[#This Row],[Account_ID]], Accounts[ID], Accounts[Account'#], "Unknown")</f>
        <v>4618</v>
      </c>
      <c r="I308" s="135" t="str">
        <f>_xlfn.XLOOKUP(_xlfn.XLOOKUP(Table1[[#This Row],[Account]],Accounts[Account nickname],Accounts[Institution ID]),Institutions[ID],Institutions[Institution nickname],"Unknown")</f>
        <v>Discover</v>
      </c>
      <c r="J308" s="136" t="s">
        <v>1596</v>
      </c>
      <c r="K308" s="137" t="s">
        <v>843</v>
      </c>
      <c r="L308" s="137" t="s">
        <v>841</v>
      </c>
      <c r="M30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0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08" s="138" t="str" cm="1">
        <f t="array" ref="O308">IFERROR(INDEX(CategoriesTable[Category type],MATCH(Table1[[#This Row],[Category]],CategoriesTable[Category name],0),0),"")</f>
        <v/>
      </c>
      <c r="P308" s="138">
        <v>14</v>
      </c>
      <c r="Q308" s="138">
        <f>MONTH(Table1[[#This Row],[Date]])</f>
        <v>10</v>
      </c>
      <c r="R308" s="138">
        <v>2021</v>
      </c>
      <c r="S308" s="139">
        <f>IF(ISBLANK(Table1[[#This Row],[Date]]),"",Table1[[#This Row],[Date]]-WEEKDAY(Table1[[#This Row],[Date]],2)+1)</f>
        <v>44480</v>
      </c>
      <c r="T308" s="140">
        <f>IF(ISBLANK(Table1[[#This Row],[Date]]),"",DATE(Table1[[#This Row],[Date_Year]],Table1[[#This Row],[Date_Month]],1))</f>
        <v>44470</v>
      </c>
    </row>
    <row r="309" spans="2:20" ht="15.75">
      <c r="B309" s="154">
        <v>44483</v>
      </c>
      <c r="C309" s="119" t="s">
        <v>920</v>
      </c>
      <c r="D309" s="119"/>
      <c r="E309" s="119"/>
      <c r="F309" s="155">
        <v>-13.45</v>
      </c>
      <c r="G309" s="133" t="str">
        <f>_xlfn.XLOOKUP(Table1[[#This Row],[Account_ID]], Accounts[ID], Accounts[Account nickname], "Unknown")</f>
        <v>Discover</v>
      </c>
      <c r="H309" s="134" t="str">
        <f>_xlfn.XLOOKUP(Table1[[#This Row],[Account_ID]], Accounts[ID], Accounts[Account'#], "Unknown")</f>
        <v>4618</v>
      </c>
      <c r="I309" s="135" t="str">
        <f>_xlfn.XLOOKUP(_xlfn.XLOOKUP(Table1[[#This Row],[Account]],Accounts[Account nickname],Accounts[Institution ID]),Institutions[ID],Institutions[Institution nickname],"Unknown")</f>
        <v>Discover</v>
      </c>
      <c r="J309" s="136" t="s">
        <v>1597</v>
      </c>
      <c r="K309" s="137" t="s">
        <v>843</v>
      </c>
      <c r="L309" s="137" t="s">
        <v>841</v>
      </c>
      <c r="M30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0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09" s="138" t="str" cm="1">
        <f t="array" ref="O309">IFERROR(INDEX(CategoriesTable[Category type],MATCH(Table1[[#This Row],[Category]],CategoriesTable[Category name],0),0),"")</f>
        <v/>
      </c>
      <c r="P309" s="138">
        <v>14</v>
      </c>
      <c r="Q309" s="138">
        <f>MONTH(Table1[[#This Row],[Date]])</f>
        <v>10</v>
      </c>
      <c r="R309" s="138">
        <v>2021</v>
      </c>
      <c r="S309" s="139">
        <f>IF(ISBLANK(Table1[[#This Row],[Date]]),"",Table1[[#This Row],[Date]]-WEEKDAY(Table1[[#This Row],[Date]],2)+1)</f>
        <v>44480</v>
      </c>
      <c r="T309" s="140">
        <f>IF(ISBLANK(Table1[[#This Row],[Date]]),"",DATE(Table1[[#This Row],[Date_Year]],Table1[[#This Row],[Date_Month]],1))</f>
        <v>44470</v>
      </c>
    </row>
    <row r="310" spans="2:20" ht="15.75">
      <c r="B310" s="154">
        <v>44481</v>
      </c>
      <c r="C310" s="119" t="s">
        <v>1500</v>
      </c>
      <c r="D310" s="119"/>
      <c r="E310" s="119"/>
      <c r="F310" s="155">
        <v>-1.99</v>
      </c>
      <c r="G310" s="133" t="str">
        <f>_xlfn.XLOOKUP(Table1[[#This Row],[Account_ID]], Accounts[ID], Accounts[Account nickname], "Unknown")</f>
        <v>Discover</v>
      </c>
      <c r="H310" s="134" t="str">
        <f>_xlfn.XLOOKUP(Table1[[#This Row],[Account_ID]], Accounts[ID], Accounts[Account'#], "Unknown")</f>
        <v>4618</v>
      </c>
      <c r="I310" s="135" t="str">
        <f>_xlfn.XLOOKUP(_xlfn.XLOOKUP(Table1[[#This Row],[Account]],Accounts[Account nickname],Accounts[Institution ID]),Institutions[ID],Institutions[Institution nickname],"Unknown")</f>
        <v>Discover</v>
      </c>
      <c r="J310" s="136" t="s">
        <v>1602</v>
      </c>
      <c r="K310" s="137" t="s">
        <v>843</v>
      </c>
      <c r="L310" s="137" t="s">
        <v>841</v>
      </c>
      <c r="M31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1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10" s="138" t="str" cm="1">
        <f t="array" ref="O310">IFERROR(INDEX(CategoriesTable[Category type],MATCH(Table1[[#This Row],[Category]],CategoriesTable[Category name],0),0),"")</f>
        <v/>
      </c>
      <c r="P310" s="138">
        <v>12</v>
      </c>
      <c r="Q310" s="138">
        <f>MONTH(Table1[[#This Row],[Date]])</f>
        <v>10</v>
      </c>
      <c r="R310" s="138">
        <v>2021</v>
      </c>
      <c r="S310" s="139">
        <f>IF(ISBLANK(Table1[[#This Row],[Date]]),"",Table1[[#This Row],[Date]]-WEEKDAY(Table1[[#This Row],[Date]],2)+1)</f>
        <v>44480</v>
      </c>
      <c r="T310" s="140">
        <f>IF(ISBLANK(Table1[[#This Row],[Date]]),"",DATE(Table1[[#This Row],[Date_Year]],Table1[[#This Row],[Date_Month]],1))</f>
        <v>44470</v>
      </c>
    </row>
    <row r="311" spans="2:20" ht="15.75">
      <c r="B311" s="154">
        <v>44481</v>
      </c>
      <c r="C311" s="119" t="s">
        <v>687</v>
      </c>
      <c r="D311" s="119"/>
      <c r="E311" s="119"/>
      <c r="F311" s="155">
        <v>-14.71</v>
      </c>
      <c r="G311" s="133" t="str">
        <f>_xlfn.XLOOKUP(Table1[[#This Row],[Account_ID]], Accounts[ID], Accounts[Account nickname], "Unknown")</f>
        <v>WF</v>
      </c>
      <c r="H311" s="134" t="str">
        <f>_xlfn.XLOOKUP(Table1[[#This Row],[Account_ID]], Accounts[ID], Accounts[Account'#], "Unknown")</f>
        <v>4636</v>
      </c>
      <c r="I311" s="135" t="str">
        <f>_xlfn.XLOOKUP(_xlfn.XLOOKUP(Table1[[#This Row],[Account]],Accounts[Account nickname],Accounts[Institution ID]),Institutions[ID],Institutions[Institution nickname],"Unknown")</f>
        <v>Wells Fargo</v>
      </c>
      <c r="J311" s="136" t="s">
        <v>1003</v>
      </c>
      <c r="K311" s="137" t="s">
        <v>808</v>
      </c>
      <c r="L311" s="137" t="s">
        <v>807</v>
      </c>
      <c r="M31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1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11" s="138" t="str" cm="1">
        <f t="array" ref="O311">IFERROR(INDEX(CategoriesTable[Category type],MATCH(Table1[[#This Row],[Category]],CategoriesTable[Category name],0),0),"")</f>
        <v/>
      </c>
      <c r="P311" s="138">
        <v>12</v>
      </c>
      <c r="Q311" s="138">
        <f>MONTH(Table1[[#This Row],[Date]])</f>
        <v>10</v>
      </c>
      <c r="R311" s="138">
        <v>2021</v>
      </c>
      <c r="S311" s="139">
        <f>IF(ISBLANK(Table1[[#This Row],[Date]]),"",Table1[[#This Row],[Date]]-WEEKDAY(Table1[[#This Row],[Date]],2)+1)</f>
        <v>44480</v>
      </c>
      <c r="T311" s="140">
        <f>IF(ISBLANK(Table1[[#This Row],[Date]]),"",DATE(Table1[[#This Row],[Date_Year]],Table1[[#This Row],[Date_Month]],1))</f>
        <v>44470</v>
      </c>
    </row>
    <row r="312" spans="2:20" ht="15.75">
      <c r="B312" s="154">
        <v>44481</v>
      </c>
      <c r="C312" s="119" t="s">
        <v>723</v>
      </c>
      <c r="D312" s="119"/>
      <c r="E312" s="119"/>
      <c r="F312" s="155">
        <v>1201.5999999999999</v>
      </c>
      <c r="G312" s="133" t="str">
        <f>_xlfn.XLOOKUP(Table1[[#This Row],[Account_ID]], Accounts[ID], Accounts[Account nickname], "Unknown")</f>
        <v>WF</v>
      </c>
      <c r="H312" s="134" t="str">
        <f>_xlfn.XLOOKUP(Table1[[#This Row],[Account_ID]], Accounts[ID], Accounts[Account'#], "Unknown")</f>
        <v>4636</v>
      </c>
      <c r="I312" s="135" t="str">
        <f>_xlfn.XLOOKUP(_xlfn.XLOOKUP(Table1[[#This Row],[Account]],Accounts[Account nickname],Accounts[Institution ID]),Institutions[ID],Institutions[Institution nickname],"Unknown")</f>
        <v>Wells Fargo</v>
      </c>
      <c r="J312" s="136" t="s">
        <v>1004</v>
      </c>
      <c r="K312" s="137" t="s">
        <v>808</v>
      </c>
      <c r="L312" s="137" t="s">
        <v>807</v>
      </c>
      <c r="M31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1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12" s="138" t="str" cm="1">
        <f t="array" ref="O312">IFERROR(INDEX(CategoriesTable[Category type],MATCH(Table1[[#This Row],[Category]],CategoriesTable[Category name],0),0),"")</f>
        <v/>
      </c>
      <c r="P312" s="138">
        <v>12</v>
      </c>
      <c r="Q312" s="138">
        <f>MONTH(Table1[[#This Row],[Date]])</f>
        <v>10</v>
      </c>
      <c r="R312" s="138">
        <v>2021</v>
      </c>
      <c r="S312" s="139">
        <f>IF(ISBLANK(Table1[[#This Row],[Date]]),"",Table1[[#This Row],[Date]]-WEEKDAY(Table1[[#This Row],[Date]],2)+1)</f>
        <v>44480</v>
      </c>
      <c r="T312" s="140">
        <f>IF(ISBLANK(Table1[[#This Row],[Date]]),"",DATE(Table1[[#This Row],[Date_Year]],Table1[[#This Row],[Date_Month]],1))</f>
        <v>44470</v>
      </c>
    </row>
    <row r="313" spans="2:20" ht="15.75">
      <c r="B313" s="154">
        <v>44481</v>
      </c>
      <c r="C313" s="119" t="s">
        <v>1600</v>
      </c>
      <c r="D313" s="119"/>
      <c r="E313" s="119"/>
      <c r="F313" s="155">
        <v>-124.99</v>
      </c>
      <c r="G313" s="133" t="str">
        <f>_xlfn.XLOOKUP(Table1[[#This Row],[Account_ID]], Accounts[ID], Accounts[Account nickname], "Unknown")</f>
        <v>Discover</v>
      </c>
      <c r="H313" s="134" t="str">
        <f>_xlfn.XLOOKUP(Table1[[#This Row],[Account_ID]], Accounts[ID], Accounts[Account'#], "Unknown")</f>
        <v>4618</v>
      </c>
      <c r="I313" s="135" t="str">
        <f>_xlfn.XLOOKUP(_xlfn.XLOOKUP(Table1[[#This Row],[Account]],Accounts[Account nickname],Accounts[Institution ID]),Institutions[ID],Institutions[Institution nickname],"Unknown")</f>
        <v>Discover</v>
      </c>
      <c r="J313" s="136" t="s">
        <v>1601</v>
      </c>
      <c r="K313" s="137" t="s">
        <v>843</v>
      </c>
      <c r="L313" s="137" t="s">
        <v>841</v>
      </c>
      <c r="M31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1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13" s="138" t="str" cm="1">
        <f t="array" ref="O313">IFERROR(INDEX(CategoriesTable[Category type],MATCH(Table1[[#This Row],[Category]],CategoriesTable[Category name],0),0),"")</f>
        <v/>
      </c>
      <c r="P313" s="138">
        <v>12</v>
      </c>
      <c r="Q313" s="138">
        <f>MONTH(Table1[[#This Row],[Date]])</f>
        <v>10</v>
      </c>
      <c r="R313" s="138">
        <v>2021</v>
      </c>
      <c r="S313" s="139">
        <f>IF(ISBLANK(Table1[[#This Row],[Date]]),"",Table1[[#This Row],[Date]]-WEEKDAY(Table1[[#This Row],[Date]],2)+1)</f>
        <v>44480</v>
      </c>
      <c r="T313" s="140">
        <f>IF(ISBLANK(Table1[[#This Row],[Date]]),"",DATE(Table1[[#This Row],[Date_Year]],Table1[[#This Row],[Date_Month]],1))</f>
        <v>44470</v>
      </c>
    </row>
    <row r="314" spans="2:20" ht="15.75">
      <c r="B314" s="154">
        <v>44480</v>
      </c>
      <c r="C314" s="119" t="s">
        <v>724</v>
      </c>
      <c r="D314" s="119"/>
      <c r="E314" s="119"/>
      <c r="F314" s="155">
        <v>-34.43</v>
      </c>
      <c r="G314" s="133" t="str">
        <f>_xlfn.XLOOKUP(Table1[[#This Row],[Account_ID]], Accounts[ID], Accounts[Account nickname], "Unknown")</f>
        <v>WF</v>
      </c>
      <c r="H314" s="134" t="str">
        <f>_xlfn.XLOOKUP(Table1[[#This Row],[Account_ID]], Accounts[ID], Accounts[Account'#], "Unknown")</f>
        <v>4636</v>
      </c>
      <c r="I314" s="135" t="str">
        <f>_xlfn.XLOOKUP(_xlfn.XLOOKUP(Table1[[#This Row],[Account]],Accounts[Account nickname],Accounts[Institution ID]),Institutions[ID],Institutions[Institution nickname],"Unknown")</f>
        <v>Wells Fargo</v>
      </c>
      <c r="J314" s="136" t="s">
        <v>1005</v>
      </c>
      <c r="K314" s="137" t="s">
        <v>808</v>
      </c>
      <c r="L314" s="137" t="s">
        <v>807</v>
      </c>
      <c r="M31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1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14" s="138" t="str" cm="1">
        <f t="array" ref="O314">IFERROR(INDEX(CategoriesTable[Category type],MATCH(Table1[[#This Row],[Category]],CategoriesTable[Category name],0),0),"")</f>
        <v/>
      </c>
      <c r="P314" s="138">
        <v>11</v>
      </c>
      <c r="Q314" s="138">
        <f>MONTH(Table1[[#This Row],[Date]])</f>
        <v>10</v>
      </c>
      <c r="R314" s="138">
        <v>2021</v>
      </c>
      <c r="S314" s="139">
        <f>IF(ISBLANK(Table1[[#This Row],[Date]]),"",Table1[[#This Row],[Date]]-WEEKDAY(Table1[[#This Row],[Date]],2)+1)</f>
        <v>44480</v>
      </c>
      <c r="T314" s="140">
        <f>IF(ISBLANK(Table1[[#This Row],[Date]]),"",DATE(Table1[[#This Row],[Date_Year]],Table1[[#This Row],[Date_Month]],1))</f>
        <v>44470</v>
      </c>
    </row>
    <row r="315" spans="2:20" ht="15.75">
      <c r="B315" s="154">
        <v>44480</v>
      </c>
      <c r="C315" s="119" t="s">
        <v>1603</v>
      </c>
      <c r="D315" s="119"/>
      <c r="E315" s="119"/>
      <c r="F315" s="155">
        <v>-69.95</v>
      </c>
      <c r="G315" s="133" t="str">
        <f>_xlfn.XLOOKUP(Table1[[#This Row],[Account_ID]], Accounts[ID], Accounts[Account nickname], "Unknown")</f>
        <v>Discover</v>
      </c>
      <c r="H315" s="134" t="str">
        <f>_xlfn.XLOOKUP(Table1[[#This Row],[Account_ID]], Accounts[ID], Accounts[Account'#], "Unknown")</f>
        <v>4618</v>
      </c>
      <c r="I315" s="135" t="str">
        <f>_xlfn.XLOOKUP(_xlfn.XLOOKUP(Table1[[#This Row],[Account]],Accounts[Account nickname],Accounts[Institution ID]),Institutions[ID],Institutions[Institution nickname],"Unknown")</f>
        <v>Discover</v>
      </c>
      <c r="J315" s="136" t="s">
        <v>1604</v>
      </c>
      <c r="K315" s="137" t="s">
        <v>843</v>
      </c>
      <c r="L315" s="137" t="s">
        <v>841</v>
      </c>
      <c r="M31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1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15" s="138" t="str" cm="1">
        <f t="array" ref="O315">IFERROR(INDEX(CategoriesTable[Category type],MATCH(Table1[[#This Row],[Category]],CategoriesTable[Category name],0),0),"")</f>
        <v/>
      </c>
      <c r="P315" s="138">
        <v>11</v>
      </c>
      <c r="Q315" s="138">
        <f>MONTH(Table1[[#This Row],[Date]])</f>
        <v>10</v>
      </c>
      <c r="R315" s="138">
        <v>2021</v>
      </c>
      <c r="S315" s="139">
        <f>IF(ISBLANK(Table1[[#This Row],[Date]]),"",Table1[[#This Row],[Date]]-WEEKDAY(Table1[[#This Row],[Date]],2)+1)</f>
        <v>44480</v>
      </c>
      <c r="T315" s="140">
        <f>IF(ISBLANK(Table1[[#This Row],[Date]]),"",DATE(Table1[[#This Row],[Date_Year]],Table1[[#This Row],[Date_Month]],1))</f>
        <v>44470</v>
      </c>
    </row>
    <row r="316" spans="2:20" ht="15.75">
      <c r="B316" s="154">
        <v>44480</v>
      </c>
      <c r="C316" s="119" t="s">
        <v>1605</v>
      </c>
      <c r="D316" s="119"/>
      <c r="E316" s="119"/>
      <c r="F316" s="155">
        <v>-173.81</v>
      </c>
      <c r="G316" s="133" t="str">
        <f>_xlfn.XLOOKUP(Table1[[#This Row],[Account_ID]], Accounts[ID], Accounts[Account nickname], "Unknown")</f>
        <v>Discover</v>
      </c>
      <c r="H316" s="134" t="str">
        <f>_xlfn.XLOOKUP(Table1[[#This Row],[Account_ID]], Accounts[ID], Accounts[Account'#], "Unknown")</f>
        <v>4618</v>
      </c>
      <c r="I316" s="135" t="str">
        <f>_xlfn.XLOOKUP(_xlfn.XLOOKUP(Table1[[#This Row],[Account]],Accounts[Account nickname],Accounts[Institution ID]),Institutions[ID],Institutions[Institution nickname],"Unknown")</f>
        <v>Discover</v>
      </c>
      <c r="J316" s="136" t="s">
        <v>1607</v>
      </c>
      <c r="K316" s="137" t="s">
        <v>843</v>
      </c>
      <c r="L316" s="137" t="s">
        <v>841</v>
      </c>
      <c r="M31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1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16" s="138" t="str" cm="1">
        <f t="array" ref="O316">IFERROR(INDEX(CategoriesTable[Category type],MATCH(Table1[[#This Row],[Category]],CategoriesTable[Category name],0),0),"")</f>
        <v/>
      </c>
      <c r="P316" s="138">
        <v>11</v>
      </c>
      <c r="Q316" s="138">
        <f>MONTH(Table1[[#This Row],[Date]])</f>
        <v>10</v>
      </c>
      <c r="R316" s="138">
        <v>2021</v>
      </c>
      <c r="S316" s="139">
        <f>IF(ISBLANK(Table1[[#This Row],[Date]]),"",Table1[[#This Row],[Date]]-WEEKDAY(Table1[[#This Row],[Date]],2)+1)</f>
        <v>44480</v>
      </c>
      <c r="T316" s="140">
        <f>IF(ISBLANK(Table1[[#This Row],[Date]]),"",DATE(Table1[[#This Row],[Date_Year]],Table1[[#This Row],[Date_Month]],1))</f>
        <v>44470</v>
      </c>
    </row>
    <row r="317" spans="2:20" ht="15.75">
      <c r="B317" s="154">
        <v>44480</v>
      </c>
      <c r="C317" s="119" t="s">
        <v>1605</v>
      </c>
      <c r="D317" s="119"/>
      <c r="E317" s="119"/>
      <c r="F317" s="155">
        <v>-20.62</v>
      </c>
      <c r="G317" s="133" t="str">
        <f>_xlfn.XLOOKUP(Table1[[#This Row],[Account_ID]], Accounts[ID], Accounts[Account nickname], "Unknown")</f>
        <v>Discover</v>
      </c>
      <c r="H317" s="134" t="str">
        <f>_xlfn.XLOOKUP(Table1[[#This Row],[Account_ID]], Accounts[ID], Accounts[Account'#], "Unknown")</f>
        <v>4618</v>
      </c>
      <c r="I317" s="135" t="str">
        <f>_xlfn.XLOOKUP(_xlfn.XLOOKUP(Table1[[#This Row],[Account]],Accounts[Account nickname],Accounts[Institution ID]),Institutions[ID],Institutions[Institution nickname],"Unknown")</f>
        <v>Discover</v>
      </c>
      <c r="J317" s="136" t="s">
        <v>1606</v>
      </c>
      <c r="K317" s="137" t="s">
        <v>843</v>
      </c>
      <c r="L317" s="137" t="s">
        <v>841</v>
      </c>
      <c r="M31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1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17" s="138" t="str" cm="1">
        <f t="array" ref="O317">IFERROR(INDEX(CategoriesTable[Category type],MATCH(Table1[[#This Row],[Category]],CategoriesTable[Category name],0),0),"")</f>
        <v/>
      </c>
      <c r="P317" s="138">
        <v>11</v>
      </c>
      <c r="Q317" s="138">
        <f>MONTH(Table1[[#This Row],[Date]])</f>
        <v>10</v>
      </c>
      <c r="R317" s="138">
        <v>2021</v>
      </c>
      <c r="S317" s="139">
        <f>IF(ISBLANK(Table1[[#This Row],[Date]]),"",Table1[[#This Row],[Date]]-WEEKDAY(Table1[[#This Row],[Date]],2)+1)</f>
        <v>44480</v>
      </c>
      <c r="T317" s="140">
        <f>IF(ISBLANK(Table1[[#This Row],[Date]]),"",DATE(Table1[[#This Row],[Date_Year]],Table1[[#This Row],[Date_Month]],1))</f>
        <v>44470</v>
      </c>
    </row>
    <row r="318" spans="2:20" ht="15.75">
      <c r="B318" s="154">
        <v>44479</v>
      </c>
      <c r="C318" s="119" t="s">
        <v>1611</v>
      </c>
      <c r="D318" s="119"/>
      <c r="E318" s="119"/>
      <c r="F318" s="155">
        <v>-161.61000000000001</v>
      </c>
      <c r="G318" s="133" t="str">
        <f>_xlfn.XLOOKUP(Table1[[#This Row],[Account_ID]], Accounts[ID], Accounts[Account nickname], "Unknown")</f>
        <v>Discover</v>
      </c>
      <c r="H318" s="134" t="str">
        <f>_xlfn.XLOOKUP(Table1[[#This Row],[Account_ID]], Accounts[ID], Accounts[Account'#], "Unknown")</f>
        <v>4618</v>
      </c>
      <c r="I318" s="135" t="str">
        <f>_xlfn.XLOOKUP(_xlfn.XLOOKUP(Table1[[#This Row],[Account]],Accounts[Account nickname],Accounts[Institution ID]),Institutions[ID],Institutions[Institution nickname],"Unknown")</f>
        <v>Discover</v>
      </c>
      <c r="J318" s="136" t="s">
        <v>1612</v>
      </c>
      <c r="K318" s="137" t="s">
        <v>843</v>
      </c>
      <c r="L318" s="137" t="s">
        <v>841</v>
      </c>
      <c r="M31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1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18" s="138" t="str" cm="1">
        <f t="array" ref="O318">IFERROR(INDEX(CategoriesTable[Category type],MATCH(Table1[[#This Row],[Category]],CategoriesTable[Category name],0),0),"")</f>
        <v/>
      </c>
      <c r="P318" s="138">
        <v>10</v>
      </c>
      <c r="Q318" s="138">
        <f>MONTH(Table1[[#This Row],[Date]])</f>
        <v>10</v>
      </c>
      <c r="R318" s="138">
        <v>2021</v>
      </c>
      <c r="S318" s="139">
        <f>IF(ISBLANK(Table1[[#This Row],[Date]]),"",Table1[[#This Row],[Date]]-WEEKDAY(Table1[[#This Row],[Date]],2)+1)</f>
        <v>44473</v>
      </c>
      <c r="T318" s="140">
        <f>IF(ISBLANK(Table1[[#This Row],[Date]]),"",DATE(Table1[[#This Row],[Date_Year]],Table1[[#This Row],[Date_Month]],1))</f>
        <v>44470</v>
      </c>
    </row>
    <row r="319" spans="2:20" ht="15.75">
      <c r="B319" s="154">
        <v>44479</v>
      </c>
      <c r="C319" s="119" t="s">
        <v>910</v>
      </c>
      <c r="D319" s="119"/>
      <c r="E319" s="119"/>
      <c r="F319" s="155">
        <v>-42.39</v>
      </c>
      <c r="G319" s="133" t="str">
        <f>_xlfn.XLOOKUP(Table1[[#This Row],[Account_ID]], Accounts[ID], Accounts[Account nickname], "Unknown")</f>
        <v>Discover</v>
      </c>
      <c r="H319" s="134" t="str">
        <f>_xlfn.XLOOKUP(Table1[[#This Row],[Account_ID]], Accounts[ID], Accounts[Account'#], "Unknown")</f>
        <v>4618</v>
      </c>
      <c r="I319" s="135" t="str">
        <f>_xlfn.XLOOKUP(_xlfn.XLOOKUP(Table1[[#This Row],[Account]],Accounts[Account nickname],Accounts[Institution ID]),Institutions[ID],Institutions[Institution nickname],"Unknown")</f>
        <v>Discover</v>
      </c>
      <c r="J319" s="136" t="s">
        <v>1610</v>
      </c>
      <c r="K319" s="137" t="s">
        <v>843</v>
      </c>
      <c r="L319" s="137" t="s">
        <v>841</v>
      </c>
      <c r="M31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1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19" s="138" t="str" cm="1">
        <f t="array" ref="O319">IFERROR(INDEX(CategoriesTable[Category type],MATCH(Table1[[#This Row],[Category]],CategoriesTable[Category name],0),0),"")</f>
        <v/>
      </c>
      <c r="P319" s="138">
        <v>10</v>
      </c>
      <c r="Q319" s="138">
        <f>MONTH(Table1[[#This Row],[Date]])</f>
        <v>10</v>
      </c>
      <c r="R319" s="138">
        <v>2021</v>
      </c>
      <c r="S319" s="139">
        <f>IF(ISBLANK(Table1[[#This Row],[Date]]),"",Table1[[#This Row],[Date]]-WEEKDAY(Table1[[#This Row],[Date]],2)+1)</f>
        <v>44473</v>
      </c>
      <c r="T319" s="140">
        <f>IF(ISBLANK(Table1[[#This Row],[Date]]),"",DATE(Table1[[#This Row],[Date_Year]],Table1[[#This Row],[Date_Month]],1))</f>
        <v>44470</v>
      </c>
    </row>
    <row r="320" spans="2:20" ht="15.75">
      <c r="B320" s="154">
        <v>44479</v>
      </c>
      <c r="C320" s="119" t="s">
        <v>1608</v>
      </c>
      <c r="D320" s="119"/>
      <c r="E320" s="119"/>
      <c r="F320" s="155">
        <v>-27.78</v>
      </c>
      <c r="G320" s="133" t="str">
        <f>_xlfn.XLOOKUP(Table1[[#This Row],[Account_ID]], Accounts[ID], Accounts[Account nickname], "Unknown")</f>
        <v>Discover</v>
      </c>
      <c r="H320" s="134" t="str">
        <f>_xlfn.XLOOKUP(Table1[[#This Row],[Account_ID]], Accounts[ID], Accounts[Account'#], "Unknown")</f>
        <v>4618</v>
      </c>
      <c r="I320" s="135" t="str">
        <f>_xlfn.XLOOKUP(_xlfn.XLOOKUP(Table1[[#This Row],[Account]],Accounts[Account nickname],Accounts[Institution ID]),Institutions[ID],Institutions[Institution nickname],"Unknown")</f>
        <v>Discover</v>
      </c>
      <c r="J320" s="136" t="s">
        <v>1609</v>
      </c>
      <c r="K320" s="137" t="s">
        <v>843</v>
      </c>
      <c r="L320" s="137" t="s">
        <v>841</v>
      </c>
      <c r="M32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2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20" s="138" t="str" cm="1">
        <f t="array" ref="O320">IFERROR(INDEX(CategoriesTable[Category type],MATCH(Table1[[#This Row],[Category]],CategoriesTable[Category name],0),0),"")</f>
        <v/>
      </c>
      <c r="P320" s="138">
        <v>10</v>
      </c>
      <c r="Q320" s="138">
        <f>MONTH(Table1[[#This Row],[Date]])</f>
        <v>10</v>
      </c>
      <c r="R320" s="138">
        <v>2021</v>
      </c>
      <c r="S320" s="139">
        <f>IF(ISBLANK(Table1[[#This Row],[Date]]),"",Table1[[#This Row],[Date]]-WEEKDAY(Table1[[#This Row],[Date]],2)+1)</f>
        <v>44473</v>
      </c>
      <c r="T320" s="140">
        <f>IF(ISBLANK(Table1[[#This Row],[Date]]),"",DATE(Table1[[#This Row],[Date_Year]],Table1[[#This Row],[Date_Month]],1))</f>
        <v>44470</v>
      </c>
    </row>
    <row r="321" spans="2:20" ht="15.75">
      <c r="B321" s="154">
        <v>44478</v>
      </c>
      <c r="C321" s="119" t="s">
        <v>898</v>
      </c>
      <c r="D321" s="119"/>
      <c r="E321" s="119"/>
      <c r="F321" s="155">
        <v>-4</v>
      </c>
      <c r="G321" s="133" t="str">
        <f>_xlfn.XLOOKUP(Table1[[#This Row],[Account_ID]], Accounts[ID], Accounts[Account nickname], "Unknown")</f>
        <v>Discover</v>
      </c>
      <c r="H321" s="134" t="str">
        <f>_xlfn.XLOOKUP(Table1[[#This Row],[Account_ID]], Accounts[ID], Accounts[Account'#], "Unknown")</f>
        <v>4618</v>
      </c>
      <c r="I321" s="135" t="str">
        <f>_xlfn.XLOOKUP(_xlfn.XLOOKUP(Table1[[#This Row],[Account]],Accounts[Account nickname],Accounts[Institution ID]),Institutions[ID],Institutions[Institution nickname],"Unknown")</f>
        <v>Discover</v>
      </c>
      <c r="J321" s="136" t="s">
        <v>1613</v>
      </c>
      <c r="K321" s="137" t="s">
        <v>843</v>
      </c>
      <c r="L321" s="137" t="s">
        <v>841</v>
      </c>
      <c r="M32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2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21" s="138" t="str" cm="1">
        <f t="array" ref="O321">IFERROR(INDEX(CategoriesTable[Category type],MATCH(Table1[[#This Row],[Category]],CategoriesTable[Category name],0),0),"")</f>
        <v/>
      </c>
      <c r="P321" s="138">
        <v>9</v>
      </c>
      <c r="Q321" s="138">
        <f>MONTH(Table1[[#This Row],[Date]])</f>
        <v>10</v>
      </c>
      <c r="R321" s="138">
        <v>2021</v>
      </c>
      <c r="S321" s="139">
        <f>IF(ISBLANK(Table1[[#This Row],[Date]]),"",Table1[[#This Row],[Date]]-WEEKDAY(Table1[[#This Row],[Date]],2)+1)</f>
        <v>44473</v>
      </c>
      <c r="T321" s="140">
        <f>IF(ISBLANK(Table1[[#This Row],[Date]]),"",DATE(Table1[[#This Row],[Date_Year]],Table1[[#This Row],[Date_Month]],1))</f>
        <v>44470</v>
      </c>
    </row>
    <row r="322" spans="2:20" ht="15.75">
      <c r="B322" s="154">
        <v>44478</v>
      </c>
      <c r="C322" s="119" t="s">
        <v>1620</v>
      </c>
      <c r="D322" s="119"/>
      <c r="E322" s="119"/>
      <c r="F322" s="155">
        <v>-29.49</v>
      </c>
      <c r="G322" s="133" t="str">
        <f>_xlfn.XLOOKUP(Table1[[#This Row],[Account_ID]], Accounts[ID], Accounts[Account nickname], "Unknown")</f>
        <v>Discover</v>
      </c>
      <c r="H322" s="134" t="str">
        <f>_xlfn.XLOOKUP(Table1[[#This Row],[Account_ID]], Accounts[ID], Accounts[Account'#], "Unknown")</f>
        <v>4618</v>
      </c>
      <c r="I322" s="135" t="str">
        <f>_xlfn.XLOOKUP(_xlfn.XLOOKUP(Table1[[#This Row],[Account]],Accounts[Account nickname],Accounts[Institution ID]),Institutions[ID],Institutions[Institution nickname],"Unknown")</f>
        <v>Discover</v>
      </c>
      <c r="J322" s="152" t="s">
        <v>1621</v>
      </c>
      <c r="K322" s="137" t="s">
        <v>843</v>
      </c>
      <c r="L322" s="137" t="s">
        <v>841</v>
      </c>
      <c r="M32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2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22" s="138" t="str" cm="1">
        <f t="array" ref="O322">IFERROR(INDEX(CategoriesTable[Category type],MATCH(Table1[[#This Row],[Category]],CategoriesTable[Category name],0),0),"")</f>
        <v/>
      </c>
      <c r="P322" s="138">
        <v>9</v>
      </c>
      <c r="Q322" s="138">
        <f>MONTH(Table1[[#This Row],[Date]])</f>
        <v>10</v>
      </c>
      <c r="R322" s="138">
        <v>2021</v>
      </c>
      <c r="S322" s="139">
        <f>IF(ISBLANK(Table1[[#This Row],[Date]]),"",Table1[[#This Row],[Date]]-WEEKDAY(Table1[[#This Row],[Date]],2)+1)</f>
        <v>44473</v>
      </c>
      <c r="T322" s="140">
        <f>IF(ISBLANK(Table1[[#This Row],[Date]]),"",DATE(Table1[[#This Row],[Date_Year]],Table1[[#This Row],[Date_Month]],1))</f>
        <v>44470</v>
      </c>
    </row>
    <row r="323" spans="2:20" ht="15.75">
      <c r="B323" s="154">
        <v>44478</v>
      </c>
      <c r="C323" s="119" t="s">
        <v>1618</v>
      </c>
      <c r="D323" s="119"/>
      <c r="E323" s="119"/>
      <c r="F323" s="155">
        <v>-31.75</v>
      </c>
      <c r="G323" s="133" t="str">
        <f>_xlfn.XLOOKUP(Table1[[#This Row],[Account_ID]], Accounts[ID], Accounts[Account nickname], "Unknown")</f>
        <v>Discover</v>
      </c>
      <c r="H323" s="134" t="str">
        <f>_xlfn.XLOOKUP(Table1[[#This Row],[Account_ID]], Accounts[ID], Accounts[Account'#], "Unknown")</f>
        <v>4618</v>
      </c>
      <c r="I323" s="135" t="str">
        <f>_xlfn.XLOOKUP(_xlfn.XLOOKUP(Table1[[#This Row],[Account]],Accounts[Account nickname],Accounts[Institution ID]),Institutions[ID],Institutions[Institution nickname],"Unknown")</f>
        <v>Discover</v>
      </c>
      <c r="J323" s="136" t="s">
        <v>1619</v>
      </c>
      <c r="K323" s="137" t="s">
        <v>843</v>
      </c>
      <c r="L323" s="137" t="s">
        <v>841</v>
      </c>
      <c r="M32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2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23" s="138" t="str" cm="1">
        <f t="array" ref="O323">IFERROR(INDEX(CategoriesTable[Category type],MATCH(Table1[[#This Row],[Category]],CategoriesTable[Category name],0),0),"")</f>
        <v/>
      </c>
      <c r="P323" s="138">
        <v>9</v>
      </c>
      <c r="Q323" s="138">
        <f>MONTH(Table1[[#This Row],[Date]])</f>
        <v>10</v>
      </c>
      <c r="R323" s="138">
        <v>2021</v>
      </c>
      <c r="S323" s="139">
        <f>IF(ISBLANK(Table1[[#This Row],[Date]]),"",Table1[[#This Row],[Date]]-WEEKDAY(Table1[[#This Row],[Date]],2)+1)</f>
        <v>44473</v>
      </c>
      <c r="T323" s="140">
        <f>IF(ISBLANK(Table1[[#This Row],[Date]]),"",DATE(Table1[[#This Row],[Date_Year]],Table1[[#This Row],[Date_Month]],1))</f>
        <v>44470</v>
      </c>
    </row>
    <row r="324" spans="2:20" ht="15.75">
      <c r="B324" s="154">
        <v>44478</v>
      </c>
      <c r="C324" s="119" t="s">
        <v>1614</v>
      </c>
      <c r="D324" s="119"/>
      <c r="E324" s="119"/>
      <c r="F324" s="155">
        <v>-1.24</v>
      </c>
      <c r="G324" s="133" t="str">
        <f>_xlfn.XLOOKUP(Table1[[#This Row],[Account_ID]], Accounts[ID], Accounts[Account nickname], "Unknown")</f>
        <v>Discover</v>
      </c>
      <c r="H324" s="134" t="str">
        <f>_xlfn.XLOOKUP(Table1[[#This Row],[Account_ID]], Accounts[ID], Accounts[Account'#], "Unknown")</f>
        <v>4618</v>
      </c>
      <c r="I324" s="135" t="str">
        <f>_xlfn.XLOOKUP(_xlfn.XLOOKUP(Table1[[#This Row],[Account]],Accounts[Account nickname],Accounts[Institution ID]),Institutions[ID],Institutions[Institution nickname],"Unknown")</f>
        <v>Discover</v>
      </c>
      <c r="J324" s="136" t="s">
        <v>1615</v>
      </c>
      <c r="K324" s="137" t="s">
        <v>843</v>
      </c>
      <c r="L324" s="137" t="s">
        <v>841</v>
      </c>
      <c r="M32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2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24" s="138" t="str" cm="1">
        <f t="array" ref="O324">IFERROR(INDEX(CategoriesTable[Category type],MATCH(Table1[[#This Row],[Category]],CategoriesTable[Category name],0),0),"")</f>
        <v/>
      </c>
      <c r="P324" s="138">
        <v>9</v>
      </c>
      <c r="Q324" s="138">
        <f>MONTH(Table1[[#This Row],[Date]])</f>
        <v>10</v>
      </c>
      <c r="R324" s="138">
        <v>2021</v>
      </c>
      <c r="S324" s="139">
        <f>IF(ISBLANK(Table1[[#This Row],[Date]]),"",Table1[[#This Row],[Date]]-WEEKDAY(Table1[[#This Row],[Date]],2)+1)</f>
        <v>44473</v>
      </c>
      <c r="T324" s="140">
        <f>IF(ISBLANK(Table1[[#This Row],[Date]]),"",DATE(Table1[[#This Row],[Date_Year]],Table1[[#This Row],[Date_Month]],1))</f>
        <v>44470</v>
      </c>
    </row>
    <row r="325" spans="2:20" ht="15.75">
      <c r="B325" s="154">
        <v>44478</v>
      </c>
      <c r="C325" s="119" t="s">
        <v>1616</v>
      </c>
      <c r="D325" s="119"/>
      <c r="E325" s="119"/>
      <c r="F325" s="155">
        <v>-8</v>
      </c>
      <c r="G325" s="133" t="str">
        <f>_xlfn.XLOOKUP(Table1[[#This Row],[Account_ID]], Accounts[ID], Accounts[Account nickname], "Unknown")</f>
        <v>Discover</v>
      </c>
      <c r="H325" s="134" t="str">
        <f>_xlfn.XLOOKUP(Table1[[#This Row],[Account_ID]], Accounts[ID], Accounts[Account'#], "Unknown")</f>
        <v>4618</v>
      </c>
      <c r="I325" s="135" t="str">
        <f>_xlfn.XLOOKUP(_xlfn.XLOOKUP(Table1[[#This Row],[Account]],Accounts[Account nickname],Accounts[Institution ID]),Institutions[ID],Institutions[Institution nickname],"Unknown")</f>
        <v>Discover</v>
      </c>
      <c r="J325" s="136" t="s">
        <v>1617</v>
      </c>
      <c r="K325" s="137" t="s">
        <v>843</v>
      </c>
      <c r="L325" s="137" t="s">
        <v>841</v>
      </c>
      <c r="M32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2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25" s="138" t="str" cm="1">
        <f t="array" ref="O325">IFERROR(INDEX(CategoriesTable[Category type],MATCH(Table1[[#This Row],[Category]],CategoriesTable[Category name],0),0),"")</f>
        <v/>
      </c>
      <c r="P325" s="138">
        <v>9</v>
      </c>
      <c r="Q325" s="138">
        <f>MONTH(Table1[[#This Row],[Date]])</f>
        <v>10</v>
      </c>
      <c r="R325" s="138">
        <v>2021</v>
      </c>
      <c r="S325" s="139">
        <f>IF(ISBLANK(Table1[[#This Row],[Date]]),"",Table1[[#This Row],[Date]]-WEEKDAY(Table1[[#This Row],[Date]],2)+1)</f>
        <v>44473</v>
      </c>
      <c r="T325" s="140">
        <f>IF(ISBLANK(Table1[[#This Row],[Date]]),"",DATE(Table1[[#This Row],[Date_Year]],Table1[[#This Row],[Date_Month]],1))</f>
        <v>44470</v>
      </c>
    </row>
    <row r="326" spans="2:20" ht="15.75">
      <c r="B326" s="154">
        <v>44477</v>
      </c>
      <c r="C326" s="119" t="s">
        <v>693</v>
      </c>
      <c r="D326" s="119"/>
      <c r="E326" s="119"/>
      <c r="F326" s="155">
        <v>-350</v>
      </c>
      <c r="G326" s="133" t="str">
        <f>_xlfn.XLOOKUP(Table1[[#This Row],[Account_ID]], Accounts[ID], Accounts[Account nickname], "Unknown")</f>
        <v>WF</v>
      </c>
      <c r="H326" s="134" t="str">
        <f>_xlfn.XLOOKUP(Table1[[#This Row],[Account_ID]], Accounts[ID], Accounts[Account'#], "Unknown")</f>
        <v>4636</v>
      </c>
      <c r="I326" s="135" t="str">
        <f>_xlfn.XLOOKUP(_xlfn.XLOOKUP(Table1[[#This Row],[Account]],Accounts[Account nickname],Accounts[Institution ID]),Institutions[ID],Institutions[Institution nickname],"Unknown")</f>
        <v>Wells Fargo</v>
      </c>
      <c r="J326" s="136" t="s">
        <v>1006</v>
      </c>
      <c r="K326" s="137" t="s">
        <v>808</v>
      </c>
      <c r="L326" s="137" t="s">
        <v>807</v>
      </c>
      <c r="M32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2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26" s="138" t="str" cm="1">
        <f t="array" ref="O326">IFERROR(INDEX(CategoriesTable[Category type],MATCH(Table1[[#This Row],[Category]],CategoriesTable[Category name],0),0),"")</f>
        <v/>
      </c>
      <c r="P326" s="138">
        <v>8</v>
      </c>
      <c r="Q326" s="138">
        <f>MONTH(Table1[[#This Row],[Date]])</f>
        <v>10</v>
      </c>
      <c r="R326" s="138">
        <v>2021</v>
      </c>
      <c r="S326" s="139">
        <f>IF(ISBLANK(Table1[[#This Row],[Date]]),"",Table1[[#This Row],[Date]]-WEEKDAY(Table1[[#This Row],[Date]],2)+1)</f>
        <v>44473</v>
      </c>
      <c r="T326" s="140">
        <f>IF(ISBLANK(Table1[[#This Row],[Date]]),"",DATE(Table1[[#This Row],[Date_Year]],Table1[[#This Row],[Date_Month]],1))</f>
        <v>44470</v>
      </c>
    </row>
    <row r="327" spans="2:20" ht="15.75">
      <c r="B327" s="154">
        <v>44477</v>
      </c>
      <c r="C327" s="119" t="s">
        <v>685</v>
      </c>
      <c r="D327" s="119"/>
      <c r="E327" s="119"/>
      <c r="F327" s="155">
        <v>-2378.52</v>
      </c>
      <c r="G327" s="133" t="str">
        <f>_xlfn.XLOOKUP(Table1[[#This Row],[Account_ID]], Accounts[ID], Accounts[Account nickname], "Unknown")</f>
        <v>WF</v>
      </c>
      <c r="H327" s="134" t="str">
        <f>_xlfn.XLOOKUP(Table1[[#This Row],[Account_ID]], Accounts[ID], Accounts[Account'#], "Unknown")</f>
        <v>4636</v>
      </c>
      <c r="I327" s="135" t="str">
        <f>_xlfn.XLOOKUP(_xlfn.XLOOKUP(Table1[[#This Row],[Account]],Accounts[Account nickname],Accounts[Institution ID]),Institutions[ID],Institutions[Institution nickname],"Unknown")</f>
        <v>Wells Fargo</v>
      </c>
      <c r="J327" s="136" t="s">
        <v>1007</v>
      </c>
      <c r="K327" s="137" t="s">
        <v>808</v>
      </c>
      <c r="L327" s="137" t="s">
        <v>807</v>
      </c>
      <c r="M32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2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27" s="138" t="str" cm="1">
        <f t="array" ref="O327">IFERROR(INDEX(CategoriesTable[Category type],MATCH(Table1[[#This Row],[Category]],CategoriesTable[Category name],0),0),"")</f>
        <v/>
      </c>
      <c r="P327" s="138">
        <v>8</v>
      </c>
      <c r="Q327" s="138">
        <f>MONTH(Table1[[#This Row],[Date]])</f>
        <v>10</v>
      </c>
      <c r="R327" s="138">
        <v>2021</v>
      </c>
      <c r="S327" s="139">
        <f>IF(ISBLANK(Table1[[#This Row],[Date]]),"",Table1[[#This Row],[Date]]-WEEKDAY(Table1[[#This Row],[Date]],2)+1)</f>
        <v>44473</v>
      </c>
      <c r="T327" s="140">
        <f>IF(ISBLANK(Table1[[#This Row],[Date]]),"",DATE(Table1[[#This Row],[Date_Year]],Table1[[#This Row],[Date_Month]],1))</f>
        <v>44470</v>
      </c>
    </row>
    <row r="328" spans="2:20" ht="15.75">
      <c r="B328" s="154">
        <v>44477</v>
      </c>
      <c r="C328" s="119" t="s">
        <v>1470</v>
      </c>
      <c r="D328" s="119"/>
      <c r="E328" s="119"/>
      <c r="F328" s="155">
        <v>-12.84</v>
      </c>
      <c r="G328" s="133" t="str">
        <f>_xlfn.XLOOKUP(Table1[[#This Row],[Account_ID]], Accounts[ID], Accounts[Account nickname], "Unknown")</f>
        <v>Discover</v>
      </c>
      <c r="H328" s="134" t="str">
        <f>_xlfn.XLOOKUP(Table1[[#This Row],[Account_ID]], Accounts[ID], Accounts[Account'#], "Unknown")</f>
        <v>4618</v>
      </c>
      <c r="I328" s="135" t="str">
        <f>_xlfn.XLOOKUP(_xlfn.XLOOKUP(Table1[[#This Row],[Account]],Accounts[Account nickname],Accounts[Institution ID]),Institutions[ID],Institutions[Institution nickname],"Unknown")</f>
        <v>Discover</v>
      </c>
      <c r="J328" s="136" t="s">
        <v>1622</v>
      </c>
      <c r="K328" s="137" t="s">
        <v>843</v>
      </c>
      <c r="L328" s="137" t="s">
        <v>841</v>
      </c>
      <c r="M32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2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28" s="138" t="str" cm="1">
        <f t="array" ref="O328">IFERROR(INDEX(CategoriesTable[Category type],MATCH(Table1[[#This Row],[Category]],CategoriesTable[Category name],0),0),"")</f>
        <v/>
      </c>
      <c r="P328" s="138">
        <v>8</v>
      </c>
      <c r="Q328" s="138">
        <f>MONTH(Table1[[#This Row],[Date]])</f>
        <v>10</v>
      </c>
      <c r="R328" s="138">
        <v>2021</v>
      </c>
      <c r="S328" s="139">
        <f>IF(ISBLANK(Table1[[#This Row],[Date]]),"",Table1[[#This Row],[Date]]-WEEKDAY(Table1[[#This Row],[Date]],2)+1)</f>
        <v>44473</v>
      </c>
      <c r="T328" s="140">
        <f>IF(ISBLANK(Table1[[#This Row],[Date]]),"",DATE(Table1[[#This Row],[Date_Year]],Table1[[#This Row],[Date_Month]],1))</f>
        <v>44470</v>
      </c>
    </row>
    <row r="329" spans="2:20" ht="15.75">
      <c r="B329" s="154">
        <v>44477</v>
      </c>
      <c r="C329" s="119" t="s">
        <v>1625</v>
      </c>
      <c r="D329" s="119"/>
      <c r="E329" s="119"/>
      <c r="F329" s="155">
        <v>-4.78</v>
      </c>
      <c r="G329" s="133" t="str">
        <f>_xlfn.XLOOKUP(Table1[[#This Row],[Account_ID]], Accounts[ID], Accounts[Account nickname], "Unknown")</f>
        <v>Discover</v>
      </c>
      <c r="H329" s="134" t="str">
        <f>_xlfn.XLOOKUP(Table1[[#This Row],[Account_ID]], Accounts[ID], Accounts[Account'#], "Unknown")</f>
        <v>4618</v>
      </c>
      <c r="I329" s="135" t="str">
        <f>_xlfn.XLOOKUP(_xlfn.XLOOKUP(Table1[[#This Row],[Account]],Accounts[Account nickname],Accounts[Institution ID]),Institutions[ID],Institutions[Institution nickname],"Unknown")</f>
        <v>Discover</v>
      </c>
      <c r="J329" s="136" t="s">
        <v>1626</v>
      </c>
      <c r="K329" s="137" t="s">
        <v>843</v>
      </c>
      <c r="L329" s="137" t="s">
        <v>841</v>
      </c>
      <c r="M32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2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29" s="138" t="str" cm="1">
        <f t="array" ref="O329">IFERROR(INDEX(CategoriesTable[Category type],MATCH(Table1[[#This Row],[Category]],CategoriesTable[Category name],0),0),"")</f>
        <v/>
      </c>
      <c r="P329" s="138">
        <v>8</v>
      </c>
      <c r="Q329" s="138">
        <f>MONTH(Table1[[#This Row],[Date]])</f>
        <v>10</v>
      </c>
      <c r="R329" s="138">
        <v>2021</v>
      </c>
      <c r="S329" s="139">
        <f>IF(ISBLANK(Table1[[#This Row],[Date]]),"",Table1[[#This Row],[Date]]-WEEKDAY(Table1[[#This Row],[Date]],2)+1)</f>
        <v>44473</v>
      </c>
      <c r="T329" s="140">
        <f>IF(ISBLANK(Table1[[#This Row],[Date]]),"",DATE(Table1[[#This Row],[Date_Year]],Table1[[#This Row],[Date_Month]],1))</f>
        <v>44470</v>
      </c>
    </row>
    <row r="330" spans="2:20" ht="15.75">
      <c r="B330" s="154">
        <v>44477</v>
      </c>
      <c r="C330" s="119" t="s">
        <v>1623</v>
      </c>
      <c r="D330" s="119"/>
      <c r="E330" s="119"/>
      <c r="F330" s="155">
        <v>-11</v>
      </c>
      <c r="G330" s="133" t="str">
        <f>_xlfn.XLOOKUP(Table1[[#This Row],[Account_ID]], Accounts[ID], Accounts[Account nickname], "Unknown")</f>
        <v>Discover</v>
      </c>
      <c r="H330" s="134" t="str">
        <f>_xlfn.XLOOKUP(Table1[[#This Row],[Account_ID]], Accounts[ID], Accounts[Account'#], "Unknown")</f>
        <v>4618</v>
      </c>
      <c r="I330" s="135" t="str">
        <f>_xlfn.XLOOKUP(_xlfn.XLOOKUP(Table1[[#This Row],[Account]],Accounts[Account nickname],Accounts[Institution ID]),Institutions[ID],Institutions[Institution nickname],"Unknown")</f>
        <v>Discover</v>
      </c>
      <c r="J330" s="136" t="s">
        <v>1624</v>
      </c>
      <c r="K330" s="137" t="s">
        <v>843</v>
      </c>
      <c r="L330" s="137" t="s">
        <v>841</v>
      </c>
      <c r="M33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3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30" s="138" t="str" cm="1">
        <f t="array" ref="O330">IFERROR(INDEX(CategoriesTable[Category type],MATCH(Table1[[#This Row],[Category]],CategoriesTable[Category name],0),0),"")</f>
        <v/>
      </c>
      <c r="P330" s="138">
        <v>8</v>
      </c>
      <c r="Q330" s="138">
        <f>MONTH(Table1[[#This Row],[Date]])</f>
        <v>10</v>
      </c>
      <c r="R330" s="138">
        <v>2021</v>
      </c>
      <c r="S330" s="139">
        <f>IF(ISBLANK(Table1[[#This Row],[Date]]),"",Table1[[#This Row],[Date]]-WEEKDAY(Table1[[#This Row],[Date]],2)+1)</f>
        <v>44473</v>
      </c>
      <c r="T330" s="140">
        <f>IF(ISBLANK(Table1[[#This Row],[Date]]),"",DATE(Table1[[#This Row],[Date_Year]],Table1[[#This Row],[Date_Month]],1))</f>
        <v>44470</v>
      </c>
    </row>
    <row r="331" spans="2:20" ht="15.75">
      <c r="B331" s="154">
        <v>44476</v>
      </c>
      <c r="C331" s="119" t="s">
        <v>1377</v>
      </c>
      <c r="D331" s="119" t="s">
        <v>106</v>
      </c>
      <c r="E331" s="119"/>
      <c r="F331" s="155">
        <v>2378.52</v>
      </c>
      <c r="G331" s="133" t="str">
        <f>_xlfn.XLOOKUP(Table1[[#This Row],[Account_ID]], Accounts[ID], Accounts[Account nickname], "Unknown")</f>
        <v>BB</v>
      </c>
      <c r="H331" s="134" t="str">
        <f>_xlfn.XLOOKUP(Table1[[#This Row],[Account_ID]], Accounts[ID], Accounts[Account'#], "Unknown")</f>
        <v>4561</v>
      </c>
      <c r="I331" s="135" t="str">
        <f>_xlfn.XLOOKUP(_xlfn.XLOOKUP(Table1[[#This Row],[Account]],Accounts[Account nickname],Accounts[Institution ID]),Institutions[ID],Institutions[Institution nickname],"Unknown")</f>
        <v>Best Buy - Citi Card</v>
      </c>
      <c r="J331" s="136" t="s">
        <v>1630</v>
      </c>
      <c r="K331" s="137" t="s">
        <v>1375</v>
      </c>
      <c r="L331" s="137" t="s">
        <v>1372</v>
      </c>
      <c r="M33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3dafc6bd8d7c45ae9840ff09e01567d1</v>
      </c>
      <c r="N33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31" s="138" t="str" cm="1">
        <f t="array" ref="O331">IFERROR(INDEX(CategoriesTable[Category type],MATCH(Table1[[#This Row],[Category]],CategoriesTable[Category name],0),0),"")</f>
        <v>Expense</v>
      </c>
      <c r="P331" s="138">
        <v>7</v>
      </c>
      <c r="Q331" s="138">
        <f>MONTH(Table1[[#This Row],[Date]])</f>
        <v>10</v>
      </c>
      <c r="R331" s="138">
        <v>2021</v>
      </c>
      <c r="S331" s="139">
        <f>IF(ISBLANK(Table1[[#This Row],[Date]]),"",Table1[[#This Row],[Date]]-WEEKDAY(Table1[[#This Row],[Date]],2)+1)</f>
        <v>44473</v>
      </c>
      <c r="T331" s="140">
        <f>IF(ISBLANK(Table1[[#This Row],[Date]]),"",DATE(Table1[[#This Row],[Date_Year]],Table1[[#This Row],[Date_Month]],1))</f>
        <v>44470</v>
      </c>
    </row>
    <row r="332" spans="2:20" ht="15.75">
      <c r="B332" s="154">
        <v>44476</v>
      </c>
      <c r="C332" s="119" t="s">
        <v>724</v>
      </c>
      <c r="D332" s="119"/>
      <c r="E332" s="119"/>
      <c r="F332" s="155">
        <v>-32.090000000000003</v>
      </c>
      <c r="G332" s="133" t="str">
        <f>_xlfn.XLOOKUP(Table1[[#This Row],[Account_ID]], Accounts[ID], Accounts[Account nickname], "Unknown")</f>
        <v>Discover</v>
      </c>
      <c r="H332" s="134" t="str">
        <f>_xlfn.XLOOKUP(Table1[[#This Row],[Account_ID]], Accounts[ID], Accounts[Account'#], "Unknown")</f>
        <v>4618</v>
      </c>
      <c r="I332" s="135" t="str">
        <f>_xlfn.XLOOKUP(_xlfn.XLOOKUP(Table1[[#This Row],[Account]],Accounts[Account nickname],Accounts[Institution ID]),Institutions[ID],Institutions[Institution nickname],"Unknown")</f>
        <v>Discover</v>
      </c>
      <c r="J332" s="136" t="s">
        <v>1629</v>
      </c>
      <c r="K332" s="137" t="s">
        <v>843</v>
      </c>
      <c r="L332" s="137" t="s">
        <v>841</v>
      </c>
      <c r="M33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3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32" s="138" t="str" cm="1">
        <f t="array" ref="O332">IFERROR(INDEX(CategoriesTable[Category type],MATCH(Table1[[#This Row],[Category]],CategoriesTable[Category name],0),0),"")</f>
        <v/>
      </c>
      <c r="P332" s="138">
        <v>7</v>
      </c>
      <c r="Q332" s="138">
        <f>MONTH(Table1[[#This Row],[Date]])</f>
        <v>10</v>
      </c>
      <c r="R332" s="138">
        <v>2021</v>
      </c>
      <c r="S332" s="139">
        <f>IF(ISBLANK(Table1[[#This Row],[Date]]),"",Table1[[#This Row],[Date]]-WEEKDAY(Table1[[#This Row],[Date]],2)+1)</f>
        <v>44473</v>
      </c>
      <c r="T332" s="140">
        <f>IF(ISBLANK(Table1[[#This Row],[Date]]),"",DATE(Table1[[#This Row],[Date_Year]],Table1[[#This Row],[Date_Month]],1))</f>
        <v>44470</v>
      </c>
    </row>
    <row r="333" spans="2:20" ht="15.75">
      <c r="B333" s="154">
        <v>44476</v>
      </c>
      <c r="C333" s="119" t="s">
        <v>677</v>
      </c>
      <c r="D333" s="119"/>
      <c r="E333" s="119"/>
      <c r="F333" s="155">
        <v>2029.34</v>
      </c>
      <c r="G333" s="133" t="str">
        <f>_xlfn.XLOOKUP(Table1[[#This Row],[Account_ID]], Accounts[ID], Accounts[Account nickname], "Unknown")</f>
        <v>WF</v>
      </c>
      <c r="H333" s="134" t="str">
        <f>_xlfn.XLOOKUP(Table1[[#This Row],[Account_ID]], Accounts[ID], Accounts[Account'#], "Unknown")</f>
        <v>4636</v>
      </c>
      <c r="I333" s="135" t="str">
        <f>_xlfn.XLOOKUP(_xlfn.XLOOKUP(Table1[[#This Row],[Account]],Accounts[Account nickname],Accounts[Institution ID]),Institutions[ID],Institutions[Institution nickname],"Unknown")</f>
        <v>Wells Fargo</v>
      </c>
      <c r="J333" s="136" t="s">
        <v>1008</v>
      </c>
      <c r="K333" s="137" t="s">
        <v>808</v>
      </c>
      <c r="L333" s="137" t="s">
        <v>807</v>
      </c>
      <c r="M33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3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33" s="138" t="str" cm="1">
        <f t="array" ref="O333">IFERROR(INDEX(CategoriesTable[Category type],MATCH(Table1[[#This Row],[Category]],CategoriesTable[Category name],0),0),"")</f>
        <v/>
      </c>
      <c r="P333" s="138">
        <v>7</v>
      </c>
      <c r="Q333" s="138">
        <f>MONTH(Table1[[#This Row],[Date]])</f>
        <v>10</v>
      </c>
      <c r="R333" s="138">
        <v>2021</v>
      </c>
      <c r="S333" s="139">
        <f>IF(ISBLANK(Table1[[#This Row],[Date]]),"",Table1[[#This Row],[Date]]-WEEKDAY(Table1[[#This Row],[Date]],2)+1)</f>
        <v>44473</v>
      </c>
      <c r="T333" s="140">
        <f>IF(ISBLANK(Table1[[#This Row],[Date]]),"",DATE(Table1[[#This Row],[Date_Year]],Table1[[#This Row],[Date_Month]],1))</f>
        <v>44470</v>
      </c>
    </row>
    <row r="334" spans="2:20" ht="15.75">
      <c r="B334" s="154">
        <v>44476</v>
      </c>
      <c r="C334" s="119" t="s">
        <v>724</v>
      </c>
      <c r="D334" s="119"/>
      <c r="E334" s="119"/>
      <c r="F334" s="155">
        <v>-28.19</v>
      </c>
      <c r="G334" s="133" t="str">
        <f>_xlfn.XLOOKUP(Table1[[#This Row],[Account_ID]], Accounts[ID], Accounts[Account nickname], "Unknown")</f>
        <v>Discover</v>
      </c>
      <c r="H334" s="134" t="str">
        <f>_xlfn.XLOOKUP(Table1[[#This Row],[Account_ID]], Accounts[ID], Accounts[Account'#], "Unknown")</f>
        <v>4618</v>
      </c>
      <c r="I334" s="135" t="str">
        <f>_xlfn.XLOOKUP(_xlfn.XLOOKUP(Table1[[#This Row],[Account]],Accounts[Account nickname],Accounts[Institution ID]),Institutions[ID],Institutions[Institution nickname],"Unknown")</f>
        <v>Discover</v>
      </c>
      <c r="J334" s="136" t="s">
        <v>1628</v>
      </c>
      <c r="K334" s="137" t="s">
        <v>843</v>
      </c>
      <c r="L334" s="137" t="s">
        <v>841</v>
      </c>
      <c r="M33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3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34" s="138" t="str" cm="1">
        <f t="array" ref="O334">IFERROR(INDEX(CategoriesTable[Category type],MATCH(Table1[[#This Row],[Category]],CategoriesTable[Category name],0),0),"")</f>
        <v/>
      </c>
      <c r="P334" s="138">
        <v>7</v>
      </c>
      <c r="Q334" s="138">
        <f>MONTH(Table1[[#This Row],[Date]])</f>
        <v>10</v>
      </c>
      <c r="R334" s="138">
        <v>2021</v>
      </c>
      <c r="S334" s="139">
        <f>IF(ISBLANK(Table1[[#This Row],[Date]]),"",Table1[[#This Row],[Date]]-WEEKDAY(Table1[[#This Row],[Date]],2)+1)</f>
        <v>44473</v>
      </c>
      <c r="T334" s="140">
        <f>IF(ISBLANK(Table1[[#This Row],[Date]]),"",DATE(Table1[[#This Row],[Date_Year]],Table1[[#This Row],[Date_Month]],1))</f>
        <v>44470</v>
      </c>
    </row>
    <row r="335" spans="2:20" ht="15.75">
      <c r="B335" s="154">
        <v>44476</v>
      </c>
      <c r="C335" s="119" t="s">
        <v>704</v>
      </c>
      <c r="D335" s="119"/>
      <c r="E335" s="119"/>
      <c r="F335" s="155">
        <v>-6</v>
      </c>
      <c r="G335" s="133" t="str">
        <f>_xlfn.XLOOKUP(Table1[[#This Row],[Account_ID]], Accounts[ID], Accounts[Account nickname], "Unknown")</f>
        <v>Discover</v>
      </c>
      <c r="H335" s="134" t="str">
        <f>_xlfn.XLOOKUP(Table1[[#This Row],[Account_ID]], Accounts[ID], Accounts[Account'#], "Unknown")</f>
        <v>4618</v>
      </c>
      <c r="I335" s="135" t="str">
        <f>_xlfn.XLOOKUP(_xlfn.XLOOKUP(Table1[[#This Row],[Account]],Accounts[Account nickname],Accounts[Institution ID]),Institutions[ID],Institutions[Institution nickname],"Unknown")</f>
        <v>Discover</v>
      </c>
      <c r="J335" s="136" t="s">
        <v>1627</v>
      </c>
      <c r="K335" s="137" t="s">
        <v>843</v>
      </c>
      <c r="L335" s="137" t="s">
        <v>841</v>
      </c>
      <c r="M33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3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35" s="138" t="str" cm="1">
        <f t="array" ref="O335">IFERROR(INDEX(CategoriesTable[Category type],MATCH(Table1[[#This Row],[Category]],CategoriesTable[Category name],0),0),"")</f>
        <v/>
      </c>
      <c r="P335" s="138">
        <v>7</v>
      </c>
      <c r="Q335" s="138">
        <f>MONTH(Table1[[#This Row],[Date]])</f>
        <v>10</v>
      </c>
      <c r="R335" s="138">
        <v>2021</v>
      </c>
      <c r="S335" s="139">
        <f>IF(ISBLANK(Table1[[#This Row],[Date]]),"",Table1[[#This Row],[Date]]-WEEKDAY(Table1[[#This Row],[Date]],2)+1)</f>
        <v>44473</v>
      </c>
      <c r="T335" s="140">
        <f>IF(ISBLANK(Table1[[#This Row],[Date]]),"",DATE(Table1[[#This Row],[Date_Year]],Table1[[#This Row],[Date_Month]],1))</f>
        <v>44470</v>
      </c>
    </row>
    <row r="336" spans="2:20" ht="15.75">
      <c r="B336" s="154">
        <v>44475</v>
      </c>
      <c r="C336" s="119" t="s">
        <v>711</v>
      </c>
      <c r="D336" s="119"/>
      <c r="E336" s="119"/>
      <c r="F336" s="155">
        <v>-5.4</v>
      </c>
      <c r="G336" s="133" t="str">
        <f>_xlfn.XLOOKUP(Table1[[#This Row],[Account_ID]], Accounts[ID], Accounts[Account nickname], "Unknown")</f>
        <v>Discover</v>
      </c>
      <c r="H336" s="134" t="str">
        <f>_xlfn.XLOOKUP(Table1[[#This Row],[Account_ID]], Accounts[ID], Accounts[Account'#], "Unknown")</f>
        <v>4618</v>
      </c>
      <c r="I336" s="135" t="str">
        <f>_xlfn.XLOOKUP(_xlfn.XLOOKUP(Table1[[#This Row],[Account]],Accounts[Account nickname],Accounts[Institution ID]),Institutions[ID],Institutions[Institution nickname],"Unknown")</f>
        <v>Discover</v>
      </c>
      <c r="J336" s="136" t="s">
        <v>1633</v>
      </c>
      <c r="K336" s="137" t="s">
        <v>843</v>
      </c>
      <c r="L336" s="137" t="s">
        <v>841</v>
      </c>
      <c r="M33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3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36" s="138" t="str" cm="1">
        <f t="array" ref="O336">IFERROR(INDEX(CategoriesTable[Category type],MATCH(Table1[[#This Row],[Category]],CategoriesTable[Category name],0),0),"")</f>
        <v/>
      </c>
      <c r="P336" s="138">
        <v>6</v>
      </c>
      <c r="Q336" s="138">
        <f>MONTH(Table1[[#This Row],[Date]])</f>
        <v>10</v>
      </c>
      <c r="R336" s="138">
        <v>2021</v>
      </c>
      <c r="S336" s="139">
        <f>IF(ISBLANK(Table1[[#This Row],[Date]]),"",Table1[[#This Row],[Date]]-WEEKDAY(Table1[[#This Row],[Date]],2)+1)</f>
        <v>44473</v>
      </c>
      <c r="T336" s="140">
        <f>IF(ISBLANK(Table1[[#This Row],[Date]]),"",DATE(Table1[[#This Row],[Date_Year]],Table1[[#This Row],[Date_Month]],1))</f>
        <v>44470</v>
      </c>
    </row>
    <row r="337" spans="2:20" ht="15.75">
      <c r="B337" s="154">
        <v>44475</v>
      </c>
      <c r="C337" s="119" t="s">
        <v>1631</v>
      </c>
      <c r="D337" s="119"/>
      <c r="E337" s="119"/>
      <c r="F337" s="155">
        <v>-189.95</v>
      </c>
      <c r="G337" s="133" t="str">
        <f>_xlfn.XLOOKUP(Table1[[#This Row],[Account_ID]], Accounts[ID], Accounts[Account nickname], "Unknown")</f>
        <v>Discover</v>
      </c>
      <c r="H337" s="134" t="str">
        <f>_xlfn.XLOOKUP(Table1[[#This Row],[Account_ID]], Accounts[ID], Accounts[Account'#], "Unknown")</f>
        <v>4618</v>
      </c>
      <c r="I337" s="135" t="str">
        <f>_xlfn.XLOOKUP(_xlfn.XLOOKUP(Table1[[#This Row],[Account]],Accounts[Account nickname],Accounts[Institution ID]),Institutions[ID],Institutions[Institution nickname],"Unknown")</f>
        <v>Discover</v>
      </c>
      <c r="J337" s="136" t="s">
        <v>1632</v>
      </c>
      <c r="K337" s="137" t="s">
        <v>843</v>
      </c>
      <c r="L337" s="137" t="s">
        <v>841</v>
      </c>
      <c r="M33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3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37" s="138" t="str" cm="1">
        <f t="array" ref="O337">IFERROR(INDEX(CategoriesTable[Category type],MATCH(Table1[[#This Row],[Category]],CategoriesTable[Category name],0),0),"")</f>
        <v/>
      </c>
      <c r="P337" s="138">
        <v>6</v>
      </c>
      <c r="Q337" s="138">
        <f>MONTH(Table1[[#This Row],[Date]])</f>
        <v>10</v>
      </c>
      <c r="R337" s="138">
        <v>2021</v>
      </c>
      <c r="S337" s="139">
        <f>IF(ISBLANK(Table1[[#This Row],[Date]]),"",Table1[[#This Row],[Date]]-WEEKDAY(Table1[[#This Row],[Date]],2)+1)</f>
        <v>44473</v>
      </c>
      <c r="T337" s="140">
        <f>IF(ISBLANK(Table1[[#This Row],[Date]]),"",DATE(Table1[[#This Row],[Date_Year]],Table1[[#This Row],[Date_Month]],1))</f>
        <v>44470</v>
      </c>
    </row>
    <row r="338" spans="2:20" ht="15.75">
      <c r="B338" s="154">
        <v>44475</v>
      </c>
      <c r="C338" s="119" t="s">
        <v>724</v>
      </c>
      <c r="D338" s="119"/>
      <c r="E338" s="119"/>
      <c r="F338" s="155">
        <v>-42.46</v>
      </c>
      <c r="G338" s="133" t="str">
        <f>_xlfn.XLOOKUP(Table1[[#This Row],[Account_ID]], Accounts[ID], Accounts[Account nickname], "Unknown")</f>
        <v>Discover</v>
      </c>
      <c r="H338" s="134" t="str">
        <f>_xlfn.XLOOKUP(Table1[[#This Row],[Account_ID]], Accounts[ID], Accounts[Account'#], "Unknown")</f>
        <v>4618</v>
      </c>
      <c r="I338" s="135" t="str">
        <f>_xlfn.XLOOKUP(_xlfn.XLOOKUP(Table1[[#This Row],[Account]],Accounts[Account nickname],Accounts[Institution ID]),Institutions[ID],Institutions[Institution nickname],"Unknown")</f>
        <v>Discover</v>
      </c>
      <c r="J338" s="136" t="s">
        <v>1634</v>
      </c>
      <c r="K338" s="137" t="s">
        <v>843</v>
      </c>
      <c r="L338" s="137" t="s">
        <v>841</v>
      </c>
      <c r="M33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3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38" s="138" t="str" cm="1">
        <f t="array" ref="O338">IFERROR(INDEX(CategoriesTable[Category type],MATCH(Table1[[#This Row],[Category]],CategoriesTable[Category name],0),0),"")</f>
        <v/>
      </c>
      <c r="P338" s="138">
        <v>6</v>
      </c>
      <c r="Q338" s="138">
        <f>MONTH(Table1[[#This Row],[Date]])</f>
        <v>10</v>
      </c>
      <c r="R338" s="138">
        <v>2021</v>
      </c>
      <c r="S338" s="139">
        <f>IF(ISBLANK(Table1[[#This Row],[Date]]),"",Table1[[#This Row],[Date]]-WEEKDAY(Table1[[#This Row],[Date]],2)+1)</f>
        <v>44473</v>
      </c>
      <c r="T338" s="140">
        <f>IF(ISBLANK(Table1[[#This Row],[Date]]),"",DATE(Table1[[#This Row],[Date_Year]],Table1[[#This Row],[Date_Month]],1))</f>
        <v>44470</v>
      </c>
    </row>
    <row r="339" spans="2:20" ht="15.75">
      <c r="B339" s="154">
        <v>44474</v>
      </c>
      <c r="C339" s="119" t="s">
        <v>857</v>
      </c>
      <c r="D339" s="119"/>
      <c r="E339" s="119"/>
      <c r="F339" s="155">
        <v>-11.21</v>
      </c>
      <c r="G339" s="133" t="str">
        <f>_xlfn.XLOOKUP(Table1[[#This Row],[Account_ID]], Accounts[ID], Accounts[Account nickname], "Unknown")</f>
        <v>Discover</v>
      </c>
      <c r="H339" s="134" t="str">
        <f>_xlfn.XLOOKUP(Table1[[#This Row],[Account_ID]], Accounts[ID], Accounts[Account'#], "Unknown")</f>
        <v>4618</v>
      </c>
      <c r="I339" s="135" t="str">
        <f>_xlfn.XLOOKUP(_xlfn.XLOOKUP(Table1[[#This Row],[Account]],Accounts[Account nickname],Accounts[Institution ID]),Institutions[ID],Institutions[Institution nickname],"Unknown")</f>
        <v>Discover</v>
      </c>
      <c r="J339" s="136" t="s">
        <v>1636</v>
      </c>
      <c r="K339" s="137" t="s">
        <v>843</v>
      </c>
      <c r="L339" s="137" t="s">
        <v>841</v>
      </c>
      <c r="M33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3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39" s="138" t="str" cm="1">
        <f t="array" ref="O339">IFERROR(INDEX(CategoriesTable[Category type],MATCH(Table1[[#This Row],[Category]],CategoriesTable[Category name],0),0),"")</f>
        <v/>
      </c>
      <c r="P339" s="138">
        <v>5</v>
      </c>
      <c r="Q339" s="138">
        <f>MONTH(Table1[[#This Row],[Date]])</f>
        <v>10</v>
      </c>
      <c r="R339" s="138">
        <v>2021</v>
      </c>
      <c r="S339" s="139">
        <f>IF(ISBLANK(Table1[[#This Row],[Date]]),"",Table1[[#This Row],[Date]]-WEEKDAY(Table1[[#This Row],[Date]],2)+1)</f>
        <v>44473</v>
      </c>
      <c r="T339" s="140">
        <f>IF(ISBLANK(Table1[[#This Row],[Date]]),"",DATE(Table1[[#This Row],[Date_Year]],Table1[[#This Row],[Date_Month]],1))</f>
        <v>44470</v>
      </c>
    </row>
    <row r="340" spans="2:20" ht="15.75">
      <c r="B340" s="154">
        <v>44474</v>
      </c>
      <c r="C340" s="119" t="s">
        <v>1638</v>
      </c>
      <c r="D340" s="119"/>
      <c r="E340" s="119"/>
      <c r="F340" s="155">
        <v>-13.6</v>
      </c>
      <c r="G340" s="133" t="str">
        <f>_xlfn.XLOOKUP(Table1[[#This Row],[Account_ID]], Accounts[ID], Accounts[Account nickname], "Unknown")</f>
        <v>Discover</v>
      </c>
      <c r="H340" s="134" t="str">
        <f>_xlfn.XLOOKUP(Table1[[#This Row],[Account_ID]], Accounts[ID], Accounts[Account'#], "Unknown")</f>
        <v>4618</v>
      </c>
      <c r="I340" s="135" t="str">
        <f>_xlfn.XLOOKUP(_xlfn.XLOOKUP(Table1[[#This Row],[Account]],Accounts[Account nickname],Accounts[Institution ID]),Institutions[ID],Institutions[Institution nickname],"Unknown")</f>
        <v>Discover</v>
      </c>
      <c r="J340" s="136" t="s">
        <v>1639</v>
      </c>
      <c r="K340" s="137" t="s">
        <v>843</v>
      </c>
      <c r="L340" s="137" t="s">
        <v>841</v>
      </c>
      <c r="M34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4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40" s="138" t="str" cm="1">
        <f t="array" ref="O340">IFERROR(INDEX(CategoriesTable[Category type],MATCH(Table1[[#This Row],[Category]],CategoriesTable[Category name],0),0),"")</f>
        <v/>
      </c>
      <c r="P340" s="138">
        <v>5</v>
      </c>
      <c r="Q340" s="138">
        <f>MONTH(Table1[[#This Row],[Date]])</f>
        <v>10</v>
      </c>
      <c r="R340" s="138">
        <v>2021</v>
      </c>
      <c r="S340" s="139">
        <f>IF(ISBLANK(Table1[[#This Row],[Date]]),"",Table1[[#This Row],[Date]]-WEEKDAY(Table1[[#This Row],[Date]],2)+1)</f>
        <v>44473</v>
      </c>
      <c r="T340" s="140">
        <f>IF(ISBLANK(Table1[[#This Row],[Date]]),"",DATE(Table1[[#This Row],[Date_Year]],Table1[[#This Row],[Date_Month]],1))</f>
        <v>44470</v>
      </c>
    </row>
    <row r="341" spans="2:20" ht="15.75">
      <c r="B341" s="154">
        <v>44474</v>
      </c>
      <c r="C341" s="119" t="s">
        <v>1403</v>
      </c>
      <c r="D341" s="119"/>
      <c r="E341" s="119"/>
      <c r="F341" s="155">
        <v>-84.85</v>
      </c>
      <c r="G341" s="133" t="str">
        <f>_xlfn.XLOOKUP(Table1[[#This Row],[Account_ID]], Accounts[ID], Accounts[Account nickname], "Unknown")</f>
        <v>Discover</v>
      </c>
      <c r="H341" s="134" t="str">
        <f>_xlfn.XLOOKUP(Table1[[#This Row],[Account_ID]], Accounts[ID], Accounts[Account'#], "Unknown")</f>
        <v>4618</v>
      </c>
      <c r="I341" s="135" t="str">
        <f>_xlfn.XLOOKUP(_xlfn.XLOOKUP(Table1[[#This Row],[Account]],Accounts[Account nickname],Accounts[Institution ID]),Institutions[ID],Institutions[Institution nickname],"Unknown")</f>
        <v>Discover</v>
      </c>
      <c r="J341" s="136" t="s">
        <v>1637</v>
      </c>
      <c r="K341" s="137" t="s">
        <v>843</v>
      </c>
      <c r="L341" s="137" t="s">
        <v>841</v>
      </c>
      <c r="M34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4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41" s="138" t="str" cm="1">
        <f t="array" ref="O341">IFERROR(INDEX(CategoriesTable[Category type],MATCH(Table1[[#This Row],[Category]],CategoriesTable[Category name],0),0),"")</f>
        <v/>
      </c>
      <c r="P341" s="138">
        <v>5</v>
      </c>
      <c r="Q341" s="138">
        <f>MONTH(Table1[[#This Row],[Date]])</f>
        <v>10</v>
      </c>
      <c r="R341" s="138">
        <v>2021</v>
      </c>
      <c r="S341" s="139">
        <f>IF(ISBLANK(Table1[[#This Row],[Date]]),"",Table1[[#This Row],[Date]]-WEEKDAY(Table1[[#This Row],[Date]],2)+1)</f>
        <v>44473</v>
      </c>
      <c r="T341" s="140">
        <f>IF(ISBLANK(Table1[[#This Row],[Date]]),"",DATE(Table1[[#This Row],[Date_Year]],Table1[[#This Row],[Date_Month]],1))</f>
        <v>44470</v>
      </c>
    </row>
    <row r="342" spans="2:20" ht="15.75">
      <c r="B342" s="154">
        <v>44474</v>
      </c>
      <c r="C342" s="119" t="s">
        <v>676</v>
      </c>
      <c r="D342" s="119"/>
      <c r="E342" s="119"/>
      <c r="F342" s="155">
        <v>100</v>
      </c>
      <c r="G342" s="133" t="str">
        <f>_xlfn.XLOOKUP(Table1[[#This Row],[Account_ID]], Accounts[ID], Accounts[Account nickname], "Unknown")</f>
        <v>WF</v>
      </c>
      <c r="H342" s="134" t="str">
        <f>_xlfn.XLOOKUP(Table1[[#This Row],[Account_ID]], Accounts[ID], Accounts[Account'#], "Unknown")</f>
        <v>4636</v>
      </c>
      <c r="I342" s="135" t="str">
        <f>_xlfn.XLOOKUP(_xlfn.XLOOKUP(Table1[[#This Row],[Account]],Accounts[Account nickname],Accounts[Institution ID]),Institutions[ID],Institutions[Institution nickname],"Unknown")</f>
        <v>Wells Fargo</v>
      </c>
      <c r="J342" s="136" t="s">
        <v>1010</v>
      </c>
      <c r="K342" s="137" t="s">
        <v>808</v>
      </c>
      <c r="L342" s="137" t="s">
        <v>807</v>
      </c>
      <c r="M34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4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42" s="138" t="str" cm="1">
        <f t="array" ref="O342">IFERROR(INDEX(CategoriesTable[Category type],MATCH(Table1[[#This Row],[Category]],CategoriesTable[Category name],0),0),"")</f>
        <v/>
      </c>
      <c r="P342" s="138">
        <v>5</v>
      </c>
      <c r="Q342" s="138">
        <f>MONTH(Table1[[#This Row],[Date]])</f>
        <v>10</v>
      </c>
      <c r="R342" s="138">
        <v>2021</v>
      </c>
      <c r="S342" s="139">
        <f>IF(ISBLANK(Table1[[#This Row],[Date]]),"",Table1[[#This Row],[Date]]-WEEKDAY(Table1[[#This Row],[Date]],2)+1)</f>
        <v>44473</v>
      </c>
      <c r="T342" s="140">
        <f>IF(ISBLANK(Table1[[#This Row],[Date]]),"",DATE(Table1[[#This Row],[Date_Year]],Table1[[#This Row],[Date_Month]],1))</f>
        <v>44470</v>
      </c>
    </row>
    <row r="343" spans="2:20" ht="15.75">
      <c r="B343" s="154">
        <v>44474</v>
      </c>
      <c r="C343" s="119" t="s">
        <v>724</v>
      </c>
      <c r="D343" s="119"/>
      <c r="E343" s="119"/>
      <c r="F343" s="155">
        <v>-12.97</v>
      </c>
      <c r="G343" s="133" t="str">
        <f>_xlfn.XLOOKUP(Table1[[#This Row],[Account_ID]], Accounts[ID], Accounts[Account nickname], "Unknown")</f>
        <v>Discover</v>
      </c>
      <c r="H343" s="134" t="str">
        <f>_xlfn.XLOOKUP(Table1[[#This Row],[Account_ID]], Accounts[ID], Accounts[Account'#], "Unknown")</f>
        <v>4618</v>
      </c>
      <c r="I343" s="135" t="str">
        <f>_xlfn.XLOOKUP(_xlfn.XLOOKUP(Table1[[#This Row],[Account]],Accounts[Account nickname],Accounts[Institution ID]),Institutions[ID],Institutions[Institution nickname],"Unknown")</f>
        <v>Discover</v>
      </c>
      <c r="J343" s="136" t="s">
        <v>1640</v>
      </c>
      <c r="K343" s="137" t="s">
        <v>843</v>
      </c>
      <c r="L343" s="137" t="s">
        <v>841</v>
      </c>
      <c r="M34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4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43" s="138" t="str" cm="1">
        <f t="array" ref="O343">IFERROR(INDEX(CategoriesTable[Category type],MATCH(Table1[[#This Row],[Category]],CategoriesTable[Category name],0),0),"")</f>
        <v/>
      </c>
      <c r="P343" s="138">
        <v>5</v>
      </c>
      <c r="Q343" s="138">
        <f>MONTH(Table1[[#This Row],[Date]])</f>
        <v>10</v>
      </c>
      <c r="R343" s="138">
        <v>2021</v>
      </c>
      <c r="S343" s="139">
        <f>IF(ISBLANK(Table1[[#This Row],[Date]]),"",Table1[[#This Row],[Date]]-WEEKDAY(Table1[[#This Row],[Date]],2)+1)</f>
        <v>44473</v>
      </c>
      <c r="T343" s="140">
        <f>IF(ISBLANK(Table1[[#This Row],[Date]]),"",DATE(Table1[[#This Row],[Date_Year]],Table1[[#This Row],[Date_Month]],1))</f>
        <v>44470</v>
      </c>
    </row>
    <row r="344" spans="2:20" ht="15.75">
      <c r="B344" s="154">
        <v>44474</v>
      </c>
      <c r="C344" s="119" t="s">
        <v>676</v>
      </c>
      <c r="D344" s="119"/>
      <c r="E344" s="119"/>
      <c r="F344" s="155">
        <v>170</v>
      </c>
      <c r="G344" s="133" t="str">
        <f>_xlfn.XLOOKUP(Table1[[#This Row],[Account_ID]], Accounts[ID], Accounts[Account nickname], "Unknown")</f>
        <v>WF</v>
      </c>
      <c r="H344" s="134" t="str">
        <f>_xlfn.XLOOKUP(Table1[[#This Row],[Account_ID]], Accounts[ID], Accounts[Account'#], "Unknown")</f>
        <v>4636</v>
      </c>
      <c r="I344" s="135" t="str">
        <f>_xlfn.XLOOKUP(_xlfn.XLOOKUP(Table1[[#This Row],[Account]],Accounts[Account nickname],Accounts[Institution ID]),Institutions[ID],Institutions[Institution nickname],"Unknown")</f>
        <v>Wells Fargo</v>
      </c>
      <c r="J344" s="136" t="s">
        <v>1009</v>
      </c>
      <c r="K344" s="137" t="s">
        <v>808</v>
      </c>
      <c r="L344" s="137" t="s">
        <v>807</v>
      </c>
      <c r="M34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4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44" s="138" t="str" cm="1">
        <f t="array" ref="O344">IFERROR(INDEX(CategoriesTable[Category type],MATCH(Table1[[#This Row],[Category]],CategoriesTable[Category name],0),0),"")</f>
        <v/>
      </c>
      <c r="P344" s="138">
        <v>5</v>
      </c>
      <c r="Q344" s="138">
        <f>MONTH(Table1[[#This Row],[Date]])</f>
        <v>10</v>
      </c>
      <c r="R344" s="138">
        <v>2021</v>
      </c>
      <c r="S344" s="139">
        <f>IF(ISBLANK(Table1[[#This Row],[Date]]),"",Table1[[#This Row],[Date]]-WEEKDAY(Table1[[#This Row],[Date]],2)+1)</f>
        <v>44473</v>
      </c>
      <c r="T344" s="140">
        <f>IF(ISBLANK(Table1[[#This Row],[Date]]),"",DATE(Table1[[#This Row],[Date_Year]],Table1[[#This Row],[Date_Month]],1))</f>
        <v>44470</v>
      </c>
    </row>
    <row r="345" spans="2:20" ht="15.75">
      <c r="B345" s="154">
        <v>44474</v>
      </c>
      <c r="C345" s="119" t="s">
        <v>845</v>
      </c>
      <c r="D345" s="119"/>
      <c r="E345" s="119"/>
      <c r="F345" s="155">
        <v>1682.31</v>
      </c>
      <c r="G345" s="133" t="str">
        <f>_xlfn.XLOOKUP(Table1[[#This Row],[Account_ID]], Accounts[ID], Accounts[Account nickname], "Unknown")</f>
        <v>Discover</v>
      </c>
      <c r="H345" s="134" t="str">
        <f>_xlfn.XLOOKUP(Table1[[#This Row],[Account_ID]], Accounts[ID], Accounts[Account'#], "Unknown")</f>
        <v>4618</v>
      </c>
      <c r="I345" s="135" t="str">
        <f>_xlfn.XLOOKUP(_xlfn.XLOOKUP(Table1[[#This Row],[Account]],Accounts[Account nickname],Accounts[Institution ID]),Institutions[ID],Institutions[Institution nickname],"Unknown")</f>
        <v>Discover</v>
      </c>
      <c r="J345" s="152" t="s">
        <v>1635</v>
      </c>
      <c r="K345" s="137" t="s">
        <v>843</v>
      </c>
      <c r="L345" s="137" t="s">
        <v>841</v>
      </c>
      <c r="M34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4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45" s="138" t="str" cm="1">
        <f t="array" ref="O345">IFERROR(INDEX(CategoriesTable[Category type],MATCH(Table1[[#This Row],[Category]],CategoriesTable[Category name],0),0),"")</f>
        <v/>
      </c>
      <c r="P345" s="138">
        <v>5</v>
      </c>
      <c r="Q345" s="138">
        <f>MONTH(Table1[[#This Row],[Date]])</f>
        <v>10</v>
      </c>
      <c r="R345" s="138">
        <v>2021</v>
      </c>
      <c r="S345" s="139">
        <f>IF(ISBLANK(Table1[[#This Row],[Date]]),"",Table1[[#This Row],[Date]]-WEEKDAY(Table1[[#This Row],[Date]],2)+1)</f>
        <v>44473</v>
      </c>
      <c r="T345" s="140">
        <f>IF(ISBLANK(Table1[[#This Row],[Date]]),"",DATE(Table1[[#This Row],[Date_Year]],Table1[[#This Row],[Date_Month]],1))</f>
        <v>44470</v>
      </c>
    </row>
    <row r="346" spans="2:20" ht="15.75">
      <c r="B346" s="154">
        <v>44474</v>
      </c>
      <c r="C346" s="119" t="s">
        <v>724</v>
      </c>
      <c r="D346" s="119"/>
      <c r="E346" s="119"/>
      <c r="F346" s="155">
        <v>-23.79</v>
      </c>
      <c r="G346" s="133" t="str">
        <f>_xlfn.XLOOKUP(Table1[[#This Row],[Account_ID]], Accounts[ID], Accounts[Account nickname], "Unknown")</f>
        <v>Discover</v>
      </c>
      <c r="H346" s="134" t="str">
        <f>_xlfn.XLOOKUP(Table1[[#This Row],[Account_ID]], Accounts[ID], Accounts[Account'#], "Unknown")</f>
        <v>4618</v>
      </c>
      <c r="I346" s="135" t="str">
        <f>_xlfn.XLOOKUP(_xlfn.XLOOKUP(Table1[[#This Row],[Account]],Accounts[Account nickname],Accounts[Institution ID]),Institutions[ID],Institutions[Institution nickname],"Unknown")</f>
        <v>Discover</v>
      </c>
      <c r="J346" s="152" t="s">
        <v>1641</v>
      </c>
      <c r="K346" s="137" t="s">
        <v>843</v>
      </c>
      <c r="L346" s="137" t="s">
        <v>841</v>
      </c>
      <c r="M34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4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46" s="138" t="str" cm="1">
        <f t="array" ref="O346">IFERROR(INDEX(CategoriesTable[Category type],MATCH(Table1[[#This Row],[Category]],CategoriesTable[Category name],0),0),"")</f>
        <v/>
      </c>
      <c r="P346" s="138">
        <v>5</v>
      </c>
      <c r="Q346" s="138">
        <f>MONTH(Table1[[#This Row],[Date]])</f>
        <v>10</v>
      </c>
      <c r="R346" s="138">
        <v>2021</v>
      </c>
      <c r="S346" s="139">
        <f>IF(ISBLANK(Table1[[#This Row],[Date]]),"",Table1[[#This Row],[Date]]-WEEKDAY(Table1[[#This Row],[Date]],2)+1)</f>
        <v>44473</v>
      </c>
      <c r="T346" s="140">
        <f>IF(ISBLANK(Table1[[#This Row],[Date]]),"",DATE(Table1[[#This Row],[Date_Year]],Table1[[#This Row],[Date_Month]],1))</f>
        <v>44470</v>
      </c>
    </row>
    <row r="347" spans="2:20" ht="15.75">
      <c r="B347" s="154">
        <v>44473</v>
      </c>
      <c r="C347" s="119" t="s">
        <v>689</v>
      </c>
      <c r="D347" s="119"/>
      <c r="E347" s="119"/>
      <c r="F347" s="155">
        <v>-11.97</v>
      </c>
      <c r="G347" s="133" t="str">
        <f>_xlfn.XLOOKUP(Table1[[#This Row],[Account_ID]], Accounts[ID], Accounts[Account nickname], "Unknown")</f>
        <v>Discover</v>
      </c>
      <c r="H347" s="134" t="str">
        <f>_xlfn.XLOOKUP(Table1[[#This Row],[Account_ID]], Accounts[ID], Accounts[Account'#], "Unknown")</f>
        <v>4618</v>
      </c>
      <c r="I347" s="135" t="str">
        <f>_xlfn.XLOOKUP(_xlfn.XLOOKUP(Table1[[#This Row],[Account]],Accounts[Account nickname],Accounts[Institution ID]),Institutions[ID],Institutions[Institution nickname],"Unknown")</f>
        <v>Discover</v>
      </c>
      <c r="J347" s="136" t="s">
        <v>1642</v>
      </c>
      <c r="K347" s="137" t="s">
        <v>843</v>
      </c>
      <c r="L347" s="137" t="s">
        <v>841</v>
      </c>
      <c r="M34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4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47" s="138" t="str" cm="1">
        <f t="array" ref="O347">IFERROR(INDEX(CategoriesTable[Category type],MATCH(Table1[[#This Row],[Category]],CategoriesTable[Category name],0),0),"")</f>
        <v/>
      </c>
      <c r="P347" s="138">
        <v>4</v>
      </c>
      <c r="Q347" s="138">
        <f>MONTH(Table1[[#This Row],[Date]])</f>
        <v>10</v>
      </c>
      <c r="R347" s="138">
        <v>2021</v>
      </c>
      <c r="S347" s="139">
        <f>IF(ISBLANK(Table1[[#This Row],[Date]]),"",Table1[[#This Row],[Date]]-WEEKDAY(Table1[[#This Row],[Date]],2)+1)</f>
        <v>44473</v>
      </c>
      <c r="T347" s="140">
        <f>IF(ISBLANK(Table1[[#This Row],[Date]]),"",DATE(Table1[[#This Row],[Date_Year]],Table1[[#This Row],[Date_Month]],1))</f>
        <v>44470</v>
      </c>
    </row>
    <row r="348" spans="2:20" ht="15.75">
      <c r="B348" s="154">
        <v>44473</v>
      </c>
      <c r="C348" s="119" t="s">
        <v>720</v>
      </c>
      <c r="D348" s="119"/>
      <c r="E348" s="119"/>
      <c r="F348" s="155">
        <v>-8.91</v>
      </c>
      <c r="G348" s="133" t="str">
        <f>_xlfn.XLOOKUP(Table1[[#This Row],[Account_ID]], Accounts[ID], Accounts[Account nickname], "Unknown")</f>
        <v>Discover</v>
      </c>
      <c r="H348" s="134" t="str">
        <f>_xlfn.XLOOKUP(Table1[[#This Row],[Account_ID]], Accounts[ID], Accounts[Account'#], "Unknown")</f>
        <v>4618</v>
      </c>
      <c r="I348" s="135" t="str">
        <f>_xlfn.XLOOKUP(_xlfn.XLOOKUP(Table1[[#This Row],[Account]],Accounts[Account nickname],Accounts[Institution ID]),Institutions[ID],Institutions[Institution nickname],"Unknown")</f>
        <v>Discover</v>
      </c>
      <c r="J348" s="136" t="s">
        <v>1643</v>
      </c>
      <c r="K348" s="137" t="s">
        <v>843</v>
      </c>
      <c r="L348" s="137" t="s">
        <v>841</v>
      </c>
      <c r="M34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4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48" s="138" t="str" cm="1">
        <f t="array" ref="O348">IFERROR(INDEX(CategoriesTable[Category type],MATCH(Table1[[#This Row],[Category]],CategoriesTable[Category name],0),0),"")</f>
        <v/>
      </c>
      <c r="P348" s="138">
        <v>4</v>
      </c>
      <c r="Q348" s="138">
        <f>MONTH(Table1[[#This Row],[Date]])</f>
        <v>10</v>
      </c>
      <c r="R348" s="138">
        <v>2021</v>
      </c>
      <c r="S348" s="139">
        <f>IF(ISBLANK(Table1[[#This Row],[Date]]),"",Table1[[#This Row],[Date]]-WEEKDAY(Table1[[#This Row],[Date]],2)+1)</f>
        <v>44473</v>
      </c>
      <c r="T348" s="140">
        <f>IF(ISBLANK(Table1[[#This Row],[Date]]),"",DATE(Table1[[#This Row],[Date_Year]],Table1[[#This Row],[Date_Month]],1))</f>
        <v>44470</v>
      </c>
    </row>
    <row r="349" spans="2:20" ht="15.75">
      <c r="B349" s="154">
        <v>44473</v>
      </c>
      <c r="C349" s="119" t="s">
        <v>678</v>
      </c>
      <c r="D349" s="119"/>
      <c r="E349" s="119"/>
      <c r="F349" s="155">
        <v>-155</v>
      </c>
      <c r="G349" s="133" t="str">
        <f>_xlfn.XLOOKUP(Table1[[#This Row],[Account_ID]], Accounts[ID], Accounts[Account nickname], "Unknown")</f>
        <v>WF</v>
      </c>
      <c r="H349" s="134" t="str">
        <f>_xlfn.XLOOKUP(Table1[[#This Row],[Account_ID]], Accounts[ID], Accounts[Account'#], "Unknown")</f>
        <v>4636</v>
      </c>
      <c r="I349" s="135" t="str">
        <f>_xlfn.XLOOKUP(_xlfn.XLOOKUP(Table1[[#This Row],[Account]],Accounts[Account nickname],Accounts[Institution ID]),Institutions[ID],Institutions[Institution nickname],"Unknown")</f>
        <v>Wells Fargo</v>
      </c>
      <c r="J349" s="136" t="s">
        <v>1011</v>
      </c>
      <c r="K349" s="137" t="s">
        <v>808</v>
      </c>
      <c r="L349" s="137" t="s">
        <v>807</v>
      </c>
      <c r="M34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4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49" s="138" t="str" cm="1">
        <f t="array" ref="O349">IFERROR(INDEX(CategoriesTable[Category type],MATCH(Table1[[#This Row],[Category]],CategoriesTable[Category name],0),0),"")</f>
        <v/>
      </c>
      <c r="P349" s="138">
        <v>4</v>
      </c>
      <c r="Q349" s="138">
        <f>MONTH(Table1[[#This Row],[Date]])</f>
        <v>10</v>
      </c>
      <c r="R349" s="138">
        <v>2021</v>
      </c>
      <c r="S349" s="139">
        <f>IF(ISBLANK(Table1[[#This Row],[Date]]),"",Table1[[#This Row],[Date]]-WEEKDAY(Table1[[#This Row],[Date]],2)+1)</f>
        <v>44473</v>
      </c>
      <c r="T349" s="140">
        <f>IF(ISBLANK(Table1[[#This Row],[Date]]),"",DATE(Table1[[#This Row],[Date_Year]],Table1[[#This Row],[Date_Month]],1))</f>
        <v>44470</v>
      </c>
    </row>
    <row r="350" spans="2:20" ht="15.75">
      <c r="B350" s="154">
        <v>44472</v>
      </c>
      <c r="C350" s="119" t="s">
        <v>1529</v>
      </c>
      <c r="D350" s="119"/>
      <c r="E350" s="119"/>
      <c r="F350" s="155">
        <v>-11.99</v>
      </c>
      <c r="G350" s="133" t="str">
        <f>_xlfn.XLOOKUP(Table1[[#This Row],[Account_ID]], Accounts[ID], Accounts[Account nickname], "Unknown")</f>
        <v>Discover</v>
      </c>
      <c r="H350" s="134" t="str">
        <f>_xlfn.XLOOKUP(Table1[[#This Row],[Account_ID]], Accounts[ID], Accounts[Account'#], "Unknown")</f>
        <v>4618</v>
      </c>
      <c r="I350" s="135" t="str">
        <f>_xlfn.XLOOKUP(_xlfn.XLOOKUP(Table1[[#This Row],[Account]],Accounts[Account nickname],Accounts[Institution ID]),Institutions[ID],Institutions[Institution nickname],"Unknown")</f>
        <v>Discover</v>
      </c>
      <c r="J350" s="136" t="s">
        <v>1644</v>
      </c>
      <c r="K350" s="137" t="s">
        <v>843</v>
      </c>
      <c r="L350" s="137" t="s">
        <v>841</v>
      </c>
      <c r="M35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5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50" s="138" t="str" cm="1">
        <f t="array" ref="O350">IFERROR(INDEX(CategoriesTable[Category type],MATCH(Table1[[#This Row],[Category]],CategoriesTable[Category name],0),0),"")</f>
        <v/>
      </c>
      <c r="P350" s="138">
        <v>3</v>
      </c>
      <c r="Q350" s="138">
        <f>MONTH(Table1[[#This Row],[Date]])</f>
        <v>10</v>
      </c>
      <c r="R350" s="138">
        <v>2021</v>
      </c>
      <c r="S350" s="139">
        <f>IF(ISBLANK(Table1[[#This Row],[Date]]),"",Table1[[#This Row],[Date]]-WEEKDAY(Table1[[#This Row],[Date]],2)+1)</f>
        <v>44466</v>
      </c>
      <c r="T350" s="140">
        <f>IF(ISBLANK(Table1[[#This Row],[Date]]),"",DATE(Table1[[#This Row],[Date_Year]],Table1[[#This Row],[Date_Month]],1))</f>
        <v>44470</v>
      </c>
    </row>
    <row r="351" spans="2:20" ht="15.75">
      <c r="B351" s="154">
        <v>44472</v>
      </c>
      <c r="C351" s="119" t="s">
        <v>1645</v>
      </c>
      <c r="D351" s="119"/>
      <c r="E351" s="119"/>
      <c r="F351" s="155">
        <v>-76.89</v>
      </c>
      <c r="G351" s="133" t="str">
        <f>_xlfn.XLOOKUP(Table1[[#This Row],[Account_ID]], Accounts[ID], Accounts[Account nickname], "Unknown")</f>
        <v>Discover</v>
      </c>
      <c r="H351" s="134" t="str">
        <f>_xlfn.XLOOKUP(Table1[[#This Row],[Account_ID]], Accounts[ID], Accounts[Account'#], "Unknown")</f>
        <v>4618</v>
      </c>
      <c r="I351" s="135" t="str">
        <f>_xlfn.XLOOKUP(_xlfn.XLOOKUP(Table1[[#This Row],[Account]],Accounts[Account nickname],Accounts[Institution ID]),Institutions[ID],Institutions[Institution nickname],"Unknown")</f>
        <v>Discover</v>
      </c>
      <c r="J351" s="136" t="s">
        <v>1646</v>
      </c>
      <c r="K351" s="137" t="s">
        <v>843</v>
      </c>
      <c r="L351" s="137" t="s">
        <v>841</v>
      </c>
      <c r="M35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5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51" s="138" t="str" cm="1">
        <f t="array" ref="O351">IFERROR(INDEX(CategoriesTable[Category type],MATCH(Table1[[#This Row],[Category]],CategoriesTable[Category name],0),0),"")</f>
        <v/>
      </c>
      <c r="P351" s="138">
        <v>3</v>
      </c>
      <c r="Q351" s="138">
        <f>MONTH(Table1[[#This Row],[Date]])</f>
        <v>10</v>
      </c>
      <c r="R351" s="138">
        <v>2021</v>
      </c>
      <c r="S351" s="139">
        <f>IF(ISBLANK(Table1[[#This Row],[Date]]),"",Table1[[#This Row],[Date]]-WEEKDAY(Table1[[#This Row],[Date]],2)+1)</f>
        <v>44466</v>
      </c>
      <c r="T351" s="140">
        <f>IF(ISBLANK(Table1[[#This Row],[Date]]),"",DATE(Table1[[#This Row],[Date_Year]],Table1[[#This Row],[Date_Month]],1))</f>
        <v>44470</v>
      </c>
    </row>
    <row r="352" spans="2:20" ht="15.75">
      <c r="B352" s="154">
        <v>44471</v>
      </c>
      <c r="C352" s="119" t="s">
        <v>1534</v>
      </c>
      <c r="D352" s="119"/>
      <c r="E352" s="119"/>
      <c r="F352" s="155">
        <v>-10</v>
      </c>
      <c r="G352" s="133" t="str">
        <f>_xlfn.XLOOKUP(Table1[[#This Row],[Account_ID]], Accounts[ID], Accounts[Account nickname], "Unknown")</f>
        <v>Discover</v>
      </c>
      <c r="H352" s="134" t="str">
        <f>_xlfn.XLOOKUP(Table1[[#This Row],[Account_ID]], Accounts[ID], Accounts[Account'#], "Unknown")</f>
        <v>4618</v>
      </c>
      <c r="I352" s="135" t="str">
        <f>_xlfn.XLOOKUP(_xlfn.XLOOKUP(Table1[[#This Row],[Account]],Accounts[Account nickname],Accounts[Institution ID]),Institutions[ID],Institutions[Institution nickname],"Unknown")</f>
        <v>Discover</v>
      </c>
      <c r="J352" s="136" t="s">
        <v>1649</v>
      </c>
      <c r="K352" s="137" t="s">
        <v>843</v>
      </c>
      <c r="L352" s="137" t="s">
        <v>841</v>
      </c>
      <c r="M35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5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52" s="138" t="str" cm="1">
        <f t="array" ref="O352">IFERROR(INDEX(CategoriesTable[Category type],MATCH(Table1[[#This Row],[Category]],CategoriesTable[Category name],0),0),"")</f>
        <v/>
      </c>
      <c r="P352" s="138">
        <v>2</v>
      </c>
      <c r="Q352" s="138">
        <f>MONTH(Table1[[#This Row],[Date]])</f>
        <v>10</v>
      </c>
      <c r="R352" s="138">
        <v>2021</v>
      </c>
      <c r="S352" s="139">
        <f>IF(ISBLANK(Table1[[#This Row],[Date]]),"",Table1[[#This Row],[Date]]-WEEKDAY(Table1[[#This Row],[Date]],2)+1)</f>
        <v>44466</v>
      </c>
      <c r="T352" s="140">
        <f>IF(ISBLANK(Table1[[#This Row],[Date]]),"",DATE(Table1[[#This Row],[Date_Year]],Table1[[#This Row],[Date_Month]],1))</f>
        <v>44470</v>
      </c>
    </row>
    <row r="353" spans="2:20" ht="15.75">
      <c r="B353" s="154">
        <v>44471</v>
      </c>
      <c r="C353" s="119" t="s">
        <v>936</v>
      </c>
      <c r="D353" s="119"/>
      <c r="E353" s="119"/>
      <c r="F353" s="155">
        <v>-20.09</v>
      </c>
      <c r="G353" s="133" t="str">
        <f>_xlfn.XLOOKUP(Table1[[#This Row],[Account_ID]], Accounts[ID], Accounts[Account nickname], "Unknown")</f>
        <v>Discover</v>
      </c>
      <c r="H353" s="134" t="str">
        <f>_xlfn.XLOOKUP(Table1[[#This Row],[Account_ID]], Accounts[ID], Accounts[Account'#], "Unknown")</f>
        <v>4618</v>
      </c>
      <c r="I353" s="135" t="str">
        <f>_xlfn.XLOOKUP(_xlfn.XLOOKUP(Table1[[#This Row],[Account]],Accounts[Account nickname],Accounts[Institution ID]),Institutions[ID],Institutions[Institution nickname],"Unknown")</f>
        <v>Discover</v>
      </c>
      <c r="J353" s="136" t="s">
        <v>1650</v>
      </c>
      <c r="K353" s="137" t="s">
        <v>843</v>
      </c>
      <c r="L353" s="137" t="s">
        <v>841</v>
      </c>
      <c r="M35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5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53" s="138" t="str" cm="1">
        <f t="array" ref="O353">IFERROR(INDEX(CategoriesTable[Category type],MATCH(Table1[[#This Row],[Category]],CategoriesTable[Category name],0),0),"")</f>
        <v/>
      </c>
      <c r="P353" s="138">
        <v>2</v>
      </c>
      <c r="Q353" s="138">
        <f>MONTH(Table1[[#This Row],[Date]])</f>
        <v>10</v>
      </c>
      <c r="R353" s="138">
        <v>2021</v>
      </c>
      <c r="S353" s="139">
        <f>IF(ISBLANK(Table1[[#This Row],[Date]]),"",Table1[[#This Row],[Date]]-WEEKDAY(Table1[[#This Row],[Date]],2)+1)</f>
        <v>44466</v>
      </c>
      <c r="T353" s="140">
        <f>IF(ISBLANK(Table1[[#This Row],[Date]]),"",DATE(Table1[[#This Row],[Date_Year]],Table1[[#This Row],[Date_Month]],1))</f>
        <v>44470</v>
      </c>
    </row>
    <row r="354" spans="2:20" ht="15.75">
      <c r="B354" s="154">
        <v>44471</v>
      </c>
      <c r="C354" s="119" t="s">
        <v>1647</v>
      </c>
      <c r="D354" s="119"/>
      <c r="E354" s="119"/>
      <c r="F354" s="155">
        <v>-30.82</v>
      </c>
      <c r="G354" s="133" t="str">
        <f>_xlfn.XLOOKUP(Table1[[#This Row],[Account_ID]], Accounts[ID], Accounts[Account nickname], "Unknown")</f>
        <v>Discover</v>
      </c>
      <c r="H354" s="134" t="str">
        <f>_xlfn.XLOOKUP(Table1[[#This Row],[Account_ID]], Accounts[ID], Accounts[Account'#], "Unknown")</f>
        <v>4618</v>
      </c>
      <c r="I354" s="135" t="str">
        <f>_xlfn.XLOOKUP(_xlfn.XLOOKUP(Table1[[#This Row],[Account]],Accounts[Account nickname],Accounts[Institution ID]),Institutions[ID],Institutions[Institution nickname],"Unknown")</f>
        <v>Discover</v>
      </c>
      <c r="J354" s="136" t="s">
        <v>1648</v>
      </c>
      <c r="K354" s="137" t="s">
        <v>843</v>
      </c>
      <c r="L354" s="137" t="s">
        <v>841</v>
      </c>
      <c r="M35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5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54" s="138" t="str" cm="1">
        <f t="array" ref="O354">IFERROR(INDEX(CategoriesTable[Category type],MATCH(Table1[[#This Row],[Category]],CategoriesTable[Category name],0),0),"")</f>
        <v/>
      </c>
      <c r="P354" s="138">
        <v>2</v>
      </c>
      <c r="Q354" s="138">
        <f>MONTH(Table1[[#This Row],[Date]])</f>
        <v>10</v>
      </c>
      <c r="R354" s="138">
        <v>2021</v>
      </c>
      <c r="S354" s="139">
        <f>IF(ISBLANK(Table1[[#This Row],[Date]]),"",Table1[[#This Row],[Date]]-WEEKDAY(Table1[[#This Row],[Date]],2)+1)</f>
        <v>44466</v>
      </c>
      <c r="T354" s="140">
        <f>IF(ISBLANK(Table1[[#This Row],[Date]]),"",DATE(Table1[[#This Row],[Date_Year]],Table1[[#This Row],[Date_Month]],1))</f>
        <v>44470</v>
      </c>
    </row>
    <row r="355" spans="2:20" ht="15.75">
      <c r="B355" s="154">
        <v>44470</v>
      </c>
      <c r="C355" s="119" t="s">
        <v>1653</v>
      </c>
      <c r="D355" s="119"/>
      <c r="E355" s="119"/>
      <c r="F355" s="155">
        <v>-23.2</v>
      </c>
      <c r="G355" s="133" t="str">
        <f>_xlfn.XLOOKUP(Table1[[#This Row],[Account_ID]], Accounts[ID], Accounts[Account nickname], "Unknown")</f>
        <v>Discover</v>
      </c>
      <c r="H355" s="134" t="str">
        <f>_xlfn.XLOOKUP(Table1[[#This Row],[Account_ID]], Accounts[ID], Accounts[Account'#], "Unknown")</f>
        <v>4618</v>
      </c>
      <c r="I355" s="135" t="str">
        <f>_xlfn.XLOOKUP(_xlfn.XLOOKUP(Table1[[#This Row],[Account]],Accounts[Account nickname],Accounts[Institution ID]),Institutions[ID],Institutions[Institution nickname],"Unknown")</f>
        <v>Discover</v>
      </c>
      <c r="J355" s="136" t="s">
        <v>1654</v>
      </c>
      <c r="K355" s="137" t="s">
        <v>843</v>
      </c>
      <c r="L355" s="137" t="s">
        <v>841</v>
      </c>
      <c r="M35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5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55" s="138" t="str" cm="1">
        <f t="array" ref="O355">IFERROR(INDEX(CategoriesTable[Category type],MATCH(Table1[[#This Row],[Category]],CategoriesTable[Category name],0),0),"")</f>
        <v/>
      </c>
      <c r="P355" s="138">
        <v>1</v>
      </c>
      <c r="Q355" s="138">
        <f>MONTH(Table1[[#This Row],[Date]])</f>
        <v>10</v>
      </c>
      <c r="R355" s="138">
        <v>2021</v>
      </c>
      <c r="S355" s="139">
        <f>IF(ISBLANK(Table1[[#This Row],[Date]]),"",Table1[[#This Row],[Date]]-WEEKDAY(Table1[[#This Row],[Date]],2)+1)</f>
        <v>44466</v>
      </c>
      <c r="T355" s="140">
        <f>IF(ISBLANK(Table1[[#This Row],[Date]]),"",DATE(Table1[[#This Row],[Date_Year]],Table1[[#This Row],[Date_Month]],1))</f>
        <v>44470</v>
      </c>
    </row>
    <row r="356" spans="2:20" ht="15.75">
      <c r="B356" s="154">
        <v>44470</v>
      </c>
      <c r="C356" s="119" t="s">
        <v>678</v>
      </c>
      <c r="D356" s="119"/>
      <c r="E356" s="119"/>
      <c r="F356" s="155">
        <v>-1866.67</v>
      </c>
      <c r="G356" s="133" t="str">
        <f>_xlfn.XLOOKUP(Table1[[#This Row],[Account_ID]], Accounts[ID], Accounts[Account nickname], "Unknown")</f>
        <v>WF</v>
      </c>
      <c r="H356" s="134" t="str">
        <f>_xlfn.XLOOKUP(Table1[[#This Row],[Account_ID]], Accounts[ID], Accounts[Account'#], "Unknown")</f>
        <v>4636</v>
      </c>
      <c r="I356" s="135" t="str">
        <f>_xlfn.XLOOKUP(_xlfn.XLOOKUP(Table1[[#This Row],[Account]],Accounts[Account nickname],Accounts[Institution ID]),Institutions[ID],Institutions[Institution nickname],"Unknown")</f>
        <v>Wells Fargo</v>
      </c>
      <c r="J356" s="136" t="s">
        <v>1012</v>
      </c>
      <c r="K356" s="137" t="s">
        <v>808</v>
      </c>
      <c r="L356" s="137" t="s">
        <v>807</v>
      </c>
      <c r="M35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5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56" s="138" t="str" cm="1">
        <f t="array" ref="O356">IFERROR(INDEX(CategoriesTable[Category type],MATCH(Table1[[#This Row],[Category]],CategoriesTable[Category name],0),0),"")</f>
        <v/>
      </c>
      <c r="P356" s="138">
        <v>1</v>
      </c>
      <c r="Q356" s="138">
        <f>MONTH(Table1[[#This Row],[Date]])</f>
        <v>10</v>
      </c>
      <c r="R356" s="138">
        <v>2021</v>
      </c>
      <c r="S356" s="139">
        <f>IF(ISBLANK(Table1[[#This Row],[Date]]),"",Table1[[#This Row],[Date]]-WEEKDAY(Table1[[#This Row],[Date]],2)+1)</f>
        <v>44466</v>
      </c>
      <c r="T356" s="140">
        <f>IF(ISBLANK(Table1[[#This Row],[Date]]),"",DATE(Table1[[#This Row],[Date_Year]],Table1[[#This Row],[Date_Month]],1))</f>
        <v>44470</v>
      </c>
    </row>
    <row r="357" spans="2:20" ht="15.75">
      <c r="B357" s="154">
        <v>44470</v>
      </c>
      <c r="C357" s="119" t="s">
        <v>698</v>
      </c>
      <c r="D357" s="119"/>
      <c r="E357" s="119"/>
      <c r="F357" s="155">
        <v>-9.99</v>
      </c>
      <c r="G357" s="133" t="str">
        <f>_xlfn.XLOOKUP(Table1[[#This Row],[Account_ID]], Accounts[ID], Accounts[Account nickname], "Unknown")</f>
        <v>Discover</v>
      </c>
      <c r="H357" s="134" t="str">
        <f>_xlfn.XLOOKUP(Table1[[#This Row],[Account_ID]], Accounts[ID], Accounts[Account'#], "Unknown")</f>
        <v>4618</v>
      </c>
      <c r="I357" s="135" t="str">
        <f>_xlfn.XLOOKUP(_xlfn.XLOOKUP(Table1[[#This Row],[Account]],Accounts[Account nickname],Accounts[Institution ID]),Institutions[ID],Institutions[Institution nickname],"Unknown")</f>
        <v>Discover</v>
      </c>
      <c r="J357" s="136" t="s">
        <v>1656</v>
      </c>
      <c r="K357" s="137" t="s">
        <v>843</v>
      </c>
      <c r="L357" s="137" t="s">
        <v>841</v>
      </c>
      <c r="M35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5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57" s="138" t="str" cm="1">
        <f t="array" ref="O357">IFERROR(INDEX(CategoriesTable[Category type],MATCH(Table1[[#This Row],[Category]],CategoriesTable[Category name],0),0),"")</f>
        <v/>
      </c>
      <c r="P357" s="138">
        <v>1</v>
      </c>
      <c r="Q357" s="138">
        <f>MONTH(Table1[[#This Row],[Date]])</f>
        <v>10</v>
      </c>
      <c r="R357" s="138">
        <v>2021</v>
      </c>
      <c r="S357" s="139">
        <f>IF(ISBLANK(Table1[[#This Row],[Date]]),"",Table1[[#This Row],[Date]]-WEEKDAY(Table1[[#This Row],[Date]],2)+1)</f>
        <v>44466</v>
      </c>
      <c r="T357" s="140">
        <f>IF(ISBLANK(Table1[[#This Row],[Date]]),"",DATE(Table1[[#This Row],[Date_Year]],Table1[[#This Row],[Date_Month]],1))</f>
        <v>44470</v>
      </c>
    </row>
    <row r="358" spans="2:20" ht="15.75">
      <c r="B358" s="154">
        <v>44470</v>
      </c>
      <c r="C358" s="119" t="s">
        <v>1651</v>
      </c>
      <c r="D358" s="119"/>
      <c r="E358" s="119"/>
      <c r="F358" s="155">
        <v>-100</v>
      </c>
      <c r="G358" s="133" t="str">
        <f>_xlfn.XLOOKUP(Table1[[#This Row],[Account_ID]], Accounts[ID], Accounts[Account nickname], "Unknown")</f>
        <v>Discover</v>
      </c>
      <c r="H358" s="134" t="str">
        <f>_xlfn.XLOOKUP(Table1[[#This Row],[Account_ID]], Accounts[ID], Accounts[Account'#], "Unknown")</f>
        <v>4618</v>
      </c>
      <c r="I358" s="135" t="str">
        <f>_xlfn.XLOOKUP(_xlfn.XLOOKUP(Table1[[#This Row],[Account]],Accounts[Account nickname],Accounts[Institution ID]),Institutions[ID],Institutions[Institution nickname],"Unknown")</f>
        <v>Discover</v>
      </c>
      <c r="J358" s="136" t="s">
        <v>1652</v>
      </c>
      <c r="K358" s="137" t="s">
        <v>843</v>
      </c>
      <c r="L358" s="137" t="s">
        <v>841</v>
      </c>
      <c r="M35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5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58" s="138" t="str" cm="1">
        <f t="array" ref="O358">IFERROR(INDEX(CategoriesTable[Category type],MATCH(Table1[[#This Row],[Category]],CategoriesTable[Category name],0),0),"")</f>
        <v/>
      </c>
      <c r="P358" s="138">
        <v>1</v>
      </c>
      <c r="Q358" s="138">
        <f>MONTH(Table1[[#This Row],[Date]])</f>
        <v>10</v>
      </c>
      <c r="R358" s="138">
        <v>2021</v>
      </c>
      <c r="S358" s="139">
        <f>IF(ISBLANK(Table1[[#This Row],[Date]]),"",Table1[[#This Row],[Date]]-WEEKDAY(Table1[[#This Row],[Date]],2)+1)</f>
        <v>44466</v>
      </c>
      <c r="T358" s="140">
        <f>IF(ISBLANK(Table1[[#This Row],[Date]]),"",DATE(Table1[[#This Row],[Date_Year]],Table1[[#This Row],[Date_Month]],1))</f>
        <v>44470</v>
      </c>
    </row>
    <row r="359" spans="2:20" ht="15.75">
      <c r="B359" s="154">
        <v>44470</v>
      </c>
      <c r="C359" s="119" t="s">
        <v>697</v>
      </c>
      <c r="D359" s="119"/>
      <c r="E359" s="119"/>
      <c r="F359" s="155">
        <v>-14.83</v>
      </c>
      <c r="G359" s="133" t="str">
        <f>_xlfn.XLOOKUP(Table1[[#This Row],[Account_ID]], Accounts[ID], Accounts[Account nickname], "Unknown")</f>
        <v>Discover</v>
      </c>
      <c r="H359" s="134" t="str">
        <f>_xlfn.XLOOKUP(Table1[[#This Row],[Account_ID]], Accounts[ID], Accounts[Account'#], "Unknown")</f>
        <v>4618</v>
      </c>
      <c r="I359" s="135" t="str">
        <f>_xlfn.XLOOKUP(_xlfn.XLOOKUP(Table1[[#This Row],[Account]],Accounts[Account nickname],Accounts[Institution ID]),Institutions[ID],Institutions[Institution nickname],"Unknown")</f>
        <v>Discover</v>
      </c>
      <c r="J359" s="136" t="s">
        <v>1655</v>
      </c>
      <c r="K359" s="137" t="s">
        <v>843</v>
      </c>
      <c r="L359" s="137" t="s">
        <v>841</v>
      </c>
      <c r="M35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5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59" s="138" t="str" cm="1">
        <f t="array" ref="O359">IFERROR(INDEX(CategoriesTable[Category type],MATCH(Table1[[#This Row],[Category]],CategoriesTable[Category name],0),0),"")</f>
        <v/>
      </c>
      <c r="P359" s="138">
        <v>1</v>
      </c>
      <c r="Q359" s="138">
        <f>MONTH(Table1[[#This Row],[Date]])</f>
        <v>10</v>
      </c>
      <c r="R359" s="138">
        <v>2021</v>
      </c>
      <c r="S359" s="139">
        <f>IF(ISBLANK(Table1[[#This Row],[Date]]),"",Table1[[#This Row],[Date]]-WEEKDAY(Table1[[#This Row],[Date]],2)+1)</f>
        <v>44466</v>
      </c>
      <c r="T359" s="140">
        <f>IF(ISBLANK(Table1[[#This Row],[Date]]),"",DATE(Table1[[#This Row],[Date_Year]],Table1[[#This Row],[Date_Month]],1))</f>
        <v>44470</v>
      </c>
    </row>
    <row r="360" spans="2:20" ht="15.75">
      <c r="B360" s="154">
        <v>44469</v>
      </c>
      <c r="C360" s="119" t="s">
        <v>1660</v>
      </c>
      <c r="D360" s="119"/>
      <c r="E360" s="119"/>
      <c r="F360" s="155">
        <v>-111.51</v>
      </c>
      <c r="G360" s="133" t="str">
        <f>_xlfn.XLOOKUP(Table1[[#This Row],[Account_ID]], Accounts[ID], Accounts[Account nickname], "Unknown")</f>
        <v>Discover</v>
      </c>
      <c r="H360" s="134" t="str">
        <f>_xlfn.XLOOKUP(Table1[[#This Row],[Account_ID]], Accounts[ID], Accounts[Account'#], "Unknown")</f>
        <v>4618</v>
      </c>
      <c r="I360" s="135" t="str">
        <f>_xlfn.XLOOKUP(_xlfn.XLOOKUP(Table1[[#This Row],[Account]],Accounts[Account nickname],Accounts[Institution ID]),Institutions[ID],Institutions[Institution nickname],"Unknown")</f>
        <v>Discover</v>
      </c>
      <c r="J360" s="152" t="s">
        <v>1661</v>
      </c>
      <c r="K360" s="137" t="s">
        <v>843</v>
      </c>
      <c r="L360" s="137" t="s">
        <v>841</v>
      </c>
      <c r="M36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6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60" s="138" t="str" cm="1">
        <f t="array" ref="O360">IFERROR(INDEX(CategoriesTable[Category type],MATCH(Table1[[#This Row],[Category]],CategoriesTable[Category name],0),0),"")</f>
        <v/>
      </c>
      <c r="P360" s="138">
        <v>30</v>
      </c>
      <c r="Q360" s="138">
        <f>MONTH(Table1[[#This Row],[Date]])</f>
        <v>9</v>
      </c>
      <c r="R360" s="138">
        <v>2021</v>
      </c>
      <c r="S360" s="139">
        <f>IF(ISBLANK(Table1[[#This Row],[Date]]),"",Table1[[#This Row],[Date]]-WEEKDAY(Table1[[#This Row],[Date]],2)+1)</f>
        <v>44466</v>
      </c>
      <c r="T360" s="140">
        <f>IF(ISBLANK(Table1[[#This Row],[Date]]),"",DATE(Table1[[#This Row],[Date_Year]],Table1[[#This Row],[Date_Month]],1))</f>
        <v>44440</v>
      </c>
    </row>
    <row r="361" spans="2:20" ht="15.75">
      <c r="B361" s="154">
        <v>44469</v>
      </c>
      <c r="C361" s="119" t="s">
        <v>694</v>
      </c>
      <c r="D361" s="119"/>
      <c r="E361" s="119"/>
      <c r="F361" s="155">
        <v>-24.96</v>
      </c>
      <c r="G361" s="133" t="str">
        <f>_xlfn.XLOOKUP(Table1[[#This Row],[Account_ID]], Accounts[ID], Accounts[Account nickname], "Unknown")</f>
        <v>Discover</v>
      </c>
      <c r="H361" s="134" t="str">
        <f>_xlfn.XLOOKUP(Table1[[#This Row],[Account_ID]], Accounts[ID], Accounts[Account'#], "Unknown")</f>
        <v>4618</v>
      </c>
      <c r="I361" s="135" t="str">
        <f>_xlfn.XLOOKUP(_xlfn.XLOOKUP(Table1[[#This Row],[Account]],Accounts[Account nickname],Accounts[Institution ID]),Institutions[ID],Institutions[Institution nickname],"Unknown")</f>
        <v>Discover</v>
      </c>
      <c r="J361" s="136" t="s">
        <v>1658</v>
      </c>
      <c r="K361" s="137" t="s">
        <v>843</v>
      </c>
      <c r="L361" s="137" t="s">
        <v>841</v>
      </c>
      <c r="M36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6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61" s="138" t="str" cm="1">
        <f t="array" ref="O361">IFERROR(INDEX(CategoriesTable[Category type],MATCH(Table1[[#This Row],[Category]],CategoriesTable[Category name],0),0),"")</f>
        <v/>
      </c>
      <c r="P361" s="138">
        <v>30</v>
      </c>
      <c r="Q361" s="138">
        <f>MONTH(Table1[[#This Row],[Date]])</f>
        <v>9</v>
      </c>
      <c r="R361" s="138">
        <v>2021</v>
      </c>
      <c r="S361" s="139">
        <f>IF(ISBLANK(Table1[[#This Row],[Date]]),"",Table1[[#This Row],[Date]]-WEEKDAY(Table1[[#This Row],[Date]],2)+1)</f>
        <v>44466</v>
      </c>
      <c r="T361" s="140">
        <f>IF(ISBLANK(Table1[[#This Row],[Date]]),"",DATE(Table1[[#This Row],[Date_Year]],Table1[[#This Row],[Date_Month]],1))</f>
        <v>44440</v>
      </c>
    </row>
    <row r="362" spans="2:20" ht="15.75">
      <c r="B362" s="154">
        <v>44469</v>
      </c>
      <c r="C362" s="119" t="s">
        <v>689</v>
      </c>
      <c r="D362" s="119"/>
      <c r="E362" s="119"/>
      <c r="F362" s="155">
        <v>-4.8499999999999996</v>
      </c>
      <c r="G362" s="133" t="str">
        <f>_xlfn.XLOOKUP(Table1[[#This Row],[Account_ID]], Accounts[ID], Accounts[Account nickname], "Unknown")</f>
        <v>Discover</v>
      </c>
      <c r="H362" s="134" t="str">
        <f>_xlfn.XLOOKUP(Table1[[#This Row],[Account_ID]], Accounts[ID], Accounts[Account'#], "Unknown")</f>
        <v>4618</v>
      </c>
      <c r="I362" s="135" t="str">
        <f>_xlfn.XLOOKUP(_xlfn.XLOOKUP(Table1[[#This Row],[Account]],Accounts[Account nickname],Accounts[Institution ID]),Institutions[ID],Institutions[Institution nickname],"Unknown")</f>
        <v>Discover</v>
      </c>
      <c r="J362" s="136" t="s">
        <v>1659</v>
      </c>
      <c r="K362" s="137" t="s">
        <v>843</v>
      </c>
      <c r="L362" s="137" t="s">
        <v>841</v>
      </c>
      <c r="M36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6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62" s="138" t="str" cm="1">
        <f t="array" ref="O362">IFERROR(INDEX(CategoriesTable[Category type],MATCH(Table1[[#This Row],[Category]],CategoriesTable[Category name],0),0),"")</f>
        <v/>
      </c>
      <c r="P362" s="138">
        <v>30</v>
      </c>
      <c r="Q362" s="138">
        <f>MONTH(Table1[[#This Row],[Date]])</f>
        <v>9</v>
      </c>
      <c r="R362" s="138">
        <v>2021</v>
      </c>
      <c r="S362" s="139">
        <f>IF(ISBLANK(Table1[[#This Row],[Date]]),"",Table1[[#This Row],[Date]]-WEEKDAY(Table1[[#This Row],[Date]],2)+1)</f>
        <v>44466</v>
      </c>
      <c r="T362" s="140">
        <f>IF(ISBLANK(Table1[[#This Row],[Date]]),"",DATE(Table1[[#This Row],[Date_Year]],Table1[[#This Row],[Date_Month]],1))</f>
        <v>44440</v>
      </c>
    </row>
    <row r="363" spans="2:20" ht="15.75">
      <c r="B363" s="154">
        <v>44469</v>
      </c>
      <c r="C363" s="119" t="s">
        <v>1623</v>
      </c>
      <c r="D363" s="119"/>
      <c r="E363" s="119"/>
      <c r="F363" s="155">
        <v>-4.99</v>
      </c>
      <c r="G363" s="133" t="str">
        <f>_xlfn.XLOOKUP(Table1[[#This Row],[Account_ID]], Accounts[ID], Accounts[Account nickname], "Unknown")</f>
        <v>Discover</v>
      </c>
      <c r="H363" s="134" t="str">
        <f>_xlfn.XLOOKUP(Table1[[#This Row],[Account_ID]], Accounts[ID], Accounts[Account'#], "Unknown")</f>
        <v>4618</v>
      </c>
      <c r="I363" s="135" t="str">
        <f>_xlfn.XLOOKUP(_xlfn.XLOOKUP(Table1[[#This Row],[Account]],Accounts[Account nickname],Accounts[Institution ID]),Institutions[ID],Institutions[Institution nickname],"Unknown")</f>
        <v>Discover</v>
      </c>
      <c r="J363" s="136" t="s">
        <v>1657</v>
      </c>
      <c r="K363" s="137" t="s">
        <v>843</v>
      </c>
      <c r="L363" s="137" t="s">
        <v>841</v>
      </c>
      <c r="M36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6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63" s="138" t="str" cm="1">
        <f t="array" ref="O363">IFERROR(INDEX(CategoriesTable[Category type],MATCH(Table1[[#This Row],[Category]],CategoriesTable[Category name],0),0),"")</f>
        <v/>
      </c>
      <c r="P363" s="138">
        <v>30</v>
      </c>
      <c r="Q363" s="138">
        <f>MONTH(Table1[[#This Row],[Date]])</f>
        <v>9</v>
      </c>
      <c r="R363" s="138">
        <v>2021</v>
      </c>
      <c r="S363" s="139">
        <f>IF(ISBLANK(Table1[[#This Row],[Date]]),"",Table1[[#This Row],[Date]]-WEEKDAY(Table1[[#This Row],[Date]],2)+1)</f>
        <v>44466</v>
      </c>
      <c r="T363" s="140">
        <f>IF(ISBLANK(Table1[[#This Row],[Date]]),"",DATE(Table1[[#This Row],[Date_Year]],Table1[[#This Row],[Date_Month]],1))</f>
        <v>44440</v>
      </c>
    </row>
    <row r="364" spans="2:20" ht="15.75">
      <c r="B364" s="154">
        <v>44468</v>
      </c>
      <c r="C364" s="119" t="s">
        <v>1665</v>
      </c>
      <c r="D364" s="119"/>
      <c r="E364" s="119"/>
      <c r="F364" s="155">
        <v>-17</v>
      </c>
      <c r="G364" s="133" t="str">
        <f>_xlfn.XLOOKUP(Table1[[#This Row],[Account_ID]], Accounts[ID], Accounts[Account nickname], "Unknown")</f>
        <v>Discover</v>
      </c>
      <c r="H364" s="134" t="str">
        <f>_xlfn.XLOOKUP(Table1[[#This Row],[Account_ID]], Accounts[ID], Accounts[Account'#], "Unknown")</f>
        <v>4618</v>
      </c>
      <c r="I364" s="135" t="str">
        <f>_xlfn.XLOOKUP(_xlfn.XLOOKUP(Table1[[#This Row],[Account]],Accounts[Account nickname],Accounts[Institution ID]),Institutions[ID],Institutions[Institution nickname],"Unknown")</f>
        <v>Discover</v>
      </c>
      <c r="J364" s="136" t="s">
        <v>1666</v>
      </c>
      <c r="K364" s="137" t="s">
        <v>843</v>
      </c>
      <c r="L364" s="137" t="s">
        <v>841</v>
      </c>
      <c r="M36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6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64" s="138" t="str" cm="1">
        <f t="array" ref="O364">IFERROR(INDEX(CategoriesTable[Category type],MATCH(Table1[[#This Row],[Category]],CategoriesTable[Category name],0),0),"")</f>
        <v/>
      </c>
      <c r="P364" s="138">
        <v>29</v>
      </c>
      <c r="Q364" s="138">
        <f>MONTH(Table1[[#This Row],[Date]])</f>
        <v>9</v>
      </c>
      <c r="R364" s="138">
        <v>2021</v>
      </c>
      <c r="S364" s="139">
        <f>IF(ISBLANK(Table1[[#This Row],[Date]]),"",Table1[[#This Row],[Date]]-WEEKDAY(Table1[[#This Row],[Date]],2)+1)</f>
        <v>44466</v>
      </c>
      <c r="T364" s="140">
        <f>IF(ISBLANK(Table1[[#This Row],[Date]]),"",DATE(Table1[[#This Row],[Date_Year]],Table1[[#This Row],[Date_Month]],1))</f>
        <v>44440</v>
      </c>
    </row>
    <row r="365" spans="2:20" ht="15.75">
      <c r="B365" s="154">
        <v>44468</v>
      </c>
      <c r="C365" s="119" t="s">
        <v>685</v>
      </c>
      <c r="D365" s="119" t="s">
        <v>103</v>
      </c>
      <c r="E365" s="119"/>
      <c r="F365" s="155">
        <v>-203.31</v>
      </c>
      <c r="G365" s="133" t="str">
        <f>_xlfn.XLOOKUP(Table1[[#This Row],[Account_ID]], Accounts[ID], Accounts[Account nickname], "Unknown")</f>
        <v>BB</v>
      </c>
      <c r="H365" s="134" t="str">
        <f>_xlfn.XLOOKUP(Table1[[#This Row],[Account_ID]], Accounts[ID], Accounts[Account'#], "Unknown")</f>
        <v>4561</v>
      </c>
      <c r="I365" s="135" t="str">
        <f>_xlfn.XLOOKUP(_xlfn.XLOOKUP(Table1[[#This Row],[Account]],Accounts[Account nickname],Accounts[Institution ID]),Institutions[ID],Institutions[Institution nickname],"Unknown")</f>
        <v>Best Buy - Citi Card</v>
      </c>
      <c r="J365" s="136" t="s">
        <v>1672</v>
      </c>
      <c r="K365" s="137" t="s">
        <v>1375</v>
      </c>
      <c r="L365" s="137" t="s">
        <v>1372</v>
      </c>
      <c r="M36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fca5dd8329b743f7b77704e23a1e63ad</v>
      </c>
      <c r="N36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65" s="138" t="str" cm="1">
        <f t="array" ref="O365">IFERROR(INDEX(CategoriesTable[Category type],MATCH(Table1[[#This Row],[Category]],CategoriesTable[Category name],0),0),"")</f>
        <v>Expense</v>
      </c>
      <c r="P365" s="138">
        <v>29</v>
      </c>
      <c r="Q365" s="138">
        <f>MONTH(Table1[[#This Row],[Date]])</f>
        <v>9</v>
      </c>
      <c r="R365" s="138">
        <v>2021</v>
      </c>
      <c r="S365" s="139">
        <f>IF(ISBLANK(Table1[[#This Row],[Date]]),"",Table1[[#This Row],[Date]]-WEEKDAY(Table1[[#This Row],[Date]],2)+1)</f>
        <v>44466</v>
      </c>
      <c r="T365" s="140">
        <f>IF(ISBLANK(Table1[[#This Row],[Date]]),"",DATE(Table1[[#This Row],[Date_Year]],Table1[[#This Row],[Date_Month]],1))</f>
        <v>44440</v>
      </c>
    </row>
    <row r="366" spans="2:20" ht="15.75">
      <c r="B366" s="154">
        <v>44468</v>
      </c>
      <c r="C366" s="119" t="s">
        <v>910</v>
      </c>
      <c r="D366" s="119"/>
      <c r="E366" s="119"/>
      <c r="F366" s="155">
        <v>-10.59</v>
      </c>
      <c r="G366" s="133" t="str">
        <f>_xlfn.XLOOKUP(Table1[[#This Row],[Account_ID]], Accounts[ID], Accounts[Account nickname], "Unknown")</f>
        <v>Discover</v>
      </c>
      <c r="H366" s="134" t="str">
        <f>_xlfn.XLOOKUP(Table1[[#This Row],[Account_ID]], Accounts[ID], Accounts[Account'#], "Unknown")</f>
        <v>4618</v>
      </c>
      <c r="I366" s="135" t="str">
        <f>_xlfn.XLOOKUP(_xlfn.XLOOKUP(Table1[[#This Row],[Account]],Accounts[Account nickname],Accounts[Institution ID]),Institutions[ID],Institutions[Institution nickname],"Unknown")</f>
        <v>Discover</v>
      </c>
      <c r="J366" s="136" t="s">
        <v>1662</v>
      </c>
      <c r="K366" s="137" t="s">
        <v>843</v>
      </c>
      <c r="L366" s="137" t="s">
        <v>841</v>
      </c>
      <c r="M36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6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66" s="138" t="str" cm="1">
        <f t="array" ref="O366">IFERROR(INDEX(CategoriesTable[Category type],MATCH(Table1[[#This Row],[Category]],CategoriesTable[Category name],0),0),"")</f>
        <v/>
      </c>
      <c r="P366" s="138">
        <v>29</v>
      </c>
      <c r="Q366" s="138">
        <f>MONTH(Table1[[#This Row],[Date]])</f>
        <v>9</v>
      </c>
      <c r="R366" s="138">
        <v>2021</v>
      </c>
      <c r="S366" s="139">
        <f>IF(ISBLANK(Table1[[#This Row],[Date]]),"",Table1[[#This Row],[Date]]-WEEKDAY(Table1[[#This Row],[Date]],2)+1)</f>
        <v>44466</v>
      </c>
      <c r="T366" s="140">
        <f>IF(ISBLANK(Table1[[#This Row],[Date]]),"",DATE(Table1[[#This Row],[Date_Year]],Table1[[#This Row],[Date_Month]],1))</f>
        <v>44440</v>
      </c>
    </row>
    <row r="367" spans="2:20" ht="15.75">
      <c r="B367" s="154">
        <v>44468</v>
      </c>
      <c r="C367" s="119" t="s">
        <v>685</v>
      </c>
      <c r="D367" s="119" t="s">
        <v>103</v>
      </c>
      <c r="E367" s="119"/>
      <c r="F367" s="155">
        <v>-812.12</v>
      </c>
      <c r="G367" s="133" t="str">
        <f>_xlfn.XLOOKUP(Table1[[#This Row],[Account_ID]], Accounts[ID], Accounts[Account nickname], "Unknown")</f>
        <v>BB</v>
      </c>
      <c r="H367" s="134" t="str">
        <f>_xlfn.XLOOKUP(Table1[[#This Row],[Account_ID]], Accounts[ID], Accounts[Account'#], "Unknown")</f>
        <v>4561</v>
      </c>
      <c r="I367" s="135" t="str">
        <f>_xlfn.XLOOKUP(_xlfn.XLOOKUP(Table1[[#This Row],[Account]],Accounts[Account nickname],Accounts[Institution ID]),Institutions[ID],Institutions[Institution nickname],"Unknown")</f>
        <v>Best Buy - Citi Card</v>
      </c>
      <c r="J367" s="136" t="s">
        <v>1673</v>
      </c>
      <c r="K367" s="137" t="s">
        <v>1375</v>
      </c>
      <c r="L367" s="137" t="s">
        <v>1372</v>
      </c>
      <c r="M36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fca5dd8329b743f7b77704e23a1e63ad</v>
      </c>
      <c r="N36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67" s="138" t="str" cm="1">
        <f t="array" ref="O367">IFERROR(INDEX(CategoriesTable[Category type],MATCH(Table1[[#This Row],[Category]],CategoriesTable[Category name],0),0),"")</f>
        <v>Expense</v>
      </c>
      <c r="P367" s="138">
        <v>29</v>
      </c>
      <c r="Q367" s="138">
        <f>MONTH(Table1[[#This Row],[Date]])</f>
        <v>9</v>
      </c>
      <c r="R367" s="138">
        <v>2021</v>
      </c>
      <c r="S367" s="139">
        <f>IF(ISBLANK(Table1[[#This Row],[Date]]),"",Table1[[#This Row],[Date]]-WEEKDAY(Table1[[#This Row],[Date]],2)+1)</f>
        <v>44466</v>
      </c>
      <c r="T367" s="140">
        <f>IF(ISBLANK(Table1[[#This Row],[Date]]),"",DATE(Table1[[#This Row],[Date_Year]],Table1[[#This Row],[Date_Month]],1))</f>
        <v>44440</v>
      </c>
    </row>
    <row r="368" spans="2:20" ht="15.75">
      <c r="B368" s="154">
        <v>44468</v>
      </c>
      <c r="C368" s="119" t="s">
        <v>685</v>
      </c>
      <c r="D368" s="119" t="s">
        <v>103</v>
      </c>
      <c r="E368" s="119"/>
      <c r="F368" s="155">
        <v>-116.37</v>
      </c>
      <c r="G368" s="133" t="str">
        <f>_xlfn.XLOOKUP(Table1[[#This Row],[Account_ID]], Accounts[ID], Accounts[Account nickname], "Unknown")</f>
        <v>BB</v>
      </c>
      <c r="H368" s="134" t="str">
        <f>_xlfn.XLOOKUP(Table1[[#This Row],[Account_ID]], Accounts[ID], Accounts[Account'#], "Unknown")</f>
        <v>4561</v>
      </c>
      <c r="I368" s="135" t="str">
        <f>_xlfn.XLOOKUP(_xlfn.XLOOKUP(Table1[[#This Row],[Account]],Accounts[Account nickname],Accounts[Institution ID]),Institutions[ID],Institutions[Institution nickname],"Unknown")</f>
        <v>Best Buy - Citi Card</v>
      </c>
      <c r="J368" s="136" t="s">
        <v>1671</v>
      </c>
      <c r="K368" s="137" t="s">
        <v>1375</v>
      </c>
      <c r="L368" s="137" t="s">
        <v>1372</v>
      </c>
      <c r="M36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fca5dd8329b743f7b77704e23a1e63ad</v>
      </c>
      <c r="N36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68" s="138" t="str" cm="1">
        <f t="array" ref="O368">IFERROR(INDEX(CategoriesTable[Category type],MATCH(Table1[[#This Row],[Category]],CategoriesTable[Category name],0),0),"")</f>
        <v>Expense</v>
      </c>
      <c r="P368" s="138">
        <v>29</v>
      </c>
      <c r="Q368" s="138">
        <f>MONTH(Table1[[#This Row],[Date]])</f>
        <v>9</v>
      </c>
      <c r="R368" s="138">
        <v>2021</v>
      </c>
      <c r="S368" s="139">
        <f>IF(ISBLANK(Table1[[#This Row],[Date]]),"",Table1[[#This Row],[Date]]-WEEKDAY(Table1[[#This Row],[Date]],2)+1)</f>
        <v>44466</v>
      </c>
      <c r="T368" s="140">
        <f>IF(ISBLANK(Table1[[#This Row],[Date]]),"",DATE(Table1[[#This Row],[Date_Year]],Table1[[#This Row],[Date_Month]],1))</f>
        <v>44440</v>
      </c>
    </row>
    <row r="369" spans="2:20" ht="15.75">
      <c r="B369" s="154">
        <v>44468</v>
      </c>
      <c r="C369" s="119" t="s">
        <v>1663</v>
      </c>
      <c r="D369" s="119"/>
      <c r="E369" s="119"/>
      <c r="F369" s="155">
        <v>-25</v>
      </c>
      <c r="G369" s="133" t="str">
        <f>_xlfn.XLOOKUP(Table1[[#This Row],[Account_ID]], Accounts[ID], Accounts[Account nickname], "Unknown")</f>
        <v>Discover</v>
      </c>
      <c r="H369" s="134" t="str">
        <f>_xlfn.XLOOKUP(Table1[[#This Row],[Account_ID]], Accounts[ID], Accounts[Account'#], "Unknown")</f>
        <v>4618</v>
      </c>
      <c r="I369" s="135" t="str">
        <f>_xlfn.XLOOKUP(_xlfn.XLOOKUP(Table1[[#This Row],[Account]],Accounts[Account nickname],Accounts[Institution ID]),Institutions[ID],Institutions[Institution nickname],"Unknown")</f>
        <v>Discover</v>
      </c>
      <c r="J369" s="136" t="s">
        <v>1664</v>
      </c>
      <c r="K369" s="137" t="s">
        <v>843</v>
      </c>
      <c r="L369" s="137" t="s">
        <v>841</v>
      </c>
      <c r="M36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6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69" s="138" t="str" cm="1">
        <f t="array" ref="O369">IFERROR(INDEX(CategoriesTable[Category type],MATCH(Table1[[#This Row],[Category]],CategoriesTable[Category name],0),0),"")</f>
        <v/>
      </c>
      <c r="P369" s="138">
        <v>29</v>
      </c>
      <c r="Q369" s="138">
        <f>MONTH(Table1[[#This Row],[Date]])</f>
        <v>9</v>
      </c>
      <c r="R369" s="138">
        <v>2021</v>
      </c>
      <c r="S369" s="139">
        <f>IF(ISBLANK(Table1[[#This Row],[Date]]),"",Table1[[#This Row],[Date]]-WEEKDAY(Table1[[#This Row],[Date]],2)+1)</f>
        <v>44466</v>
      </c>
      <c r="T369" s="140">
        <f>IF(ISBLANK(Table1[[#This Row],[Date]]),"",DATE(Table1[[#This Row],[Date_Year]],Table1[[#This Row],[Date_Month]],1))</f>
        <v>44440</v>
      </c>
    </row>
    <row r="370" spans="2:20" ht="15.75">
      <c r="B370" s="154">
        <v>44468</v>
      </c>
      <c r="C370" s="119" t="s">
        <v>936</v>
      </c>
      <c r="D370" s="119"/>
      <c r="E370" s="119"/>
      <c r="F370" s="155">
        <v>-20.71</v>
      </c>
      <c r="G370" s="133" t="str">
        <f>_xlfn.XLOOKUP(Table1[[#This Row],[Account_ID]], Accounts[ID], Accounts[Account nickname], "Unknown")</f>
        <v>Discover</v>
      </c>
      <c r="H370" s="134" t="str">
        <f>_xlfn.XLOOKUP(Table1[[#This Row],[Account_ID]], Accounts[ID], Accounts[Account'#], "Unknown")</f>
        <v>4618</v>
      </c>
      <c r="I370" s="135" t="str">
        <f>_xlfn.XLOOKUP(_xlfn.XLOOKUP(Table1[[#This Row],[Account]],Accounts[Account nickname],Accounts[Institution ID]),Institutions[ID],Institutions[Institution nickname],"Unknown")</f>
        <v>Discover</v>
      </c>
      <c r="J370" s="136" t="s">
        <v>1670</v>
      </c>
      <c r="K370" s="137" t="s">
        <v>843</v>
      </c>
      <c r="L370" s="137" t="s">
        <v>841</v>
      </c>
      <c r="M37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7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70" s="138" t="str" cm="1">
        <f t="array" ref="O370">IFERROR(INDEX(CategoriesTable[Category type],MATCH(Table1[[#This Row],[Category]],CategoriesTable[Category name],0),0),"")</f>
        <v/>
      </c>
      <c r="P370" s="138">
        <v>29</v>
      </c>
      <c r="Q370" s="138">
        <f>MONTH(Table1[[#This Row],[Date]])</f>
        <v>9</v>
      </c>
      <c r="R370" s="138">
        <v>2021</v>
      </c>
      <c r="S370" s="139">
        <f>IF(ISBLANK(Table1[[#This Row],[Date]]),"",Table1[[#This Row],[Date]]-WEEKDAY(Table1[[#This Row],[Date]],2)+1)</f>
        <v>44466</v>
      </c>
      <c r="T370" s="140">
        <f>IF(ISBLANK(Table1[[#This Row],[Date]]),"",DATE(Table1[[#This Row],[Date_Year]],Table1[[#This Row],[Date_Month]],1))</f>
        <v>44440</v>
      </c>
    </row>
    <row r="371" spans="2:20" ht="15.75">
      <c r="B371" s="154">
        <v>44468</v>
      </c>
      <c r="C371" s="119" t="s">
        <v>689</v>
      </c>
      <c r="D371" s="119"/>
      <c r="E371" s="119"/>
      <c r="F371" s="155">
        <v>-18.48</v>
      </c>
      <c r="G371" s="133" t="str">
        <f>_xlfn.XLOOKUP(Table1[[#This Row],[Account_ID]], Accounts[ID], Accounts[Account nickname], "Unknown")</f>
        <v>Discover</v>
      </c>
      <c r="H371" s="134" t="str">
        <f>_xlfn.XLOOKUP(Table1[[#This Row],[Account_ID]], Accounts[ID], Accounts[Account'#], "Unknown")</f>
        <v>4618</v>
      </c>
      <c r="I371" s="135" t="str">
        <f>_xlfn.XLOOKUP(_xlfn.XLOOKUP(Table1[[#This Row],[Account]],Accounts[Account nickname],Accounts[Institution ID]),Institutions[ID],Institutions[Institution nickname],"Unknown")</f>
        <v>Discover</v>
      </c>
      <c r="J371" s="136" t="s">
        <v>1669</v>
      </c>
      <c r="K371" s="137" t="s">
        <v>843</v>
      </c>
      <c r="L371" s="137" t="s">
        <v>841</v>
      </c>
      <c r="M37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7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71" s="138" t="str" cm="1">
        <f t="array" ref="O371">IFERROR(INDEX(CategoriesTable[Category type],MATCH(Table1[[#This Row],[Category]],CategoriesTable[Category name],0),0),"")</f>
        <v/>
      </c>
      <c r="P371" s="138">
        <v>29</v>
      </c>
      <c r="Q371" s="138">
        <f>MONTH(Table1[[#This Row],[Date]])</f>
        <v>9</v>
      </c>
      <c r="R371" s="138">
        <v>2021</v>
      </c>
      <c r="S371" s="139">
        <f>IF(ISBLANK(Table1[[#This Row],[Date]]),"",Table1[[#This Row],[Date]]-WEEKDAY(Table1[[#This Row],[Date]],2)+1)</f>
        <v>44466</v>
      </c>
      <c r="T371" s="140">
        <f>IF(ISBLANK(Table1[[#This Row],[Date]]),"",DATE(Table1[[#This Row],[Date_Year]],Table1[[#This Row],[Date_Month]],1))</f>
        <v>44440</v>
      </c>
    </row>
    <row r="372" spans="2:20" ht="15.75">
      <c r="B372" s="154">
        <v>44468</v>
      </c>
      <c r="C372" s="119" t="s">
        <v>922</v>
      </c>
      <c r="D372" s="119"/>
      <c r="E372" s="119"/>
      <c r="F372" s="155">
        <v>-33.01</v>
      </c>
      <c r="G372" s="133" t="str">
        <f>_xlfn.XLOOKUP(Table1[[#This Row],[Account_ID]], Accounts[ID], Accounts[Account nickname], "Unknown")</f>
        <v>Discover</v>
      </c>
      <c r="H372" s="134" t="str">
        <f>_xlfn.XLOOKUP(Table1[[#This Row],[Account_ID]], Accounts[ID], Accounts[Account'#], "Unknown")</f>
        <v>4618</v>
      </c>
      <c r="I372" s="135" t="str">
        <f>_xlfn.XLOOKUP(_xlfn.XLOOKUP(Table1[[#This Row],[Account]],Accounts[Account nickname],Accounts[Institution ID]),Institutions[ID],Institutions[Institution nickname],"Unknown")</f>
        <v>Discover</v>
      </c>
      <c r="J372" s="136" t="s">
        <v>1667</v>
      </c>
      <c r="K372" s="137" t="s">
        <v>843</v>
      </c>
      <c r="L372" s="137" t="s">
        <v>841</v>
      </c>
      <c r="M37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7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72" s="138" t="str" cm="1">
        <f t="array" ref="O372">IFERROR(INDEX(CategoriesTable[Category type],MATCH(Table1[[#This Row],[Category]],CategoriesTable[Category name],0),0),"")</f>
        <v/>
      </c>
      <c r="P372" s="138">
        <v>29</v>
      </c>
      <c r="Q372" s="138">
        <f>MONTH(Table1[[#This Row],[Date]])</f>
        <v>9</v>
      </c>
      <c r="R372" s="138">
        <v>2021</v>
      </c>
      <c r="S372" s="139">
        <f>IF(ISBLANK(Table1[[#This Row],[Date]]),"",Table1[[#This Row],[Date]]-WEEKDAY(Table1[[#This Row],[Date]],2)+1)</f>
        <v>44466</v>
      </c>
      <c r="T372" s="140">
        <f>IF(ISBLANK(Table1[[#This Row],[Date]]),"",DATE(Table1[[#This Row],[Date_Year]],Table1[[#This Row],[Date_Month]],1))</f>
        <v>44440</v>
      </c>
    </row>
    <row r="373" spans="2:20" ht="15.75">
      <c r="B373" s="154">
        <v>44468</v>
      </c>
      <c r="C373" s="119" t="s">
        <v>694</v>
      </c>
      <c r="D373" s="119"/>
      <c r="E373" s="119"/>
      <c r="F373" s="155">
        <v>-21.44</v>
      </c>
      <c r="G373" s="133" t="str">
        <f>_xlfn.XLOOKUP(Table1[[#This Row],[Account_ID]], Accounts[ID], Accounts[Account nickname], "Unknown")</f>
        <v>Discover</v>
      </c>
      <c r="H373" s="134" t="str">
        <f>_xlfn.XLOOKUP(Table1[[#This Row],[Account_ID]], Accounts[ID], Accounts[Account'#], "Unknown")</f>
        <v>4618</v>
      </c>
      <c r="I373" s="135" t="str">
        <f>_xlfn.XLOOKUP(_xlfn.XLOOKUP(Table1[[#This Row],[Account]],Accounts[Account nickname],Accounts[Institution ID]),Institutions[ID],Institutions[Institution nickname],"Unknown")</f>
        <v>Discover</v>
      </c>
      <c r="J373" s="136" t="s">
        <v>1668</v>
      </c>
      <c r="K373" s="137" t="s">
        <v>843</v>
      </c>
      <c r="L373" s="137" t="s">
        <v>841</v>
      </c>
      <c r="M37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7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73" s="138" t="str" cm="1">
        <f t="array" ref="O373">IFERROR(INDEX(CategoriesTable[Category type],MATCH(Table1[[#This Row],[Category]],CategoriesTable[Category name],0),0),"")</f>
        <v/>
      </c>
      <c r="P373" s="138">
        <v>29</v>
      </c>
      <c r="Q373" s="138">
        <f>MONTH(Table1[[#This Row],[Date]])</f>
        <v>9</v>
      </c>
      <c r="R373" s="138">
        <v>2021</v>
      </c>
      <c r="S373" s="139">
        <f>IF(ISBLANK(Table1[[#This Row],[Date]]),"",Table1[[#This Row],[Date]]-WEEKDAY(Table1[[#This Row],[Date]],2)+1)</f>
        <v>44466</v>
      </c>
      <c r="T373" s="140">
        <f>IF(ISBLANK(Table1[[#This Row],[Date]]),"",DATE(Table1[[#This Row],[Date_Year]],Table1[[#This Row],[Date_Month]],1))</f>
        <v>44440</v>
      </c>
    </row>
    <row r="374" spans="2:20" ht="15.75">
      <c r="B374" s="154">
        <v>44467</v>
      </c>
      <c r="C374" s="119" t="s">
        <v>1674</v>
      </c>
      <c r="D374" s="119"/>
      <c r="E374" s="119"/>
      <c r="F374" s="155">
        <v>-1.1000000000000001</v>
      </c>
      <c r="G374" s="133" t="str">
        <f>_xlfn.XLOOKUP(Table1[[#This Row],[Account_ID]], Accounts[ID], Accounts[Account nickname], "Unknown")</f>
        <v>Discover</v>
      </c>
      <c r="H374" s="134" t="str">
        <f>_xlfn.XLOOKUP(Table1[[#This Row],[Account_ID]], Accounts[ID], Accounts[Account'#], "Unknown")</f>
        <v>4618</v>
      </c>
      <c r="I374" s="135" t="str">
        <f>_xlfn.XLOOKUP(_xlfn.XLOOKUP(Table1[[#This Row],[Account]],Accounts[Account nickname],Accounts[Institution ID]),Institutions[ID],Institutions[Institution nickname],"Unknown")</f>
        <v>Discover</v>
      </c>
      <c r="J374" s="136" t="s">
        <v>1676</v>
      </c>
      <c r="K374" s="137" t="s">
        <v>843</v>
      </c>
      <c r="L374" s="137" t="s">
        <v>841</v>
      </c>
      <c r="M37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7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74" s="138" t="str" cm="1">
        <f t="array" ref="O374">IFERROR(INDEX(CategoriesTable[Category type],MATCH(Table1[[#This Row],[Category]],CategoriesTable[Category name],0),0),"")</f>
        <v/>
      </c>
      <c r="P374" s="138">
        <v>28</v>
      </c>
      <c r="Q374" s="138">
        <f>MONTH(Table1[[#This Row],[Date]])</f>
        <v>9</v>
      </c>
      <c r="R374" s="138">
        <v>2021</v>
      </c>
      <c r="S374" s="139">
        <f>IF(ISBLANK(Table1[[#This Row],[Date]]),"",Table1[[#This Row],[Date]]-WEEKDAY(Table1[[#This Row],[Date]],2)+1)</f>
        <v>44466</v>
      </c>
      <c r="T374" s="140">
        <f>IF(ISBLANK(Table1[[#This Row],[Date]]),"",DATE(Table1[[#This Row],[Date_Year]],Table1[[#This Row],[Date_Month]],1))</f>
        <v>44440</v>
      </c>
    </row>
    <row r="375" spans="2:20" ht="15.75">
      <c r="B375" s="154">
        <v>44467</v>
      </c>
      <c r="C375" s="119" t="s">
        <v>1674</v>
      </c>
      <c r="D375" s="119"/>
      <c r="E375" s="119"/>
      <c r="F375" s="155">
        <v>-1.1000000000000001</v>
      </c>
      <c r="G375" s="133" t="str">
        <f>_xlfn.XLOOKUP(Table1[[#This Row],[Account_ID]], Accounts[ID], Accounts[Account nickname], "Unknown")</f>
        <v>Discover</v>
      </c>
      <c r="H375" s="134" t="str">
        <f>_xlfn.XLOOKUP(Table1[[#This Row],[Account_ID]], Accounts[ID], Accounts[Account'#], "Unknown")</f>
        <v>4618</v>
      </c>
      <c r="I375" s="135" t="str">
        <f>_xlfn.XLOOKUP(_xlfn.XLOOKUP(Table1[[#This Row],[Account]],Accounts[Account nickname],Accounts[Institution ID]),Institutions[ID],Institutions[Institution nickname],"Unknown")</f>
        <v>Discover</v>
      </c>
      <c r="J375" s="152" t="s">
        <v>1678</v>
      </c>
      <c r="K375" s="137" t="s">
        <v>843</v>
      </c>
      <c r="L375" s="137" t="s">
        <v>841</v>
      </c>
      <c r="M37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7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75" s="138" t="str" cm="1">
        <f t="array" ref="O375">IFERROR(INDEX(CategoriesTable[Category type],MATCH(Table1[[#This Row],[Category]],CategoriesTable[Category name],0),0),"")</f>
        <v/>
      </c>
      <c r="P375" s="138">
        <v>28</v>
      </c>
      <c r="Q375" s="138">
        <f>MONTH(Table1[[#This Row],[Date]])</f>
        <v>9</v>
      </c>
      <c r="R375" s="138">
        <v>2021</v>
      </c>
      <c r="S375" s="139">
        <f>IF(ISBLANK(Table1[[#This Row],[Date]]),"",Table1[[#This Row],[Date]]-WEEKDAY(Table1[[#This Row],[Date]],2)+1)</f>
        <v>44466</v>
      </c>
      <c r="T375" s="140">
        <f>IF(ISBLANK(Table1[[#This Row],[Date]]),"",DATE(Table1[[#This Row],[Date_Year]],Table1[[#This Row],[Date_Month]],1))</f>
        <v>44440</v>
      </c>
    </row>
    <row r="376" spans="2:20" ht="15.75">
      <c r="B376" s="154">
        <v>44467</v>
      </c>
      <c r="C376" s="119" t="s">
        <v>1674</v>
      </c>
      <c r="D376" s="119"/>
      <c r="E376" s="119"/>
      <c r="F376" s="155">
        <v>-1.1000000000000001</v>
      </c>
      <c r="G376" s="133" t="str">
        <f>_xlfn.XLOOKUP(Table1[[#This Row],[Account_ID]], Accounts[ID], Accounts[Account nickname], "Unknown")</f>
        <v>Discover</v>
      </c>
      <c r="H376" s="134" t="str">
        <f>_xlfn.XLOOKUP(Table1[[#This Row],[Account_ID]], Accounts[ID], Accounts[Account'#], "Unknown")</f>
        <v>4618</v>
      </c>
      <c r="I376" s="135" t="str">
        <f>_xlfn.XLOOKUP(_xlfn.XLOOKUP(Table1[[#This Row],[Account]],Accounts[Account nickname],Accounts[Institution ID]),Institutions[ID],Institutions[Institution nickname],"Unknown")</f>
        <v>Discover</v>
      </c>
      <c r="J376" s="136" t="s">
        <v>1675</v>
      </c>
      <c r="K376" s="137" t="s">
        <v>843</v>
      </c>
      <c r="L376" s="137" t="s">
        <v>841</v>
      </c>
      <c r="M37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7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76" s="138" t="str" cm="1">
        <f t="array" ref="O376">IFERROR(INDEX(CategoriesTable[Category type],MATCH(Table1[[#This Row],[Category]],CategoriesTable[Category name],0),0),"")</f>
        <v/>
      </c>
      <c r="P376" s="138">
        <v>28</v>
      </c>
      <c r="Q376" s="138">
        <f>MONTH(Table1[[#This Row],[Date]])</f>
        <v>9</v>
      </c>
      <c r="R376" s="138">
        <v>2021</v>
      </c>
      <c r="S376" s="139">
        <f>IF(ISBLANK(Table1[[#This Row],[Date]]),"",Table1[[#This Row],[Date]]-WEEKDAY(Table1[[#This Row],[Date]],2)+1)</f>
        <v>44466</v>
      </c>
      <c r="T376" s="140">
        <f>IF(ISBLANK(Table1[[#This Row],[Date]]),"",DATE(Table1[[#This Row],[Date_Year]],Table1[[#This Row],[Date_Month]],1))</f>
        <v>44440</v>
      </c>
    </row>
    <row r="377" spans="2:20" ht="15.75">
      <c r="B377" s="154">
        <v>44467</v>
      </c>
      <c r="C377" s="119" t="s">
        <v>678</v>
      </c>
      <c r="D377" s="119"/>
      <c r="E377" s="119"/>
      <c r="F377" s="155">
        <v>1866.67</v>
      </c>
      <c r="G377" s="133" t="str">
        <f>_xlfn.XLOOKUP(Table1[[#This Row],[Account_ID]], Accounts[ID], Accounts[Account nickname], "Unknown")</f>
        <v>WF</v>
      </c>
      <c r="H377" s="134" t="str">
        <f>_xlfn.XLOOKUP(Table1[[#This Row],[Account_ID]], Accounts[ID], Accounts[Account'#], "Unknown")</f>
        <v>4636</v>
      </c>
      <c r="I377" s="135" t="str">
        <f>_xlfn.XLOOKUP(_xlfn.XLOOKUP(Table1[[#This Row],[Account]],Accounts[Account nickname],Accounts[Institution ID]),Institutions[ID],Institutions[Institution nickname],"Unknown")</f>
        <v>Wells Fargo</v>
      </c>
      <c r="J377" s="136" t="s">
        <v>1014</v>
      </c>
      <c r="K377" s="137" t="s">
        <v>808</v>
      </c>
      <c r="L377" s="137" t="s">
        <v>807</v>
      </c>
      <c r="M37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7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77" s="138" t="str" cm="1">
        <f t="array" ref="O377">IFERROR(INDEX(CategoriesTable[Category type],MATCH(Table1[[#This Row],[Category]],CategoriesTable[Category name],0),0),"")</f>
        <v/>
      </c>
      <c r="P377" s="138">
        <v>28</v>
      </c>
      <c r="Q377" s="138">
        <f>MONTH(Table1[[#This Row],[Date]])</f>
        <v>9</v>
      </c>
      <c r="R377" s="138">
        <v>2021</v>
      </c>
      <c r="S377" s="139">
        <f>IF(ISBLANK(Table1[[#This Row],[Date]]),"",Table1[[#This Row],[Date]]-WEEKDAY(Table1[[#This Row],[Date]],2)+1)</f>
        <v>44466</v>
      </c>
      <c r="T377" s="140">
        <f>IF(ISBLANK(Table1[[#This Row],[Date]]),"",DATE(Table1[[#This Row],[Date_Year]],Table1[[#This Row],[Date_Month]],1))</f>
        <v>44440</v>
      </c>
    </row>
    <row r="378" spans="2:20" ht="15.75">
      <c r="B378" s="154">
        <v>44467</v>
      </c>
      <c r="C378" s="119" t="s">
        <v>722</v>
      </c>
      <c r="D378" s="119"/>
      <c r="E378" s="119"/>
      <c r="F378" s="155">
        <v>500</v>
      </c>
      <c r="G378" s="133" t="str">
        <f>_xlfn.XLOOKUP(Table1[[#This Row],[Account_ID]], Accounts[ID], Accounts[Account nickname], "Unknown")</f>
        <v>WF</v>
      </c>
      <c r="H378" s="134" t="str">
        <f>_xlfn.XLOOKUP(Table1[[#This Row],[Account_ID]], Accounts[ID], Accounts[Account'#], "Unknown")</f>
        <v>4636</v>
      </c>
      <c r="I378" s="135" t="str">
        <f>_xlfn.XLOOKUP(_xlfn.XLOOKUP(Table1[[#This Row],[Account]],Accounts[Account nickname],Accounts[Institution ID]),Institutions[ID],Institutions[Institution nickname],"Unknown")</f>
        <v>Wells Fargo</v>
      </c>
      <c r="J378" s="136" t="s">
        <v>1013</v>
      </c>
      <c r="K378" s="137" t="s">
        <v>808</v>
      </c>
      <c r="L378" s="137" t="s">
        <v>807</v>
      </c>
      <c r="M37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7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78" s="138" t="str" cm="1">
        <f t="array" ref="O378">IFERROR(INDEX(CategoriesTable[Category type],MATCH(Table1[[#This Row],[Category]],CategoriesTable[Category name],0),0),"")</f>
        <v/>
      </c>
      <c r="P378" s="138">
        <v>28</v>
      </c>
      <c r="Q378" s="138">
        <f>MONTH(Table1[[#This Row],[Date]])</f>
        <v>9</v>
      </c>
      <c r="R378" s="138">
        <v>2021</v>
      </c>
      <c r="S378" s="139">
        <f>IF(ISBLANK(Table1[[#This Row],[Date]]),"",Table1[[#This Row],[Date]]-WEEKDAY(Table1[[#This Row],[Date]],2)+1)</f>
        <v>44466</v>
      </c>
      <c r="T378" s="140">
        <f>IF(ISBLANK(Table1[[#This Row],[Date]]),"",DATE(Table1[[#This Row],[Date_Year]],Table1[[#This Row],[Date_Month]],1))</f>
        <v>44440</v>
      </c>
    </row>
    <row r="379" spans="2:20" ht="15.75">
      <c r="B379" s="154">
        <v>44467</v>
      </c>
      <c r="C379" s="119" t="s">
        <v>1674</v>
      </c>
      <c r="D379" s="119"/>
      <c r="E379" s="119"/>
      <c r="F379" s="155">
        <v>-1.1000000000000001</v>
      </c>
      <c r="G379" s="133" t="str">
        <f>_xlfn.XLOOKUP(Table1[[#This Row],[Account_ID]], Accounts[ID], Accounts[Account nickname], "Unknown")</f>
        <v>Discover</v>
      </c>
      <c r="H379" s="134" t="str">
        <f>_xlfn.XLOOKUP(Table1[[#This Row],[Account_ID]], Accounts[ID], Accounts[Account'#], "Unknown")</f>
        <v>4618</v>
      </c>
      <c r="I379" s="135" t="str">
        <f>_xlfn.XLOOKUP(_xlfn.XLOOKUP(Table1[[#This Row],[Account]],Accounts[Account nickname],Accounts[Institution ID]),Institutions[ID],Institutions[Institution nickname],"Unknown")</f>
        <v>Discover</v>
      </c>
      <c r="J379" s="136" t="s">
        <v>1677</v>
      </c>
      <c r="K379" s="137" t="s">
        <v>843</v>
      </c>
      <c r="L379" s="137" t="s">
        <v>841</v>
      </c>
      <c r="M37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7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79" s="138" t="str" cm="1">
        <f t="array" ref="O379">IFERROR(INDEX(CategoriesTable[Category type],MATCH(Table1[[#This Row],[Category]],CategoriesTable[Category name],0),0),"")</f>
        <v/>
      </c>
      <c r="P379" s="138">
        <v>28</v>
      </c>
      <c r="Q379" s="138">
        <f>MONTH(Table1[[#This Row],[Date]])</f>
        <v>9</v>
      </c>
      <c r="R379" s="138">
        <v>2021</v>
      </c>
      <c r="S379" s="139">
        <f>IF(ISBLANK(Table1[[#This Row],[Date]]),"",Table1[[#This Row],[Date]]-WEEKDAY(Table1[[#This Row],[Date]],2)+1)</f>
        <v>44466</v>
      </c>
      <c r="T379" s="140">
        <f>IF(ISBLANK(Table1[[#This Row],[Date]]),"",DATE(Table1[[#This Row],[Date_Year]],Table1[[#This Row],[Date_Month]],1))</f>
        <v>44440</v>
      </c>
    </row>
    <row r="380" spans="2:20" ht="15.75">
      <c r="B380" s="154">
        <v>44466</v>
      </c>
      <c r="C380" s="119" t="s">
        <v>1681</v>
      </c>
      <c r="D380" s="119"/>
      <c r="E380" s="119"/>
      <c r="F380" s="155">
        <v>-39.5</v>
      </c>
      <c r="G380" s="133" t="str">
        <f>_xlfn.XLOOKUP(Table1[[#This Row],[Account_ID]], Accounts[ID], Accounts[Account nickname], "Unknown")</f>
        <v>Discover</v>
      </c>
      <c r="H380" s="134" t="str">
        <f>_xlfn.XLOOKUP(Table1[[#This Row],[Account_ID]], Accounts[ID], Accounts[Account'#], "Unknown")</f>
        <v>4618</v>
      </c>
      <c r="I380" s="135" t="str">
        <f>_xlfn.XLOOKUP(_xlfn.XLOOKUP(Table1[[#This Row],[Account]],Accounts[Account nickname],Accounts[Institution ID]),Institutions[ID],Institutions[Institution nickname],"Unknown")</f>
        <v>Discover</v>
      </c>
      <c r="J380" s="136" t="s">
        <v>1682</v>
      </c>
      <c r="K380" s="137" t="s">
        <v>843</v>
      </c>
      <c r="L380" s="137" t="s">
        <v>841</v>
      </c>
      <c r="M38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8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80" s="138" t="str" cm="1">
        <f t="array" ref="O380">IFERROR(INDEX(CategoriesTable[Category type],MATCH(Table1[[#This Row],[Category]],CategoriesTable[Category name],0),0),"")</f>
        <v/>
      </c>
      <c r="P380" s="138">
        <v>27</v>
      </c>
      <c r="Q380" s="138">
        <f>MONTH(Table1[[#This Row],[Date]])</f>
        <v>9</v>
      </c>
      <c r="R380" s="138">
        <v>2021</v>
      </c>
      <c r="S380" s="139">
        <f>IF(ISBLANK(Table1[[#This Row],[Date]]),"",Table1[[#This Row],[Date]]-WEEKDAY(Table1[[#This Row],[Date]],2)+1)</f>
        <v>44466</v>
      </c>
      <c r="T380" s="140">
        <f>IF(ISBLANK(Table1[[#This Row],[Date]]),"",DATE(Table1[[#This Row],[Date_Year]],Table1[[#This Row],[Date_Month]],1))</f>
        <v>44440</v>
      </c>
    </row>
    <row r="381" spans="2:20" ht="15.75">
      <c r="B381" s="154">
        <v>44466</v>
      </c>
      <c r="C381" s="119" t="s">
        <v>678</v>
      </c>
      <c r="D381" s="119"/>
      <c r="E381" s="119"/>
      <c r="F381" s="155">
        <v>-1551.11</v>
      </c>
      <c r="G381" s="133" t="str">
        <f>_xlfn.XLOOKUP(Table1[[#This Row],[Account_ID]], Accounts[ID], Accounts[Account nickname], "Unknown")</f>
        <v>WF</v>
      </c>
      <c r="H381" s="134" t="str">
        <f>_xlfn.XLOOKUP(Table1[[#This Row],[Account_ID]], Accounts[ID], Accounts[Account'#], "Unknown")</f>
        <v>4636</v>
      </c>
      <c r="I381" s="135" t="str">
        <f>_xlfn.XLOOKUP(_xlfn.XLOOKUP(Table1[[#This Row],[Account]],Accounts[Account nickname],Accounts[Institution ID]),Institutions[ID],Institutions[Institution nickname],"Unknown")</f>
        <v>Wells Fargo</v>
      </c>
      <c r="J381" s="136" t="s">
        <v>1019</v>
      </c>
      <c r="K381" s="137" t="s">
        <v>808</v>
      </c>
      <c r="L381" s="137" t="s">
        <v>807</v>
      </c>
      <c r="M38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8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81" s="138" t="str" cm="1">
        <f t="array" ref="O381">IFERROR(INDEX(CategoriesTable[Category type],MATCH(Table1[[#This Row],[Category]],CategoriesTable[Category name],0),0),"")</f>
        <v/>
      </c>
      <c r="P381" s="138">
        <v>27</v>
      </c>
      <c r="Q381" s="138">
        <f>MONTH(Table1[[#This Row],[Date]])</f>
        <v>9</v>
      </c>
      <c r="R381" s="138">
        <v>2021</v>
      </c>
      <c r="S381" s="139">
        <f>IF(ISBLANK(Table1[[#This Row],[Date]]),"",Table1[[#This Row],[Date]]-WEEKDAY(Table1[[#This Row],[Date]],2)+1)</f>
        <v>44466</v>
      </c>
      <c r="T381" s="140">
        <f>IF(ISBLANK(Table1[[#This Row],[Date]]),"",DATE(Table1[[#This Row],[Date_Year]],Table1[[#This Row],[Date_Month]],1))</f>
        <v>44440</v>
      </c>
    </row>
    <row r="382" spans="2:20" ht="15.75">
      <c r="B382" s="154">
        <v>44466</v>
      </c>
      <c r="C382" s="119" t="s">
        <v>678</v>
      </c>
      <c r="D382" s="119"/>
      <c r="E382" s="119"/>
      <c r="F382" s="155">
        <v>188.34</v>
      </c>
      <c r="G382" s="133" t="str">
        <f>_xlfn.XLOOKUP(Table1[[#This Row],[Account_ID]], Accounts[ID], Accounts[Account nickname], "Unknown")</f>
        <v>WF</v>
      </c>
      <c r="H382" s="134" t="str">
        <f>_xlfn.XLOOKUP(Table1[[#This Row],[Account_ID]], Accounts[ID], Accounts[Account'#], "Unknown")</f>
        <v>4636</v>
      </c>
      <c r="I382" s="135" t="str">
        <f>_xlfn.XLOOKUP(_xlfn.XLOOKUP(Table1[[#This Row],[Account]],Accounts[Account nickname],Accounts[Institution ID]),Institutions[ID],Institutions[Institution nickname],"Unknown")</f>
        <v>Wells Fargo</v>
      </c>
      <c r="J382" s="136" t="s">
        <v>1017</v>
      </c>
      <c r="K382" s="137" t="s">
        <v>808</v>
      </c>
      <c r="L382" s="137" t="s">
        <v>807</v>
      </c>
      <c r="M38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8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82" s="138" t="str" cm="1">
        <f t="array" ref="O382">IFERROR(INDEX(CategoriesTable[Category type],MATCH(Table1[[#This Row],[Category]],CategoriesTable[Category name],0),0),"")</f>
        <v/>
      </c>
      <c r="P382" s="138">
        <v>27</v>
      </c>
      <c r="Q382" s="138">
        <f>MONTH(Table1[[#This Row],[Date]])</f>
        <v>9</v>
      </c>
      <c r="R382" s="138">
        <v>2021</v>
      </c>
      <c r="S382" s="139">
        <f>IF(ISBLANK(Table1[[#This Row],[Date]]),"",Table1[[#This Row],[Date]]-WEEKDAY(Table1[[#This Row],[Date]],2)+1)</f>
        <v>44466</v>
      </c>
      <c r="T382" s="140">
        <f>IF(ISBLANK(Table1[[#This Row],[Date]]),"",DATE(Table1[[#This Row],[Date_Year]],Table1[[#This Row],[Date_Month]],1))</f>
        <v>44440</v>
      </c>
    </row>
    <row r="383" spans="2:20" ht="15.75">
      <c r="B383" s="154">
        <v>44466</v>
      </c>
      <c r="C383" s="119" t="s">
        <v>1679</v>
      </c>
      <c r="D383" s="119"/>
      <c r="E383" s="119"/>
      <c r="F383" s="155">
        <v>-9.99</v>
      </c>
      <c r="G383" s="133" t="str">
        <f>_xlfn.XLOOKUP(Table1[[#This Row],[Account_ID]], Accounts[ID], Accounts[Account nickname], "Unknown")</f>
        <v>Discover</v>
      </c>
      <c r="H383" s="134" t="str">
        <f>_xlfn.XLOOKUP(Table1[[#This Row],[Account_ID]], Accounts[ID], Accounts[Account'#], "Unknown")</f>
        <v>4618</v>
      </c>
      <c r="I383" s="135" t="str">
        <f>_xlfn.XLOOKUP(_xlfn.XLOOKUP(Table1[[#This Row],[Account]],Accounts[Account nickname],Accounts[Institution ID]),Institutions[ID],Institutions[Institution nickname],"Unknown")</f>
        <v>Discover</v>
      </c>
      <c r="J383" s="136" t="s">
        <v>1680</v>
      </c>
      <c r="K383" s="137" t="s">
        <v>843</v>
      </c>
      <c r="L383" s="137" t="s">
        <v>841</v>
      </c>
      <c r="M38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8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83" s="138" t="str" cm="1">
        <f t="array" ref="O383">IFERROR(INDEX(CategoriesTable[Category type],MATCH(Table1[[#This Row],[Category]],CategoriesTable[Category name],0),0),"")</f>
        <v/>
      </c>
      <c r="P383" s="138">
        <v>27</v>
      </c>
      <c r="Q383" s="138">
        <f>MONTH(Table1[[#This Row],[Date]])</f>
        <v>9</v>
      </c>
      <c r="R383" s="138">
        <v>2021</v>
      </c>
      <c r="S383" s="139">
        <f>IF(ISBLANK(Table1[[#This Row],[Date]]),"",Table1[[#This Row],[Date]]-WEEKDAY(Table1[[#This Row],[Date]],2)+1)</f>
        <v>44466</v>
      </c>
      <c r="T383" s="140">
        <f>IF(ISBLANK(Table1[[#This Row],[Date]]),"",DATE(Table1[[#This Row],[Date_Year]],Table1[[#This Row],[Date_Month]],1))</f>
        <v>44440</v>
      </c>
    </row>
    <row r="384" spans="2:20" ht="15.75">
      <c r="B384" s="154">
        <v>44466</v>
      </c>
      <c r="C384" s="119" t="s">
        <v>686</v>
      </c>
      <c r="D384" s="119"/>
      <c r="E384" s="119"/>
      <c r="F384" s="155">
        <v>-1500</v>
      </c>
      <c r="G384" s="133" t="str">
        <f>_xlfn.XLOOKUP(Table1[[#This Row],[Account_ID]], Accounts[ID], Accounts[Account nickname], "Unknown")</f>
        <v>WF</v>
      </c>
      <c r="H384" s="134" t="str">
        <f>_xlfn.XLOOKUP(Table1[[#This Row],[Account_ID]], Accounts[ID], Accounts[Account'#], "Unknown")</f>
        <v>4636</v>
      </c>
      <c r="I384" s="135" t="str">
        <f>_xlfn.XLOOKUP(_xlfn.XLOOKUP(Table1[[#This Row],[Account]],Accounts[Account nickname],Accounts[Institution ID]),Institutions[ID],Institutions[Institution nickname],"Unknown")</f>
        <v>Wells Fargo</v>
      </c>
      <c r="J384" s="136" t="s">
        <v>1015</v>
      </c>
      <c r="K384" s="137" t="s">
        <v>808</v>
      </c>
      <c r="L384" s="137" t="s">
        <v>807</v>
      </c>
      <c r="M38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8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84" s="138" t="str" cm="1">
        <f t="array" ref="O384">IFERROR(INDEX(CategoriesTable[Category type],MATCH(Table1[[#This Row],[Category]],CategoriesTable[Category name],0),0),"")</f>
        <v/>
      </c>
      <c r="P384" s="138">
        <v>27</v>
      </c>
      <c r="Q384" s="138">
        <f>MONTH(Table1[[#This Row],[Date]])</f>
        <v>9</v>
      </c>
      <c r="R384" s="138">
        <v>2021</v>
      </c>
      <c r="S384" s="139">
        <f>IF(ISBLANK(Table1[[#This Row],[Date]]),"",Table1[[#This Row],[Date]]-WEEKDAY(Table1[[#This Row],[Date]],2)+1)</f>
        <v>44466</v>
      </c>
      <c r="T384" s="140">
        <f>IF(ISBLANK(Table1[[#This Row],[Date]]),"",DATE(Table1[[#This Row],[Date_Year]],Table1[[#This Row],[Date_Month]],1))</f>
        <v>44440</v>
      </c>
    </row>
    <row r="385" spans="2:20" ht="15.75">
      <c r="B385" s="154">
        <v>44466</v>
      </c>
      <c r="C385" s="119" t="s">
        <v>689</v>
      </c>
      <c r="D385" s="119"/>
      <c r="E385" s="119"/>
      <c r="F385" s="155">
        <v>-24.72</v>
      </c>
      <c r="G385" s="133" t="str">
        <f>_xlfn.XLOOKUP(Table1[[#This Row],[Account_ID]], Accounts[ID], Accounts[Account nickname], "Unknown")</f>
        <v>Discover</v>
      </c>
      <c r="H385" s="134" t="str">
        <f>_xlfn.XLOOKUP(Table1[[#This Row],[Account_ID]], Accounts[ID], Accounts[Account'#], "Unknown")</f>
        <v>4618</v>
      </c>
      <c r="I385" s="135" t="str">
        <f>_xlfn.XLOOKUP(_xlfn.XLOOKUP(Table1[[#This Row],[Account]],Accounts[Account nickname],Accounts[Institution ID]),Institutions[ID],Institutions[Institution nickname],"Unknown")</f>
        <v>Discover</v>
      </c>
      <c r="J385" s="136" t="s">
        <v>1683</v>
      </c>
      <c r="K385" s="137" t="s">
        <v>843</v>
      </c>
      <c r="L385" s="137" t="s">
        <v>841</v>
      </c>
      <c r="M38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8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85" s="138" t="str" cm="1">
        <f t="array" ref="O385">IFERROR(INDEX(CategoriesTable[Category type],MATCH(Table1[[#This Row],[Category]],CategoriesTable[Category name],0),0),"")</f>
        <v/>
      </c>
      <c r="P385" s="138">
        <v>27</v>
      </c>
      <c r="Q385" s="138">
        <f>MONTH(Table1[[#This Row],[Date]])</f>
        <v>9</v>
      </c>
      <c r="R385" s="138">
        <v>2021</v>
      </c>
      <c r="S385" s="139">
        <f>IF(ISBLANK(Table1[[#This Row],[Date]]),"",Table1[[#This Row],[Date]]-WEEKDAY(Table1[[#This Row],[Date]],2)+1)</f>
        <v>44466</v>
      </c>
      <c r="T385" s="140">
        <f>IF(ISBLANK(Table1[[#This Row],[Date]]),"",DATE(Table1[[#This Row],[Date_Year]],Table1[[#This Row],[Date_Month]],1))</f>
        <v>44440</v>
      </c>
    </row>
    <row r="386" spans="2:20" ht="15.75">
      <c r="B386" s="154">
        <v>44466</v>
      </c>
      <c r="C386" s="119" t="s">
        <v>678</v>
      </c>
      <c r="D386" s="119"/>
      <c r="E386" s="119"/>
      <c r="F386" s="155">
        <v>-101.11</v>
      </c>
      <c r="G386" s="133" t="str">
        <f>_xlfn.XLOOKUP(Table1[[#This Row],[Account_ID]], Accounts[ID], Accounts[Account nickname], "Unknown")</f>
        <v>WF</v>
      </c>
      <c r="H386" s="134" t="str">
        <f>_xlfn.XLOOKUP(Table1[[#This Row],[Account_ID]], Accounts[ID], Accounts[Account'#], "Unknown")</f>
        <v>4636</v>
      </c>
      <c r="I386" s="135" t="str">
        <f>_xlfn.XLOOKUP(_xlfn.XLOOKUP(Table1[[#This Row],[Account]],Accounts[Account nickname],Accounts[Institution ID]),Institutions[ID],Institutions[Institution nickname],"Unknown")</f>
        <v>Wells Fargo</v>
      </c>
      <c r="J386" s="136" t="s">
        <v>1018</v>
      </c>
      <c r="K386" s="137" t="s">
        <v>808</v>
      </c>
      <c r="L386" s="137" t="s">
        <v>807</v>
      </c>
      <c r="M38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8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86" s="138" t="str" cm="1">
        <f t="array" ref="O386">IFERROR(INDEX(CategoriesTable[Category type],MATCH(Table1[[#This Row],[Category]],CategoriesTable[Category name],0),0),"")</f>
        <v/>
      </c>
      <c r="P386" s="138">
        <v>27</v>
      </c>
      <c r="Q386" s="138">
        <f>MONTH(Table1[[#This Row],[Date]])</f>
        <v>9</v>
      </c>
      <c r="R386" s="138">
        <v>2021</v>
      </c>
      <c r="S386" s="139">
        <f>IF(ISBLANK(Table1[[#This Row],[Date]]),"",Table1[[#This Row],[Date]]-WEEKDAY(Table1[[#This Row],[Date]],2)+1)</f>
        <v>44466</v>
      </c>
      <c r="T386" s="140">
        <f>IF(ISBLANK(Table1[[#This Row],[Date]]),"",DATE(Table1[[#This Row],[Date_Year]],Table1[[#This Row],[Date_Month]],1))</f>
        <v>44440</v>
      </c>
    </row>
    <row r="387" spans="2:20" ht="15.75">
      <c r="B387" s="154">
        <v>44466</v>
      </c>
      <c r="C387" s="119" t="s">
        <v>725</v>
      </c>
      <c r="D387" s="119"/>
      <c r="E387" s="119"/>
      <c r="F387" s="155">
        <v>30</v>
      </c>
      <c r="G387" s="133" t="str">
        <f>_xlfn.XLOOKUP(Table1[[#This Row],[Account_ID]], Accounts[ID], Accounts[Account nickname], "Unknown")</f>
        <v>WF</v>
      </c>
      <c r="H387" s="134" t="str">
        <f>_xlfn.XLOOKUP(Table1[[#This Row],[Account_ID]], Accounts[ID], Accounts[Account'#], "Unknown")</f>
        <v>4636</v>
      </c>
      <c r="I387" s="135" t="str">
        <f>_xlfn.XLOOKUP(_xlfn.XLOOKUP(Table1[[#This Row],[Account]],Accounts[Account nickname],Accounts[Institution ID]),Institutions[ID],Institutions[Institution nickname],"Unknown")</f>
        <v>Wells Fargo</v>
      </c>
      <c r="J387" s="136" t="s">
        <v>1016</v>
      </c>
      <c r="K387" s="137" t="s">
        <v>808</v>
      </c>
      <c r="L387" s="137" t="s">
        <v>807</v>
      </c>
      <c r="M38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8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87" s="138" t="str" cm="1">
        <f t="array" ref="O387">IFERROR(INDEX(CategoriesTable[Category type],MATCH(Table1[[#This Row],[Category]],CategoriesTable[Category name],0),0),"")</f>
        <v/>
      </c>
      <c r="P387" s="138">
        <v>27</v>
      </c>
      <c r="Q387" s="138">
        <f>MONTH(Table1[[#This Row],[Date]])</f>
        <v>9</v>
      </c>
      <c r="R387" s="138">
        <v>2021</v>
      </c>
      <c r="S387" s="139">
        <f>IF(ISBLANK(Table1[[#This Row],[Date]]),"",Table1[[#This Row],[Date]]-WEEKDAY(Table1[[#This Row],[Date]],2)+1)</f>
        <v>44466</v>
      </c>
      <c r="T387" s="140">
        <f>IF(ISBLANK(Table1[[#This Row],[Date]]),"",DATE(Table1[[#This Row],[Date_Year]],Table1[[#This Row],[Date_Month]],1))</f>
        <v>44440</v>
      </c>
    </row>
    <row r="388" spans="2:20" ht="15.75">
      <c r="B388" s="154">
        <v>44465</v>
      </c>
      <c r="C388" s="119" t="s">
        <v>1401</v>
      </c>
      <c r="D388" s="119"/>
      <c r="E388" s="119"/>
      <c r="F388" s="155">
        <v>-4.34</v>
      </c>
      <c r="G388" s="133" t="str">
        <f>_xlfn.XLOOKUP(Table1[[#This Row],[Account_ID]], Accounts[ID], Accounts[Account nickname], "Unknown")</f>
        <v>Discover</v>
      </c>
      <c r="H388" s="134" t="str">
        <f>_xlfn.XLOOKUP(Table1[[#This Row],[Account_ID]], Accounts[ID], Accounts[Account'#], "Unknown")</f>
        <v>4618</v>
      </c>
      <c r="I388" s="135" t="str">
        <f>_xlfn.XLOOKUP(_xlfn.XLOOKUP(Table1[[#This Row],[Account]],Accounts[Account nickname],Accounts[Institution ID]),Institutions[ID],Institutions[Institution nickname],"Unknown")</f>
        <v>Discover</v>
      </c>
      <c r="J388" s="136" t="s">
        <v>1684</v>
      </c>
      <c r="K388" s="137" t="s">
        <v>843</v>
      </c>
      <c r="L388" s="137" t="s">
        <v>841</v>
      </c>
      <c r="M38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8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88" s="138" t="str" cm="1">
        <f t="array" ref="O388">IFERROR(INDEX(CategoriesTable[Category type],MATCH(Table1[[#This Row],[Category]],CategoriesTable[Category name],0),0),"")</f>
        <v/>
      </c>
      <c r="P388" s="138">
        <v>26</v>
      </c>
      <c r="Q388" s="138">
        <f>MONTH(Table1[[#This Row],[Date]])</f>
        <v>9</v>
      </c>
      <c r="R388" s="138">
        <v>2021</v>
      </c>
      <c r="S388" s="139">
        <f>IF(ISBLANK(Table1[[#This Row],[Date]]),"",Table1[[#This Row],[Date]]-WEEKDAY(Table1[[#This Row],[Date]],2)+1)</f>
        <v>44459</v>
      </c>
      <c r="T388" s="140">
        <f>IF(ISBLANK(Table1[[#This Row],[Date]]),"",DATE(Table1[[#This Row],[Date_Year]],Table1[[#This Row],[Date_Month]],1))</f>
        <v>44440</v>
      </c>
    </row>
    <row r="389" spans="2:20" ht="15.75">
      <c r="B389" s="154">
        <v>44465</v>
      </c>
      <c r="C389" s="119" t="s">
        <v>936</v>
      </c>
      <c r="D389" s="119"/>
      <c r="E389" s="119"/>
      <c r="F389" s="155">
        <v>-33.82</v>
      </c>
      <c r="G389" s="133" t="str">
        <f>_xlfn.XLOOKUP(Table1[[#This Row],[Account_ID]], Accounts[ID], Accounts[Account nickname], "Unknown")</f>
        <v>Discover</v>
      </c>
      <c r="H389" s="134" t="str">
        <f>_xlfn.XLOOKUP(Table1[[#This Row],[Account_ID]], Accounts[ID], Accounts[Account'#], "Unknown")</f>
        <v>4618</v>
      </c>
      <c r="I389" s="135" t="str">
        <f>_xlfn.XLOOKUP(_xlfn.XLOOKUP(Table1[[#This Row],[Account]],Accounts[Account nickname],Accounts[Institution ID]),Institutions[ID],Institutions[Institution nickname],"Unknown")</f>
        <v>Discover</v>
      </c>
      <c r="J389" s="136" t="s">
        <v>1687</v>
      </c>
      <c r="K389" s="137" t="s">
        <v>843</v>
      </c>
      <c r="L389" s="137" t="s">
        <v>841</v>
      </c>
      <c r="M38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8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89" s="138" t="str" cm="1">
        <f t="array" ref="O389">IFERROR(INDEX(CategoriesTable[Category type],MATCH(Table1[[#This Row],[Category]],CategoriesTable[Category name],0),0),"")</f>
        <v/>
      </c>
      <c r="P389" s="138">
        <v>26</v>
      </c>
      <c r="Q389" s="138">
        <f>MONTH(Table1[[#This Row],[Date]])</f>
        <v>9</v>
      </c>
      <c r="R389" s="138">
        <v>2021</v>
      </c>
      <c r="S389" s="139">
        <f>IF(ISBLANK(Table1[[#This Row],[Date]]),"",Table1[[#This Row],[Date]]-WEEKDAY(Table1[[#This Row],[Date]],2)+1)</f>
        <v>44459</v>
      </c>
      <c r="T389" s="140">
        <f>IF(ISBLANK(Table1[[#This Row],[Date]]),"",DATE(Table1[[#This Row],[Date_Year]],Table1[[#This Row],[Date_Month]],1))</f>
        <v>44440</v>
      </c>
    </row>
    <row r="390" spans="2:20" ht="15.75">
      <c r="B390" s="154">
        <v>44465</v>
      </c>
      <c r="C390" s="119" t="s">
        <v>1685</v>
      </c>
      <c r="D390" s="119"/>
      <c r="E390" s="119"/>
      <c r="F390" s="155">
        <v>-75</v>
      </c>
      <c r="G390" s="133" t="str">
        <f>_xlfn.XLOOKUP(Table1[[#This Row],[Account_ID]], Accounts[ID], Accounts[Account nickname], "Unknown")</f>
        <v>Discover</v>
      </c>
      <c r="H390" s="134" t="str">
        <f>_xlfn.XLOOKUP(Table1[[#This Row],[Account_ID]], Accounts[ID], Accounts[Account'#], "Unknown")</f>
        <v>4618</v>
      </c>
      <c r="I390" s="135" t="str">
        <f>_xlfn.XLOOKUP(_xlfn.XLOOKUP(Table1[[#This Row],[Account]],Accounts[Account nickname],Accounts[Institution ID]),Institutions[ID],Institutions[Institution nickname],"Unknown")</f>
        <v>Discover</v>
      </c>
      <c r="J390" s="136" t="s">
        <v>1686</v>
      </c>
      <c r="K390" s="137" t="s">
        <v>843</v>
      </c>
      <c r="L390" s="137" t="s">
        <v>841</v>
      </c>
      <c r="M39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9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90" s="138" t="str" cm="1">
        <f t="array" ref="O390">IFERROR(INDEX(CategoriesTable[Category type],MATCH(Table1[[#This Row],[Category]],CategoriesTable[Category name],0),0),"")</f>
        <v/>
      </c>
      <c r="P390" s="138">
        <v>26</v>
      </c>
      <c r="Q390" s="138">
        <f>MONTH(Table1[[#This Row],[Date]])</f>
        <v>9</v>
      </c>
      <c r="R390" s="138">
        <v>2021</v>
      </c>
      <c r="S390" s="139">
        <f>IF(ISBLANK(Table1[[#This Row],[Date]]),"",Table1[[#This Row],[Date]]-WEEKDAY(Table1[[#This Row],[Date]],2)+1)</f>
        <v>44459</v>
      </c>
      <c r="T390" s="140">
        <f>IF(ISBLANK(Table1[[#This Row],[Date]]),"",DATE(Table1[[#This Row],[Date_Year]],Table1[[#This Row],[Date_Month]],1))</f>
        <v>44440</v>
      </c>
    </row>
    <row r="391" spans="2:20" ht="15.75">
      <c r="B391" s="154">
        <v>44464</v>
      </c>
      <c r="C391" s="119" t="s">
        <v>860</v>
      </c>
      <c r="D391" s="119"/>
      <c r="E391" s="119"/>
      <c r="F391" s="155">
        <v>-13.74</v>
      </c>
      <c r="G391" s="133" t="str">
        <f>_xlfn.XLOOKUP(Table1[[#This Row],[Account_ID]], Accounts[ID], Accounts[Account nickname], "Unknown")</f>
        <v>Discover</v>
      </c>
      <c r="H391" s="134" t="str">
        <f>_xlfn.XLOOKUP(Table1[[#This Row],[Account_ID]], Accounts[ID], Accounts[Account'#], "Unknown")</f>
        <v>4618</v>
      </c>
      <c r="I391" s="135" t="str">
        <f>_xlfn.XLOOKUP(_xlfn.XLOOKUP(Table1[[#This Row],[Account]],Accounts[Account nickname],Accounts[Institution ID]),Institutions[ID],Institutions[Institution nickname],"Unknown")</f>
        <v>Discover</v>
      </c>
      <c r="J391" s="136" t="s">
        <v>1688</v>
      </c>
      <c r="K391" s="137" t="s">
        <v>843</v>
      </c>
      <c r="L391" s="137" t="s">
        <v>841</v>
      </c>
      <c r="M39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9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91" s="138" t="str" cm="1">
        <f t="array" ref="O391">IFERROR(INDEX(CategoriesTable[Category type],MATCH(Table1[[#This Row],[Category]],CategoriesTable[Category name],0),0),"")</f>
        <v/>
      </c>
      <c r="P391" s="138">
        <v>25</v>
      </c>
      <c r="Q391" s="138">
        <f>MONTH(Table1[[#This Row],[Date]])</f>
        <v>9</v>
      </c>
      <c r="R391" s="138">
        <v>2021</v>
      </c>
      <c r="S391" s="139">
        <f>IF(ISBLANK(Table1[[#This Row],[Date]]),"",Table1[[#This Row],[Date]]-WEEKDAY(Table1[[#This Row],[Date]],2)+1)</f>
        <v>44459</v>
      </c>
      <c r="T391" s="140">
        <f>IF(ISBLANK(Table1[[#This Row],[Date]]),"",DATE(Table1[[#This Row],[Date_Year]],Table1[[#This Row],[Date_Month]],1))</f>
        <v>44440</v>
      </c>
    </row>
    <row r="392" spans="2:20" ht="15.75">
      <c r="B392" s="154">
        <v>44464</v>
      </c>
      <c r="C392" s="119" t="s">
        <v>845</v>
      </c>
      <c r="D392" s="119"/>
      <c r="E392" s="119"/>
      <c r="F392" s="155">
        <v>1500</v>
      </c>
      <c r="G392" s="133" t="str">
        <f>_xlfn.XLOOKUP(Table1[[#This Row],[Account_ID]], Accounts[ID], Accounts[Account nickname], "Unknown")</f>
        <v>Discover</v>
      </c>
      <c r="H392" s="134" t="str">
        <f>_xlfn.XLOOKUP(Table1[[#This Row],[Account_ID]], Accounts[ID], Accounts[Account'#], "Unknown")</f>
        <v>4618</v>
      </c>
      <c r="I392" s="135" t="str">
        <f>_xlfn.XLOOKUP(_xlfn.XLOOKUP(Table1[[#This Row],[Account]],Accounts[Account nickname],Accounts[Institution ID]),Institutions[ID],Institutions[Institution nickname],"Unknown")</f>
        <v>Discover</v>
      </c>
      <c r="J392" s="136" t="s">
        <v>1690</v>
      </c>
      <c r="K392" s="137" t="s">
        <v>843</v>
      </c>
      <c r="L392" s="137" t="s">
        <v>841</v>
      </c>
      <c r="M39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9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92" s="138" t="str" cm="1">
        <f t="array" ref="O392">IFERROR(INDEX(CategoriesTable[Category type],MATCH(Table1[[#This Row],[Category]],CategoriesTable[Category name],0),0),"")</f>
        <v/>
      </c>
      <c r="P392" s="138">
        <v>25</v>
      </c>
      <c r="Q392" s="138">
        <f>MONTH(Table1[[#This Row],[Date]])</f>
        <v>9</v>
      </c>
      <c r="R392" s="138">
        <v>2021</v>
      </c>
      <c r="S392" s="139">
        <f>IF(ISBLANK(Table1[[#This Row],[Date]]),"",Table1[[#This Row],[Date]]-WEEKDAY(Table1[[#This Row],[Date]],2)+1)</f>
        <v>44459</v>
      </c>
      <c r="T392" s="140">
        <f>IF(ISBLANK(Table1[[#This Row],[Date]]),"",DATE(Table1[[#This Row],[Date_Year]],Table1[[#This Row],[Date_Month]],1))</f>
        <v>44440</v>
      </c>
    </row>
    <row r="393" spans="2:20" ht="15.75">
      <c r="B393" s="154">
        <v>44464</v>
      </c>
      <c r="C393" s="119" t="s">
        <v>694</v>
      </c>
      <c r="D393" s="119"/>
      <c r="E393" s="119"/>
      <c r="F393" s="155">
        <v>-26.97</v>
      </c>
      <c r="G393" s="133" t="str">
        <f>_xlfn.XLOOKUP(Table1[[#This Row],[Account_ID]], Accounts[ID], Accounts[Account nickname], "Unknown")</f>
        <v>Discover</v>
      </c>
      <c r="H393" s="134" t="str">
        <f>_xlfn.XLOOKUP(Table1[[#This Row],[Account_ID]], Accounts[ID], Accounts[Account'#], "Unknown")</f>
        <v>4618</v>
      </c>
      <c r="I393" s="135" t="str">
        <f>_xlfn.XLOOKUP(_xlfn.XLOOKUP(Table1[[#This Row],[Account]],Accounts[Account nickname],Accounts[Institution ID]),Institutions[ID],Institutions[Institution nickname],"Unknown")</f>
        <v>Discover</v>
      </c>
      <c r="J393" s="136" t="s">
        <v>1691</v>
      </c>
      <c r="K393" s="137" t="s">
        <v>843</v>
      </c>
      <c r="L393" s="137" t="s">
        <v>841</v>
      </c>
      <c r="M39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9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93" s="138" t="str" cm="1">
        <f t="array" ref="O393">IFERROR(INDEX(CategoriesTable[Category type],MATCH(Table1[[#This Row],[Category]],CategoriesTable[Category name],0),0),"")</f>
        <v/>
      </c>
      <c r="P393" s="138">
        <v>25</v>
      </c>
      <c r="Q393" s="138">
        <f>MONTH(Table1[[#This Row],[Date]])</f>
        <v>9</v>
      </c>
      <c r="R393" s="138">
        <v>2021</v>
      </c>
      <c r="S393" s="139">
        <f>IF(ISBLANK(Table1[[#This Row],[Date]]),"",Table1[[#This Row],[Date]]-WEEKDAY(Table1[[#This Row],[Date]],2)+1)</f>
        <v>44459</v>
      </c>
      <c r="T393" s="140">
        <f>IF(ISBLANK(Table1[[#This Row],[Date]]),"",DATE(Table1[[#This Row],[Date_Year]],Table1[[#This Row],[Date_Month]],1))</f>
        <v>44440</v>
      </c>
    </row>
    <row r="394" spans="2:20" ht="15.75">
      <c r="B394" s="154">
        <v>44464</v>
      </c>
      <c r="C394" s="119" t="s">
        <v>1425</v>
      </c>
      <c r="D394" s="119"/>
      <c r="E394" s="119"/>
      <c r="F394" s="155">
        <v>-320</v>
      </c>
      <c r="G394" s="133" t="str">
        <f>_xlfn.XLOOKUP(Table1[[#This Row],[Account_ID]], Accounts[ID], Accounts[Account nickname], "Unknown")</f>
        <v>Discover</v>
      </c>
      <c r="H394" s="134" t="str">
        <f>_xlfn.XLOOKUP(Table1[[#This Row],[Account_ID]], Accounts[ID], Accounts[Account'#], "Unknown")</f>
        <v>4618</v>
      </c>
      <c r="I394" s="135" t="str">
        <f>_xlfn.XLOOKUP(_xlfn.XLOOKUP(Table1[[#This Row],[Account]],Accounts[Account nickname],Accounts[Institution ID]),Institutions[ID],Institutions[Institution nickname],"Unknown")</f>
        <v>Discover</v>
      </c>
      <c r="J394" s="136" t="s">
        <v>1689</v>
      </c>
      <c r="K394" s="137" t="s">
        <v>843</v>
      </c>
      <c r="L394" s="137" t="s">
        <v>841</v>
      </c>
      <c r="M39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9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94" s="138" t="str" cm="1">
        <f t="array" ref="O394">IFERROR(INDEX(CategoriesTable[Category type],MATCH(Table1[[#This Row],[Category]],CategoriesTable[Category name],0),0),"")</f>
        <v/>
      </c>
      <c r="P394" s="138">
        <v>25</v>
      </c>
      <c r="Q394" s="138">
        <f>MONTH(Table1[[#This Row],[Date]])</f>
        <v>9</v>
      </c>
      <c r="R394" s="138">
        <v>2021</v>
      </c>
      <c r="S394" s="139">
        <f>IF(ISBLANK(Table1[[#This Row],[Date]]),"",Table1[[#This Row],[Date]]-WEEKDAY(Table1[[#This Row],[Date]],2)+1)</f>
        <v>44459</v>
      </c>
      <c r="T394" s="140">
        <f>IF(ISBLANK(Table1[[#This Row],[Date]]),"",DATE(Table1[[#This Row],[Date_Year]],Table1[[#This Row],[Date_Month]],1))</f>
        <v>44440</v>
      </c>
    </row>
    <row r="395" spans="2:20" ht="15.75">
      <c r="B395" s="154">
        <v>44463</v>
      </c>
      <c r="C395" s="119" t="s">
        <v>727</v>
      </c>
      <c r="D395" s="119"/>
      <c r="E395" s="119"/>
      <c r="F395" s="155">
        <v>436.2</v>
      </c>
      <c r="G395" s="133" t="str">
        <f>_xlfn.XLOOKUP(Table1[[#This Row],[Account_ID]], Accounts[ID], Accounts[Account nickname], "Unknown")</f>
        <v>WF</v>
      </c>
      <c r="H395" s="134" t="str">
        <f>_xlfn.XLOOKUP(Table1[[#This Row],[Account_ID]], Accounts[ID], Accounts[Account'#], "Unknown")</f>
        <v>4636</v>
      </c>
      <c r="I395" s="135" t="str">
        <f>_xlfn.XLOOKUP(_xlfn.XLOOKUP(Table1[[#This Row],[Account]],Accounts[Account nickname],Accounts[Institution ID]),Institutions[ID],Institutions[Institution nickname],"Unknown")</f>
        <v>Wells Fargo</v>
      </c>
      <c r="J395" s="136" t="s">
        <v>1021</v>
      </c>
      <c r="K395" s="137" t="s">
        <v>808</v>
      </c>
      <c r="L395" s="137" t="s">
        <v>807</v>
      </c>
      <c r="M39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9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95" s="138" t="str" cm="1">
        <f t="array" ref="O395">IFERROR(INDEX(CategoriesTable[Category type],MATCH(Table1[[#This Row],[Category]],CategoriesTable[Category name],0),0),"")</f>
        <v/>
      </c>
      <c r="P395" s="138">
        <v>24</v>
      </c>
      <c r="Q395" s="138">
        <f>MONTH(Table1[[#This Row],[Date]])</f>
        <v>9</v>
      </c>
      <c r="R395" s="138">
        <v>2021</v>
      </c>
      <c r="S395" s="139">
        <f>IF(ISBLANK(Table1[[#This Row],[Date]]),"",Table1[[#This Row],[Date]]-WEEKDAY(Table1[[#This Row],[Date]],2)+1)</f>
        <v>44459</v>
      </c>
      <c r="T395" s="140">
        <f>IF(ISBLANK(Table1[[#This Row],[Date]]),"",DATE(Table1[[#This Row],[Date_Year]],Table1[[#This Row],[Date_Month]],1))</f>
        <v>44440</v>
      </c>
    </row>
    <row r="396" spans="2:20" ht="15.75">
      <c r="B396" s="154">
        <v>44463</v>
      </c>
      <c r="C396" s="119" t="s">
        <v>718</v>
      </c>
      <c r="D396" s="119"/>
      <c r="E396" s="119"/>
      <c r="F396" s="155">
        <v>-71.75</v>
      </c>
      <c r="G396" s="133" t="str">
        <f>_xlfn.XLOOKUP(Table1[[#This Row],[Account_ID]], Accounts[ID], Accounts[Account nickname], "Unknown")</f>
        <v>Discover</v>
      </c>
      <c r="H396" s="134" t="str">
        <f>_xlfn.XLOOKUP(Table1[[#This Row],[Account_ID]], Accounts[ID], Accounts[Account'#], "Unknown")</f>
        <v>4618</v>
      </c>
      <c r="I396" s="135" t="str">
        <f>_xlfn.XLOOKUP(_xlfn.XLOOKUP(Table1[[#This Row],[Account]],Accounts[Account nickname],Accounts[Institution ID]),Institutions[ID],Institutions[Institution nickname],"Unknown")</f>
        <v>Discover</v>
      </c>
      <c r="J396" s="136" t="s">
        <v>1694</v>
      </c>
      <c r="K396" s="137" t="s">
        <v>843</v>
      </c>
      <c r="L396" s="137" t="s">
        <v>841</v>
      </c>
      <c r="M39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9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96" s="138" t="str" cm="1">
        <f t="array" ref="O396">IFERROR(INDEX(CategoriesTable[Category type],MATCH(Table1[[#This Row],[Category]],CategoriesTable[Category name],0),0),"")</f>
        <v/>
      </c>
      <c r="P396" s="138">
        <v>24</v>
      </c>
      <c r="Q396" s="138">
        <f>MONTH(Table1[[#This Row],[Date]])</f>
        <v>9</v>
      </c>
      <c r="R396" s="138">
        <v>2021</v>
      </c>
      <c r="S396" s="139">
        <f>IF(ISBLANK(Table1[[#This Row],[Date]]),"",Table1[[#This Row],[Date]]-WEEKDAY(Table1[[#This Row],[Date]],2)+1)</f>
        <v>44459</v>
      </c>
      <c r="T396" s="140">
        <f>IF(ISBLANK(Table1[[#This Row],[Date]]),"",DATE(Table1[[#This Row],[Date_Year]],Table1[[#This Row],[Date_Month]],1))</f>
        <v>44440</v>
      </c>
    </row>
    <row r="397" spans="2:20" ht="15.75">
      <c r="B397" s="154">
        <v>44463</v>
      </c>
      <c r="C397" s="119" t="s">
        <v>694</v>
      </c>
      <c r="D397" s="119"/>
      <c r="E397" s="119"/>
      <c r="F397" s="155">
        <v>-20.57</v>
      </c>
      <c r="G397" s="133" t="str">
        <f>_xlfn.XLOOKUP(Table1[[#This Row],[Account_ID]], Accounts[ID], Accounts[Account nickname], "Unknown")</f>
        <v>Discover</v>
      </c>
      <c r="H397" s="134" t="str">
        <f>_xlfn.XLOOKUP(Table1[[#This Row],[Account_ID]], Accounts[ID], Accounts[Account'#], "Unknown")</f>
        <v>4618</v>
      </c>
      <c r="I397" s="135" t="str">
        <f>_xlfn.XLOOKUP(_xlfn.XLOOKUP(Table1[[#This Row],[Account]],Accounts[Account nickname],Accounts[Institution ID]),Institutions[ID],Institutions[Institution nickname],"Unknown")</f>
        <v>Discover</v>
      </c>
      <c r="J397" s="136" t="s">
        <v>1693</v>
      </c>
      <c r="K397" s="137" t="s">
        <v>843</v>
      </c>
      <c r="L397" s="137" t="s">
        <v>841</v>
      </c>
      <c r="M39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9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97" s="138" t="str" cm="1">
        <f t="array" ref="O397">IFERROR(INDEX(CategoriesTable[Category type],MATCH(Table1[[#This Row],[Category]],CategoriesTable[Category name],0),0),"")</f>
        <v/>
      </c>
      <c r="P397" s="138">
        <v>24</v>
      </c>
      <c r="Q397" s="138">
        <f>MONTH(Table1[[#This Row],[Date]])</f>
        <v>9</v>
      </c>
      <c r="R397" s="138">
        <v>2021</v>
      </c>
      <c r="S397" s="139">
        <f>IF(ISBLANK(Table1[[#This Row],[Date]]),"",Table1[[#This Row],[Date]]-WEEKDAY(Table1[[#This Row],[Date]],2)+1)</f>
        <v>44459</v>
      </c>
      <c r="T397" s="140">
        <f>IF(ISBLANK(Table1[[#This Row],[Date]]),"",DATE(Table1[[#This Row],[Date_Year]],Table1[[#This Row],[Date_Month]],1))</f>
        <v>44440</v>
      </c>
    </row>
    <row r="398" spans="2:20" ht="15.75">
      <c r="B398" s="154">
        <v>44463</v>
      </c>
      <c r="C398" s="119" t="s">
        <v>678</v>
      </c>
      <c r="D398" s="119"/>
      <c r="E398" s="119"/>
      <c r="F398" s="155">
        <v>-250</v>
      </c>
      <c r="G398" s="133" t="str">
        <f>_xlfn.XLOOKUP(Table1[[#This Row],[Account_ID]], Accounts[ID], Accounts[Account nickname], "Unknown")</f>
        <v>WF</v>
      </c>
      <c r="H398" s="134" t="str">
        <f>_xlfn.XLOOKUP(Table1[[#This Row],[Account_ID]], Accounts[ID], Accounts[Account'#], "Unknown")</f>
        <v>4636</v>
      </c>
      <c r="I398" s="135" t="str">
        <f>_xlfn.XLOOKUP(_xlfn.XLOOKUP(Table1[[#This Row],[Account]],Accounts[Account nickname],Accounts[Institution ID]),Institutions[ID],Institutions[Institution nickname],"Unknown")</f>
        <v>Wells Fargo</v>
      </c>
      <c r="J398" s="136" t="s">
        <v>1022</v>
      </c>
      <c r="K398" s="137" t="s">
        <v>808</v>
      </c>
      <c r="L398" s="137" t="s">
        <v>807</v>
      </c>
      <c r="M39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39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98" s="138" t="str" cm="1">
        <f t="array" ref="O398">IFERROR(INDEX(CategoriesTable[Category type],MATCH(Table1[[#This Row],[Category]],CategoriesTable[Category name],0),0),"")</f>
        <v/>
      </c>
      <c r="P398" s="138">
        <v>24</v>
      </c>
      <c r="Q398" s="138">
        <f>MONTH(Table1[[#This Row],[Date]])</f>
        <v>9</v>
      </c>
      <c r="R398" s="138">
        <v>2021</v>
      </c>
      <c r="S398" s="139">
        <f>IF(ISBLANK(Table1[[#This Row],[Date]]),"",Table1[[#This Row],[Date]]-WEEKDAY(Table1[[#This Row],[Date]],2)+1)</f>
        <v>44459</v>
      </c>
      <c r="T398" s="140">
        <f>IF(ISBLANK(Table1[[#This Row],[Date]]),"",DATE(Table1[[#This Row],[Date_Year]],Table1[[#This Row],[Date_Month]],1))</f>
        <v>44440</v>
      </c>
    </row>
    <row r="399" spans="2:20" ht="15.75">
      <c r="B399" s="154">
        <v>44463</v>
      </c>
      <c r="C399" s="119" t="s">
        <v>1695</v>
      </c>
      <c r="D399" s="119" t="s">
        <v>99</v>
      </c>
      <c r="E399" s="119"/>
      <c r="F399" s="155">
        <v>-1246.72</v>
      </c>
      <c r="G399" s="133" t="str">
        <f>_xlfn.XLOOKUP(Table1[[#This Row],[Account_ID]], Accounts[ID], Accounts[Account nickname], "Unknown")</f>
        <v>BB</v>
      </c>
      <c r="H399" s="134" t="str">
        <f>_xlfn.XLOOKUP(Table1[[#This Row],[Account_ID]], Accounts[ID], Accounts[Account'#], "Unknown")</f>
        <v>4561</v>
      </c>
      <c r="I399" s="135" t="str">
        <f>_xlfn.XLOOKUP(_xlfn.XLOOKUP(Table1[[#This Row],[Account]],Accounts[Account nickname],Accounts[Institution ID]),Institutions[ID],Institutions[Institution nickname],"Unknown")</f>
        <v>Best Buy - Citi Card</v>
      </c>
      <c r="J399" s="136" t="s">
        <v>1696</v>
      </c>
      <c r="K399" s="137" t="s">
        <v>1375</v>
      </c>
      <c r="L399" s="137" t="s">
        <v>1372</v>
      </c>
      <c r="M39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6385c1768b814d3d89087c436c9cab15</v>
      </c>
      <c r="N39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399" s="138" t="str" cm="1">
        <f t="array" ref="O399">IFERROR(INDEX(CategoriesTable[Category type],MATCH(Table1[[#This Row],[Category]],CategoriesTable[Category name],0),0),"")</f>
        <v>Expense</v>
      </c>
      <c r="P399" s="138">
        <v>24</v>
      </c>
      <c r="Q399" s="138">
        <f>MONTH(Table1[[#This Row],[Date]])</f>
        <v>9</v>
      </c>
      <c r="R399" s="138">
        <v>2021</v>
      </c>
      <c r="S399" s="139">
        <f>IF(ISBLANK(Table1[[#This Row],[Date]]),"",Table1[[#This Row],[Date]]-WEEKDAY(Table1[[#This Row],[Date]],2)+1)</f>
        <v>44459</v>
      </c>
      <c r="T399" s="140">
        <f>IF(ISBLANK(Table1[[#This Row],[Date]]),"",DATE(Table1[[#This Row],[Date_Year]],Table1[[#This Row],[Date_Month]],1))</f>
        <v>44440</v>
      </c>
    </row>
    <row r="400" spans="2:20" ht="15.75">
      <c r="B400" s="154">
        <v>44463</v>
      </c>
      <c r="C400" s="119" t="s">
        <v>726</v>
      </c>
      <c r="D400" s="119"/>
      <c r="E400" s="119"/>
      <c r="F400" s="155">
        <v>-95</v>
      </c>
      <c r="G400" s="133" t="str">
        <f>_xlfn.XLOOKUP(Table1[[#This Row],[Account_ID]], Accounts[ID], Accounts[Account nickname], "Unknown")</f>
        <v>WF</v>
      </c>
      <c r="H400" s="134" t="str">
        <f>_xlfn.XLOOKUP(Table1[[#This Row],[Account_ID]], Accounts[ID], Accounts[Account'#], "Unknown")</f>
        <v>4636</v>
      </c>
      <c r="I400" s="135" t="str">
        <f>_xlfn.XLOOKUP(_xlfn.XLOOKUP(Table1[[#This Row],[Account]],Accounts[Account nickname],Accounts[Institution ID]),Institutions[ID],Institutions[Institution nickname],"Unknown")</f>
        <v>Wells Fargo</v>
      </c>
      <c r="J400" s="136" t="s">
        <v>1020</v>
      </c>
      <c r="K400" s="137" t="s">
        <v>808</v>
      </c>
      <c r="L400" s="137" t="s">
        <v>807</v>
      </c>
      <c r="M40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0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00" s="138" t="str" cm="1">
        <f t="array" ref="O400">IFERROR(INDEX(CategoriesTable[Category type],MATCH(Table1[[#This Row],[Category]],CategoriesTable[Category name],0),0),"")</f>
        <v/>
      </c>
      <c r="P400" s="138">
        <v>24</v>
      </c>
      <c r="Q400" s="138">
        <f>MONTH(Table1[[#This Row],[Date]])</f>
        <v>9</v>
      </c>
      <c r="R400" s="138">
        <v>2021</v>
      </c>
      <c r="S400" s="139">
        <f>IF(ISBLANK(Table1[[#This Row],[Date]]),"",Table1[[#This Row],[Date]]-WEEKDAY(Table1[[#This Row],[Date]],2)+1)</f>
        <v>44459</v>
      </c>
      <c r="T400" s="140">
        <f>IF(ISBLANK(Table1[[#This Row],[Date]]),"",DATE(Table1[[#This Row],[Date_Year]],Table1[[#This Row],[Date_Month]],1))</f>
        <v>44440</v>
      </c>
    </row>
    <row r="401" spans="2:20" ht="15.75">
      <c r="B401" s="154">
        <v>44463</v>
      </c>
      <c r="C401" s="119" t="s">
        <v>922</v>
      </c>
      <c r="D401" s="119"/>
      <c r="E401" s="119"/>
      <c r="F401" s="155">
        <v>-6.08</v>
      </c>
      <c r="G401" s="133" t="str">
        <f>_xlfn.XLOOKUP(Table1[[#This Row],[Account_ID]], Accounts[ID], Accounts[Account nickname], "Unknown")</f>
        <v>Discover</v>
      </c>
      <c r="H401" s="134" t="str">
        <f>_xlfn.XLOOKUP(Table1[[#This Row],[Account_ID]], Accounts[ID], Accounts[Account'#], "Unknown")</f>
        <v>4618</v>
      </c>
      <c r="I401" s="135" t="str">
        <f>_xlfn.XLOOKUP(_xlfn.XLOOKUP(Table1[[#This Row],[Account]],Accounts[Account nickname],Accounts[Institution ID]),Institutions[ID],Institutions[Institution nickname],"Unknown")</f>
        <v>Discover</v>
      </c>
      <c r="J401" s="136" t="s">
        <v>1692</v>
      </c>
      <c r="K401" s="137" t="s">
        <v>843</v>
      </c>
      <c r="L401" s="137" t="s">
        <v>841</v>
      </c>
      <c r="M40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0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01" s="138" t="str" cm="1">
        <f t="array" ref="O401">IFERROR(INDEX(CategoriesTable[Category type],MATCH(Table1[[#This Row],[Category]],CategoriesTable[Category name],0),0),"")</f>
        <v/>
      </c>
      <c r="P401" s="138">
        <v>24</v>
      </c>
      <c r="Q401" s="138">
        <f>MONTH(Table1[[#This Row],[Date]])</f>
        <v>9</v>
      </c>
      <c r="R401" s="138">
        <v>2021</v>
      </c>
      <c r="S401" s="139">
        <f>IF(ISBLANK(Table1[[#This Row],[Date]]),"",Table1[[#This Row],[Date]]-WEEKDAY(Table1[[#This Row],[Date]],2)+1)</f>
        <v>44459</v>
      </c>
      <c r="T401" s="140">
        <f>IF(ISBLANK(Table1[[#This Row],[Date]]),"",DATE(Table1[[#This Row],[Date_Year]],Table1[[#This Row],[Date_Month]],1))</f>
        <v>44440</v>
      </c>
    </row>
    <row r="402" spans="2:20" ht="15.75">
      <c r="B402" s="154">
        <v>44462</v>
      </c>
      <c r="C402" s="119" t="s">
        <v>677</v>
      </c>
      <c r="D402" s="119"/>
      <c r="E402" s="119"/>
      <c r="F402" s="155">
        <v>2179.34</v>
      </c>
      <c r="G402" s="133" t="str">
        <f>_xlfn.XLOOKUP(Table1[[#This Row],[Account_ID]], Accounts[ID], Accounts[Account nickname], "Unknown")</f>
        <v>WF</v>
      </c>
      <c r="H402" s="134" t="str">
        <f>_xlfn.XLOOKUP(Table1[[#This Row],[Account_ID]], Accounts[ID], Accounts[Account'#], "Unknown")</f>
        <v>4636</v>
      </c>
      <c r="I402" s="135" t="str">
        <f>_xlfn.XLOOKUP(_xlfn.XLOOKUP(Table1[[#This Row],[Account]],Accounts[Account nickname],Accounts[Institution ID]),Institutions[ID],Institutions[Institution nickname],"Unknown")</f>
        <v>Wells Fargo</v>
      </c>
      <c r="J402" s="136" t="s">
        <v>1024</v>
      </c>
      <c r="K402" s="137" t="s">
        <v>808</v>
      </c>
      <c r="L402" s="137" t="s">
        <v>807</v>
      </c>
      <c r="M40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0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02" s="138" t="str" cm="1">
        <f t="array" ref="O402">IFERROR(INDEX(CategoriesTable[Category type],MATCH(Table1[[#This Row],[Category]],CategoriesTable[Category name],0),0),"")</f>
        <v/>
      </c>
      <c r="P402" s="138">
        <v>23</v>
      </c>
      <c r="Q402" s="138">
        <f>MONTH(Table1[[#This Row],[Date]])</f>
        <v>9</v>
      </c>
      <c r="R402" s="138">
        <v>2021</v>
      </c>
      <c r="S402" s="139">
        <f>IF(ISBLANK(Table1[[#This Row],[Date]]),"",Table1[[#This Row],[Date]]-WEEKDAY(Table1[[#This Row],[Date]],2)+1)</f>
        <v>44459</v>
      </c>
      <c r="T402" s="140">
        <f>IF(ISBLANK(Table1[[#This Row],[Date]]),"",DATE(Table1[[#This Row],[Date_Year]],Table1[[#This Row],[Date_Month]],1))</f>
        <v>44440</v>
      </c>
    </row>
    <row r="403" spans="2:20" ht="15.75">
      <c r="B403" s="154">
        <v>44462</v>
      </c>
      <c r="C403" s="119" t="s">
        <v>729</v>
      </c>
      <c r="D403" s="119"/>
      <c r="E403" s="119"/>
      <c r="F403" s="155">
        <v>-500</v>
      </c>
      <c r="G403" s="133" t="str">
        <f>_xlfn.XLOOKUP(Table1[[#This Row],[Account_ID]], Accounts[ID], Accounts[Account nickname], "Unknown")</f>
        <v>WF</v>
      </c>
      <c r="H403" s="134" t="str">
        <f>_xlfn.XLOOKUP(Table1[[#This Row],[Account_ID]], Accounts[ID], Accounts[Account'#], "Unknown")</f>
        <v>4636</v>
      </c>
      <c r="I403" s="135" t="str">
        <f>_xlfn.XLOOKUP(_xlfn.XLOOKUP(Table1[[#This Row],[Account]],Accounts[Account nickname],Accounts[Institution ID]),Institutions[ID],Institutions[Institution nickname],"Unknown")</f>
        <v>Wells Fargo</v>
      </c>
      <c r="J403" s="136" t="s">
        <v>1025</v>
      </c>
      <c r="K403" s="137" t="s">
        <v>808</v>
      </c>
      <c r="L403" s="137" t="s">
        <v>807</v>
      </c>
      <c r="M40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0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03" s="138" t="str" cm="1">
        <f t="array" ref="O403">IFERROR(INDEX(CategoriesTable[Category type],MATCH(Table1[[#This Row],[Category]],CategoriesTable[Category name],0),0),"")</f>
        <v/>
      </c>
      <c r="P403" s="138">
        <v>23</v>
      </c>
      <c r="Q403" s="138">
        <f>MONTH(Table1[[#This Row],[Date]])</f>
        <v>9</v>
      </c>
      <c r="R403" s="138">
        <v>2021</v>
      </c>
      <c r="S403" s="139">
        <f>IF(ISBLANK(Table1[[#This Row],[Date]]),"",Table1[[#This Row],[Date]]-WEEKDAY(Table1[[#This Row],[Date]],2)+1)</f>
        <v>44459</v>
      </c>
      <c r="T403" s="140">
        <f>IF(ISBLANK(Table1[[#This Row],[Date]]),"",DATE(Table1[[#This Row],[Date_Year]],Table1[[#This Row],[Date_Month]],1))</f>
        <v>44440</v>
      </c>
    </row>
    <row r="404" spans="2:20" ht="15.75">
      <c r="B404" s="154">
        <v>44462</v>
      </c>
      <c r="C404" s="119" t="s">
        <v>936</v>
      </c>
      <c r="D404" s="119"/>
      <c r="E404" s="119"/>
      <c r="F404" s="155">
        <v>-37.979999999999997</v>
      </c>
      <c r="G404" s="133" t="str">
        <f>_xlfn.XLOOKUP(Table1[[#This Row],[Account_ID]], Accounts[ID], Accounts[Account nickname], "Unknown")</f>
        <v>Discover</v>
      </c>
      <c r="H404" s="134" t="str">
        <f>_xlfn.XLOOKUP(Table1[[#This Row],[Account_ID]], Accounts[ID], Accounts[Account'#], "Unknown")</f>
        <v>4618</v>
      </c>
      <c r="I404" s="135" t="str">
        <f>_xlfn.XLOOKUP(_xlfn.XLOOKUP(Table1[[#This Row],[Account]],Accounts[Account nickname],Accounts[Institution ID]),Institutions[ID],Institutions[Institution nickname],"Unknown")</f>
        <v>Discover</v>
      </c>
      <c r="J404" s="136" t="s">
        <v>1702</v>
      </c>
      <c r="K404" s="137" t="s">
        <v>843</v>
      </c>
      <c r="L404" s="137" t="s">
        <v>841</v>
      </c>
      <c r="M40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0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04" s="138" t="str" cm="1">
        <f t="array" ref="O404">IFERROR(INDEX(CategoriesTable[Category type],MATCH(Table1[[#This Row],[Category]],CategoriesTable[Category name],0),0),"")</f>
        <v/>
      </c>
      <c r="P404" s="138">
        <v>23</v>
      </c>
      <c r="Q404" s="138">
        <f>MONTH(Table1[[#This Row],[Date]])</f>
        <v>9</v>
      </c>
      <c r="R404" s="138">
        <v>2021</v>
      </c>
      <c r="S404" s="139">
        <f>IF(ISBLANK(Table1[[#This Row],[Date]]),"",Table1[[#This Row],[Date]]-WEEKDAY(Table1[[#This Row],[Date]],2)+1)</f>
        <v>44459</v>
      </c>
      <c r="T404" s="140">
        <f>IF(ISBLANK(Table1[[#This Row],[Date]]),"",DATE(Table1[[#This Row],[Date_Year]],Table1[[#This Row],[Date_Month]],1))</f>
        <v>44440</v>
      </c>
    </row>
    <row r="405" spans="2:20" ht="15.75">
      <c r="B405" s="154">
        <v>44462</v>
      </c>
      <c r="C405" s="119" t="s">
        <v>922</v>
      </c>
      <c r="D405" s="119"/>
      <c r="E405" s="119"/>
      <c r="F405" s="155">
        <v>-32.979999999999997</v>
      </c>
      <c r="G405" s="133" t="str">
        <f>_xlfn.XLOOKUP(Table1[[#This Row],[Account_ID]], Accounts[ID], Accounts[Account nickname], "Unknown")</f>
        <v>Discover</v>
      </c>
      <c r="H405" s="134" t="str">
        <f>_xlfn.XLOOKUP(Table1[[#This Row],[Account_ID]], Accounts[ID], Accounts[Account'#], "Unknown")</f>
        <v>4618</v>
      </c>
      <c r="I405" s="135" t="str">
        <f>_xlfn.XLOOKUP(_xlfn.XLOOKUP(Table1[[#This Row],[Account]],Accounts[Account nickname],Accounts[Institution ID]),Institutions[ID],Institutions[Institution nickname],"Unknown")</f>
        <v>Discover</v>
      </c>
      <c r="J405" s="136" t="s">
        <v>1699</v>
      </c>
      <c r="K405" s="137" t="s">
        <v>843</v>
      </c>
      <c r="L405" s="137" t="s">
        <v>841</v>
      </c>
      <c r="M40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0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05" s="138" t="str" cm="1">
        <f t="array" ref="O405">IFERROR(INDEX(CategoriesTable[Category type],MATCH(Table1[[#This Row],[Category]],CategoriesTable[Category name],0),0),"")</f>
        <v/>
      </c>
      <c r="P405" s="138">
        <v>23</v>
      </c>
      <c r="Q405" s="138">
        <f>MONTH(Table1[[#This Row],[Date]])</f>
        <v>9</v>
      </c>
      <c r="R405" s="138">
        <v>2021</v>
      </c>
      <c r="S405" s="139">
        <f>IF(ISBLANK(Table1[[#This Row],[Date]]),"",Table1[[#This Row],[Date]]-WEEKDAY(Table1[[#This Row],[Date]],2)+1)</f>
        <v>44459</v>
      </c>
      <c r="T405" s="140">
        <f>IF(ISBLANK(Table1[[#This Row],[Date]]),"",DATE(Table1[[#This Row],[Date_Year]],Table1[[#This Row],[Date_Month]],1))</f>
        <v>44440</v>
      </c>
    </row>
    <row r="406" spans="2:20" ht="15.75">
      <c r="B406" s="154">
        <v>44462</v>
      </c>
      <c r="C406" s="119" t="s">
        <v>728</v>
      </c>
      <c r="D406" s="119"/>
      <c r="E406" s="119"/>
      <c r="F406" s="155">
        <v>-10</v>
      </c>
      <c r="G406" s="133" t="str">
        <f>_xlfn.XLOOKUP(Table1[[#This Row],[Account_ID]], Accounts[ID], Accounts[Account nickname], "Unknown")</f>
        <v>WF</v>
      </c>
      <c r="H406" s="134" t="str">
        <f>_xlfn.XLOOKUP(Table1[[#This Row],[Account_ID]], Accounts[ID], Accounts[Account'#], "Unknown")</f>
        <v>4636</v>
      </c>
      <c r="I406" s="135" t="str">
        <f>_xlfn.XLOOKUP(_xlfn.XLOOKUP(Table1[[#This Row],[Account]],Accounts[Account nickname],Accounts[Institution ID]),Institutions[ID],Institutions[Institution nickname],"Unknown")</f>
        <v>Wells Fargo</v>
      </c>
      <c r="J406" s="136" t="s">
        <v>1023</v>
      </c>
      <c r="K406" s="137" t="s">
        <v>808</v>
      </c>
      <c r="L406" s="137" t="s">
        <v>807</v>
      </c>
      <c r="M40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0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06" s="138" t="str" cm="1">
        <f t="array" ref="O406">IFERROR(INDEX(CategoriesTable[Category type],MATCH(Table1[[#This Row],[Category]],CategoriesTable[Category name],0),0),"")</f>
        <v/>
      </c>
      <c r="P406" s="138">
        <v>23</v>
      </c>
      <c r="Q406" s="138">
        <f>MONTH(Table1[[#This Row],[Date]])</f>
        <v>9</v>
      </c>
      <c r="R406" s="138">
        <v>2021</v>
      </c>
      <c r="S406" s="139">
        <f>IF(ISBLANK(Table1[[#This Row],[Date]]),"",Table1[[#This Row],[Date]]-WEEKDAY(Table1[[#This Row],[Date]],2)+1)</f>
        <v>44459</v>
      </c>
      <c r="T406" s="140">
        <f>IF(ISBLANK(Table1[[#This Row],[Date]]),"",DATE(Table1[[#This Row],[Date_Year]],Table1[[#This Row],[Date_Month]],1))</f>
        <v>44440</v>
      </c>
    </row>
    <row r="407" spans="2:20" ht="15.75">
      <c r="B407" s="154">
        <v>44462</v>
      </c>
      <c r="C407" s="119" t="s">
        <v>1697</v>
      </c>
      <c r="D407" s="119"/>
      <c r="E407" s="119"/>
      <c r="F407" s="155">
        <v>-47.89</v>
      </c>
      <c r="G407" s="133" t="str">
        <f>_xlfn.XLOOKUP(Table1[[#This Row],[Account_ID]], Accounts[ID], Accounts[Account nickname], "Unknown")</f>
        <v>Discover</v>
      </c>
      <c r="H407" s="134" t="str">
        <f>_xlfn.XLOOKUP(Table1[[#This Row],[Account_ID]], Accounts[ID], Accounts[Account'#], "Unknown")</f>
        <v>4618</v>
      </c>
      <c r="I407" s="135" t="str">
        <f>_xlfn.XLOOKUP(_xlfn.XLOOKUP(Table1[[#This Row],[Account]],Accounts[Account nickname],Accounts[Institution ID]),Institutions[ID],Institutions[Institution nickname],"Unknown")</f>
        <v>Discover</v>
      </c>
      <c r="J407" s="136" t="s">
        <v>1698</v>
      </c>
      <c r="K407" s="137" t="s">
        <v>843</v>
      </c>
      <c r="L407" s="137" t="s">
        <v>841</v>
      </c>
      <c r="M40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0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07" s="138" t="str" cm="1">
        <f t="array" ref="O407">IFERROR(INDEX(CategoriesTable[Category type],MATCH(Table1[[#This Row],[Category]],CategoriesTable[Category name],0),0),"")</f>
        <v/>
      </c>
      <c r="P407" s="138">
        <v>23</v>
      </c>
      <c r="Q407" s="138">
        <f>MONTH(Table1[[#This Row],[Date]])</f>
        <v>9</v>
      </c>
      <c r="R407" s="138">
        <v>2021</v>
      </c>
      <c r="S407" s="139">
        <f>IF(ISBLANK(Table1[[#This Row],[Date]]),"",Table1[[#This Row],[Date]]-WEEKDAY(Table1[[#This Row],[Date]],2)+1)</f>
        <v>44459</v>
      </c>
      <c r="T407" s="140">
        <f>IF(ISBLANK(Table1[[#This Row],[Date]]),"",DATE(Table1[[#This Row],[Date_Year]],Table1[[#This Row],[Date_Month]],1))</f>
        <v>44440</v>
      </c>
    </row>
    <row r="408" spans="2:20" ht="15.75">
      <c r="B408" s="154">
        <v>44462</v>
      </c>
      <c r="C408" s="119" t="s">
        <v>1700</v>
      </c>
      <c r="D408" s="119"/>
      <c r="E408" s="119"/>
      <c r="F408" s="155">
        <v>-85.79</v>
      </c>
      <c r="G408" s="133" t="str">
        <f>_xlfn.XLOOKUP(Table1[[#This Row],[Account_ID]], Accounts[ID], Accounts[Account nickname], "Unknown")</f>
        <v>Discover</v>
      </c>
      <c r="H408" s="134" t="str">
        <f>_xlfn.XLOOKUP(Table1[[#This Row],[Account_ID]], Accounts[ID], Accounts[Account'#], "Unknown")</f>
        <v>4618</v>
      </c>
      <c r="I408" s="135" t="str">
        <f>_xlfn.XLOOKUP(_xlfn.XLOOKUP(Table1[[#This Row],[Account]],Accounts[Account nickname],Accounts[Institution ID]),Institutions[ID],Institutions[Institution nickname],"Unknown")</f>
        <v>Discover</v>
      </c>
      <c r="J408" s="136" t="s">
        <v>1701</v>
      </c>
      <c r="K408" s="137" t="s">
        <v>843</v>
      </c>
      <c r="L408" s="137" t="s">
        <v>841</v>
      </c>
      <c r="M40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0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08" s="138" t="str" cm="1">
        <f t="array" ref="O408">IFERROR(INDEX(CategoriesTable[Category type],MATCH(Table1[[#This Row],[Category]],CategoriesTable[Category name],0),0),"")</f>
        <v/>
      </c>
      <c r="P408" s="138">
        <v>23</v>
      </c>
      <c r="Q408" s="138">
        <f>MONTH(Table1[[#This Row],[Date]])</f>
        <v>9</v>
      </c>
      <c r="R408" s="138">
        <v>2021</v>
      </c>
      <c r="S408" s="139">
        <f>IF(ISBLANK(Table1[[#This Row],[Date]]),"",Table1[[#This Row],[Date]]-WEEKDAY(Table1[[#This Row],[Date]],2)+1)</f>
        <v>44459</v>
      </c>
      <c r="T408" s="140">
        <f>IF(ISBLANK(Table1[[#This Row],[Date]]),"",DATE(Table1[[#This Row],[Date_Year]],Table1[[#This Row],[Date_Month]],1))</f>
        <v>44440</v>
      </c>
    </row>
    <row r="409" spans="2:20" ht="15.75">
      <c r="B409" s="154">
        <v>44461</v>
      </c>
      <c r="C409" s="119" t="s">
        <v>1705</v>
      </c>
      <c r="D409" s="119"/>
      <c r="E409" s="119"/>
      <c r="F409" s="155">
        <v>-67</v>
      </c>
      <c r="G409" s="133" t="str">
        <f>_xlfn.XLOOKUP(Table1[[#This Row],[Account_ID]], Accounts[ID], Accounts[Account nickname], "Unknown")</f>
        <v>Discover</v>
      </c>
      <c r="H409" s="134" t="str">
        <f>_xlfn.XLOOKUP(Table1[[#This Row],[Account_ID]], Accounts[ID], Accounts[Account'#], "Unknown")</f>
        <v>4618</v>
      </c>
      <c r="I409" s="135" t="str">
        <f>_xlfn.XLOOKUP(_xlfn.XLOOKUP(Table1[[#This Row],[Account]],Accounts[Account nickname],Accounts[Institution ID]),Institutions[ID],Institutions[Institution nickname],"Unknown")</f>
        <v>Discover</v>
      </c>
      <c r="J409" s="136" t="s">
        <v>1706</v>
      </c>
      <c r="K409" s="137" t="s">
        <v>843</v>
      </c>
      <c r="L409" s="137" t="s">
        <v>841</v>
      </c>
      <c r="M40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0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09" s="138" t="str" cm="1">
        <f t="array" ref="O409">IFERROR(INDEX(CategoriesTable[Category type],MATCH(Table1[[#This Row],[Category]],CategoriesTable[Category name],0),0),"")</f>
        <v/>
      </c>
      <c r="P409" s="138">
        <v>22</v>
      </c>
      <c r="Q409" s="138">
        <f>MONTH(Table1[[#This Row],[Date]])</f>
        <v>9</v>
      </c>
      <c r="R409" s="138">
        <v>2021</v>
      </c>
      <c r="S409" s="139">
        <f>IF(ISBLANK(Table1[[#This Row],[Date]]),"",Table1[[#This Row],[Date]]-WEEKDAY(Table1[[#This Row],[Date]],2)+1)</f>
        <v>44459</v>
      </c>
      <c r="T409" s="140">
        <f>IF(ISBLANK(Table1[[#This Row],[Date]]),"",DATE(Table1[[#This Row],[Date_Year]],Table1[[#This Row],[Date_Month]],1))</f>
        <v>44440</v>
      </c>
    </row>
    <row r="410" spans="2:20" ht="15.75">
      <c r="B410" s="154">
        <v>44461</v>
      </c>
      <c r="C410" s="119" t="s">
        <v>1703</v>
      </c>
      <c r="D410" s="119"/>
      <c r="E410" s="119"/>
      <c r="F410" s="155">
        <v>-30.44</v>
      </c>
      <c r="G410" s="133" t="str">
        <f>_xlfn.XLOOKUP(Table1[[#This Row],[Account_ID]], Accounts[ID], Accounts[Account nickname], "Unknown")</f>
        <v>Discover</v>
      </c>
      <c r="H410" s="134" t="str">
        <f>_xlfn.XLOOKUP(Table1[[#This Row],[Account_ID]], Accounts[ID], Accounts[Account'#], "Unknown")</f>
        <v>4618</v>
      </c>
      <c r="I410" s="135" t="str">
        <f>_xlfn.XLOOKUP(_xlfn.XLOOKUP(Table1[[#This Row],[Account]],Accounts[Account nickname],Accounts[Institution ID]),Institutions[ID],Institutions[Institution nickname],"Unknown")</f>
        <v>Discover</v>
      </c>
      <c r="J410" s="136" t="s">
        <v>1704</v>
      </c>
      <c r="K410" s="137" t="s">
        <v>843</v>
      </c>
      <c r="L410" s="137" t="s">
        <v>841</v>
      </c>
      <c r="M41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1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10" s="138" t="str" cm="1">
        <f t="array" ref="O410">IFERROR(INDEX(CategoriesTable[Category type],MATCH(Table1[[#This Row],[Category]],CategoriesTable[Category name],0),0),"")</f>
        <v/>
      </c>
      <c r="P410" s="138">
        <v>22</v>
      </c>
      <c r="Q410" s="138">
        <f>MONTH(Table1[[#This Row],[Date]])</f>
        <v>9</v>
      </c>
      <c r="R410" s="138">
        <v>2021</v>
      </c>
      <c r="S410" s="139">
        <f>IF(ISBLANK(Table1[[#This Row],[Date]]),"",Table1[[#This Row],[Date]]-WEEKDAY(Table1[[#This Row],[Date]],2)+1)</f>
        <v>44459</v>
      </c>
      <c r="T410" s="140">
        <f>IF(ISBLANK(Table1[[#This Row],[Date]]),"",DATE(Table1[[#This Row],[Date_Year]],Table1[[#This Row],[Date_Month]],1))</f>
        <v>44440</v>
      </c>
    </row>
    <row r="411" spans="2:20" ht="15.75">
      <c r="B411" s="154">
        <v>44461</v>
      </c>
      <c r="C411" s="119" t="s">
        <v>1700</v>
      </c>
      <c r="D411" s="119"/>
      <c r="E411" s="119"/>
      <c r="F411" s="155">
        <v>-126.55</v>
      </c>
      <c r="G411" s="133" t="str">
        <f>_xlfn.XLOOKUP(Table1[[#This Row],[Account_ID]], Accounts[ID], Accounts[Account nickname], "Unknown")</f>
        <v>Discover</v>
      </c>
      <c r="H411" s="134" t="str">
        <f>_xlfn.XLOOKUP(Table1[[#This Row],[Account_ID]], Accounts[ID], Accounts[Account'#], "Unknown")</f>
        <v>4618</v>
      </c>
      <c r="I411" s="135" t="str">
        <f>_xlfn.XLOOKUP(_xlfn.XLOOKUP(Table1[[#This Row],[Account]],Accounts[Account nickname],Accounts[Institution ID]),Institutions[ID],Institutions[Institution nickname],"Unknown")</f>
        <v>Discover</v>
      </c>
      <c r="J411" s="136" t="s">
        <v>1708</v>
      </c>
      <c r="K411" s="137" t="s">
        <v>843</v>
      </c>
      <c r="L411" s="137" t="s">
        <v>841</v>
      </c>
      <c r="M41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1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11" s="138" t="str" cm="1">
        <f t="array" ref="O411">IFERROR(INDEX(CategoriesTable[Category type],MATCH(Table1[[#This Row],[Category]],CategoriesTable[Category name],0),0),"")</f>
        <v/>
      </c>
      <c r="P411" s="138">
        <v>22</v>
      </c>
      <c r="Q411" s="138">
        <f>MONTH(Table1[[#This Row],[Date]])</f>
        <v>9</v>
      </c>
      <c r="R411" s="138">
        <v>2021</v>
      </c>
      <c r="S411" s="139">
        <f>IF(ISBLANK(Table1[[#This Row],[Date]]),"",Table1[[#This Row],[Date]]-WEEKDAY(Table1[[#This Row],[Date]],2)+1)</f>
        <v>44459</v>
      </c>
      <c r="T411" s="140">
        <f>IF(ISBLANK(Table1[[#This Row],[Date]]),"",DATE(Table1[[#This Row],[Date_Year]],Table1[[#This Row],[Date_Month]],1))</f>
        <v>44440</v>
      </c>
    </row>
    <row r="412" spans="2:20" ht="15.75">
      <c r="B412" s="154">
        <v>44461</v>
      </c>
      <c r="C412" s="119" t="s">
        <v>1436</v>
      </c>
      <c r="D412" s="119"/>
      <c r="E412" s="119"/>
      <c r="F412" s="155">
        <v>-7.99</v>
      </c>
      <c r="G412" s="133" t="str">
        <f>_xlfn.XLOOKUP(Table1[[#This Row],[Account_ID]], Accounts[ID], Accounts[Account nickname], "Unknown")</f>
        <v>Discover</v>
      </c>
      <c r="H412" s="134" t="str">
        <f>_xlfn.XLOOKUP(Table1[[#This Row],[Account_ID]], Accounts[ID], Accounts[Account'#], "Unknown")</f>
        <v>4618</v>
      </c>
      <c r="I412" s="135" t="str">
        <f>_xlfn.XLOOKUP(_xlfn.XLOOKUP(Table1[[#This Row],[Account]],Accounts[Account nickname],Accounts[Institution ID]),Institutions[ID],Institutions[Institution nickname],"Unknown")</f>
        <v>Discover</v>
      </c>
      <c r="J412" s="136" t="s">
        <v>1707</v>
      </c>
      <c r="K412" s="137" t="s">
        <v>843</v>
      </c>
      <c r="L412" s="137" t="s">
        <v>841</v>
      </c>
      <c r="M41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1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12" s="138" t="str" cm="1">
        <f t="array" ref="O412">IFERROR(INDEX(CategoriesTable[Category type],MATCH(Table1[[#This Row],[Category]],CategoriesTable[Category name],0),0),"")</f>
        <v/>
      </c>
      <c r="P412" s="138">
        <v>22</v>
      </c>
      <c r="Q412" s="138">
        <f>MONTH(Table1[[#This Row],[Date]])</f>
        <v>9</v>
      </c>
      <c r="R412" s="138">
        <v>2021</v>
      </c>
      <c r="S412" s="139">
        <f>IF(ISBLANK(Table1[[#This Row],[Date]]),"",Table1[[#This Row],[Date]]-WEEKDAY(Table1[[#This Row],[Date]],2)+1)</f>
        <v>44459</v>
      </c>
      <c r="T412" s="140">
        <f>IF(ISBLANK(Table1[[#This Row],[Date]]),"",DATE(Table1[[#This Row],[Date_Year]],Table1[[#This Row],[Date_Month]],1))</f>
        <v>44440</v>
      </c>
    </row>
    <row r="413" spans="2:20" ht="15.75">
      <c r="B413" s="154">
        <v>44460</v>
      </c>
      <c r="C413" s="119" t="s">
        <v>1709</v>
      </c>
      <c r="D413" s="119"/>
      <c r="E413" s="119"/>
      <c r="F413" s="155">
        <v>-6.47</v>
      </c>
      <c r="G413" s="133" t="str">
        <f>_xlfn.XLOOKUP(Table1[[#This Row],[Account_ID]], Accounts[ID], Accounts[Account nickname], "Unknown")</f>
        <v>Discover</v>
      </c>
      <c r="H413" s="134" t="str">
        <f>_xlfn.XLOOKUP(Table1[[#This Row],[Account_ID]], Accounts[ID], Accounts[Account'#], "Unknown")</f>
        <v>4618</v>
      </c>
      <c r="I413" s="135" t="str">
        <f>_xlfn.XLOOKUP(_xlfn.XLOOKUP(Table1[[#This Row],[Account]],Accounts[Account nickname],Accounts[Institution ID]),Institutions[ID],Institutions[Institution nickname],"Unknown")</f>
        <v>Discover</v>
      </c>
      <c r="J413" s="136" t="s">
        <v>1710</v>
      </c>
      <c r="K413" s="137" t="s">
        <v>843</v>
      </c>
      <c r="L413" s="137" t="s">
        <v>841</v>
      </c>
      <c r="M41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1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13" s="138" t="str" cm="1">
        <f t="array" ref="O413">IFERROR(INDEX(CategoriesTable[Category type],MATCH(Table1[[#This Row],[Category]],CategoriesTable[Category name],0),0),"")</f>
        <v/>
      </c>
      <c r="P413" s="138">
        <v>21</v>
      </c>
      <c r="Q413" s="138">
        <f>MONTH(Table1[[#This Row],[Date]])</f>
        <v>9</v>
      </c>
      <c r="R413" s="138">
        <v>2021</v>
      </c>
      <c r="S413" s="139">
        <f>IF(ISBLANK(Table1[[#This Row],[Date]]),"",Table1[[#This Row],[Date]]-WEEKDAY(Table1[[#This Row],[Date]],2)+1)</f>
        <v>44459</v>
      </c>
      <c r="T413" s="140">
        <f>IF(ISBLANK(Table1[[#This Row],[Date]]),"",DATE(Table1[[#This Row],[Date_Year]],Table1[[#This Row],[Date_Month]],1))</f>
        <v>44440</v>
      </c>
    </row>
    <row r="414" spans="2:20" ht="15.75">
      <c r="B414" s="154">
        <v>44459</v>
      </c>
      <c r="C414" s="119" t="s">
        <v>1713</v>
      </c>
      <c r="D414" s="119"/>
      <c r="E414" s="119"/>
      <c r="F414" s="155">
        <v>-5.42</v>
      </c>
      <c r="G414" s="133" t="str">
        <f>_xlfn.XLOOKUP(Table1[[#This Row],[Account_ID]], Accounts[ID], Accounts[Account nickname], "Unknown")</f>
        <v>Discover</v>
      </c>
      <c r="H414" s="134" t="str">
        <f>_xlfn.XLOOKUP(Table1[[#This Row],[Account_ID]], Accounts[ID], Accounts[Account'#], "Unknown")</f>
        <v>4618</v>
      </c>
      <c r="I414" s="135" t="str">
        <f>_xlfn.XLOOKUP(_xlfn.XLOOKUP(Table1[[#This Row],[Account]],Accounts[Account nickname],Accounts[Institution ID]),Institutions[ID],Institutions[Institution nickname],"Unknown")</f>
        <v>Discover</v>
      </c>
      <c r="J414" s="136" t="s">
        <v>1714</v>
      </c>
      <c r="K414" s="137" t="s">
        <v>843</v>
      </c>
      <c r="L414" s="137" t="s">
        <v>841</v>
      </c>
      <c r="M41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1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14" s="138" t="str" cm="1">
        <f t="array" ref="O414">IFERROR(INDEX(CategoriesTable[Category type],MATCH(Table1[[#This Row],[Category]],CategoriesTable[Category name],0),0),"")</f>
        <v/>
      </c>
      <c r="P414" s="138">
        <v>20</v>
      </c>
      <c r="Q414" s="138">
        <f>MONTH(Table1[[#This Row],[Date]])</f>
        <v>9</v>
      </c>
      <c r="R414" s="138">
        <v>2021</v>
      </c>
      <c r="S414" s="139">
        <f>IF(ISBLANK(Table1[[#This Row],[Date]]),"",Table1[[#This Row],[Date]]-WEEKDAY(Table1[[#This Row],[Date]],2)+1)</f>
        <v>44459</v>
      </c>
      <c r="T414" s="140">
        <f>IF(ISBLANK(Table1[[#This Row],[Date]]),"",DATE(Table1[[#This Row],[Date_Year]],Table1[[#This Row],[Date_Month]],1))</f>
        <v>44440</v>
      </c>
    </row>
    <row r="415" spans="2:20" ht="15.75">
      <c r="B415" s="154">
        <v>44459</v>
      </c>
      <c r="C415" s="119" t="s">
        <v>686</v>
      </c>
      <c r="D415" s="119"/>
      <c r="E415" s="119"/>
      <c r="F415" s="155">
        <v>-925.99</v>
      </c>
      <c r="G415" s="133" t="str">
        <f>_xlfn.XLOOKUP(Table1[[#This Row],[Account_ID]], Accounts[ID], Accounts[Account nickname], "Unknown")</f>
        <v>WF</v>
      </c>
      <c r="H415" s="134" t="str">
        <f>_xlfn.XLOOKUP(Table1[[#This Row],[Account_ID]], Accounts[ID], Accounts[Account'#], "Unknown")</f>
        <v>4636</v>
      </c>
      <c r="I415" s="135" t="str">
        <f>_xlfn.XLOOKUP(_xlfn.XLOOKUP(Table1[[#This Row],[Account]],Accounts[Account nickname],Accounts[Institution ID]),Institutions[ID],Institutions[Institution nickname],"Unknown")</f>
        <v>Wells Fargo</v>
      </c>
      <c r="J415" s="136" t="s">
        <v>1026</v>
      </c>
      <c r="K415" s="137" t="s">
        <v>808</v>
      </c>
      <c r="L415" s="137" t="s">
        <v>807</v>
      </c>
      <c r="M41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1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15" s="138" t="str" cm="1">
        <f t="array" ref="O415">IFERROR(INDEX(CategoriesTable[Category type],MATCH(Table1[[#This Row],[Category]],CategoriesTable[Category name],0),0),"")</f>
        <v/>
      </c>
      <c r="P415" s="138">
        <v>20</v>
      </c>
      <c r="Q415" s="138">
        <f>MONTH(Table1[[#This Row],[Date]])</f>
        <v>9</v>
      </c>
      <c r="R415" s="138">
        <v>2021</v>
      </c>
      <c r="S415" s="139">
        <f>IF(ISBLANK(Table1[[#This Row],[Date]]),"",Table1[[#This Row],[Date]]-WEEKDAY(Table1[[#This Row],[Date]],2)+1)</f>
        <v>44459</v>
      </c>
      <c r="T415" s="140">
        <f>IF(ISBLANK(Table1[[#This Row],[Date]]),"",DATE(Table1[[#This Row],[Date_Year]],Table1[[#This Row],[Date_Month]],1))</f>
        <v>44440</v>
      </c>
    </row>
    <row r="416" spans="2:20" ht="15.75">
      <c r="B416" s="154">
        <v>44459</v>
      </c>
      <c r="C416" s="119" t="s">
        <v>1715</v>
      </c>
      <c r="D416" s="119"/>
      <c r="E416" s="119"/>
      <c r="F416" s="155">
        <v>-18.25</v>
      </c>
      <c r="G416" s="133" t="str">
        <f>_xlfn.XLOOKUP(Table1[[#This Row],[Account_ID]], Accounts[ID], Accounts[Account nickname], "Unknown")</f>
        <v>Discover</v>
      </c>
      <c r="H416" s="134" t="str">
        <f>_xlfn.XLOOKUP(Table1[[#This Row],[Account_ID]], Accounts[ID], Accounts[Account'#], "Unknown")</f>
        <v>4618</v>
      </c>
      <c r="I416" s="135" t="str">
        <f>_xlfn.XLOOKUP(_xlfn.XLOOKUP(Table1[[#This Row],[Account]],Accounts[Account nickname],Accounts[Institution ID]),Institutions[ID],Institutions[Institution nickname],"Unknown")</f>
        <v>Discover</v>
      </c>
      <c r="J416" s="136" t="s">
        <v>1716</v>
      </c>
      <c r="K416" s="137" t="s">
        <v>843</v>
      </c>
      <c r="L416" s="137" t="s">
        <v>841</v>
      </c>
      <c r="M41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1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16" s="138" t="str" cm="1">
        <f t="array" ref="O416">IFERROR(INDEX(CategoriesTable[Category type],MATCH(Table1[[#This Row],[Category]],CategoriesTable[Category name],0),0),"")</f>
        <v/>
      </c>
      <c r="P416" s="138">
        <v>20</v>
      </c>
      <c r="Q416" s="138">
        <f>MONTH(Table1[[#This Row],[Date]])</f>
        <v>9</v>
      </c>
      <c r="R416" s="138">
        <v>2021</v>
      </c>
      <c r="S416" s="139">
        <f>IF(ISBLANK(Table1[[#This Row],[Date]]),"",Table1[[#This Row],[Date]]-WEEKDAY(Table1[[#This Row],[Date]],2)+1)</f>
        <v>44459</v>
      </c>
      <c r="T416" s="140">
        <f>IF(ISBLANK(Table1[[#This Row],[Date]]),"",DATE(Table1[[#This Row],[Date_Year]],Table1[[#This Row],[Date_Month]],1))</f>
        <v>44440</v>
      </c>
    </row>
    <row r="417" spans="2:20" ht="15.75">
      <c r="B417" s="154">
        <v>44459</v>
      </c>
      <c r="C417" s="119" t="s">
        <v>849</v>
      </c>
      <c r="D417" s="119"/>
      <c r="E417" s="119"/>
      <c r="F417" s="155">
        <v>-13.29</v>
      </c>
      <c r="G417" s="133" t="str">
        <f>_xlfn.XLOOKUP(Table1[[#This Row],[Account_ID]], Accounts[ID], Accounts[Account nickname], "Unknown")</f>
        <v>Discover</v>
      </c>
      <c r="H417" s="134" t="str">
        <f>_xlfn.XLOOKUP(Table1[[#This Row],[Account_ID]], Accounts[ID], Accounts[Account'#], "Unknown")</f>
        <v>4618</v>
      </c>
      <c r="I417" s="135" t="str">
        <f>_xlfn.XLOOKUP(_xlfn.XLOOKUP(Table1[[#This Row],[Account]],Accounts[Account nickname],Accounts[Institution ID]),Institutions[ID],Institutions[Institution nickname],"Unknown")</f>
        <v>Discover</v>
      </c>
      <c r="J417" s="136" t="s">
        <v>1717</v>
      </c>
      <c r="K417" s="137" t="s">
        <v>843</v>
      </c>
      <c r="L417" s="137" t="s">
        <v>841</v>
      </c>
      <c r="M41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1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17" s="138" t="str" cm="1">
        <f t="array" ref="O417">IFERROR(INDEX(CategoriesTable[Category type],MATCH(Table1[[#This Row],[Category]],CategoriesTable[Category name],0),0),"")</f>
        <v/>
      </c>
      <c r="P417" s="138">
        <v>20</v>
      </c>
      <c r="Q417" s="138">
        <f>MONTH(Table1[[#This Row],[Date]])</f>
        <v>9</v>
      </c>
      <c r="R417" s="138">
        <v>2021</v>
      </c>
      <c r="S417" s="139">
        <f>IF(ISBLANK(Table1[[#This Row],[Date]]),"",Table1[[#This Row],[Date]]-WEEKDAY(Table1[[#This Row],[Date]],2)+1)</f>
        <v>44459</v>
      </c>
      <c r="T417" s="140">
        <f>IF(ISBLANK(Table1[[#This Row],[Date]]),"",DATE(Table1[[#This Row],[Date_Year]],Table1[[#This Row],[Date_Month]],1))</f>
        <v>44440</v>
      </c>
    </row>
    <row r="418" spans="2:20" ht="15.75">
      <c r="B418" s="154">
        <v>44459</v>
      </c>
      <c r="C418" s="119" t="s">
        <v>730</v>
      </c>
      <c r="D418" s="119"/>
      <c r="E418" s="119"/>
      <c r="F418" s="155">
        <v>-120.69</v>
      </c>
      <c r="G418" s="133" t="str">
        <f>_xlfn.XLOOKUP(Table1[[#This Row],[Account_ID]], Accounts[ID], Accounts[Account nickname], "Unknown")</f>
        <v>WF</v>
      </c>
      <c r="H418" s="134" t="str">
        <f>_xlfn.XLOOKUP(Table1[[#This Row],[Account_ID]], Accounts[ID], Accounts[Account'#], "Unknown")</f>
        <v>4636</v>
      </c>
      <c r="I418" s="135" t="str">
        <f>_xlfn.XLOOKUP(_xlfn.XLOOKUP(Table1[[#This Row],[Account]],Accounts[Account nickname],Accounts[Institution ID]),Institutions[ID],Institutions[Institution nickname],"Unknown")</f>
        <v>Wells Fargo</v>
      </c>
      <c r="J418" s="136" t="s">
        <v>1027</v>
      </c>
      <c r="K418" s="137" t="s">
        <v>808</v>
      </c>
      <c r="L418" s="137" t="s">
        <v>807</v>
      </c>
      <c r="M41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1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18" s="138" t="str" cm="1">
        <f t="array" ref="O418">IFERROR(INDEX(CategoriesTable[Category type],MATCH(Table1[[#This Row],[Category]],CategoriesTable[Category name],0),0),"")</f>
        <v/>
      </c>
      <c r="P418" s="138">
        <v>20</v>
      </c>
      <c r="Q418" s="138">
        <f>MONTH(Table1[[#This Row],[Date]])</f>
        <v>9</v>
      </c>
      <c r="R418" s="138">
        <v>2021</v>
      </c>
      <c r="S418" s="139">
        <f>IF(ISBLANK(Table1[[#This Row],[Date]]),"",Table1[[#This Row],[Date]]-WEEKDAY(Table1[[#This Row],[Date]],2)+1)</f>
        <v>44459</v>
      </c>
      <c r="T418" s="140">
        <f>IF(ISBLANK(Table1[[#This Row],[Date]]),"",DATE(Table1[[#This Row],[Date_Year]],Table1[[#This Row],[Date_Month]],1))</f>
        <v>44440</v>
      </c>
    </row>
    <row r="419" spans="2:20" ht="15.75">
      <c r="B419" s="154">
        <v>44459</v>
      </c>
      <c r="C419" s="119" t="s">
        <v>1711</v>
      </c>
      <c r="D419" s="119"/>
      <c r="E419" s="119"/>
      <c r="F419" s="155">
        <v>-12.47</v>
      </c>
      <c r="G419" s="133" t="str">
        <f>_xlfn.XLOOKUP(Table1[[#This Row],[Account_ID]], Accounts[ID], Accounts[Account nickname], "Unknown")</f>
        <v>Discover</v>
      </c>
      <c r="H419" s="134" t="str">
        <f>_xlfn.XLOOKUP(Table1[[#This Row],[Account_ID]], Accounts[ID], Accounts[Account'#], "Unknown")</f>
        <v>4618</v>
      </c>
      <c r="I419" s="135" t="str">
        <f>_xlfn.XLOOKUP(_xlfn.XLOOKUP(Table1[[#This Row],[Account]],Accounts[Account nickname],Accounts[Institution ID]),Institutions[ID],Institutions[Institution nickname],"Unknown")</f>
        <v>Discover</v>
      </c>
      <c r="J419" s="136" t="s">
        <v>1712</v>
      </c>
      <c r="K419" s="137" t="s">
        <v>843</v>
      </c>
      <c r="L419" s="137" t="s">
        <v>841</v>
      </c>
      <c r="M41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1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19" s="138" t="str" cm="1">
        <f t="array" ref="O419">IFERROR(INDEX(CategoriesTable[Category type],MATCH(Table1[[#This Row],[Category]],CategoriesTable[Category name],0),0),"")</f>
        <v/>
      </c>
      <c r="P419" s="138">
        <v>20</v>
      </c>
      <c r="Q419" s="138">
        <f>MONTH(Table1[[#This Row],[Date]])</f>
        <v>9</v>
      </c>
      <c r="R419" s="138">
        <v>2021</v>
      </c>
      <c r="S419" s="139">
        <f>IF(ISBLANK(Table1[[#This Row],[Date]]),"",Table1[[#This Row],[Date]]-WEEKDAY(Table1[[#This Row],[Date]],2)+1)</f>
        <v>44459</v>
      </c>
      <c r="T419" s="140">
        <f>IF(ISBLANK(Table1[[#This Row],[Date]]),"",DATE(Table1[[#This Row],[Date_Year]],Table1[[#This Row],[Date_Month]],1))</f>
        <v>44440</v>
      </c>
    </row>
    <row r="420" spans="2:20" ht="15.75">
      <c r="B420" s="154">
        <v>44458</v>
      </c>
      <c r="C420" s="119" t="s">
        <v>689</v>
      </c>
      <c r="D420" s="119"/>
      <c r="E420" s="119"/>
      <c r="F420" s="155">
        <v>-58.37</v>
      </c>
      <c r="G420" s="133" t="str">
        <f>_xlfn.XLOOKUP(Table1[[#This Row],[Account_ID]], Accounts[ID], Accounts[Account nickname], "Unknown")</f>
        <v>Discover</v>
      </c>
      <c r="H420" s="134" t="str">
        <f>_xlfn.XLOOKUP(Table1[[#This Row],[Account_ID]], Accounts[ID], Accounts[Account'#], "Unknown")</f>
        <v>4618</v>
      </c>
      <c r="I420" s="135" t="str">
        <f>_xlfn.XLOOKUP(_xlfn.XLOOKUP(Table1[[#This Row],[Account]],Accounts[Account nickname],Accounts[Institution ID]),Institutions[ID],Institutions[Institution nickname],"Unknown")</f>
        <v>Discover</v>
      </c>
      <c r="J420" s="136" t="s">
        <v>1718</v>
      </c>
      <c r="K420" s="137" t="s">
        <v>843</v>
      </c>
      <c r="L420" s="137" t="s">
        <v>841</v>
      </c>
      <c r="M42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2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20" s="138" t="str" cm="1">
        <f t="array" ref="O420">IFERROR(INDEX(CategoriesTable[Category type],MATCH(Table1[[#This Row],[Category]],CategoriesTable[Category name],0),0),"")</f>
        <v/>
      </c>
      <c r="P420" s="138">
        <v>19</v>
      </c>
      <c r="Q420" s="138">
        <f>MONTH(Table1[[#This Row],[Date]])</f>
        <v>9</v>
      </c>
      <c r="R420" s="138">
        <v>2021</v>
      </c>
      <c r="S420" s="139">
        <f>IF(ISBLANK(Table1[[#This Row],[Date]]),"",Table1[[#This Row],[Date]]-WEEKDAY(Table1[[#This Row],[Date]],2)+1)</f>
        <v>44452</v>
      </c>
      <c r="T420" s="140">
        <f>IF(ISBLANK(Table1[[#This Row],[Date]]),"",DATE(Table1[[#This Row],[Date_Year]],Table1[[#This Row],[Date_Month]],1))</f>
        <v>44440</v>
      </c>
    </row>
    <row r="421" spans="2:20" ht="15.75">
      <c r="B421" s="154">
        <v>44458</v>
      </c>
      <c r="C421" s="119" t="s">
        <v>1720</v>
      </c>
      <c r="D421" s="119"/>
      <c r="E421" s="119"/>
      <c r="F421" s="155">
        <v>-30</v>
      </c>
      <c r="G421" s="133" t="str">
        <f>_xlfn.XLOOKUP(Table1[[#This Row],[Account_ID]], Accounts[ID], Accounts[Account nickname], "Unknown")</f>
        <v>Discover</v>
      </c>
      <c r="H421" s="134" t="str">
        <f>_xlfn.XLOOKUP(Table1[[#This Row],[Account_ID]], Accounts[ID], Accounts[Account'#], "Unknown")</f>
        <v>4618</v>
      </c>
      <c r="I421" s="135" t="str">
        <f>_xlfn.XLOOKUP(_xlfn.XLOOKUP(Table1[[#This Row],[Account]],Accounts[Account nickname],Accounts[Institution ID]),Institutions[ID],Institutions[Institution nickname],"Unknown")</f>
        <v>Discover</v>
      </c>
      <c r="J421" s="136" t="s">
        <v>1721</v>
      </c>
      <c r="K421" s="137" t="s">
        <v>843</v>
      </c>
      <c r="L421" s="137" t="s">
        <v>841</v>
      </c>
      <c r="M42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2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21" s="138" t="str" cm="1">
        <f t="array" ref="O421">IFERROR(INDEX(CategoriesTable[Category type],MATCH(Table1[[#This Row],[Category]],CategoriesTable[Category name],0),0),"")</f>
        <v/>
      </c>
      <c r="P421" s="138">
        <v>19</v>
      </c>
      <c r="Q421" s="138">
        <f>MONTH(Table1[[#This Row],[Date]])</f>
        <v>9</v>
      </c>
      <c r="R421" s="138">
        <v>2021</v>
      </c>
      <c r="S421" s="139">
        <f>IF(ISBLANK(Table1[[#This Row],[Date]]),"",Table1[[#This Row],[Date]]-WEEKDAY(Table1[[#This Row],[Date]],2)+1)</f>
        <v>44452</v>
      </c>
      <c r="T421" s="140">
        <f>IF(ISBLANK(Table1[[#This Row],[Date]]),"",DATE(Table1[[#This Row],[Date_Year]],Table1[[#This Row],[Date_Month]],1))</f>
        <v>44440</v>
      </c>
    </row>
    <row r="422" spans="2:20" ht="15.75">
      <c r="B422" s="154">
        <v>44458</v>
      </c>
      <c r="C422" s="119" t="s">
        <v>1385</v>
      </c>
      <c r="D422" s="119" t="s">
        <v>113</v>
      </c>
      <c r="E422" s="119"/>
      <c r="F422" s="155">
        <v>0</v>
      </c>
      <c r="G422" s="133" t="str">
        <f>_xlfn.XLOOKUP(Table1[[#This Row],[Account_ID]], Accounts[ID], Accounts[Account nickname], "Unknown")</f>
        <v>BB</v>
      </c>
      <c r="H422" s="134" t="str">
        <f>_xlfn.XLOOKUP(Table1[[#This Row],[Account_ID]], Accounts[ID], Accounts[Account'#], "Unknown")</f>
        <v>4561</v>
      </c>
      <c r="I422" s="135" t="str">
        <f>_xlfn.XLOOKUP(_xlfn.XLOOKUP(Table1[[#This Row],[Account]],Accounts[Account nickname],Accounts[Institution ID]),Institutions[ID],Institutions[Institution nickname],"Unknown")</f>
        <v>Best Buy - Citi Card</v>
      </c>
      <c r="J422" s="136" t="s">
        <v>1723</v>
      </c>
      <c r="K422" s="137" t="s">
        <v>1375</v>
      </c>
      <c r="L422" s="137" t="s">
        <v>1372</v>
      </c>
      <c r="M42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de9b1d2511bc45a9bb2d484aa9e33b31</v>
      </c>
      <c r="N42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22" s="138" t="str" cm="1">
        <f t="array" ref="O422">IFERROR(INDEX(CategoriesTable[Category type],MATCH(Table1[[#This Row],[Category]],CategoriesTable[Category name],0),0),"")</f>
        <v>Expense</v>
      </c>
      <c r="P422" s="138">
        <v>19</v>
      </c>
      <c r="Q422" s="138">
        <f>MONTH(Table1[[#This Row],[Date]])</f>
        <v>9</v>
      </c>
      <c r="R422" s="138">
        <v>2021</v>
      </c>
      <c r="S422" s="139">
        <f>IF(ISBLANK(Table1[[#This Row],[Date]]),"",Table1[[#This Row],[Date]]-WEEKDAY(Table1[[#This Row],[Date]],2)+1)</f>
        <v>44452</v>
      </c>
      <c r="T422" s="140">
        <f>IF(ISBLANK(Table1[[#This Row],[Date]]),"",DATE(Table1[[#This Row],[Date_Year]],Table1[[#This Row],[Date_Month]],1))</f>
        <v>44440</v>
      </c>
    </row>
    <row r="423" spans="2:20" ht="15.75">
      <c r="B423" s="154">
        <v>44458</v>
      </c>
      <c r="C423" s="119" t="s">
        <v>1383</v>
      </c>
      <c r="D423" s="119" t="s">
        <v>113</v>
      </c>
      <c r="E423" s="119"/>
      <c r="F423" s="155">
        <v>0</v>
      </c>
      <c r="G423" s="133" t="str">
        <f>_xlfn.XLOOKUP(Table1[[#This Row],[Account_ID]], Accounts[ID], Accounts[Account nickname], "Unknown")</f>
        <v>BB</v>
      </c>
      <c r="H423" s="134" t="str">
        <f>_xlfn.XLOOKUP(Table1[[#This Row],[Account_ID]], Accounts[ID], Accounts[Account'#], "Unknown")</f>
        <v>4561</v>
      </c>
      <c r="I423" s="135" t="str">
        <f>_xlfn.XLOOKUP(_xlfn.XLOOKUP(Table1[[#This Row],[Account]],Accounts[Account nickname],Accounts[Institution ID]),Institutions[ID],Institutions[Institution nickname],"Unknown")</f>
        <v>Best Buy - Citi Card</v>
      </c>
      <c r="J423" s="136" t="s">
        <v>1722</v>
      </c>
      <c r="K423" s="137" t="s">
        <v>1375</v>
      </c>
      <c r="L423" s="137" t="s">
        <v>1372</v>
      </c>
      <c r="M42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de9b1d2511bc45a9bb2d484aa9e33b31</v>
      </c>
      <c r="N42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23" s="138" t="str" cm="1">
        <f t="array" ref="O423">IFERROR(INDEX(CategoriesTable[Category type],MATCH(Table1[[#This Row],[Category]],CategoriesTable[Category name],0),0),"")</f>
        <v>Expense</v>
      </c>
      <c r="P423" s="138">
        <v>19</v>
      </c>
      <c r="Q423" s="138">
        <f>MONTH(Table1[[#This Row],[Date]])</f>
        <v>9</v>
      </c>
      <c r="R423" s="138">
        <v>2021</v>
      </c>
      <c r="S423" s="139">
        <f>IF(ISBLANK(Table1[[#This Row],[Date]]),"",Table1[[#This Row],[Date]]-WEEKDAY(Table1[[#This Row],[Date]],2)+1)</f>
        <v>44452</v>
      </c>
      <c r="T423" s="140">
        <f>IF(ISBLANK(Table1[[#This Row],[Date]]),"",DATE(Table1[[#This Row],[Date_Year]],Table1[[#This Row],[Date_Month]],1))</f>
        <v>44440</v>
      </c>
    </row>
    <row r="424" spans="2:20" ht="15.75">
      <c r="B424" s="154">
        <v>44458</v>
      </c>
      <c r="C424" s="119" t="s">
        <v>724</v>
      </c>
      <c r="D424" s="119"/>
      <c r="E424" s="119"/>
      <c r="F424" s="155">
        <v>-213.94</v>
      </c>
      <c r="G424" s="133" t="str">
        <f>_xlfn.XLOOKUP(Table1[[#This Row],[Account_ID]], Accounts[ID], Accounts[Account nickname], "Unknown")</f>
        <v>Discover</v>
      </c>
      <c r="H424" s="134" t="str">
        <f>_xlfn.XLOOKUP(Table1[[#This Row],[Account_ID]], Accounts[ID], Accounts[Account'#], "Unknown")</f>
        <v>4618</v>
      </c>
      <c r="I424" s="135" t="str">
        <f>_xlfn.XLOOKUP(_xlfn.XLOOKUP(Table1[[#This Row],[Account]],Accounts[Account nickname],Accounts[Institution ID]),Institutions[ID],Institutions[Institution nickname],"Unknown")</f>
        <v>Discover</v>
      </c>
      <c r="J424" s="136" t="s">
        <v>1719</v>
      </c>
      <c r="K424" s="137" t="s">
        <v>843</v>
      </c>
      <c r="L424" s="137" t="s">
        <v>841</v>
      </c>
      <c r="M42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2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24" s="138" t="str" cm="1">
        <f t="array" ref="O424">IFERROR(INDEX(CategoriesTable[Category type],MATCH(Table1[[#This Row],[Category]],CategoriesTable[Category name],0),0),"")</f>
        <v/>
      </c>
      <c r="P424" s="138">
        <v>19</v>
      </c>
      <c r="Q424" s="138">
        <f>MONTH(Table1[[#This Row],[Date]])</f>
        <v>9</v>
      </c>
      <c r="R424" s="138">
        <v>2021</v>
      </c>
      <c r="S424" s="139">
        <f>IF(ISBLANK(Table1[[#This Row],[Date]]),"",Table1[[#This Row],[Date]]-WEEKDAY(Table1[[#This Row],[Date]],2)+1)</f>
        <v>44452</v>
      </c>
      <c r="T424" s="140">
        <f>IF(ISBLANK(Table1[[#This Row],[Date]]),"",DATE(Table1[[#This Row],[Date_Year]],Table1[[#This Row],[Date_Month]],1))</f>
        <v>44440</v>
      </c>
    </row>
    <row r="425" spans="2:20" ht="15.75">
      <c r="B425" s="154">
        <v>44457</v>
      </c>
      <c r="C425" s="119" t="s">
        <v>1724</v>
      </c>
      <c r="D425" s="119"/>
      <c r="E425" s="119"/>
      <c r="F425" s="155">
        <v>-31.15</v>
      </c>
      <c r="G425" s="133" t="str">
        <f>_xlfn.XLOOKUP(Table1[[#This Row],[Account_ID]], Accounts[ID], Accounts[Account nickname], "Unknown")</f>
        <v>Discover</v>
      </c>
      <c r="H425" s="134" t="str">
        <f>_xlfn.XLOOKUP(Table1[[#This Row],[Account_ID]], Accounts[ID], Accounts[Account'#], "Unknown")</f>
        <v>4618</v>
      </c>
      <c r="I425" s="135" t="str">
        <f>_xlfn.XLOOKUP(_xlfn.XLOOKUP(Table1[[#This Row],[Account]],Accounts[Account nickname],Accounts[Institution ID]),Institutions[ID],Institutions[Institution nickname],"Unknown")</f>
        <v>Discover</v>
      </c>
      <c r="J425" s="136" t="s">
        <v>1725</v>
      </c>
      <c r="K425" s="137" t="s">
        <v>843</v>
      </c>
      <c r="L425" s="137" t="s">
        <v>841</v>
      </c>
      <c r="M42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2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25" s="138" t="str" cm="1">
        <f t="array" ref="O425">IFERROR(INDEX(CategoriesTable[Category type],MATCH(Table1[[#This Row],[Category]],CategoriesTable[Category name],0),0),"")</f>
        <v/>
      </c>
      <c r="P425" s="138">
        <v>18</v>
      </c>
      <c r="Q425" s="138">
        <f>MONTH(Table1[[#This Row],[Date]])</f>
        <v>9</v>
      </c>
      <c r="R425" s="138">
        <v>2021</v>
      </c>
      <c r="S425" s="139">
        <f>IF(ISBLANK(Table1[[#This Row],[Date]]),"",Table1[[#This Row],[Date]]-WEEKDAY(Table1[[#This Row],[Date]],2)+1)</f>
        <v>44452</v>
      </c>
      <c r="T425" s="140">
        <f>IF(ISBLANK(Table1[[#This Row],[Date]]),"",DATE(Table1[[#This Row],[Date_Year]],Table1[[#This Row],[Date_Month]],1))</f>
        <v>44440</v>
      </c>
    </row>
    <row r="426" spans="2:20" ht="15.75">
      <c r="B426" s="154">
        <v>44457</v>
      </c>
      <c r="C426" s="119" t="s">
        <v>707</v>
      </c>
      <c r="D426" s="119"/>
      <c r="E426" s="119"/>
      <c r="F426" s="155">
        <v>-4.99</v>
      </c>
      <c r="G426" s="133" t="str">
        <f>_xlfn.XLOOKUP(Table1[[#This Row],[Account_ID]], Accounts[ID], Accounts[Account nickname], "Unknown")</f>
        <v>Discover</v>
      </c>
      <c r="H426" s="134" t="str">
        <f>_xlfn.XLOOKUP(Table1[[#This Row],[Account_ID]], Accounts[ID], Accounts[Account'#], "Unknown")</f>
        <v>4618</v>
      </c>
      <c r="I426" s="135" t="str">
        <f>_xlfn.XLOOKUP(_xlfn.XLOOKUP(Table1[[#This Row],[Account]],Accounts[Account nickname],Accounts[Institution ID]),Institutions[ID],Institutions[Institution nickname],"Unknown")</f>
        <v>Discover</v>
      </c>
      <c r="J426" s="136" t="s">
        <v>1728</v>
      </c>
      <c r="K426" s="137" t="s">
        <v>843</v>
      </c>
      <c r="L426" s="137" t="s">
        <v>841</v>
      </c>
      <c r="M42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2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26" s="138" t="str" cm="1">
        <f t="array" ref="O426">IFERROR(INDEX(CategoriesTable[Category type],MATCH(Table1[[#This Row],[Category]],CategoriesTable[Category name],0),0),"")</f>
        <v/>
      </c>
      <c r="P426" s="138">
        <v>18</v>
      </c>
      <c r="Q426" s="138">
        <f>MONTH(Table1[[#This Row],[Date]])</f>
        <v>9</v>
      </c>
      <c r="R426" s="138">
        <v>2021</v>
      </c>
      <c r="S426" s="139">
        <f>IF(ISBLANK(Table1[[#This Row],[Date]]),"",Table1[[#This Row],[Date]]-WEEKDAY(Table1[[#This Row],[Date]],2)+1)</f>
        <v>44452</v>
      </c>
      <c r="T426" s="140">
        <f>IF(ISBLANK(Table1[[#This Row],[Date]]),"",DATE(Table1[[#This Row],[Date_Year]],Table1[[#This Row],[Date_Month]],1))</f>
        <v>44440</v>
      </c>
    </row>
    <row r="427" spans="2:20" ht="15.75">
      <c r="B427" s="154">
        <v>44457</v>
      </c>
      <c r="C427" s="119" t="s">
        <v>1729</v>
      </c>
      <c r="D427" s="119"/>
      <c r="E427" s="119"/>
      <c r="F427" s="155">
        <v>-15.95</v>
      </c>
      <c r="G427" s="133" t="str">
        <f>_xlfn.XLOOKUP(Table1[[#This Row],[Account_ID]], Accounts[ID], Accounts[Account nickname], "Unknown")</f>
        <v>Discover</v>
      </c>
      <c r="H427" s="134" t="str">
        <f>_xlfn.XLOOKUP(Table1[[#This Row],[Account_ID]], Accounts[ID], Accounts[Account'#], "Unknown")</f>
        <v>4618</v>
      </c>
      <c r="I427" s="135" t="str">
        <f>_xlfn.XLOOKUP(_xlfn.XLOOKUP(Table1[[#This Row],[Account]],Accounts[Account nickname],Accounts[Institution ID]),Institutions[ID],Institutions[Institution nickname],"Unknown")</f>
        <v>Discover</v>
      </c>
      <c r="J427" s="136" t="s">
        <v>1730</v>
      </c>
      <c r="K427" s="137" t="s">
        <v>843</v>
      </c>
      <c r="L427" s="137" t="s">
        <v>841</v>
      </c>
      <c r="M42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2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27" s="138" t="str" cm="1">
        <f t="array" ref="O427">IFERROR(INDEX(CategoriesTable[Category type],MATCH(Table1[[#This Row],[Category]],CategoriesTable[Category name],0),0),"")</f>
        <v/>
      </c>
      <c r="P427" s="138">
        <v>18</v>
      </c>
      <c r="Q427" s="138">
        <f>MONTH(Table1[[#This Row],[Date]])</f>
        <v>9</v>
      </c>
      <c r="R427" s="138">
        <v>2021</v>
      </c>
      <c r="S427" s="139">
        <f>IF(ISBLANK(Table1[[#This Row],[Date]]),"",Table1[[#This Row],[Date]]-WEEKDAY(Table1[[#This Row],[Date]],2)+1)</f>
        <v>44452</v>
      </c>
      <c r="T427" s="140">
        <f>IF(ISBLANK(Table1[[#This Row],[Date]]),"",DATE(Table1[[#This Row],[Date_Year]],Table1[[#This Row],[Date_Month]],1))</f>
        <v>44440</v>
      </c>
    </row>
    <row r="428" spans="2:20" ht="15.75">
      <c r="B428" s="154">
        <v>44457</v>
      </c>
      <c r="C428" s="119" t="s">
        <v>693</v>
      </c>
      <c r="D428" s="119"/>
      <c r="E428" s="119"/>
      <c r="F428" s="155">
        <v>-60</v>
      </c>
      <c r="G428" s="133" t="str">
        <f>_xlfn.XLOOKUP(Table1[[#This Row],[Account_ID]], Accounts[ID], Accounts[Account nickname], "Unknown")</f>
        <v>WF</v>
      </c>
      <c r="H428" s="134" t="str">
        <f>_xlfn.XLOOKUP(Table1[[#This Row],[Account_ID]], Accounts[ID], Accounts[Account'#], "Unknown")</f>
        <v>4636</v>
      </c>
      <c r="I428" s="135" t="str">
        <f>_xlfn.XLOOKUP(_xlfn.XLOOKUP(Table1[[#This Row],[Account]],Accounts[Account nickname],Accounts[Institution ID]),Institutions[ID],Institutions[Institution nickname],"Unknown")</f>
        <v>Wells Fargo</v>
      </c>
      <c r="J428" s="136" t="s">
        <v>1028</v>
      </c>
      <c r="K428" s="137" t="s">
        <v>808</v>
      </c>
      <c r="L428" s="137" t="s">
        <v>807</v>
      </c>
      <c r="M42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2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28" s="138" t="str" cm="1">
        <f t="array" ref="O428">IFERROR(INDEX(CategoriesTable[Category type],MATCH(Table1[[#This Row],[Category]],CategoriesTable[Category name],0),0),"")</f>
        <v/>
      </c>
      <c r="P428" s="138">
        <v>18</v>
      </c>
      <c r="Q428" s="138">
        <f>MONTH(Table1[[#This Row],[Date]])</f>
        <v>9</v>
      </c>
      <c r="R428" s="138">
        <v>2021</v>
      </c>
      <c r="S428" s="139">
        <f>IF(ISBLANK(Table1[[#This Row],[Date]]),"",Table1[[#This Row],[Date]]-WEEKDAY(Table1[[#This Row],[Date]],2)+1)</f>
        <v>44452</v>
      </c>
      <c r="T428" s="140">
        <f>IF(ISBLANK(Table1[[#This Row],[Date]]),"",DATE(Table1[[#This Row],[Date_Year]],Table1[[#This Row],[Date_Month]],1))</f>
        <v>44440</v>
      </c>
    </row>
    <row r="429" spans="2:20" ht="15.75">
      <c r="B429" s="154">
        <v>44457</v>
      </c>
      <c r="C429" s="119" t="s">
        <v>1726</v>
      </c>
      <c r="D429" s="119"/>
      <c r="E429" s="119"/>
      <c r="F429" s="155">
        <v>-10.67</v>
      </c>
      <c r="G429" s="133" t="str">
        <f>_xlfn.XLOOKUP(Table1[[#This Row],[Account_ID]], Accounts[ID], Accounts[Account nickname], "Unknown")</f>
        <v>Discover</v>
      </c>
      <c r="H429" s="134" t="str">
        <f>_xlfn.XLOOKUP(Table1[[#This Row],[Account_ID]], Accounts[ID], Accounts[Account'#], "Unknown")</f>
        <v>4618</v>
      </c>
      <c r="I429" s="135" t="str">
        <f>_xlfn.XLOOKUP(_xlfn.XLOOKUP(Table1[[#This Row],[Account]],Accounts[Account nickname],Accounts[Institution ID]),Institutions[ID],Institutions[Institution nickname],"Unknown")</f>
        <v>Discover</v>
      </c>
      <c r="J429" s="136" t="s">
        <v>1727</v>
      </c>
      <c r="K429" s="137" t="s">
        <v>843</v>
      </c>
      <c r="L429" s="137" t="s">
        <v>841</v>
      </c>
      <c r="M42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2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29" s="138" t="str" cm="1">
        <f t="array" ref="O429">IFERROR(INDEX(CategoriesTable[Category type],MATCH(Table1[[#This Row],[Category]],CategoriesTable[Category name],0),0),"")</f>
        <v/>
      </c>
      <c r="P429" s="138">
        <v>18</v>
      </c>
      <c r="Q429" s="138">
        <f>MONTH(Table1[[#This Row],[Date]])</f>
        <v>9</v>
      </c>
      <c r="R429" s="138">
        <v>2021</v>
      </c>
      <c r="S429" s="139">
        <f>IF(ISBLANK(Table1[[#This Row],[Date]]),"",Table1[[#This Row],[Date]]-WEEKDAY(Table1[[#This Row],[Date]],2)+1)</f>
        <v>44452</v>
      </c>
      <c r="T429" s="140">
        <f>IF(ISBLANK(Table1[[#This Row],[Date]]),"",DATE(Table1[[#This Row],[Date_Year]],Table1[[#This Row],[Date_Month]],1))</f>
        <v>44440</v>
      </c>
    </row>
    <row r="430" spans="2:20" ht="15.75">
      <c r="B430" s="154">
        <v>44456</v>
      </c>
      <c r="C430" s="119" t="s">
        <v>922</v>
      </c>
      <c r="D430" s="119"/>
      <c r="E430" s="119"/>
      <c r="F430" s="155">
        <v>-21.78</v>
      </c>
      <c r="G430" s="133" t="str">
        <f>_xlfn.XLOOKUP(Table1[[#This Row],[Account_ID]], Accounts[ID], Accounts[Account nickname], "Unknown")</f>
        <v>Discover</v>
      </c>
      <c r="H430" s="134" t="str">
        <f>_xlfn.XLOOKUP(Table1[[#This Row],[Account_ID]], Accounts[ID], Accounts[Account'#], "Unknown")</f>
        <v>4618</v>
      </c>
      <c r="I430" s="135" t="str">
        <f>_xlfn.XLOOKUP(_xlfn.XLOOKUP(Table1[[#This Row],[Account]],Accounts[Account nickname],Accounts[Institution ID]),Institutions[ID],Institutions[Institution nickname],"Unknown")</f>
        <v>Discover</v>
      </c>
      <c r="J430" s="136" t="s">
        <v>1738</v>
      </c>
      <c r="K430" s="137" t="s">
        <v>843</v>
      </c>
      <c r="L430" s="137" t="s">
        <v>841</v>
      </c>
      <c r="M43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3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30" s="138" t="str" cm="1">
        <f t="array" ref="O430">IFERROR(INDEX(CategoriesTable[Category type],MATCH(Table1[[#This Row],[Category]],CategoriesTable[Category name],0),0),"")</f>
        <v/>
      </c>
      <c r="P430" s="138">
        <v>17</v>
      </c>
      <c r="Q430" s="138">
        <f>MONTH(Table1[[#This Row],[Date]])</f>
        <v>9</v>
      </c>
      <c r="R430" s="138">
        <v>2021</v>
      </c>
      <c r="S430" s="139">
        <f>IF(ISBLANK(Table1[[#This Row],[Date]]),"",Table1[[#This Row],[Date]]-WEEKDAY(Table1[[#This Row],[Date]],2)+1)</f>
        <v>44452</v>
      </c>
      <c r="T430" s="140">
        <f>IF(ISBLANK(Table1[[#This Row],[Date]]),"",DATE(Table1[[#This Row],[Date_Year]],Table1[[#This Row],[Date_Month]],1))</f>
        <v>44440</v>
      </c>
    </row>
    <row r="431" spans="2:20" ht="15.75">
      <c r="B431" s="154">
        <v>44456</v>
      </c>
      <c r="C431" s="119" t="s">
        <v>922</v>
      </c>
      <c r="D431" s="119"/>
      <c r="E431" s="119"/>
      <c r="F431" s="155">
        <v>-5.78</v>
      </c>
      <c r="G431" s="133" t="str">
        <f>_xlfn.XLOOKUP(Table1[[#This Row],[Account_ID]], Accounts[ID], Accounts[Account nickname], "Unknown")</f>
        <v>Discover</v>
      </c>
      <c r="H431" s="134" t="str">
        <f>_xlfn.XLOOKUP(Table1[[#This Row],[Account_ID]], Accounts[ID], Accounts[Account'#], "Unknown")</f>
        <v>4618</v>
      </c>
      <c r="I431" s="135" t="str">
        <f>_xlfn.XLOOKUP(_xlfn.XLOOKUP(Table1[[#This Row],[Account]],Accounts[Account nickname],Accounts[Institution ID]),Institutions[ID],Institutions[Institution nickname],"Unknown")</f>
        <v>Discover</v>
      </c>
      <c r="J431" s="136" t="s">
        <v>1737</v>
      </c>
      <c r="K431" s="137" t="s">
        <v>843</v>
      </c>
      <c r="L431" s="137" t="s">
        <v>841</v>
      </c>
      <c r="M43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3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31" s="138" t="str" cm="1">
        <f t="array" ref="O431">IFERROR(INDEX(CategoriesTable[Category type],MATCH(Table1[[#This Row],[Category]],CategoriesTable[Category name],0),0),"")</f>
        <v/>
      </c>
      <c r="P431" s="138">
        <v>17</v>
      </c>
      <c r="Q431" s="138">
        <f>MONTH(Table1[[#This Row],[Date]])</f>
        <v>9</v>
      </c>
      <c r="R431" s="138">
        <v>2021</v>
      </c>
      <c r="S431" s="139">
        <f>IF(ISBLANK(Table1[[#This Row],[Date]]),"",Table1[[#This Row],[Date]]-WEEKDAY(Table1[[#This Row],[Date]],2)+1)</f>
        <v>44452</v>
      </c>
      <c r="T431" s="140">
        <f>IF(ISBLANK(Table1[[#This Row],[Date]]),"",DATE(Table1[[#This Row],[Date_Year]],Table1[[#This Row],[Date_Month]],1))</f>
        <v>44440</v>
      </c>
    </row>
    <row r="432" spans="2:20" ht="15.75">
      <c r="B432" s="154">
        <v>44456</v>
      </c>
      <c r="C432" s="119" t="s">
        <v>699</v>
      </c>
      <c r="D432" s="119"/>
      <c r="E432" s="119"/>
      <c r="F432" s="155">
        <v>-1.0900000000000001</v>
      </c>
      <c r="G432" s="133" t="str">
        <f>_xlfn.XLOOKUP(Table1[[#This Row],[Account_ID]], Accounts[ID], Accounts[Account nickname], "Unknown")</f>
        <v>Discover</v>
      </c>
      <c r="H432" s="134" t="str">
        <f>_xlfn.XLOOKUP(Table1[[#This Row],[Account_ID]], Accounts[ID], Accounts[Account'#], "Unknown")</f>
        <v>4618</v>
      </c>
      <c r="I432" s="135" t="str">
        <f>_xlfn.XLOOKUP(_xlfn.XLOOKUP(Table1[[#This Row],[Account]],Accounts[Account nickname],Accounts[Institution ID]),Institutions[ID],Institutions[Institution nickname],"Unknown")</f>
        <v>Discover</v>
      </c>
      <c r="J432" s="136" t="s">
        <v>1731</v>
      </c>
      <c r="K432" s="137" t="s">
        <v>843</v>
      </c>
      <c r="L432" s="137" t="s">
        <v>841</v>
      </c>
      <c r="M43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3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32" s="138" t="str" cm="1">
        <f t="array" ref="O432">IFERROR(INDEX(CategoriesTable[Category type],MATCH(Table1[[#This Row],[Category]],CategoriesTable[Category name],0),0),"")</f>
        <v/>
      </c>
      <c r="P432" s="138">
        <v>17</v>
      </c>
      <c r="Q432" s="138">
        <f>MONTH(Table1[[#This Row],[Date]])</f>
        <v>9</v>
      </c>
      <c r="R432" s="138">
        <v>2021</v>
      </c>
      <c r="S432" s="139">
        <f>IF(ISBLANK(Table1[[#This Row],[Date]]),"",Table1[[#This Row],[Date]]-WEEKDAY(Table1[[#This Row],[Date]],2)+1)</f>
        <v>44452</v>
      </c>
      <c r="T432" s="140">
        <f>IF(ISBLANK(Table1[[#This Row],[Date]]),"",DATE(Table1[[#This Row],[Date_Year]],Table1[[#This Row],[Date_Month]],1))</f>
        <v>44440</v>
      </c>
    </row>
    <row r="433" spans="2:20" ht="15.75">
      <c r="B433" s="154">
        <v>44456</v>
      </c>
      <c r="C433" s="119" t="s">
        <v>910</v>
      </c>
      <c r="D433" s="119"/>
      <c r="E433" s="119"/>
      <c r="F433" s="155">
        <v>-5.29</v>
      </c>
      <c r="G433" s="133" t="str">
        <f>_xlfn.XLOOKUP(Table1[[#This Row],[Account_ID]], Accounts[ID], Accounts[Account nickname], "Unknown")</f>
        <v>Discover</v>
      </c>
      <c r="H433" s="134" t="str">
        <f>_xlfn.XLOOKUP(Table1[[#This Row],[Account_ID]], Accounts[ID], Accounts[Account'#], "Unknown")</f>
        <v>4618</v>
      </c>
      <c r="I433" s="135" t="str">
        <f>_xlfn.XLOOKUP(_xlfn.XLOOKUP(Table1[[#This Row],[Account]],Accounts[Account nickname],Accounts[Institution ID]),Institutions[ID],Institutions[Institution nickname],"Unknown")</f>
        <v>Discover</v>
      </c>
      <c r="J433" s="136" t="s">
        <v>1736</v>
      </c>
      <c r="K433" s="137" t="s">
        <v>843</v>
      </c>
      <c r="L433" s="137" t="s">
        <v>841</v>
      </c>
      <c r="M43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3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33" s="138" t="str" cm="1">
        <f t="array" ref="O433">IFERROR(INDEX(CategoriesTable[Category type],MATCH(Table1[[#This Row],[Category]],CategoriesTable[Category name],0),0),"")</f>
        <v/>
      </c>
      <c r="P433" s="138">
        <v>17</v>
      </c>
      <c r="Q433" s="138">
        <f>MONTH(Table1[[#This Row],[Date]])</f>
        <v>9</v>
      </c>
      <c r="R433" s="138">
        <v>2021</v>
      </c>
      <c r="S433" s="139">
        <f>IF(ISBLANK(Table1[[#This Row],[Date]]),"",Table1[[#This Row],[Date]]-WEEKDAY(Table1[[#This Row],[Date]],2)+1)</f>
        <v>44452</v>
      </c>
      <c r="T433" s="140">
        <f>IF(ISBLANK(Table1[[#This Row],[Date]]),"",DATE(Table1[[#This Row],[Date_Year]],Table1[[#This Row],[Date_Month]],1))</f>
        <v>44440</v>
      </c>
    </row>
    <row r="434" spans="2:20" ht="15.75">
      <c r="B434" s="154">
        <v>44456</v>
      </c>
      <c r="C434" s="119" t="s">
        <v>1742</v>
      </c>
      <c r="D434" s="119"/>
      <c r="E434" s="119"/>
      <c r="F434" s="155">
        <v>-50</v>
      </c>
      <c r="G434" s="133" t="str">
        <f>_xlfn.XLOOKUP(Table1[[#This Row],[Account_ID]], Accounts[ID], Accounts[Account nickname], "Unknown")</f>
        <v>Discover</v>
      </c>
      <c r="H434" s="134" t="str">
        <f>_xlfn.XLOOKUP(Table1[[#This Row],[Account_ID]], Accounts[ID], Accounts[Account'#], "Unknown")</f>
        <v>4618</v>
      </c>
      <c r="I434" s="135" t="str">
        <f>_xlfn.XLOOKUP(_xlfn.XLOOKUP(Table1[[#This Row],[Account]],Accounts[Account nickname],Accounts[Institution ID]),Institutions[ID],Institutions[Institution nickname],"Unknown")</f>
        <v>Discover</v>
      </c>
      <c r="J434" s="152" t="s">
        <v>1743</v>
      </c>
      <c r="K434" s="137" t="s">
        <v>843</v>
      </c>
      <c r="L434" s="137" t="s">
        <v>841</v>
      </c>
      <c r="M43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3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34" s="138" t="str" cm="1">
        <f t="array" ref="O434">IFERROR(INDEX(CategoriesTable[Category type],MATCH(Table1[[#This Row],[Category]],CategoriesTable[Category name],0),0),"")</f>
        <v/>
      </c>
      <c r="P434" s="138">
        <v>17</v>
      </c>
      <c r="Q434" s="138">
        <f>MONTH(Table1[[#This Row],[Date]])</f>
        <v>9</v>
      </c>
      <c r="R434" s="138">
        <v>2021</v>
      </c>
      <c r="S434" s="139">
        <f>IF(ISBLANK(Table1[[#This Row],[Date]]),"",Table1[[#This Row],[Date]]-WEEKDAY(Table1[[#This Row],[Date]],2)+1)</f>
        <v>44452</v>
      </c>
      <c r="T434" s="140">
        <f>IF(ISBLANK(Table1[[#This Row],[Date]]),"",DATE(Table1[[#This Row],[Date_Year]],Table1[[#This Row],[Date_Month]],1))</f>
        <v>44440</v>
      </c>
    </row>
    <row r="435" spans="2:20" ht="15.75">
      <c r="B435" s="154">
        <v>44456</v>
      </c>
      <c r="C435" s="119" t="s">
        <v>1732</v>
      </c>
      <c r="D435" s="119"/>
      <c r="E435" s="119"/>
      <c r="F435" s="155">
        <v>-59.57</v>
      </c>
      <c r="G435" s="133" t="str">
        <f>_xlfn.XLOOKUP(Table1[[#This Row],[Account_ID]], Accounts[ID], Accounts[Account nickname], "Unknown")</f>
        <v>Discover</v>
      </c>
      <c r="H435" s="134" t="str">
        <f>_xlfn.XLOOKUP(Table1[[#This Row],[Account_ID]], Accounts[ID], Accounts[Account'#], "Unknown")</f>
        <v>4618</v>
      </c>
      <c r="I435" s="135" t="str">
        <f>_xlfn.XLOOKUP(_xlfn.XLOOKUP(Table1[[#This Row],[Account]],Accounts[Account nickname],Accounts[Institution ID]),Institutions[ID],Institutions[Institution nickname],"Unknown")</f>
        <v>Discover</v>
      </c>
      <c r="J435" s="136" t="s">
        <v>1733</v>
      </c>
      <c r="K435" s="137" t="s">
        <v>843</v>
      </c>
      <c r="L435" s="137" t="s">
        <v>841</v>
      </c>
      <c r="M43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3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35" s="138" t="str" cm="1">
        <f t="array" ref="O435">IFERROR(INDEX(CategoriesTable[Category type],MATCH(Table1[[#This Row],[Category]],CategoriesTable[Category name],0),0),"")</f>
        <v/>
      </c>
      <c r="P435" s="138">
        <v>17</v>
      </c>
      <c r="Q435" s="138">
        <f>MONTH(Table1[[#This Row],[Date]])</f>
        <v>9</v>
      </c>
      <c r="R435" s="138">
        <v>2021</v>
      </c>
      <c r="S435" s="139">
        <f>IF(ISBLANK(Table1[[#This Row],[Date]]),"",Table1[[#This Row],[Date]]-WEEKDAY(Table1[[#This Row],[Date]],2)+1)</f>
        <v>44452</v>
      </c>
      <c r="T435" s="140">
        <f>IF(ISBLANK(Table1[[#This Row],[Date]]),"",DATE(Table1[[#This Row],[Date_Year]],Table1[[#This Row],[Date_Month]],1))</f>
        <v>44440</v>
      </c>
    </row>
    <row r="436" spans="2:20" ht="15.75">
      <c r="B436" s="154">
        <v>44456</v>
      </c>
      <c r="C436" s="119" t="s">
        <v>1744</v>
      </c>
      <c r="D436" s="119"/>
      <c r="E436" s="119"/>
      <c r="F436" s="155">
        <v>-20</v>
      </c>
      <c r="G436" s="133" t="str">
        <f>_xlfn.XLOOKUP(Table1[[#This Row],[Account_ID]], Accounts[ID], Accounts[Account nickname], "Unknown")</f>
        <v>Discover</v>
      </c>
      <c r="H436" s="134" t="str">
        <f>_xlfn.XLOOKUP(Table1[[#This Row],[Account_ID]], Accounts[ID], Accounts[Account'#], "Unknown")</f>
        <v>4618</v>
      </c>
      <c r="I436" s="135" t="str">
        <f>_xlfn.XLOOKUP(_xlfn.XLOOKUP(Table1[[#This Row],[Account]],Accounts[Account nickname],Accounts[Institution ID]),Institutions[ID],Institutions[Institution nickname],"Unknown")</f>
        <v>Discover</v>
      </c>
      <c r="J436" s="136" t="s">
        <v>1745</v>
      </c>
      <c r="K436" s="137" t="s">
        <v>843</v>
      </c>
      <c r="L436" s="137" t="s">
        <v>841</v>
      </c>
      <c r="M43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3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36" s="138" t="str" cm="1">
        <f t="array" ref="O436">IFERROR(INDEX(CategoriesTable[Category type],MATCH(Table1[[#This Row],[Category]],CategoriesTable[Category name],0),0),"")</f>
        <v/>
      </c>
      <c r="P436" s="138">
        <v>17</v>
      </c>
      <c r="Q436" s="138">
        <f>MONTH(Table1[[#This Row],[Date]])</f>
        <v>9</v>
      </c>
      <c r="R436" s="138">
        <v>2021</v>
      </c>
      <c r="S436" s="139">
        <f>IF(ISBLANK(Table1[[#This Row],[Date]]),"",Table1[[#This Row],[Date]]-WEEKDAY(Table1[[#This Row],[Date]],2)+1)</f>
        <v>44452</v>
      </c>
      <c r="T436" s="140">
        <f>IF(ISBLANK(Table1[[#This Row],[Date]]),"",DATE(Table1[[#This Row],[Date_Year]],Table1[[#This Row],[Date_Month]],1))</f>
        <v>44440</v>
      </c>
    </row>
    <row r="437" spans="2:20" ht="15.75">
      <c r="B437" s="154">
        <v>44456</v>
      </c>
      <c r="C437" s="119" t="s">
        <v>1734</v>
      </c>
      <c r="D437" s="119"/>
      <c r="E437" s="119"/>
      <c r="F437" s="155">
        <v>-86.74</v>
      </c>
      <c r="G437" s="133" t="str">
        <f>_xlfn.XLOOKUP(Table1[[#This Row],[Account_ID]], Accounts[ID], Accounts[Account nickname], "Unknown")</f>
        <v>Discover</v>
      </c>
      <c r="H437" s="134" t="str">
        <f>_xlfn.XLOOKUP(Table1[[#This Row],[Account_ID]], Accounts[ID], Accounts[Account'#], "Unknown")</f>
        <v>4618</v>
      </c>
      <c r="I437" s="135" t="str">
        <f>_xlfn.XLOOKUP(_xlfn.XLOOKUP(Table1[[#This Row],[Account]],Accounts[Account nickname],Accounts[Institution ID]),Institutions[ID],Institutions[Institution nickname],"Unknown")</f>
        <v>Discover</v>
      </c>
      <c r="J437" s="136" t="s">
        <v>1735</v>
      </c>
      <c r="K437" s="137" t="s">
        <v>843</v>
      </c>
      <c r="L437" s="137" t="s">
        <v>841</v>
      </c>
      <c r="M43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3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37" s="138" t="str" cm="1">
        <f t="array" ref="O437">IFERROR(INDEX(CategoriesTable[Category type],MATCH(Table1[[#This Row],[Category]],CategoriesTable[Category name],0),0),"")</f>
        <v/>
      </c>
      <c r="P437" s="138">
        <v>17</v>
      </c>
      <c r="Q437" s="138">
        <f>MONTH(Table1[[#This Row],[Date]])</f>
        <v>9</v>
      </c>
      <c r="R437" s="138">
        <v>2021</v>
      </c>
      <c r="S437" s="139">
        <f>IF(ISBLANK(Table1[[#This Row],[Date]]),"",Table1[[#This Row],[Date]]-WEEKDAY(Table1[[#This Row],[Date]],2)+1)</f>
        <v>44452</v>
      </c>
      <c r="T437" s="140">
        <f>IF(ISBLANK(Table1[[#This Row],[Date]]),"",DATE(Table1[[#This Row],[Date_Year]],Table1[[#This Row],[Date_Month]],1))</f>
        <v>44440</v>
      </c>
    </row>
    <row r="438" spans="2:20" ht="15.75">
      <c r="B438" s="154">
        <v>44456</v>
      </c>
      <c r="C438" s="119" t="s">
        <v>1746</v>
      </c>
      <c r="D438" s="119"/>
      <c r="E438" s="119"/>
      <c r="F438" s="155">
        <v>-30</v>
      </c>
      <c r="G438" s="133" t="str">
        <f>_xlfn.XLOOKUP(Table1[[#This Row],[Account_ID]], Accounts[ID], Accounts[Account nickname], "Unknown")</f>
        <v>Discover</v>
      </c>
      <c r="H438" s="134" t="str">
        <f>_xlfn.XLOOKUP(Table1[[#This Row],[Account_ID]], Accounts[ID], Accounts[Account'#], "Unknown")</f>
        <v>4618</v>
      </c>
      <c r="I438" s="135" t="str">
        <f>_xlfn.XLOOKUP(_xlfn.XLOOKUP(Table1[[#This Row],[Account]],Accounts[Account nickname],Accounts[Institution ID]),Institutions[ID],Institutions[Institution nickname],"Unknown")</f>
        <v>Discover</v>
      </c>
      <c r="J438" s="136" t="s">
        <v>1747</v>
      </c>
      <c r="K438" s="137" t="s">
        <v>843</v>
      </c>
      <c r="L438" s="137" t="s">
        <v>841</v>
      </c>
      <c r="M43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3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38" s="138" t="str" cm="1">
        <f t="array" ref="O438">IFERROR(INDEX(CategoriesTable[Category type],MATCH(Table1[[#This Row],[Category]],CategoriesTable[Category name],0),0),"")</f>
        <v/>
      </c>
      <c r="P438" s="138">
        <v>17</v>
      </c>
      <c r="Q438" s="138">
        <f>MONTH(Table1[[#This Row],[Date]])</f>
        <v>9</v>
      </c>
      <c r="R438" s="138">
        <v>2021</v>
      </c>
      <c r="S438" s="139">
        <f>IF(ISBLANK(Table1[[#This Row],[Date]]),"",Table1[[#This Row],[Date]]-WEEKDAY(Table1[[#This Row],[Date]],2)+1)</f>
        <v>44452</v>
      </c>
      <c r="T438" s="140">
        <f>IF(ISBLANK(Table1[[#This Row],[Date]]),"",DATE(Table1[[#This Row],[Date_Year]],Table1[[#This Row],[Date_Month]],1))</f>
        <v>44440</v>
      </c>
    </row>
    <row r="439" spans="2:20" ht="15.75">
      <c r="B439" s="154">
        <v>44456</v>
      </c>
      <c r="C439" s="119" t="s">
        <v>1740</v>
      </c>
      <c r="D439" s="119"/>
      <c r="E439" s="119"/>
      <c r="F439" s="155">
        <v>-8.6199999999999992</v>
      </c>
      <c r="G439" s="133" t="str">
        <f>_xlfn.XLOOKUP(Table1[[#This Row],[Account_ID]], Accounts[ID], Accounts[Account nickname], "Unknown")</f>
        <v>Discover</v>
      </c>
      <c r="H439" s="134" t="str">
        <f>_xlfn.XLOOKUP(Table1[[#This Row],[Account_ID]], Accounts[ID], Accounts[Account'#], "Unknown")</f>
        <v>4618</v>
      </c>
      <c r="I439" s="135" t="str">
        <f>_xlfn.XLOOKUP(_xlfn.XLOOKUP(Table1[[#This Row],[Account]],Accounts[Account nickname],Accounts[Institution ID]),Institutions[ID],Institutions[Institution nickname],"Unknown")</f>
        <v>Discover</v>
      </c>
      <c r="J439" s="136" t="s">
        <v>1741</v>
      </c>
      <c r="K439" s="137" t="s">
        <v>843</v>
      </c>
      <c r="L439" s="137" t="s">
        <v>841</v>
      </c>
      <c r="M43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3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39" s="138" t="str" cm="1">
        <f t="array" ref="O439">IFERROR(INDEX(CategoriesTable[Category type],MATCH(Table1[[#This Row],[Category]],CategoriesTable[Category name],0),0),"")</f>
        <v/>
      </c>
      <c r="P439" s="138">
        <v>17</v>
      </c>
      <c r="Q439" s="138">
        <f>MONTH(Table1[[#This Row],[Date]])</f>
        <v>9</v>
      </c>
      <c r="R439" s="138">
        <v>2021</v>
      </c>
      <c r="S439" s="139">
        <f>IF(ISBLANK(Table1[[#This Row],[Date]]),"",Table1[[#This Row],[Date]]-WEEKDAY(Table1[[#This Row],[Date]],2)+1)</f>
        <v>44452</v>
      </c>
      <c r="T439" s="140">
        <f>IF(ISBLANK(Table1[[#This Row],[Date]]),"",DATE(Table1[[#This Row],[Date_Year]],Table1[[#This Row],[Date_Month]],1))</f>
        <v>44440</v>
      </c>
    </row>
    <row r="440" spans="2:20" ht="15.75">
      <c r="B440" s="154">
        <v>44456</v>
      </c>
      <c r="C440" s="119" t="s">
        <v>1748</v>
      </c>
      <c r="D440" s="119"/>
      <c r="E440" s="119"/>
      <c r="F440" s="155">
        <v>-30</v>
      </c>
      <c r="G440" s="133" t="str">
        <f>_xlfn.XLOOKUP(Table1[[#This Row],[Account_ID]], Accounts[ID], Accounts[Account nickname], "Unknown")</f>
        <v>Discover</v>
      </c>
      <c r="H440" s="134" t="str">
        <f>_xlfn.XLOOKUP(Table1[[#This Row],[Account_ID]], Accounts[ID], Accounts[Account'#], "Unknown")</f>
        <v>4618</v>
      </c>
      <c r="I440" s="135" t="str">
        <f>_xlfn.XLOOKUP(_xlfn.XLOOKUP(Table1[[#This Row],[Account]],Accounts[Account nickname],Accounts[Institution ID]),Institutions[ID],Institutions[Institution nickname],"Unknown")</f>
        <v>Discover</v>
      </c>
      <c r="J440" s="136" t="s">
        <v>1749</v>
      </c>
      <c r="K440" s="137" t="s">
        <v>843</v>
      </c>
      <c r="L440" s="137" t="s">
        <v>841</v>
      </c>
      <c r="M44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4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40" s="138" t="str" cm="1">
        <f t="array" ref="O440">IFERROR(INDEX(CategoriesTable[Category type],MATCH(Table1[[#This Row],[Category]],CategoriesTable[Category name],0),0),"")</f>
        <v/>
      </c>
      <c r="P440" s="138">
        <v>17</v>
      </c>
      <c r="Q440" s="138">
        <f>MONTH(Table1[[#This Row],[Date]])</f>
        <v>9</v>
      </c>
      <c r="R440" s="138">
        <v>2021</v>
      </c>
      <c r="S440" s="139">
        <f>IF(ISBLANK(Table1[[#This Row],[Date]]),"",Table1[[#This Row],[Date]]-WEEKDAY(Table1[[#This Row],[Date]],2)+1)</f>
        <v>44452</v>
      </c>
      <c r="T440" s="140">
        <f>IF(ISBLANK(Table1[[#This Row],[Date]]),"",DATE(Table1[[#This Row],[Date_Year]],Table1[[#This Row],[Date_Month]],1))</f>
        <v>44440</v>
      </c>
    </row>
    <row r="441" spans="2:20" ht="15.75">
      <c r="B441" s="154">
        <v>44456</v>
      </c>
      <c r="C441" s="119" t="s">
        <v>845</v>
      </c>
      <c r="D441" s="119"/>
      <c r="E441" s="119"/>
      <c r="F441" s="155">
        <v>925.99</v>
      </c>
      <c r="G441" s="133" t="str">
        <f>_xlfn.XLOOKUP(Table1[[#This Row],[Account_ID]], Accounts[ID], Accounts[Account nickname], "Unknown")</f>
        <v>Discover</v>
      </c>
      <c r="H441" s="134" t="str">
        <f>_xlfn.XLOOKUP(Table1[[#This Row],[Account_ID]], Accounts[ID], Accounts[Account'#], "Unknown")</f>
        <v>4618</v>
      </c>
      <c r="I441" s="135" t="str">
        <f>_xlfn.XLOOKUP(_xlfn.XLOOKUP(Table1[[#This Row],[Account]],Accounts[Account nickname],Accounts[Institution ID]),Institutions[ID],Institutions[Institution nickname],"Unknown")</f>
        <v>Discover</v>
      </c>
      <c r="J441" s="136" t="s">
        <v>1739</v>
      </c>
      <c r="K441" s="137" t="s">
        <v>843</v>
      </c>
      <c r="L441" s="137" t="s">
        <v>841</v>
      </c>
      <c r="M44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4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41" s="138" t="str" cm="1">
        <f t="array" ref="O441">IFERROR(INDEX(CategoriesTable[Category type],MATCH(Table1[[#This Row],[Category]],CategoriesTable[Category name],0),0),"")</f>
        <v/>
      </c>
      <c r="P441" s="138">
        <v>17</v>
      </c>
      <c r="Q441" s="138">
        <f>MONTH(Table1[[#This Row],[Date]])</f>
        <v>9</v>
      </c>
      <c r="R441" s="138">
        <v>2021</v>
      </c>
      <c r="S441" s="139">
        <f>IF(ISBLANK(Table1[[#This Row],[Date]]),"",Table1[[#This Row],[Date]]-WEEKDAY(Table1[[#This Row],[Date]],2)+1)</f>
        <v>44452</v>
      </c>
      <c r="T441" s="140">
        <f>IF(ISBLANK(Table1[[#This Row],[Date]]),"",DATE(Table1[[#This Row],[Date_Year]],Table1[[#This Row],[Date_Month]],1))</f>
        <v>44440</v>
      </c>
    </row>
    <row r="442" spans="2:20" ht="15.75">
      <c r="B442" s="154">
        <v>44455</v>
      </c>
      <c r="C442" s="119" t="s">
        <v>1758</v>
      </c>
      <c r="D442" s="119"/>
      <c r="E442" s="119"/>
      <c r="F442" s="155">
        <v>-9.6300000000000008</v>
      </c>
      <c r="G442" s="133" t="str">
        <f>_xlfn.XLOOKUP(Table1[[#This Row],[Account_ID]], Accounts[ID], Accounts[Account nickname], "Unknown")</f>
        <v>Discover</v>
      </c>
      <c r="H442" s="134" t="str">
        <f>_xlfn.XLOOKUP(Table1[[#This Row],[Account_ID]], Accounts[ID], Accounts[Account'#], "Unknown")</f>
        <v>4618</v>
      </c>
      <c r="I442" s="135" t="str">
        <f>_xlfn.XLOOKUP(_xlfn.XLOOKUP(Table1[[#This Row],[Account]],Accounts[Account nickname],Accounts[Institution ID]),Institutions[ID],Institutions[Institution nickname],"Unknown")</f>
        <v>Discover</v>
      </c>
      <c r="J442" s="136" t="s">
        <v>1759</v>
      </c>
      <c r="K442" s="137" t="s">
        <v>843</v>
      </c>
      <c r="L442" s="137" t="s">
        <v>841</v>
      </c>
      <c r="M44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4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42" s="138" t="str" cm="1">
        <f t="array" ref="O442">IFERROR(INDEX(CategoriesTable[Category type],MATCH(Table1[[#This Row],[Category]],CategoriesTable[Category name],0),0),"")</f>
        <v/>
      </c>
      <c r="P442" s="138">
        <v>16</v>
      </c>
      <c r="Q442" s="138">
        <f>MONTH(Table1[[#This Row],[Date]])</f>
        <v>9</v>
      </c>
      <c r="R442" s="138">
        <v>2021</v>
      </c>
      <c r="S442" s="139">
        <f>IF(ISBLANK(Table1[[#This Row],[Date]]),"",Table1[[#This Row],[Date]]-WEEKDAY(Table1[[#This Row],[Date]],2)+1)</f>
        <v>44452</v>
      </c>
      <c r="T442" s="140">
        <f>IF(ISBLANK(Table1[[#This Row],[Date]]),"",DATE(Table1[[#This Row],[Date_Year]],Table1[[#This Row],[Date_Month]],1))</f>
        <v>44440</v>
      </c>
    </row>
    <row r="443" spans="2:20" ht="15.75">
      <c r="B443" s="154">
        <v>44455</v>
      </c>
      <c r="C443" s="119" t="s">
        <v>1760</v>
      </c>
      <c r="D443" s="119"/>
      <c r="E443" s="119"/>
      <c r="F443" s="155">
        <v>-7</v>
      </c>
      <c r="G443" s="133" t="str">
        <f>_xlfn.XLOOKUP(Table1[[#This Row],[Account_ID]], Accounts[ID], Accounts[Account nickname], "Unknown")</f>
        <v>Discover</v>
      </c>
      <c r="H443" s="134" t="str">
        <f>_xlfn.XLOOKUP(Table1[[#This Row],[Account_ID]], Accounts[ID], Accounts[Account'#], "Unknown")</f>
        <v>4618</v>
      </c>
      <c r="I443" s="135" t="str">
        <f>_xlfn.XLOOKUP(_xlfn.XLOOKUP(Table1[[#This Row],[Account]],Accounts[Account nickname],Accounts[Institution ID]),Institutions[ID],Institutions[Institution nickname],"Unknown")</f>
        <v>Discover</v>
      </c>
      <c r="J443" s="136" t="s">
        <v>1761</v>
      </c>
      <c r="K443" s="137" t="s">
        <v>843</v>
      </c>
      <c r="L443" s="137" t="s">
        <v>841</v>
      </c>
      <c r="M44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4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43" s="138" t="str" cm="1">
        <f t="array" ref="O443">IFERROR(INDEX(CategoriesTable[Category type],MATCH(Table1[[#This Row],[Category]],CategoriesTable[Category name],0),0),"")</f>
        <v/>
      </c>
      <c r="P443" s="138">
        <v>16</v>
      </c>
      <c r="Q443" s="138">
        <f>MONTH(Table1[[#This Row],[Date]])</f>
        <v>9</v>
      </c>
      <c r="R443" s="138">
        <v>2021</v>
      </c>
      <c r="S443" s="139">
        <f>IF(ISBLANK(Table1[[#This Row],[Date]]),"",Table1[[#This Row],[Date]]-WEEKDAY(Table1[[#This Row],[Date]],2)+1)</f>
        <v>44452</v>
      </c>
      <c r="T443" s="140">
        <f>IF(ISBLANK(Table1[[#This Row],[Date]]),"",DATE(Table1[[#This Row],[Date_Year]],Table1[[#This Row],[Date_Month]],1))</f>
        <v>44440</v>
      </c>
    </row>
    <row r="444" spans="2:20" ht="15.75">
      <c r="B444" s="154">
        <v>44455</v>
      </c>
      <c r="C444" s="119" t="s">
        <v>714</v>
      </c>
      <c r="D444" s="119"/>
      <c r="E444" s="119"/>
      <c r="F444" s="155">
        <v>-48.02</v>
      </c>
      <c r="G444" s="133" t="str">
        <f>_xlfn.XLOOKUP(Table1[[#This Row],[Account_ID]], Accounts[ID], Accounts[Account nickname], "Unknown")</f>
        <v>WF</v>
      </c>
      <c r="H444" s="134" t="str">
        <f>_xlfn.XLOOKUP(Table1[[#This Row],[Account_ID]], Accounts[ID], Accounts[Account'#], "Unknown")</f>
        <v>4636</v>
      </c>
      <c r="I444" s="135" t="str">
        <f>_xlfn.XLOOKUP(_xlfn.XLOOKUP(Table1[[#This Row],[Account]],Accounts[Account nickname],Accounts[Institution ID]),Institutions[ID],Institutions[Institution nickname],"Unknown")</f>
        <v>Wells Fargo</v>
      </c>
      <c r="J444" s="136" t="s">
        <v>1029</v>
      </c>
      <c r="K444" s="137" t="s">
        <v>808</v>
      </c>
      <c r="L444" s="137" t="s">
        <v>807</v>
      </c>
      <c r="M44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4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44" s="138" t="str" cm="1">
        <f t="array" ref="O444">IFERROR(INDEX(CategoriesTable[Category type],MATCH(Table1[[#This Row],[Category]],CategoriesTable[Category name],0),0),"")</f>
        <v/>
      </c>
      <c r="P444" s="138">
        <v>16</v>
      </c>
      <c r="Q444" s="138">
        <f>MONTH(Table1[[#This Row],[Date]])</f>
        <v>9</v>
      </c>
      <c r="R444" s="138">
        <v>2021</v>
      </c>
      <c r="S444" s="139">
        <f>IF(ISBLANK(Table1[[#This Row],[Date]]),"",Table1[[#This Row],[Date]]-WEEKDAY(Table1[[#This Row],[Date]],2)+1)</f>
        <v>44452</v>
      </c>
      <c r="T444" s="140">
        <f>IF(ISBLANK(Table1[[#This Row],[Date]]),"",DATE(Table1[[#This Row],[Date_Year]],Table1[[#This Row],[Date_Month]],1))</f>
        <v>44440</v>
      </c>
    </row>
    <row r="445" spans="2:20" ht="15.75">
      <c r="B445" s="154">
        <v>44455</v>
      </c>
      <c r="C445" s="119" t="s">
        <v>714</v>
      </c>
      <c r="D445" s="119"/>
      <c r="E445" s="119"/>
      <c r="F445" s="155">
        <v>-1.61</v>
      </c>
      <c r="G445" s="133" t="str">
        <f>_xlfn.XLOOKUP(Table1[[#This Row],[Account_ID]], Accounts[ID], Accounts[Account nickname], "Unknown")</f>
        <v>Discover</v>
      </c>
      <c r="H445" s="134" t="str">
        <f>_xlfn.XLOOKUP(Table1[[#This Row],[Account_ID]], Accounts[ID], Accounts[Account'#], "Unknown")</f>
        <v>4618</v>
      </c>
      <c r="I445" s="135" t="str">
        <f>_xlfn.XLOOKUP(_xlfn.XLOOKUP(Table1[[#This Row],[Account]],Accounts[Account nickname],Accounts[Institution ID]),Institutions[ID],Institutions[Institution nickname],"Unknown")</f>
        <v>Discover</v>
      </c>
      <c r="J445" s="136" t="s">
        <v>1765</v>
      </c>
      <c r="K445" s="137" t="s">
        <v>843</v>
      </c>
      <c r="L445" s="137" t="s">
        <v>841</v>
      </c>
      <c r="M44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4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45" s="138" t="str" cm="1">
        <f t="array" ref="O445">IFERROR(INDEX(CategoriesTable[Category type],MATCH(Table1[[#This Row],[Category]],CategoriesTable[Category name],0),0),"")</f>
        <v/>
      </c>
      <c r="P445" s="138">
        <v>16</v>
      </c>
      <c r="Q445" s="138">
        <f>MONTH(Table1[[#This Row],[Date]])</f>
        <v>9</v>
      </c>
      <c r="R445" s="138">
        <v>2021</v>
      </c>
      <c r="S445" s="139">
        <f>IF(ISBLANK(Table1[[#This Row],[Date]]),"",Table1[[#This Row],[Date]]-WEEKDAY(Table1[[#This Row],[Date]],2)+1)</f>
        <v>44452</v>
      </c>
      <c r="T445" s="140">
        <f>IF(ISBLANK(Table1[[#This Row],[Date]]),"",DATE(Table1[[#This Row],[Date_Year]],Table1[[#This Row],[Date_Month]],1))</f>
        <v>44440</v>
      </c>
    </row>
    <row r="446" spans="2:20" ht="15.75">
      <c r="B446" s="154">
        <v>44455</v>
      </c>
      <c r="C446" s="119" t="s">
        <v>1750</v>
      </c>
      <c r="D446" s="119"/>
      <c r="E446" s="119"/>
      <c r="F446" s="155">
        <v>-2</v>
      </c>
      <c r="G446" s="133" t="str">
        <f>_xlfn.XLOOKUP(Table1[[#This Row],[Account_ID]], Accounts[ID], Accounts[Account nickname], "Unknown")</f>
        <v>Discover</v>
      </c>
      <c r="H446" s="134" t="str">
        <f>_xlfn.XLOOKUP(Table1[[#This Row],[Account_ID]], Accounts[ID], Accounts[Account'#], "Unknown")</f>
        <v>4618</v>
      </c>
      <c r="I446" s="135" t="str">
        <f>_xlfn.XLOOKUP(_xlfn.XLOOKUP(Table1[[#This Row],[Account]],Accounts[Account nickname],Accounts[Institution ID]),Institutions[ID],Institutions[Institution nickname],"Unknown")</f>
        <v>Discover</v>
      </c>
      <c r="J446" s="136" t="s">
        <v>1751</v>
      </c>
      <c r="K446" s="137" t="s">
        <v>843</v>
      </c>
      <c r="L446" s="137" t="s">
        <v>841</v>
      </c>
      <c r="M44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4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46" s="138" t="str" cm="1">
        <f t="array" ref="O446">IFERROR(INDEX(CategoriesTable[Category type],MATCH(Table1[[#This Row],[Category]],CategoriesTable[Category name],0),0),"")</f>
        <v/>
      </c>
      <c r="P446" s="138">
        <v>16</v>
      </c>
      <c r="Q446" s="138">
        <f>MONTH(Table1[[#This Row],[Date]])</f>
        <v>9</v>
      </c>
      <c r="R446" s="138">
        <v>2021</v>
      </c>
      <c r="S446" s="139">
        <f>IF(ISBLANK(Table1[[#This Row],[Date]]),"",Table1[[#This Row],[Date]]-WEEKDAY(Table1[[#This Row],[Date]],2)+1)</f>
        <v>44452</v>
      </c>
      <c r="T446" s="140">
        <f>IF(ISBLANK(Table1[[#This Row],[Date]]),"",DATE(Table1[[#This Row],[Date_Year]],Table1[[#This Row],[Date_Month]],1))</f>
        <v>44440</v>
      </c>
    </row>
    <row r="447" spans="2:20" ht="15.75">
      <c r="B447" s="154">
        <v>44455</v>
      </c>
      <c r="C447" s="119" t="s">
        <v>1754</v>
      </c>
      <c r="D447" s="119"/>
      <c r="E447" s="119"/>
      <c r="F447" s="155">
        <v>-7.49</v>
      </c>
      <c r="G447" s="133" t="str">
        <f>_xlfn.XLOOKUP(Table1[[#This Row],[Account_ID]], Accounts[ID], Accounts[Account nickname], "Unknown")</f>
        <v>Discover</v>
      </c>
      <c r="H447" s="134" t="str">
        <f>_xlfn.XLOOKUP(Table1[[#This Row],[Account_ID]], Accounts[ID], Accounts[Account'#], "Unknown")</f>
        <v>4618</v>
      </c>
      <c r="I447" s="135" t="str">
        <f>_xlfn.XLOOKUP(_xlfn.XLOOKUP(Table1[[#This Row],[Account]],Accounts[Account nickname],Accounts[Institution ID]),Institutions[ID],Institutions[Institution nickname],"Unknown")</f>
        <v>Discover</v>
      </c>
      <c r="J447" s="136" t="s">
        <v>1755</v>
      </c>
      <c r="K447" s="137" t="s">
        <v>843</v>
      </c>
      <c r="L447" s="137" t="s">
        <v>841</v>
      </c>
      <c r="M44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4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47" s="138" t="str" cm="1">
        <f t="array" ref="O447">IFERROR(INDEX(CategoriesTable[Category type],MATCH(Table1[[#This Row],[Category]],CategoriesTable[Category name],0),0),"")</f>
        <v/>
      </c>
      <c r="P447" s="138">
        <v>16</v>
      </c>
      <c r="Q447" s="138">
        <f>MONTH(Table1[[#This Row],[Date]])</f>
        <v>9</v>
      </c>
      <c r="R447" s="138">
        <v>2021</v>
      </c>
      <c r="S447" s="139">
        <f>IF(ISBLANK(Table1[[#This Row],[Date]]),"",Table1[[#This Row],[Date]]-WEEKDAY(Table1[[#This Row],[Date]],2)+1)</f>
        <v>44452</v>
      </c>
      <c r="T447" s="140">
        <f>IF(ISBLANK(Table1[[#This Row],[Date]]),"",DATE(Table1[[#This Row],[Date_Year]],Table1[[#This Row],[Date_Month]],1))</f>
        <v>44440</v>
      </c>
    </row>
    <row r="448" spans="2:20" ht="15.75">
      <c r="B448" s="154">
        <v>44455</v>
      </c>
      <c r="C448" s="119" t="s">
        <v>1756</v>
      </c>
      <c r="D448" s="119"/>
      <c r="E448" s="119"/>
      <c r="F448" s="155">
        <v>-6.75</v>
      </c>
      <c r="G448" s="133" t="str">
        <f>_xlfn.XLOOKUP(Table1[[#This Row],[Account_ID]], Accounts[ID], Accounts[Account nickname], "Unknown")</f>
        <v>Discover</v>
      </c>
      <c r="H448" s="134" t="str">
        <f>_xlfn.XLOOKUP(Table1[[#This Row],[Account_ID]], Accounts[ID], Accounts[Account'#], "Unknown")</f>
        <v>4618</v>
      </c>
      <c r="I448" s="135" t="str">
        <f>_xlfn.XLOOKUP(_xlfn.XLOOKUP(Table1[[#This Row],[Account]],Accounts[Account nickname],Accounts[Institution ID]),Institutions[ID],Institutions[Institution nickname],"Unknown")</f>
        <v>Discover</v>
      </c>
      <c r="J448" s="136" t="s">
        <v>1757</v>
      </c>
      <c r="K448" s="137" t="s">
        <v>843</v>
      </c>
      <c r="L448" s="137" t="s">
        <v>841</v>
      </c>
      <c r="M44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4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48" s="138" t="str" cm="1">
        <f t="array" ref="O448">IFERROR(INDEX(CategoriesTable[Category type],MATCH(Table1[[#This Row],[Category]],CategoriesTable[Category name],0),0),"")</f>
        <v/>
      </c>
      <c r="P448" s="138">
        <v>16</v>
      </c>
      <c r="Q448" s="138">
        <f>MONTH(Table1[[#This Row],[Date]])</f>
        <v>9</v>
      </c>
      <c r="R448" s="138">
        <v>2021</v>
      </c>
      <c r="S448" s="139">
        <f>IF(ISBLANK(Table1[[#This Row],[Date]]),"",Table1[[#This Row],[Date]]-WEEKDAY(Table1[[#This Row],[Date]],2)+1)</f>
        <v>44452</v>
      </c>
      <c r="T448" s="140">
        <f>IF(ISBLANK(Table1[[#This Row],[Date]]),"",DATE(Table1[[#This Row],[Date_Year]],Table1[[#This Row],[Date_Month]],1))</f>
        <v>44440</v>
      </c>
    </row>
    <row r="449" spans="2:20" ht="15.75">
      <c r="B449" s="154">
        <v>44455</v>
      </c>
      <c r="C449" s="119" t="s">
        <v>1762</v>
      </c>
      <c r="D449" s="119"/>
      <c r="E449" s="119"/>
      <c r="F449" s="155">
        <v>-25</v>
      </c>
      <c r="G449" s="133" t="str">
        <f>_xlfn.XLOOKUP(Table1[[#This Row],[Account_ID]], Accounts[ID], Accounts[Account nickname], "Unknown")</f>
        <v>Discover</v>
      </c>
      <c r="H449" s="134" t="str">
        <f>_xlfn.XLOOKUP(Table1[[#This Row],[Account_ID]], Accounts[ID], Accounts[Account'#], "Unknown")</f>
        <v>4618</v>
      </c>
      <c r="I449" s="135" t="str">
        <f>_xlfn.XLOOKUP(_xlfn.XLOOKUP(Table1[[#This Row],[Account]],Accounts[Account nickname],Accounts[Institution ID]),Institutions[ID],Institutions[Institution nickname],"Unknown")</f>
        <v>Discover</v>
      </c>
      <c r="J449" s="136" t="s">
        <v>1763</v>
      </c>
      <c r="K449" s="137" t="s">
        <v>843</v>
      </c>
      <c r="L449" s="137" t="s">
        <v>841</v>
      </c>
      <c r="M44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4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49" s="138" t="str" cm="1">
        <f t="array" ref="O449">IFERROR(INDEX(CategoriesTable[Category type],MATCH(Table1[[#This Row],[Category]],CategoriesTable[Category name],0),0),"")</f>
        <v/>
      </c>
      <c r="P449" s="138">
        <v>16</v>
      </c>
      <c r="Q449" s="138">
        <f>MONTH(Table1[[#This Row],[Date]])</f>
        <v>9</v>
      </c>
      <c r="R449" s="138">
        <v>2021</v>
      </c>
      <c r="S449" s="139">
        <f>IF(ISBLANK(Table1[[#This Row],[Date]]),"",Table1[[#This Row],[Date]]-WEEKDAY(Table1[[#This Row],[Date]],2)+1)</f>
        <v>44452</v>
      </c>
      <c r="T449" s="140">
        <f>IF(ISBLANK(Table1[[#This Row],[Date]]),"",DATE(Table1[[#This Row],[Date_Year]],Table1[[#This Row],[Date_Month]],1))</f>
        <v>44440</v>
      </c>
    </row>
    <row r="450" spans="2:20" ht="15.75">
      <c r="B450" s="154">
        <v>44455</v>
      </c>
      <c r="C450" s="119" t="s">
        <v>1752</v>
      </c>
      <c r="D450" s="119"/>
      <c r="E450" s="119"/>
      <c r="F450" s="155">
        <v>-30</v>
      </c>
      <c r="G450" s="133" t="str">
        <f>_xlfn.XLOOKUP(Table1[[#This Row],[Account_ID]], Accounts[ID], Accounts[Account nickname], "Unknown")</f>
        <v>Discover</v>
      </c>
      <c r="H450" s="134" t="str">
        <f>_xlfn.XLOOKUP(Table1[[#This Row],[Account_ID]], Accounts[ID], Accounts[Account'#], "Unknown")</f>
        <v>4618</v>
      </c>
      <c r="I450" s="135" t="str">
        <f>_xlfn.XLOOKUP(_xlfn.XLOOKUP(Table1[[#This Row],[Account]],Accounts[Account nickname],Accounts[Institution ID]),Institutions[ID],Institutions[Institution nickname],"Unknown")</f>
        <v>Discover</v>
      </c>
      <c r="J450" s="136" t="s">
        <v>1753</v>
      </c>
      <c r="K450" s="137" t="s">
        <v>843</v>
      </c>
      <c r="L450" s="137" t="s">
        <v>841</v>
      </c>
      <c r="M45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5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50" s="138" t="str" cm="1">
        <f t="array" ref="O450">IFERROR(INDEX(CategoriesTable[Category type],MATCH(Table1[[#This Row],[Category]],CategoriesTable[Category name],0),0),"")</f>
        <v/>
      </c>
      <c r="P450" s="138">
        <v>16</v>
      </c>
      <c r="Q450" s="138">
        <f>MONTH(Table1[[#This Row],[Date]])</f>
        <v>9</v>
      </c>
      <c r="R450" s="138">
        <v>2021</v>
      </c>
      <c r="S450" s="139">
        <f>IF(ISBLANK(Table1[[#This Row],[Date]]),"",Table1[[#This Row],[Date]]-WEEKDAY(Table1[[#This Row],[Date]],2)+1)</f>
        <v>44452</v>
      </c>
      <c r="T450" s="140">
        <f>IF(ISBLANK(Table1[[#This Row],[Date]]),"",DATE(Table1[[#This Row],[Date_Year]],Table1[[#This Row],[Date_Month]],1))</f>
        <v>44440</v>
      </c>
    </row>
    <row r="451" spans="2:20" ht="15.75">
      <c r="B451" s="154">
        <v>44455</v>
      </c>
      <c r="C451" s="119" t="s">
        <v>714</v>
      </c>
      <c r="D451" s="119"/>
      <c r="E451" s="119"/>
      <c r="F451" s="155">
        <v>-27.38</v>
      </c>
      <c r="G451" s="133" t="str">
        <f>_xlfn.XLOOKUP(Table1[[#This Row],[Account_ID]], Accounts[ID], Accounts[Account nickname], "Unknown")</f>
        <v>Discover</v>
      </c>
      <c r="H451" s="134" t="str">
        <f>_xlfn.XLOOKUP(Table1[[#This Row],[Account_ID]], Accounts[ID], Accounts[Account'#], "Unknown")</f>
        <v>4618</v>
      </c>
      <c r="I451" s="135" t="str">
        <f>_xlfn.XLOOKUP(_xlfn.XLOOKUP(Table1[[#This Row],[Account]],Accounts[Account nickname],Accounts[Institution ID]),Institutions[ID],Institutions[Institution nickname],"Unknown")</f>
        <v>Discover</v>
      </c>
      <c r="J451" s="136" t="s">
        <v>1764</v>
      </c>
      <c r="K451" s="137" t="s">
        <v>843</v>
      </c>
      <c r="L451" s="137" t="s">
        <v>841</v>
      </c>
      <c r="M45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5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51" s="138" t="str" cm="1">
        <f t="array" ref="O451">IFERROR(INDEX(CategoriesTable[Category type],MATCH(Table1[[#This Row],[Category]],CategoriesTable[Category name],0),0),"")</f>
        <v/>
      </c>
      <c r="P451" s="138">
        <v>16</v>
      </c>
      <c r="Q451" s="138">
        <f>MONTH(Table1[[#This Row],[Date]])</f>
        <v>9</v>
      </c>
      <c r="R451" s="138">
        <v>2021</v>
      </c>
      <c r="S451" s="139">
        <f>IF(ISBLANK(Table1[[#This Row],[Date]]),"",Table1[[#This Row],[Date]]-WEEKDAY(Table1[[#This Row],[Date]],2)+1)</f>
        <v>44452</v>
      </c>
      <c r="T451" s="140">
        <f>IF(ISBLANK(Table1[[#This Row],[Date]]),"",DATE(Table1[[#This Row],[Date_Year]],Table1[[#This Row],[Date_Month]],1))</f>
        <v>44440</v>
      </c>
    </row>
    <row r="452" spans="2:20" ht="15.75">
      <c r="B452" s="154">
        <v>44454</v>
      </c>
      <c r="C452" s="119" t="s">
        <v>1766</v>
      </c>
      <c r="D452" s="119"/>
      <c r="E452" s="119"/>
      <c r="F452" s="155">
        <v>-82.37</v>
      </c>
      <c r="G452" s="133" t="str">
        <f>_xlfn.XLOOKUP(Table1[[#This Row],[Account_ID]], Accounts[ID], Accounts[Account nickname], "Unknown")</f>
        <v>Discover</v>
      </c>
      <c r="H452" s="134" t="str">
        <f>_xlfn.XLOOKUP(Table1[[#This Row],[Account_ID]], Accounts[ID], Accounts[Account'#], "Unknown")</f>
        <v>4618</v>
      </c>
      <c r="I452" s="135" t="str">
        <f>_xlfn.XLOOKUP(_xlfn.XLOOKUP(Table1[[#This Row],[Account]],Accounts[Account nickname],Accounts[Institution ID]),Institutions[ID],Institutions[Institution nickname],"Unknown")</f>
        <v>Discover</v>
      </c>
      <c r="J452" s="136" t="s">
        <v>1767</v>
      </c>
      <c r="K452" s="137" t="s">
        <v>843</v>
      </c>
      <c r="L452" s="137" t="s">
        <v>841</v>
      </c>
      <c r="M45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5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52" s="138" t="str" cm="1">
        <f t="array" ref="O452">IFERROR(INDEX(CategoriesTable[Category type],MATCH(Table1[[#This Row],[Category]],CategoriesTable[Category name],0),0),"")</f>
        <v/>
      </c>
      <c r="P452" s="138">
        <v>15</v>
      </c>
      <c r="Q452" s="138">
        <f>MONTH(Table1[[#This Row],[Date]])</f>
        <v>9</v>
      </c>
      <c r="R452" s="138">
        <v>2021</v>
      </c>
      <c r="S452" s="139">
        <f>IF(ISBLANK(Table1[[#This Row],[Date]]),"",Table1[[#This Row],[Date]]-WEEKDAY(Table1[[#This Row],[Date]],2)+1)</f>
        <v>44452</v>
      </c>
      <c r="T452" s="140">
        <f>IF(ISBLANK(Table1[[#This Row],[Date]]),"",DATE(Table1[[#This Row],[Date_Year]],Table1[[#This Row],[Date_Month]],1))</f>
        <v>44440</v>
      </c>
    </row>
    <row r="453" spans="2:20" ht="15.75">
      <c r="B453" s="154">
        <v>44454</v>
      </c>
      <c r="C453" s="119" t="s">
        <v>703</v>
      </c>
      <c r="D453" s="119"/>
      <c r="E453" s="119"/>
      <c r="F453" s="155">
        <v>-16.809999999999999</v>
      </c>
      <c r="G453" s="133" t="str">
        <f>_xlfn.XLOOKUP(Table1[[#This Row],[Account_ID]], Accounts[ID], Accounts[Account nickname], "Unknown")</f>
        <v>Discover</v>
      </c>
      <c r="H453" s="134" t="str">
        <f>_xlfn.XLOOKUP(Table1[[#This Row],[Account_ID]], Accounts[ID], Accounts[Account'#], "Unknown")</f>
        <v>4618</v>
      </c>
      <c r="I453" s="135" t="str">
        <f>_xlfn.XLOOKUP(_xlfn.XLOOKUP(Table1[[#This Row],[Account]],Accounts[Account nickname],Accounts[Institution ID]),Institutions[ID],Institutions[Institution nickname],"Unknown")</f>
        <v>Discover</v>
      </c>
      <c r="J453" s="136" t="s">
        <v>1768</v>
      </c>
      <c r="K453" s="137" t="s">
        <v>843</v>
      </c>
      <c r="L453" s="137" t="s">
        <v>841</v>
      </c>
      <c r="M45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5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53" s="138" t="str" cm="1">
        <f t="array" ref="O453">IFERROR(INDEX(CategoriesTable[Category type],MATCH(Table1[[#This Row],[Category]],CategoriesTable[Category name],0),0),"")</f>
        <v/>
      </c>
      <c r="P453" s="138">
        <v>15</v>
      </c>
      <c r="Q453" s="138">
        <f>MONTH(Table1[[#This Row],[Date]])</f>
        <v>9</v>
      </c>
      <c r="R453" s="138">
        <v>2021</v>
      </c>
      <c r="S453" s="139">
        <f>IF(ISBLANK(Table1[[#This Row],[Date]]),"",Table1[[#This Row],[Date]]-WEEKDAY(Table1[[#This Row],[Date]],2)+1)</f>
        <v>44452</v>
      </c>
      <c r="T453" s="140">
        <f>IF(ISBLANK(Table1[[#This Row],[Date]]),"",DATE(Table1[[#This Row],[Date_Year]],Table1[[#This Row],[Date_Month]],1))</f>
        <v>44440</v>
      </c>
    </row>
    <row r="454" spans="2:20" ht="15.75">
      <c r="B454" s="154">
        <v>44453</v>
      </c>
      <c r="C454" s="119" t="s">
        <v>1623</v>
      </c>
      <c r="D454" s="119"/>
      <c r="E454" s="119"/>
      <c r="F454" s="155">
        <v>-3</v>
      </c>
      <c r="G454" s="133" t="str">
        <f>_xlfn.XLOOKUP(Table1[[#This Row],[Account_ID]], Accounts[ID], Accounts[Account nickname], "Unknown")</f>
        <v>Discover</v>
      </c>
      <c r="H454" s="134" t="str">
        <f>_xlfn.XLOOKUP(Table1[[#This Row],[Account_ID]], Accounts[ID], Accounts[Account'#], "Unknown")</f>
        <v>4618</v>
      </c>
      <c r="I454" s="135" t="str">
        <f>_xlfn.XLOOKUP(_xlfn.XLOOKUP(Table1[[#This Row],[Account]],Accounts[Account nickname],Accounts[Institution ID]),Institutions[ID],Institutions[Institution nickname],"Unknown")</f>
        <v>Discover</v>
      </c>
      <c r="J454" s="136" t="s">
        <v>1772</v>
      </c>
      <c r="K454" s="137" t="s">
        <v>843</v>
      </c>
      <c r="L454" s="137" t="s">
        <v>841</v>
      </c>
      <c r="M45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5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54" s="138" t="str" cm="1">
        <f t="array" ref="O454">IFERROR(INDEX(CategoriesTable[Category type],MATCH(Table1[[#This Row],[Category]],CategoriesTable[Category name],0),0),"")</f>
        <v/>
      </c>
      <c r="P454" s="138">
        <v>14</v>
      </c>
      <c r="Q454" s="138">
        <f>MONTH(Table1[[#This Row],[Date]])</f>
        <v>9</v>
      </c>
      <c r="R454" s="138">
        <v>2021</v>
      </c>
      <c r="S454" s="139">
        <f>IF(ISBLANK(Table1[[#This Row],[Date]]),"",Table1[[#This Row],[Date]]-WEEKDAY(Table1[[#This Row],[Date]],2)+1)</f>
        <v>44452</v>
      </c>
      <c r="T454" s="140">
        <f>IF(ISBLANK(Table1[[#This Row],[Date]]),"",DATE(Table1[[#This Row],[Date_Year]],Table1[[#This Row],[Date_Month]],1))</f>
        <v>44440</v>
      </c>
    </row>
    <row r="455" spans="2:20" ht="15.75">
      <c r="B455" s="154">
        <v>44453</v>
      </c>
      <c r="C455" s="119" t="s">
        <v>1472</v>
      </c>
      <c r="D455" s="119"/>
      <c r="E455" s="119"/>
      <c r="F455" s="155">
        <v>-8.82</v>
      </c>
      <c r="G455" s="133" t="str">
        <f>_xlfn.XLOOKUP(Table1[[#This Row],[Account_ID]], Accounts[ID], Accounts[Account nickname], "Unknown")</f>
        <v>Discover</v>
      </c>
      <c r="H455" s="134" t="str">
        <f>_xlfn.XLOOKUP(Table1[[#This Row],[Account_ID]], Accounts[ID], Accounts[Account'#], "Unknown")</f>
        <v>4618</v>
      </c>
      <c r="I455" s="135" t="str">
        <f>_xlfn.XLOOKUP(_xlfn.XLOOKUP(Table1[[#This Row],[Account]],Accounts[Account nickname],Accounts[Institution ID]),Institutions[ID],Institutions[Institution nickname],"Unknown")</f>
        <v>Discover</v>
      </c>
      <c r="J455" s="136" t="s">
        <v>1770</v>
      </c>
      <c r="K455" s="137" t="s">
        <v>843</v>
      </c>
      <c r="L455" s="137" t="s">
        <v>841</v>
      </c>
      <c r="M45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5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55" s="138" t="str" cm="1">
        <f t="array" ref="O455">IFERROR(INDEX(CategoriesTable[Category type],MATCH(Table1[[#This Row],[Category]],CategoriesTable[Category name],0),0),"")</f>
        <v/>
      </c>
      <c r="P455" s="138">
        <v>14</v>
      </c>
      <c r="Q455" s="138">
        <f>MONTH(Table1[[#This Row],[Date]])</f>
        <v>9</v>
      </c>
      <c r="R455" s="138">
        <v>2021</v>
      </c>
      <c r="S455" s="139">
        <f>IF(ISBLANK(Table1[[#This Row],[Date]]),"",Table1[[#This Row],[Date]]-WEEKDAY(Table1[[#This Row],[Date]],2)+1)</f>
        <v>44452</v>
      </c>
      <c r="T455" s="140">
        <f>IF(ISBLANK(Table1[[#This Row],[Date]]),"",DATE(Table1[[#This Row],[Date_Year]],Table1[[#This Row],[Date_Month]],1))</f>
        <v>44440</v>
      </c>
    </row>
    <row r="456" spans="2:20" ht="15.75">
      <c r="B456" s="154">
        <v>44453</v>
      </c>
      <c r="C456" s="119" t="s">
        <v>1709</v>
      </c>
      <c r="D456" s="119"/>
      <c r="E456" s="119"/>
      <c r="F456" s="155">
        <v>-5.93</v>
      </c>
      <c r="G456" s="133" t="str">
        <f>_xlfn.XLOOKUP(Table1[[#This Row],[Account_ID]], Accounts[ID], Accounts[Account nickname], "Unknown")</f>
        <v>Discover</v>
      </c>
      <c r="H456" s="134" t="str">
        <f>_xlfn.XLOOKUP(Table1[[#This Row],[Account_ID]], Accounts[ID], Accounts[Account'#], "Unknown")</f>
        <v>4618</v>
      </c>
      <c r="I456" s="135" t="str">
        <f>_xlfn.XLOOKUP(_xlfn.XLOOKUP(Table1[[#This Row],[Account]],Accounts[Account nickname],Accounts[Institution ID]),Institutions[ID],Institutions[Institution nickname],"Unknown")</f>
        <v>Discover</v>
      </c>
      <c r="J456" s="136" t="s">
        <v>1771</v>
      </c>
      <c r="K456" s="137" t="s">
        <v>843</v>
      </c>
      <c r="L456" s="137" t="s">
        <v>841</v>
      </c>
      <c r="M45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5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56" s="138" t="str" cm="1">
        <f t="array" ref="O456">IFERROR(INDEX(CategoriesTable[Category type],MATCH(Table1[[#This Row],[Category]],CategoriesTable[Category name],0),0),"")</f>
        <v/>
      </c>
      <c r="P456" s="138">
        <v>14</v>
      </c>
      <c r="Q456" s="138">
        <f>MONTH(Table1[[#This Row],[Date]])</f>
        <v>9</v>
      </c>
      <c r="R456" s="138">
        <v>2021</v>
      </c>
      <c r="S456" s="139">
        <f>IF(ISBLANK(Table1[[#This Row],[Date]]),"",Table1[[#This Row],[Date]]-WEEKDAY(Table1[[#This Row],[Date]],2)+1)</f>
        <v>44452</v>
      </c>
      <c r="T456" s="140">
        <f>IF(ISBLANK(Table1[[#This Row],[Date]]),"",DATE(Table1[[#This Row],[Date_Year]],Table1[[#This Row],[Date_Month]],1))</f>
        <v>44440</v>
      </c>
    </row>
    <row r="457" spans="2:20" ht="15.75">
      <c r="B457" s="154">
        <v>44453</v>
      </c>
      <c r="C457" s="119" t="s">
        <v>1472</v>
      </c>
      <c r="D457" s="119"/>
      <c r="E457" s="119"/>
      <c r="F457" s="155">
        <v>-2.7</v>
      </c>
      <c r="G457" s="133" t="str">
        <f>_xlfn.XLOOKUP(Table1[[#This Row],[Account_ID]], Accounts[ID], Accounts[Account nickname], "Unknown")</f>
        <v>Discover</v>
      </c>
      <c r="H457" s="134" t="str">
        <f>_xlfn.XLOOKUP(Table1[[#This Row],[Account_ID]], Accounts[ID], Accounts[Account'#], "Unknown")</f>
        <v>4618</v>
      </c>
      <c r="I457" s="135" t="str">
        <f>_xlfn.XLOOKUP(_xlfn.XLOOKUP(Table1[[#This Row],[Account]],Accounts[Account nickname],Accounts[Institution ID]),Institutions[ID],Institutions[Institution nickname],"Unknown")</f>
        <v>Discover</v>
      </c>
      <c r="J457" s="136" t="s">
        <v>1769</v>
      </c>
      <c r="K457" s="137" t="s">
        <v>843</v>
      </c>
      <c r="L457" s="137" t="s">
        <v>841</v>
      </c>
      <c r="M45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5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57" s="138" t="str" cm="1">
        <f t="array" ref="O457">IFERROR(INDEX(CategoriesTable[Category type],MATCH(Table1[[#This Row],[Category]],CategoriesTable[Category name],0),0),"")</f>
        <v/>
      </c>
      <c r="P457" s="138">
        <v>14</v>
      </c>
      <c r="Q457" s="138">
        <f>MONTH(Table1[[#This Row],[Date]])</f>
        <v>9</v>
      </c>
      <c r="R457" s="138">
        <v>2021</v>
      </c>
      <c r="S457" s="139">
        <f>IF(ISBLANK(Table1[[#This Row],[Date]]),"",Table1[[#This Row],[Date]]-WEEKDAY(Table1[[#This Row],[Date]],2)+1)</f>
        <v>44452</v>
      </c>
      <c r="T457" s="140">
        <f>IF(ISBLANK(Table1[[#This Row],[Date]]),"",DATE(Table1[[#This Row],[Date_Year]],Table1[[#This Row],[Date_Month]],1))</f>
        <v>44440</v>
      </c>
    </row>
    <row r="458" spans="2:20" ht="15.75">
      <c r="B458" s="154">
        <v>44453</v>
      </c>
      <c r="C458" s="119" t="s">
        <v>678</v>
      </c>
      <c r="D458" s="119"/>
      <c r="E458" s="119"/>
      <c r="F458" s="155">
        <v>-100</v>
      </c>
      <c r="G458" s="133" t="str">
        <f>_xlfn.XLOOKUP(Table1[[#This Row],[Account_ID]], Accounts[ID], Accounts[Account nickname], "Unknown")</f>
        <v>WF</v>
      </c>
      <c r="H458" s="134" t="str">
        <f>_xlfn.XLOOKUP(Table1[[#This Row],[Account_ID]], Accounts[ID], Accounts[Account'#], "Unknown")</f>
        <v>4636</v>
      </c>
      <c r="I458" s="135" t="str">
        <f>_xlfn.XLOOKUP(_xlfn.XLOOKUP(Table1[[#This Row],[Account]],Accounts[Account nickname],Accounts[Institution ID]),Institutions[ID],Institutions[Institution nickname],"Unknown")</f>
        <v>Wells Fargo</v>
      </c>
      <c r="J458" s="136" t="s">
        <v>1030</v>
      </c>
      <c r="K458" s="137" t="s">
        <v>808</v>
      </c>
      <c r="L458" s="137" t="s">
        <v>807</v>
      </c>
      <c r="M45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5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58" s="138" t="str" cm="1">
        <f t="array" ref="O458">IFERROR(INDEX(CategoriesTable[Category type],MATCH(Table1[[#This Row],[Category]],CategoriesTable[Category name],0),0),"")</f>
        <v/>
      </c>
      <c r="P458" s="138">
        <v>14</v>
      </c>
      <c r="Q458" s="138">
        <f>MONTH(Table1[[#This Row],[Date]])</f>
        <v>9</v>
      </c>
      <c r="R458" s="138">
        <v>2021</v>
      </c>
      <c r="S458" s="139">
        <f>IF(ISBLANK(Table1[[#This Row],[Date]]),"",Table1[[#This Row],[Date]]-WEEKDAY(Table1[[#This Row],[Date]],2)+1)</f>
        <v>44452</v>
      </c>
      <c r="T458" s="140">
        <f>IF(ISBLANK(Table1[[#This Row],[Date]]),"",DATE(Table1[[#This Row],[Date_Year]],Table1[[#This Row],[Date_Month]],1))</f>
        <v>44440</v>
      </c>
    </row>
    <row r="459" spans="2:20" ht="15.75">
      <c r="B459" s="154">
        <v>44452</v>
      </c>
      <c r="C459" s="119" t="s">
        <v>1773</v>
      </c>
      <c r="D459" s="119"/>
      <c r="E459" s="119"/>
      <c r="F459" s="155">
        <v>-15.27</v>
      </c>
      <c r="G459" s="133" t="str">
        <f>_xlfn.XLOOKUP(Table1[[#This Row],[Account_ID]], Accounts[ID], Accounts[Account nickname], "Unknown")</f>
        <v>Discover</v>
      </c>
      <c r="H459" s="134" t="str">
        <f>_xlfn.XLOOKUP(Table1[[#This Row],[Account_ID]], Accounts[ID], Accounts[Account'#], "Unknown")</f>
        <v>4618</v>
      </c>
      <c r="I459" s="135" t="str">
        <f>_xlfn.XLOOKUP(_xlfn.XLOOKUP(Table1[[#This Row],[Account]],Accounts[Account nickname],Accounts[Institution ID]),Institutions[ID],Institutions[Institution nickname],"Unknown")</f>
        <v>Discover</v>
      </c>
      <c r="J459" s="136" t="s">
        <v>1774</v>
      </c>
      <c r="K459" s="137" t="s">
        <v>843</v>
      </c>
      <c r="L459" s="137" t="s">
        <v>841</v>
      </c>
      <c r="M45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5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59" s="138" t="str" cm="1">
        <f t="array" ref="O459">IFERROR(INDEX(CategoriesTable[Category type],MATCH(Table1[[#This Row],[Category]],CategoriesTable[Category name],0),0),"")</f>
        <v/>
      </c>
      <c r="P459" s="138">
        <v>13</v>
      </c>
      <c r="Q459" s="138">
        <f>MONTH(Table1[[#This Row],[Date]])</f>
        <v>9</v>
      </c>
      <c r="R459" s="138">
        <v>2021</v>
      </c>
      <c r="S459" s="139">
        <f>IF(ISBLANK(Table1[[#This Row],[Date]]),"",Table1[[#This Row],[Date]]-WEEKDAY(Table1[[#This Row],[Date]],2)+1)</f>
        <v>44452</v>
      </c>
      <c r="T459" s="140">
        <f>IF(ISBLANK(Table1[[#This Row],[Date]]),"",DATE(Table1[[#This Row],[Date_Year]],Table1[[#This Row],[Date_Month]],1))</f>
        <v>44440</v>
      </c>
    </row>
    <row r="460" spans="2:20" ht="15.75">
      <c r="B460" s="154">
        <v>44452</v>
      </c>
      <c r="C460" s="119" t="s">
        <v>714</v>
      </c>
      <c r="D460" s="119"/>
      <c r="E460" s="119"/>
      <c r="F460" s="155">
        <v>-35.9</v>
      </c>
      <c r="G460" s="133" t="str">
        <f>_xlfn.XLOOKUP(Table1[[#This Row],[Account_ID]], Accounts[ID], Accounts[Account nickname], "Unknown")</f>
        <v>Discover</v>
      </c>
      <c r="H460" s="134" t="str">
        <f>_xlfn.XLOOKUP(Table1[[#This Row],[Account_ID]], Accounts[ID], Accounts[Account'#], "Unknown")</f>
        <v>4618</v>
      </c>
      <c r="I460" s="135" t="str">
        <f>_xlfn.XLOOKUP(_xlfn.XLOOKUP(Table1[[#This Row],[Account]],Accounts[Account nickname],Accounts[Institution ID]),Institutions[ID],Institutions[Institution nickname],"Unknown")</f>
        <v>Discover</v>
      </c>
      <c r="J460" s="136" t="s">
        <v>1775</v>
      </c>
      <c r="K460" s="137" t="s">
        <v>843</v>
      </c>
      <c r="L460" s="137" t="s">
        <v>841</v>
      </c>
      <c r="M46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6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60" s="138" t="str" cm="1">
        <f t="array" ref="O460">IFERROR(INDEX(CategoriesTable[Category type],MATCH(Table1[[#This Row],[Category]],CategoriesTable[Category name],0),0),"")</f>
        <v/>
      </c>
      <c r="P460" s="138">
        <v>13</v>
      </c>
      <c r="Q460" s="138">
        <f>MONTH(Table1[[#This Row],[Date]])</f>
        <v>9</v>
      </c>
      <c r="R460" s="138">
        <v>2021</v>
      </c>
      <c r="S460" s="139">
        <f>IF(ISBLANK(Table1[[#This Row],[Date]]),"",Table1[[#This Row],[Date]]-WEEKDAY(Table1[[#This Row],[Date]],2)+1)</f>
        <v>44452</v>
      </c>
      <c r="T460" s="140">
        <f>IF(ISBLANK(Table1[[#This Row],[Date]]),"",DATE(Table1[[#This Row],[Date_Year]],Table1[[#This Row],[Date_Month]],1))</f>
        <v>44440</v>
      </c>
    </row>
    <row r="461" spans="2:20" ht="15.75">
      <c r="B461" s="154">
        <v>44452</v>
      </c>
      <c r="C461" s="119" t="s">
        <v>731</v>
      </c>
      <c r="D461" s="119"/>
      <c r="E461" s="119"/>
      <c r="F461" s="155">
        <v>419.93</v>
      </c>
      <c r="G461" s="133" t="str">
        <f>_xlfn.XLOOKUP(Table1[[#This Row],[Account_ID]], Accounts[ID], Accounts[Account nickname], "Unknown")</f>
        <v>WF</v>
      </c>
      <c r="H461" s="134" t="str">
        <f>_xlfn.XLOOKUP(Table1[[#This Row],[Account_ID]], Accounts[ID], Accounts[Account'#], "Unknown")</f>
        <v>4636</v>
      </c>
      <c r="I461" s="135" t="str">
        <f>_xlfn.XLOOKUP(_xlfn.XLOOKUP(Table1[[#This Row],[Account]],Accounts[Account nickname],Accounts[Institution ID]),Institutions[ID],Institutions[Institution nickname],"Unknown")</f>
        <v>Wells Fargo</v>
      </c>
      <c r="J461" s="136" t="s">
        <v>1032</v>
      </c>
      <c r="K461" s="137" t="s">
        <v>808</v>
      </c>
      <c r="L461" s="137" t="s">
        <v>807</v>
      </c>
      <c r="M46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6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61" s="138" t="str" cm="1">
        <f t="array" ref="O461">IFERROR(INDEX(CategoriesTable[Category type],MATCH(Table1[[#This Row],[Category]],CategoriesTable[Category name],0),0),"")</f>
        <v/>
      </c>
      <c r="P461" s="138">
        <v>13</v>
      </c>
      <c r="Q461" s="138">
        <f>MONTH(Table1[[#This Row],[Date]])</f>
        <v>9</v>
      </c>
      <c r="R461" s="138">
        <v>2021</v>
      </c>
      <c r="S461" s="139">
        <f>IF(ISBLANK(Table1[[#This Row],[Date]]),"",Table1[[#This Row],[Date]]-WEEKDAY(Table1[[#This Row],[Date]],2)+1)</f>
        <v>44452</v>
      </c>
      <c r="T461" s="140">
        <f>IF(ISBLANK(Table1[[#This Row],[Date]]),"",DATE(Table1[[#This Row],[Date_Year]],Table1[[#This Row],[Date_Month]],1))</f>
        <v>44440</v>
      </c>
    </row>
    <row r="462" spans="2:20" ht="15.75">
      <c r="B462" s="154">
        <v>44452</v>
      </c>
      <c r="C462" s="119" t="s">
        <v>685</v>
      </c>
      <c r="D462" s="119"/>
      <c r="E462" s="119"/>
      <c r="F462" s="155">
        <v>-608.14</v>
      </c>
      <c r="G462" s="133" t="str">
        <f>_xlfn.XLOOKUP(Table1[[#This Row],[Account_ID]], Accounts[ID], Accounts[Account nickname], "Unknown")</f>
        <v>WF</v>
      </c>
      <c r="H462" s="134" t="str">
        <f>_xlfn.XLOOKUP(Table1[[#This Row],[Account_ID]], Accounts[ID], Accounts[Account'#], "Unknown")</f>
        <v>4636</v>
      </c>
      <c r="I462" s="135" t="str">
        <f>_xlfn.XLOOKUP(_xlfn.XLOOKUP(Table1[[#This Row],[Account]],Accounts[Account nickname],Accounts[Institution ID]),Institutions[ID],Institutions[Institution nickname],"Unknown")</f>
        <v>Wells Fargo</v>
      </c>
      <c r="J462" s="136" t="s">
        <v>1031</v>
      </c>
      <c r="K462" s="137" t="s">
        <v>808</v>
      </c>
      <c r="L462" s="137" t="s">
        <v>807</v>
      </c>
      <c r="M46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6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62" s="138" t="str" cm="1">
        <f t="array" ref="O462">IFERROR(INDEX(CategoriesTable[Category type],MATCH(Table1[[#This Row],[Category]],CategoriesTable[Category name],0),0),"")</f>
        <v/>
      </c>
      <c r="P462" s="138">
        <v>13</v>
      </c>
      <c r="Q462" s="138">
        <f>MONTH(Table1[[#This Row],[Date]])</f>
        <v>9</v>
      </c>
      <c r="R462" s="138">
        <v>2021</v>
      </c>
      <c r="S462" s="139">
        <f>IF(ISBLANK(Table1[[#This Row],[Date]]),"",Table1[[#This Row],[Date]]-WEEKDAY(Table1[[#This Row],[Date]],2)+1)</f>
        <v>44452</v>
      </c>
      <c r="T462" s="140">
        <f>IF(ISBLANK(Table1[[#This Row],[Date]]),"",DATE(Table1[[#This Row],[Date_Year]],Table1[[#This Row],[Date_Month]],1))</f>
        <v>44440</v>
      </c>
    </row>
    <row r="463" spans="2:20" ht="15.75">
      <c r="B463" s="154">
        <v>44452</v>
      </c>
      <c r="C463" s="119" t="s">
        <v>1773</v>
      </c>
      <c r="D463" s="119"/>
      <c r="E463" s="119"/>
      <c r="F463" s="155">
        <v>-1.85</v>
      </c>
      <c r="G463" s="133" t="str">
        <f>_xlfn.XLOOKUP(Table1[[#This Row],[Account_ID]], Accounts[ID], Accounts[Account nickname], "Unknown")</f>
        <v>Discover</v>
      </c>
      <c r="H463" s="134" t="str">
        <f>_xlfn.XLOOKUP(Table1[[#This Row],[Account_ID]], Accounts[ID], Accounts[Account'#], "Unknown")</f>
        <v>4618</v>
      </c>
      <c r="I463" s="135" t="str">
        <f>_xlfn.XLOOKUP(_xlfn.XLOOKUP(Table1[[#This Row],[Account]],Accounts[Account nickname],Accounts[Institution ID]),Institutions[ID],Institutions[Institution nickname],"Unknown")</f>
        <v>Discover</v>
      </c>
      <c r="J463" s="136" t="s">
        <v>1776</v>
      </c>
      <c r="K463" s="137" t="s">
        <v>843</v>
      </c>
      <c r="L463" s="137" t="s">
        <v>841</v>
      </c>
      <c r="M46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6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63" s="138" t="str" cm="1">
        <f t="array" ref="O463">IFERROR(INDEX(CategoriesTable[Category type],MATCH(Table1[[#This Row],[Category]],CategoriesTable[Category name],0),0),"")</f>
        <v/>
      </c>
      <c r="P463" s="138">
        <v>13</v>
      </c>
      <c r="Q463" s="138">
        <f>MONTH(Table1[[#This Row],[Date]])</f>
        <v>9</v>
      </c>
      <c r="R463" s="138">
        <v>2021</v>
      </c>
      <c r="S463" s="139">
        <f>IF(ISBLANK(Table1[[#This Row],[Date]]),"",Table1[[#This Row],[Date]]-WEEKDAY(Table1[[#This Row],[Date]],2)+1)</f>
        <v>44452</v>
      </c>
      <c r="T463" s="140">
        <f>IF(ISBLANK(Table1[[#This Row],[Date]]),"",DATE(Table1[[#This Row],[Date_Year]],Table1[[#This Row],[Date_Month]],1))</f>
        <v>44440</v>
      </c>
    </row>
    <row r="464" spans="2:20" ht="15.75">
      <c r="B464" s="154">
        <v>44451</v>
      </c>
      <c r="C464" s="119" t="s">
        <v>1778</v>
      </c>
      <c r="D464" s="119"/>
      <c r="E464" s="119"/>
      <c r="F464" s="155">
        <v>-1130</v>
      </c>
      <c r="G464" s="133" t="str">
        <f>_xlfn.XLOOKUP(Table1[[#This Row],[Account_ID]], Accounts[ID], Accounts[Account nickname], "Unknown")</f>
        <v>Discover</v>
      </c>
      <c r="H464" s="134" t="str">
        <f>_xlfn.XLOOKUP(Table1[[#This Row],[Account_ID]], Accounts[ID], Accounts[Account'#], "Unknown")</f>
        <v>4618</v>
      </c>
      <c r="I464" s="135" t="str">
        <f>_xlfn.XLOOKUP(_xlfn.XLOOKUP(Table1[[#This Row],[Account]],Accounts[Account nickname],Accounts[Institution ID]),Institutions[ID],Institutions[Institution nickname],"Unknown")</f>
        <v>Discover</v>
      </c>
      <c r="J464" s="136" t="s">
        <v>1779</v>
      </c>
      <c r="K464" s="137" t="s">
        <v>843</v>
      </c>
      <c r="L464" s="137" t="s">
        <v>841</v>
      </c>
      <c r="M46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6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64" s="138" t="str" cm="1">
        <f t="array" ref="O464">IFERROR(INDEX(CategoriesTable[Category type],MATCH(Table1[[#This Row],[Category]],CategoriesTable[Category name],0),0),"")</f>
        <v/>
      </c>
      <c r="P464" s="138">
        <v>12</v>
      </c>
      <c r="Q464" s="138">
        <f>MONTH(Table1[[#This Row],[Date]])</f>
        <v>9</v>
      </c>
      <c r="R464" s="138">
        <v>2021</v>
      </c>
      <c r="S464" s="139">
        <f>IF(ISBLANK(Table1[[#This Row],[Date]]),"",Table1[[#This Row],[Date]]-WEEKDAY(Table1[[#This Row],[Date]],2)+1)</f>
        <v>44445</v>
      </c>
      <c r="T464" s="140">
        <f>IF(ISBLANK(Table1[[#This Row],[Date]]),"",DATE(Table1[[#This Row],[Date_Year]],Table1[[#This Row],[Date_Month]],1))</f>
        <v>44440</v>
      </c>
    </row>
    <row r="465" spans="2:20" ht="15.75">
      <c r="B465" s="154">
        <v>44451</v>
      </c>
      <c r="C465" s="119" t="s">
        <v>910</v>
      </c>
      <c r="D465" s="119"/>
      <c r="E465" s="119"/>
      <c r="F465" s="155">
        <v>-15.89</v>
      </c>
      <c r="G465" s="133" t="str">
        <f>_xlfn.XLOOKUP(Table1[[#This Row],[Account_ID]], Accounts[ID], Accounts[Account nickname], "Unknown")</f>
        <v>Discover</v>
      </c>
      <c r="H465" s="134" t="str">
        <f>_xlfn.XLOOKUP(Table1[[#This Row],[Account_ID]], Accounts[ID], Accounts[Account'#], "Unknown")</f>
        <v>4618</v>
      </c>
      <c r="I465" s="135" t="str">
        <f>_xlfn.XLOOKUP(_xlfn.XLOOKUP(Table1[[#This Row],[Account]],Accounts[Account nickname],Accounts[Institution ID]),Institutions[ID],Institutions[Institution nickname],"Unknown")</f>
        <v>Discover</v>
      </c>
      <c r="J465" s="136" t="s">
        <v>1777</v>
      </c>
      <c r="K465" s="137" t="s">
        <v>843</v>
      </c>
      <c r="L465" s="137" t="s">
        <v>841</v>
      </c>
      <c r="M46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6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65" s="138" t="str" cm="1">
        <f t="array" ref="O465">IFERROR(INDEX(CategoriesTable[Category type],MATCH(Table1[[#This Row],[Category]],CategoriesTable[Category name],0),0),"")</f>
        <v/>
      </c>
      <c r="P465" s="138">
        <v>12</v>
      </c>
      <c r="Q465" s="138">
        <f>MONTH(Table1[[#This Row],[Date]])</f>
        <v>9</v>
      </c>
      <c r="R465" s="138">
        <v>2021</v>
      </c>
      <c r="S465" s="139">
        <f>IF(ISBLANK(Table1[[#This Row],[Date]]),"",Table1[[#This Row],[Date]]-WEEKDAY(Table1[[#This Row],[Date]],2)+1)</f>
        <v>44445</v>
      </c>
      <c r="T465" s="140">
        <f>IF(ISBLANK(Table1[[#This Row],[Date]]),"",DATE(Table1[[#This Row],[Date_Year]],Table1[[#This Row],[Date_Month]],1))</f>
        <v>44440</v>
      </c>
    </row>
    <row r="466" spans="2:20" ht="15.75">
      <c r="B466" s="154">
        <v>44451</v>
      </c>
      <c r="C466" s="119" t="s">
        <v>1500</v>
      </c>
      <c r="D466" s="119"/>
      <c r="E466" s="119"/>
      <c r="F466" s="155">
        <v>-1.99</v>
      </c>
      <c r="G466" s="133" t="str">
        <f>_xlfn.XLOOKUP(Table1[[#This Row],[Account_ID]], Accounts[ID], Accounts[Account nickname], "Unknown")</f>
        <v>Discover</v>
      </c>
      <c r="H466" s="134" t="str">
        <f>_xlfn.XLOOKUP(Table1[[#This Row],[Account_ID]], Accounts[ID], Accounts[Account'#], "Unknown")</f>
        <v>4618</v>
      </c>
      <c r="I466" s="135" t="str">
        <f>_xlfn.XLOOKUP(_xlfn.XLOOKUP(Table1[[#This Row],[Account]],Accounts[Account nickname],Accounts[Institution ID]),Institutions[ID],Institutions[Institution nickname],"Unknown")</f>
        <v>Discover</v>
      </c>
      <c r="J466" s="136" t="s">
        <v>1780</v>
      </c>
      <c r="K466" s="137" t="s">
        <v>843</v>
      </c>
      <c r="L466" s="137" t="s">
        <v>841</v>
      </c>
      <c r="M46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6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66" s="138" t="str" cm="1">
        <f t="array" ref="O466">IFERROR(INDEX(CategoriesTable[Category type],MATCH(Table1[[#This Row],[Category]],CategoriesTable[Category name],0),0),"")</f>
        <v/>
      </c>
      <c r="P466" s="138">
        <v>12</v>
      </c>
      <c r="Q466" s="138">
        <f>MONTH(Table1[[#This Row],[Date]])</f>
        <v>9</v>
      </c>
      <c r="R466" s="138">
        <v>2021</v>
      </c>
      <c r="S466" s="139">
        <f>IF(ISBLANK(Table1[[#This Row],[Date]]),"",Table1[[#This Row],[Date]]-WEEKDAY(Table1[[#This Row],[Date]],2)+1)</f>
        <v>44445</v>
      </c>
      <c r="T466" s="140">
        <f>IF(ISBLANK(Table1[[#This Row],[Date]]),"",DATE(Table1[[#This Row],[Date_Year]],Table1[[#This Row],[Date_Month]],1))</f>
        <v>44440</v>
      </c>
    </row>
    <row r="467" spans="2:20" ht="15.75">
      <c r="B467" s="154">
        <v>44450</v>
      </c>
      <c r="C467" s="119" t="s">
        <v>1782</v>
      </c>
      <c r="D467" s="119"/>
      <c r="E467" s="119"/>
      <c r="F467" s="155">
        <v>-60</v>
      </c>
      <c r="G467" s="133" t="str">
        <f>_xlfn.XLOOKUP(Table1[[#This Row],[Account_ID]], Accounts[ID], Accounts[Account nickname], "Unknown")</f>
        <v>Discover</v>
      </c>
      <c r="H467" s="134" t="str">
        <f>_xlfn.XLOOKUP(Table1[[#This Row],[Account_ID]], Accounts[ID], Accounts[Account'#], "Unknown")</f>
        <v>4618</v>
      </c>
      <c r="I467" s="135" t="str">
        <f>_xlfn.XLOOKUP(_xlfn.XLOOKUP(Table1[[#This Row],[Account]],Accounts[Account nickname],Accounts[Institution ID]),Institutions[ID],Institutions[Institution nickname],"Unknown")</f>
        <v>Discover</v>
      </c>
      <c r="J467" s="136" t="s">
        <v>1783</v>
      </c>
      <c r="K467" s="137" t="s">
        <v>843</v>
      </c>
      <c r="L467" s="137" t="s">
        <v>841</v>
      </c>
      <c r="M46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6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67" s="138" t="str" cm="1">
        <f t="array" ref="O467">IFERROR(INDEX(CategoriesTable[Category type],MATCH(Table1[[#This Row],[Category]],CategoriesTable[Category name],0),0),"")</f>
        <v/>
      </c>
      <c r="P467" s="138">
        <v>11</v>
      </c>
      <c r="Q467" s="138">
        <f>MONTH(Table1[[#This Row],[Date]])</f>
        <v>9</v>
      </c>
      <c r="R467" s="138">
        <v>2021</v>
      </c>
      <c r="S467" s="139">
        <f>IF(ISBLANK(Table1[[#This Row],[Date]]),"",Table1[[#This Row],[Date]]-WEEKDAY(Table1[[#This Row],[Date]],2)+1)</f>
        <v>44445</v>
      </c>
      <c r="T467" s="140">
        <f>IF(ISBLANK(Table1[[#This Row],[Date]]),"",DATE(Table1[[#This Row],[Date_Year]],Table1[[#This Row],[Date_Month]],1))</f>
        <v>44440</v>
      </c>
    </row>
    <row r="468" spans="2:20" ht="15.75">
      <c r="B468" s="154">
        <v>44450</v>
      </c>
      <c r="C468" s="119" t="s">
        <v>1794</v>
      </c>
      <c r="D468" s="119"/>
      <c r="E468" s="119"/>
      <c r="F468" s="155">
        <v>-144.91999999999999</v>
      </c>
      <c r="G468" s="133" t="str">
        <f>_xlfn.XLOOKUP(Table1[[#This Row],[Account_ID]], Accounts[ID], Accounts[Account nickname], "Unknown")</f>
        <v>Discover</v>
      </c>
      <c r="H468" s="134" t="str">
        <f>_xlfn.XLOOKUP(Table1[[#This Row],[Account_ID]], Accounts[ID], Accounts[Account'#], "Unknown")</f>
        <v>4618</v>
      </c>
      <c r="I468" s="135" t="str">
        <f>_xlfn.XLOOKUP(_xlfn.XLOOKUP(Table1[[#This Row],[Account]],Accounts[Account nickname],Accounts[Institution ID]),Institutions[ID],Institutions[Institution nickname],"Unknown")</f>
        <v>Discover</v>
      </c>
      <c r="J468" s="136" t="s">
        <v>1795</v>
      </c>
      <c r="K468" s="137" t="s">
        <v>843</v>
      </c>
      <c r="L468" s="137" t="s">
        <v>841</v>
      </c>
      <c r="M46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6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68" s="138" t="str" cm="1">
        <f t="array" ref="O468">IFERROR(INDEX(CategoriesTable[Category type],MATCH(Table1[[#This Row],[Category]],CategoriesTable[Category name],0),0),"")</f>
        <v/>
      </c>
      <c r="P468" s="138">
        <v>11</v>
      </c>
      <c r="Q468" s="138">
        <f>MONTH(Table1[[#This Row],[Date]])</f>
        <v>9</v>
      </c>
      <c r="R468" s="138">
        <v>2021</v>
      </c>
      <c r="S468" s="139">
        <f>IF(ISBLANK(Table1[[#This Row],[Date]]),"",Table1[[#This Row],[Date]]-WEEKDAY(Table1[[#This Row],[Date]],2)+1)</f>
        <v>44445</v>
      </c>
      <c r="T468" s="140">
        <f>IF(ISBLANK(Table1[[#This Row],[Date]]),"",DATE(Table1[[#This Row],[Date_Year]],Table1[[#This Row],[Date_Month]],1))</f>
        <v>44440</v>
      </c>
    </row>
    <row r="469" spans="2:20" ht="15.75">
      <c r="B469" s="154">
        <v>44450</v>
      </c>
      <c r="C469" s="119" t="s">
        <v>1788</v>
      </c>
      <c r="D469" s="119"/>
      <c r="E469" s="119"/>
      <c r="F469" s="155">
        <v>-1.85</v>
      </c>
      <c r="G469" s="133" t="str">
        <f>_xlfn.XLOOKUP(Table1[[#This Row],[Account_ID]], Accounts[ID], Accounts[Account nickname], "Unknown")</f>
        <v>Discover</v>
      </c>
      <c r="H469" s="134" t="str">
        <f>_xlfn.XLOOKUP(Table1[[#This Row],[Account_ID]], Accounts[ID], Accounts[Account'#], "Unknown")</f>
        <v>4618</v>
      </c>
      <c r="I469" s="135" t="str">
        <f>_xlfn.XLOOKUP(_xlfn.XLOOKUP(Table1[[#This Row],[Account]],Accounts[Account nickname],Accounts[Institution ID]),Institutions[ID],Institutions[Institution nickname],"Unknown")</f>
        <v>Discover</v>
      </c>
      <c r="J469" s="136" t="s">
        <v>1791</v>
      </c>
      <c r="K469" s="137" t="s">
        <v>843</v>
      </c>
      <c r="L469" s="137" t="s">
        <v>841</v>
      </c>
      <c r="M46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6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69" s="138" t="str" cm="1">
        <f t="array" ref="O469">IFERROR(INDEX(CategoriesTable[Category type],MATCH(Table1[[#This Row],[Category]],CategoriesTable[Category name],0),0),"")</f>
        <v/>
      </c>
      <c r="P469" s="138">
        <v>11</v>
      </c>
      <c r="Q469" s="138">
        <f>MONTH(Table1[[#This Row],[Date]])</f>
        <v>9</v>
      </c>
      <c r="R469" s="138">
        <v>2021</v>
      </c>
      <c r="S469" s="139">
        <f>IF(ISBLANK(Table1[[#This Row],[Date]]),"",Table1[[#This Row],[Date]]-WEEKDAY(Table1[[#This Row],[Date]],2)+1)</f>
        <v>44445</v>
      </c>
      <c r="T469" s="140">
        <f>IF(ISBLANK(Table1[[#This Row],[Date]]),"",DATE(Table1[[#This Row],[Date_Year]],Table1[[#This Row],[Date_Month]],1))</f>
        <v>44440</v>
      </c>
    </row>
    <row r="470" spans="2:20" ht="15.75">
      <c r="B470" s="154">
        <v>44450</v>
      </c>
      <c r="C470" s="119" t="s">
        <v>1792</v>
      </c>
      <c r="D470" s="119"/>
      <c r="E470" s="119"/>
      <c r="F470" s="155">
        <v>-80</v>
      </c>
      <c r="G470" s="133" t="str">
        <f>_xlfn.XLOOKUP(Table1[[#This Row],[Account_ID]], Accounts[ID], Accounts[Account nickname], "Unknown")</f>
        <v>Discover</v>
      </c>
      <c r="H470" s="134" t="str">
        <f>_xlfn.XLOOKUP(Table1[[#This Row],[Account_ID]], Accounts[ID], Accounts[Account'#], "Unknown")</f>
        <v>4618</v>
      </c>
      <c r="I470" s="135" t="str">
        <f>_xlfn.XLOOKUP(_xlfn.XLOOKUP(Table1[[#This Row],[Account]],Accounts[Account nickname],Accounts[Institution ID]),Institutions[ID],Institutions[Institution nickname],"Unknown")</f>
        <v>Discover</v>
      </c>
      <c r="J470" s="136" t="s">
        <v>1793</v>
      </c>
      <c r="K470" s="137" t="s">
        <v>843</v>
      </c>
      <c r="L470" s="137" t="s">
        <v>841</v>
      </c>
      <c r="M47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7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70" s="138" t="str" cm="1">
        <f t="array" ref="O470">IFERROR(INDEX(CategoriesTable[Category type],MATCH(Table1[[#This Row],[Category]],CategoriesTable[Category name],0),0),"")</f>
        <v/>
      </c>
      <c r="P470" s="138">
        <v>11</v>
      </c>
      <c r="Q470" s="138">
        <f>MONTH(Table1[[#This Row],[Date]])</f>
        <v>9</v>
      </c>
      <c r="R470" s="138">
        <v>2021</v>
      </c>
      <c r="S470" s="139">
        <f>IF(ISBLANK(Table1[[#This Row],[Date]]),"",Table1[[#This Row],[Date]]-WEEKDAY(Table1[[#This Row],[Date]],2)+1)</f>
        <v>44445</v>
      </c>
      <c r="T470" s="140">
        <f>IF(ISBLANK(Table1[[#This Row],[Date]]),"",DATE(Table1[[#This Row],[Date_Year]],Table1[[#This Row],[Date_Month]],1))</f>
        <v>44440</v>
      </c>
    </row>
    <row r="471" spans="2:20" ht="15.75">
      <c r="B471" s="154">
        <v>44450</v>
      </c>
      <c r="C471" s="119" t="s">
        <v>1788</v>
      </c>
      <c r="D471" s="119"/>
      <c r="E471" s="119"/>
      <c r="F471" s="155">
        <v>-1.85</v>
      </c>
      <c r="G471" s="133" t="str">
        <f>_xlfn.XLOOKUP(Table1[[#This Row],[Account_ID]], Accounts[ID], Accounts[Account nickname], "Unknown")</f>
        <v>Discover</v>
      </c>
      <c r="H471" s="134" t="str">
        <f>_xlfn.XLOOKUP(Table1[[#This Row],[Account_ID]], Accounts[ID], Accounts[Account'#], "Unknown")</f>
        <v>4618</v>
      </c>
      <c r="I471" s="135" t="str">
        <f>_xlfn.XLOOKUP(_xlfn.XLOOKUP(Table1[[#This Row],[Account]],Accounts[Account nickname],Accounts[Institution ID]),Institutions[ID],Institutions[Institution nickname],"Unknown")</f>
        <v>Discover</v>
      </c>
      <c r="J471" s="136" t="s">
        <v>1789</v>
      </c>
      <c r="K471" s="137" t="s">
        <v>843</v>
      </c>
      <c r="L471" s="137" t="s">
        <v>841</v>
      </c>
      <c r="M47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7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71" s="138" t="str" cm="1">
        <f t="array" ref="O471">IFERROR(INDEX(CategoriesTable[Category type],MATCH(Table1[[#This Row],[Category]],CategoriesTable[Category name],0),0),"")</f>
        <v/>
      </c>
      <c r="P471" s="138">
        <v>11</v>
      </c>
      <c r="Q471" s="138">
        <f>MONTH(Table1[[#This Row],[Date]])</f>
        <v>9</v>
      </c>
      <c r="R471" s="138">
        <v>2021</v>
      </c>
      <c r="S471" s="139">
        <f>IF(ISBLANK(Table1[[#This Row],[Date]]),"",Table1[[#This Row],[Date]]-WEEKDAY(Table1[[#This Row],[Date]],2)+1)</f>
        <v>44445</v>
      </c>
      <c r="T471" s="140">
        <f>IF(ISBLANK(Table1[[#This Row],[Date]]),"",DATE(Table1[[#This Row],[Date_Year]],Table1[[#This Row],[Date_Month]],1))</f>
        <v>44440</v>
      </c>
    </row>
    <row r="472" spans="2:20" ht="15.75">
      <c r="B472" s="154">
        <v>44450</v>
      </c>
      <c r="C472" s="119" t="s">
        <v>1788</v>
      </c>
      <c r="D472" s="119"/>
      <c r="E472" s="119"/>
      <c r="F472" s="155">
        <v>-1.85</v>
      </c>
      <c r="G472" s="133" t="str">
        <f>_xlfn.XLOOKUP(Table1[[#This Row],[Account_ID]], Accounts[ID], Accounts[Account nickname], "Unknown")</f>
        <v>Discover</v>
      </c>
      <c r="H472" s="134" t="str">
        <f>_xlfn.XLOOKUP(Table1[[#This Row],[Account_ID]], Accounts[ID], Accounts[Account'#], "Unknown")</f>
        <v>4618</v>
      </c>
      <c r="I472" s="135" t="str">
        <f>_xlfn.XLOOKUP(_xlfn.XLOOKUP(Table1[[#This Row],[Account]],Accounts[Account nickname],Accounts[Institution ID]),Institutions[ID],Institutions[Institution nickname],"Unknown")</f>
        <v>Discover</v>
      </c>
      <c r="J472" s="136" t="s">
        <v>1790</v>
      </c>
      <c r="K472" s="137" t="s">
        <v>843</v>
      </c>
      <c r="L472" s="137" t="s">
        <v>841</v>
      </c>
      <c r="M47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7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72" s="138" t="str" cm="1">
        <f t="array" ref="O472">IFERROR(INDEX(CategoriesTable[Category type],MATCH(Table1[[#This Row],[Category]],CategoriesTable[Category name],0),0),"")</f>
        <v/>
      </c>
      <c r="P472" s="138">
        <v>11</v>
      </c>
      <c r="Q472" s="138">
        <f>MONTH(Table1[[#This Row],[Date]])</f>
        <v>9</v>
      </c>
      <c r="R472" s="138">
        <v>2021</v>
      </c>
      <c r="S472" s="139">
        <f>IF(ISBLANK(Table1[[#This Row],[Date]]),"",Table1[[#This Row],[Date]]-WEEKDAY(Table1[[#This Row],[Date]],2)+1)</f>
        <v>44445</v>
      </c>
      <c r="T472" s="140">
        <f>IF(ISBLANK(Table1[[#This Row],[Date]]),"",DATE(Table1[[#This Row],[Date_Year]],Table1[[#This Row],[Date_Month]],1))</f>
        <v>44440</v>
      </c>
    </row>
    <row r="473" spans="2:20" ht="15.75">
      <c r="B473" s="154">
        <v>44450</v>
      </c>
      <c r="C473" s="119" t="s">
        <v>910</v>
      </c>
      <c r="D473" s="119"/>
      <c r="E473" s="119"/>
      <c r="F473" s="155">
        <v>-24.36</v>
      </c>
      <c r="G473" s="133" t="str">
        <f>_xlfn.XLOOKUP(Table1[[#This Row],[Account_ID]], Accounts[ID], Accounts[Account nickname], "Unknown")</f>
        <v>Discover</v>
      </c>
      <c r="H473" s="134" t="str">
        <f>_xlfn.XLOOKUP(Table1[[#This Row],[Account_ID]], Accounts[ID], Accounts[Account'#], "Unknown")</f>
        <v>4618</v>
      </c>
      <c r="I473" s="135" t="str">
        <f>_xlfn.XLOOKUP(_xlfn.XLOOKUP(Table1[[#This Row],[Account]],Accounts[Account nickname],Accounts[Institution ID]),Institutions[ID],Institutions[Institution nickname],"Unknown")</f>
        <v>Discover</v>
      </c>
      <c r="J473" s="136" t="s">
        <v>1781</v>
      </c>
      <c r="K473" s="137" t="s">
        <v>843</v>
      </c>
      <c r="L473" s="137" t="s">
        <v>841</v>
      </c>
      <c r="M47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7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73" s="138" t="str" cm="1">
        <f t="array" ref="O473">IFERROR(INDEX(CategoriesTable[Category type],MATCH(Table1[[#This Row],[Category]],CategoriesTable[Category name],0),0),"")</f>
        <v/>
      </c>
      <c r="P473" s="138">
        <v>11</v>
      </c>
      <c r="Q473" s="138">
        <f>MONTH(Table1[[#This Row],[Date]])</f>
        <v>9</v>
      </c>
      <c r="R473" s="138">
        <v>2021</v>
      </c>
      <c r="S473" s="139">
        <f>IF(ISBLANK(Table1[[#This Row],[Date]]),"",Table1[[#This Row],[Date]]-WEEKDAY(Table1[[#This Row],[Date]],2)+1)</f>
        <v>44445</v>
      </c>
      <c r="T473" s="140">
        <f>IF(ISBLANK(Table1[[#This Row],[Date]]),"",DATE(Table1[[#This Row],[Date_Year]],Table1[[#This Row],[Date_Month]],1))</f>
        <v>44440</v>
      </c>
    </row>
    <row r="474" spans="2:20" ht="15.75">
      <c r="B474" s="154">
        <v>44450</v>
      </c>
      <c r="C474" s="119" t="s">
        <v>1784</v>
      </c>
      <c r="D474" s="119"/>
      <c r="E474" s="119"/>
      <c r="F474" s="155">
        <v>-10.33</v>
      </c>
      <c r="G474" s="133" t="str">
        <f>_xlfn.XLOOKUP(Table1[[#This Row],[Account_ID]], Accounts[ID], Accounts[Account nickname], "Unknown")</f>
        <v>Discover</v>
      </c>
      <c r="H474" s="134" t="str">
        <f>_xlfn.XLOOKUP(Table1[[#This Row],[Account_ID]], Accounts[ID], Accounts[Account'#], "Unknown")</f>
        <v>4618</v>
      </c>
      <c r="I474" s="135" t="str">
        <f>_xlfn.XLOOKUP(_xlfn.XLOOKUP(Table1[[#This Row],[Account]],Accounts[Account nickname],Accounts[Institution ID]),Institutions[ID],Institutions[Institution nickname],"Unknown")</f>
        <v>Discover</v>
      </c>
      <c r="J474" s="136" t="s">
        <v>1785</v>
      </c>
      <c r="K474" s="137" t="s">
        <v>843</v>
      </c>
      <c r="L474" s="137" t="s">
        <v>841</v>
      </c>
      <c r="M47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7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74" s="138" t="str" cm="1">
        <f t="array" ref="O474">IFERROR(INDEX(CategoriesTable[Category type],MATCH(Table1[[#This Row],[Category]],CategoriesTable[Category name],0),0),"")</f>
        <v/>
      </c>
      <c r="P474" s="138">
        <v>11</v>
      </c>
      <c r="Q474" s="138">
        <f>MONTH(Table1[[#This Row],[Date]])</f>
        <v>9</v>
      </c>
      <c r="R474" s="138">
        <v>2021</v>
      </c>
      <c r="S474" s="139">
        <f>IF(ISBLANK(Table1[[#This Row],[Date]]),"",Table1[[#This Row],[Date]]-WEEKDAY(Table1[[#This Row],[Date]],2)+1)</f>
        <v>44445</v>
      </c>
      <c r="T474" s="140">
        <f>IF(ISBLANK(Table1[[#This Row],[Date]]),"",DATE(Table1[[#This Row],[Date_Year]],Table1[[#This Row],[Date_Month]],1))</f>
        <v>44440</v>
      </c>
    </row>
    <row r="475" spans="2:20" ht="15.75">
      <c r="B475" s="154">
        <v>44450</v>
      </c>
      <c r="C475" s="119" t="s">
        <v>1786</v>
      </c>
      <c r="D475" s="119"/>
      <c r="E475" s="119"/>
      <c r="F475" s="155">
        <v>-19.149999999999999</v>
      </c>
      <c r="G475" s="133" t="str">
        <f>_xlfn.XLOOKUP(Table1[[#This Row],[Account_ID]], Accounts[ID], Accounts[Account nickname], "Unknown")</f>
        <v>Discover</v>
      </c>
      <c r="H475" s="134" t="str">
        <f>_xlfn.XLOOKUP(Table1[[#This Row],[Account_ID]], Accounts[ID], Accounts[Account'#], "Unknown")</f>
        <v>4618</v>
      </c>
      <c r="I475" s="135" t="str">
        <f>_xlfn.XLOOKUP(_xlfn.XLOOKUP(Table1[[#This Row],[Account]],Accounts[Account nickname],Accounts[Institution ID]),Institutions[ID],Institutions[Institution nickname],"Unknown")</f>
        <v>Discover</v>
      </c>
      <c r="J475" s="136" t="s">
        <v>1787</v>
      </c>
      <c r="K475" s="137" t="s">
        <v>843</v>
      </c>
      <c r="L475" s="137" t="s">
        <v>841</v>
      </c>
      <c r="M47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7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75" s="138" t="str" cm="1">
        <f t="array" ref="O475">IFERROR(INDEX(CategoriesTable[Category type],MATCH(Table1[[#This Row],[Category]],CategoriesTable[Category name],0),0),"")</f>
        <v/>
      </c>
      <c r="P475" s="138">
        <v>11</v>
      </c>
      <c r="Q475" s="138">
        <f>MONTH(Table1[[#This Row],[Date]])</f>
        <v>9</v>
      </c>
      <c r="R475" s="138">
        <v>2021</v>
      </c>
      <c r="S475" s="139">
        <f>IF(ISBLANK(Table1[[#This Row],[Date]]),"",Table1[[#This Row],[Date]]-WEEKDAY(Table1[[#This Row],[Date]],2)+1)</f>
        <v>44445</v>
      </c>
      <c r="T475" s="140">
        <f>IF(ISBLANK(Table1[[#This Row],[Date]]),"",DATE(Table1[[#This Row],[Date_Year]],Table1[[#This Row],[Date_Month]],1))</f>
        <v>44440</v>
      </c>
    </row>
    <row r="476" spans="2:20" ht="15.75">
      <c r="B476" s="154">
        <v>44449</v>
      </c>
      <c r="C476" s="119" t="s">
        <v>1470</v>
      </c>
      <c r="D476" s="119"/>
      <c r="E476" s="119"/>
      <c r="F476" s="155">
        <v>-11.87</v>
      </c>
      <c r="G476" s="133" t="str">
        <f>_xlfn.XLOOKUP(Table1[[#This Row],[Account_ID]], Accounts[ID], Accounts[Account nickname], "Unknown")</f>
        <v>Discover</v>
      </c>
      <c r="H476" s="134" t="str">
        <f>_xlfn.XLOOKUP(Table1[[#This Row],[Account_ID]], Accounts[ID], Accounts[Account'#], "Unknown")</f>
        <v>4618</v>
      </c>
      <c r="I476" s="135" t="str">
        <f>_xlfn.XLOOKUP(_xlfn.XLOOKUP(Table1[[#This Row],[Account]],Accounts[Account nickname],Accounts[Institution ID]),Institutions[ID],Institutions[Institution nickname],"Unknown")</f>
        <v>Discover</v>
      </c>
      <c r="J476" s="136" t="s">
        <v>1796</v>
      </c>
      <c r="K476" s="137" t="s">
        <v>843</v>
      </c>
      <c r="L476" s="137" t="s">
        <v>841</v>
      </c>
      <c r="M47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7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76" s="138" t="str" cm="1">
        <f t="array" ref="O476">IFERROR(INDEX(CategoriesTable[Category type],MATCH(Table1[[#This Row],[Category]],CategoriesTable[Category name],0),0),"")</f>
        <v/>
      </c>
      <c r="P476" s="138">
        <v>10</v>
      </c>
      <c r="Q476" s="138">
        <f>MONTH(Table1[[#This Row],[Date]])</f>
        <v>9</v>
      </c>
      <c r="R476" s="138">
        <v>2021</v>
      </c>
      <c r="S476" s="139">
        <f>IF(ISBLANK(Table1[[#This Row],[Date]]),"",Table1[[#This Row],[Date]]-WEEKDAY(Table1[[#This Row],[Date]],2)+1)</f>
        <v>44445</v>
      </c>
      <c r="T476" s="140">
        <f>IF(ISBLANK(Table1[[#This Row],[Date]]),"",DATE(Table1[[#This Row],[Date_Year]],Table1[[#This Row],[Date_Month]],1))</f>
        <v>44440</v>
      </c>
    </row>
    <row r="477" spans="2:20" ht="15.75">
      <c r="B477" s="154">
        <v>44449</v>
      </c>
      <c r="C477" s="119" t="s">
        <v>678</v>
      </c>
      <c r="D477" s="119"/>
      <c r="E477" s="119"/>
      <c r="F477" s="155">
        <v>282.35000000000002</v>
      </c>
      <c r="G477" s="133" t="str">
        <f>_xlfn.XLOOKUP(Table1[[#This Row],[Account_ID]], Accounts[ID], Accounts[Account nickname], "Unknown")</f>
        <v>WF</v>
      </c>
      <c r="H477" s="134" t="str">
        <f>_xlfn.XLOOKUP(Table1[[#This Row],[Account_ID]], Accounts[ID], Accounts[Account'#], "Unknown")</f>
        <v>4636</v>
      </c>
      <c r="I477" s="135" t="str">
        <f>_xlfn.XLOOKUP(_xlfn.XLOOKUP(Table1[[#This Row],[Account]],Accounts[Account nickname],Accounts[Institution ID]),Institutions[ID],Institutions[Institution nickname],"Unknown")</f>
        <v>Wells Fargo</v>
      </c>
      <c r="J477" s="136" t="s">
        <v>1034</v>
      </c>
      <c r="K477" s="137" t="s">
        <v>808</v>
      </c>
      <c r="L477" s="137" t="s">
        <v>807</v>
      </c>
      <c r="M47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7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77" s="138" t="str" cm="1">
        <f t="array" ref="O477">IFERROR(INDEX(CategoriesTable[Category type],MATCH(Table1[[#This Row],[Category]],CategoriesTable[Category name],0),0),"")</f>
        <v/>
      </c>
      <c r="P477" s="138">
        <v>10</v>
      </c>
      <c r="Q477" s="138">
        <f>MONTH(Table1[[#This Row],[Date]])</f>
        <v>9</v>
      </c>
      <c r="R477" s="138">
        <v>2021</v>
      </c>
      <c r="S477" s="139">
        <f>IF(ISBLANK(Table1[[#This Row],[Date]]),"",Table1[[#This Row],[Date]]-WEEKDAY(Table1[[#This Row],[Date]],2)+1)</f>
        <v>44445</v>
      </c>
      <c r="T477" s="140">
        <f>IF(ISBLANK(Table1[[#This Row],[Date]]),"",DATE(Table1[[#This Row],[Date_Year]],Table1[[#This Row],[Date_Month]],1))</f>
        <v>44440</v>
      </c>
    </row>
    <row r="478" spans="2:20" ht="15.75">
      <c r="B478" s="154">
        <v>44449</v>
      </c>
      <c r="C478" s="119" t="s">
        <v>686</v>
      </c>
      <c r="D478" s="119"/>
      <c r="E478" s="119"/>
      <c r="F478" s="155">
        <v>-925.18</v>
      </c>
      <c r="G478" s="133" t="str">
        <f>_xlfn.XLOOKUP(Table1[[#This Row],[Account_ID]], Accounts[ID], Accounts[Account nickname], "Unknown")</f>
        <v>WF</v>
      </c>
      <c r="H478" s="134" t="str">
        <f>_xlfn.XLOOKUP(Table1[[#This Row],[Account_ID]], Accounts[ID], Accounts[Account'#], "Unknown")</f>
        <v>4636</v>
      </c>
      <c r="I478" s="135" t="str">
        <f>_xlfn.XLOOKUP(_xlfn.XLOOKUP(Table1[[#This Row],[Account]],Accounts[Account nickname],Accounts[Institution ID]),Institutions[ID],Institutions[Institution nickname],"Unknown")</f>
        <v>Wells Fargo</v>
      </c>
      <c r="J478" s="136" t="s">
        <v>1033</v>
      </c>
      <c r="K478" s="137" t="s">
        <v>808</v>
      </c>
      <c r="L478" s="137" t="s">
        <v>807</v>
      </c>
      <c r="M47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7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78" s="138" t="str" cm="1">
        <f t="array" ref="O478">IFERROR(INDEX(CategoriesTable[Category type],MATCH(Table1[[#This Row],[Category]],CategoriesTable[Category name],0),0),"")</f>
        <v/>
      </c>
      <c r="P478" s="138">
        <v>10</v>
      </c>
      <c r="Q478" s="138">
        <f>MONTH(Table1[[#This Row],[Date]])</f>
        <v>9</v>
      </c>
      <c r="R478" s="138">
        <v>2021</v>
      </c>
      <c r="S478" s="139">
        <f>IF(ISBLANK(Table1[[#This Row],[Date]]),"",Table1[[#This Row],[Date]]-WEEKDAY(Table1[[#This Row],[Date]],2)+1)</f>
        <v>44445</v>
      </c>
      <c r="T478" s="140">
        <f>IF(ISBLANK(Table1[[#This Row],[Date]]),"",DATE(Table1[[#This Row],[Date_Year]],Table1[[#This Row],[Date_Month]],1))</f>
        <v>44440</v>
      </c>
    </row>
    <row r="479" spans="2:20" ht="15.75">
      <c r="B479" s="154">
        <v>44449</v>
      </c>
      <c r="C479" s="119" t="s">
        <v>845</v>
      </c>
      <c r="D479" s="119"/>
      <c r="E479" s="119"/>
      <c r="F479" s="155">
        <v>925.18</v>
      </c>
      <c r="G479" s="133" t="str">
        <f>_xlfn.XLOOKUP(Table1[[#This Row],[Account_ID]], Accounts[ID], Accounts[Account nickname], "Unknown")</f>
        <v>Discover</v>
      </c>
      <c r="H479" s="134" t="str">
        <f>_xlfn.XLOOKUP(Table1[[#This Row],[Account_ID]], Accounts[ID], Accounts[Account'#], "Unknown")</f>
        <v>4618</v>
      </c>
      <c r="I479" s="135" t="str">
        <f>_xlfn.XLOOKUP(_xlfn.XLOOKUP(Table1[[#This Row],[Account]],Accounts[Account nickname],Accounts[Institution ID]),Institutions[ID],Institutions[Institution nickname],"Unknown")</f>
        <v>Discover</v>
      </c>
      <c r="J479" s="136" t="s">
        <v>1798</v>
      </c>
      <c r="K479" s="137" t="s">
        <v>843</v>
      </c>
      <c r="L479" s="137" t="s">
        <v>841</v>
      </c>
      <c r="M47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7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79" s="138" t="str" cm="1">
        <f t="array" ref="O479">IFERROR(INDEX(CategoriesTable[Category type],MATCH(Table1[[#This Row],[Category]],CategoriesTable[Category name],0),0),"")</f>
        <v/>
      </c>
      <c r="P479" s="138">
        <v>10</v>
      </c>
      <c r="Q479" s="138">
        <f>MONTH(Table1[[#This Row],[Date]])</f>
        <v>9</v>
      </c>
      <c r="R479" s="138">
        <v>2021</v>
      </c>
      <c r="S479" s="139">
        <f>IF(ISBLANK(Table1[[#This Row],[Date]]),"",Table1[[#This Row],[Date]]-WEEKDAY(Table1[[#This Row],[Date]],2)+1)</f>
        <v>44445</v>
      </c>
      <c r="T479" s="140">
        <f>IF(ISBLANK(Table1[[#This Row],[Date]]),"",DATE(Table1[[#This Row],[Date_Year]],Table1[[#This Row],[Date_Month]],1))</f>
        <v>44440</v>
      </c>
    </row>
    <row r="480" spans="2:20" ht="15.75">
      <c r="B480" s="154">
        <v>44449</v>
      </c>
      <c r="C480" s="119" t="s">
        <v>1709</v>
      </c>
      <c r="D480" s="119"/>
      <c r="E480" s="119"/>
      <c r="F480" s="155">
        <v>-11.71</v>
      </c>
      <c r="G480" s="133" t="str">
        <f>_xlfn.XLOOKUP(Table1[[#This Row],[Account_ID]], Accounts[ID], Accounts[Account nickname], "Unknown")</f>
        <v>Discover</v>
      </c>
      <c r="H480" s="134" t="str">
        <f>_xlfn.XLOOKUP(Table1[[#This Row],[Account_ID]], Accounts[ID], Accounts[Account'#], "Unknown")</f>
        <v>4618</v>
      </c>
      <c r="I480" s="135" t="str">
        <f>_xlfn.XLOOKUP(_xlfn.XLOOKUP(Table1[[#This Row],[Account]],Accounts[Account nickname],Accounts[Institution ID]),Institutions[ID],Institutions[Institution nickname],"Unknown")</f>
        <v>Discover</v>
      </c>
      <c r="J480" s="136" t="s">
        <v>1797</v>
      </c>
      <c r="K480" s="137" t="s">
        <v>843</v>
      </c>
      <c r="L480" s="137" t="s">
        <v>841</v>
      </c>
      <c r="M48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8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80" s="138" t="str" cm="1">
        <f t="array" ref="O480">IFERROR(INDEX(CategoriesTable[Category type],MATCH(Table1[[#This Row],[Category]],CategoriesTable[Category name],0),0),"")</f>
        <v/>
      </c>
      <c r="P480" s="138">
        <v>10</v>
      </c>
      <c r="Q480" s="138">
        <f>MONTH(Table1[[#This Row],[Date]])</f>
        <v>9</v>
      </c>
      <c r="R480" s="138">
        <v>2021</v>
      </c>
      <c r="S480" s="139">
        <f>IF(ISBLANK(Table1[[#This Row],[Date]]),"",Table1[[#This Row],[Date]]-WEEKDAY(Table1[[#This Row],[Date]],2)+1)</f>
        <v>44445</v>
      </c>
      <c r="T480" s="140">
        <f>IF(ISBLANK(Table1[[#This Row],[Date]]),"",DATE(Table1[[#This Row],[Date_Year]],Table1[[#This Row],[Date_Month]],1))</f>
        <v>44440</v>
      </c>
    </row>
    <row r="481" spans="2:20" ht="15.75">
      <c r="B481" s="154">
        <v>44449</v>
      </c>
      <c r="C481" s="119" t="s">
        <v>1799</v>
      </c>
      <c r="D481" s="119"/>
      <c r="E481" s="119"/>
      <c r="F481" s="155">
        <v>-60</v>
      </c>
      <c r="G481" s="133" t="str">
        <f>_xlfn.XLOOKUP(Table1[[#This Row],[Account_ID]], Accounts[ID], Accounts[Account nickname], "Unknown")</f>
        <v>Discover</v>
      </c>
      <c r="H481" s="134" t="str">
        <f>_xlfn.XLOOKUP(Table1[[#This Row],[Account_ID]], Accounts[ID], Accounts[Account'#], "Unknown")</f>
        <v>4618</v>
      </c>
      <c r="I481" s="135" t="str">
        <f>_xlfn.XLOOKUP(_xlfn.XLOOKUP(Table1[[#This Row],[Account]],Accounts[Account nickname],Accounts[Institution ID]),Institutions[ID],Institutions[Institution nickname],"Unknown")</f>
        <v>Discover</v>
      </c>
      <c r="J481" s="136" t="s">
        <v>1800</v>
      </c>
      <c r="K481" s="137" t="s">
        <v>843</v>
      </c>
      <c r="L481" s="137" t="s">
        <v>841</v>
      </c>
      <c r="M48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8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81" s="138" t="str" cm="1">
        <f t="array" ref="O481">IFERROR(INDEX(CategoriesTable[Category type],MATCH(Table1[[#This Row],[Category]],CategoriesTable[Category name],0),0),"")</f>
        <v/>
      </c>
      <c r="P481" s="138">
        <v>10</v>
      </c>
      <c r="Q481" s="138">
        <f>MONTH(Table1[[#This Row],[Date]])</f>
        <v>9</v>
      </c>
      <c r="R481" s="138">
        <v>2021</v>
      </c>
      <c r="S481" s="139">
        <f>IF(ISBLANK(Table1[[#This Row],[Date]]),"",Table1[[#This Row],[Date]]-WEEKDAY(Table1[[#This Row],[Date]],2)+1)</f>
        <v>44445</v>
      </c>
      <c r="T481" s="140">
        <f>IF(ISBLANK(Table1[[#This Row],[Date]]),"",DATE(Table1[[#This Row],[Date_Year]],Table1[[#This Row],[Date_Month]],1))</f>
        <v>44440</v>
      </c>
    </row>
    <row r="482" spans="2:20" ht="15.75">
      <c r="B482" s="154">
        <v>44448</v>
      </c>
      <c r="C482" s="119" t="s">
        <v>1377</v>
      </c>
      <c r="D482" s="119" t="s">
        <v>106</v>
      </c>
      <c r="E482" s="119"/>
      <c r="F482" s="155">
        <v>608.14</v>
      </c>
      <c r="G482" s="133" t="str">
        <f>_xlfn.XLOOKUP(Table1[[#This Row],[Account_ID]], Accounts[ID], Accounts[Account nickname], "Unknown")</f>
        <v>BB</v>
      </c>
      <c r="H482" s="134" t="str">
        <f>_xlfn.XLOOKUP(Table1[[#This Row],[Account_ID]], Accounts[ID], Accounts[Account'#], "Unknown")</f>
        <v>4561</v>
      </c>
      <c r="I482" s="135" t="str">
        <f>_xlfn.XLOOKUP(_xlfn.XLOOKUP(Table1[[#This Row],[Account]],Accounts[Account nickname],Accounts[Institution ID]),Institutions[ID],Institutions[Institution nickname],"Unknown")</f>
        <v>Best Buy - Citi Card</v>
      </c>
      <c r="J482" s="136" t="s">
        <v>1805</v>
      </c>
      <c r="K482" s="137" t="s">
        <v>1375</v>
      </c>
      <c r="L482" s="137" t="s">
        <v>1372</v>
      </c>
      <c r="M48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3dafc6bd8d7c45ae9840ff09e01567d1</v>
      </c>
      <c r="N48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82" s="138" t="str" cm="1">
        <f t="array" ref="O482">IFERROR(INDEX(CategoriesTable[Category type],MATCH(Table1[[#This Row],[Category]],CategoriesTable[Category name],0),0),"")</f>
        <v>Expense</v>
      </c>
      <c r="P482" s="138">
        <v>9</v>
      </c>
      <c r="Q482" s="138">
        <f>MONTH(Table1[[#This Row],[Date]])</f>
        <v>9</v>
      </c>
      <c r="R482" s="138">
        <v>2021</v>
      </c>
      <c r="S482" s="139">
        <f>IF(ISBLANK(Table1[[#This Row],[Date]]),"",Table1[[#This Row],[Date]]-WEEKDAY(Table1[[#This Row],[Date]],2)+1)</f>
        <v>44445</v>
      </c>
      <c r="T482" s="140">
        <f>IF(ISBLANK(Table1[[#This Row],[Date]]),"",DATE(Table1[[#This Row],[Date_Year]],Table1[[#This Row],[Date_Month]],1))</f>
        <v>44440</v>
      </c>
    </row>
    <row r="483" spans="2:20" ht="15.75">
      <c r="B483" s="154">
        <v>44448</v>
      </c>
      <c r="C483" s="119" t="s">
        <v>677</v>
      </c>
      <c r="D483" s="119"/>
      <c r="E483" s="119"/>
      <c r="F483" s="155">
        <v>2033.66</v>
      </c>
      <c r="G483" s="133" t="str">
        <f>_xlfn.XLOOKUP(Table1[[#This Row],[Account_ID]], Accounts[ID], Accounts[Account nickname], "Unknown")</f>
        <v>WF</v>
      </c>
      <c r="H483" s="134" t="str">
        <f>_xlfn.XLOOKUP(Table1[[#This Row],[Account_ID]], Accounts[ID], Accounts[Account'#], "Unknown")</f>
        <v>4636</v>
      </c>
      <c r="I483" s="135" t="str">
        <f>_xlfn.XLOOKUP(_xlfn.XLOOKUP(Table1[[#This Row],[Account]],Accounts[Account nickname],Accounts[Institution ID]),Institutions[ID],Institutions[Institution nickname],"Unknown")</f>
        <v>Wells Fargo</v>
      </c>
      <c r="J483" s="136" t="s">
        <v>1035</v>
      </c>
      <c r="K483" s="137" t="s">
        <v>808</v>
      </c>
      <c r="L483" s="137" t="s">
        <v>807</v>
      </c>
      <c r="M48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8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83" s="138" t="str" cm="1">
        <f t="array" ref="O483">IFERROR(INDEX(CategoriesTable[Category type],MATCH(Table1[[#This Row],[Category]],CategoriesTable[Category name],0),0),"")</f>
        <v/>
      </c>
      <c r="P483" s="138">
        <v>9</v>
      </c>
      <c r="Q483" s="138">
        <f>MONTH(Table1[[#This Row],[Date]])</f>
        <v>9</v>
      </c>
      <c r="R483" s="138">
        <v>2021</v>
      </c>
      <c r="S483" s="139">
        <f>IF(ISBLANK(Table1[[#This Row],[Date]]),"",Table1[[#This Row],[Date]]-WEEKDAY(Table1[[#This Row],[Date]],2)+1)</f>
        <v>44445</v>
      </c>
      <c r="T483" s="140">
        <f>IF(ISBLANK(Table1[[#This Row],[Date]]),"",DATE(Table1[[#This Row],[Date_Year]],Table1[[#This Row],[Date_Month]],1))</f>
        <v>44440</v>
      </c>
    </row>
    <row r="484" spans="2:20" ht="15.75">
      <c r="B484" s="154">
        <v>44448</v>
      </c>
      <c r="C484" s="119" t="s">
        <v>1803</v>
      </c>
      <c r="D484" s="119"/>
      <c r="E484" s="119"/>
      <c r="F484" s="155">
        <v>-48.5</v>
      </c>
      <c r="G484" s="133" t="str">
        <f>_xlfn.XLOOKUP(Table1[[#This Row],[Account_ID]], Accounts[ID], Accounts[Account nickname], "Unknown")</f>
        <v>Discover</v>
      </c>
      <c r="H484" s="134" t="str">
        <f>_xlfn.XLOOKUP(Table1[[#This Row],[Account_ID]], Accounts[ID], Accounts[Account'#], "Unknown")</f>
        <v>4618</v>
      </c>
      <c r="I484" s="135" t="str">
        <f>_xlfn.XLOOKUP(_xlfn.XLOOKUP(Table1[[#This Row],[Account]],Accounts[Account nickname],Accounts[Institution ID]),Institutions[ID],Institutions[Institution nickname],"Unknown")</f>
        <v>Discover</v>
      </c>
      <c r="J484" s="136" t="s">
        <v>1804</v>
      </c>
      <c r="K484" s="137" t="s">
        <v>843</v>
      </c>
      <c r="L484" s="137" t="s">
        <v>841</v>
      </c>
      <c r="M48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8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84" s="138" t="str" cm="1">
        <f t="array" ref="O484">IFERROR(INDEX(CategoriesTable[Category type],MATCH(Table1[[#This Row],[Category]],CategoriesTable[Category name],0),0),"")</f>
        <v/>
      </c>
      <c r="P484" s="138">
        <v>9</v>
      </c>
      <c r="Q484" s="138">
        <f>MONTH(Table1[[#This Row],[Date]])</f>
        <v>9</v>
      </c>
      <c r="R484" s="138">
        <v>2021</v>
      </c>
      <c r="S484" s="139">
        <f>IF(ISBLANK(Table1[[#This Row],[Date]]),"",Table1[[#This Row],[Date]]-WEEKDAY(Table1[[#This Row],[Date]],2)+1)</f>
        <v>44445</v>
      </c>
      <c r="T484" s="140">
        <f>IF(ISBLANK(Table1[[#This Row],[Date]]),"",DATE(Table1[[#This Row],[Date_Year]],Table1[[#This Row],[Date_Month]],1))</f>
        <v>44440</v>
      </c>
    </row>
    <row r="485" spans="2:20" ht="15.75">
      <c r="B485" s="154">
        <v>44448</v>
      </c>
      <c r="C485" s="119" t="s">
        <v>922</v>
      </c>
      <c r="D485" s="119"/>
      <c r="E485" s="119"/>
      <c r="F485" s="155">
        <v>-28.76</v>
      </c>
      <c r="G485" s="133" t="str">
        <f>_xlfn.XLOOKUP(Table1[[#This Row],[Account_ID]], Accounts[ID], Accounts[Account nickname], "Unknown")</f>
        <v>Discover</v>
      </c>
      <c r="H485" s="134" t="str">
        <f>_xlfn.XLOOKUP(Table1[[#This Row],[Account_ID]], Accounts[ID], Accounts[Account'#], "Unknown")</f>
        <v>4618</v>
      </c>
      <c r="I485" s="135" t="str">
        <f>_xlfn.XLOOKUP(_xlfn.XLOOKUP(Table1[[#This Row],[Account]],Accounts[Account nickname],Accounts[Institution ID]),Institutions[ID],Institutions[Institution nickname],"Unknown")</f>
        <v>Discover</v>
      </c>
      <c r="J485" s="136" t="s">
        <v>1802</v>
      </c>
      <c r="K485" s="137" t="s">
        <v>843</v>
      </c>
      <c r="L485" s="137" t="s">
        <v>841</v>
      </c>
      <c r="M48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8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85" s="138" t="str" cm="1">
        <f t="array" ref="O485">IFERROR(INDEX(CategoriesTable[Category type],MATCH(Table1[[#This Row],[Category]],CategoriesTable[Category name],0),0),"")</f>
        <v/>
      </c>
      <c r="P485" s="138">
        <v>9</v>
      </c>
      <c r="Q485" s="138">
        <f>MONTH(Table1[[#This Row],[Date]])</f>
        <v>9</v>
      </c>
      <c r="R485" s="138">
        <v>2021</v>
      </c>
      <c r="S485" s="139">
        <f>IF(ISBLANK(Table1[[#This Row],[Date]]),"",Table1[[#This Row],[Date]]-WEEKDAY(Table1[[#This Row],[Date]],2)+1)</f>
        <v>44445</v>
      </c>
      <c r="T485" s="140">
        <f>IF(ISBLANK(Table1[[#This Row],[Date]]),"",DATE(Table1[[#This Row],[Date_Year]],Table1[[#This Row],[Date_Month]],1))</f>
        <v>44440</v>
      </c>
    </row>
    <row r="486" spans="2:20" ht="15.75">
      <c r="B486" s="154">
        <v>44448</v>
      </c>
      <c r="C486" s="119" t="s">
        <v>1709</v>
      </c>
      <c r="D486" s="119"/>
      <c r="E486" s="119"/>
      <c r="F486" s="155">
        <v>-8.59</v>
      </c>
      <c r="G486" s="133" t="str">
        <f>_xlfn.XLOOKUP(Table1[[#This Row],[Account_ID]], Accounts[ID], Accounts[Account nickname], "Unknown")</f>
        <v>Discover</v>
      </c>
      <c r="H486" s="134" t="str">
        <f>_xlfn.XLOOKUP(Table1[[#This Row],[Account_ID]], Accounts[ID], Accounts[Account'#], "Unknown")</f>
        <v>4618</v>
      </c>
      <c r="I486" s="135" t="str">
        <f>_xlfn.XLOOKUP(_xlfn.XLOOKUP(Table1[[#This Row],[Account]],Accounts[Account nickname],Accounts[Institution ID]),Institutions[ID],Institutions[Institution nickname],"Unknown")</f>
        <v>Discover</v>
      </c>
      <c r="J486" s="136" t="s">
        <v>1801</v>
      </c>
      <c r="K486" s="137" t="s">
        <v>843</v>
      </c>
      <c r="L486" s="137" t="s">
        <v>841</v>
      </c>
      <c r="M48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8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86" s="138" t="str" cm="1">
        <f t="array" ref="O486">IFERROR(INDEX(CategoriesTable[Category type],MATCH(Table1[[#This Row],[Category]],CategoriesTable[Category name],0),0),"")</f>
        <v/>
      </c>
      <c r="P486" s="138">
        <v>9</v>
      </c>
      <c r="Q486" s="138">
        <f>MONTH(Table1[[#This Row],[Date]])</f>
        <v>9</v>
      </c>
      <c r="R486" s="138">
        <v>2021</v>
      </c>
      <c r="S486" s="139">
        <f>IF(ISBLANK(Table1[[#This Row],[Date]]),"",Table1[[#This Row],[Date]]-WEEKDAY(Table1[[#This Row],[Date]],2)+1)</f>
        <v>44445</v>
      </c>
      <c r="T486" s="140">
        <f>IF(ISBLANK(Table1[[#This Row],[Date]]),"",DATE(Table1[[#This Row],[Date_Year]],Table1[[#This Row],[Date_Month]],1))</f>
        <v>44440</v>
      </c>
    </row>
    <row r="487" spans="2:20" ht="15.75">
      <c r="B487" s="154">
        <v>44447</v>
      </c>
      <c r="C487" s="119" t="s">
        <v>704</v>
      </c>
      <c r="D487" s="119"/>
      <c r="E487" s="119"/>
      <c r="F487" s="155">
        <v>-53</v>
      </c>
      <c r="G487" s="133" t="str">
        <f>_xlfn.XLOOKUP(Table1[[#This Row],[Account_ID]], Accounts[ID], Accounts[Account nickname], "Unknown")</f>
        <v>Discover</v>
      </c>
      <c r="H487" s="134" t="str">
        <f>_xlfn.XLOOKUP(Table1[[#This Row],[Account_ID]], Accounts[ID], Accounts[Account'#], "Unknown")</f>
        <v>4618</v>
      </c>
      <c r="I487" s="135" t="str">
        <f>_xlfn.XLOOKUP(_xlfn.XLOOKUP(Table1[[#This Row],[Account]],Accounts[Account nickname],Accounts[Institution ID]),Institutions[ID],Institutions[Institution nickname],"Unknown")</f>
        <v>Discover</v>
      </c>
      <c r="J487" s="136" t="s">
        <v>1809</v>
      </c>
      <c r="K487" s="137" t="s">
        <v>843</v>
      </c>
      <c r="L487" s="137" t="s">
        <v>841</v>
      </c>
      <c r="M48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8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87" s="138" t="str" cm="1">
        <f t="array" ref="O487">IFERROR(INDEX(CategoriesTable[Category type],MATCH(Table1[[#This Row],[Category]],CategoriesTable[Category name],0),0),"")</f>
        <v/>
      </c>
      <c r="P487" s="138">
        <v>8</v>
      </c>
      <c r="Q487" s="138">
        <f>MONTH(Table1[[#This Row],[Date]])</f>
        <v>9</v>
      </c>
      <c r="R487" s="138">
        <v>2021</v>
      </c>
      <c r="S487" s="139">
        <f>IF(ISBLANK(Table1[[#This Row],[Date]]),"",Table1[[#This Row],[Date]]-WEEKDAY(Table1[[#This Row],[Date]],2)+1)</f>
        <v>44445</v>
      </c>
      <c r="T487" s="140">
        <f>IF(ISBLANK(Table1[[#This Row],[Date]]),"",DATE(Table1[[#This Row],[Date_Year]],Table1[[#This Row],[Date_Month]],1))</f>
        <v>44440</v>
      </c>
    </row>
    <row r="488" spans="2:20" ht="15.75">
      <c r="B488" s="154">
        <v>44447</v>
      </c>
      <c r="C488" s="119" t="s">
        <v>732</v>
      </c>
      <c r="D488" s="119"/>
      <c r="E488" s="119"/>
      <c r="F488" s="155">
        <v>-419.93</v>
      </c>
      <c r="G488" s="133" t="str">
        <f>_xlfn.XLOOKUP(Table1[[#This Row],[Account_ID]], Accounts[ID], Accounts[Account nickname], "Unknown")</f>
        <v>WF</v>
      </c>
      <c r="H488" s="134" t="str">
        <f>_xlfn.XLOOKUP(Table1[[#This Row],[Account_ID]], Accounts[ID], Accounts[Account'#], "Unknown")</f>
        <v>4636</v>
      </c>
      <c r="I488" s="135" t="str">
        <f>_xlfn.XLOOKUP(_xlfn.XLOOKUP(Table1[[#This Row],[Account]],Accounts[Account nickname],Accounts[Institution ID]),Institutions[ID],Institutions[Institution nickname],"Unknown")</f>
        <v>Wells Fargo</v>
      </c>
      <c r="J488" s="136" t="s">
        <v>1036</v>
      </c>
      <c r="K488" s="137" t="s">
        <v>808</v>
      </c>
      <c r="L488" s="137" t="s">
        <v>807</v>
      </c>
      <c r="M48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8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88" s="138" t="str" cm="1">
        <f t="array" ref="O488">IFERROR(INDEX(CategoriesTable[Category type],MATCH(Table1[[#This Row],[Category]],CategoriesTable[Category name],0),0),"")</f>
        <v/>
      </c>
      <c r="P488" s="138">
        <v>8</v>
      </c>
      <c r="Q488" s="138">
        <f>MONTH(Table1[[#This Row],[Date]])</f>
        <v>9</v>
      </c>
      <c r="R488" s="138">
        <v>2021</v>
      </c>
      <c r="S488" s="139">
        <f>IF(ISBLANK(Table1[[#This Row],[Date]]),"",Table1[[#This Row],[Date]]-WEEKDAY(Table1[[#This Row],[Date]],2)+1)</f>
        <v>44445</v>
      </c>
      <c r="T488" s="140">
        <f>IF(ISBLANK(Table1[[#This Row],[Date]]),"",DATE(Table1[[#This Row],[Date_Year]],Table1[[#This Row],[Date_Month]],1))</f>
        <v>44440</v>
      </c>
    </row>
    <row r="489" spans="2:20" ht="15.75">
      <c r="B489" s="154">
        <v>44447</v>
      </c>
      <c r="C489" s="119" t="s">
        <v>1472</v>
      </c>
      <c r="D489" s="119"/>
      <c r="E489" s="119"/>
      <c r="F489" s="155">
        <v>-8.64</v>
      </c>
      <c r="G489" s="133" t="str">
        <f>_xlfn.XLOOKUP(Table1[[#This Row],[Account_ID]], Accounts[ID], Accounts[Account nickname], "Unknown")</f>
        <v>Discover</v>
      </c>
      <c r="H489" s="134" t="str">
        <f>_xlfn.XLOOKUP(Table1[[#This Row],[Account_ID]], Accounts[ID], Accounts[Account'#], "Unknown")</f>
        <v>4618</v>
      </c>
      <c r="I489" s="135" t="str">
        <f>_xlfn.XLOOKUP(_xlfn.XLOOKUP(Table1[[#This Row],[Account]],Accounts[Account nickname],Accounts[Institution ID]),Institutions[ID],Institutions[Institution nickname],"Unknown")</f>
        <v>Discover</v>
      </c>
      <c r="J489" s="136" t="s">
        <v>1807</v>
      </c>
      <c r="K489" s="137" t="s">
        <v>843</v>
      </c>
      <c r="L489" s="137" t="s">
        <v>841</v>
      </c>
      <c r="M48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8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89" s="138" t="str" cm="1">
        <f t="array" ref="O489">IFERROR(INDEX(CategoriesTable[Category type],MATCH(Table1[[#This Row],[Category]],CategoriesTable[Category name],0),0),"")</f>
        <v/>
      </c>
      <c r="P489" s="138">
        <v>8</v>
      </c>
      <c r="Q489" s="138">
        <f>MONTH(Table1[[#This Row],[Date]])</f>
        <v>9</v>
      </c>
      <c r="R489" s="138">
        <v>2021</v>
      </c>
      <c r="S489" s="139">
        <f>IF(ISBLANK(Table1[[#This Row],[Date]]),"",Table1[[#This Row],[Date]]-WEEKDAY(Table1[[#This Row],[Date]],2)+1)</f>
        <v>44445</v>
      </c>
      <c r="T489" s="140">
        <f>IF(ISBLANK(Table1[[#This Row],[Date]]),"",DATE(Table1[[#This Row],[Date_Year]],Table1[[#This Row],[Date_Month]],1))</f>
        <v>44440</v>
      </c>
    </row>
    <row r="490" spans="2:20" ht="15.75">
      <c r="B490" s="154">
        <v>44447</v>
      </c>
      <c r="C490" s="119" t="s">
        <v>1472</v>
      </c>
      <c r="D490" s="119"/>
      <c r="E490" s="119"/>
      <c r="F490" s="155">
        <v>-2.97</v>
      </c>
      <c r="G490" s="133" t="str">
        <f>_xlfn.XLOOKUP(Table1[[#This Row],[Account_ID]], Accounts[ID], Accounts[Account nickname], "Unknown")</f>
        <v>Discover</v>
      </c>
      <c r="H490" s="134" t="str">
        <f>_xlfn.XLOOKUP(Table1[[#This Row],[Account_ID]], Accounts[ID], Accounts[Account'#], "Unknown")</f>
        <v>4618</v>
      </c>
      <c r="I490" s="135" t="str">
        <f>_xlfn.XLOOKUP(_xlfn.XLOOKUP(Table1[[#This Row],[Account]],Accounts[Account nickname],Accounts[Institution ID]),Institutions[ID],Institutions[Institution nickname],"Unknown")</f>
        <v>Discover</v>
      </c>
      <c r="J490" s="136" t="s">
        <v>1806</v>
      </c>
      <c r="K490" s="137" t="s">
        <v>843</v>
      </c>
      <c r="L490" s="137" t="s">
        <v>841</v>
      </c>
      <c r="M49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9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90" s="138" t="str" cm="1">
        <f t="array" ref="O490">IFERROR(INDEX(CategoriesTable[Category type],MATCH(Table1[[#This Row],[Category]],CategoriesTable[Category name],0),0),"")</f>
        <v/>
      </c>
      <c r="P490" s="138">
        <v>8</v>
      </c>
      <c r="Q490" s="138">
        <f>MONTH(Table1[[#This Row],[Date]])</f>
        <v>9</v>
      </c>
      <c r="R490" s="138">
        <v>2021</v>
      </c>
      <c r="S490" s="139">
        <f>IF(ISBLANK(Table1[[#This Row],[Date]]),"",Table1[[#This Row],[Date]]-WEEKDAY(Table1[[#This Row],[Date]],2)+1)</f>
        <v>44445</v>
      </c>
      <c r="T490" s="140">
        <f>IF(ISBLANK(Table1[[#This Row],[Date]]),"",DATE(Table1[[#This Row],[Date_Year]],Table1[[#This Row],[Date_Month]],1))</f>
        <v>44440</v>
      </c>
    </row>
    <row r="491" spans="2:20" ht="15.75">
      <c r="B491" s="154">
        <v>44447</v>
      </c>
      <c r="C491" s="119" t="s">
        <v>1812</v>
      </c>
      <c r="D491" s="119"/>
      <c r="E491" s="119"/>
      <c r="F491" s="155">
        <v>-86.25</v>
      </c>
      <c r="G491" s="133" t="str">
        <f>_xlfn.XLOOKUP(Table1[[#This Row],[Account_ID]], Accounts[ID], Accounts[Account nickname], "Unknown")</f>
        <v>Discover</v>
      </c>
      <c r="H491" s="134" t="str">
        <f>_xlfn.XLOOKUP(Table1[[#This Row],[Account_ID]], Accounts[ID], Accounts[Account'#], "Unknown")</f>
        <v>4618</v>
      </c>
      <c r="I491" s="135" t="str">
        <f>_xlfn.XLOOKUP(_xlfn.XLOOKUP(Table1[[#This Row],[Account]],Accounts[Account nickname],Accounts[Institution ID]),Institutions[ID],Institutions[Institution nickname],"Unknown")</f>
        <v>Discover</v>
      </c>
      <c r="J491" s="136" t="s">
        <v>1813</v>
      </c>
      <c r="K491" s="137" t="s">
        <v>843</v>
      </c>
      <c r="L491" s="137" t="s">
        <v>841</v>
      </c>
      <c r="M49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9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91" s="138" t="str" cm="1">
        <f t="array" ref="O491">IFERROR(INDEX(CategoriesTable[Category type],MATCH(Table1[[#This Row],[Category]],CategoriesTable[Category name],0),0),"")</f>
        <v/>
      </c>
      <c r="P491" s="138">
        <v>8</v>
      </c>
      <c r="Q491" s="138">
        <f>MONTH(Table1[[#This Row],[Date]])</f>
        <v>9</v>
      </c>
      <c r="R491" s="138">
        <v>2021</v>
      </c>
      <c r="S491" s="139">
        <f>IF(ISBLANK(Table1[[#This Row],[Date]]),"",Table1[[#This Row],[Date]]-WEEKDAY(Table1[[#This Row],[Date]],2)+1)</f>
        <v>44445</v>
      </c>
      <c r="T491" s="140">
        <f>IF(ISBLANK(Table1[[#This Row],[Date]]),"",DATE(Table1[[#This Row],[Date_Year]],Table1[[#This Row],[Date_Month]],1))</f>
        <v>44440</v>
      </c>
    </row>
    <row r="492" spans="2:20" ht="15.75">
      <c r="B492" s="154">
        <v>44447</v>
      </c>
      <c r="C492" s="119" t="s">
        <v>1810</v>
      </c>
      <c r="D492" s="119"/>
      <c r="E492" s="119"/>
      <c r="F492" s="155">
        <v>-25.58</v>
      </c>
      <c r="G492" s="133" t="str">
        <f>_xlfn.XLOOKUP(Table1[[#This Row],[Account_ID]], Accounts[ID], Accounts[Account nickname], "Unknown")</f>
        <v>Discover</v>
      </c>
      <c r="H492" s="134" t="str">
        <f>_xlfn.XLOOKUP(Table1[[#This Row],[Account_ID]], Accounts[ID], Accounts[Account'#], "Unknown")</f>
        <v>4618</v>
      </c>
      <c r="I492" s="135" t="str">
        <f>_xlfn.XLOOKUP(_xlfn.XLOOKUP(Table1[[#This Row],[Account]],Accounts[Account nickname],Accounts[Institution ID]),Institutions[ID],Institutions[Institution nickname],"Unknown")</f>
        <v>Discover</v>
      </c>
      <c r="J492" s="136" t="s">
        <v>1811</v>
      </c>
      <c r="K492" s="137" t="s">
        <v>843</v>
      </c>
      <c r="L492" s="137" t="s">
        <v>841</v>
      </c>
      <c r="M49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9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92" s="138" t="str" cm="1">
        <f t="array" ref="O492">IFERROR(INDEX(CategoriesTable[Category type],MATCH(Table1[[#This Row],[Category]],CategoriesTable[Category name],0),0),"")</f>
        <v/>
      </c>
      <c r="P492" s="138">
        <v>8</v>
      </c>
      <c r="Q492" s="138">
        <f>MONTH(Table1[[#This Row],[Date]])</f>
        <v>9</v>
      </c>
      <c r="R492" s="138">
        <v>2021</v>
      </c>
      <c r="S492" s="139">
        <f>IF(ISBLANK(Table1[[#This Row],[Date]]),"",Table1[[#This Row],[Date]]-WEEKDAY(Table1[[#This Row],[Date]],2)+1)</f>
        <v>44445</v>
      </c>
      <c r="T492" s="140">
        <f>IF(ISBLANK(Table1[[#This Row],[Date]]),"",DATE(Table1[[#This Row],[Date_Year]],Table1[[#This Row],[Date_Month]],1))</f>
        <v>44440</v>
      </c>
    </row>
    <row r="493" spans="2:20" ht="15.75">
      <c r="B493" s="154">
        <v>44447</v>
      </c>
      <c r="C493" s="119" t="s">
        <v>1623</v>
      </c>
      <c r="D493" s="119"/>
      <c r="E493" s="119"/>
      <c r="F493" s="155">
        <v>-11</v>
      </c>
      <c r="G493" s="133" t="str">
        <f>_xlfn.XLOOKUP(Table1[[#This Row],[Account_ID]], Accounts[ID], Accounts[Account nickname], "Unknown")</f>
        <v>Discover</v>
      </c>
      <c r="H493" s="134" t="str">
        <f>_xlfn.XLOOKUP(Table1[[#This Row],[Account_ID]], Accounts[ID], Accounts[Account'#], "Unknown")</f>
        <v>4618</v>
      </c>
      <c r="I493" s="135" t="str">
        <f>_xlfn.XLOOKUP(_xlfn.XLOOKUP(Table1[[#This Row],[Account]],Accounts[Account nickname],Accounts[Institution ID]),Institutions[ID],Institutions[Institution nickname],"Unknown")</f>
        <v>Discover</v>
      </c>
      <c r="J493" s="136" t="s">
        <v>1808</v>
      </c>
      <c r="K493" s="137" t="s">
        <v>843</v>
      </c>
      <c r="L493" s="137" t="s">
        <v>841</v>
      </c>
      <c r="M49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9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93" s="138" t="str" cm="1">
        <f t="array" ref="O493">IFERROR(INDEX(CategoriesTable[Category type],MATCH(Table1[[#This Row],[Category]],CategoriesTable[Category name],0),0),"")</f>
        <v/>
      </c>
      <c r="P493" s="138">
        <v>8</v>
      </c>
      <c r="Q493" s="138">
        <f>MONTH(Table1[[#This Row],[Date]])</f>
        <v>9</v>
      </c>
      <c r="R493" s="138">
        <v>2021</v>
      </c>
      <c r="S493" s="139">
        <f>IF(ISBLANK(Table1[[#This Row],[Date]]),"",Table1[[#This Row],[Date]]-WEEKDAY(Table1[[#This Row],[Date]],2)+1)</f>
        <v>44445</v>
      </c>
      <c r="T493" s="140">
        <f>IF(ISBLANK(Table1[[#This Row],[Date]]),"",DATE(Table1[[#This Row],[Date_Year]],Table1[[#This Row],[Date_Month]],1))</f>
        <v>44440</v>
      </c>
    </row>
    <row r="494" spans="2:20" ht="15.75">
      <c r="B494" s="154">
        <v>44446</v>
      </c>
      <c r="C494" s="119" t="s">
        <v>678</v>
      </c>
      <c r="D494" s="119"/>
      <c r="E494" s="119"/>
      <c r="F494" s="155">
        <v>-97.02</v>
      </c>
      <c r="G494" s="133" t="str">
        <f>_xlfn.XLOOKUP(Table1[[#This Row],[Account_ID]], Accounts[ID], Accounts[Account nickname], "Unknown")</f>
        <v>WF</v>
      </c>
      <c r="H494" s="134" t="str">
        <f>_xlfn.XLOOKUP(Table1[[#This Row],[Account_ID]], Accounts[ID], Accounts[Account'#], "Unknown")</f>
        <v>4636</v>
      </c>
      <c r="I494" s="135" t="str">
        <f>_xlfn.XLOOKUP(_xlfn.XLOOKUP(Table1[[#This Row],[Account]],Accounts[Account nickname],Accounts[Institution ID]),Institutions[ID],Institutions[Institution nickname],"Unknown")</f>
        <v>Wells Fargo</v>
      </c>
      <c r="J494" s="136" t="s">
        <v>1044</v>
      </c>
      <c r="K494" s="137" t="s">
        <v>808</v>
      </c>
      <c r="L494" s="137" t="s">
        <v>807</v>
      </c>
      <c r="M49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9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94" s="138" t="str" cm="1">
        <f t="array" ref="O494">IFERROR(INDEX(CategoriesTable[Category type],MATCH(Table1[[#This Row],[Category]],CategoriesTable[Category name],0),0),"")</f>
        <v/>
      </c>
      <c r="P494" s="138">
        <v>7</v>
      </c>
      <c r="Q494" s="138">
        <f>MONTH(Table1[[#This Row],[Date]])</f>
        <v>9</v>
      </c>
      <c r="R494" s="138">
        <v>2021</v>
      </c>
      <c r="S494" s="139">
        <f>IF(ISBLANK(Table1[[#This Row],[Date]]),"",Table1[[#This Row],[Date]]-WEEKDAY(Table1[[#This Row],[Date]],2)+1)</f>
        <v>44445</v>
      </c>
      <c r="T494" s="140">
        <f>IF(ISBLANK(Table1[[#This Row],[Date]]),"",DATE(Table1[[#This Row],[Date_Year]],Table1[[#This Row],[Date_Month]],1))</f>
        <v>44440</v>
      </c>
    </row>
    <row r="495" spans="2:20" ht="15.75">
      <c r="B495" s="154">
        <v>44446</v>
      </c>
      <c r="C495" s="119" t="s">
        <v>1489</v>
      </c>
      <c r="D495" s="119"/>
      <c r="E495" s="119"/>
      <c r="F495" s="155">
        <v>-30.94</v>
      </c>
      <c r="G495" s="133" t="str">
        <f>_xlfn.XLOOKUP(Table1[[#This Row],[Account_ID]], Accounts[ID], Accounts[Account nickname], "Unknown")</f>
        <v>Discover</v>
      </c>
      <c r="H495" s="134" t="str">
        <f>_xlfn.XLOOKUP(Table1[[#This Row],[Account_ID]], Accounts[ID], Accounts[Account'#], "Unknown")</f>
        <v>4618</v>
      </c>
      <c r="I495" s="135" t="str">
        <f>_xlfn.XLOOKUP(_xlfn.XLOOKUP(Table1[[#This Row],[Account]],Accounts[Account nickname],Accounts[Institution ID]),Institutions[ID],Institutions[Institution nickname],"Unknown")</f>
        <v>Discover</v>
      </c>
      <c r="J495" s="136" t="s">
        <v>1816</v>
      </c>
      <c r="K495" s="137" t="s">
        <v>843</v>
      </c>
      <c r="L495" s="137" t="s">
        <v>841</v>
      </c>
      <c r="M49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9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95" s="138" t="str" cm="1">
        <f t="array" ref="O495">IFERROR(INDEX(CategoriesTable[Category type],MATCH(Table1[[#This Row],[Category]],CategoriesTable[Category name],0),0),"")</f>
        <v/>
      </c>
      <c r="P495" s="138">
        <v>7</v>
      </c>
      <c r="Q495" s="138">
        <f>MONTH(Table1[[#This Row],[Date]])</f>
        <v>9</v>
      </c>
      <c r="R495" s="138">
        <v>2021</v>
      </c>
      <c r="S495" s="139">
        <f>IF(ISBLANK(Table1[[#This Row],[Date]]),"",Table1[[#This Row],[Date]]-WEEKDAY(Table1[[#This Row],[Date]],2)+1)</f>
        <v>44445</v>
      </c>
      <c r="T495" s="140">
        <f>IF(ISBLANK(Table1[[#This Row],[Date]]),"",DATE(Table1[[#This Row],[Date_Year]],Table1[[#This Row],[Date_Month]],1))</f>
        <v>44440</v>
      </c>
    </row>
    <row r="496" spans="2:20" ht="15.75">
      <c r="B496" s="154">
        <v>44446</v>
      </c>
      <c r="C496" s="119" t="s">
        <v>678</v>
      </c>
      <c r="D496" s="119"/>
      <c r="E496" s="119"/>
      <c r="F496" s="155">
        <v>911.7</v>
      </c>
      <c r="G496" s="133" t="str">
        <f>_xlfn.XLOOKUP(Table1[[#This Row],[Account_ID]], Accounts[ID], Accounts[Account nickname], "Unknown")</f>
        <v>WF</v>
      </c>
      <c r="H496" s="134" t="str">
        <f>_xlfn.XLOOKUP(Table1[[#This Row],[Account_ID]], Accounts[ID], Accounts[Account'#], "Unknown")</f>
        <v>4636</v>
      </c>
      <c r="I496" s="135" t="str">
        <f>_xlfn.XLOOKUP(_xlfn.XLOOKUP(Table1[[#This Row],[Account]],Accounts[Account nickname],Accounts[Institution ID]),Institutions[ID],Institutions[Institution nickname],"Unknown")</f>
        <v>Wells Fargo</v>
      </c>
      <c r="J496" s="136" t="s">
        <v>1041</v>
      </c>
      <c r="K496" s="137" t="s">
        <v>808</v>
      </c>
      <c r="L496" s="137" t="s">
        <v>807</v>
      </c>
      <c r="M49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9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96" s="138" t="str" cm="1">
        <f t="array" ref="O496">IFERROR(INDEX(CategoriesTable[Category type],MATCH(Table1[[#This Row],[Category]],CategoriesTable[Category name],0),0),"")</f>
        <v/>
      </c>
      <c r="P496" s="138">
        <v>7</v>
      </c>
      <c r="Q496" s="138">
        <f>MONTH(Table1[[#This Row],[Date]])</f>
        <v>9</v>
      </c>
      <c r="R496" s="138">
        <v>2021</v>
      </c>
      <c r="S496" s="139">
        <f>IF(ISBLANK(Table1[[#This Row],[Date]]),"",Table1[[#This Row],[Date]]-WEEKDAY(Table1[[#This Row],[Date]],2)+1)</f>
        <v>44445</v>
      </c>
      <c r="T496" s="140">
        <f>IF(ISBLANK(Table1[[#This Row],[Date]]),"",DATE(Table1[[#This Row],[Date_Year]],Table1[[#This Row],[Date_Month]],1))</f>
        <v>44440</v>
      </c>
    </row>
    <row r="497" spans="2:20" ht="15.75">
      <c r="B497" s="154">
        <v>44446</v>
      </c>
      <c r="C497" s="119" t="s">
        <v>724</v>
      </c>
      <c r="D497" s="119"/>
      <c r="E497" s="119"/>
      <c r="F497" s="155">
        <v>-122.55</v>
      </c>
      <c r="G497" s="133" t="str">
        <f>_xlfn.XLOOKUP(Table1[[#This Row],[Account_ID]], Accounts[ID], Accounts[Account nickname], "Unknown")</f>
        <v>Discover</v>
      </c>
      <c r="H497" s="134" t="str">
        <f>_xlfn.XLOOKUP(Table1[[#This Row],[Account_ID]], Accounts[ID], Accounts[Account'#], "Unknown")</f>
        <v>4618</v>
      </c>
      <c r="I497" s="135" t="str">
        <f>_xlfn.XLOOKUP(_xlfn.XLOOKUP(Table1[[#This Row],[Account]],Accounts[Account nickname],Accounts[Institution ID]),Institutions[ID],Institutions[Institution nickname],"Unknown")</f>
        <v>Discover</v>
      </c>
      <c r="J497" s="136" t="s">
        <v>1817</v>
      </c>
      <c r="K497" s="137" t="s">
        <v>843</v>
      </c>
      <c r="L497" s="137" t="s">
        <v>841</v>
      </c>
      <c r="M49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9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97" s="138" t="str" cm="1">
        <f t="array" ref="O497">IFERROR(INDEX(CategoriesTable[Category type],MATCH(Table1[[#This Row],[Category]],CategoriesTable[Category name],0),0),"")</f>
        <v/>
      </c>
      <c r="P497" s="138">
        <v>7</v>
      </c>
      <c r="Q497" s="138">
        <f>MONTH(Table1[[#This Row],[Date]])</f>
        <v>9</v>
      </c>
      <c r="R497" s="138">
        <v>2021</v>
      </c>
      <c r="S497" s="139">
        <f>IF(ISBLANK(Table1[[#This Row],[Date]]),"",Table1[[#This Row],[Date]]-WEEKDAY(Table1[[#This Row],[Date]],2)+1)</f>
        <v>44445</v>
      </c>
      <c r="T497" s="140">
        <f>IF(ISBLANK(Table1[[#This Row],[Date]]),"",DATE(Table1[[#This Row],[Date_Year]],Table1[[#This Row],[Date_Month]],1))</f>
        <v>44440</v>
      </c>
    </row>
    <row r="498" spans="2:20" ht="15.75">
      <c r="B498" s="154">
        <v>44446</v>
      </c>
      <c r="C498" s="119" t="s">
        <v>733</v>
      </c>
      <c r="D498" s="119"/>
      <c r="E498" s="119"/>
      <c r="F498" s="155">
        <v>-8</v>
      </c>
      <c r="G498" s="133" t="str">
        <f>_xlfn.XLOOKUP(Table1[[#This Row],[Account_ID]], Accounts[ID], Accounts[Account nickname], "Unknown")</f>
        <v>WF</v>
      </c>
      <c r="H498" s="134" t="str">
        <f>_xlfn.XLOOKUP(Table1[[#This Row],[Account_ID]], Accounts[ID], Accounts[Account'#], "Unknown")</f>
        <v>4636</v>
      </c>
      <c r="I498" s="135" t="str">
        <f>_xlfn.XLOOKUP(_xlfn.XLOOKUP(Table1[[#This Row],[Account]],Accounts[Account nickname],Accounts[Institution ID]),Institutions[ID],Institutions[Institution nickname],"Unknown")</f>
        <v>Wells Fargo</v>
      </c>
      <c r="J498" s="136" t="s">
        <v>1037</v>
      </c>
      <c r="K498" s="137" t="s">
        <v>808</v>
      </c>
      <c r="L498" s="137" t="s">
        <v>807</v>
      </c>
      <c r="M49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9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98" s="138" t="str" cm="1">
        <f t="array" ref="O498">IFERROR(INDEX(CategoriesTable[Category type],MATCH(Table1[[#This Row],[Category]],CategoriesTable[Category name],0),0),"")</f>
        <v/>
      </c>
      <c r="P498" s="138">
        <v>7</v>
      </c>
      <c r="Q498" s="138">
        <f>MONTH(Table1[[#This Row],[Date]])</f>
        <v>9</v>
      </c>
      <c r="R498" s="138">
        <v>2021</v>
      </c>
      <c r="S498" s="139">
        <f>IF(ISBLANK(Table1[[#This Row],[Date]]),"",Table1[[#This Row],[Date]]-WEEKDAY(Table1[[#This Row],[Date]],2)+1)</f>
        <v>44445</v>
      </c>
      <c r="T498" s="140">
        <f>IF(ISBLANK(Table1[[#This Row],[Date]]),"",DATE(Table1[[#This Row],[Date_Year]],Table1[[#This Row],[Date_Month]],1))</f>
        <v>44440</v>
      </c>
    </row>
    <row r="499" spans="2:20" ht="15.75">
      <c r="B499" s="154">
        <v>44446</v>
      </c>
      <c r="C499" s="119" t="s">
        <v>1814</v>
      </c>
      <c r="D499" s="119"/>
      <c r="E499" s="119"/>
      <c r="F499" s="155">
        <v>-27.15</v>
      </c>
      <c r="G499" s="133" t="str">
        <f>_xlfn.XLOOKUP(Table1[[#This Row],[Account_ID]], Accounts[ID], Accounts[Account nickname], "Unknown")</f>
        <v>Discover</v>
      </c>
      <c r="H499" s="134" t="str">
        <f>_xlfn.XLOOKUP(Table1[[#This Row],[Account_ID]], Accounts[ID], Accounts[Account'#], "Unknown")</f>
        <v>4618</v>
      </c>
      <c r="I499" s="135" t="str">
        <f>_xlfn.XLOOKUP(_xlfn.XLOOKUP(Table1[[#This Row],[Account]],Accounts[Account nickname],Accounts[Institution ID]),Institutions[ID],Institutions[Institution nickname],"Unknown")</f>
        <v>Discover</v>
      </c>
      <c r="J499" s="136" t="s">
        <v>1815</v>
      </c>
      <c r="K499" s="137" t="s">
        <v>843</v>
      </c>
      <c r="L499" s="137" t="s">
        <v>841</v>
      </c>
      <c r="M49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49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499" s="138" t="str" cm="1">
        <f t="array" ref="O499">IFERROR(INDEX(CategoriesTable[Category type],MATCH(Table1[[#This Row],[Category]],CategoriesTable[Category name],0),0),"")</f>
        <v/>
      </c>
      <c r="P499" s="138">
        <v>7</v>
      </c>
      <c r="Q499" s="138">
        <f>MONTH(Table1[[#This Row],[Date]])</f>
        <v>9</v>
      </c>
      <c r="R499" s="138">
        <v>2021</v>
      </c>
      <c r="S499" s="139">
        <f>IF(ISBLANK(Table1[[#This Row],[Date]]),"",Table1[[#This Row],[Date]]-WEEKDAY(Table1[[#This Row],[Date]],2)+1)</f>
        <v>44445</v>
      </c>
      <c r="T499" s="140">
        <f>IF(ISBLANK(Table1[[#This Row],[Date]]),"",DATE(Table1[[#This Row],[Date_Year]],Table1[[#This Row],[Date_Month]],1))</f>
        <v>44440</v>
      </c>
    </row>
    <row r="500" spans="2:20" ht="15.75">
      <c r="B500" s="154">
        <v>44446</v>
      </c>
      <c r="C500" s="119" t="s">
        <v>678</v>
      </c>
      <c r="D500" s="119"/>
      <c r="E500" s="119"/>
      <c r="F500" s="155">
        <v>-32.28</v>
      </c>
      <c r="G500" s="133" t="str">
        <f>_xlfn.XLOOKUP(Table1[[#This Row],[Account_ID]], Accounts[ID], Accounts[Account nickname], "Unknown")</f>
        <v>WF</v>
      </c>
      <c r="H500" s="134" t="str">
        <f>_xlfn.XLOOKUP(Table1[[#This Row],[Account_ID]], Accounts[ID], Accounts[Account'#], "Unknown")</f>
        <v>4636</v>
      </c>
      <c r="I500" s="135" t="str">
        <f>_xlfn.XLOOKUP(_xlfn.XLOOKUP(Table1[[#This Row],[Account]],Accounts[Account nickname],Accounts[Institution ID]),Institutions[ID],Institutions[Institution nickname],"Unknown")</f>
        <v>Wells Fargo</v>
      </c>
      <c r="J500" s="136" t="s">
        <v>1042</v>
      </c>
      <c r="K500" s="137" t="s">
        <v>808</v>
      </c>
      <c r="L500" s="137" t="s">
        <v>807</v>
      </c>
      <c r="M50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0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00" s="138" t="str" cm="1">
        <f t="array" ref="O500">IFERROR(INDEX(CategoriesTable[Category type],MATCH(Table1[[#This Row],[Category]],CategoriesTable[Category name],0),0),"")</f>
        <v/>
      </c>
      <c r="P500" s="138">
        <v>7</v>
      </c>
      <c r="Q500" s="138">
        <f>MONTH(Table1[[#This Row],[Date]])</f>
        <v>9</v>
      </c>
      <c r="R500" s="138">
        <v>2021</v>
      </c>
      <c r="S500" s="139">
        <f>IF(ISBLANK(Table1[[#This Row],[Date]]),"",Table1[[#This Row],[Date]]-WEEKDAY(Table1[[#This Row],[Date]],2)+1)</f>
        <v>44445</v>
      </c>
      <c r="T500" s="140">
        <f>IF(ISBLANK(Table1[[#This Row],[Date]]),"",DATE(Table1[[#This Row],[Date_Year]],Table1[[#This Row],[Date_Month]],1))</f>
        <v>44440</v>
      </c>
    </row>
    <row r="501" spans="2:20" ht="15.75">
      <c r="B501" s="154">
        <v>44446</v>
      </c>
      <c r="C501" s="119" t="s">
        <v>676</v>
      </c>
      <c r="D501" s="119"/>
      <c r="E501" s="119"/>
      <c r="F501" s="155">
        <v>103.42</v>
      </c>
      <c r="G501" s="133" t="str">
        <f>_xlfn.XLOOKUP(Table1[[#This Row],[Account_ID]], Accounts[ID], Accounts[Account nickname], "Unknown")</f>
        <v>WF</v>
      </c>
      <c r="H501" s="134" t="str">
        <f>_xlfn.XLOOKUP(Table1[[#This Row],[Account_ID]], Accounts[ID], Accounts[Account'#], "Unknown")</f>
        <v>4636</v>
      </c>
      <c r="I501" s="135" t="str">
        <f>_xlfn.XLOOKUP(_xlfn.XLOOKUP(Table1[[#This Row],[Account]],Accounts[Account nickname],Accounts[Institution ID]),Institutions[ID],Institutions[Institution nickname],"Unknown")</f>
        <v>Wells Fargo</v>
      </c>
      <c r="J501" s="136" t="s">
        <v>1040</v>
      </c>
      <c r="K501" s="137" t="s">
        <v>808</v>
      </c>
      <c r="L501" s="137" t="s">
        <v>807</v>
      </c>
      <c r="M50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0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01" s="138" t="str" cm="1">
        <f t="array" ref="O501">IFERROR(INDEX(CategoriesTable[Category type],MATCH(Table1[[#This Row],[Category]],CategoriesTable[Category name],0),0),"")</f>
        <v/>
      </c>
      <c r="P501" s="138">
        <v>7</v>
      </c>
      <c r="Q501" s="138">
        <f>MONTH(Table1[[#This Row],[Date]])</f>
        <v>9</v>
      </c>
      <c r="R501" s="138">
        <v>2021</v>
      </c>
      <c r="S501" s="139">
        <f>IF(ISBLANK(Table1[[#This Row],[Date]]),"",Table1[[#This Row],[Date]]-WEEKDAY(Table1[[#This Row],[Date]],2)+1)</f>
        <v>44445</v>
      </c>
      <c r="T501" s="140">
        <f>IF(ISBLANK(Table1[[#This Row],[Date]]),"",DATE(Table1[[#This Row],[Date_Year]],Table1[[#This Row],[Date_Month]],1))</f>
        <v>44440</v>
      </c>
    </row>
    <row r="502" spans="2:20" ht="15.75">
      <c r="B502" s="154">
        <v>44446</v>
      </c>
      <c r="C502" s="119" t="s">
        <v>678</v>
      </c>
      <c r="D502" s="119"/>
      <c r="E502" s="119"/>
      <c r="F502" s="155">
        <v>-92.68</v>
      </c>
      <c r="G502" s="133" t="str">
        <f>_xlfn.XLOOKUP(Table1[[#This Row],[Account_ID]], Accounts[ID], Accounts[Account nickname], "Unknown")</f>
        <v>WF</v>
      </c>
      <c r="H502" s="134" t="str">
        <f>_xlfn.XLOOKUP(Table1[[#This Row],[Account_ID]], Accounts[ID], Accounts[Account'#], "Unknown")</f>
        <v>4636</v>
      </c>
      <c r="I502" s="135" t="str">
        <f>_xlfn.XLOOKUP(_xlfn.XLOOKUP(Table1[[#This Row],[Account]],Accounts[Account nickname],Accounts[Institution ID]),Institutions[ID],Institutions[Institution nickname],"Unknown")</f>
        <v>Wells Fargo</v>
      </c>
      <c r="J502" s="152" t="s">
        <v>1043</v>
      </c>
      <c r="K502" s="137" t="s">
        <v>808</v>
      </c>
      <c r="L502" s="137" t="s">
        <v>807</v>
      </c>
      <c r="M50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0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02" s="138" t="str" cm="1">
        <f t="array" ref="O502">IFERROR(INDEX(CategoriesTable[Category type],MATCH(Table1[[#This Row],[Category]],CategoriesTable[Category name],0),0),"")</f>
        <v/>
      </c>
      <c r="P502" s="138">
        <v>7</v>
      </c>
      <c r="Q502" s="138">
        <f>MONTH(Table1[[#This Row],[Date]])</f>
        <v>9</v>
      </c>
      <c r="R502" s="138">
        <v>2021</v>
      </c>
      <c r="S502" s="139">
        <f>IF(ISBLANK(Table1[[#This Row],[Date]]),"",Table1[[#This Row],[Date]]-WEEKDAY(Table1[[#This Row],[Date]],2)+1)</f>
        <v>44445</v>
      </c>
      <c r="T502" s="140">
        <f>IF(ISBLANK(Table1[[#This Row],[Date]]),"",DATE(Table1[[#This Row],[Date_Year]],Table1[[#This Row],[Date_Month]],1))</f>
        <v>44440</v>
      </c>
    </row>
    <row r="503" spans="2:20" ht="15.75">
      <c r="B503" s="154">
        <v>44446</v>
      </c>
      <c r="C503" s="119" t="s">
        <v>685</v>
      </c>
      <c r="D503" s="119"/>
      <c r="E503" s="119"/>
      <c r="F503" s="155">
        <v>-190.78</v>
      </c>
      <c r="G503" s="133" t="str">
        <f>_xlfn.XLOOKUP(Table1[[#This Row],[Account_ID]], Accounts[ID], Accounts[Account nickname], "Unknown")</f>
        <v>WF</v>
      </c>
      <c r="H503" s="134" t="str">
        <f>_xlfn.XLOOKUP(Table1[[#This Row],[Account_ID]], Accounts[ID], Accounts[Account'#], "Unknown")</f>
        <v>4636</v>
      </c>
      <c r="I503" s="135" t="str">
        <f>_xlfn.XLOOKUP(_xlfn.XLOOKUP(Table1[[#This Row],[Account]],Accounts[Account nickname],Accounts[Institution ID]),Institutions[ID],Institutions[Institution nickname],"Unknown")</f>
        <v>Wells Fargo</v>
      </c>
      <c r="J503" s="136" t="s">
        <v>1038</v>
      </c>
      <c r="K503" s="137" t="s">
        <v>808</v>
      </c>
      <c r="L503" s="137" t="s">
        <v>807</v>
      </c>
      <c r="M50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0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03" s="138" t="str" cm="1">
        <f t="array" ref="O503">IFERROR(INDEX(CategoriesTable[Category type],MATCH(Table1[[#This Row],[Category]],CategoriesTable[Category name],0),0),"")</f>
        <v/>
      </c>
      <c r="P503" s="138">
        <v>7</v>
      </c>
      <c r="Q503" s="138">
        <f>MONTH(Table1[[#This Row],[Date]])</f>
        <v>9</v>
      </c>
      <c r="R503" s="138">
        <v>2021</v>
      </c>
      <c r="S503" s="139">
        <f>IF(ISBLANK(Table1[[#This Row],[Date]]),"",Table1[[#This Row],[Date]]-WEEKDAY(Table1[[#This Row],[Date]],2)+1)</f>
        <v>44445</v>
      </c>
      <c r="T503" s="140">
        <f>IF(ISBLANK(Table1[[#This Row],[Date]]),"",DATE(Table1[[#This Row],[Date_Year]],Table1[[#This Row],[Date_Month]],1))</f>
        <v>44440</v>
      </c>
    </row>
    <row r="504" spans="2:20" ht="15.75">
      <c r="B504" s="154">
        <v>44446</v>
      </c>
      <c r="C504" s="119" t="s">
        <v>686</v>
      </c>
      <c r="D504" s="119"/>
      <c r="E504" s="119"/>
      <c r="F504" s="155">
        <v>-1253.96</v>
      </c>
      <c r="G504" s="133" t="str">
        <f>_xlfn.XLOOKUP(Table1[[#This Row],[Account_ID]], Accounts[ID], Accounts[Account nickname], "Unknown")</f>
        <v>WF</v>
      </c>
      <c r="H504" s="134" t="str">
        <f>_xlfn.XLOOKUP(Table1[[#This Row],[Account_ID]], Accounts[ID], Accounts[Account'#], "Unknown")</f>
        <v>4636</v>
      </c>
      <c r="I504" s="135" t="str">
        <f>_xlfn.XLOOKUP(_xlfn.XLOOKUP(Table1[[#This Row],[Account]],Accounts[Account nickname],Accounts[Institution ID]),Institutions[ID],Institutions[Institution nickname],"Unknown")</f>
        <v>Wells Fargo</v>
      </c>
      <c r="J504" s="136" t="s">
        <v>1039</v>
      </c>
      <c r="K504" s="137" t="s">
        <v>808</v>
      </c>
      <c r="L504" s="137" t="s">
        <v>807</v>
      </c>
      <c r="M50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0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04" s="138" t="str" cm="1">
        <f t="array" ref="O504">IFERROR(INDEX(CategoriesTable[Category type],MATCH(Table1[[#This Row],[Category]],CategoriesTable[Category name],0),0),"")</f>
        <v/>
      </c>
      <c r="P504" s="138">
        <v>7</v>
      </c>
      <c r="Q504" s="138">
        <f>MONTH(Table1[[#This Row],[Date]])</f>
        <v>9</v>
      </c>
      <c r="R504" s="138">
        <v>2021</v>
      </c>
      <c r="S504" s="139">
        <f>IF(ISBLANK(Table1[[#This Row],[Date]]),"",Table1[[#This Row],[Date]]-WEEKDAY(Table1[[#This Row],[Date]],2)+1)</f>
        <v>44445</v>
      </c>
      <c r="T504" s="140">
        <f>IF(ISBLANK(Table1[[#This Row],[Date]]),"",DATE(Table1[[#This Row],[Date_Year]],Table1[[#This Row],[Date_Month]],1))</f>
        <v>44440</v>
      </c>
    </row>
    <row r="505" spans="2:20" ht="15.75">
      <c r="B505" s="154">
        <v>44445</v>
      </c>
      <c r="C505" s="119" t="s">
        <v>1818</v>
      </c>
      <c r="D505" s="119"/>
      <c r="E505" s="119"/>
      <c r="F505" s="155">
        <v>-14.99</v>
      </c>
      <c r="G505" s="133" t="str">
        <f>_xlfn.XLOOKUP(Table1[[#This Row],[Account_ID]], Accounts[ID], Accounts[Account nickname], "Unknown")</f>
        <v>Discover</v>
      </c>
      <c r="H505" s="134" t="str">
        <f>_xlfn.XLOOKUP(Table1[[#This Row],[Account_ID]], Accounts[ID], Accounts[Account'#], "Unknown")</f>
        <v>4618</v>
      </c>
      <c r="I505" s="135" t="str">
        <f>_xlfn.XLOOKUP(_xlfn.XLOOKUP(Table1[[#This Row],[Account]],Accounts[Account nickname],Accounts[Institution ID]),Institutions[ID],Institutions[Institution nickname],"Unknown")</f>
        <v>Discover</v>
      </c>
      <c r="J505" s="136" t="s">
        <v>1819</v>
      </c>
      <c r="K505" s="137" t="s">
        <v>843</v>
      </c>
      <c r="L505" s="137" t="s">
        <v>841</v>
      </c>
      <c r="M50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0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05" s="138" t="str" cm="1">
        <f t="array" ref="O505">IFERROR(INDEX(CategoriesTable[Category type],MATCH(Table1[[#This Row],[Category]],CategoriesTable[Category name],0),0),"")</f>
        <v/>
      </c>
      <c r="P505" s="138">
        <v>6</v>
      </c>
      <c r="Q505" s="138">
        <f>MONTH(Table1[[#This Row],[Date]])</f>
        <v>9</v>
      </c>
      <c r="R505" s="138">
        <v>2021</v>
      </c>
      <c r="S505" s="139">
        <f>IF(ISBLANK(Table1[[#This Row],[Date]]),"",Table1[[#This Row],[Date]]-WEEKDAY(Table1[[#This Row],[Date]],2)+1)</f>
        <v>44445</v>
      </c>
      <c r="T505" s="140">
        <f>IF(ISBLANK(Table1[[#This Row],[Date]]),"",DATE(Table1[[#This Row],[Date_Year]],Table1[[#This Row],[Date_Month]],1))</f>
        <v>44440</v>
      </c>
    </row>
    <row r="506" spans="2:20" ht="15.75">
      <c r="B506" s="154">
        <v>44445</v>
      </c>
      <c r="C506" s="119" t="s">
        <v>1820</v>
      </c>
      <c r="D506" s="119"/>
      <c r="E506" s="119"/>
      <c r="F506" s="155">
        <v>-60</v>
      </c>
      <c r="G506" s="133" t="str">
        <f>_xlfn.XLOOKUP(Table1[[#This Row],[Account_ID]], Accounts[ID], Accounts[Account nickname], "Unknown")</f>
        <v>Discover</v>
      </c>
      <c r="H506" s="134" t="str">
        <f>_xlfn.XLOOKUP(Table1[[#This Row],[Account_ID]], Accounts[ID], Accounts[Account'#], "Unknown")</f>
        <v>4618</v>
      </c>
      <c r="I506" s="135" t="str">
        <f>_xlfn.XLOOKUP(_xlfn.XLOOKUP(Table1[[#This Row],[Account]],Accounts[Account nickname],Accounts[Institution ID]),Institutions[ID],Institutions[Institution nickname],"Unknown")</f>
        <v>Discover</v>
      </c>
      <c r="J506" s="136" t="s">
        <v>1821</v>
      </c>
      <c r="K506" s="137" t="s">
        <v>843</v>
      </c>
      <c r="L506" s="137" t="s">
        <v>841</v>
      </c>
      <c r="M50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0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06" s="138" t="str" cm="1">
        <f t="array" ref="O506">IFERROR(INDEX(CategoriesTable[Category type],MATCH(Table1[[#This Row],[Category]],CategoriesTable[Category name],0),0),"")</f>
        <v/>
      </c>
      <c r="P506" s="138">
        <v>6</v>
      </c>
      <c r="Q506" s="138">
        <f>MONTH(Table1[[#This Row],[Date]])</f>
        <v>9</v>
      </c>
      <c r="R506" s="138">
        <v>2021</v>
      </c>
      <c r="S506" s="139">
        <f>IF(ISBLANK(Table1[[#This Row],[Date]]),"",Table1[[#This Row],[Date]]-WEEKDAY(Table1[[#This Row],[Date]],2)+1)</f>
        <v>44445</v>
      </c>
      <c r="T506" s="140">
        <f>IF(ISBLANK(Table1[[#This Row],[Date]]),"",DATE(Table1[[#This Row],[Date_Year]],Table1[[#This Row],[Date_Month]],1))</f>
        <v>44440</v>
      </c>
    </row>
    <row r="507" spans="2:20" ht="15.75">
      <c r="B507" s="154">
        <v>44444</v>
      </c>
      <c r="C507" s="119" t="s">
        <v>724</v>
      </c>
      <c r="D507" s="119"/>
      <c r="E507" s="119"/>
      <c r="F507" s="155">
        <v>-28.16</v>
      </c>
      <c r="G507" s="133" t="str">
        <f>_xlfn.XLOOKUP(Table1[[#This Row],[Account_ID]], Accounts[ID], Accounts[Account nickname], "Unknown")</f>
        <v>Discover</v>
      </c>
      <c r="H507" s="134" t="str">
        <f>_xlfn.XLOOKUP(Table1[[#This Row],[Account_ID]], Accounts[ID], Accounts[Account'#], "Unknown")</f>
        <v>4618</v>
      </c>
      <c r="I507" s="135" t="str">
        <f>_xlfn.XLOOKUP(_xlfn.XLOOKUP(Table1[[#This Row],[Account]],Accounts[Account nickname],Accounts[Institution ID]),Institutions[ID],Institutions[Institution nickname],"Unknown")</f>
        <v>Discover</v>
      </c>
      <c r="J507" s="136" t="s">
        <v>1827</v>
      </c>
      <c r="K507" s="137" t="s">
        <v>843</v>
      </c>
      <c r="L507" s="137" t="s">
        <v>841</v>
      </c>
      <c r="M50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0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07" s="138" t="str" cm="1">
        <f t="array" ref="O507">IFERROR(INDEX(CategoriesTable[Category type],MATCH(Table1[[#This Row],[Category]],CategoriesTable[Category name],0),0),"")</f>
        <v/>
      </c>
      <c r="P507" s="138">
        <v>5</v>
      </c>
      <c r="Q507" s="138">
        <f>MONTH(Table1[[#This Row],[Date]])</f>
        <v>9</v>
      </c>
      <c r="R507" s="138">
        <v>2021</v>
      </c>
      <c r="S507" s="139">
        <f>IF(ISBLANK(Table1[[#This Row],[Date]]),"",Table1[[#This Row],[Date]]-WEEKDAY(Table1[[#This Row],[Date]],2)+1)</f>
        <v>44438</v>
      </c>
      <c r="T507" s="140">
        <f>IF(ISBLANK(Table1[[#This Row],[Date]]),"",DATE(Table1[[#This Row],[Date_Year]],Table1[[#This Row],[Date_Month]],1))</f>
        <v>44440</v>
      </c>
    </row>
    <row r="508" spans="2:20" ht="15.75">
      <c r="B508" s="154">
        <v>44444</v>
      </c>
      <c r="C508" s="119" t="s">
        <v>1823</v>
      </c>
      <c r="D508" s="119"/>
      <c r="E508" s="119"/>
      <c r="F508" s="155">
        <v>-10</v>
      </c>
      <c r="G508" s="133" t="str">
        <f>_xlfn.XLOOKUP(Table1[[#This Row],[Account_ID]], Accounts[ID], Accounts[Account nickname], "Unknown")</f>
        <v>Discover</v>
      </c>
      <c r="H508" s="134" t="str">
        <f>_xlfn.XLOOKUP(Table1[[#This Row],[Account_ID]], Accounts[ID], Accounts[Account'#], "Unknown")</f>
        <v>4618</v>
      </c>
      <c r="I508" s="135" t="str">
        <f>_xlfn.XLOOKUP(_xlfn.XLOOKUP(Table1[[#This Row],[Account]],Accounts[Account nickname],Accounts[Institution ID]),Institutions[ID],Institutions[Institution nickname],"Unknown")</f>
        <v>Discover</v>
      </c>
      <c r="J508" s="136" t="s">
        <v>1824</v>
      </c>
      <c r="K508" s="137" t="s">
        <v>843</v>
      </c>
      <c r="L508" s="137" t="s">
        <v>841</v>
      </c>
      <c r="M50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0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08" s="138" t="str" cm="1">
        <f t="array" ref="O508">IFERROR(INDEX(CategoriesTable[Category type],MATCH(Table1[[#This Row],[Category]],CategoriesTable[Category name],0),0),"")</f>
        <v/>
      </c>
      <c r="P508" s="138">
        <v>5</v>
      </c>
      <c r="Q508" s="138">
        <f>MONTH(Table1[[#This Row],[Date]])</f>
        <v>9</v>
      </c>
      <c r="R508" s="138">
        <v>2021</v>
      </c>
      <c r="S508" s="139">
        <f>IF(ISBLANK(Table1[[#This Row],[Date]]),"",Table1[[#This Row],[Date]]-WEEKDAY(Table1[[#This Row],[Date]],2)+1)</f>
        <v>44438</v>
      </c>
      <c r="T508" s="140">
        <f>IF(ISBLANK(Table1[[#This Row],[Date]]),"",DATE(Table1[[#This Row],[Date_Year]],Table1[[#This Row],[Date_Month]],1))</f>
        <v>44440</v>
      </c>
    </row>
    <row r="509" spans="2:20" ht="15.75">
      <c r="B509" s="154">
        <v>44444</v>
      </c>
      <c r="C509" s="119" t="s">
        <v>1825</v>
      </c>
      <c r="D509" s="119"/>
      <c r="E509" s="119"/>
      <c r="F509" s="155">
        <v>-80</v>
      </c>
      <c r="G509" s="133" t="str">
        <f>_xlfn.XLOOKUP(Table1[[#This Row],[Account_ID]], Accounts[ID], Accounts[Account nickname], "Unknown")</f>
        <v>Discover</v>
      </c>
      <c r="H509" s="134" t="str">
        <f>_xlfn.XLOOKUP(Table1[[#This Row],[Account_ID]], Accounts[ID], Accounts[Account'#], "Unknown")</f>
        <v>4618</v>
      </c>
      <c r="I509" s="135" t="str">
        <f>_xlfn.XLOOKUP(_xlfn.XLOOKUP(Table1[[#This Row],[Account]],Accounts[Account nickname],Accounts[Institution ID]),Institutions[ID],Institutions[Institution nickname],"Unknown")</f>
        <v>Discover</v>
      </c>
      <c r="J509" s="136" t="s">
        <v>1826</v>
      </c>
      <c r="K509" s="137" t="s">
        <v>843</v>
      </c>
      <c r="L509" s="137" t="s">
        <v>841</v>
      </c>
      <c r="M50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0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09" s="138" t="str" cm="1">
        <f t="array" ref="O509">IFERROR(INDEX(CategoriesTable[Category type],MATCH(Table1[[#This Row],[Category]],CategoriesTable[Category name],0),0),"")</f>
        <v/>
      </c>
      <c r="P509" s="138">
        <v>5</v>
      </c>
      <c r="Q509" s="138">
        <f>MONTH(Table1[[#This Row],[Date]])</f>
        <v>9</v>
      </c>
      <c r="R509" s="138">
        <v>2021</v>
      </c>
      <c r="S509" s="139">
        <f>IF(ISBLANK(Table1[[#This Row],[Date]]),"",Table1[[#This Row],[Date]]-WEEKDAY(Table1[[#This Row],[Date]],2)+1)</f>
        <v>44438</v>
      </c>
      <c r="T509" s="140">
        <f>IF(ISBLANK(Table1[[#This Row],[Date]]),"",DATE(Table1[[#This Row],[Date_Year]],Table1[[#This Row],[Date_Month]],1))</f>
        <v>44440</v>
      </c>
    </row>
    <row r="510" spans="2:20" ht="15.75">
      <c r="B510" s="154">
        <v>44444</v>
      </c>
      <c r="C510" s="119" t="s">
        <v>845</v>
      </c>
      <c r="D510" s="119"/>
      <c r="E510" s="119"/>
      <c r="F510" s="155">
        <v>1253.96</v>
      </c>
      <c r="G510" s="133" t="str">
        <f>_xlfn.XLOOKUP(Table1[[#This Row],[Account_ID]], Accounts[ID], Accounts[Account nickname], "Unknown")</f>
        <v>Discover</v>
      </c>
      <c r="H510" s="134" t="str">
        <f>_xlfn.XLOOKUP(Table1[[#This Row],[Account_ID]], Accounts[ID], Accounts[Account'#], "Unknown")</f>
        <v>4618</v>
      </c>
      <c r="I510" s="135" t="str">
        <f>_xlfn.XLOOKUP(_xlfn.XLOOKUP(Table1[[#This Row],[Account]],Accounts[Account nickname],Accounts[Institution ID]),Institutions[ID],Institutions[Institution nickname],"Unknown")</f>
        <v>Discover</v>
      </c>
      <c r="J510" s="136" t="s">
        <v>1822</v>
      </c>
      <c r="K510" s="137" t="s">
        <v>843</v>
      </c>
      <c r="L510" s="137" t="s">
        <v>841</v>
      </c>
      <c r="M51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1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10" s="138" t="str" cm="1">
        <f t="array" ref="O510">IFERROR(INDEX(CategoriesTable[Category type],MATCH(Table1[[#This Row],[Category]],CategoriesTable[Category name],0),0),"")</f>
        <v/>
      </c>
      <c r="P510" s="138">
        <v>5</v>
      </c>
      <c r="Q510" s="138">
        <f>MONTH(Table1[[#This Row],[Date]])</f>
        <v>9</v>
      </c>
      <c r="R510" s="138">
        <v>2021</v>
      </c>
      <c r="S510" s="139">
        <f>IF(ISBLANK(Table1[[#This Row],[Date]]),"",Table1[[#This Row],[Date]]-WEEKDAY(Table1[[#This Row],[Date]],2)+1)</f>
        <v>44438</v>
      </c>
      <c r="T510" s="140">
        <f>IF(ISBLANK(Table1[[#This Row],[Date]]),"",DATE(Table1[[#This Row],[Date_Year]],Table1[[#This Row],[Date_Month]],1))</f>
        <v>44440</v>
      </c>
    </row>
    <row r="511" spans="2:20" ht="15.75">
      <c r="B511" s="154">
        <v>44444</v>
      </c>
      <c r="C511" s="119" t="s">
        <v>685</v>
      </c>
      <c r="D511" s="119" t="s">
        <v>103</v>
      </c>
      <c r="E511" s="119"/>
      <c r="F511" s="155">
        <v>-608.14</v>
      </c>
      <c r="G511" s="133" t="str">
        <f>_xlfn.XLOOKUP(Table1[[#This Row],[Account_ID]], Accounts[ID], Accounts[Account nickname], "Unknown")</f>
        <v>BB</v>
      </c>
      <c r="H511" s="134" t="str">
        <f>_xlfn.XLOOKUP(Table1[[#This Row],[Account_ID]], Accounts[ID], Accounts[Account'#], "Unknown")</f>
        <v>4561</v>
      </c>
      <c r="I511" s="135" t="str">
        <f>_xlfn.XLOOKUP(_xlfn.XLOOKUP(Table1[[#This Row],[Account]],Accounts[Account nickname],Accounts[Institution ID]),Institutions[ID],Institutions[Institution nickname],"Unknown")</f>
        <v>Best Buy - Citi Card</v>
      </c>
      <c r="J511" s="136" t="s">
        <v>1828</v>
      </c>
      <c r="K511" s="137" t="s">
        <v>1375</v>
      </c>
      <c r="L511" s="137" t="s">
        <v>1372</v>
      </c>
      <c r="M51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fca5dd8329b743f7b77704e23a1e63ad</v>
      </c>
      <c r="N51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11" s="138" t="str" cm="1">
        <f t="array" ref="O511">IFERROR(INDEX(CategoriesTable[Category type],MATCH(Table1[[#This Row],[Category]],CategoriesTable[Category name],0),0),"")</f>
        <v>Expense</v>
      </c>
      <c r="P511" s="138">
        <v>5</v>
      </c>
      <c r="Q511" s="138">
        <f>MONTH(Table1[[#This Row],[Date]])</f>
        <v>9</v>
      </c>
      <c r="R511" s="138">
        <v>2021</v>
      </c>
      <c r="S511" s="139">
        <f>IF(ISBLANK(Table1[[#This Row],[Date]]),"",Table1[[#This Row],[Date]]-WEEKDAY(Table1[[#This Row],[Date]],2)+1)</f>
        <v>44438</v>
      </c>
      <c r="T511" s="140">
        <f>IF(ISBLANK(Table1[[#This Row],[Date]]),"",DATE(Table1[[#This Row],[Date_Year]],Table1[[#This Row],[Date_Month]],1))</f>
        <v>44440</v>
      </c>
    </row>
    <row r="512" spans="2:20" ht="15.75">
      <c r="B512" s="154">
        <v>44444</v>
      </c>
      <c r="C512" s="119" t="s">
        <v>1377</v>
      </c>
      <c r="D512" s="119" t="s">
        <v>106</v>
      </c>
      <c r="E512" s="119"/>
      <c r="F512" s="155">
        <v>190.78</v>
      </c>
      <c r="G512" s="133" t="str">
        <f>_xlfn.XLOOKUP(Table1[[#This Row],[Account_ID]], Accounts[ID], Accounts[Account nickname], "Unknown")</f>
        <v>BB</v>
      </c>
      <c r="H512" s="134" t="str">
        <f>_xlfn.XLOOKUP(Table1[[#This Row],[Account_ID]], Accounts[ID], Accounts[Account'#], "Unknown")</f>
        <v>4561</v>
      </c>
      <c r="I512" s="135" t="str">
        <f>_xlfn.XLOOKUP(_xlfn.XLOOKUP(Table1[[#This Row],[Account]],Accounts[Account nickname],Accounts[Institution ID]),Institutions[ID],Institutions[Institution nickname],"Unknown")</f>
        <v>Best Buy - Citi Card</v>
      </c>
      <c r="J512" s="136" t="s">
        <v>1829</v>
      </c>
      <c r="K512" s="137" t="s">
        <v>1375</v>
      </c>
      <c r="L512" s="137" t="s">
        <v>1372</v>
      </c>
      <c r="M51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3dafc6bd8d7c45ae9840ff09e01567d1</v>
      </c>
      <c r="N51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12" s="138" t="str" cm="1">
        <f t="array" ref="O512">IFERROR(INDEX(CategoriesTable[Category type],MATCH(Table1[[#This Row],[Category]],CategoriesTable[Category name],0),0),"")</f>
        <v>Expense</v>
      </c>
      <c r="P512" s="138">
        <v>5</v>
      </c>
      <c r="Q512" s="138">
        <f>MONTH(Table1[[#This Row],[Date]])</f>
        <v>9</v>
      </c>
      <c r="R512" s="138">
        <v>2021</v>
      </c>
      <c r="S512" s="139">
        <f>IF(ISBLANK(Table1[[#This Row],[Date]]),"",Table1[[#This Row],[Date]]-WEEKDAY(Table1[[#This Row],[Date]],2)+1)</f>
        <v>44438</v>
      </c>
      <c r="T512" s="140">
        <f>IF(ISBLANK(Table1[[#This Row],[Date]]),"",DATE(Table1[[#This Row],[Date_Year]],Table1[[#This Row],[Date_Month]],1))</f>
        <v>44440</v>
      </c>
    </row>
    <row r="513" spans="2:20" ht="15.75">
      <c r="B513" s="154">
        <v>44443</v>
      </c>
      <c r="C513" s="119" t="s">
        <v>852</v>
      </c>
      <c r="D513" s="119"/>
      <c r="E513" s="119"/>
      <c r="F513" s="155">
        <v>-93.71</v>
      </c>
      <c r="G513" s="133" t="str">
        <f>_xlfn.XLOOKUP(Table1[[#This Row],[Account_ID]], Accounts[ID], Accounts[Account nickname], "Unknown")</f>
        <v>Discover</v>
      </c>
      <c r="H513" s="134" t="str">
        <f>_xlfn.XLOOKUP(Table1[[#This Row],[Account_ID]], Accounts[ID], Accounts[Account'#], "Unknown")</f>
        <v>4618</v>
      </c>
      <c r="I513" s="135" t="str">
        <f>_xlfn.XLOOKUP(_xlfn.XLOOKUP(Table1[[#This Row],[Account]],Accounts[Account nickname],Accounts[Institution ID]),Institutions[ID],Institutions[Institution nickname],"Unknown")</f>
        <v>Discover</v>
      </c>
      <c r="J513" s="136" t="s">
        <v>1830</v>
      </c>
      <c r="K513" s="137" t="s">
        <v>843</v>
      </c>
      <c r="L513" s="137" t="s">
        <v>841</v>
      </c>
      <c r="M51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1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13" s="138" t="str" cm="1">
        <f t="array" ref="O513">IFERROR(INDEX(CategoriesTable[Category type],MATCH(Table1[[#This Row],[Category]],CategoriesTable[Category name],0),0),"")</f>
        <v/>
      </c>
      <c r="P513" s="138">
        <v>4</v>
      </c>
      <c r="Q513" s="138">
        <f>MONTH(Table1[[#This Row],[Date]])</f>
        <v>9</v>
      </c>
      <c r="R513" s="138">
        <v>2021</v>
      </c>
      <c r="S513" s="139">
        <f>IF(ISBLANK(Table1[[#This Row],[Date]]),"",Table1[[#This Row],[Date]]-WEEKDAY(Table1[[#This Row],[Date]],2)+1)</f>
        <v>44438</v>
      </c>
      <c r="T513" s="140">
        <f>IF(ISBLANK(Table1[[#This Row],[Date]]),"",DATE(Table1[[#This Row],[Date_Year]],Table1[[#This Row],[Date_Month]],1))</f>
        <v>44440</v>
      </c>
    </row>
    <row r="514" spans="2:20" ht="15.75">
      <c r="B514" s="154">
        <v>44442</v>
      </c>
      <c r="C514" s="119" t="s">
        <v>1839</v>
      </c>
      <c r="D514" s="119"/>
      <c r="E514" s="119"/>
      <c r="F514" s="155">
        <v>-125.03</v>
      </c>
      <c r="G514" s="133" t="str">
        <f>_xlfn.XLOOKUP(Table1[[#This Row],[Account_ID]], Accounts[ID], Accounts[Account nickname], "Unknown")</f>
        <v>Discover</v>
      </c>
      <c r="H514" s="134" t="str">
        <f>_xlfn.XLOOKUP(Table1[[#This Row],[Account_ID]], Accounts[ID], Accounts[Account'#], "Unknown")</f>
        <v>4618</v>
      </c>
      <c r="I514" s="135" t="str">
        <f>_xlfn.XLOOKUP(_xlfn.XLOOKUP(Table1[[#This Row],[Account]],Accounts[Account nickname],Accounts[Institution ID]),Institutions[ID],Institutions[Institution nickname],"Unknown")</f>
        <v>Discover</v>
      </c>
      <c r="J514" s="136" t="s">
        <v>1840</v>
      </c>
      <c r="K514" s="137" t="s">
        <v>843</v>
      </c>
      <c r="L514" s="137" t="s">
        <v>841</v>
      </c>
      <c r="M51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1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14" s="138" t="str" cm="1">
        <f t="array" ref="O514">IFERROR(INDEX(CategoriesTable[Category type],MATCH(Table1[[#This Row],[Category]],CategoriesTable[Category name],0),0),"")</f>
        <v/>
      </c>
      <c r="P514" s="138">
        <v>3</v>
      </c>
      <c r="Q514" s="138">
        <f>MONTH(Table1[[#This Row],[Date]])</f>
        <v>9</v>
      </c>
      <c r="R514" s="138">
        <v>2021</v>
      </c>
      <c r="S514" s="139">
        <f>IF(ISBLANK(Table1[[#This Row],[Date]]),"",Table1[[#This Row],[Date]]-WEEKDAY(Table1[[#This Row],[Date]],2)+1)</f>
        <v>44438</v>
      </c>
      <c r="T514" s="140">
        <f>IF(ISBLANK(Table1[[#This Row],[Date]]),"",DATE(Table1[[#This Row],[Date_Year]],Table1[[#This Row],[Date_Month]],1))</f>
        <v>44440</v>
      </c>
    </row>
    <row r="515" spans="2:20" ht="15.75">
      <c r="B515" s="154">
        <v>44442</v>
      </c>
      <c r="C515" s="119" t="s">
        <v>1836</v>
      </c>
      <c r="D515" s="119"/>
      <c r="E515" s="119"/>
      <c r="F515" s="155">
        <v>-35.380000000000003</v>
      </c>
      <c r="G515" s="133" t="str">
        <f>_xlfn.XLOOKUP(Table1[[#This Row],[Account_ID]], Accounts[ID], Accounts[Account nickname], "Unknown")</f>
        <v>Discover</v>
      </c>
      <c r="H515" s="134" t="str">
        <f>_xlfn.XLOOKUP(Table1[[#This Row],[Account_ID]], Accounts[ID], Accounts[Account'#], "Unknown")</f>
        <v>4618</v>
      </c>
      <c r="I515" s="135" t="str">
        <f>_xlfn.XLOOKUP(_xlfn.XLOOKUP(Table1[[#This Row],[Account]],Accounts[Account nickname],Accounts[Institution ID]),Institutions[ID],Institutions[Institution nickname],"Unknown")</f>
        <v>Discover</v>
      </c>
      <c r="J515" s="136" t="s">
        <v>1837</v>
      </c>
      <c r="K515" s="137" t="s">
        <v>843</v>
      </c>
      <c r="L515" s="137" t="s">
        <v>841</v>
      </c>
      <c r="M51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1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15" s="138" t="str" cm="1">
        <f t="array" ref="O515">IFERROR(INDEX(CategoriesTable[Category type],MATCH(Table1[[#This Row],[Category]],CategoriesTable[Category name],0),0),"")</f>
        <v/>
      </c>
      <c r="P515" s="138">
        <v>3</v>
      </c>
      <c r="Q515" s="138">
        <f>MONTH(Table1[[#This Row],[Date]])</f>
        <v>9</v>
      </c>
      <c r="R515" s="138">
        <v>2021</v>
      </c>
      <c r="S515" s="139">
        <f>IF(ISBLANK(Table1[[#This Row],[Date]]),"",Table1[[#This Row],[Date]]-WEEKDAY(Table1[[#This Row],[Date]],2)+1)</f>
        <v>44438</v>
      </c>
      <c r="T515" s="140">
        <f>IF(ISBLANK(Table1[[#This Row],[Date]]),"",DATE(Table1[[#This Row],[Date_Year]],Table1[[#This Row],[Date_Month]],1))</f>
        <v>44440</v>
      </c>
    </row>
    <row r="516" spans="2:20" ht="15.75">
      <c r="B516" s="154">
        <v>44442</v>
      </c>
      <c r="C516" s="119" t="s">
        <v>708</v>
      </c>
      <c r="D516" s="119"/>
      <c r="E516" s="119"/>
      <c r="F516" s="155">
        <v>-18.059999999999999</v>
      </c>
      <c r="G516" s="133" t="str">
        <f>_xlfn.XLOOKUP(Table1[[#This Row],[Account_ID]], Accounts[ID], Accounts[Account nickname], "Unknown")</f>
        <v>Discover</v>
      </c>
      <c r="H516" s="134" t="str">
        <f>_xlfn.XLOOKUP(Table1[[#This Row],[Account_ID]], Accounts[ID], Accounts[Account'#], "Unknown")</f>
        <v>4618</v>
      </c>
      <c r="I516" s="135" t="str">
        <f>_xlfn.XLOOKUP(_xlfn.XLOOKUP(Table1[[#This Row],[Account]],Accounts[Account nickname],Accounts[Institution ID]),Institutions[ID],Institutions[Institution nickname],"Unknown")</f>
        <v>Discover</v>
      </c>
      <c r="J516" s="136" t="s">
        <v>1831</v>
      </c>
      <c r="K516" s="137" t="s">
        <v>843</v>
      </c>
      <c r="L516" s="137" t="s">
        <v>841</v>
      </c>
      <c r="M51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1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16" s="138" t="str" cm="1">
        <f t="array" ref="O516">IFERROR(INDEX(CategoriesTable[Category type],MATCH(Table1[[#This Row],[Category]],CategoriesTable[Category name],0),0),"")</f>
        <v/>
      </c>
      <c r="P516" s="138">
        <v>3</v>
      </c>
      <c r="Q516" s="138">
        <f>MONTH(Table1[[#This Row],[Date]])</f>
        <v>9</v>
      </c>
      <c r="R516" s="138">
        <v>2021</v>
      </c>
      <c r="S516" s="139">
        <f>IF(ISBLANK(Table1[[#This Row],[Date]]),"",Table1[[#This Row],[Date]]-WEEKDAY(Table1[[#This Row],[Date]],2)+1)</f>
        <v>44438</v>
      </c>
      <c r="T516" s="140">
        <f>IF(ISBLANK(Table1[[#This Row],[Date]]),"",DATE(Table1[[#This Row],[Date_Year]],Table1[[#This Row],[Date_Month]],1))</f>
        <v>44440</v>
      </c>
    </row>
    <row r="517" spans="2:20" ht="15.75">
      <c r="B517" s="154">
        <v>44442</v>
      </c>
      <c r="C517" s="119" t="s">
        <v>1403</v>
      </c>
      <c r="D517" s="119"/>
      <c r="E517" s="119"/>
      <c r="F517" s="155">
        <v>-68.52</v>
      </c>
      <c r="G517" s="133" t="str">
        <f>_xlfn.XLOOKUP(Table1[[#This Row],[Account_ID]], Accounts[ID], Accounts[Account nickname], "Unknown")</f>
        <v>Discover</v>
      </c>
      <c r="H517" s="134" t="str">
        <f>_xlfn.XLOOKUP(Table1[[#This Row],[Account_ID]], Accounts[ID], Accounts[Account'#], "Unknown")</f>
        <v>4618</v>
      </c>
      <c r="I517" s="135" t="str">
        <f>_xlfn.XLOOKUP(_xlfn.XLOOKUP(Table1[[#This Row],[Account]],Accounts[Account nickname],Accounts[Institution ID]),Institutions[ID],Institutions[Institution nickname],"Unknown")</f>
        <v>Discover</v>
      </c>
      <c r="J517" s="152" t="s">
        <v>1838</v>
      </c>
      <c r="K517" s="137" t="s">
        <v>843</v>
      </c>
      <c r="L517" s="137" t="s">
        <v>841</v>
      </c>
      <c r="M51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1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17" s="138" t="str" cm="1">
        <f t="array" ref="O517">IFERROR(INDEX(CategoriesTable[Category type],MATCH(Table1[[#This Row],[Category]],CategoriesTable[Category name],0),0),"")</f>
        <v/>
      </c>
      <c r="P517" s="138">
        <v>3</v>
      </c>
      <c r="Q517" s="138">
        <f>MONTH(Table1[[#This Row],[Date]])</f>
        <v>9</v>
      </c>
      <c r="R517" s="138">
        <v>2021</v>
      </c>
      <c r="S517" s="139">
        <f>IF(ISBLANK(Table1[[#This Row],[Date]]),"",Table1[[#This Row],[Date]]-WEEKDAY(Table1[[#This Row],[Date]],2)+1)</f>
        <v>44438</v>
      </c>
      <c r="T517" s="140">
        <f>IF(ISBLANK(Table1[[#This Row],[Date]]),"",DATE(Table1[[#This Row],[Date_Year]],Table1[[#This Row],[Date_Month]],1))</f>
        <v>44440</v>
      </c>
    </row>
    <row r="518" spans="2:20" ht="15.75">
      <c r="B518" s="154">
        <v>44442</v>
      </c>
      <c r="C518" s="119" t="s">
        <v>1529</v>
      </c>
      <c r="D518" s="119"/>
      <c r="E518" s="119"/>
      <c r="F518" s="155">
        <v>-11.99</v>
      </c>
      <c r="G518" s="133" t="str">
        <f>_xlfn.XLOOKUP(Table1[[#This Row],[Account_ID]], Accounts[ID], Accounts[Account nickname], "Unknown")</f>
        <v>Discover</v>
      </c>
      <c r="H518" s="134" t="str">
        <f>_xlfn.XLOOKUP(Table1[[#This Row],[Account_ID]], Accounts[ID], Accounts[Account'#], "Unknown")</f>
        <v>4618</v>
      </c>
      <c r="I518" s="135" t="str">
        <f>_xlfn.XLOOKUP(_xlfn.XLOOKUP(Table1[[#This Row],[Account]],Accounts[Account nickname],Accounts[Institution ID]),Institutions[ID],Institutions[Institution nickname],"Unknown")</f>
        <v>Discover</v>
      </c>
      <c r="J518" s="136" t="s">
        <v>1833</v>
      </c>
      <c r="K518" s="137" t="s">
        <v>843</v>
      </c>
      <c r="L518" s="137" t="s">
        <v>841</v>
      </c>
      <c r="M51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1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18" s="138" t="str" cm="1">
        <f t="array" ref="O518">IFERROR(INDEX(CategoriesTable[Category type],MATCH(Table1[[#This Row],[Category]],CategoriesTable[Category name],0),0),"")</f>
        <v/>
      </c>
      <c r="P518" s="138">
        <v>3</v>
      </c>
      <c r="Q518" s="138">
        <f>MONTH(Table1[[#This Row],[Date]])</f>
        <v>9</v>
      </c>
      <c r="R518" s="138">
        <v>2021</v>
      </c>
      <c r="S518" s="139">
        <f>IF(ISBLANK(Table1[[#This Row],[Date]]),"",Table1[[#This Row],[Date]]-WEEKDAY(Table1[[#This Row],[Date]],2)+1)</f>
        <v>44438</v>
      </c>
      <c r="T518" s="140">
        <f>IF(ISBLANK(Table1[[#This Row],[Date]]),"",DATE(Table1[[#This Row],[Date_Year]],Table1[[#This Row],[Date_Month]],1))</f>
        <v>44440</v>
      </c>
    </row>
    <row r="519" spans="2:20" ht="15.75">
      <c r="B519" s="154">
        <v>44442</v>
      </c>
      <c r="C519" s="119" t="s">
        <v>708</v>
      </c>
      <c r="D519" s="119"/>
      <c r="E519" s="119"/>
      <c r="F519" s="155">
        <v>-39.69</v>
      </c>
      <c r="G519" s="133" t="str">
        <f>_xlfn.XLOOKUP(Table1[[#This Row],[Account_ID]], Accounts[ID], Accounts[Account nickname], "Unknown")</f>
        <v>Discover</v>
      </c>
      <c r="H519" s="134" t="str">
        <f>_xlfn.XLOOKUP(Table1[[#This Row],[Account_ID]], Accounts[ID], Accounts[Account'#], "Unknown")</f>
        <v>4618</v>
      </c>
      <c r="I519" s="135" t="str">
        <f>_xlfn.XLOOKUP(_xlfn.XLOOKUP(Table1[[#This Row],[Account]],Accounts[Account nickname],Accounts[Institution ID]),Institutions[ID],Institutions[Institution nickname],"Unknown")</f>
        <v>Discover</v>
      </c>
      <c r="J519" s="136" t="s">
        <v>1832</v>
      </c>
      <c r="K519" s="137" t="s">
        <v>843</v>
      </c>
      <c r="L519" s="137" t="s">
        <v>841</v>
      </c>
      <c r="M51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1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19" s="138" t="str" cm="1">
        <f t="array" ref="O519">IFERROR(INDEX(CategoriesTable[Category type],MATCH(Table1[[#This Row],[Category]],CategoriesTable[Category name],0),0),"")</f>
        <v/>
      </c>
      <c r="P519" s="138">
        <v>3</v>
      </c>
      <c r="Q519" s="138">
        <f>MONTH(Table1[[#This Row],[Date]])</f>
        <v>9</v>
      </c>
      <c r="R519" s="138">
        <v>2021</v>
      </c>
      <c r="S519" s="139">
        <f>IF(ISBLANK(Table1[[#This Row],[Date]]),"",Table1[[#This Row],[Date]]-WEEKDAY(Table1[[#This Row],[Date]],2)+1)</f>
        <v>44438</v>
      </c>
      <c r="T519" s="140">
        <f>IF(ISBLANK(Table1[[#This Row],[Date]]),"",DATE(Table1[[#This Row],[Date_Year]],Table1[[#This Row],[Date_Month]],1))</f>
        <v>44440</v>
      </c>
    </row>
    <row r="520" spans="2:20" ht="15.75">
      <c r="B520" s="154">
        <v>44442</v>
      </c>
      <c r="C520" s="119" t="s">
        <v>1834</v>
      </c>
      <c r="D520" s="119"/>
      <c r="E520" s="119"/>
      <c r="F520" s="155">
        <v>-4</v>
      </c>
      <c r="G520" s="133" t="str">
        <f>_xlfn.XLOOKUP(Table1[[#This Row],[Account_ID]], Accounts[ID], Accounts[Account nickname], "Unknown")</f>
        <v>Discover</v>
      </c>
      <c r="H520" s="134" t="str">
        <f>_xlfn.XLOOKUP(Table1[[#This Row],[Account_ID]], Accounts[ID], Accounts[Account'#], "Unknown")</f>
        <v>4618</v>
      </c>
      <c r="I520" s="135" t="str">
        <f>_xlfn.XLOOKUP(_xlfn.XLOOKUP(Table1[[#This Row],[Account]],Accounts[Account nickname],Accounts[Institution ID]),Institutions[ID],Institutions[Institution nickname],"Unknown")</f>
        <v>Discover</v>
      </c>
      <c r="J520" s="136" t="s">
        <v>1835</v>
      </c>
      <c r="K520" s="137" t="s">
        <v>843</v>
      </c>
      <c r="L520" s="137" t="s">
        <v>841</v>
      </c>
      <c r="M52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2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20" s="138" t="str" cm="1">
        <f t="array" ref="O520">IFERROR(INDEX(CategoriesTable[Category type],MATCH(Table1[[#This Row],[Category]],CategoriesTable[Category name],0),0),"")</f>
        <v/>
      </c>
      <c r="P520" s="138">
        <v>3</v>
      </c>
      <c r="Q520" s="138">
        <f>MONTH(Table1[[#This Row],[Date]])</f>
        <v>9</v>
      </c>
      <c r="R520" s="138">
        <v>2021</v>
      </c>
      <c r="S520" s="139">
        <f>IF(ISBLANK(Table1[[#This Row],[Date]]),"",Table1[[#This Row],[Date]]-WEEKDAY(Table1[[#This Row],[Date]],2)+1)</f>
        <v>44438</v>
      </c>
      <c r="T520" s="140">
        <f>IF(ISBLANK(Table1[[#This Row],[Date]]),"",DATE(Table1[[#This Row],[Date_Year]],Table1[[#This Row],[Date_Month]],1))</f>
        <v>44440</v>
      </c>
    </row>
    <row r="521" spans="2:20" ht="15.75">
      <c r="B521" s="154">
        <v>44441</v>
      </c>
      <c r="C521" s="119" t="s">
        <v>1534</v>
      </c>
      <c r="D521" s="119"/>
      <c r="E521" s="119"/>
      <c r="F521" s="155">
        <v>-10</v>
      </c>
      <c r="G521" s="133" t="str">
        <f>_xlfn.XLOOKUP(Table1[[#This Row],[Account_ID]], Accounts[ID], Accounts[Account nickname], "Unknown")</f>
        <v>Discover</v>
      </c>
      <c r="H521" s="134" t="str">
        <f>_xlfn.XLOOKUP(Table1[[#This Row],[Account_ID]], Accounts[ID], Accounts[Account'#], "Unknown")</f>
        <v>4618</v>
      </c>
      <c r="I521" s="135" t="str">
        <f>_xlfn.XLOOKUP(_xlfn.XLOOKUP(Table1[[#This Row],[Account]],Accounts[Account nickname],Accounts[Institution ID]),Institutions[ID],Institutions[Institution nickname],"Unknown")</f>
        <v>Discover</v>
      </c>
      <c r="J521" s="136" t="s">
        <v>1847</v>
      </c>
      <c r="K521" s="137" t="s">
        <v>843</v>
      </c>
      <c r="L521" s="137" t="s">
        <v>841</v>
      </c>
      <c r="M52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2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21" s="138" t="str" cm="1">
        <f t="array" ref="O521">IFERROR(INDEX(CategoriesTable[Category type],MATCH(Table1[[#This Row],[Category]],CategoriesTable[Category name],0),0),"")</f>
        <v/>
      </c>
      <c r="P521" s="138">
        <v>2</v>
      </c>
      <c r="Q521" s="138">
        <f>MONTH(Table1[[#This Row],[Date]])</f>
        <v>9</v>
      </c>
      <c r="R521" s="138">
        <v>2021</v>
      </c>
      <c r="S521" s="139">
        <f>IF(ISBLANK(Table1[[#This Row],[Date]]),"",Table1[[#This Row],[Date]]-WEEKDAY(Table1[[#This Row],[Date]],2)+1)</f>
        <v>44438</v>
      </c>
      <c r="T521" s="140">
        <f>IF(ISBLANK(Table1[[#This Row],[Date]]),"",DATE(Table1[[#This Row],[Date_Year]],Table1[[#This Row],[Date_Month]],1))</f>
        <v>44440</v>
      </c>
    </row>
    <row r="522" spans="2:20" ht="15.75">
      <c r="B522" s="154">
        <v>44441</v>
      </c>
      <c r="C522" s="119" t="s">
        <v>1845</v>
      </c>
      <c r="D522" s="119"/>
      <c r="E522" s="119"/>
      <c r="F522" s="155">
        <v>-20</v>
      </c>
      <c r="G522" s="133" t="str">
        <f>_xlfn.XLOOKUP(Table1[[#This Row],[Account_ID]], Accounts[ID], Accounts[Account nickname], "Unknown")</f>
        <v>Discover</v>
      </c>
      <c r="H522" s="134" t="str">
        <f>_xlfn.XLOOKUP(Table1[[#This Row],[Account_ID]], Accounts[ID], Accounts[Account'#], "Unknown")</f>
        <v>4618</v>
      </c>
      <c r="I522" s="135" t="str">
        <f>_xlfn.XLOOKUP(_xlfn.XLOOKUP(Table1[[#This Row],[Account]],Accounts[Account nickname],Accounts[Institution ID]),Institutions[ID],Institutions[Institution nickname],"Unknown")</f>
        <v>Discover</v>
      </c>
      <c r="J522" s="136" t="s">
        <v>1846</v>
      </c>
      <c r="K522" s="137" t="s">
        <v>843</v>
      </c>
      <c r="L522" s="137" t="s">
        <v>841</v>
      </c>
      <c r="M52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2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22" s="138" t="str" cm="1">
        <f t="array" ref="O522">IFERROR(INDEX(CategoriesTable[Category type],MATCH(Table1[[#This Row],[Category]],CategoriesTable[Category name],0),0),"")</f>
        <v/>
      </c>
      <c r="P522" s="138">
        <v>2</v>
      </c>
      <c r="Q522" s="138">
        <f>MONTH(Table1[[#This Row],[Date]])</f>
        <v>9</v>
      </c>
      <c r="R522" s="138">
        <v>2021</v>
      </c>
      <c r="S522" s="139">
        <f>IF(ISBLANK(Table1[[#This Row],[Date]]),"",Table1[[#This Row],[Date]]-WEEKDAY(Table1[[#This Row],[Date]],2)+1)</f>
        <v>44438</v>
      </c>
      <c r="T522" s="140">
        <f>IF(ISBLANK(Table1[[#This Row],[Date]]),"",DATE(Table1[[#This Row],[Date_Year]],Table1[[#This Row],[Date_Month]],1))</f>
        <v>44440</v>
      </c>
    </row>
    <row r="523" spans="2:20" ht="15.75">
      <c r="B523" s="154">
        <v>44441</v>
      </c>
      <c r="C523" s="119" t="s">
        <v>1854</v>
      </c>
      <c r="D523" s="119"/>
      <c r="E523" s="119"/>
      <c r="F523" s="155">
        <v>-9</v>
      </c>
      <c r="G523" s="133" t="str">
        <f>_xlfn.XLOOKUP(Table1[[#This Row],[Account_ID]], Accounts[ID], Accounts[Account nickname], "Unknown")</f>
        <v>Discover</v>
      </c>
      <c r="H523" s="134" t="str">
        <f>_xlfn.XLOOKUP(Table1[[#This Row],[Account_ID]], Accounts[ID], Accounts[Account'#], "Unknown")</f>
        <v>4618</v>
      </c>
      <c r="I523" s="135" t="str">
        <f>_xlfn.XLOOKUP(_xlfn.XLOOKUP(Table1[[#This Row],[Account]],Accounts[Account nickname],Accounts[Institution ID]),Institutions[ID],Institutions[Institution nickname],"Unknown")</f>
        <v>Discover</v>
      </c>
      <c r="J523" s="136" t="s">
        <v>1855</v>
      </c>
      <c r="K523" s="137" t="s">
        <v>843</v>
      </c>
      <c r="L523" s="137" t="s">
        <v>841</v>
      </c>
      <c r="M52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2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23" s="138" t="str" cm="1">
        <f t="array" ref="O523">IFERROR(INDEX(CategoriesTable[Category type],MATCH(Table1[[#This Row],[Category]],CategoriesTable[Category name],0),0),"")</f>
        <v/>
      </c>
      <c r="P523" s="138">
        <v>2</v>
      </c>
      <c r="Q523" s="138">
        <f>MONTH(Table1[[#This Row],[Date]])</f>
        <v>9</v>
      </c>
      <c r="R523" s="138">
        <v>2021</v>
      </c>
      <c r="S523" s="139">
        <f>IF(ISBLANK(Table1[[#This Row],[Date]]),"",Table1[[#This Row],[Date]]-WEEKDAY(Table1[[#This Row],[Date]],2)+1)</f>
        <v>44438</v>
      </c>
      <c r="T523" s="140">
        <f>IF(ISBLANK(Table1[[#This Row],[Date]]),"",DATE(Table1[[#This Row],[Date_Year]],Table1[[#This Row],[Date_Month]],1))</f>
        <v>44440</v>
      </c>
    </row>
    <row r="524" spans="2:20" ht="15.75">
      <c r="B524" s="154">
        <v>44441</v>
      </c>
      <c r="C524" s="119" t="s">
        <v>1848</v>
      </c>
      <c r="D524" s="119"/>
      <c r="E524" s="119"/>
      <c r="F524" s="155">
        <v>-37.880000000000003</v>
      </c>
      <c r="G524" s="133" t="str">
        <f>_xlfn.XLOOKUP(Table1[[#This Row],[Account_ID]], Accounts[ID], Accounts[Account nickname], "Unknown")</f>
        <v>Discover</v>
      </c>
      <c r="H524" s="134" t="str">
        <f>_xlfn.XLOOKUP(Table1[[#This Row],[Account_ID]], Accounts[ID], Accounts[Account'#], "Unknown")</f>
        <v>4618</v>
      </c>
      <c r="I524" s="135" t="str">
        <f>_xlfn.XLOOKUP(_xlfn.XLOOKUP(Table1[[#This Row],[Account]],Accounts[Account nickname],Accounts[Institution ID]),Institutions[ID],Institutions[Institution nickname],"Unknown")</f>
        <v>Discover</v>
      </c>
      <c r="J524" s="136" t="s">
        <v>1849</v>
      </c>
      <c r="K524" s="137" t="s">
        <v>843</v>
      </c>
      <c r="L524" s="137" t="s">
        <v>841</v>
      </c>
      <c r="M52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2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24" s="138" t="str" cm="1">
        <f t="array" ref="O524">IFERROR(INDEX(CategoriesTable[Category type],MATCH(Table1[[#This Row],[Category]],CategoriesTable[Category name],0),0),"")</f>
        <v/>
      </c>
      <c r="P524" s="138">
        <v>2</v>
      </c>
      <c r="Q524" s="138">
        <f>MONTH(Table1[[#This Row],[Date]])</f>
        <v>9</v>
      </c>
      <c r="R524" s="138">
        <v>2021</v>
      </c>
      <c r="S524" s="139">
        <f>IF(ISBLANK(Table1[[#This Row],[Date]]),"",Table1[[#This Row],[Date]]-WEEKDAY(Table1[[#This Row],[Date]],2)+1)</f>
        <v>44438</v>
      </c>
      <c r="T524" s="140">
        <f>IF(ISBLANK(Table1[[#This Row],[Date]]),"",DATE(Table1[[#This Row],[Date_Year]],Table1[[#This Row],[Date_Month]],1))</f>
        <v>44440</v>
      </c>
    </row>
    <row r="525" spans="2:20" ht="15.75">
      <c r="B525" s="154">
        <v>44441</v>
      </c>
      <c r="C525" s="119" t="s">
        <v>1842</v>
      </c>
      <c r="D525" s="119"/>
      <c r="E525" s="119"/>
      <c r="F525" s="155">
        <v>-40</v>
      </c>
      <c r="G525" s="133" t="str">
        <f>_xlfn.XLOOKUP(Table1[[#This Row],[Account_ID]], Accounts[ID], Accounts[Account nickname], "Unknown")</f>
        <v>Discover</v>
      </c>
      <c r="H525" s="134" t="str">
        <f>_xlfn.XLOOKUP(Table1[[#This Row],[Account_ID]], Accounts[ID], Accounts[Account'#], "Unknown")</f>
        <v>4618</v>
      </c>
      <c r="I525" s="135" t="str">
        <f>_xlfn.XLOOKUP(_xlfn.XLOOKUP(Table1[[#This Row],[Account]],Accounts[Account nickname],Accounts[Institution ID]),Institutions[ID],Institutions[Institution nickname],"Unknown")</f>
        <v>Discover</v>
      </c>
      <c r="J525" s="136" t="s">
        <v>1843</v>
      </c>
      <c r="K525" s="137" t="s">
        <v>843</v>
      </c>
      <c r="L525" s="137" t="s">
        <v>841</v>
      </c>
      <c r="M52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2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25" s="138" t="str" cm="1">
        <f t="array" ref="O525">IFERROR(INDEX(CategoriesTable[Category type],MATCH(Table1[[#This Row],[Category]],CategoriesTable[Category name],0),0),"")</f>
        <v/>
      </c>
      <c r="P525" s="138">
        <v>2</v>
      </c>
      <c r="Q525" s="138">
        <f>MONTH(Table1[[#This Row],[Date]])</f>
        <v>9</v>
      </c>
      <c r="R525" s="138">
        <v>2021</v>
      </c>
      <c r="S525" s="139">
        <f>IF(ISBLANK(Table1[[#This Row],[Date]]),"",Table1[[#This Row],[Date]]-WEEKDAY(Table1[[#This Row],[Date]],2)+1)</f>
        <v>44438</v>
      </c>
      <c r="T525" s="140">
        <f>IF(ISBLANK(Table1[[#This Row],[Date]]),"",DATE(Table1[[#This Row],[Date_Year]],Table1[[#This Row],[Date_Month]],1))</f>
        <v>44440</v>
      </c>
    </row>
    <row r="526" spans="2:20" ht="15.75">
      <c r="B526" s="154">
        <v>44441</v>
      </c>
      <c r="C526" s="119" t="s">
        <v>1857</v>
      </c>
      <c r="D526" s="119"/>
      <c r="E526" s="119"/>
      <c r="F526" s="155">
        <v>-47.5</v>
      </c>
      <c r="G526" s="133" t="str">
        <f>_xlfn.XLOOKUP(Table1[[#This Row],[Account_ID]], Accounts[ID], Accounts[Account nickname], "Unknown")</f>
        <v>Discover</v>
      </c>
      <c r="H526" s="134" t="str">
        <f>_xlfn.XLOOKUP(Table1[[#This Row],[Account_ID]], Accounts[ID], Accounts[Account'#], "Unknown")</f>
        <v>4618</v>
      </c>
      <c r="I526" s="135" t="str">
        <f>_xlfn.XLOOKUP(_xlfn.XLOOKUP(Table1[[#This Row],[Account]],Accounts[Account nickname],Accounts[Institution ID]),Institutions[ID],Institutions[Institution nickname],"Unknown")</f>
        <v>Discover</v>
      </c>
      <c r="J526" s="136" t="s">
        <v>1858</v>
      </c>
      <c r="K526" s="137" t="s">
        <v>843</v>
      </c>
      <c r="L526" s="137" t="s">
        <v>841</v>
      </c>
      <c r="M52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2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26" s="138" t="str" cm="1">
        <f t="array" ref="O526">IFERROR(INDEX(CategoriesTable[Category type],MATCH(Table1[[#This Row],[Category]],CategoriesTable[Category name],0),0),"")</f>
        <v/>
      </c>
      <c r="P526" s="138">
        <v>2</v>
      </c>
      <c r="Q526" s="138">
        <f>MONTH(Table1[[#This Row],[Date]])</f>
        <v>9</v>
      </c>
      <c r="R526" s="138">
        <v>2021</v>
      </c>
      <c r="S526" s="139">
        <f>IF(ISBLANK(Table1[[#This Row],[Date]]),"",Table1[[#This Row],[Date]]-WEEKDAY(Table1[[#This Row],[Date]],2)+1)</f>
        <v>44438</v>
      </c>
      <c r="T526" s="140">
        <f>IF(ISBLANK(Table1[[#This Row],[Date]]),"",DATE(Table1[[#This Row],[Date_Year]],Table1[[#This Row],[Date_Month]],1))</f>
        <v>44440</v>
      </c>
    </row>
    <row r="527" spans="2:20" ht="15.75">
      <c r="B527" s="154">
        <v>44441</v>
      </c>
      <c r="C527" s="119" t="s">
        <v>1850</v>
      </c>
      <c r="D527" s="119"/>
      <c r="E527" s="119"/>
      <c r="F527" s="155">
        <v>-0.94</v>
      </c>
      <c r="G527" s="133" t="str">
        <f>_xlfn.XLOOKUP(Table1[[#This Row],[Account_ID]], Accounts[ID], Accounts[Account nickname], "Unknown")</f>
        <v>Discover</v>
      </c>
      <c r="H527" s="134" t="str">
        <f>_xlfn.XLOOKUP(Table1[[#This Row],[Account_ID]], Accounts[ID], Accounts[Account'#], "Unknown")</f>
        <v>4618</v>
      </c>
      <c r="I527" s="135" t="str">
        <f>_xlfn.XLOOKUP(_xlfn.XLOOKUP(Table1[[#This Row],[Account]],Accounts[Account nickname],Accounts[Institution ID]),Institutions[ID],Institutions[Institution nickname],"Unknown")</f>
        <v>Discover</v>
      </c>
      <c r="J527" s="136" t="s">
        <v>1852</v>
      </c>
      <c r="K527" s="137" t="s">
        <v>843</v>
      </c>
      <c r="L527" s="137" t="s">
        <v>841</v>
      </c>
      <c r="M52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2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27" s="138" t="str" cm="1">
        <f t="array" ref="O527">IFERROR(INDEX(CategoriesTable[Category type],MATCH(Table1[[#This Row],[Category]],CategoriesTable[Category name],0),0),"")</f>
        <v/>
      </c>
      <c r="P527" s="138">
        <v>2</v>
      </c>
      <c r="Q527" s="138">
        <f>MONTH(Table1[[#This Row],[Date]])</f>
        <v>9</v>
      </c>
      <c r="R527" s="138">
        <v>2021</v>
      </c>
      <c r="S527" s="139">
        <f>IF(ISBLANK(Table1[[#This Row],[Date]]),"",Table1[[#This Row],[Date]]-WEEKDAY(Table1[[#This Row],[Date]],2)+1)</f>
        <v>44438</v>
      </c>
      <c r="T527" s="140">
        <f>IF(ISBLANK(Table1[[#This Row],[Date]]),"",DATE(Table1[[#This Row],[Date_Year]],Table1[[#This Row],[Date_Month]],1))</f>
        <v>44440</v>
      </c>
    </row>
    <row r="528" spans="2:20" ht="15.75">
      <c r="B528" s="154">
        <v>44441</v>
      </c>
      <c r="C528" s="119" t="s">
        <v>910</v>
      </c>
      <c r="D528" s="119"/>
      <c r="E528" s="119"/>
      <c r="F528" s="155">
        <v>-11.64</v>
      </c>
      <c r="G528" s="133" t="str">
        <f>_xlfn.XLOOKUP(Table1[[#This Row],[Account_ID]], Accounts[ID], Accounts[Account nickname], "Unknown")</f>
        <v>Discover</v>
      </c>
      <c r="H528" s="134" t="str">
        <f>_xlfn.XLOOKUP(Table1[[#This Row],[Account_ID]], Accounts[ID], Accounts[Account'#], "Unknown")</f>
        <v>4618</v>
      </c>
      <c r="I528" s="135" t="str">
        <f>_xlfn.XLOOKUP(_xlfn.XLOOKUP(Table1[[#This Row],[Account]],Accounts[Account nickname],Accounts[Institution ID]),Institutions[ID],Institutions[Institution nickname],"Unknown")</f>
        <v>Discover</v>
      </c>
      <c r="J528" s="136" t="s">
        <v>1844</v>
      </c>
      <c r="K528" s="137" t="s">
        <v>843</v>
      </c>
      <c r="L528" s="137" t="s">
        <v>841</v>
      </c>
      <c r="M52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2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28" s="138" t="str" cm="1">
        <f t="array" ref="O528">IFERROR(INDEX(CategoriesTable[Category type],MATCH(Table1[[#This Row],[Category]],CategoriesTable[Category name],0),0),"")</f>
        <v/>
      </c>
      <c r="P528" s="138">
        <v>2</v>
      </c>
      <c r="Q528" s="138">
        <f>MONTH(Table1[[#This Row],[Date]])</f>
        <v>9</v>
      </c>
      <c r="R528" s="138">
        <v>2021</v>
      </c>
      <c r="S528" s="139">
        <f>IF(ISBLANK(Table1[[#This Row],[Date]]),"",Table1[[#This Row],[Date]]-WEEKDAY(Table1[[#This Row],[Date]],2)+1)</f>
        <v>44438</v>
      </c>
      <c r="T528" s="140">
        <f>IF(ISBLANK(Table1[[#This Row],[Date]]),"",DATE(Table1[[#This Row],[Date_Year]],Table1[[#This Row],[Date_Month]],1))</f>
        <v>44440</v>
      </c>
    </row>
    <row r="529" spans="2:20" ht="15.75">
      <c r="B529" s="154">
        <v>44441</v>
      </c>
      <c r="C529" s="119" t="s">
        <v>1854</v>
      </c>
      <c r="D529" s="119"/>
      <c r="E529" s="119"/>
      <c r="F529" s="155">
        <v>-31</v>
      </c>
      <c r="G529" s="133" t="str">
        <f>_xlfn.XLOOKUP(Table1[[#This Row],[Account_ID]], Accounts[ID], Accounts[Account nickname], "Unknown")</f>
        <v>Discover</v>
      </c>
      <c r="H529" s="134" t="str">
        <f>_xlfn.XLOOKUP(Table1[[#This Row],[Account_ID]], Accounts[ID], Accounts[Account'#], "Unknown")</f>
        <v>4618</v>
      </c>
      <c r="I529" s="135" t="str">
        <f>_xlfn.XLOOKUP(_xlfn.XLOOKUP(Table1[[#This Row],[Account]],Accounts[Account nickname],Accounts[Institution ID]),Institutions[ID],Institutions[Institution nickname],"Unknown")</f>
        <v>Discover</v>
      </c>
      <c r="J529" s="136" t="s">
        <v>1856</v>
      </c>
      <c r="K529" s="137" t="s">
        <v>843</v>
      </c>
      <c r="L529" s="137" t="s">
        <v>841</v>
      </c>
      <c r="M52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2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29" s="138" t="str" cm="1">
        <f t="array" ref="O529">IFERROR(INDEX(CategoriesTable[Category type],MATCH(Table1[[#This Row],[Category]],CategoriesTable[Category name],0),0),"")</f>
        <v/>
      </c>
      <c r="P529" s="138">
        <v>2</v>
      </c>
      <c r="Q529" s="138">
        <f>MONTH(Table1[[#This Row],[Date]])</f>
        <v>9</v>
      </c>
      <c r="R529" s="138">
        <v>2021</v>
      </c>
      <c r="S529" s="139">
        <f>IF(ISBLANK(Table1[[#This Row],[Date]]),"",Table1[[#This Row],[Date]]-WEEKDAY(Table1[[#This Row],[Date]],2)+1)</f>
        <v>44438</v>
      </c>
      <c r="T529" s="140">
        <f>IF(ISBLANK(Table1[[#This Row],[Date]]),"",DATE(Table1[[#This Row],[Date_Year]],Table1[[#This Row],[Date_Month]],1))</f>
        <v>44440</v>
      </c>
    </row>
    <row r="530" spans="2:20" ht="15.75">
      <c r="B530" s="154">
        <v>44441</v>
      </c>
      <c r="C530" s="119" t="s">
        <v>1859</v>
      </c>
      <c r="D530" s="119"/>
      <c r="E530" s="119"/>
      <c r="F530" s="155">
        <v>-6.72</v>
      </c>
      <c r="G530" s="133" t="str">
        <f>_xlfn.XLOOKUP(Table1[[#This Row],[Account_ID]], Accounts[ID], Accounts[Account nickname], "Unknown")</f>
        <v>Discover</v>
      </c>
      <c r="H530" s="134" t="str">
        <f>_xlfn.XLOOKUP(Table1[[#This Row],[Account_ID]], Accounts[ID], Accounts[Account'#], "Unknown")</f>
        <v>4618</v>
      </c>
      <c r="I530" s="135" t="str">
        <f>_xlfn.XLOOKUP(_xlfn.XLOOKUP(Table1[[#This Row],[Account]],Accounts[Account nickname],Accounts[Institution ID]),Institutions[ID],Institutions[Institution nickname],"Unknown")</f>
        <v>Discover</v>
      </c>
      <c r="J530" s="136" t="s">
        <v>1860</v>
      </c>
      <c r="K530" s="137" t="s">
        <v>843</v>
      </c>
      <c r="L530" s="137" t="s">
        <v>841</v>
      </c>
      <c r="M53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3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30" s="138" t="str" cm="1">
        <f t="array" ref="O530">IFERROR(INDEX(CategoriesTable[Category type],MATCH(Table1[[#This Row],[Category]],CategoriesTable[Category name],0),0),"")</f>
        <v/>
      </c>
      <c r="P530" s="138">
        <v>2</v>
      </c>
      <c r="Q530" s="138">
        <f>MONTH(Table1[[#This Row],[Date]])</f>
        <v>9</v>
      </c>
      <c r="R530" s="138">
        <v>2021</v>
      </c>
      <c r="S530" s="139">
        <f>IF(ISBLANK(Table1[[#This Row],[Date]]),"",Table1[[#This Row],[Date]]-WEEKDAY(Table1[[#This Row],[Date]],2)+1)</f>
        <v>44438</v>
      </c>
      <c r="T530" s="140">
        <f>IF(ISBLANK(Table1[[#This Row],[Date]]),"",DATE(Table1[[#This Row],[Date_Year]],Table1[[#This Row],[Date_Month]],1))</f>
        <v>44440</v>
      </c>
    </row>
    <row r="531" spans="2:20" ht="15.75">
      <c r="B531" s="154">
        <v>44441</v>
      </c>
      <c r="C531" s="119" t="s">
        <v>720</v>
      </c>
      <c r="D531" s="119"/>
      <c r="E531" s="119"/>
      <c r="F531" s="155">
        <v>-2.4500000000000002</v>
      </c>
      <c r="G531" s="133" t="str">
        <f>_xlfn.XLOOKUP(Table1[[#This Row],[Account_ID]], Accounts[ID], Accounts[Account nickname], "Unknown")</f>
        <v>Discover</v>
      </c>
      <c r="H531" s="134" t="str">
        <f>_xlfn.XLOOKUP(Table1[[#This Row],[Account_ID]], Accounts[ID], Accounts[Account'#], "Unknown")</f>
        <v>4618</v>
      </c>
      <c r="I531" s="135" t="str">
        <f>_xlfn.XLOOKUP(_xlfn.XLOOKUP(Table1[[#This Row],[Account]],Accounts[Account nickname],Accounts[Institution ID]),Institutions[ID],Institutions[Institution nickname],"Unknown")</f>
        <v>Discover</v>
      </c>
      <c r="J531" s="136" t="s">
        <v>1841</v>
      </c>
      <c r="K531" s="137" t="s">
        <v>843</v>
      </c>
      <c r="L531" s="137" t="s">
        <v>841</v>
      </c>
      <c r="M53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3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31" s="138" t="str" cm="1">
        <f t="array" ref="O531">IFERROR(INDEX(CategoriesTable[Category type],MATCH(Table1[[#This Row],[Category]],CategoriesTable[Category name],0),0),"")</f>
        <v/>
      </c>
      <c r="P531" s="138">
        <v>2</v>
      </c>
      <c r="Q531" s="138">
        <f>MONTH(Table1[[#This Row],[Date]])</f>
        <v>9</v>
      </c>
      <c r="R531" s="138">
        <v>2021</v>
      </c>
      <c r="S531" s="139">
        <f>IF(ISBLANK(Table1[[#This Row],[Date]]),"",Table1[[#This Row],[Date]]-WEEKDAY(Table1[[#This Row],[Date]],2)+1)</f>
        <v>44438</v>
      </c>
      <c r="T531" s="140">
        <f>IF(ISBLANK(Table1[[#This Row],[Date]]),"",DATE(Table1[[#This Row],[Date_Year]],Table1[[#This Row],[Date_Month]],1))</f>
        <v>44440</v>
      </c>
    </row>
    <row r="532" spans="2:20" ht="15.75">
      <c r="B532" s="154">
        <v>44441</v>
      </c>
      <c r="C532" s="119" t="s">
        <v>1850</v>
      </c>
      <c r="D532" s="119"/>
      <c r="E532" s="119"/>
      <c r="F532" s="155">
        <v>-0.94</v>
      </c>
      <c r="G532" s="133" t="str">
        <f>_xlfn.XLOOKUP(Table1[[#This Row],[Account_ID]], Accounts[ID], Accounts[Account nickname], "Unknown")</f>
        <v>Discover</v>
      </c>
      <c r="H532" s="134" t="str">
        <f>_xlfn.XLOOKUP(Table1[[#This Row],[Account_ID]], Accounts[ID], Accounts[Account'#], "Unknown")</f>
        <v>4618</v>
      </c>
      <c r="I532" s="135" t="str">
        <f>_xlfn.XLOOKUP(_xlfn.XLOOKUP(Table1[[#This Row],[Account]],Accounts[Account nickname],Accounts[Institution ID]),Institutions[ID],Institutions[Institution nickname],"Unknown")</f>
        <v>Discover</v>
      </c>
      <c r="J532" s="136" t="s">
        <v>1851</v>
      </c>
      <c r="K532" s="137" t="s">
        <v>843</v>
      </c>
      <c r="L532" s="137" t="s">
        <v>841</v>
      </c>
      <c r="M53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3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32" s="138" t="str" cm="1">
        <f t="array" ref="O532">IFERROR(INDEX(CategoriesTable[Category type],MATCH(Table1[[#This Row],[Category]],CategoriesTable[Category name],0),0),"")</f>
        <v/>
      </c>
      <c r="P532" s="138">
        <v>2</v>
      </c>
      <c r="Q532" s="138">
        <f>MONTH(Table1[[#This Row],[Date]])</f>
        <v>9</v>
      </c>
      <c r="R532" s="138">
        <v>2021</v>
      </c>
      <c r="S532" s="139">
        <f>IF(ISBLANK(Table1[[#This Row],[Date]]),"",Table1[[#This Row],[Date]]-WEEKDAY(Table1[[#This Row],[Date]],2)+1)</f>
        <v>44438</v>
      </c>
      <c r="T532" s="140">
        <f>IF(ISBLANK(Table1[[#This Row],[Date]]),"",DATE(Table1[[#This Row],[Date_Year]],Table1[[#This Row],[Date_Month]],1))</f>
        <v>44440</v>
      </c>
    </row>
    <row r="533" spans="2:20" ht="15.75">
      <c r="B533" s="154">
        <v>44441</v>
      </c>
      <c r="C533" s="119" t="s">
        <v>1850</v>
      </c>
      <c r="D533" s="119"/>
      <c r="E533" s="119"/>
      <c r="F533" s="155">
        <v>-1.57</v>
      </c>
      <c r="G533" s="133" t="str">
        <f>_xlfn.XLOOKUP(Table1[[#This Row],[Account_ID]], Accounts[ID], Accounts[Account nickname], "Unknown")</f>
        <v>Discover</v>
      </c>
      <c r="H533" s="134" t="str">
        <f>_xlfn.XLOOKUP(Table1[[#This Row],[Account_ID]], Accounts[ID], Accounts[Account'#], "Unknown")</f>
        <v>4618</v>
      </c>
      <c r="I533" s="135" t="str">
        <f>_xlfn.XLOOKUP(_xlfn.XLOOKUP(Table1[[#This Row],[Account]],Accounts[Account nickname],Accounts[Institution ID]),Institutions[ID],Institutions[Institution nickname],"Unknown")</f>
        <v>Discover</v>
      </c>
      <c r="J533" s="136" t="s">
        <v>1853</v>
      </c>
      <c r="K533" s="137" t="s">
        <v>843</v>
      </c>
      <c r="L533" s="137" t="s">
        <v>841</v>
      </c>
      <c r="M53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3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33" s="138" t="str" cm="1">
        <f t="array" ref="O533">IFERROR(INDEX(CategoriesTable[Category type],MATCH(Table1[[#This Row],[Category]],CategoriesTable[Category name],0),0),"")</f>
        <v/>
      </c>
      <c r="P533" s="138">
        <v>2</v>
      </c>
      <c r="Q533" s="138">
        <f>MONTH(Table1[[#This Row],[Date]])</f>
        <v>9</v>
      </c>
      <c r="R533" s="138">
        <v>2021</v>
      </c>
      <c r="S533" s="139">
        <f>IF(ISBLANK(Table1[[#This Row],[Date]]),"",Table1[[#This Row],[Date]]-WEEKDAY(Table1[[#This Row],[Date]],2)+1)</f>
        <v>44438</v>
      </c>
      <c r="T533" s="140">
        <f>IF(ISBLANK(Table1[[#This Row],[Date]]),"",DATE(Table1[[#This Row],[Date_Year]],Table1[[#This Row],[Date_Month]],1))</f>
        <v>44440</v>
      </c>
    </row>
    <row r="534" spans="2:20" ht="15.75">
      <c r="B534" s="154">
        <v>44440</v>
      </c>
      <c r="C534" s="119" t="s">
        <v>1868</v>
      </c>
      <c r="D534" s="119"/>
      <c r="E534" s="119"/>
      <c r="F534" s="155">
        <v>-80</v>
      </c>
      <c r="G534" s="133" t="str">
        <f>_xlfn.XLOOKUP(Table1[[#This Row],[Account_ID]], Accounts[ID], Accounts[Account nickname], "Unknown")</f>
        <v>Discover</v>
      </c>
      <c r="H534" s="134" t="str">
        <f>_xlfn.XLOOKUP(Table1[[#This Row],[Account_ID]], Accounts[ID], Accounts[Account'#], "Unknown")</f>
        <v>4618</v>
      </c>
      <c r="I534" s="135" t="str">
        <f>_xlfn.XLOOKUP(_xlfn.XLOOKUP(Table1[[#This Row],[Account]],Accounts[Account nickname],Accounts[Institution ID]),Institutions[ID],Institutions[Institution nickname],"Unknown")</f>
        <v>Discover</v>
      </c>
      <c r="J534" s="136" t="s">
        <v>1869</v>
      </c>
      <c r="K534" s="137" t="s">
        <v>843</v>
      </c>
      <c r="L534" s="137" t="s">
        <v>841</v>
      </c>
      <c r="M53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3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34" s="138" t="str" cm="1">
        <f t="array" ref="O534">IFERROR(INDEX(CategoriesTable[Category type],MATCH(Table1[[#This Row],[Category]],CategoriesTable[Category name],0),0),"")</f>
        <v/>
      </c>
      <c r="P534" s="138">
        <v>1</v>
      </c>
      <c r="Q534" s="138">
        <f>MONTH(Table1[[#This Row],[Date]])</f>
        <v>9</v>
      </c>
      <c r="R534" s="138">
        <v>2021</v>
      </c>
      <c r="S534" s="139">
        <f>IF(ISBLANK(Table1[[#This Row],[Date]]),"",Table1[[#This Row],[Date]]-WEEKDAY(Table1[[#This Row],[Date]],2)+1)</f>
        <v>44438</v>
      </c>
      <c r="T534" s="140">
        <f>IF(ISBLANK(Table1[[#This Row],[Date]]),"",DATE(Table1[[#This Row],[Date_Year]],Table1[[#This Row],[Date_Month]],1))</f>
        <v>44440</v>
      </c>
    </row>
    <row r="535" spans="2:20" ht="15.75">
      <c r="B535" s="154">
        <v>44440</v>
      </c>
      <c r="C535" s="119" t="s">
        <v>1850</v>
      </c>
      <c r="D535" s="119"/>
      <c r="E535" s="119"/>
      <c r="F535" s="155">
        <v>-3.77</v>
      </c>
      <c r="G535" s="133" t="str">
        <f>_xlfn.XLOOKUP(Table1[[#This Row],[Account_ID]], Accounts[ID], Accounts[Account nickname], "Unknown")</f>
        <v>Discover</v>
      </c>
      <c r="H535" s="134" t="str">
        <f>_xlfn.XLOOKUP(Table1[[#This Row],[Account_ID]], Accounts[ID], Accounts[Account'#], "Unknown")</f>
        <v>4618</v>
      </c>
      <c r="I535" s="135" t="str">
        <f>_xlfn.XLOOKUP(_xlfn.XLOOKUP(Table1[[#This Row],[Account]],Accounts[Account nickname],Accounts[Institution ID]),Institutions[ID],Institutions[Institution nickname],"Unknown")</f>
        <v>Discover</v>
      </c>
      <c r="J535" s="136" t="s">
        <v>1863</v>
      </c>
      <c r="K535" s="137" t="s">
        <v>843</v>
      </c>
      <c r="L535" s="137" t="s">
        <v>841</v>
      </c>
      <c r="M53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3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35" s="138" t="str" cm="1">
        <f t="array" ref="O535">IFERROR(INDEX(CategoriesTable[Category type],MATCH(Table1[[#This Row],[Category]],CategoriesTable[Category name],0),0),"")</f>
        <v/>
      </c>
      <c r="P535" s="138">
        <v>1</v>
      </c>
      <c r="Q535" s="138">
        <f>MONTH(Table1[[#This Row],[Date]])</f>
        <v>9</v>
      </c>
      <c r="R535" s="138">
        <v>2021</v>
      </c>
      <c r="S535" s="139">
        <f>IF(ISBLANK(Table1[[#This Row],[Date]]),"",Table1[[#This Row],[Date]]-WEEKDAY(Table1[[#This Row],[Date]],2)+1)</f>
        <v>44438</v>
      </c>
      <c r="T535" s="140">
        <f>IF(ISBLANK(Table1[[#This Row],[Date]]),"",DATE(Table1[[#This Row],[Date_Year]],Table1[[#This Row],[Date_Month]],1))</f>
        <v>44440</v>
      </c>
    </row>
    <row r="536" spans="2:20" ht="15.75">
      <c r="B536" s="154">
        <v>44440</v>
      </c>
      <c r="C536" s="119" t="s">
        <v>698</v>
      </c>
      <c r="D536" s="119"/>
      <c r="E536" s="119"/>
      <c r="F536" s="155">
        <v>-9.99</v>
      </c>
      <c r="G536" s="133" t="str">
        <f>_xlfn.XLOOKUP(Table1[[#This Row],[Account_ID]], Accounts[ID], Accounts[Account nickname], "Unknown")</f>
        <v>Discover</v>
      </c>
      <c r="H536" s="134" t="str">
        <f>_xlfn.XLOOKUP(Table1[[#This Row],[Account_ID]], Accounts[ID], Accounts[Account'#], "Unknown")</f>
        <v>4618</v>
      </c>
      <c r="I536" s="135" t="str">
        <f>_xlfn.XLOOKUP(_xlfn.XLOOKUP(Table1[[#This Row],[Account]],Accounts[Account nickname],Accounts[Institution ID]),Institutions[ID],Institutions[Institution nickname],"Unknown")</f>
        <v>Discover</v>
      </c>
      <c r="J536" s="136" t="s">
        <v>1865</v>
      </c>
      <c r="K536" s="137" t="s">
        <v>843</v>
      </c>
      <c r="L536" s="137" t="s">
        <v>841</v>
      </c>
      <c r="M53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3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36" s="138" t="str" cm="1">
        <f t="array" ref="O536">IFERROR(INDEX(CategoriesTable[Category type],MATCH(Table1[[#This Row],[Category]],CategoriesTable[Category name],0),0),"")</f>
        <v/>
      </c>
      <c r="P536" s="138">
        <v>1</v>
      </c>
      <c r="Q536" s="138">
        <f>MONTH(Table1[[#This Row],[Date]])</f>
        <v>9</v>
      </c>
      <c r="R536" s="138">
        <v>2021</v>
      </c>
      <c r="S536" s="139">
        <f>IF(ISBLANK(Table1[[#This Row],[Date]]),"",Table1[[#This Row],[Date]]-WEEKDAY(Table1[[#This Row],[Date]],2)+1)</f>
        <v>44438</v>
      </c>
      <c r="T536" s="140">
        <f>IF(ISBLANK(Table1[[#This Row],[Date]]),"",DATE(Table1[[#This Row],[Date_Year]],Table1[[#This Row],[Date_Month]],1))</f>
        <v>44440</v>
      </c>
    </row>
    <row r="537" spans="2:20" ht="15.75">
      <c r="B537" s="154">
        <v>44440</v>
      </c>
      <c r="C537" s="119" t="s">
        <v>1740</v>
      </c>
      <c r="D537" s="119"/>
      <c r="E537" s="119"/>
      <c r="F537" s="155">
        <v>-15.37</v>
      </c>
      <c r="G537" s="133" t="str">
        <f>_xlfn.XLOOKUP(Table1[[#This Row],[Account_ID]], Accounts[ID], Accounts[Account nickname], "Unknown")</f>
        <v>Discover</v>
      </c>
      <c r="H537" s="134" t="str">
        <f>_xlfn.XLOOKUP(Table1[[#This Row],[Account_ID]], Accounts[ID], Accounts[Account'#], "Unknown")</f>
        <v>4618</v>
      </c>
      <c r="I537" s="135" t="str">
        <f>_xlfn.XLOOKUP(_xlfn.XLOOKUP(Table1[[#This Row],[Account]],Accounts[Account nickname],Accounts[Institution ID]),Institutions[ID],Institutions[Institution nickname],"Unknown")</f>
        <v>Discover</v>
      </c>
      <c r="J537" s="136" t="s">
        <v>1862</v>
      </c>
      <c r="K537" s="137" t="s">
        <v>843</v>
      </c>
      <c r="L537" s="137" t="s">
        <v>841</v>
      </c>
      <c r="M53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3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37" s="138" t="str" cm="1">
        <f t="array" ref="O537">IFERROR(INDEX(CategoriesTable[Category type],MATCH(Table1[[#This Row],[Category]],CategoriesTable[Category name],0),0),"")</f>
        <v/>
      </c>
      <c r="P537" s="138">
        <v>1</v>
      </c>
      <c r="Q537" s="138">
        <f>MONTH(Table1[[#This Row],[Date]])</f>
        <v>9</v>
      </c>
      <c r="R537" s="138">
        <v>2021</v>
      </c>
      <c r="S537" s="139">
        <f>IF(ISBLANK(Table1[[#This Row],[Date]]),"",Table1[[#This Row],[Date]]-WEEKDAY(Table1[[#This Row],[Date]],2)+1)</f>
        <v>44438</v>
      </c>
      <c r="T537" s="140">
        <f>IF(ISBLANK(Table1[[#This Row],[Date]]),"",DATE(Table1[[#This Row],[Date_Year]],Table1[[#This Row],[Date_Month]],1))</f>
        <v>44440</v>
      </c>
    </row>
    <row r="538" spans="2:20" ht="15.75">
      <c r="B538" s="154">
        <v>44440</v>
      </c>
      <c r="C538" s="119" t="s">
        <v>1866</v>
      </c>
      <c r="D538" s="119"/>
      <c r="E538" s="119"/>
      <c r="F538" s="155">
        <v>-10</v>
      </c>
      <c r="G538" s="133" t="str">
        <f>_xlfn.XLOOKUP(Table1[[#This Row],[Account_ID]], Accounts[ID], Accounts[Account nickname], "Unknown")</f>
        <v>Discover</v>
      </c>
      <c r="H538" s="134" t="str">
        <f>_xlfn.XLOOKUP(Table1[[#This Row],[Account_ID]], Accounts[ID], Accounts[Account'#], "Unknown")</f>
        <v>4618</v>
      </c>
      <c r="I538" s="135" t="str">
        <f>_xlfn.XLOOKUP(_xlfn.XLOOKUP(Table1[[#This Row],[Account]],Accounts[Account nickname],Accounts[Institution ID]),Institutions[ID],Institutions[Institution nickname],"Unknown")</f>
        <v>Discover</v>
      </c>
      <c r="J538" s="136" t="s">
        <v>1867</v>
      </c>
      <c r="K538" s="137" t="s">
        <v>843</v>
      </c>
      <c r="L538" s="137" t="s">
        <v>841</v>
      </c>
      <c r="M53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3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38" s="138" t="str" cm="1">
        <f t="array" ref="O538">IFERROR(INDEX(CategoriesTable[Category type],MATCH(Table1[[#This Row],[Category]],CategoriesTable[Category name],0),0),"")</f>
        <v/>
      </c>
      <c r="P538" s="138">
        <v>1</v>
      </c>
      <c r="Q538" s="138">
        <f>MONTH(Table1[[#This Row],[Date]])</f>
        <v>9</v>
      </c>
      <c r="R538" s="138">
        <v>2021</v>
      </c>
      <c r="S538" s="139">
        <f>IF(ISBLANK(Table1[[#This Row],[Date]]),"",Table1[[#This Row],[Date]]-WEEKDAY(Table1[[#This Row],[Date]],2)+1)</f>
        <v>44438</v>
      </c>
      <c r="T538" s="140">
        <f>IF(ISBLANK(Table1[[#This Row],[Date]]),"",DATE(Table1[[#This Row],[Date_Year]],Table1[[#This Row],[Date_Month]],1))</f>
        <v>44440</v>
      </c>
    </row>
    <row r="539" spans="2:20" ht="15.75">
      <c r="B539" s="154">
        <v>44440</v>
      </c>
      <c r="C539" s="119" t="s">
        <v>697</v>
      </c>
      <c r="D539" s="119"/>
      <c r="E539" s="119"/>
      <c r="F539" s="155">
        <v>-14.83</v>
      </c>
      <c r="G539" s="133" t="str">
        <f>_xlfn.XLOOKUP(Table1[[#This Row],[Account_ID]], Accounts[ID], Accounts[Account nickname], "Unknown")</f>
        <v>Discover</v>
      </c>
      <c r="H539" s="134" t="str">
        <f>_xlfn.XLOOKUP(Table1[[#This Row],[Account_ID]], Accounts[ID], Accounts[Account'#], "Unknown")</f>
        <v>4618</v>
      </c>
      <c r="I539" s="135" t="str">
        <f>_xlfn.XLOOKUP(_xlfn.XLOOKUP(Table1[[#This Row],[Account]],Accounts[Account nickname],Accounts[Institution ID]),Institutions[ID],Institutions[Institution nickname],"Unknown")</f>
        <v>Discover</v>
      </c>
      <c r="J539" s="136" t="s">
        <v>1864</v>
      </c>
      <c r="K539" s="137" t="s">
        <v>843</v>
      </c>
      <c r="L539" s="137" t="s">
        <v>841</v>
      </c>
      <c r="M53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3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39" s="138" t="str" cm="1">
        <f t="array" ref="O539">IFERROR(INDEX(CategoriesTable[Category type],MATCH(Table1[[#This Row],[Category]],CategoriesTable[Category name],0),0),"")</f>
        <v/>
      </c>
      <c r="P539" s="138">
        <v>1</v>
      </c>
      <c r="Q539" s="138">
        <f>MONTH(Table1[[#This Row],[Date]])</f>
        <v>9</v>
      </c>
      <c r="R539" s="138">
        <v>2021</v>
      </c>
      <c r="S539" s="139">
        <f>IF(ISBLANK(Table1[[#This Row],[Date]]),"",Table1[[#This Row],[Date]]-WEEKDAY(Table1[[#This Row],[Date]],2)+1)</f>
        <v>44438</v>
      </c>
      <c r="T539" s="140">
        <f>IF(ISBLANK(Table1[[#This Row],[Date]]),"",DATE(Table1[[#This Row],[Date_Year]],Table1[[#This Row],[Date_Month]],1))</f>
        <v>44440</v>
      </c>
    </row>
    <row r="540" spans="2:20" ht="15.75">
      <c r="B540" s="154">
        <v>44440</v>
      </c>
      <c r="C540" s="119" t="s">
        <v>699</v>
      </c>
      <c r="D540" s="119"/>
      <c r="E540" s="119"/>
      <c r="F540" s="155">
        <v>-5.41</v>
      </c>
      <c r="G540" s="133" t="str">
        <f>_xlfn.XLOOKUP(Table1[[#This Row],[Account_ID]], Accounts[ID], Accounts[Account nickname], "Unknown")</f>
        <v>Discover</v>
      </c>
      <c r="H540" s="134" t="str">
        <f>_xlfn.XLOOKUP(Table1[[#This Row],[Account_ID]], Accounts[ID], Accounts[Account'#], "Unknown")</f>
        <v>4618</v>
      </c>
      <c r="I540" s="135" t="str">
        <f>_xlfn.XLOOKUP(_xlfn.XLOOKUP(Table1[[#This Row],[Account]],Accounts[Account nickname],Accounts[Institution ID]),Institutions[ID],Institutions[Institution nickname],"Unknown")</f>
        <v>Discover</v>
      </c>
      <c r="J540" s="136" t="s">
        <v>1861</v>
      </c>
      <c r="K540" s="137" t="s">
        <v>843</v>
      </c>
      <c r="L540" s="137" t="s">
        <v>841</v>
      </c>
      <c r="M54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4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40" s="138" t="str" cm="1">
        <f t="array" ref="O540">IFERROR(INDEX(CategoriesTable[Category type],MATCH(Table1[[#This Row],[Category]],CategoriesTable[Category name],0),0),"")</f>
        <v/>
      </c>
      <c r="P540" s="138">
        <v>1</v>
      </c>
      <c r="Q540" s="138">
        <f>MONTH(Table1[[#This Row],[Date]])</f>
        <v>9</v>
      </c>
      <c r="R540" s="138">
        <v>2021</v>
      </c>
      <c r="S540" s="139">
        <f>IF(ISBLANK(Table1[[#This Row],[Date]]),"",Table1[[#This Row],[Date]]-WEEKDAY(Table1[[#This Row],[Date]],2)+1)</f>
        <v>44438</v>
      </c>
      <c r="T540" s="140">
        <f>IF(ISBLANK(Table1[[#This Row],[Date]]),"",DATE(Table1[[#This Row],[Date_Year]],Table1[[#This Row],[Date_Month]],1))</f>
        <v>44440</v>
      </c>
    </row>
    <row r="541" spans="2:20" ht="15.75">
      <c r="B541" s="154">
        <v>44439</v>
      </c>
      <c r="C541" s="119" t="s">
        <v>734</v>
      </c>
      <c r="D541" s="119"/>
      <c r="E541" s="119"/>
      <c r="F541" s="155">
        <v>-200</v>
      </c>
      <c r="G541" s="133" t="str">
        <f>_xlfn.XLOOKUP(Table1[[#This Row],[Account_ID]], Accounts[ID], Accounts[Account nickname], "Unknown")</f>
        <v>WF</v>
      </c>
      <c r="H541" s="134" t="str">
        <f>_xlfn.XLOOKUP(Table1[[#This Row],[Account_ID]], Accounts[ID], Accounts[Account'#], "Unknown")</f>
        <v>4636</v>
      </c>
      <c r="I541" s="135" t="str">
        <f>_xlfn.XLOOKUP(_xlfn.XLOOKUP(Table1[[#This Row],[Account]],Accounts[Account nickname],Accounts[Institution ID]),Institutions[ID],Institutions[Institution nickname],"Unknown")</f>
        <v>Wells Fargo</v>
      </c>
      <c r="J541" s="136" t="s">
        <v>1045</v>
      </c>
      <c r="K541" s="137" t="s">
        <v>808</v>
      </c>
      <c r="L541" s="137" t="s">
        <v>807</v>
      </c>
      <c r="M54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4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41" s="138" t="str" cm="1">
        <f t="array" ref="O541">IFERROR(INDEX(CategoriesTable[Category type],MATCH(Table1[[#This Row],[Category]],CategoriesTable[Category name],0),0),"")</f>
        <v/>
      </c>
      <c r="P541" s="138">
        <v>31</v>
      </c>
      <c r="Q541" s="138">
        <f>MONTH(Table1[[#This Row],[Date]])</f>
        <v>8</v>
      </c>
      <c r="R541" s="138">
        <v>2021</v>
      </c>
      <c r="S541" s="139">
        <f>IF(ISBLANK(Table1[[#This Row],[Date]]),"",Table1[[#This Row],[Date]]-WEEKDAY(Table1[[#This Row],[Date]],2)+1)</f>
        <v>44438</v>
      </c>
      <c r="T541" s="140">
        <f>IF(ISBLANK(Table1[[#This Row],[Date]]),"",DATE(Table1[[#This Row],[Date_Year]],Table1[[#This Row],[Date_Month]],1))</f>
        <v>44409</v>
      </c>
    </row>
    <row r="542" spans="2:20" ht="15.75">
      <c r="B542" s="154">
        <v>44439</v>
      </c>
      <c r="C542" s="119" t="s">
        <v>1788</v>
      </c>
      <c r="D542" s="119"/>
      <c r="E542" s="119"/>
      <c r="F542" s="155">
        <v>-1</v>
      </c>
      <c r="G542" s="133" t="str">
        <f>_xlfn.XLOOKUP(Table1[[#This Row],[Account_ID]], Accounts[ID], Accounts[Account nickname], "Unknown")</f>
        <v>Discover</v>
      </c>
      <c r="H542" s="134" t="str">
        <f>_xlfn.XLOOKUP(Table1[[#This Row],[Account_ID]], Accounts[ID], Accounts[Account'#], "Unknown")</f>
        <v>4618</v>
      </c>
      <c r="I542" s="135" t="str">
        <f>_xlfn.XLOOKUP(_xlfn.XLOOKUP(Table1[[#This Row],[Account]],Accounts[Account nickname],Accounts[Institution ID]),Institutions[ID],Institutions[Institution nickname],"Unknown")</f>
        <v>Discover</v>
      </c>
      <c r="J542" s="136" t="s">
        <v>1875</v>
      </c>
      <c r="K542" s="137" t="s">
        <v>843</v>
      </c>
      <c r="L542" s="137" t="s">
        <v>841</v>
      </c>
      <c r="M54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4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42" s="138" t="str" cm="1">
        <f t="array" ref="O542">IFERROR(INDEX(CategoriesTable[Category type],MATCH(Table1[[#This Row],[Category]],CategoriesTable[Category name],0),0),"")</f>
        <v/>
      </c>
      <c r="P542" s="138">
        <v>31</v>
      </c>
      <c r="Q542" s="138">
        <f>MONTH(Table1[[#This Row],[Date]])</f>
        <v>8</v>
      </c>
      <c r="R542" s="138">
        <v>2021</v>
      </c>
      <c r="S542" s="139">
        <f>IF(ISBLANK(Table1[[#This Row],[Date]]),"",Table1[[#This Row],[Date]]-WEEKDAY(Table1[[#This Row],[Date]],2)+1)</f>
        <v>44438</v>
      </c>
      <c r="T542" s="140">
        <f>IF(ISBLANK(Table1[[#This Row],[Date]]),"",DATE(Table1[[#This Row],[Date_Year]],Table1[[#This Row],[Date_Month]],1))</f>
        <v>44409</v>
      </c>
    </row>
    <row r="543" spans="2:20" ht="15.75">
      <c r="B543" s="154">
        <v>44439</v>
      </c>
      <c r="C543" s="119" t="s">
        <v>1873</v>
      </c>
      <c r="D543" s="119"/>
      <c r="E543" s="119"/>
      <c r="F543" s="155">
        <v>-50</v>
      </c>
      <c r="G543" s="133" t="str">
        <f>_xlfn.XLOOKUP(Table1[[#This Row],[Account_ID]], Accounts[ID], Accounts[Account nickname], "Unknown")</f>
        <v>Discover</v>
      </c>
      <c r="H543" s="134" t="str">
        <f>_xlfn.XLOOKUP(Table1[[#This Row],[Account_ID]], Accounts[ID], Accounts[Account'#], "Unknown")</f>
        <v>4618</v>
      </c>
      <c r="I543" s="135" t="str">
        <f>_xlfn.XLOOKUP(_xlfn.XLOOKUP(Table1[[#This Row],[Account]],Accounts[Account nickname],Accounts[Institution ID]),Institutions[ID],Institutions[Institution nickname],"Unknown")</f>
        <v>Discover</v>
      </c>
      <c r="J543" s="136" t="s">
        <v>1874</v>
      </c>
      <c r="K543" s="137" t="s">
        <v>843</v>
      </c>
      <c r="L543" s="137" t="s">
        <v>841</v>
      </c>
      <c r="M54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4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43" s="138" t="str" cm="1">
        <f t="array" ref="O543">IFERROR(INDEX(CategoriesTable[Category type],MATCH(Table1[[#This Row],[Category]],CategoriesTable[Category name],0),0),"")</f>
        <v/>
      </c>
      <c r="P543" s="138">
        <v>31</v>
      </c>
      <c r="Q543" s="138">
        <f>MONTH(Table1[[#This Row],[Date]])</f>
        <v>8</v>
      </c>
      <c r="R543" s="138">
        <v>2021</v>
      </c>
      <c r="S543" s="139">
        <f>IF(ISBLANK(Table1[[#This Row],[Date]]),"",Table1[[#This Row],[Date]]-WEEKDAY(Table1[[#This Row],[Date]],2)+1)</f>
        <v>44438</v>
      </c>
      <c r="T543" s="140">
        <f>IF(ISBLANK(Table1[[#This Row],[Date]]),"",DATE(Table1[[#This Row],[Date_Year]],Table1[[#This Row],[Date_Month]],1))</f>
        <v>44409</v>
      </c>
    </row>
    <row r="544" spans="2:20" ht="15.75">
      <c r="B544" s="154">
        <v>44439</v>
      </c>
      <c r="C544" s="119" t="s">
        <v>1871</v>
      </c>
      <c r="D544" s="119"/>
      <c r="E544" s="119"/>
      <c r="F544" s="155">
        <v>-15</v>
      </c>
      <c r="G544" s="133" t="str">
        <f>_xlfn.XLOOKUP(Table1[[#This Row],[Account_ID]], Accounts[ID], Accounts[Account nickname], "Unknown")</f>
        <v>Discover</v>
      </c>
      <c r="H544" s="134" t="str">
        <f>_xlfn.XLOOKUP(Table1[[#This Row],[Account_ID]], Accounts[ID], Accounts[Account'#], "Unknown")</f>
        <v>4618</v>
      </c>
      <c r="I544" s="135" t="str">
        <f>_xlfn.XLOOKUP(_xlfn.XLOOKUP(Table1[[#This Row],[Account]],Accounts[Account nickname],Accounts[Institution ID]),Institutions[ID],Institutions[Institution nickname],"Unknown")</f>
        <v>Discover</v>
      </c>
      <c r="J544" s="136" t="s">
        <v>1872</v>
      </c>
      <c r="K544" s="137" t="s">
        <v>843</v>
      </c>
      <c r="L544" s="137" t="s">
        <v>841</v>
      </c>
      <c r="M54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4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44" s="138" t="str" cm="1">
        <f t="array" ref="O544">IFERROR(INDEX(CategoriesTable[Category type],MATCH(Table1[[#This Row],[Category]],CategoriesTable[Category name],0),0),"")</f>
        <v/>
      </c>
      <c r="P544" s="138">
        <v>31</v>
      </c>
      <c r="Q544" s="138">
        <f>MONTH(Table1[[#This Row],[Date]])</f>
        <v>8</v>
      </c>
      <c r="R544" s="138">
        <v>2021</v>
      </c>
      <c r="S544" s="139">
        <f>IF(ISBLANK(Table1[[#This Row],[Date]]),"",Table1[[#This Row],[Date]]-WEEKDAY(Table1[[#This Row],[Date]],2)+1)</f>
        <v>44438</v>
      </c>
      <c r="T544" s="140">
        <f>IF(ISBLANK(Table1[[#This Row],[Date]]),"",DATE(Table1[[#This Row],[Date_Year]],Table1[[#This Row],[Date_Month]],1))</f>
        <v>44409</v>
      </c>
    </row>
    <row r="545" spans="2:20" ht="15.75">
      <c r="B545" s="154">
        <v>44439</v>
      </c>
      <c r="C545" s="119" t="s">
        <v>1850</v>
      </c>
      <c r="D545" s="119"/>
      <c r="E545" s="119"/>
      <c r="F545" s="155">
        <v>-2.44</v>
      </c>
      <c r="G545" s="133" t="str">
        <f>_xlfn.XLOOKUP(Table1[[#This Row],[Account_ID]], Accounts[ID], Accounts[Account nickname], "Unknown")</f>
        <v>Discover</v>
      </c>
      <c r="H545" s="134" t="str">
        <f>_xlfn.XLOOKUP(Table1[[#This Row],[Account_ID]], Accounts[ID], Accounts[Account'#], "Unknown")</f>
        <v>4618</v>
      </c>
      <c r="I545" s="135" t="str">
        <f>_xlfn.XLOOKUP(_xlfn.XLOOKUP(Table1[[#This Row],[Account]],Accounts[Account nickname],Accounts[Institution ID]),Institutions[ID],Institutions[Institution nickname],"Unknown")</f>
        <v>Discover</v>
      </c>
      <c r="J545" s="136" t="s">
        <v>1870</v>
      </c>
      <c r="K545" s="137" t="s">
        <v>843</v>
      </c>
      <c r="L545" s="137" t="s">
        <v>841</v>
      </c>
      <c r="M54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4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45" s="138" t="str" cm="1">
        <f t="array" ref="O545">IFERROR(INDEX(CategoriesTable[Category type],MATCH(Table1[[#This Row],[Category]],CategoriesTable[Category name],0),0),"")</f>
        <v/>
      </c>
      <c r="P545" s="138">
        <v>31</v>
      </c>
      <c r="Q545" s="138">
        <f>MONTH(Table1[[#This Row],[Date]])</f>
        <v>8</v>
      </c>
      <c r="R545" s="138">
        <v>2021</v>
      </c>
      <c r="S545" s="139">
        <f>IF(ISBLANK(Table1[[#This Row],[Date]]),"",Table1[[#This Row],[Date]]-WEEKDAY(Table1[[#This Row],[Date]],2)+1)</f>
        <v>44438</v>
      </c>
      <c r="T545" s="140">
        <f>IF(ISBLANK(Table1[[#This Row],[Date]]),"",DATE(Table1[[#This Row],[Date_Year]],Table1[[#This Row],[Date_Month]],1))</f>
        <v>44409</v>
      </c>
    </row>
    <row r="546" spans="2:20" ht="15.75">
      <c r="B546" s="154">
        <v>44438</v>
      </c>
      <c r="C546" s="119" t="s">
        <v>1788</v>
      </c>
      <c r="D546" s="119"/>
      <c r="E546" s="119"/>
      <c r="F546" s="155">
        <v>-1</v>
      </c>
      <c r="G546" s="133" t="str">
        <f>_xlfn.XLOOKUP(Table1[[#This Row],[Account_ID]], Accounts[ID], Accounts[Account nickname], "Unknown")</f>
        <v>Discover</v>
      </c>
      <c r="H546" s="134" t="str">
        <f>_xlfn.XLOOKUP(Table1[[#This Row],[Account_ID]], Accounts[ID], Accounts[Account'#], "Unknown")</f>
        <v>4618</v>
      </c>
      <c r="I546" s="135" t="str">
        <f>_xlfn.XLOOKUP(_xlfn.XLOOKUP(Table1[[#This Row],[Account]],Accounts[Account nickname],Accounts[Institution ID]),Institutions[ID],Institutions[Institution nickname],"Unknown")</f>
        <v>Discover</v>
      </c>
      <c r="J546" s="136" t="s">
        <v>1881</v>
      </c>
      <c r="K546" s="137" t="s">
        <v>843</v>
      </c>
      <c r="L546" s="137" t="s">
        <v>841</v>
      </c>
      <c r="M54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4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46" s="138" t="str" cm="1">
        <f t="array" ref="O546">IFERROR(INDEX(CategoriesTable[Category type],MATCH(Table1[[#This Row],[Category]],CategoriesTable[Category name],0),0),"")</f>
        <v/>
      </c>
      <c r="P546" s="138">
        <v>30</v>
      </c>
      <c r="Q546" s="138">
        <f>MONTH(Table1[[#This Row],[Date]])</f>
        <v>8</v>
      </c>
      <c r="R546" s="138">
        <v>2021</v>
      </c>
      <c r="S546" s="139">
        <f>IF(ISBLANK(Table1[[#This Row],[Date]]),"",Table1[[#This Row],[Date]]-WEEKDAY(Table1[[#This Row],[Date]],2)+1)</f>
        <v>44438</v>
      </c>
      <c r="T546" s="140">
        <f>IF(ISBLANK(Table1[[#This Row],[Date]]),"",DATE(Table1[[#This Row],[Date_Year]],Table1[[#This Row],[Date_Month]],1))</f>
        <v>44409</v>
      </c>
    </row>
    <row r="547" spans="2:20" ht="15.75">
      <c r="B547" s="154">
        <v>44438</v>
      </c>
      <c r="C547" s="119" t="s">
        <v>1879</v>
      </c>
      <c r="D547" s="119"/>
      <c r="E547" s="119"/>
      <c r="F547" s="155">
        <v>-30</v>
      </c>
      <c r="G547" s="133" t="str">
        <f>_xlfn.XLOOKUP(Table1[[#This Row],[Account_ID]], Accounts[ID], Accounts[Account nickname], "Unknown")</f>
        <v>Discover</v>
      </c>
      <c r="H547" s="134" t="str">
        <f>_xlfn.XLOOKUP(Table1[[#This Row],[Account_ID]], Accounts[ID], Accounts[Account'#], "Unknown")</f>
        <v>4618</v>
      </c>
      <c r="I547" s="135" t="str">
        <f>_xlfn.XLOOKUP(_xlfn.XLOOKUP(Table1[[#This Row],[Account]],Accounts[Account nickname],Accounts[Institution ID]),Institutions[ID],Institutions[Institution nickname],"Unknown")</f>
        <v>Discover</v>
      </c>
      <c r="J547" s="136" t="s">
        <v>1880</v>
      </c>
      <c r="K547" s="137" t="s">
        <v>843</v>
      </c>
      <c r="L547" s="137" t="s">
        <v>841</v>
      </c>
      <c r="M54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4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47" s="138" t="str" cm="1">
        <f t="array" ref="O547">IFERROR(INDEX(CategoriesTable[Category type],MATCH(Table1[[#This Row],[Category]],CategoriesTable[Category name],0),0),"")</f>
        <v/>
      </c>
      <c r="P547" s="138">
        <v>30</v>
      </c>
      <c r="Q547" s="138">
        <f>MONTH(Table1[[#This Row],[Date]])</f>
        <v>8</v>
      </c>
      <c r="R547" s="138">
        <v>2021</v>
      </c>
      <c r="S547" s="139">
        <f>IF(ISBLANK(Table1[[#This Row],[Date]]),"",Table1[[#This Row],[Date]]-WEEKDAY(Table1[[#This Row],[Date]],2)+1)</f>
        <v>44438</v>
      </c>
      <c r="T547" s="140">
        <f>IF(ISBLANK(Table1[[#This Row],[Date]]),"",DATE(Table1[[#This Row],[Date_Year]],Table1[[#This Row],[Date_Month]],1))</f>
        <v>44409</v>
      </c>
    </row>
    <row r="548" spans="2:20" ht="15.75">
      <c r="B548" s="154">
        <v>44438</v>
      </c>
      <c r="C548" s="119" t="s">
        <v>1623</v>
      </c>
      <c r="D548" s="119"/>
      <c r="E548" s="119"/>
      <c r="F548" s="155">
        <v>-4.99</v>
      </c>
      <c r="G548" s="133" t="str">
        <f>_xlfn.XLOOKUP(Table1[[#This Row],[Account_ID]], Accounts[ID], Accounts[Account nickname], "Unknown")</f>
        <v>Discover</v>
      </c>
      <c r="H548" s="134" t="str">
        <f>_xlfn.XLOOKUP(Table1[[#This Row],[Account_ID]], Accounts[ID], Accounts[Account'#], "Unknown")</f>
        <v>4618</v>
      </c>
      <c r="I548" s="135" t="str">
        <f>_xlfn.XLOOKUP(_xlfn.XLOOKUP(Table1[[#This Row],[Account]],Accounts[Account nickname],Accounts[Institution ID]),Institutions[ID],Institutions[Institution nickname],"Unknown")</f>
        <v>Discover</v>
      </c>
      <c r="J548" s="136" t="s">
        <v>1878</v>
      </c>
      <c r="K548" s="137" t="s">
        <v>843</v>
      </c>
      <c r="L548" s="137" t="s">
        <v>841</v>
      </c>
      <c r="M54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4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48" s="138" t="str" cm="1">
        <f t="array" ref="O548">IFERROR(INDEX(CategoriesTable[Category type],MATCH(Table1[[#This Row],[Category]],CategoriesTable[Category name],0),0),"")</f>
        <v/>
      </c>
      <c r="P548" s="138">
        <v>30</v>
      </c>
      <c r="Q548" s="138">
        <f>MONTH(Table1[[#This Row],[Date]])</f>
        <v>8</v>
      </c>
      <c r="R548" s="138">
        <v>2021</v>
      </c>
      <c r="S548" s="139">
        <f>IF(ISBLANK(Table1[[#This Row],[Date]]),"",Table1[[#This Row],[Date]]-WEEKDAY(Table1[[#This Row],[Date]],2)+1)</f>
        <v>44438</v>
      </c>
      <c r="T548" s="140">
        <f>IF(ISBLANK(Table1[[#This Row],[Date]]),"",DATE(Table1[[#This Row],[Date_Year]],Table1[[#This Row],[Date_Month]],1))</f>
        <v>44409</v>
      </c>
    </row>
    <row r="549" spans="2:20" ht="15.75">
      <c r="B549" s="154">
        <v>44438</v>
      </c>
      <c r="C549" s="119" t="s">
        <v>1876</v>
      </c>
      <c r="D549" s="119"/>
      <c r="E549" s="119"/>
      <c r="F549" s="155">
        <v>-67.56</v>
      </c>
      <c r="G549" s="133" t="str">
        <f>_xlfn.XLOOKUP(Table1[[#This Row],[Account_ID]], Accounts[ID], Accounts[Account nickname], "Unknown")</f>
        <v>Discover</v>
      </c>
      <c r="H549" s="134" t="str">
        <f>_xlfn.XLOOKUP(Table1[[#This Row],[Account_ID]], Accounts[ID], Accounts[Account'#], "Unknown")</f>
        <v>4618</v>
      </c>
      <c r="I549" s="135" t="str">
        <f>_xlfn.XLOOKUP(_xlfn.XLOOKUP(Table1[[#This Row],[Account]],Accounts[Account nickname],Accounts[Institution ID]),Institutions[ID],Institutions[Institution nickname],"Unknown")</f>
        <v>Discover</v>
      </c>
      <c r="J549" s="136" t="s">
        <v>1877</v>
      </c>
      <c r="K549" s="137" t="s">
        <v>843</v>
      </c>
      <c r="L549" s="137" t="s">
        <v>841</v>
      </c>
      <c r="M54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4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49" s="138" t="str" cm="1">
        <f t="array" ref="O549">IFERROR(INDEX(CategoriesTable[Category type],MATCH(Table1[[#This Row],[Category]],CategoriesTable[Category name],0),0),"")</f>
        <v/>
      </c>
      <c r="P549" s="138">
        <v>30</v>
      </c>
      <c r="Q549" s="138">
        <f>MONTH(Table1[[#This Row],[Date]])</f>
        <v>8</v>
      </c>
      <c r="R549" s="138">
        <v>2021</v>
      </c>
      <c r="S549" s="139">
        <f>IF(ISBLANK(Table1[[#This Row],[Date]]),"",Table1[[#This Row],[Date]]-WEEKDAY(Table1[[#This Row],[Date]],2)+1)</f>
        <v>44438</v>
      </c>
      <c r="T549" s="140">
        <f>IF(ISBLANK(Table1[[#This Row],[Date]]),"",DATE(Table1[[#This Row],[Date_Year]],Table1[[#This Row],[Date_Month]],1))</f>
        <v>44409</v>
      </c>
    </row>
    <row r="550" spans="2:20" ht="15.75">
      <c r="B550" s="154">
        <v>44437</v>
      </c>
      <c r="C550" s="119" t="s">
        <v>1850</v>
      </c>
      <c r="D550" s="119"/>
      <c r="E550" s="119"/>
      <c r="F550" s="155">
        <v>-2.2799999999999998</v>
      </c>
      <c r="G550" s="133" t="str">
        <f>_xlfn.XLOOKUP(Table1[[#This Row],[Account_ID]], Accounts[ID], Accounts[Account nickname], "Unknown")</f>
        <v>Discover</v>
      </c>
      <c r="H550" s="134" t="str">
        <f>_xlfn.XLOOKUP(Table1[[#This Row],[Account_ID]], Accounts[ID], Accounts[Account'#], "Unknown")</f>
        <v>4618</v>
      </c>
      <c r="I550" s="135" t="str">
        <f>_xlfn.XLOOKUP(_xlfn.XLOOKUP(Table1[[#This Row],[Account]],Accounts[Account nickname],Accounts[Institution ID]),Institutions[ID],Institutions[Institution nickname],"Unknown")</f>
        <v>Discover</v>
      </c>
      <c r="J550" s="136" t="s">
        <v>1891</v>
      </c>
      <c r="K550" s="137" t="s">
        <v>843</v>
      </c>
      <c r="L550" s="137" t="s">
        <v>841</v>
      </c>
      <c r="M55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5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50" s="138" t="str" cm="1">
        <f t="array" ref="O550">IFERROR(INDEX(CategoriesTable[Category type],MATCH(Table1[[#This Row],[Category]],CategoriesTable[Category name],0),0),"")</f>
        <v/>
      </c>
      <c r="P550" s="138">
        <v>29</v>
      </c>
      <c r="Q550" s="138">
        <f>MONTH(Table1[[#This Row],[Date]])</f>
        <v>8</v>
      </c>
      <c r="R550" s="138">
        <v>2021</v>
      </c>
      <c r="S550" s="139">
        <f>IF(ISBLANK(Table1[[#This Row],[Date]]),"",Table1[[#This Row],[Date]]-WEEKDAY(Table1[[#This Row],[Date]],2)+1)</f>
        <v>44431</v>
      </c>
      <c r="T550" s="140">
        <f>IF(ISBLANK(Table1[[#This Row],[Date]]),"",DATE(Table1[[#This Row],[Date_Year]],Table1[[#This Row],[Date_Month]],1))</f>
        <v>44409</v>
      </c>
    </row>
    <row r="551" spans="2:20" ht="15.75">
      <c r="B551" s="154">
        <v>44437</v>
      </c>
      <c r="C551" s="119" t="s">
        <v>1850</v>
      </c>
      <c r="D551" s="119"/>
      <c r="E551" s="119"/>
      <c r="F551" s="155">
        <v>-6.34</v>
      </c>
      <c r="G551" s="133" t="str">
        <f>_xlfn.XLOOKUP(Table1[[#This Row],[Account_ID]], Accounts[ID], Accounts[Account nickname], "Unknown")</f>
        <v>Discover</v>
      </c>
      <c r="H551" s="134" t="str">
        <f>_xlfn.XLOOKUP(Table1[[#This Row],[Account_ID]], Accounts[ID], Accounts[Account'#], "Unknown")</f>
        <v>4618</v>
      </c>
      <c r="I551" s="135" t="str">
        <f>_xlfn.XLOOKUP(_xlfn.XLOOKUP(Table1[[#This Row],[Account]],Accounts[Account nickname],Accounts[Institution ID]),Institutions[ID],Institutions[Institution nickname],"Unknown")</f>
        <v>Discover</v>
      </c>
      <c r="J551" s="136" t="s">
        <v>1894</v>
      </c>
      <c r="K551" s="137" t="s">
        <v>843</v>
      </c>
      <c r="L551" s="137" t="s">
        <v>841</v>
      </c>
      <c r="M55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5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51" s="138" t="str" cm="1">
        <f t="array" ref="O551">IFERROR(INDEX(CategoriesTable[Category type],MATCH(Table1[[#This Row],[Category]],CategoriesTable[Category name],0),0),"")</f>
        <v/>
      </c>
      <c r="P551" s="138">
        <v>29</v>
      </c>
      <c r="Q551" s="138">
        <f>MONTH(Table1[[#This Row],[Date]])</f>
        <v>8</v>
      </c>
      <c r="R551" s="138">
        <v>2021</v>
      </c>
      <c r="S551" s="139">
        <f>IF(ISBLANK(Table1[[#This Row],[Date]]),"",Table1[[#This Row],[Date]]-WEEKDAY(Table1[[#This Row],[Date]],2)+1)</f>
        <v>44431</v>
      </c>
      <c r="T551" s="140">
        <f>IF(ISBLANK(Table1[[#This Row],[Date]]),"",DATE(Table1[[#This Row],[Date_Year]],Table1[[#This Row],[Date_Month]],1))</f>
        <v>44409</v>
      </c>
    </row>
    <row r="552" spans="2:20" ht="15.75">
      <c r="B552" s="154">
        <v>44437</v>
      </c>
      <c r="C552" s="119" t="s">
        <v>1850</v>
      </c>
      <c r="D552" s="119"/>
      <c r="E552" s="119"/>
      <c r="F552" s="155">
        <v>-2.2599999999999998</v>
      </c>
      <c r="G552" s="133" t="str">
        <f>_xlfn.XLOOKUP(Table1[[#This Row],[Account_ID]], Accounts[ID], Accounts[Account nickname], "Unknown")</f>
        <v>Discover</v>
      </c>
      <c r="H552" s="134" t="str">
        <f>_xlfn.XLOOKUP(Table1[[#This Row],[Account_ID]], Accounts[ID], Accounts[Account'#], "Unknown")</f>
        <v>4618</v>
      </c>
      <c r="I552" s="135" t="str">
        <f>_xlfn.XLOOKUP(_xlfn.XLOOKUP(Table1[[#This Row],[Account]],Accounts[Account nickname],Accounts[Institution ID]),Institutions[ID],Institutions[Institution nickname],"Unknown")</f>
        <v>Discover</v>
      </c>
      <c r="J552" s="136" t="s">
        <v>1890</v>
      </c>
      <c r="K552" s="137" t="s">
        <v>843</v>
      </c>
      <c r="L552" s="137" t="s">
        <v>841</v>
      </c>
      <c r="M55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5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52" s="138" t="str" cm="1">
        <f t="array" ref="O552">IFERROR(INDEX(CategoriesTable[Category type],MATCH(Table1[[#This Row],[Category]],CategoriesTable[Category name],0),0),"")</f>
        <v/>
      </c>
      <c r="P552" s="138">
        <v>29</v>
      </c>
      <c r="Q552" s="138">
        <f>MONTH(Table1[[#This Row],[Date]])</f>
        <v>8</v>
      </c>
      <c r="R552" s="138">
        <v>2021</v>
      </c>
      <c r="S552" s="139">
        <f>IF(ISBLANK(Table1[[#This Row],[Date]]),"",Table1[[#This Row],[Date]]-WEEKDAY(Table1[[#This Row],[Date]],2)+1)</f>
        <v>44431</v>
      </c>
      <c r="T552" s="140">
        <f>IF(ISBLANK(Table1[[#This Row],[Date]]),"",DATE(Table1[[#This Row],[Date_Year]],Table1[[#This Row],[Date_Month]],1))</f>
        <v>44409</v>
      </c>
    </row>
    <row r="553" spans="2:20" ht="15.75">
      <c r="B553" s="154">
        <v>44437</v>
      </c>
      <c r="C553" s="119" t="s">
        <v>1887</v>
      </c>
      <c r="D553" s="119"/>
      <c r="E553" s="119"/>
      <c r="F553" s="155">
        <v>-35</v>
      </c>
      <c r="G553" s="133" t="str">
        <f>_xlfn.XLOOKUP(Table1[[#This Row],[Account_ID]], Accounts[ID], Accounts[Account nickname], "Unknown")</f>
        <v>Discover</v>
      </c>
      <c r="H553" s="134" t="str">
        <f>_xlfn.XLOOKUP(Table1[[#This Row],[Account_ID]], Accounts[ID], Accounts[Account'#], "Unknown")</f>
        <v>4618</v>
      </c>
      <c r="I553" s="135" t="str">
        <f>_xlfn.XLOOKUP(_xlfn.XLOOKUP(Table1[[#This Row],[Account]],Accounts[Account nickname],Accounts[Institution ID]),Institutions[ID],Institutions[Institution nickname],"Unknown")</f>
        <v>Discover</v>
      </c>
      <c r="J553" s="136" t="s">
        <v>1889</v>
      </c>
      <c r="K553" s="137" t="s">
        <v>843</v>
      </c>
      <c r="L553" s="137" t="s">
        <v>841</v>
      </c>
      <c r="M55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5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53" s="138" t="str" cm="1">
        <f t="array" ref="O553">IFERROR(INDEX(CategoriesTable[Category type],MATCH(Table1[[#This Row],[Category]],CategoriesTable[Category name],0),0),"")</f>
        <v/>
      </c>
      <c r="P553" s="138">
        <v>29</v>
      </c>
      <c r="Q553" s="138">
        <f>MONTH(Table1[[#This Row],[Date]])</f>
        <v>8</v>
      </c>
      <c r="R553" s="138">
        <v>2021</v>
      </c>
      <c r="S553" s="139">
        <f>IF(ISBLANK(Table1[[#This Row],[Date]]),"",Table1[[#This Row],[Date]]-WEEKDAY(Table1[[#This Row],[Date]],2)+1)</f>
        <v>44431</v>
      </c>
      <c r="T553" s="140">
        <f>IF(ISBLANK(Table1[[#This Row],[Date]]),"",DATE(Table1[[#This Row],[Date_Year]],Table1[[#This Row],[Date_Month]],1))</f>
        <v>44409</v>
      </c>
    </row>
    <row r="554" spans="2:20" ht="15.75">
      <c r="B554" s="154">
        <v>44437</v>
      </c>
      <c r="C554" s="119" t="s">
        <v>910</v>
      </c>
      <c r="D554" s="119"/>
      <c r="E554" s="119"/>
      <c r="F554" s="155">
        <v>-10.59</v>
      </c>
      <c r="G554" s="133" t="str">
        <f>_xlfn.XLOOKUP(Table1[[#This Row],[Account_ID]], Accounts[ID], Accounts[Account nickname], "Unknown")</f>
        <v>Discover</v>
      </c>
      <c r="H554" s="134" t="str">
        <f>_xlfn.XLOOKUP(Table1[[#This Row],[Account_ID]], Accounts[ID], Accounts[Account'#], "Unknown")</f>
        <v>4618</v>
      </c>
      <c r="I554" s="135" t="str">
        <f>_xlfn.XLOOKUP(_xlfn.XLOOKUP(Table1[[#This Row],[Account]],Accounts[Account nickname],Accounts[Institution ID]),Institutions[ID],Institutions[Institution nickname],"Unknown")</f>
        <v>Discover</v>
      </c>
      <c r="J554" s="136" t="s">
        <v>1882</v>
      </c>
      <c r="K554" s="137" t="s">
        <v>843</v>
      </c>
      <c r="L554" s="137" t="s">
        <v>841</v>
      </c>
      <c r="M55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5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54" s="138" t="str" cm="1">
        <f t="array" ref="O554">IFERROR(INDEX(CategoriesTable[Category type],MATCH(Table1[[#This Row],[Category]],CategoriesTable[Category name],0),0),"")</f>
        <v/>
      </c>
      <c r="P554" s="138">
        <v>29</v>
      </c>
      <c r="Q554" s="138">
        <f>MONTH(Table1[[#This Row],[Date]])</f>
        <v>8</v>
      </c>
      <c r="R554" s="138">
        <v>2021</v>
      </c>
      <c r="S554" s="139">
        <f>IF(ISBLANK(Table1[[#This Row],[Date]]),"",Table1[[#This Row],[Date]]-WEEKDAY(Table1[[#This Row],[Date]],2)+1)</f>
        <v>44431</v>
      </c>
      <c r="T554" s="140">
        <f>IF(ISBLANK(Table1[[#This Row],[Date]]),"",DATE(Table1[[#This Row],[Date_Year]],Table1[[#This Row],[Date_Month]],1))</f>
        <v>44409</v>
      </c>
    </row>
    <row r="555" spans="2:20" ht="15.75">
      <c r="B555" s="154">
        <v>44437</v>
      </c>
      <c r="C555" s="119" t="s">
        <v>1883</v>
      </c>
      <c r="D555" s="119"/>
      <c r="E555" s="119"/>
      <c r="F555" s="155">
        <v>-31.13</v>
      </c>
      <c r="G555" s="133" t="str">
        <f>_xlfn.XLOOKUP(Table1[[#This Row],[Account_ID]], Accounts[ID], Accounts[Account nickname], "Unknown")</f>
        <v>Discover</v>
      </c>
      <c r="H555" s="134" t="str">
        <f>_xlfn.XLOOKUP(Table1[[#This Row],[Account_ID]], Accounts[ID], Accounts[Account'#], "Unknown")</f>
        <v>4618</v>
      </c>
      <c r="I555" s="135" t="str">
        <f>_xlfn.XLOOKUP(_xlfn.XLOOKUP(Table1[[#This Row],[Account]],Accounts[Account nickname],Accounts[Institution ID]),Institutions[ID],Institutions[Institution nickname],"Unknown")</f>
        <v>Discover</v>
      </c>
      <c r="J555" s="136" t="s">
        <v>1884</v>
      </c>
      <c r="K555" s="137" t="s">
        <v>843</v>
      </c>
      <c r="L555" s="137" t="s">
        <v>841</v>
      </c>
      <c r="M55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5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55" s="138" t="str" cm="1">
        <f t="array" ref="O555">IFERROR(INDEX(CategoriesTable[Category type],MATCH(Table1[[#This Row],[Category]],CategoriesTable[Category name],0),0),"")</f>
        <v/>
      </c>
      <c r="P555" s="138">
        <v>29</v>
      </c>
      <c r="Q555" s="138">
        <f>MONTH(Table1[[#This Row],[Date]])</f>
        <v>8</v>
      </c>
      <c r="R555" s="138">
        <v>2021</v>
      </c>
      <c r="S555" s="139">
        <f>IF(ISBLANK(Table1[[#This Row],[Date]]),"",Table1[[#This Row],[Date]]-WEEKDAY(Table1[[#This Row],[Date]],2)+1)</f>
        <v>44431</v>
      </c>
      <c r="T555" s="140">
        <f>IF(ISBLANK(Table1[[#This Row],[Date]]),"",DATE(Table1[[#This Row],[Date_Year]],Table1[[#This Row],[Date_Month]],1))</f>
        <v>44409</v>
      </c>
    </row>
    <row r="556" spans="2:20" ht="15.75">
      <c r="B556" s="154">
        <v>44437</v>
      </c>
      <c r="C556" s="119" t="s">
        <v>1887</v>
      </c>
      <c r="D556" s="119"/>
      <c r="E556" s="119"/>
      <c r="F556" s="155">
        <v>-30.9</v>
      </c>
      <c r="G556" s="133" t="str">
        <f>_xlfn.XLOOKUP(Table1[[#This Row],[Account_ID]], Accounts[ID], Accounts[Account nickname], "Unknown")</f>
        <v>Discover</v>
      </c>
      <c r="H556" s="134" t="str">
        <f>_xlfn.XLOOKUP(Table1[[#This Row],[Account_ID]], Accounts[ID], Accounts[Account'#], "Unknown")</f>
        <v>4618</v>
      </c>
      <c r="I556" s="135" t="str">
        <f>_xlfn.XLOOKUP(_xlfn.XLOOKUP(Table1[[#This Row],[Account]],Accounts[Account nickname],Accounts[Institution ID]),Institutions[ID],Institutions[Institution nickname],"Unknown")</f>
        <v>Discover</v>
      </c>
      <c r="J556" s="152" t="s">
        <v>1888</v>
      </c>
      <c r="K556" s="137" t="s">
        <v>843</v>
      </c>
      <c r="L556" s="137" t="s">
        <v>841</v>
      </c>
      <c r="M55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5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56" s="138" t="str" cm="1">
        <f t="array" ref="O556">IFERROR(INDEX(CategoriesTable[Category type],MATCH(Table1[[#This Row],[Category]],CategoriesTable[Category name],0),0),"")</f>
        <v/>
      </c>
      <c r="P556" s="138">
        <v>29</v>
      </c>
      <c r="Q556" s="138">
        <f>MONTH(Table1[[#This Row],[Date]])</f>
        <v>8</v>
      </c>
      <c r="R556" s="138">
        <v>2021</v>
      </c>
      <c r="S556" s="139">
        <f>IF(ISBLANK(Table1[[#This Row],[Date]]),"",Table1[[#This Row],[Date]]-WEEKDAY(Table1[[#This Row],[Date]],2)+1)</f>
        <v>44431</v>
      </c>
      <c r="T556" s="140">
        <f>IF(ISBLANK(Table1[[#This Row],[Date]]),"",DATE(Table1[[#This Row],[Date_Year]],Table1[[#This Row],[Date_Month]],1))</f>
        <v>44409</v>
      </c>
    </row>
    <row r="557" spans="2:20" ht="15.75">
      <c r="B557" s="154">
        <v>44437</v>
      </c>
      <c r="C557" s="119" t="s">
        <v>1850</v>
      </c>
      <c r="D557" s="119"/>
      <c r="E557" s="119"/>
      <c r="F557" s="155">
        <v>-3.04</v>
      </c>
      <c r="G557" s="133" t="str">
        <f>_xlfn.XLOOKUP(Table1[[#This Row],[Account_ID]], Accounts[ID], Accounts[Account nickname], "Unknown")</f>
        <v>Discover</v>
      </c>
      <c r="H557" s="134" t="str">
        <f>_xlfn.XLOOKUP(Table1[[#This Row],[Account_ID]], Accounts[ID], Accounts[Account'#], "Unknown")</f>
        <v>4618</v>
      </c>
      <c r="I557" s="135" t="str">
        <f>_xlfn.XLOOKUP(_xlfn.XLOOKUP(Table1[[#This Row],[Account]],Accounts[Account nickname],Accounts[Institution ID]),Institutions[ID],Institutions[Institution nickname],"Unknown")</f>
        <v>Discover</v>
      </c>
      <c r="J557" s="136" t="s">
        <v>1892</v>
      </c>
      <c r="K557" s="137" t="s">
        <v>843</v>
      </c>
      <c r="L557" s="137" t="s">
        <v>841</v>
      </c>
      <c r="M55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5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57" s="138" t="str" cm="1">
        <f t="array" ref="O557">IFERROR(INDEX(CategoriesTable[Category type],MATCH(Table1[[#This Row],[Category]],CategoriesTable[Category name],0),0),"")</f>
        <v/>
      </c>
      <c r="P557" s="138">
        <v>29</v>
      </c>
      <c r="Q557" s="138">
        <f>MONTH(Table1[[#This Row],[Date]])</f>
        <v>8</v>
      </c>
      <c r="R557" s="138">
        <v>2021</v>
      </c>
      <c r="S557" s="139">
        <f>IF(ISBLANK(Table1[[#This Row],[Date]]),"",Table1[[#This Row],[Date]]-WEEKDAY(Table1[[#This Row],[Date]],2)+1)</f>
        <v>44431</v>
      </c>
      <c r="T557" s="140">
        <f>IF(ISBLANK(Table1[[#This Row],[Date]]),"",DATE(Table1[[#This Row],[Date_Year]],Table1[[#This Row],[Date_Month]],1))</f>
        <v>44409</v>
      </c>
    </row>
    <row r="558" spans="2:20" ht="15.75">
      <c r="B558" s="154">
        <v>44437</v>
      </c>
      <c r="C558" s="119" t="s">
        <v>1850</v>
      </c>
      <c r="D558" s="119"/>
      <c r="E558" s="119"/>
      <c r="F558" s="155">
        <v>-4.8499999999999996</v>
      </c>
      <c r="G558" s="133" t="str">
        <f>_xlfn.XLOOKUP(Table1[[#This Row],[Account_ID]], Accounts[ID], Accounts[Account nickname], "Unknown")</f>
        <v>Discover</v>
      </c>
      <c r="H558" s="134" t="str">
        <f>_xlfn.XLOOKUP(Table1[[#This Row],[Account_ID]], Accounts[ID], Accounts[Account'#], "Unknown")</f>
        <v>4618</v>
      </c>
      <c r="I558" s="135" t="str">
        <f>_xlfn.XLOOKUP(_xlfn.XLOOKUP(Table1[[#This Row],[Account]],Accounts[Account nickname],Accounts[Institution ID]),Institutions[ID],Institutions[Institution nickname],"Unknown")</f>
        <v>Discover</v>
      </c>
      <c r="J558" s="136" t="s">
        <v>1893</v>
      </c>
      <c r="K558" s="137" t="s">
        <v>843</v>
      </c>
      <c r="L558" s="137" t="s">
        <v>841</v>
      </c>
      <c r="M55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5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58" s="138" t="str" cm="1">
        <f t="array" ref="O558">IFERROR(INDEX(CategoriesTable[Category type],MATCH(Table1[[#This Row],[Category]],CategoriesTable[Category name],0),0),"")</f>
        <v/>
      </c>
      <c r="P558" s="138">
        <v>29</v>
      </c>
      <c r="Q558" s="138">
        <f>MONTH(Table1[[#This Row],[Date]])</f>
        <v>8</v>
      </c>
      <c r="R558" s="138">
        <v>2021</v>
      </c>
      <c r="S558" s="139">
        <f>IF(ISBLANK(Table1[[#This Row],[Date]]),"",Table1[[#This Row],[Date]]-WEEKDAY(Table1[[#This Row],[Date]],2)+1)</f>
        <v>44431</v>
      </c>
      <c r="T558" s="140">
        <f>IF(ISBLANK(Table1[[#This Row],[Date]]),"",DATE(Table1[[#This Row],[Date_Year]],Table1[[#This Row],[Date_Month]],1))</f>
        <v>44409</v>
      </c>
    </row>
    <row r="559" spans="2:20" ht="15.75">
      <c r="B559" s="154">
        <v>44437</v>
      </c>
      <c r="C559" s="119" t="s">
        <v>1885</v>
      </c>
      <c r="D559" s="119"/>
      <c r="E559" s="119"/>
      <c r="F559" s="155">
        <v>-36.450000000000003</v>
      </c>
      <c r="G559" s="133" t="str">
        <f>_xlfn.XLOOKUP(Table1[[#This Row],[Account_ID]], Accounts[ID], Accounts[Account nickname], "Unknown")</f>
        <v>Discover</v>
      </c>
      <c r="H559" s="134" t="str">
        <f>_xlfn.XLOOKUP(Table1[[#This Row],[Account_ID]], Accounts[ID], Accounts[Account'#], "Unknown")</f>
        <v>4618</v>
      </c>
      <c r="I559" s="135" t="str">
        <f>_xlfn.XLOOKUP(_xlfn.XLOOKUP(Table1[[#This Row],[Account]],Accounts[Account nickname],Accounts[Institution ID]),Institutions[ID],Institutions[Institution nickname],"Unknown")</f>
        <v>Discover</v>
      </c>
      <c r="J559" s="136" t="s">
        <v>1886</v>
      </c>
      <c r="K559" s="137" t="s">
        <v>843</v>
      </c>
      <c r="L559" s="137" t="s">
        <v>841</v>
      </c>
      <c r="M55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5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59" s="138" t="str" cm="1">
        <f t="array" ref="O559">IFERROR(INDEX(CategoriesTable[Category type],MATCH(Table1[[#This Row],[Category]],CategoriesTable[Category name],0),0),"")</f>
        <v/>
      </c>
      <c r="P559" s="138">
        <v>29</v>
      </c>
      <c r="Q559" s="138">
        <f>MONTH(Table1[[#This Row],[Date]])</f>
        <v>8</v>
      </c>
      <c r="R559" s="138">
        <v>2021</v>
      </c>
      <c r="S559" s="139">
        <f>IF(ISBLANK(Table1[[#This Row],[Date]]),"",Table1[[#This Row],[Date]]-WEEKDAY(Table1[[#This Row],[Date]],2)+1)</f>
        <v>44431</v>
      </c>
      <c r="T559" s="140">
        <f>IF(ISBLANK(Table1[[#This Row],[Date]]),"",DATE(Table1[[#This Row],[Date_Year]],Table1[[#This Row],[Date_Month]],1))</f>
        <v>44409</v>
      </c>
    </row>
    <row r="560" spans="2:20" ht="15.75">
      <c r="B560" s="154">
        <v>44436</v>
      </c>
      <c r="C560" s="119" t="s">
        <v>1904</v>
      </c>
      <c r="D560" s="119"/>
      <c r="E560" s="119"/>
      <c r="F560" s="155">
        <v>-51.53</v>
      </c>
      <c r="G560" s="133" t="str">
        <f>_xlfn.XLOOKUP(Table1[[#This Row],[Account_ID]], Accounts[ID], Accounts[Account nickname], "Unknown")</f>
        <v>Discover</v>
      </c>
      <c r="H560" s="134" t="str">
        <f>_xlfn.XLOOKUP(Table1[[#This Row],[Account_ID]], Accounts[ID], Accounts[Account'#], "Unknown")</f>
        <v>4618</v>
      </c>
      <c r="I560" s="135" t="str">
        <f>_xlfn.XLOOKUP(_xlfn.XLOOKUP(Table1[[#This Row],[Account]],Accounts[Account nickname],Accounts[Institution ID]),Institutions[ID],Institutions[Institution nickname],"Unknown")</f>
        <v>Discover</v>
      </c>
      <c r="J560" s="136" t="s">
        <v>1905</v>
      </c>
      <c r="K560" s="137" t="s">
        <v>843</v>
      </c>
      <c r="L560" s="137" t="s">
        <v>841</v>
      </c>
      <c r="M56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6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60" s="138" t="str" cm="1">
        <f t="array" ref="O560">IFERROR(INDEX(CategoriesTable[Category type],MATCH(Table1[[#This Row],[Category]],CategoriesTable[Category name],0),0),"")</f>
        <v/>
      </c>
      <c r="P560" s="138">
        <v>28</v>
      </c>
      <c r="Q560" s="138">
        <f>MONTH(Table1[[#This Row],[Date]])</f>
        <v>8</v>
      </c>
      <c r="R560" s="138">
        <v>2021</v>
      </c>
      <c r="S560" s="139">
        <f>IF(ISBLANK(Table1[[#This Row],[Date]]),"",Table1[[#This Row],[Date]]-WEEKDAY(Table1[[#This Row],[Date]],2)+1)</f>
        <v>44431</v>
      </c>
      <c r="T560" s="140">
        <f>IF(ISBLANK(Table1[[#This Row],[Date]]),"",DATE(Table1[[#This Row],[Date_Year]],Table1[[#This Row],[Date_Month]],1))</f>
        <v>44409</v>
      </c>
    </row>
    <row r="561" spans="2:20" ht="15.75">
      <c r="B561" s="154">
        <v>44436</v>
      </c>
      <c r="C561" s="119" t="s">
        <v>714</v>
      </c>
      <c r="D561" s="119"/>
      <c r="E561" s="119"/>
      <c r="F561" s="155">
        <v>-24.34</v>
      </c>
      <c r="G561" s="133" t="str">
        <f>_xlfn.XLOOKUP(Table1[[#This Row],[Account_ID]], Accounts[ID], Accounts[Account nickname], "Unknown")</f>
        <v>Discover</v>
      </c>
      <c r="H561" s="134" t="str">
        <f>_xlfn.XLOOKUP(Table1[[#This Row],[Account_ID]], Accounts[ID], Accounts[Account'#], "Unknown")</f>
        <v>4618</v>
      </c>
      <c r="I561" s="135" t="str">
        <f>_xlfn.XLOOKUP(_xlfn.XLOOKUP(Table1[[#This Row],[Account]],Accounts[Account nickname],Accounts[Institution ID]),Institutions[ID],Institutions[Institution nickname],"Unknown")</f>
        <v>Discover</v>
      </c>
      <c r="J561" s="136" t="s">
        <v>1903</v>
      </c>
      <c r="K561" s="137" t="s">
        <v>843</v>
      </c>
      <c r="L561" s="137" t="s">
        <v>841</v>
      </c>
      <c r="M56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6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61" s="138" t="str" cm="1">
        <f t="array" ref="O561">IFERROR(INDEX(CategoriesTable[Category type],MATCH(Table1[[#This Row],[Category]],CategoriesTable[Category name],0),0),"")</f>
        <v/>
      </c>
      <c r="P561" s="138">
        <v>28</v>
      </c>
      <c r="Q561" s="138">
        <f>MONTH(Table1[[#This Row],[Date]])</f>
        <v>8</v>
      </c>
      <c r="R561" s="138">
        <v>2021</v>
      </c>
      <c r="S561" s="139">
        <f>IF(ISBLANK(Table1[[#This Row],[Date]]),"",Table1[[#This Row],[Date]]-WEEKDAY(Table1[[#This Row],[Date]],2)+1)</f>
        <v>44431</v>
      </c>
      <c r="T561" s="140">
        <f>IF(ISBLANK(Table1[[#This Row],[Date]]),"",DATE(Table1[[#This Row],[Date_Year]],Table1[[#This Row],[Date_Month]],1))</f>
        <v>44409</v>
      </c>
    </row>
    <row r="562" spans="2:20" ht="15.75">
      <c r="B562" s="154">
        <v>44436</v>
      </c>
      <c r="C562" s="119" t="s">
        <v>1895</v>
      </c>
      <c r="D562" s="119"/>
      <c r="E562" s="119"/>
      <c r="F562" s="155">
        <v>-19.5</v>
      </c>
      <c r="G562" s="133" t="str">
        <f>_xlfn.XLOOKUP(Table1[[#This Row],[Account_ID]], Accounts[ID], Accounts[Account nickname], "Unknown")</f>
        <v>Discover</v>
      </c>
      <c r="H562" s="134" t="str">
        <f>_xlfn.XLOOKUP(Table1[[#This Row],[Account_ID]], Accounts[ID], Accounts[Account'#], "Unknown")</f>
        <v>4618</v>
      </c>
      <c r="I562" s="135" t="str">
        <f>_xlfn.XLOOKUP(_xlfn.XLOOKUP(Table1[[#This Row],[Account]],Accounts[Account nickname],Accounts[Institution ID]),Institutions[ID],Institutions[Institution nickname],"Unknown")</f>
        <v>Discover</v>
      </c>
      <c r="J562" s="136" t="s">
        <v>1896</v>
      </c>
      <c r="K562" s="137" t="s">
        <v>843</v>
      </c>
      <c r="L562" s="137" t="s">
        <v>841</v>
      </c>
      <c r="M56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6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62" s="138" t="str" cm="1">
        <f t="array" ref="O562">IFERROR(INDEX(CategoriesTable[Category type],MATCH(Table1[[#This Row],[Category]],CategoriesTable[Category name],0),0),"")</f>
        <v/>
      </c>
      <c r="P562" s="138">
        <v>28</v>
      </c>
      <c r="Q562" s="138">
        <f>MONTH(Table1[[#This Row],[Date]])</f>
        <v>8</v>
      </c>
      <c r="R562" s="138">
        <v>2021</v>
      </c>
      <c r="S562" s="139">
        <f>IF(ISBLANK(Table1[[#This Row],[Date]]),"",Table1[[#This Row],[Date]]-WEEKDAY(Table1[[#This Row],[Date]],2)+1)</f>
        <v>44431</v>
      </c>
      <c r="T562" s="140">
        <f>IF(ISBLANK(Table1[[#This Row],[Date]]),"",DATE(Table1[[#This Row],[Date_Year]],Table1[[#This Row],[Date_Month]],1))</f>
        <v>44409</v>
      </c>
    </row>
    <row r="563" spans="2:20" ht="15.75">
      <c r="B563" s="154">
        <v>44436</v>
      </c>
      <c r="C563" s="119" t="s">
        <v>1901</v>
      </c>
      <c r="D563" s="119"/>
      <c r="E563" s="119"/>
      <c r="F563" s="155">
        <v>-20.46</v>
      </c>
      <c r="G563" s="133" t="str">
        <f>_xlfn.XLOOKUP(Table1[[#This Row],[Account_ID]], Accounts[ID], Accounts[Account nickname], "Unknown")</f>
        <v>Discover</v>
      </c>
      <c r="H563" s="134" t="str">
        <f>_xlfn.XLOOKUP(Table1[[#This Row],[Account_ID]], Accounts[ID], Accounts[Account'#], "Unknown")</f>
        <v>4618</v>
      </c>
      <c r="I563" s="135" t="str">
        <f>_xlfn.XLOOKUP(_xlfn.XLOOKUP(Table1[[#This Row],[Account]],Accounts[Account nickname],Accounts[Institution ID]),Institutions[ID],Institutions[Institution nickname],"Unknown")</f>
        <v>Discover</v>
      </c>
      <c r="J563" s="136" t="s">
        <v>1902</v>
      </c>
      <c r="K563" s="137" t="s">
        <v>843</v>
      </c>
      <c r="L563" s="137" t="s">
        <v>841</v>
      </c>
      <c r="M56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6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63" s="138" t="str" cm="1">
        <f t="array" ref="O563">IFERROR(INDEX(CategoriesTable[Category type],MATCH(Table1[[#This Row],[Category]],CategoriesTable[Category name],0),0),"")</f>
        <v/>
      </c>
      <c r="P563" s="138">
        <v>28</v>
      </c>
      <c r="Q563" s="138">
        <f>MONTH(Table1[[#This Row],[Date]])</f>
        <v>8</v>
      </c>
      <c r="R563" s="138">
        <v>2021</v>
      </c>
      <c r="S563" s="139">
        <f>IF(ISBLANK(Table1[[#This Row],[Date]]),"",Table1[[#This Row],[Date]]-WEEKDAY(Table1[[#This Row],[Date]],2)+1)</f>
        <v>44431</v>
      </c>
      <c r="T563" s="140">
        <f>IF(ISBLANK(Table1[[#This Row],[Date]]),"",DATE(Table1[[#This Row],[Date_Year]],Table1[[#This Row],[Date_Month]],1))</f>
        <v>44409</v>
      </c>
    </row>
    <row r="564" spans="2:20" ht="15.75">
      <c r="B564" s="154">
        <v>44436</v>
      </c>
      <c r="C564" s="119" t="s">
        <v>1899</v>
      </c>
      <c r="D564" s="119"/>
      <c r="E564" s="119"/>
      <c r="F564" s="155">
        <v>-49.99</v>
      </c>
      <c r="G564" s="133" t="str">
        <f>_xlfn.XLOOKUP(Table1[[#This Row],[Account_ID]], Accounts[ID], Accounts[Account nickname], "Unknown")</f>
        <v>Discover</v>
      </c>
      <c r="H564" s="134" t="str">
        <f>_xlfn.XLOOKUP(Table1[[#This Row],[Account_ID]], Accounts[ID], Accounts[Account'#], "Unknown")</f>
        <v>4618</v>
      </c>
      <c r="I564" s="135" t="str">
        <f>_xlfn.XLOOKUP(_xlfn.XLOOKUP(Table1[[#This Row],[Account]],Accounts[Account nickname],Accounts[Institution ID]),Institutions[ID],Institutions[Institution nickname],"Unknown")</f>
        <v>Discover</v>
      </c>
      <c r="J564" s="136" t="s">
        <v>1900</v>
      </c>
      <c r="K564" s="137" t="s">
        <v>843</v>
      </c>
      <c r="L564" s="137" t="s">
        <v>841</v>
      </c>
      <c r="M56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6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64" s="138" t="str" cm="1">
        <f t="array" ref="O564">IFERROR(INDEX(CategoriesTable[Category type],MATCH(Table1[[#This Row],[Category]],CategoriesTable[Category name],0),0),"")</f>
        <v/>
      </c>
      <c r="P564" s="138">
        <v>28</v>
      </c>
      <c r="Q564" s="138">
        <f>MONTH(Table1[[#This Row],[Date]])</f>
        <v>8</v>
      </c>
      <c r="R564" s="138">
        <v>2021</v>
      </c>
      <c r="S564" s="139">
        <f>IF(ISBLANK(Table1[[#This Row],[Date]]),"",Table1[[#This Row],[Date]]-WEEKDAY(Table1[[#This Row],[Date]],2)+1)</f>
        <v>44431</v>
      </c>
      <c r="T564" s="140">
        <f>IF(ISBLANK(Table1[[#This Row],[Date]]),"",DATE(Table1[[#This Row],[Date_Year]],Table1[[#This Row],[Date_Month]],1))</f>
        <v>44409</v>
      </c>
    </row>
    <row r="565" spans="2:20" ht="15.75">
      <c r="B565" s="154">
        <v>44436</v>
      </c>
      <c r="C565" s="119" t="s">
        <v>1897</v>
      </c>
      <c r="D565" s="119"/>
      <c r="E565" s="119"/>
      <c r="F565" s="155">
        <v>-32.82</v>
      </c>
      <c r="G565" s="133" t="str">
        <f>_xlfn.XLOOKUP(Table1[[#This Row],[Account_ID]], Accounts[ID], Accounts[Account nickname], "Unknown")</f>
        <v>Discover</v>
      </c>
      <c r="H565" s="134" t="str">
        <f>_xlfn.XLOOKUP(Table1[[#This Row],[Account_ID]], Accounts[ID], Accounts[Account'#], "Unknown")</f>
        <v>4618</v>
      </c>
      <c r="I565" s="135" t="str">
        <f>_xlfn.XLOOKUP(_xlfn.XLOOKUP(Table1[[#This Row],[Account]],Accounts[Account nickname],Accounts[Institution ID]),Institutions[ID],Institutions[Institution nickname],"Unknown")</f>
        <v>Discover</v>
      </c>
      <c r="J565" s="136" t="s">
        <v>1898</v>
      </c>
      <c r="K565" s="137" t="s">
        <v>843</v>
      </c>
      <c r="L565" s="137" t="s">
        <v>841</v>
      </c>
      <c r="M56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6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65" s="138" t="str" cm="1">
        <f t="array" ref="O565">IFERROR(INDEX(CategoriesTable[Category type],MATCH(Table1[[#This Row],[Category]],CategoriesTable[Category name],0),0),"")</f>
        <v/>
      </c>
      <c r="P565" s="138">
        <v>28</v>
      </c>
      <c r="Q565" s="138">
        <f>MONTH(Table1[[#This Row],[Date]])</f>
        <v>8</v>
      </c>
      <c r="R565" s="138">
        <v>2021</v>
      </c>
      <c r="S565" s="139">
        <f>IF(ISBLANK(Table1[[#This Row],[Date]]),"",Table1[[#This Row],[Date]]-WEEKDAY(Table1[[#This Row],[Date]],2)+1)</f>
        <v>44431</v>
      </c>
      <c r="T565" s="140">
        <f>IF(ISBLANK(Table1[[#This Row],[Date]]),"",DATE(Table1[[#This Row],[Date_Year]],Table1[[#This Row],[Date_Month]],1))</f>
        <v>44409</v>
      </c>
    </row>
    <row r="566" spans="2:20" ht="15.75">
      <c r="B566" s="154">
        <v>44435</v>
      </c>
      <c r="C566" s="119" t="s">
        <v>1908</v>
      </c>
      <c r="D566" s="119"/>
      <c r="E566" s="119"/>
      <c r="F566" s="155">
        <v>-7.68</v>
      </c>
      <c r="G566" s="133" t="str">
        <f>_xlfn.XLOOKUP(Table1[[#This Row],[Account_ID]], Accounts[ID], Accounts[Account nickname], "Unknown")</f>
        <v>Discover</v>
      </c>
      <c r="H566" s="134" t="str">
        <f>_xlfn.XLOOKUP(Table1[[#This Row],[Account_ID]], Accounts[ID], Accounts[Account'#], "Unknown")</f>
        <v>4618</v>
      </c>
      <c r="I566" s="135" t="str">
        <f>_xlfn.XLOOKUP(_xlfn.XLOOKUP(Table1[[#This Row],[Account]],Accounts[Account nickname],Accounts[Institution ID]),Institutions[ID],Institutions[Institution nickname],"Unknown")</f>
        <v>Discover</v>
      </c>
      <c r="J566" s="136" t="s">
        <v>1909</v>
      </c>
      <c r="K566" s="137" t="s">
        <v>843</v>
      </c>
      <c r="L566" s="137" t="s">
        <v>841</v>
      </c>
      <c r="M56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6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66" s="138" t="str" cm="1">
        <f t="array" ref="O566">IFERROR(INDEX(CategoriesTable[Category type],MATCH(Table1[[#This Row],[Category]],CategoriesTable[Category name],0),0),"")</f>
        <v/>
      </c>
      <c r="P566" s="138">
        <v>27</v>
      </c>
      <c r="Q566" s="138">
        <f>MONTH(Table1[[#This Row],[Date]])</f>
        <v>8</v>
      </c>
      <c r="R566" s="138">
        <v>2021</v>
      </c>
      <c r="S566" s="139">
        <f>IF(ISBLANK(Table1[[#This Row],[Date]]),"",Table1[[#This Row],[Date]]-WEEKDAY(Table1[[#This Row],[Date]],2)+1)</f>
        <v>44431</v>
      </c>
      <c r="T566" s="140">
        <f>IF(ISBLANK(Table1[[#This Row],[Date]]),"",DATE(Table1[[#This Row],[Date_Year]],Table1[[#This Row],[Date_Month]],1))</f>
        <v>44409</v>
      </c>
    </row>
    <row r="567" spans="2:20" ht="15.75">
      <c r="B567" s="154">
        <v>44435</v>
      </c>
      <c r="C567" s="119" t="s">
        <v>1906</v>
      </c>
      <c r="D567" s="119"/>
      <c r="E567" s="119"/>
      <c r="F567" s="155">
        <v>-22.05</v>
      </c>
      <c r="G567" s="133" t="str">
        <f>_xlfn.XLOOKUP(Table1[[#This Row],[Account_ID]], Accounts[ID], Accounts[Account nickname], "Unknown")</f>
        <v>Discover</v>
      </c>
      <c r="H567" s="134" t="str">
        <f>_xlfn.XLOOKUP(Table1[[#This Row],[Account_ID]], Accounts[ID], Accounts[Account'#], "Unknown")</f>
        <v>4618</v>
      </c>
      <c r="I567" s="135" t="str">
        <f>_xlfn.XLOOKUP(_xlfn.XLOOKUP(Table1[[#This Row],[Account]],Accounts[Account nickname],Accounts[Institution ID]),Institutions[ID],Institutions[Institution nickname],"Unknown")</f>
        <v>Discover</v>
      </c>
      <c r="J567" s="136" t="s">
        <v>1907</v>
      </c>
      <c r="K567" s="137" t="s">
        <v>843</v>
      </c>
      <c r="L567" s="137" t="s">
        <v>841</v>
      </c>
      <c r="M56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6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67" s="138" t="str" cm="1">
        <f t="array" ref="O567">IFERROR(INDEX(CategoriesTable[Category type],MATCH(Table1[[#This Row],[Category]],CategoriesTable[Category name],0),0),"")</f>
        <v/>
      </c>
      <c r="P567" s="138">
        <v>27</v>
      </c>
      <c r="Q567" s="138">
        <f>MONTH(Table1[[#This Row],[Date]])</f>
        <v>8</v>
      </c>
      <c r="R567" s="138">
        <v>2021</v>
      </c>
      <c r="S567" s="139">
        <f>IF(ISBLANK(Table1[[#This Row],[Date]]),"",Table1[[#This Row],[Date]]-WEEKDAY(Table1[[#This Row],[Date]],2)+1)</f>
        <v>44431</v>
      </c>
      <c r="T567" s="140">
        <f>IF(ISBLANK(Table1[[#This Row],[Date]]),"",DATE(Table1[[#This Row],[Date_Year]],Table1[[#This Row],[Date_Month]],1))</f>
        <v>44409</v>
      </c>
    </row>
    <row r="568" spans="2:20" ht="15.75">
      <c r="B568" s="154">
        <v>44435</v>
      </c>
      <c r="C568" s="119" t="s">
        <v>1679</v>
      </c>
      <c r="D568" s="119"/>
      <c r="E568" s="119"/>
      <c r="F568" s="155">
        <v>-9.99</v>
      </c>
      <c r="G568" s="133" t="str">
        <f>_xlfn.XLOOKUP(Table1[[#This Row],[Account_ID]], Accounts[ID], Accounts[Account nickname], "Unknown")</f>
        <v>Discover</v>
      </c>
      <c r="H568" s="134" t="str">
        <f>_xlfn.XLOOKUP(Table1[[#This Row],[Account_ID]], Accounts[ID], Accounts[Account'#], "Unknown")</f>
        <v>4618</v>
      </c>
      <c r="I568" s="135" t="str">
        <f>_xlfn.XLOOKUP(_xlfn.XLOOKUP(Table1[[#This Row],[Account]],Accounts[Account nickname],Accounts[Institution ID]),Institutions[ID],Institutions[Institution nickname],"Unknown")</f>
        <v>Discover</v>
      </c>
      <c r="J568" s="136" t="s">
        <v>1911</v>
      </c>
      <c r="K568" s="137" t="s">
        <v>843</v>
      </c>
      <c r="L568" s="137" t="s">
        <v>841</v>
      </c>
      <c r="M56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6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68" s="138" t="str" cm="1">
        <f t="array" ref="O568">IFERROR(INDEX(CategoriesTable[Category type],MATCH(Table1[[#This Row],[Category]],CategoriesTable[Category name],0),0),"")</f>
        <v/>
      </c>
      <c r="P568" s="138">
        <v>27</v>
      </c>
      <c r="Q568" s="138">
        <f>MONTH(Table1[[#This Row],[Date]])</f>
        <v>8</v>
      </c>
      <c r="R568" s="138">
        <v>2021</v>
      </c>
      <c r="S568" s="139">
        <f>IF(ISBLANK(Table1[[#This Row],[Date]]),"",Table1[[#This Row],[Date]]-WEEKDAY(Table1[[#This Row],[Date]],2)+1)</f>
        <v>44431</v>
      </c>
      <c r="T568" s="140">
        <f>IF(ISBLANK(Table1[[#This Row],[Date]]),"",DATE(Table1[[#This Row],[Date_Year]],Table1[[#This Row],[Date_Month]],1))</f>
        <v>44409</v>
      </c>
    </row>
    <row r="569" spans="2:20" ht="15.75">
      <c r="B569" s="154">
        <v>44435</v>
      </c>
      <c r="C569" s="119" t="s">
        <v>735</v>
      </c>
      <c r="D569" s="119"/>
      <c r="E569" s="119"/>
      <c r="F569" s="155">
        <v>-348.05</v>
      </c>
      <c r="G569" s="133" t="str">
        <f>_xlfn.XLOOKUP(Table1[[#This Row],[Account_ID]], Accounts[ID], Accounts[Account nickname], "Unknown")</f>
        <v>WF</v>
      </c>
      <c r="H569" s="134" t="str">
        <f>_xlfn.XLOOKUP(Table1[[#This Row],[Account_ID]], Accounts[ID], Accounts[Account'#], "Unknown")</f>
        <v>4636</v>
      </c>
      <c r="I569" s="135" t="str">
        <f>_xlfn.XLOOKUP(_xlfn.XLOOKUP(Table1[[#This Row],[Account]],Accounts[Account nickname],Accounts[Institution ID]),Institutions[ID],Institutions[Institution nickname],"Unknown")</f>
        <v>Wells Fargo</v>
      </c>
      <c r="J569" s="136" t="s">
        <v>1046</v>
      </c>
      <c r="K569" s="137" t="s">
        <v>808</v>
      </c>
      <c r="L569" s="137" t="s">
        <v>807</v>
      </c>
      <c r="M56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6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69" s="138" t="str" cm="1">
        <f t="array" ref="O569">IFERROR(INDEX(CategoriesTable[Category type],MATCH(Table1[[#This Row],[Category]],CategoriesTable[Category name],0),0),"")</f>
        <v/>
      </c>
      <c r="P569" s="138">
        <v>27</v>
      </c>
      <c r="Q569" s="138">
        <f>MONTH(Table1[[#This Row],[Date]])</f>
        <v>8</v>
      </c>
      <c r="R569" s="138">
        <v>2021</v>
      </c>
      <c r="S569" s="139">
        <f>IF(ISBLANK(Table1[[#This Row],[Date]]),"",Table1[[#This Row],[Date]]-WEEKDAY(Table1[[#This Row],[Date]],2)+1)</f>
        <v>44431</v>
      </c>
      <c r="T569" s="140">
        <f>IF(ISBLANK(Table1[[#This Row],[Date]]),"",DATE(Table1[[#This Row],[Date_Year]],Table1[[#This Row],[Date_Month]],1))</f>
        <v>44409</v>
      </c>
    </row>
    <row r="570" spans="2:20" ht="15.75">
      <c r="B570" s="154">
        <v>44435</v>
      </c>
      <c r="C570" s="119" t="s">
        <v>1912</v>
      </c>
      <c r="D570" s="119"/>
      <c r="E570" s="119"/>
      <c r="F570" s="155">
        <v>-25.54</v>
      </c>
      <c r="G570" s="133" t="str">
        <f>_xlfn.XLOOKUP(Table1[[#This Row],[Account_ID]], Accounts[ID], Accounts[Account nickname], "Unknown")</f>
        <v>Discover</v>
      </c>
      <c r="H570" s="134" t="str">
        <f>_xlfn.XLOOKUP(Table1[[#This Row],[Account_ID]], Accounts[ID], Accounts[Account'#], "Unknown")</f>
        <v>4618</v>
      </c>
      <c r="I570" s="135" t="str">
        <f>_xlfn.XLOOKUP(_xlfn.XLOOKUP(Table1[[#This Row],[Account]],Accounts[Account nickname],Accounts[Institution ID]),Institutions[ID],Institutions[Institution nickname],"Unknown")</f>
        <v>Discover</v>
      </c>
      <c r="J570" s="136" t="s">
        <v>1913</v>
      </c>
      <c r="K570" s="137" t="s">
        <v>843</v>
      </c>
      <c r="L570" s="137" t="s">
        <v>841</v>
      </c>
      <c r="M57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7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70" s="138" t="str" cm="1">
        <f t="array" ref="O570">IFERROR(INDEX(CategoriesTable[Category type],MATCH(Table1[[#This Row],[Category]],CategoriesTable[Category name],0),0),"")</f>
        <v/>
      </c>
      <c r="P570" s="138">
        <v>27</v>
      </c>
      <c r="Q570" s="138">
        <f>MONTH(Table1[[#This Row],[Date]])</f>
        <v>8</v>
      </c>
      <c r="R570" s="138">
        <v>2021</v>
      </c>
      <c r="S570" s="139">
        <f>IF(ISBLANK(Table1[[#This Row],[Date]]),"",Table1[[#This Row],[Date]]-WEEKDAY(Table1[[#This Row],[Date]],2)+1)</f>
        <v>44431</v>
      </c>
      <c r="T570" s="140">
        <f>IF(ISBLANK(Table1[[#This Row],[Date]]),"",DATE(Table1[[#This Row],[Date_Year]],Table1[[#This Row],[Date_Month]],1))</f>
        <v>44409</v>
      </c>
    </row>
    <row r="571" spans="2:20" ht="15.75">
      <c r="B571" s="154">
        <v>44435</v>
      </c>
      <c r="C571" s="119" t="s">
        <v>1908</v>
      </c>
      <c r="D571" s="119"/>
      <c r="E571" s="119"/>
      <c r="F571" s="155">
        <v>-20.420000000000002</v>
      </c>
      <c r="G571" s="133" t="str">
        <f>_xlfn.XLOOKUP(Table1[[#This Row],[Account_ID]], Accounts[ID], Accounts[Account nickname], "Unknown")</f>
        <v>Discover</v>
      </c>
      <c r="H571" s="134" t="str">
        <f>_xlfn.XLOOKUP(Table1[[#This Row],[Account_ID]], Accounts[ID], Accounts[Account'#], "Unknown")</f>
        <v>4618</v>
      </c>
      <c r="I571" s="135" t="str">
        <f>_xlfn.XLOOKUP(_xlfn.XLOOKUP(Table1[[#This Row],[Account]],Accounts[Account nickname],Accounts[Institution ID]),Institutions[ID],Institutions[Institution nickname],"Unknown")</f>
        <v>Discover</v>
      </c>
      <c r="J571" s="136" t="s">
        <v>1910</v>
      </c>
      <c r="K571" s="137" t="s">
        <v>843</v>
      </c>
      <c r="L571" s="137" t="s">
        <v>841</v>
      </c>
      <c r="M57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7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71" s="138" t="str" cm="1">
        <f t="array" ref="O571">IFERROR(INDEX(CategoriesTable[Category type],MATCH(Table1[[#This Row],[Category]],CategoriesTable[Category name],0),0),"")</f>
        <v/>
      </c>
      <c r="P571" s="138">
        <v>27</v>
      </c>
      <c r="Q571" s="138">
        <f>MONTH(Table1[[#This Row],[Date]])</f>
        <v>8</v>
      </c>
      <c r="R571" s="138">
        <v>2021</v>
      </c>
      <c r="S571" s="139">
        <f>IF(ISBLANK(Table1[[#This Row],[Date]]),"",Table1[[#This Row],[Date]]-WEEKDAY(Table1[[#This Row],[Date]],2)+1)</f>
        <v>44431</v>
      </c>
      <c r="T571" s="140">
        <f>IF(ISBLANK(Table1[[#This Row],[Date]]),"",DATE(Table1[[#This Row],[Date_Year]],Table1[[#This Row],[Date_Month]],1))</f>
        <v>44409</v>
      </c>
    </row>
    <row r="572" spans="2:20" ht="15.75">
      <c r="B572" s="154">
        <v>44435</v>
      </c>
      <c r="C572" s="119" t="s">
        <v>1914</v>
      </c>
      <c r="D572" s="119"/>
      <c r="E572" s="119"/>
      <c r="F572" s="155">
        <v>-35.78</v>
      </c>
      <c r="G572" s="133" t="str">
        <f>_xlfn.XLOOKUP(Table1[[#This Row],[Account_ID]], Accounts[ID], Accounts[Account nickname], "Unknown")</f>
        <v>Discover</v>
      </c>
      <c r="H572" s="134" t="str">
        <f>_xlfn.XLOOKUP(Table1[[#This Row],[Account_ID]], Accounts[ID], Accounts[Account'#], "Unknown")</f>
        <v>4618</v>
      </c>
      <c r="I572" s="135" t="str">
        <f>_xlfn.XLOOKUP(_xlfn.XLOOKUP(Table1[[#This Row],[Account]],Accounts[Account nickname],Accounts[Institution ID]),Institutions[ID],Institutions[Institution nickname],"Unknown")</f>
        <v>Discover</v>
      </c>
      <c r="J572" s="136" t="s">
        <v>1915</v>
      </c>
      <c r="K572" s="137" t="s">
        <v>843</v>
      </c>
      <c r="L572" s="137" t="s">
        <v>841</v>
      </c>
      <c r="M57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7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72" s="138" t="str" cm="1">
        <f t="array" ref="O572">IFERROR(INDEX(CategoriesTable[Category type],MATCH(Table1[[#This Row],[Category]],CategoriesTable[Category name],0),0),"")</f>
        <v/>
      </c>
      <c r="P572" s="138">
        <v>27</v>
      </c>
      <c r="Q572" s="138">
        <f>MONTH(Table1[[#This Row],[Date]])</f>
        <v>8</v>
      </c>
      <c r="R572" s="138">
        <v>2021</v>
      </c>
      <c r="S572" s="139">
        <f>IF(ISBLANK(Table1[[#This Row],[Date]]),"",Table1[[#This Row],[Date]]-WEEKDAY(Table1[[#This Row],[Date]],2)+1)</f>
        <v>44431</v>
      </c>
      <c r="T572" s="140">
        <f>IF(ISBLANK(Table1[[#This Row],[Date]]),"",DATE(Table1[[#This Row],[Date_Year]],Table1[[#This Row],[Date_Month]],1))</f>
        <v>44409</v>
      </c>
    </row>
    <row r="573" spans="2:20" ht="15.75">
      <c r="B573" s="154">
        <v>44434</v>
      </c>
      <c r="C573" s="119" t="s">
        <v>1917</v>
      </c>
      <c r="D573" s="119"/>
      <c r="E573" s="119"/>
      <c r="F573" s="155">
        <v>-35</v>
      </c>
      <c r="G573" s="133" t="str">
        <f>_xlfn.XLOOKUP(Table1[[#This Row],[Account_ID]], Accounts[ID], Accounts[Account nickname], "Unknown")</f>
        <v>Discover</v>
      </c>
      <c r="H573" s="134" t="str">
        <f>_xlfn.XLOOKUP(Table1[[#This Row],[Account_ID]], Accounts[ID], Accounts[Account'#], "Unknown")</f>
        <v>4618</v>
      </c>
      <c r="I573" s="135" t="str">
        <f>_xlfn.XLOOKUP(_xlfn.XLOOKUP(Table1[[#This Row],[Account]],Accounts[Account nickname],Accounts[Institution ID]),Institutions[ID],Institutions[Institution nickname],"Unknown")</f>
        <v>Discover</v>
      </c>
      <c r="J573" s="136" t="s">
        <v>1918</v>
      </c>
      <c r="K573" s="137" t="s">
        <v>843</v>
      </c>
      <c r="L573" s="137" t="s">
        <v>841</v>
      </c>
      <c r="M57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7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73" s="138" t="str" cm="1">
        <f t="array" ref="O573">IFERROR(INDEX(CategoriesTable[Category type],MATCH(Table1[[#This Row],[Category]],CategoriesTable[Category name],0),0),"")</f>
        <v/>
      </c>
      <c r="P573" s="138">
        <v>26</v>
      </c>
      <c r="Q573" s="138">
        <f>MONTH(Table1[[#This Row],[Date]])</f>
        <v>8</v>
      </c>
      <c r="R573" s="138">
        <v>2021</v>
      </c>
      <c r="S573" s="139">
        <f>IF(ISBLANK(Table1[[#This Row],[Date]]),"",Table1[[#This Row],[Date]]-WEEKDAY(Table1[[#This Row],[Date]],2)+1)</f>
        <v>44431</v>
      </c>
      <c r="T573" s="140">
        <f>IF(ISBLANK(Table1[[#This Row],[Date]]),"",DATE(Table1[[#This Row],[Date_Year]],Table1[[#This Row],[Date_Month]],1))</f>
        <v>44409</v>
      </c>
    </row>
    <row r="574" spans="2:20" ht="15.75">
      <c r="B574" s="154">
        <v>44434</v>
      </c>
      <c r="C574" s="119" t="s">
        <v>703</v>
      </c>
      <c r="D574" s="119"/>
      <c r="E574" s="119"/>
      <c r="F574" s="155">
        <v>-9.27</v>
      </c>
      <c r="G574" s="133" t="str">
        <f>_xlfn.XLOOKUP(Table1[[#This Row],[Account_ID]], Accounts[ID], Accounts[Account nickname], "Unknown")</f>
        <v>Discover</v>
      </c>
      <c r="H574" s="134" t="str">
        <f>_xlfn.XLOOKUP(Table1[[#This Row],[Account_ID]], Accounts[ID], Accounts[Account'#], "Unknown")</f>
        <v>4618</v>
      </c>
      <c r="I574" s="135" t="str">
        <f>_xlfn.XLOOKUP(_xlfn.XLOOKUP(Table1[[#This Row],[Account]],Accounts[Account nickname],Accounts[Institution ID]),Institutions[ID],Institutions[Institution nickname],"Unknown")</f>
        <v>Discover</v>
      </c>
      <c r="J574" s="136" t="s">
        <v>1920</v>
      </c>
      <c r="K574" s="137" t="s">
        <v>843</v>
      </c>
      <c r="L574" s="137" t="s">
        <v>841</v>
      </c>
      <c r="M57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7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74" s="138" t="str" cm="1">
        <f t="array" ref="O574">IFERROR(INDEX(CategoriesTable[Category type],MATCH(Table1[[#This Row],[Category]],CategoriesTable[Category name],0),0),"")</f>
        <v/>
      </c>
      <c r="P574" s="138">
        <v>26</v>
      </c>
      <c r="Q574" s="138">
        <f>MONTH(Table1[[#This Row],[Date]])</f>
        <v>8</v>
      </c>
      <c r="R574" s="138">
        <v>2021</v>
      </c>
      <c r="S574" s="139">
        <f>IF(ISBLANK(Table1[[#This Row],[Date]]),"",Table1[[#This Row],[Date]]-WEEKDAY(Table1[[#This Row],[Date]],2)+1)</f>
        <v>44431</v>
      </c>
      <c r="T574" s="140">
        <f>IF(ISBLANK(Table1[[#This Row],[Date]]),"",DATE(Table1[[#This Row],[Date_Year]],Table1[[#This Row],[Date_Month]],1))</f>
        <v>44409</v>
      </c>
    </row>
    <row r="575" spans="2:20" ht="15.75">
      <c r="B575" s="154">
        <v>44434</v>
      </c>
      <c r="C575" s="119" t="s">
        <v>1906</v>
      </c>
      <c r="D575" s="119"/>
      <c r="E575" s="119"/>
      <c r="F575" s="155">
        <v>-17.46</v>
      </c>
      <c r="G575" s="133" t="str">
        <f>_xlfn.XLOOKUP(Table1[[#This Row],[Account_ID]], Accounts[ID], Accounts[Account nickname], "Unknown")</f>
        <v>Discover</v>
      </c>
      <c r="H575" s="134" t="str">
        <f>_xlfn.XLOOKUP(Table1[[#This Row],[Account_ID]], Accounts[ID], Accounts[Account'#], "Unknown")</f>
        <v>4618</v>
      </c>
      <c r="I575" s="135" t="str">
        <f>_xlfn.XLOOKUP(_xlfn.XLOOKUP(Table1[[#This Row],[Account]],Accounts[Account nickname],Accounts[Institution ID]),Institutions[ID],Institutions[Institution nickname],"Unknown")</f>
        <v>Discover</v>
      </c>
      <c r="J575" s="136" t="s">
        <v>1916</v>
      </c>
      <c r="K575" s="137" t="s">
        <v>843</v>
      </c>
      <c r="L575" s="137" t="s">
        <v>841</v>
      </c>
      <c r="M57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7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75" s="138" t="str" cm="1">
        <f t="array" ref="O575">IFERROR(INDEX(CategoriesTable[Category type],MATCH(Table1[[#This Row],[Category]],CategoriesTable[Category name],0),0),"")</f>
        <v/>
      </c>
      <c r="P575" s="138">
        <v>26</v>
      </c>
      <c r="Q575" s="138">
        <f>MONTH(Table1[[#This Row],[Date]])</f>
        <v>8</v>
      </c>
      <c r="R575" s="138">
        <v>2021</v>
      </c>
      <c r="S575" s="139">
        <f>IF(ISBLANK(Table1[[#This Row],[Date]]),"",Table1[[#This Row],[Date]]-WEEKDAY(Table1[[#This Row],[Date]],2)+1)</f>
        <v>44431</v>
      </c>
      <c r="T575" s="140">
        <f>IF(ISBLANK(Table1[[#This Row],[Date]]),"",DATE(Table1[[#This Row],[Date_Year]],Table1[[#This Row],[Date_Month]],1))</f>
        <v>44409</v>
      </c>
    </row>
    <row r="576" spans="2:20" ht="15.75">
      <c r="B576" s="154">
        <v>44434</v>
      </c>
      <c r="C576" s="119" t="s">
        <v>724</v>
      </c>
      <c r="D576" s="119"/>
      <c r="E576" s="119"/>
      <c r="F576" s="155">
        <v>-7.41</v>
      </c>
      <c r="G576" s="133" t="str">
        <f>_xlfn.XLOOKUP(Table1[[#This Row],[Account_ID]], Accounts[ID], Accounts[Account nickname], "Unknown")</f>
        <v>Discover</v>
      </c>
      <c r="H576" s="134" t="str">
        <f>_xlfn.XLOOKUP(Table1[[#This Row],[Account_ID]], Accounts[ID], Accounts[Account'#], "Unknown")</f>
        <v>4618</v>
      </c>
      <c r="I576" s="135" t="str">
        <f>_xlfn.XLOOKUP(_xlfn.XLOOKUP(Table1[[#This Row],[Account]],Accounts[Account nickname],Accounts[Institution ID]),Institutions[ID],Institutions[Institution nickname],"Unknown")</f>
        <v>Discover</v>
      </c>
      <c r="J576" s="136" t="s">
        <v>1921</v>
      </c>
      <c r="K576" s="137" t="s">
        <v>843</v>
      </c>
      <c r="L576" s="137" t="s">
        <v>841</v>
      </c>
      <c r="M57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7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76" s="138" t="str" cm="1">
        <f t="array" ref="O576">IFERROR(INDEX(CategoriesTable[Category type],MATCH(Table1[[#This Row],[Category]],CategoriesTable[Category name],0),0),"")</f>
        <v/>
      </c>
      <c r="P576" s="138">
        <v>26</v>
      </c>
      <c r="Q576" s="138">
        <f>MONTH(Table1[[#This Row],[Date]])</f>
        <v>8</v>
      </c>
      <c r="R576" s="138">
        <v>2021</v>
      </c>
      <c r="S576" s="139">
        <f>IF(ISBLANK(Table1[[#This Row],[Date]]),"",Table1[[#This Row],[Date]]-WEEKDAY(Table1[[#This Row],[Date]],2)+1)</f>
        <v>44431</v>
      </c>
      <c r="T576" s="140">
        <f>IF(ISBLANK(Table1[[#This Row],[Date]]),"",DATE(Table1[[#This Row],[Date_Year]],Table1[[#This Row],[Date_Month]],1))</f>
        <v>44409</v>
      </c>
    </row>
    <row r="577" spans="2:20" ht="15.75">
      <c r="B577" s="154">
        <v>44434</v>
      </c>
      <c r="C577" s="119" t="s">
        <v>677</v>
      </c>
      <c r="D577" s="119"/>
      <c r="E577" s="119"/>
      <c r="F577" s="155">
        <v>2033.65</v>
      </c>
      <c r="G577" s="133" t="str">
        <f>_xlfn.XLOOKUP(Table1[[#This Row],[Account_ID]], Accounts[ID], Accounts[Account nickname], "Unknown")</f>
        <v>WF</v>
      </c>
      <c r="H577" s="134" t="str">
        <f>_xlfn.XLOOKUP(Table1[[#This Row],[Account_ID]], Accounts[ID], Accounts[Account'#], "Unknown")</f>
        <v>4636</v>
      </c>
      <c r="I577" s="135" t="str">
        <f>_xlfn.XLOOKUP(_xlfn.XLOOKUP(Table1[[#This Row],[Account]],Accounts[Account nickname],Accounts[Institution ID]),Institutions[ID],Institutions[Institution nickname],"Unknown")</f>
        <v>Wells Fargo</v>
      </c>
      <c r="J577" s="136" t="s">
        <v>1048</v>
      </c>
      <c r="K577" s="137" t="s">
        <v>808</v>
      </c>
      <c r="L577" s="137" t="s">
        <v>807</v>
      </c>
      <c r="M57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7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77" s="138" t="str" cm="1">
        <f t="array" ref="O577">IFERROR(INDEX(CategoriesTable[Category type],MATCH(Table1[[#This Row],[Category]],CategoriesTable[Category name],0),0),"")</f>
        <v/>
      </c>
      <c r="P577" s="138">
        <v>26</v>
      </c>
      <c r="Q577" s="138">
        <f>MONTH(Table1[[#This Row],[Date]])</f>
        <v>8</v>
      </c>
      <c r="R577" s="138">
        <v>2021</v>
      </c>
      <c r="S577" s="139">
        <f>IF(ISBLANK(Table1[[#This Row],[Date]]),"",Table1[[#This Row],[Date]]-WEEKDAY(Table1[[#This Row],[Date]],2)+1)</f>
        <v>44431</v>
      </c>
      <c r="T577" s="140">
        <f>IF(ISBLANK(Table1[[#This Row],[Date]]),"",DATE(Table1[[#This Row],[Date_Year]],Table1[[#This Row],[Date_Month]],1))</f>
        <v>44409</v>
      </c>
    </row>
    <row r="578" spans="2:20" ht="15.75">
      <c r="B578" s="154">
        <v>44434</v>
      </c>
      <c r="C578" s="119" t="s">
        <v>686</v>
      </c>
      <c r="D578" s="119"/>
      <c r="E578" s="119"/>
      <c r="F578" s="155">
        <v>-1040.93</v>
      </c>
      <c r="G578" s="133" t="str">
        <f>_xlfn.XLOOKUP(Table1[[#This Row],[Account_ID]], Accounts[ID], Accounts[Account nickname], "Unknown")</f>
        <v>WF</v>
      </c>
      <c r="H578" s="134" t="str">
        <f>_xlfn.XLOOKUP(Table1[[#This Row],[Account_ID]], Accounts[ID], Accounts[Account'#], "Unknown")</f>
        <v>4636</v>
      </c>
      <c r="I578" s="135" t="str">
        <f>_xlfn.XLOOKUP(_xlfn.XLOOKUP(Table1[[#This Row],[Account]],Accounts[Account nickname],Accounts[Institution ID]),Institutions[ID],Institutions[Institution nickname],"Unknown")</f>
        <v>Wells Fargo</v>
      </c>
      <c r="J578" s="136" t="s">
        <v>1047</v>
      </c>
      <c r="K578" s="137" t="s">
        <v>808</v>
      </c>
      <c r="L578" s="137" t="s">
        <v>807</v>
      </c>
      <c r="M57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7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78" s="138" t="str" cm="1">
        <f t="array" ref="O578">IFERROR(INDEX(CategoriesTable[Category type],MATCH(Table1[[#This Row],[Category]],CategoriesTable[Category name],0),0),"")</f>
        <v/>
      </c>
      <c r="P578" s="138">
        <v>26</v>
      </c>
      <c r="Q578" s="138">
        <f>MONTH(Table1[[#This Row],[Date]])</f>
        <v>8</v>
      </c>
      <c r="R578" s="138">
        <v>2021</v>
      </c>
      <c r="S578" s="139">
        <f>IF(ISBLANK(Table1[[#This Row],[Date]]),"",Table1[[#This Row],[Date]]-WEEKDAY(Table1[[#This Row],[Date]],2)+1)</f>
        <v>44431</v>
      </c>
      <c r="T578" s="140">
        <f>IF(ISBLANK(Table1[[#This Row],[Date]]),"",DATE(Table1[[#This Row],[Date_Year]],Table1[[#This Row],[Date_Month]],1))</f>
        <v>44409</v>
      </c>
    </row>
    <row r="579" spans="2:20" ht="15.75">
      <c r="B579" s="154">
        <v>44434</v>
      </c>
      <c r="C579" s="119" t="s">
        <v>845</v>
      </c>
      <c r="D579" s="119"/>
      <c r="E579" s="119"/>
      <c r="F579" s="155">
        <v>1040.93</v>
      </c>
      <c r="G579" s="133" t="str">
        <f>_xlfn.XLOOKUP(Table1[[#This Row],[Account_ID]], Accounts[ID], Accounts[Account nickname], "Unknown")</f>
        <v>Discover</v>
      </c>
      <c r="H579" s="134" t="str">
        <f>_xlfn.XLOOKUP(Table1[[#This Row],[Account_ID]], Accounts[ID], Accounts[Account'#], "Unknown")</f>
        <v>4618</v>
      </c>
      <c r="I579" s="135" t="str">
        <f>_xlfn.XLOOKUP(_xlfn.XLOOKUP(Table1[[#This Row],[Account]],Accounts[Account nickname],Accounts[Institution ID]),Institutions[ID],Institutions[Institution nickname],"Unknown")</f>
        <v>Discover</v>
      </c>
      <c r="J579" s="136" t="s">
        <v>1919</v>
      </c>
      <c r="K579" s="137" t="s">
        <v>843</v>
      </c>
      <c r="L579" s="137" t="s">
        <v>841</v>
      </c>
      <c r="M57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7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79" s="138" t="str" cm="1">
        <f t="array" ref="O579">IFERROR(INDEX(CategoriesTable[Category type],MATCH(Table1[[#This Row],[Category]],CategoriesTable[Category name],0),0),"")</f>
        <v/>
      </c>
      <c r="P579" s="138">
        <v>26</v>
      </c>
      <c r="Q579" s="138">
        <f>MONTH(Table1[[#This Row],[Date]])</f>
        <v>8</v>
      </c>
      <c r="R579" s="138">
        <v>2021</v>
      </c>
      <c r="S579" s="139">
        <f>IF(ISBLANK(Table1[[#This Row],[Date]]),"",Table1[[#This Row],[Date]]-WEEKDAY(Table1[[#This Row],[Date]],2)+1)</f>
        <v>44431</v>
      </c>
      <c r="T579" s="140">
        <f>IF(ISBLANK(Table1[[#This Row],[Date]]),"",DATE(Table1[[#This Row],[Date_Year]],Table1[[#This Row],[Date_Month]],1))</f>
        <v>44409</v>
      </c>
    </row>
    <row r="580" spans="2:20" ht="15.75">
      <c r="B580" s="154">
        <v>44433</v>
      </c>
      <c r="C580" s="119" t="s">
        <v>860</v>
      </c>
      <c r="D580" s="119"/>
      <c r="E580" s="119"/>
      <c r="F580" s="155">
        <v>-10.59</v>
      </c>
      <c r="G580" s="133" t="str">
        <f>_xlfn.XLOOKUP(Table1[[#This Row],[Account_ID]], Accounts[ID], Accounts[Account nickname], "Unknown")</f>
        <v>Discover</v>
      </c>
      <c r="H580" s="134" t="str">
        <f>_xlfn.XLOOKUP(Table1[[#This Row],[Account_ID]], Accounts[ID], Accounts[Account'#], "Unknown")</f>
        <v>4618</v>
      </c>
      <c r="I580" s="135" t="str">
        <f>_xlfn.XLOOKUP(_xlfn.XLOOKUP(Table1[[#This Row],[Account]],Accounts[Account nickname],Accounts[Institution ID]),Institutions[ID],Institutions[Institution nickname],"Unknown")</f>
        <v>Discover</v>
      </c>
      <c r="J580" s="136" t="s">
        <v>1922</v>
      </c>
      <c r="K580" s="137" t="s">
        <v>843</v>
      </c>
      <c r="L580" s="137" t="s">
        <v>841</v>
      </c>
      <c r="M58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8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80" s="138" t="str" cm="1">
        <f t="array" ref="O580">IFERROR(INDEX(CategoriesTable[Category type],MATCH(Table1[[#This Row],[Category]],CategoriesTable[Category name],0),0),"")</f>
        <v/>
      </c>
      <c r="P580" s="138">
        <v>25</v>
      </c>
      <c r="Q580" s="138">
        <f>MONTH(Table1[[#This Row],[Date]])</f>
        <v>8</v>
      </c>
      <c r="R580" s="138">
        <v>2021</v>
      </c>
      <c r="S580" s="139">
        <f>IF(ISBLANK(Table1[[#This Row],[Date]]),"",Table1[[#This Row],[Date]]-WEEKDAY(Table1[[#This Row],[Date]],2)+1)</f>
        <v>44431</v>
      </c>
      <c r="T580" s="140">
        <f>IF(ISBLANK(Table1[[#This Row],[Date]]),"",DATE(Table1[[#This Row],[Date_Year]],Table1[[#This Row],[Date_Month]],1))</f>
        <v>44409</v>
      </c>
    </row>
    <row r="581" spans="2:20" ht="15.75">
      <c r="B581" s="154">
        <v>44433</v>
      </c>
      <c r="C581" s="119" t="s">
        <v>694</v>
      </c>
      <c r="D581" s="119"/>
      <c r="E581" s="119"/>
      <c r="F581" s="155">
        <v>-8.1999999999999993</v>
      </c>
      <c r="G581" s="133" t="str">
        <f>_xlfn.XLOOKUP(Table1[[#This Row],[Account_ID]], Accounts[ID], Accounts[Account nickname], "Unknown")</f>
        <v>Discover</v>
      </c>
      <c r="H581" s="134" t="str">
        <f>_xlfn.XLOOKUP(Table1[[#This Row],[Account_ID]], Accounts[ID], Accounts[Account'#], "Unknown")</f>
        <v>4618</v>
      </c>
      <c r="I581" s="135" t="str">
        <f>_xlfn.XLOOKUP(_xlfn.XLOOKUP(Table1[[#This Row],[Account]],Accounts[Account nickname],Accounts[Institution ID]),Institutions[ID],Institutions[Institution nickname],"Unknown")</f>
        <v>Discover</v>
      </c>
      <c r="J581" s="136" t="s">
        <v>1924</v>
      </c>
      <c r="K581" s="137" t="s">
        <v>843</v>
      </c>
      <c r="L581" s="137" t="s">
        <v>841</v>
      </c>
      <c r="M58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8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81" s="138" t="str" cm="1">
        <f t="array" ref="O581">IFERROR(INDEX(CategoriesTable[Category type],MATCH(Table1[[#This Row],[Category]],CategoriesTable[Category name],0),0),"")</f>
        <v/>
      </c>
      <c r="P581" s="138">
        <v>25</v>
      </c>
      <c r="Q581" s="138">
        <f>MONTH(Table1[[#This Row],[Date]])</f>
        <v>8</v>
      </c>
      <c r="R581" s="138">
        <v>2021</v>
      </c>
      <c r="S581" s="139">
        <f>IF(ISBLANK(Table1[[#This Row],[Date]]),"",Table1[[#This Row],[Date]]-WEEKDAY(Table1[[#This Row],[Date]],2)+1)</f>
        <v>44431</v>
      </c>
      <c r="T581" s="140">
        <f>IF(ISBLANK(Table1[[#This Row],[Date]]),"",DATE(Table1[[#This Row],[Date_Year]],Table1[[#This Row],[Date_Month]],1))</f>
        <v>44409</v>
      </c>
    </row>
    <row r="582" spans="2:20" ht="15.75">
      <c r="B582" s="154">
        <v>44433</v>
      </c>
      <c r="C582" s="119" t="s">
        <v>711</v>
      </c>
      <c r="D582" s="119"/>
      <c r="E582" s="119"/>
      <c r="F582" s="155">
        <v>-8.44</v>
      </c>
      <c r="G582" s="133" t="str">
        <f>_xlfn.XLOOKUP(Table1[[#This Row],[Account_ID]], Accounts[ID], Accounts[Account nickname], "Unknown")</f>
        <v>Discover</v>
      </c>
      <c r="H582" s="134" t="str">
        <f>_xlfn.XLOOKUP(Table1[[#This Row],[Account_ID]], Accounts[ID], Accounts[Account'#], "Unknown")</f>
        <v>4618</v>
      </c>
      <c r="I582" s="135" t="str">
        <f>_xlfn.XLOOKUP(_xlfn.XLOOKUP(Table1[[#This Row],[Account]],Accounts[Account nickname],Accounts[Institution ID]),Institutions[ID],Institutions[Institution nickname],"Unknown")</f>
        <v>Discover</v>
      </c>
      <c r="J582" s="136" t="s">
        <v>1923</v>
      </c>
      <c r="K582" s="137" t="s">
        <v>843</v>
      </c>
      <c r="L582" s="137" t="s">
        <v>841</v>
      </c>
      <c r="M58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8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82" s="138" t="str" cm="1">
        <f t="array" ref="O582">IFERROR(INDEX(CategoriesTable[Category type],MATCH(Table1[[#This Row],[Category]],CategoriesTable[Category name],0),0),"")</f>
        <v/>
      </c>
      <c r="P582" s="138">
        <v>25</v>
      </c>
      <c r="Q582" s="138">
        <f>MONTH(Table1[[#This Row],[Date]])</f>
        <v>8</v>
      </c>
      <c r="R582" s="138">
        <v>2021</v>
      </c>
      <c r="S582" s="139">
        <f>IF(ISBLANK(Table1[[#This Row],[Date]]),"",Table1[[#This Row],[Date]]-WEEKDAY(Table1[[#This Row],[Date]],2)+1)</f>
        <v>44431</v>
      </c>
      <c r="T582" s="140">
        <f>IF(ISBLANK(Table1[[#This Row],[Date]]),"",DATE(Table1[[#This Row],[Date_Year]],Table1[[#This Row],[Date_Month]],1))</f>
        <v>44409</v>
      </c>
    </row>
    <row r="583" spans="2:20" ht="15.75">
      <c r="B583" s="154">
        <v>44432</v>
      </c>
      <c r="C583" s="119" t="s">
        <v>1927</v>
      </c>
      <c r="D583" s="119"/>
      <c r="E583" s="119"/>
      <c r="F583" s="155">
        <v>97</v>
      </c>
      <c r="G583" s="133" t="str">
        <f>_xlfn.XLOOKUP(Table1[[#This Row],[Account_ID]], Accounts[ID], Accounts[Account nickname], "Unknown")</f>
        <v>Discover</v>
      </c>
      <c r="H583" s="134" t="str">
        <f>_xlfn.XLOOKUP(Table1[[#This Row],[Account_ID]], Accounts[ID], Accounts[Account'#], "Unknown")</f>
        <v>4618</v>
      </c>
      <c r="I583" s="135" t="str">
        <f>_xlfn.XLOOKUP(_xlfn.XLOOKUP(Table1[[#This Row],[Account]],Accounts[Account nickname],Accounts[Institution ID]),Institutions[ID],Institutions[Institution nickname],"Unknown")</f>
        <v>Discover</v>
      </c>
      <c r="J583" s="136" t="s">
        <v>1928</v>
      </c>
      <c r="K583" s="137" t="s">
        <v>843</v>
      </c>
      <c r="L583" s="137" t="s">
        <v>841</v>
      </c>
      <c r="M58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8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83" s="138" t="str" cm="1">
        <f t="array" ref="O583">IFERROR(INDEX(CategoriesTable[Category type],MATCH(Table1[[#This Row],[Category]],CategoriesTable[Category name],0),0),"")</f>
        <v/>
      </c>
      <c r="P583" s="138">
        <v>24</v>
      </c>
      <c r="Q583" s="138">
        <f>MONTH(Table1[[#This Row],[Date]])</f>
        <v>8</v>
      </c>
      <c r="R583" s="138">
        <v>2021</v>
      </c>
      <c r="S583" s="139">
        <f>IF(ISBLANK(Table1[[#This Row],[Date]]),"",Table1[[#This Row],[Date]]-WEEKDAY(Table1[[#This Row],[Date]],2)+1)</f>
        <v>44431</v>
      </c>
      <c r="T583" s="140">
        <f>IF(ISBLANK(Table1[[#This Row],[Date]]),"",DATE(Table1[[#This Row],[Date_Year]],Table1[[#This Row],[Date_Month]],1))</f>
        <v>44409</v>
      </c>
    </row>
    <row r="584" spans="2:20" ht="15.75">
      <c r="B584" s="154">
        <v>44432</v>
      </c>
      <c r="C584" s="119" t="s">
        <v>694</v>
      </c>
      <c r="D584" s="119"/>
      <c r="E584" s="119"/>
      <c r="F584" s="155">
        <v>-8.51</v>
      </c>
      <c r="G584" s="133" t="str">
        <f>_xlfn.XLOOKUP(Table1[[#This Row],[Account_ID]], Accounts[ID], Accounts[Account nickname], "Unknown")</f>
        <v>Discover</v>
      </c>
      <c r="H584" s="134" t="str">
        <f>_xlfn.XLOOKUP(Table1[[#This Row],[Account_ID]], Accounts[ID], Accounts[Account'#], "Unknown")</f>
        <v>4618</v>
      </c>
      <c r="I584" s="135" t="str">
        <f>_xlfn.XLOOKUP(_xlfn.XLOOKUP(Table1[[#This Row],[Account]],Accounts[Account nickname],Accounts[Institution ID]),Institutions[ID],Institutions[Institution nickname],"Unknown")</f>
        <v>Discover</v>
      </c>
      <c r="J584" s="136" t="s">
        <v>1926</v>
      </c>
      <c r="K584" s="137" t="s">
        <v>843</v>
      </c>
      <c r="L584" s="137" t="s">
        <v>841</v>
      </c>
      <c r="M58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8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84" s="138" t="str" cm="1">
        <f t="array" ref="O584">IFERROR(INDEX(CategoriesTable[Category type],MATCH(Table1[[#This Row],[Category]],CategoriesTable[Category name],0),0),"")</f>
        <v/>
      </c>
      <c r="P584" s="138">
        <v>24</v>
      </c>
      <c r="Q584" s="138">
        <f>MONTH(Table1[[#This Row],[Date]])</f>
        <v>8</v>
      </c>
      <c r="R584" s="138">
        <v>2021</v>
      </c>
      <c r="S584" s="139">
        <f>IF(ISBLANK(Table1[[#This Row],[Date]]),"",Table1[[#This Row],[Date]]-WEEKDAY(Table1[[#This Row],[Date]],2)+1)</f>
        <v>44431</v>
      </c>
      <c r="T584" s="140">
        <f>IF(ISBLANK(Table1[[#This Row],[Date]]),"",DATE(Table1[[#This Row],[Date_Year]],Table1[[#This Row],[Date_Month]],1))</f>
        <v>44409</v>
      </c>
    </row>
    <row r="585" spans="2:20" ht="15.75">
      <c r="B585" s="154">
        <v>44432</v>
      </c>
      <c r="C585" s="119" t="s">
        <v>711</v>
      </c>
      <c r="D585" s="119"/>
      <c r="E585" s="119"/>
      <c r="F585" s="155">
        <v>-81.069999999999993</v>
      </c>
      <c r="G585" s="133" t="str">
        <f>_xlfn.XLOOKUP(Table1[[#This Row],[Account_ID]], Accounts[ID], Accounts[Account nickname], "Unknown")</f>
        <v>Discover</v>
      </c>
      <c r="H585" s="134" t="str">
        <f>_xlfn.XLOOKUP(Table1[[#This Row],[Account_ID]], Accounts[ID], Accounts[Account'#], "Unknown")</f>
        <v>4618</v>
      </c>
      <c r="I585" s="135" t="str">
        <f>_xlfn.XLOOKUP(_xlfn.XLOOKUP(Table1[[#This Row],[Account]],Accounts[Account nickname],Accounts[Institution ID]),Institutions[ID],Institutions[Institution nickname],"Unknown")</f>
        <v>Discover</v>
      </c>
      <c r="J585" s="136" t="s">
        <v>1925</v>
      </c>
      <c r="K585" s="137" t="s">
        <v>843</v>
      </c>
      <c r="L585" s="137" t="s">
        <v>841</v>
      </c>
      <c r="M58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8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85" s="138" t="str" cm="1">
        <f t="array" ref="O585">IFERROR(INDEX(CategoriesTable[Category type],MATCH(Table1[[#This Row],[Category]],CategoriesTable[Category name],0),0),"")</f>
        <v/>
      </c>
      <c r="P585" s="138">
        <v>24</v>
      </c>
      <c r="Q585" s="138">
        <f>MONTH(Table1[[#This Row],[Date]])</f>
        <v>8</v>
      </c>
      <c r="R585" s="138">
        <v>2021</v>
      </c>
      <c r="S585" s="139">
        <f>IF(ISBLANK(Table1[[#This Row],[Date]]),"",Table1[[#This Row],[Date]]-WEEKDAY(Table1[[#This Row],[Date]],2)+1)</f>
        <v>44431</v>
      </c>
      <c r="T585" s="140">
        <f>IF(ISBLANK(Table1[[#This Row],[Date]]),"",DATE(Table1[[#This Row],[Date_Year]],Table1[[#This Row],[Date_Month]],1))</f>
        <v>44409</v>
      </c>
    </row>
    <row r="586" spans="2:20" ht="15.75">
      <c r="B586" s="154">
        <v>44431</v>
      </c>
      <c r="C586" s="119" t="s">
        <v>694</v>
      </c>
      <c r="D586" s="119"/>
      <c r="E586" s="119"/>
      <c r="F586" s="155">
        <v>-16.28</v>
      </c>
      <c r="G586" s="133" t="str">
        <f>_xlfn.XLOOKUP(Table1[[#This Row],[Account_ID]], Accounts[ID], Accounts[Account nickname], "Unknown")</f>
        <v>Discover</v>
      </c>
      <c r="H586" s="134" t="str">
        <f>_xlfn.XLOOKUP(Table1[[#This Row],[Account_ID]], Accounts[ID], Accounts[Account'#], "Unknown")</f>
        <v>4618</v>
      </c>
      <c r="I586" s="135" t="str">
        <f>_xlfn.XLOOKUP(_xlfn.XLOOKUP(Table1[[#This Row],[Account]],Accounts[Account nickname],Accounts[Institution ID]),Institutions[ID],Institutions[Institution nickname],"Unknown")</f>
        <v>Discover</v>
      </c>
      <c r="J586" s="136" t="s">
        <v>1929</v>
      </c>
      <c r="K586" s="137" t="s">
        <v>843</v>
      </c>
      <c r="L586" s="137" t="s">
        <v>841</v>
      </c>
      <c r="M58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8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86" s="138" t="str" cm="1">
        <f t="array" ref="O586">IFERROR(INDEX(CategoriesTable[Category type],MATCH(Table1[[#This Row],[Category]],CategoriesTable[Category name],0),0),"")</f>
        <v/>
      </c>
      <c r="P586" s="138">
        <v>23</v>
      </c>
      <c r="Q586" s="138">
        <f>MONTH(Table1[[#This Row],[Date]])</f>
        <v>8</v>
      </c>
      <c r="R586" s="138">
        <v>2021</v>
      </c>
      <c r="S586" s="139">
        <f>IF(ISBLANK(Table1[[#This Row],[Date]]),"",Table1[[#This Row],[Date]]-WEEKDAY(Table1[[#This Row],[Date]],2)+1)</f>
        <v>44431</v>
      </c>
      <c r="T586" s="140">
        <f>IF(ISBLANK(Table1[[#This Row],[Date]]),"",DATE(Table1[[#This Row],[Date_Year]],Table1[[#This Row],[Date_Month]],1))</f>
        <v>44409</v>
      </c>
    </row>
    <row r="587" spans="2:20" ht="15.75">
      <c r="B587" s="154">
        <v>44431</v>
      </c>
      <c r="C587" s="119" t="s">
        <v>686</v>
      </c>
      <c r="D587" s="119"/>
      <c r="E587" s="119"/>
      <c r="F587" s="155">
        <v>-961.14</v>
      </c>
      <c r="G587" s="133" t="str">
        <f>_xlfn.XLOOKUP(Table1[[#This Row],[Account_ID]], Accounts[ID], Accounts[Account nickname], "Unknown")</f>
        <v>WF</v>
      </c>
      <c r="H587" s="134" t="str">
        <f>_xlfn.XLOOKUP(Table1[[#This Row],[Account_ID]], Accounts[ID], Accounts[Account'#], "Unknown")</f>
        <v>4636</v>
      </c>
      <c r="I587" s="135" t="str">
        <f>_xlfn.XLOOKUP(_xlfn.XLOOKUP(Table1[[#This Row],[Account]],Accounts[Account nickname],Accounts[Institution ID]),Institutions[ID],Institutions[Institution nickname],"Unknown")</f>
        <v>Wells Fargo</v>
      </c>
      <c r="J587" s="136" t="s">
        <v>1049</v>
      </c>
      <c r="K587" s="137" t="s">
        <v>808</v>
      </c>
      <c r="L587" s="137" t="s">
        <v>807</v>
      </c>
      <c r="M58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8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87" s="138" t="str" cm="1">
        <f t="array" ref="O587">IFERROR(INDEX(CategoriesTable[Category type],MATCH(Table1[[#This Row],[Category]],CategoriesTable[Category name],0),0),"")</f>
        <v/>
      </c>
      <c r="P587" s="138">
        <v>23</v>
      </c>
      <c r="Q587" s="138">
        <f>MONTH(Table1[[#This Row],[Date]])</f>
        <v>8</v>
      </c>
      <c r="R587" s="138">
        <v>2021</v>
      </c>
      <c r="S587" s="139">
        <f>IF(ISBLANK(Table1[[#This Row],[Date]]),"",Table1[[#This Row],[Date]]-WEEKDAY(Table1[[#This Row],[Date]],2)+1)</f>
        <v>44431</v>
      </c>
      <c r="T587" s="140">
        <f>IF(ISBLANK(Table1[[#This Row],[Date]]),"",DATE(Table1[[#This Row],[Date_Year]],Table1[[#This Row],[Date_Month]],1))</f>
        <v>44409</v>
      </c>
    </row>
    <row r="588" spans="2:20" ht="15.75">
      <c r="B588" s="154">
        <v>44430</v>
      </c>
      <c r="C588" s="119" t="s">
        <v>845</v>
      </c>
      <c r="D588" s="119"/>
      <c r="E588" s="119"/>
      <c r="F588" s="155">
        <v>961.14</v>
      </c>
      <c r="G588" s="133" t="str">
        <f>_xlfn.XLOOKUP(Table1[[#This Row],[Account_ID]], Accounts[ID], Accounts[Account nickname], "Unknown")</f>
        <v>Discover</v>
      </c>
      <c r="H588" s="134" t="str">
        <f>_xlfn.XLOOKUP(Table1[[#This Row],[Account_ID]], Accounts[ID], Accounts[Account'#], "Unknown")</f>
        <v>4618</v>
      </c>
      <c r="I588" s="135" t="str">
        <f>_xlfn.XLOOKUP(_xlfn.XLOOKUP(Table1[[#This Row],[Account]],Accounts[Account nickname],Accounts[Institution ID]),Institutions[ID],Institutions[Institution nickname],"Unknown")</f>
        <v>Discover</v>
      </c>
      <c r="J588" s="136" t="s">
        <v>1932</v>
      </c>
      <c r="K588" s="137" t="s">
        <v>843</v>
      </c>
      <c r="L588" s="137" t="s">
        <v>841</v>
      </c>
      <c r="M58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8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88" s="138" t="str" cm="1">
        <f t="array" ref="O588">IFERROR(INDEX(CategoriesTable[Category type],MATCH(Table1[[#This Row],[Category]],CategoriesTable[Category name],0),0),"")</f>
        <v/>
      </c>
      <c r="P588" s="138">
        <v>22</v>
      </c>
      <c r="Q588" s="138">
        <f>MONTH(Table1[[#This Row],[Date]])</f>
        <v>8</v>
      </c>
      <c r="R588" s="138">
        <v>2021</v>
      </c>
      <c r="S588" s="139">
        <f>IF(ISBLANK(Table1[[#This Row],[Date]]),"",Table1[[#This Row],[Date]]-WEEKDAY(Table1[[#This Row],[Date]],2)+1)</f>
        <v>44424</v>
      </c>
      <c r="T588" s="140">
        <f>IF(ISBLANK(Table1[[#This Row],[Date]]),"",DATE(Table1[[#This Row],[Date_Year]],Table1[[#This Row],[Date_Month]],1))</f>
        <v>44409</v>
      </c>
    </row>
    <row r="589" spans="2:20" ht="15.75">
      <c r="B589" s="154">
        <v>44430</v>
      </c>
      <c r="C589" s="119" t="s">
        <v>693</v>
      </c>
      <c r="D589" s="119"/>
      <c r="E589" s="119"/>
      <c r="F589" s="155">
        <v>-230</v>
      </c>
      <c r="G589" s="133" t="str">
        <f>_xlfn.XLOOKUP(Table1[[#This Row],[Account_ID]], Accounts[ID], Accounts[Account nickname], "Unknown")</f>
        <v>WF</v>
      </c>
      <c r="H589" s="134" t="str">
        <f>_xlfn.XLOOKUP(Table1[[#This Row],[Account_ID]], Accounts[ID], Accounts[Account'#], "Unknown")</f>
        <v>4636</v>
      </c>
      <c r="I589" s="135" t="str">
        <f>_xlfn.XLOOKUP(_xlfn.XLOOKUP(Table1[[#This Row],[Account]],Accounts[Account nickname],Accounts[Institution ID]),Institutions[ID],Institutions[Institution nickname],"Unknown")</f>
        <v>Wells Fargo</v>
      </c>
      <c r="J589" s="136" t="s">
        <v>1050</v>
      </c>
      <c r="K589" s="137" t="s">
        <v>808</v>
      </c>
      <c r="L589" s="137" t="s">
        <v>807</v>
      </c>
      <c r="M58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8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89" s="138" t="str" cm="1">
        <f t="array" ref="O589">IFERROR(INDEX(CategoriesTable[Category type],MATCH(Table1[[#This Row],[Category]],CategoriesTable[Category name],0),0),"")</f>
        <v/>
      </c>
      <c r="P589" s="138">
        <v>22</v>
      </c>
      <c r="Q589" s="138">
        <f>MONTH(Table1[[#This Row],[Date]])</f>
        <v>8</v>
      </c>
      <c r="R589" s="138">
        <v>2021</v>
      </c>
      <c r="S589" s="139">
        <f>IF(ISBLANK(Table1[[#This Row],[Date]]),"",Table1[[#This Row],[Date]]-WEEKDAY(Table1[[#This Row],[Date]],2)+1)</f>
        <v>44424</v>
      </c>
      <c r="T589" s="140">
        <f>IF(ISBLANK(Table1[[#This Row],[Date]]),"",DATE(Table1[[#This Row],[Date_Year]],Table1[[#This Row],[Date_Month]],1))</f>
        <v>44409</v>
      </c>
    </row>
    <row r="590" spans="2:20" ht="15.75">
      <c r="B590" s="154">
        <v>44430</v>
      </c>
      <c r="C590" s="119" t="s">
        <v>1549</v>
      </c>
      <c r="D590" s="119"/>
      <c r="E590" s="119"/>
      <c r="F590" s="155">
        <v>-30.74</v>
      </c>
      <c r="G590" s="133" t="str">
        <f>_xlfn.XLOOKUP(Table1[[#This Row],[Account_ID]], Accounts[ID], Accounts[Account nickname], "Unknown")</f>
        <v>Discover</v>
      </c>
      <c r="H590" s="134" t="str">
        <f>_xlfn.XLOOKUP(Table1[[#This Row],[Account_ID]], Accounts[ID], Accounts[Account'#], "Unknown")</f>
        <v>4618</v>
      </c>
      <c r="I590" s="135" t="str">
        <f>_xlfn.XLOOKUP(_xlfn.XLOOKUP(Table1[[#This Row],[Account]],Accounts[Account nickname],Accounts[Institution ID]),Institutions[ID],Institutions[Institution nickname],"Unknown")</f>
        <v>Discover</v>
      </c>
      <c r="J590" s="136" t="s">
        <v>1930</v>
      </c>
      <c r="K590" s="137" t="s">
        <v>843</v>
      </c>
      <c r="L590" s="137" t="s">
        <v>841</v>
      </c>
      <c r="M59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9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90" s="138" t="str" cm="1">
        <f t="array" ref="O590">IFERROR(INDEX(CategoriesTable[Category type],MATCH(Table1[[#This Row],[Category]],CategoriesTable[Category name],0),0),"")</f>
        <v/>
      </c>
      <c r="P590" s="138">
        <v>22</v>
      </c>
      <c r="Q590" s="138">
        <f>MONTH(Table1[[#This Row],[Date]])</f>
        <v>8</v>
      </c>
      <c r="R590" s="138">
        <v>2021</v>
      </c>
      <c r="S590" s="139">
        <f>IF(ISBLANK(Table1[[#This Row],[Date]]),"",Table1[[#This Row],[Date]]-WEEKDAY(Table1[[#This Row],[Date]],2)+1)</f>
        <v>44424</v>
      </c>
      <c r="T590" s="140">
        <f>IF(ISBLANK(Table1[[#This Row],[Date]]),"",DATE(Table1[[#This Row],[Date_Year]],Table1[[#This Row],[Date_Month]],1))</f>
        <v>44409</v>
      </c>
    </row>
    <row r="591" spans="2:20" ht="15.75">
      <c r="B591" s="154">
        <v>44430</v>
      </c>
      <c r="C591" s="119" t="s">
        <v>1933</v>
      </c>
      <c r="D591" s="119"/>
      <c r="E591" s="119"/>
      <c r="F591" s="155">
        <v>-38.97</v>
      </c>
      <c r="G591" s="133" t="str">
        <f>_xlfn.XLOOKUP(Table1[[#This Row],[Account_ID]], Accounts[ID], Accounts[Account nickname], "Unknown")</f>
        <v>Discover</v>
      </c>
      <c r="H591" s="134" t="str">
        <f>_xlfn.XLOOKUP(Table1[[#This Row],[Account_ID]], Accounts[ID], Accounts[Account'#], "Unknown")</f>
        <v>4618</v>
      </c>
      <c r="I591" s="135" t="str">
        <f>_xlfn.XLOOKUP(_xlfn.XLOOKUP(Table1[[#This Row],[Account]],Accounts[Account nickname],Accounts[Institution ID]),Institutions[ID],Institutions[Institution nickname],"Unknown")</f>
        <v>Discover</v>
      </c>
      <c r="J591" s="136" t="s">
        <v>1934</v>
      </c>
      <c r="K591" s="137" t="s">
        <v>843</v>
      </c>
      <c r="L591" s="137" t="s">
        <v>841</v>
      </c>
      <c r="M59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9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91" s="138" t="str" cm="1">
        <f t="array" ref="O591">IFERROR(INDEX(CategoriesTable[Category type],MATCH(Table1[[#This Row],[Category]],CategoriesTable[Category name],0),0),"")</f>
        <v/>
      </c>
      <c r="P591" s="138">
        <v>22</v>
      </c>
      <c r="Q591" s="138">
        <f>MONTH(Table1[[#This Row],[Date]])</f>
        <v>8</v>
      </c>
      <c r="R591" s="138">
        <v>2021</v>
      </c>
      <c r="S591" s="139">
        <f>IF(ISBLANK(Table1[[#This Row],[Date]]),"",Table1[[#This Row],[Date]]-WEEKDAY(Table1[[#This Row],[Date]],2)+1)</f>
        <v>44424</v>
      </c>
      <c r="T591" s="140">
        <f>IF(ISBLANK(Table1[[#This Row],[Date]]),"",DATE(Table1[[#This Row],[Date_Year]],Table1[[#This Row],[Date_Month]],1))</f>
        <v>44409</v>
      </c>
    </row>
    <row r="592" spans="2:20" ht="15.75">
      <c r="B592" s="154">
        <v>44430</v>
      </c>
      <c r="C592" s="119" t="s">
        <v>961</v>
      </c>
      <c r="D592" s="119"/>
      <c r="E592" s="119"/>
      <c r="F592" s="155">
        <v>38.86</v>
      </c>
      <c r="G592" s="133" t="str">
        <f>_xlfn.XLOOKUP(Table1[[#This Row],[Account_ID]], Accounts[ID], Accounts[Account nickname], "Unknown")</f>
        <v>Discover</v>
      </c>
      <c r="H592" s="134" t="str">
        <f>_xlfn.XLOOKUP(Table1[[#This Row],[Account_ID]], Accounts[ID], Accounts[Account'#], "Unknown")</f>
        <v>4618</v>
      </c>
      <c r="I592" s="135" t="str">
        <f>_xlfn.XLOOKUP(_xlfn.XLOOKUP(Table1[[#This Row],[Account]],Accounts[Account nickname],Accounts[Institution ID]),Institutions[ID],Institutions[Institution nickname],"Unknown")</f>
        <v>Discover</v>
      </c>
      <c r="J592" s="136" t="s">
        <v>1931</v>
      </c>
      <c r="K592" s="137" t="s">
        <v>843</v>
      </c>
      <c r="L592" s="137" t="s">
        <v>841</v>
      </c>
      <c r="M59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9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92" s="138" t="str" cm="1">
        <f t="array" ref="O592">IFERROR(INDEX(CategoriesTable[Category type],MATCH(Table1[[#This Row],[Category]],CategoriesTable[Category name],0),0),"")</f>
        <v/>
      </c>
      <c r="P592" s="138">
        <v>22</v>
      </c>
      <c r="Q592" s="138">
        <f>MONTH(Table1[[#This Row],[Date]])</f>
        <v>8</v>
      </c>
      <c r="R592" s="138">
        <v>2021</v>
      </c>
      <c r="S592" s="139">
        <f>IF(ISBLANK(Table1[[#This Row],[Date]]),"",Table1[[#This Row],[Date]]-WEEKDAY(Table1[[#This Row],[Date]],2)+1)</f>
        <v>44424</v>
      </c>
      <c r="T592" s="140">
        <f>IF(ISBLANK(Table1[[#This Row],[Date]]),"",DATE(Table1[[#This Row],[Date_Year]],Table1[[#This Row],[Date_Month]],1))</f>
        <v>44409</v>
      </c>
    </row>
    <row r="593" spans="2:20" ht="15.75">
      <c r="B593" s="154">
        <v>44430</v>
      </c>
      <c r="C593" s="119" t="s">
        <v>1674</v>
      </c>
      <c r="D593" s="119"/>
      <c r="E593" s="119"/>
      <c r="F593" s="155">
        <v>-1.05</v>
      </c>
      <c r="G593" s="133" t="str">
        <f>_xlfn.XLOOKUP(Table1[[#This Row],[Account_ID]], Accounts[ID], Accounts[Account nickname], "Unknown")</f>
        <v>Discover</v>
      </c>
      <c r="H593" s="134" t="str">
        <f>_xlfn.XLOOKUP(Table1[[#This Row],[Account_ID]], Accounts[ID], Accounts[Account'#], "Unknown")</f>
        <v>4618</v>
      </c>
      <c r="I593" s="135" t="str">
        <f>_xlfn.XLOOKUP(_xlfn.XLOOKUP(Table1[[#This Row],[Account]],Accounts[Account nickname],Accounts[Institution ID]),Institutions[ID],Institutions[Institution nickname],"Unknown")</f>
        <v>Discover</v>
      </c>
      <c r="J593" s="136" t="s">
        <v>1935</v>
      </c>
      <c r="K593" s="137" t="s">
        <v>843</v>
      </c>
      <c r="L593" s="137" t="s">
        <v>841</v>
      </c>
      <c r="M59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9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93" s="138" t="str" cm="1">
        <f t="array" ref="O593">IFERROR(INDEX(CategoriesTable[Category type],MATCH(Table1[[#This Row],[Category]],CategoriesTable[Category name],0),0),"")</f>
        <v/>
      </c>
      <c r="P593" s="138">
        <v>22</v>
      </c>
      <c r="Q593" s="138">
        <f>MONTH(Table1[[#This Row],[Date]])</f>
        <v>8</v>
      </c>
      <c r="R593" s="138">
        <v>2021</v>
      </c>
      <c r="S593" s="139">
        <f>IF(ISBLANK(Table1[[#This Row],[Date]]),"",Table1[[#This Row],[Date]]-WEEKDAY(Table1[[#This Row],[Date]],2)+1)</f>
        <v>44424</v>
      </c>
      <c r="T593" s="140">
        <f>IF(ISBLANK(Table1[[#This Row],[Date]]),"",DATE(Table1[[#This Row],[Date_Year]],Table1[[#This Row],[Date_Month]],1))</f>
        <v>44409</v>
      </c>
    </row>
    <row r="594" spans="2:20" ht="15.75">
      <c r="B594" s="154">
        <v>44430</v>
      </c>
      <c r="C594" s="119" t="s">
        <v>685</v>
      </c>
      <c r="D594" s="119" t="s">
        <v>103</v>
      </c>
      <c r="E594" s="119"/>
      <c r="F594" s="155">
        <v>-190.78</v>
      </c>
      <c r="G594" s="133" t="str">
        <f>_xlfn.XLOOKUP(Table1[[#This Row],[Account_ID]], Accounts[ID], Accounts[Account nickname], "Unknown")</f>
        <v>BB</v>
      </c>
      <c r="H594" s="134" t="str">
        <f>_xlfn.XLOOKUP(Table1[[#This Row],[Account_ID]], Accounts[ID], Accounts[Account'#], "Unknown")</f>
        <v>4561</v>
      </c>
      <c r="I594" s="135" t="str">
        <f>_xlfn.XLOOKUP(_xlfn.XLOOKUP(Table1[[#This Row],[Account]],Accounts[Account nickname],Accounts[Institution ID]),Institutions[ID],Institutions[Institution nickname],"Unknown")</f>
        <v>Best Buy - Citi Card</v>
      </c>
      <c r="J594" s="136" t="s">
        <v>1936</v>
      </c>
      <c r="K594" s="137" t="s">
        <v>1375</v>
      </c>
      <c r="L594" s="137" t="s">
        <v>1372</v>
      </c>
      <c r="M59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fca5dd8329b743f7b77704e23a1e63ad</v>
      </c>
      <c r="N59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94" s="138" t="str" cm="1">
        <f t="array" ref="O594">IFERROR(INDEX(CategoriesTable[Category type],MATCH(Table1[[#This Row],[Category]],CategoriesTable[Category name],0),0),"")</f>
        <v>Expense</v>
      </c>
      <c r="P594" s="138">
        <v>22</v>
      </c>
      <c r="Q594" s="138">
        <f>MONTH(Table1[[#This Row],[Date]])</f>
        <v>8</v>
      </c>
      <c r="R594" s="138">
        <v>2021</v>
      </c>
      <c r="S594" s="139">
        <f>IF(ISBLANK(Table1[[#This Row],[Date]]),"",Table1[[#This Row],[Date]]-WEEKDAY(Table1[[#This Row],[Date]],2)+1)</f>
        <v>44424</v>
      </c>
      <c r="T594" s="140">
        <f>IF(ISBLANK(Table1[[#This Row],[Date]]),"",DATE(Table1[[#This Row],[Date_Year]],Table1[[#This Row],[Date_Month]],1))</f>
        <v>44409</v>
      </c>
    </row>
    <row r="595" spans="2:20" ht="15.75">
      <c r="B595" s="154">
        <v>44429</v>
      </c>
      <c r="C595" s="119" t="s">
        <v>1939</v>
      </c>
      <c r="D595" s="119"/>
      <c r="E595" s="119"/>
      <c r="F595" s="155">
        <v>-40</v>
      </c>
      <c r="G595" s="133" t="str">
        <f>_xlfn.XLOOKUP(Table1[[#This Row],[Account_ID]], Accounts[ID], Accounts[Account nickname], "Unknown")</f>
        <v>Discover</v>
      </c>
      <c r="H595" s="134" t="str">
        <f>_xlfn.XLOOKUP(Table1[[#This Row],[Account_ID]], Accounts[ID], Accounts[Account'#], "Unknown")</f>
        <v>4618</v>
      </c>
      <c r="I595" s="135" t="str">
        <f>_xlfn.XLOOKUP(_xlfn.XLOOKUP(Table1[[#This Row],[Account]],Accounts[Account nickname],Accounts[Institution ID]),Institutions[ID],Institutions[Institution nickname],"Unknown")</f>
        <v>Discover</v>
      </c>
      <c r="J595" s="136" t="s">
        <v>1940</v>
      </c>
      <c r="K595" s="137" t="s">
        <v>843</v>
      </c>
      <c r="L595" s="137" t="s">
        <v>841</v>
      </c>
      <c r="M59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9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95" s="138" t="str" cm="1">
        <f t="array" ref="O595">IFERROR(INDEX(CategoriesTable[Category type],MATCH(Table1[[#This Row],[Category]],CategoriesTable[Category name],0),0),"")</f>
        <v/>
      </c>
      <c r="P595" s="138">
        <v>21</v>
      </c>
      <c r="Q595" s="138">
        <f>MONTH(Table1[[#This Row],[Date]])</f>
        <v>8</v>
      </c>
      <c r="R595" s="138">
        <v>2021</v>
      </c>
      <c r="S595" s="139">
        <f>IF(ISBLANK(Table1[[#This Row],[Date]]),"",Table1[[#This Row],[Date]]-WEEKDAY(Table1[[#This Row],[Date]],2)+1)</f>
        <v>44424</v>
      </c>
      <c r="T595" s="140">
        <f>IF(ISBLANK(Table1[[#This Row],[Date]]),"",DATE(Table1[[#This Row],[Date_Year]],Table1[[#This Row],[Date_Month]],1))</f>
        <v>44409</v>
      </c>
    </row>
    <row r="596" spans="2:20" ht="15.75">
      <c r="B596" s="154">
        <v>44429</v>
      </c>
      <c r="C596" s="119" t="s">
        <v>1436</v>
      </c>
      <c r="D596" s="119"/>
      <c r="E596" s="119"/>
      <c r="F596" s="155">
        <v>-7.99</v>
      </c>
      <c r="G596" s="133" t="str">
        <f>_xlfn.XLOOKUP(Table1[[#This Row],[Account_ID]], Accounts[ID], Accounts[Account nickname], "Unknown")</f>
        <v>Discover</v>
      </c>
      <c r="H596" s="134" t="str">
        <f>_xlfn.XLOOKUP(Table1[[#This Row],[Account_ID]], Accounts[ID], Accounts[Account'#], "Unknown")</f>
        <v>4618</v>
      </c>
      <c r="I596" s="135" t="str">
        <f>_xlfn.XLOOKUP(_xlfn.XLOOKUP(Table1[[#This Row],[Account]],Accounts[Account nickname],Accounts[Institution ID]),Institutions[ID],Institutions[Institution nickname],"Unknown")</f>
        <v>Discover</v>
      </c>
      <c r="J596" s="136" t="s">
        <v>1942</v>
      </c>
      <c r="K596" s="137" t="s">
        <v>843</v>
      </c>
      <c r="L596" s="137" t="s">
        <v>841</v>
      </c>
      <c r="M59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9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96" s="138" t="str" cm="1">
        <f t="array" ref="O596">IFERROR(INDEX(CategoriesTable[Category type],MATCH(Table1[[#This Row],[Category]],CategoriesTable[Category name],0),0),"")</f>
        <v/>
      </c>
      <c r="P596" s="138">
        <v>21</v>
      </c>
      <c r="Q596" s="138">
        <f>MONTH(Table1[[#This Row],[Date]])</f>
        <v>8</v>
      </c>
      <c r="R596" s="138">
        <v>2021</v>
      </c>
      <c r="S596" s="139">
        <f>IF(ISBLANK(Table1[[#This Row],[Date]]),"",Table1[[#This Row],[Date]]-WEEKDAY(Table1[[#This Row],[Date]],2)+1)</f>
        <v>44424</v>
      </c>
      <c r="T596" s="140">
        <f>IF(ISBLANK(Table1[[#This Row],[Date]]),"",DATE(Table1[[#This Row],[Date_Year]],Table1[[#This Row],[Date_Month]],1))</f>
        <v>44409</v>
      </c>
    </row>
    <row r="597" spans="2:20" ht="15.75">
      <c r="B597" s="154">
        <v>44429</v>
      </c>
      <c r="C597" s="119" t="s">
        <v>745</v>
      </c>
      <c r="D597" s="119"/>
      <c r="E597" s="119"/>
      <c r="F597" s="155">
        <v>-28.34</v>
      </c>
      <c r="G597" s="133" t="str">
        <f>_xlfn.XLOOKUP(Table1[[#This Row],[Account_ID]], Accounts[ID], Accounts[Account nickname], "Unknown")</f>
        <v>Discover</v>
      </c>
      <c r="H597" s="134" t="str">
        <f>_xlfn.XLOOKUP(Table1[[#This Row],[Account_ID]], Accounts[ID], Accounts[Account'#], "Unknown")</f>
        <v>4618</v>
      </c>
      <c r="I597" s="135" t="str">
        <f>_xlfn.XLOOKUP(_xlfn.XLOOKUP(Table1[[#This Row],[Account]],Accounts[Account nickname],Accounts[Institution ID]),Institutions[ID],Institutions[Institution nickname],"Unknown")</f>
        <v>Discover</v>
      </c>
      <c r="J597" s="136" t="s">
        <v>1941</v>
      </c>
      <c r="K597" s="137" t="s">
        <v>843</v>
      </c>
      <c r="L597" s="137" t="s">
        <v>841</v>
      </c>
      <c r="M59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9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97" s="138" t="str" cm="1">
        <f t="array" ref="O597">IFERROR(INDEX(CategoriesTable[Category type],MATCH(Table1[[#This Row],[Category]],CategoriesTable[Category name],0),0),"")</f>
        <v/>
      </c>
      <c r="P597" s="138">
        <v>21</v>
      </c>
      <c r="Q597" s="138">
        <f>MONTH(Table1[[#This Row],[Date]])</f>
        <v>8</v>
      </c>
      <c r="R597" s="138">
        <v>2021</v>
      </c>
      <c r="S597" s="139">
        <f>IF(ISBLANK(Table1[[#This Row],[Date]]),"",Table1[[#This Row],[Date]]-WEEKDAY(Table1[[#This Row],[Date]],2)+1)</f>
        <v>44424</v>
      </c>
      <c r="T597" s="140">
        <f>IF(ISBLANK(Table1[[#This Row],[Date]]),"",DATE(Table1[[#This Row],[Date_Year]],Table1[[#This Row],[Date_Month]],1))</f>
        <v>44409</v>
      </c>
    </row>
    <row r="598" spans="2:20" ht="15.75">
      <c r="B598" s="154">
        <v>44429</v>
      </c>
      <c r="C598" s="119" t="s">
        <v>1778</v>
      </c>
      <c r="D598" s="119"/>
      <c r="E598" s="119"/>
      <c r="F598" s="155">
        <v>-19.260000000000002</v>
      </c>
      <c r="G598" s="133" t="str">
        <f>_xlfn.XLOOKUP(Table1[[#This Row],[Account_ID]], Accounts[ID], Accounts[Account nickname], "Unknown")</f>
        <v>Discover</v>
      </c>
      <c r="H598" s="134" t="str">
        <f>_xlfn.XLOOKUP(Table1[[#This Row],[Account_ID]], Accounts[ID], Accounts[Account'#], "Unknown")</f>
        <v>4618</v>
      </c>
      <c r="I598" s="135" t="str">
        <f>_xlfn.XLOOKUP(_xlfn.XLOOKUP(Table1[[#This Row],[Account]],Accounts[Account nickname],Accounts[Institution ID]),Institutions[ID],Institutions[Institution nickname],"Unknown")</f>
        <v>Discover</v>
      </c>
      <c r="J598" s="136" t="s">
        <v>1943</v>
      </c>
      <c r="K598" s="137" t="s">
        <v>843</v>
      </c>
      <c r="L598" s="137" t="s">
        <v>841</v>
      </c>
      <c r="M59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9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98" s="138" t="str" cm="1">
        <f t="array" ref="O598">IFERROR(INDEX(CategoriesTable[Category type],MATCH(Table1[[#This Row],[Category]],CategoriesTable[Category name],0),0),"")</f>
        <v/>
      </c>
      <c r="P598" s="138">
        <v>21</v>
      </c>
      <c r="Q598" s="138">
        <f>MONTH(Table1[[#This Row],[Date]])</f>
        <v>8</v>
      </c>
      <c r="R598" s="138">
        <v>2021</v>
      </c>
      <c r="S598" s="139">
        <f>IF(ISBLANK(Table1[[#This Row],[Date]]),"",Table1[[#This Row],[Date]]-WEEKDAY(Table1[[#This Row],[Date]],2)+1)</f>
        <v>44424</v>
      </c>
      <c r="T598" s="140">
        <f>IF(ISBLANK(Table1[[#This Row],[Date]]),"",DATE(Table1[[#This Row],[Date_Year]],Table1[[#This Row],[Date_Month]],1))</f>
        <v>44409</v>
      </c>
    </row>
    <row r="599" spans="2:20" ht="15.75">
      <c r="B599" s="154">
        <v>44429</v>
      </c>
      <c r="C599" s="119" t="s">
        <v>1937</v>
      </c>
      <c r="D599" s="119"/>
      <c r="E599" s="119"/>
      <c r="F599" s="155">
        <v>-5.4</v>
      </c>
      <c r="G599" s="133" t="str">
        <f>_xlfn.XLOOKUP(Table1[[#This Row],[Account_ID]], Accounts[ID], Accounts[Account nickname], "Unknown")</f>
        <v>Discover</v>
      </c>
      <c r="H599" s="134" t="str">
        <f>_xlfn.XLOOKUP(Table1[[#This Row],[Account_ID]], Accounts[ID], Accounts[Account'#], "Unknown")</f>
        <v>4618</v>
      </c>
      <c r="I599" s="135" t="str">
        <f>_xlfn.XLOOKUP(_xlfn.XLOOKUP(Table1[[#This Row],[Account]],Accounts[Account nickname],Accounts[Institution ID]),Institutions[ID],Institutions[Institution nickname],"Unknown")</f>
        <v>Discover</v>
      </c>
      <c r="J599" s="136" t="s">
        <v>1938</v>
      </c>
      <c r="K599" s="137" t="s">
        <v>843</v>
      </c>
      <c r="L599" s="137" t="s">
        <v>841</v>
      </c>
      <c r="M59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59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599" s="138" t="str" cm="1">
        <f t="array" ref="O599">IFERROR(INDEX(CategoriesTable[Category type],MATCH(Table1[[#This Row],[Category]],CategoriesTable[Category name],0),0),"")</f>
        <v/>
      </c>
      <c r="P599" s="138">
        <v>21</v>
      </c>
      <c r="Q599" s="138">
        <f>MONTH(Table1[[#This Row],[Date]])</f>
        <v>8</v>
      </c>
      <c r="R599" s="138">
        <v>2021</v>
      </c>
      <c r="S599" s="139">
        <f>IF(ISBLANK(Table1[[#This Row],[Date]]),"",Table1[[#This Row],[Date]]-WEEKDAY(Table1[[#This Row],[Date]],2)+1)</f>
        <v>44424</v>
      </c>
      <c r="T599" s="140">
        <f>IF(ISBLANK(Table1[[#This Row],[Date]]),"",DATE(Table1[[#This Row],[Date_Year]],Table1[[#This Row],[Date_Month]],1))</f>
        <v>44409</v>
      </c>
    </row>
    <row r="600" spans="2:20" ht="15.75">
      <c r="B600" s="154">
        <v>44428</v>
      </c>
      <c r="C600" s="119" t="s">
        <v>736</v>
      </c>
      <c r="D600" s="119"/>
      <c r="E600" s="119"/>
      <c r="F600" s="155">
        <v>-27.22</v>
      </c>
      <c r="G600" s="133" t="str">
        <f>_xlfn.XLOOKUP(Table1[[#This Row],[Account_ID]], Accounts[ID], Accounts[Account nickname], "Unknown")</f>
        <v>Discover</v>
      </c>
      <c r="H600" s="134" t="str">
        <f>_xlfn.XLOOKUP(Table1[[#This Row],[Account_ID]], Accounts[ID], Accounts[Account'#], "Unknown")</f>
        <v>4618</v>
      </c>
      <c r="I600" s="135" t="str">
        <f>_xlfn.XLOOKUP(_xlfn.XLOOKUP(Table1[[#This Row],[Account]],Accounts[Account nickname],Accounts[Institution ID]),Institutions[ID],Institutions[Institution nickname],"Unknown")</f>
        <v>Discover</v>
      </c>
      <c r="J600" s="136" t="s">
        <v>1944</v>
      </c>
      <c r="K600" s="137" t="s">
        <v>843</v>
      </c>
      <c r="L600" s="137" t="s">
        <v>841</v>
      </c>
      <c r="M60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0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00" s="138" t="str" cm="1">
        <f t="array" ref="O600">IFERROR(INDEX(CategoriesTable[Category type],MATCH(Table1[[#This Row],[Category]],CategoriesTable[Category name],0),0),"")</f>
        <v/>
      </c>
      <c r="P600" s="138">
        <v>20</v>
      </c>
      <c r="Q600" s="138">
        <f>MONTH(Table1[[#This Row],[Date]])</f>
        <v>8</v>
      </c>
      <c r="R600" s="138">
        <v>2021</v>
      </c>
      <c r="S600" s="139">
        <f>IF(ISBLANK(Table1[[#This Row],[Date]]),"",Table1[[#This Row],[Date]]-WEEKDAY(Table1[[#This Row],[Date]],2)+1)</f>
        <v>44424</v>
      </c>
      <c r="T600" s="140">
        <f>IF(ISBLANK(Table1[[#This Row],[Date]]),"",DATE(Table1[[#This Row],[Date_Year]],Table1[[#This Row],[Date_Month]],1))</f>
        <v>44409</v>
      </c>
    </row>
    <row r="601" spans="2:20" ht="15.75">
      <c r="B601" s="154">
        <v>44428</v>
      </c>
      <c r="C601" s="119" t="s">
        <v>1778</v>
      </c>
      <c r="D601" s="119"/>
      <c r="E601" s="119"/>
      <c r="F601" s="155">
        <v>-20.25</v>
      </c>
      <c r="G601" s="133" t="str">
        <f>_xlfn.XLOOKUP(Table1[[#This Row],[Account_ID]], Accounts[ID], Accounts[Account nickname], "Unknown")</f>
        <v>Discover</v>
      </c>
      <c r="H601" s="134" t="str">
        <f>_xlfn.XLOOKUP(Table1[[#This Row],[Account_ID]], Accounts[ID], Accounts[Account'#], "Unknown")</f>
        <v>4618</v>
      </c>
      <c r="I601" s="135" t="str">
        <f>_xlfn.XLOOKUP(_xlfn.XLOOKUP(Table1[[#This Row],[Account]],Accounts[Account nickname],Accounts[Institution ID]),Institutions[ID],Institutions[Institution nickname],"Unknown")</f>
        <v>Discover</v>
      </c>
      <c r="J601" s="136" t="s">
        <v>1947</v>
      </c>
      <c r="K601" s="137" t="s">
        <v>843</v>
      </c>
      <c r="L601" s="137" t="s">
        <v>841</v>
      </c>
      <c r="M60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0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01" s="138" t="str" cm="1">
        <f t="array" ref="O601">IFERROR(INDEX(CategoriesTable[Category type],MATCH(Table1[[#This Row],[Category]],CategoriesTable[Category name],0),0),"")</f>
        <v/>
      </c>
      <c r="P601" s="138">
        <v>20</v>
      </c>
      <c r="Q601" s="138">
        <f>MONTH(Table1[[#This Row],[Date]])</f>
        <v>8</v>
      </c>
      <c r="R601" s="138">
        <v>2021</v>
      </c>
      <c r="S601" s="139">
        <f>IF(ISBLANK(Table1[[#This Row],[Date]]),"",Table1[[#This Row],[Date]]-WEEKDAY(Table1[[#This Row],[Date]],2)+1)</f>
        <v>44424</v>
      </c>
      <c r="T601" s="140">
        <f>IF(ISBLANK(Table1[[#This Row],[Date]]),"",DATE(Table1[[#This Row],[Date_Year]],Table1[[#This Row],[Date_Month]],1))</f>
        <v>44409</v>
      </c>
    </row>
    <row r="602" spans="2:20" ht="15.75">
      <c r="B602" s="154">
        <v>44428</v>
      </c>
      <c r="C602" s="119" t="s">
        <v>1945</v>
      </c>
      <c r="D602" s="119"/>
      <c r="E602" s="119"/>
      <c r="F602" s="155">
        <v>-20</v>
      </c>
      <c r="G602" s="133" t="str">
        <f>_xlfn.XLOOKUP(Table1[[#This Row],[Account_ID]], Accounts[ID], Accounts[Account nickname], "Unknown")</f>
        <v>Discover</v>
      </c>
      <c r="H602" s="134" t="str">
        <f>_xlfn.XLOOKUP(Table1[[#This Row],[Account_ID]], Accounts[ID], Accounts[Account'#], "Unknown")</f>
        <v>4618</v>
      </c>
      <c r="I602" s="135" t="str">
        <f>_xlfn.XLOOKUP(_xlfn.XLOOKUP(Table1[[#This Row],[Account]],Accounts[Account nickname],Accounts[Institution ID]),Institutions[ID],Institutions[Institution nickname],"Unknown")</f>
        <v>Discover</v>
      </c>
      <c r="J602" s="136" t="s">
        <v>1946</v>
      </c>
      <c r="K602" s="137" t="s">
        <v>843</v>
      </c>
      <c r="L602" s="137" t="s">
        <v>841</v>
      </c>
      <c r="M60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0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02" s="138" t="str" cm="1">
        <f t="array" ref="O602">IFERROR(INDEX(CategoriesTable[Category type],MATCH(Table1[[#This Row],[Category]],CategoriesTable[Category name],0),0),"")</f>
        <v/>
      </c>
      <c r="P602" s="138">
        <v>20</v>
      </c>
      <c r="Q602" s="138">
        <f>MONTH(Table1[[#This Row],[Date]])</f>
        <v>8</v>
      </c>
      <c r="R602" s="138">
        <v>2021</v>
      </c>
      <c r="S602" s="139">
        <f>IF(ISBLANK(Table1[[#This Row],[Date]]),"",Table1[[#This Row],[Date]]-WEEKDAY(Table1[[#This Row],[Date]],2)+1)</f>
        <v>44424</v>
      </c>
      <c r="T602" s="140">
        <f>IF(ISBLANK(Table1[[#This Row],[Date]]),"",DATE(Table1[[#This Row],[Date_Year]],Table1[[#This Row],[Date_Month]],1))</f>
        <v>44409</v>
      </c>
    </row>
    <row r="603" spans="2:20" ht="15.75">
      <c r="B603" s="154">
        <v>44428</v>
      </c>
      <c r="C603" s="119" t="s">
        <v>736</v>
      </c>
      <c r="D603" s="119"/>
      <c r="E603" s="119"/>
      <c r="F603" s="155">
        <v>-30</v>
      </c>
      <c r="G603" s="133" t="str">
        <f>_xlfn.XLOOKUP(Table1[[#This Row],[Account_ID]], Accounts[ID], Accounts[Account nickname], "Unknown")</f>
        <v>WF</v>
      </c>
      <c r="H603" s="134" t="str">
        <f>_xlfn.XLOOKUP(Table1[[#This Row],[Account_ID]], Accounts[ID], Accounts[Account'#], "Unknown")</f>
        <v>4636</v>
      </c>
      <c r="I603" s="135" t="str">
        <f>_xlfn.XLOOKUP(_xlfn.XLOOKUP(Table1[[#This Row],[Account]],Accounts[Account nickname],Accounts[Institution ID]),Institutions[ID],Institutions[Institution nickname],"Unknown")</f>
        <v>Wells Fargo</v>
      </c>
      <c r="J603" s="136" t="s">
        <v>1051</v>
      </c>
      <c r="K603" s="137" t="s">
        <v>808</v>
      </c>
      <c r="L603" s="137" t="s">
        <v>807</v>
      </c>
      <c r="M60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0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03" s="138" t="str" cm="1">
        <f t="array" ref="O603">IFERROR(INDEX(CategoriesTable[Category type],MATCH(Table1[[#This Row],[Category]],CategoriesTable[Category name],0),0),"")</f>
        <v/>
      </c>
      <c r="P603" s="138">
        <v>20</v>
      </c>
      <c r="Q603" s="138">
        <f>MONTH(Table1[[#This Row],[Date]])</f>
        <v>8</v>
      </c>
      <c r="R603" s="138">
        <v>2021</v>
      </c>
      <c r="S603" s="139">
        <f>IF(ISBLANK(Table1[[#This Row],[Date]]),"",Table1[[#This Row],[Date]]-WEEKDAY(Table1[[#This Row],[Date]],2)+1)</f>
        <v>44424</v>
      </c>
      <c r="T603" s="140">
        <f>IF(ISBLANK(Table1[[#This Row],[Date]]),"",DATE(Table1[[#This Row],[Date_Year]],Table1[[#This Row],[Date_Month]],1))</f>
        <v>44409</v>
      </c>
    </row>
    <row r="604" spans="2:20" ht="15.75">
      <c r="B604" s="154">
        <v>44428</v>
      </c>
      <c r="C604" s="119" t="s">
        <v>730</v>
      </c>
      <c r="D604" s="119"/>
      <c r="E604" s="119"/>
      <c r="F604" s="155">
        <v>-86.17</v>
      </c>
      <c r="G604" s="133" t="str">
        <f>_xlfn.XLOOKUP(Table1[[#This Row],[Account_ID]], Accounts[ID], Accounts[Account nickname], "Unknown")</f>
        <v>WF</v>
      </c>
      <c r="H604" s="134" t="str">
        <f>_xlfn.XLOOKUP(Table1[[#This Row],[Account_ID]], Accounts[ID], Accounts[Account'#], "Unknown")</f>
        <v>4636</v>
      </c>
      <c r="I604" s="135" t="str">
        <f>_xlfn.XLOOKUP(_xlfn.XLOOKUP(Table1[[#This Row],[Account]],Accounts[Account nickname],Accounts[Institution ID]),Institutions[ID],Institutions[Institution nickname],"Unknown")</f>
        <v>Wells Fargo</v>
      </c>
      <c r="J604" s="136" t="s">
        <v>1052</v>
      </c>
      <c r="K604" s="137" t="s">
        <v>808</v>
      </c>
      <c r="L604" s="137" t="s">
        <v>807</v>
      </c>
      <c r="M60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0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04" s="138" t="str" cm="1">
        <f t="array" ref="O604">IFERROR(INDEX(CategoriesTable[Category type],MATCH(Table1[[#This Row],[Category]],CategoriesTable[Category name],0),0),"")</f>
        <v/>
      </c>
      <c r="P604" s="138">
        <v>20</v>
      </c>
      <c r="Q604" s="138">
        <f>MONTH(Table1[[#This Row],[Date]])</f>
        <v>8</v>
      </c>
      <c r="R604" s="138">
        <v>2021</v>
      </c>
      <c r="S604" s="139">
        <f>IF(ISBLANK(Table1[[#This Row],[Date]]),"",Table1[[#This Row],[Date]]-WEEKDAY(Table1[[#This Row],[Date]],2)+1)</f>
        <v>44424</v>
      </c>
      <c r="T604" s="140">
        <f>IF(ISBLANK(Table1[[#This Row],[Date]]),"",DATE(Table1[[#This Row],[Date_Year]],Table1[[#This Row],[Date_Month]],1))</f>
        <v>44409</v>
      </c>
    </row>
    <row r="605" spans="2:20" ht="15.75">
      <c r="B605" s="154">
        <v>44427</v>
      </c>
      <c r="C605" s="119" t="s">
        <v>1917</v>
      </c>
      <c r="D605" s="119"/>
      <c r="E605" s="119"/>
      <c r="F605" s="155">
        <v>-35</v>
      </c>
      <c r="G605" s="133" t="str">
        <f>_xlfn.XLOOKUP(Table1[[#This Row],[Account_ID]], Accounts[ID], Accounts[Account nickname], "Unknown")</f>
        <v>Discover</v>
      </c>
      <c r="H605" s="134" t="str">
        <f>_xlfn.XLOOKUP(Table1[[#This Row],[Account_ID]], Accounts[ID], Accounts[Account'#], "Unknown")</f>
        <v>4618</v>
      </c>
      <c r="I605" s="135" t="str">
        <f>_xlfn.XLOOKUP(_xlfn.XLOOKUP(Table1[[#This Row],[Account]],Accounts[Account nickname],Accounts[Institution ID]),Institutions[ID],Institutions[Institution nickname],"Unknown")</f>
        <v>Discover</v>
      </c>
      <c r="J605" s="136" t="s">
        <v>1950</v>
      </c>
      <c r="K605" s="137" t="s">
        <v>843</v>
      </c>
      <c r="L605" s="137" t="s">
        <v>841</v>
      </c>
      <c r="M60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0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05" s="138" t="str" cm="1">
        <f t="array" ref="O605">IFERROR(INDEX(CategoriesTable[Category type],MATCH(Table1[[#This Row],[Category]],CategoriesTable[Category name],0),0),"")</f>
        <v/>
      </c>
      <c r="P605" s="138">
        <v>19</v>
      </c>
      <c r="Q605" s="138">
        <f>MONTH(Table1[[#This Row],[Date]])</f>
        <v>8</v>
      </c>
      <c r="R605" s="138">
        <v>2021</v>
      </c>
      <c r="S605" s="139">
        <f>IF(ISBLANK(Table1[[#This Row],[Date]]),"",Table1[[#This Row],[Date]]-WEEKDAY(Table1[[#This Row],[Date]],2)+1)</f>
        <v>44424</v>
      </c>
      <c r="T605" s="140">
        <f>IF(ISBLANK(Table1[[#This Row],[Date]]),"",DATE(Table1[[#This Row],[Date_Year]],Table1[[#This Row],[Date_Month]],1))</f>
        <v>44409</v>
      </c>
    </row>
    <row r="606" spans="2:20" ht="15.75">
      <c r="B606" s="154">
        <v>44427</v>
      </c>
      <c r="C606" s="119" t="s">
        <v>1948</v>
      </c>
      <c r="D606" s="119"/>
      <c r="E606" s="119"/>
      <c r="F606" s="155">
        <v>-34.04</v>
      </c>
      <c r="G606" s="133" t="str">
        <f>_xlfn.XLOOKUP(Table1[[#This Row],[Account_ID]], Accounts[ID], Accounts[Account nickname], "Unknown")</f>
        <v>Discover</v>
      </c>
      <c r="H606" s="134" t="str">
        <f>_xlfn.XLOOKUP(Table1[[#This Row],[Account_ID]], Accounts[ID], Accounts[Account'#], "Unknown")</f>
        <v>4618</v>
      </c>
      <c r="I606" s="135" t="str">
        <f>_xlfn.XLOOKUP(_xlfn.XLOOKUP(Table1[[#This Row],[Account]],Accounts[Account nickname],Accounts[Institution ID]),Institutions[ID],Institutions[Institution nickname],"Unknown")</f>
        <v>Discover</v>
      </c>
      <c r="J606" s="136" t="s">
        <v>1949</v>
      </c>
      <c r="K606" s="137" t="s">
        <v>843</v>
      </c>
      <c r="L606" s="137" t="s">
        <v>841</v>
      </c>
      <c r="M60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0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06" s="138" t="str" cm="1">
        <f t="array" ref="O606">IFERROR(INDEX(CategoriesTable[Category type],MATCH(Table1[[#This Row],[Category]],CategoriesTable[Category name],0),0),"")</f>
        <v/>
      </c>
      <c r="P606" s="138">
        <v>19</v>
      </c>
      <c r="Q606" s="138">
        <f>MONTH(Table1[[#This Row],[Date]])</f>
        <v>8</v>
      </c>
      <c r="R606" s="138">
        <v>2021</v>
      </c>
      <c r="S606" s="139">
        <f>IF(ISBLANK(Table1[[#This Row],[Date]]),"",Table1[[#This Row],[Date]]-WEEKDAY(Table1[[#This Row],[Date]],2)+1)</f>
        <v>44424</v>
      </c>
      <c r="T606" s="140">
        <f>IF(ISBLANK(Table1[[#This Row],[Date]]),"",DATE(Table1[[#This Row],[Date_Year]],Table1[[#This Row],[Date_Month]],1))</f>
        <v>44409</v>
      </c>
    </row>
    <row r="607" spans="2:20" ht="15.75">
      <c r="B607" s="154">
        <v>44427</v>
      </c>
      <c r="C607" s="119" t="s">
        <v>714</v>
      </c>
      <c r="D607" s="119"/>
      <c r="E607" s="119"/>
      <c r="F607" s="155">
        <v>-4.6100000000000003</v>
      </c>
      <c r="G607" s="133" t="str">
        <f>_xlfn.XLOOKUP(Table1[[#This Row],[Account_ID]], Accounts[ID], Accounts[Account nickname], "Unknown")</f>
        <v>Discover</v>
      </c>
      <c r="H607" s="134" t="str">
        <f>_xlfn.XLOOKUP(Table1[[#This Row],[Account_ID]], Accounts[ID], Accounts[Account'#], "Unknown")</f>
        <v>4618</v>
      </c>
      <c r="I607" s="135" t="str">
        <f>_xlfn.XLOOKUP(_xlfn.XLOOKUP(Table1[[#This Row],[Account]],Accounts[Account nickname],Accounts[Institution ID]),Institutions[ID],Institutions[Institution nickname],"Unknown")</f>
        <v>Discover</v>
      </c>
      <c r="J607" s="136" t="s">
        <v>1951</v>
      </c>
      <c r="K607" s="137" t="s">
        <v>843</v>
      </c>
      <c r="L607" s="137" t="s">
        <v>841</v>
      </c>
      <c r="M60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0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07" s="138" t="str" cm="1">
        <f t="array" ref="O607">IFERROR(INDEX(CategoriesTable[Category type],MATCH(Table1[[#This Row],[Category]],CategoriesTable[Category name],0),0),"")</f>
        <v/>
      </c>
      <c r="P607" s="138">
        <v>19</v>
      </c>
      <c r="Q607" s="138">
        <f>MONTH(Table1[[#This Row],[Date]])</f>
        <v>8</v>
      </c>
      <c r="R607" s="138">
        <v>2021</v>
      </c>
      <c r="S607" s="139">
        <f>IF(ISBLANK(Table1[[#This Row],[Date]]),"",Table1[[#This Row],[Date]]-WEEKDAY(Table1[[#This Row],[Date]],2)+1)</f>
        <v>44424</v>
      </c>
      <c r="T607" s="140">
        <f>IF(ISBLANK(Table1[[#This Row],[Date]]),"",DATE(Table1[[#This Row],[Date_Year]],Table1[[#This Row],[Date_Month]],1))</f>
        <v>44409</v>
      </c>
    </row>
    <row r="608" spans="2:20" ht="15.75">
      <c r="B608" s="154">
        <v>44426</v>
      </c>
      <c r="C608" s="119" t="s">
        <v>910</v>
      </c>
      <c r="D608" s="119"/>
      <c r="E608" s="119"/>
      <c r="F608" s="155">
        <v>-42.39</v>
      </c>
      <c r="G608" s="133" t="str">
        <f>_xlfn.XLOOKUP(Table1[[#This Row],[Account_ID]], Accounts[ID], Accounts[Account nickname], "Unknown")</f>
        <v>Discover</v>
      </c>
      <c r="H608" s="134" t="str">
        <f>_xlfn.XLOOKUP(Table1[[#This Row],[Account_ID]], Accounts[ID], Accounts[Account'#], "Unknown")</f>
        <v>4618</v>
      </c>
      <c r="I608" s="135" t="str">
        <f>_xlfn.XLOOKUP(_xlfn.XLOOKUP(Table1[[#This Row],[Account]],Accounts[Account nickname],Accounts[Institution ID]),Institutions[ID],Institutions[Institution nickname],"Unknown")</f>
        <v>Discover</v>
      </c>
      <c r="J608" s="136" t="s">
        <v>1953</v>
      </c>
      <c r="K608" s="137" t="s">
        <v>843</v>
      </c>
      <c r="L608" s="137" t="s">
        <v>841</v>
      </c>
      <c r="M60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0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08" s="138" t="str" cm="1">
        <f t="array" ref="O608">IFERROR(INDEX(CategoriesTable[Category type],MATCH(Table1[[#This Row],[Category]],CategoriesTable[Category name],0),0),"")</f>
        <v/>
      </c>
      <c r="P608" s="138">
        <v>18</v>
      </c>
      <c r="Q608" s="138">
        <f>MONTH(Table1[[#This Row],[Date]])</f>
        <v>8</v>
      </c>
      <c r="R608" s="138">
        <v>2021</v>
      </c>
      <c r="S608" s="139">
        <f>IF(ISBLANK(Table1[[#This Row],[Date]]),"",Table1[[#This Row],[Date]]-WEEKDAY(Table1[[#This Row],[Date]],2)+1)</f>
        <v>44424</v>
      </c>
      <c r="T608" s="140">
        <f>IF(ISBLANK(Table1[[#This Row],[Date]]),"",DATE(Table1[[#This Row],[Date_Year]],Table1[[#This Row],[Date_Month]],1))</f>
        <v>44409</v>
      </c>
    </row>
    <row r="609" spans="2:20" ht="15.75">
      <c r="B609" s="154">
        <v>44426</v>
      </c>
      <c r="C609" s="119" t="s">
        <v>910</v>
      </c>
      <c r="D609" s="119"/>
      <c r="E609" s="119"/>
      <c r="F609" s="155">
        <v>-8.4700000000000006</v>
      </c>
      <c r="G609" s="133" t="str">
        <f>_xlfn.XLOOKUP(Table1[[#This Row],[Account_ID]], Accounts[ID], Accounts[Account nickname], "Unknown")</f>
        <v>Discover</v>
      </c>
      <c r="H609" s="134" t="str">
        <f>_xlfn.XLOOKUP(Table1[[#This Row],[Account_ID]], Accounts[ID], Accounts[Account'#], "Unknown")</f>
        <v>4618</v>
      </c>
      <c r="I609" s="135" t="str">
        <f>_xlfn.XLOOKUP(_xlfn.XLOOKUP(Table1[[#This Row],[Account]],Accounts[Account nickname],Accounts[Institution ID]),Institutions[ID],Institutions[Institution nickname],"Unknown")</f>
        <v>Discover</v>
      </c>
      <c r="J609" s="136" t="s">
        <v>1952</v>
      </c>
      <c r="K609" s="137" t="s">
        <v>843</v>
      </c>
      <c r="L609" s="137" t="s">
        <v>841</v>
      </c>
      <c r="M60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0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09" s="138" t="str" cm="1">
        <f t="array" ref="O609">IFERROR(INDEX(CategoriesTable[Category type],MATCH(Table1[[#This Row],[Category]],CategoriesTable[Category name],0),0),"")</f>
        <v/>
      </c>
      <c r="P609" s="138">
        <v>18</v>
      </c>
      <c r="Q609" s="138">
        <f>MONTH(Table1[[#This Row],[Date]])</f>
        <v>8</v>
      </c>
      <c r="R609" s="138">
        <v>2021</v>
      </c>
      <c r="S609" s="139">
        <f>IF(ISBLANK(Table1[[#This Row],[Date]]),"",Table1[[#This Row],[Date]]-WEEKDAY(Table1[[#This Row],[Date]],2)+1)</f>
        <v>44424</v>
      </c>
      <c r="T609" s="140">
        <f>IF(ISBLANK(Table1[[#This Row],[Date]]),"",DATE(Table1[[#This Row],[Date_Year]],Table1[[#This Row],[Date_Month]],1))</f>
        <v>44409</v>
      </c>
    </row>
    <row r="610" spans="2:20" ht="15.75">
      <c r="B610" s="154">
        <v>44424</v>
      </c>
      <c r="C610" s="119" t="s">
        <v>1954</v>
      </c>
      <c r="D610" s="119"/>
      <c r="E610" s="119"/>
      <c r="F610" s="155">
        <v>-350</v>
      </c>
      <c r="G610" s="133" t="str">
        <f>_xlfn.XLOOKUP(Table1[[#This Row],[Account_ID]], Accounts[ID], Accounts[Account nickname], "Unknown")</f>
        <v>Discover</v>
      </c>
      <c r="H610" s="134" t="str">
        <f>_xlfn.XLOOKUP(Table1[[#This Row],[Account_ID]], Accounts[ID], Accounts[Account'#], "Unknown")</f>
        <v>4618</v>
      </c>
      <c r="I610" s="135" t="str">
        <f>_xlfn.XLOOKUP(_xlfn.XLOOKUP(Table1[[#This Row],[Account]],Accounts[Account nickname],Accounts[Institution ID]),Institutions[ID],Institutions[Institution nickname],"Unknown")</f>
        <v>Discover</v>
      </c>
      <c r="J610" s="136" t="s">
        <v>1955</v>
      </c>
      <c r="K610" s="137" t="s">
        <v>843</v>
      </c>
      <c r="L610" s="137" t="s">
        <v>841</v>
      </c>
      <c r="M61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1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10" s="138" t="str" cm="1">
        <f t="array" ref="O610">IFERROR(INDEX(CategoriesTable[Category type],MATCH(Table1[[#This Row],[Category]],CategoriesTable[Category name],0),0),"")</f>
        <v/>
      </c>
      <c r="P610" s="138">
        <v>16</v>
      </c>
      <c r="Q610" s="138">
        <f>MONTH(Table1[[#This Row],[Date]])</f>
        <v>8</v>
      </c>
      <c r="R610" s="138">
        <v>2021</v>
      </c>
      <c r="S610" s="139">
        <f>IF(ISBLANK(Table1[[#This Row],[Date]]),"",Table1[[#This Row],[Date]]-WEEKDAY(Table1[[#This Row],[Date]],2)+1)</f>
        <v>44424</v>
      </c>
      <c r="T610" s="140">
        <f>IF(ISBLANK(Table1[[#This Row],[Date]]),"",DATE(Table1[[#This Row],[Date_Year]],Table1[[#This Row],[Date_Month]],1))</f>
        <v>44409</v>
      </c>
    </row>
    <row r="611" spans="2:20" ht="15.75">
      <c r="B611" s="154">
        <v>44424</v>
      </c>
      <c r="C611" s="119" t="s">
        <v>1956</v>
      </c>
      <c r="D611" s="119"/>
      <c r="E611" s="119"/>
      <c r="F611" s="155">
        <v>-50</v>
      </c>
      <c r="G611" s="133" t="str">
        <f>_xlfn.XLOOKUP(Table1[[#This Row],[Account_ID]], Accounts[ID], Accounts[Account nickname], "Unknown")</f>
        <v>Discover</v>
      </c>
      <c r="H611" s="134" t="str">
        <f>_xlfn.XLOOKUP(Table1[[#This Row],[Account_ID]], Accounts[ID], Accounts[Account'#], "Unknown")</f>
        <v>4618</v>
      </c>
      <c r="I611" s="135" t="str">
        <f>_xlfn.XLOOKUP(_xlfn.XLOOKUP(Table1[[#This Row],[Account]],Accounts[Account nickname],Accounts[Institution ID]),Institutions[ID],Institutions[Institution nickname],"Unknown")</f>
        <v>Discover</v>
      </c>
      <c r="J611" s="136" t="s">
        <v>1957</v>
      </c>
      <c r="K611" s="137" t="s">
        <v>843</v>
      </c>
      <c r="L611" s="137" t="s">
        <v>841</v>
      </c>
      <c r="M61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1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11" s="138" t="str" cm="1">
        <f t="array" ref="O611">IFERROR(INDEX(CategoriesTable[Category type],MATCH(Table1[[#This Row],[Category]],CategoriesTable[Category name],0),0),"")</f>
        <v/>
      </c>
      <c r="P611" s="138">
        <v>16</v>
      </c>
      <c r="Q611" s="138">
        <f>MONTH(Table1[[#This Row],[Date]])</f>
        <v>8</v>
      </c>
      <c r="R611" s="138">
        <v>2021</v>
      </c>
      <c r="S611" s="139">
        <f>IF(ISBLANK(Table1[[#This Row],[Date]]),"",Table1[[#This Row],[Date]]-WEEKDAY(Table1[[#This Row],[Date]],2)+1)</f>
        <v>44424</v>
      </c>
      <c r="T611" s="140">
        <f>IF(ISBLANK(Table1[[#This Row],[Date]]),"",DATE(Table1[[#This Row],[Date_Year]],Table1[[#This Row],[Date_Month]],1))</f>
        <v>44409</v>
      </c>
    </row>
    <row r="612" spans="2:20" ht="15.75">
      <c r="B612" s="154">
        <v>44424</v>
      </c>
      <c r="C612" s="119" t="s">
        <v>724</v>
      </c>
      <c r="D612" s="119"/>
      <c r="E612" s="119"/>
      <c r="F612" s="155">
        <v>-27.15</v>
      </c>
      <c r="G612" s="133" t="str">
        <f>_xlfn.XLOOKUP(Table1[[#This Row],[Account_ID]], Accounts[ID], Accounts[Account nickname], "Unknown")</f>
        <v>Discover</v>
      </c>
      <c r="H612" s="134" t="str">
        <f>_xlfn.XLOOKUP(Table1[[#This Row],[Account_ID]], Accounts[ID], Accounts[Account'#], "Unknown")</f>
        <v>4618</v>
      </c>
      <c r="I612" s="135" t="str">
        <f>_xlfn.XLOOKUP(_xlfn.XLOOKUP(Table1[[#This Row],[Account]],Accounts[Account nickname],Accounts[Institution ID]),Institutions[ID],Institutions[Institution nickname],"Unknown")</f>
        <v>Discover</v>
      </c>
      <c r="J612" s="136" t="s">
        <v>1958</v>
      </c>
      <c r="K612" s="137" t="s">
        <v>843</v>
      </c>
      <c r="L612" s="137" t="s">
        <v>841</v>
      </c>
      <c r="M61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1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12" s="138" t="str" cm="1">
        <f t="array" ref="O612">IFERROR(INDEX(CategoriesTable[Category type],MATCH(Table1[[#This Row],[Category]],CategoriesTable[Category name],0),0),"")</f>
        <v/>
      </c>
      <c r="P612" s="138">
        <v>16</v>
      </c>
      <c r="Q612" s="138">
        <f>MONTH(Table1[[#This Row],[Date]])</f>
        <v>8</v>
      </c>
      <c r="R612" s="138">
        <v>2021</v>
      </c>
      <c r="S612" s="139">
        <f>IF(ISBLANK(Table1[[#This Row],[Date]]),"",Table1[[#This Row],[Date]]-WEEKDAY(Table1[[#This Row],[Date]],2)+1)</f>
        <v>44424</v>
      </c>
      <c r="T612" s="140">
        <f>IF(ISBLANK(Table1[[#This Row],[Date]]),"",DATE(Table1[[#This Row],[Date_Year]],Table1[[#This Row],[Date_Month]],1))</f>
        <v>44409</v>
      </c>
    </row>
    <row r="613" spans="2:20" ht="15.75">
      <c r="B613" s="154">
        <v>44423</v>
      </c>
      <c r="C613" s="119" t="s">
        <v>1959</v>
      </c>
      <c r="D613" s="119"/>
      <c r="E613" s="119"/>
      <c r="F613" s="155">
        <v>-6.3</v>
      </c>
      <c r="G613" s="133" t="str">
        <f>_xlfn.XLOOKUP(Table1[[#This Row],[Account_ID]], Accounts[ID], Accounts[Account nickname], "Unknown")</f>
        <v>Discover</v>
      </c>
      <c r="H613" s="134" t="str">
        <f>_xlfn.XLOOKUP(Table1[[#This Row],[Account_ID]], Accounts[ID], Accounts[Account'#], "Unknown")</f>
        <v>4618</v>
      </c>
      <c r="I613" s="135" t="str">
        <f>_xlfn.XLOOKUP(_xlfn.XLOOKUP(Table1[[#This Row],[Account]],Accounts[Account nickname],Accounts[Institution ID]),Institutions[ID],Institutions[Institution nickname],"Unknown")</f>
        <v>Discover</v>
      </c>
      <c r="J613" s="136" t="s">
        <v>1960</v>
      </c>
      <c r="K613" s="137" t="s">
        <v>843</v>
      </c>
      <c r="L613" s="137" t="s">
        <v>841</v>
      </c>
      <c r="M61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1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13" s="138" t="str" cm="1">
        <f t="array" ref="O613">IFERROR(INDEX(CategoriesTable[Category type],MATCH(Table1[[#This Row],[Category]],CategoriesTable[Category name],0),0),"")</f>
        <v/>
      </c>
      <c r="P613" s="138">
        <v>15</v>
      </c>
      <c r="Q613" s="138">
        <f>MONTH(Table1[[#This Row],[Date]])</f>
        <v>8</v>
      </c>
      <c r="R613" s="138">
        <v>2021</v>
      </c>
      <c r="S613" s="139">
        <f>IF(ISBLANK(Table1[[#This Row],[Date]]),"",Table1[[#This Row],[Date]]-WEEKDAY(Table1[[#This Row],[Date]],2)+1)</f>
        <v>44417</v>
      </c>
      <c r="T613" s="140">
        <f>IF(ISBLANK(Table1[[#This Row],[Date]]),"",DATE(Table1[[#This Row],[Date_Year]],Table1[[#This Row],[Date_Month]],1))</f>
        <v>44409</v>
      </c>
    </row>
    <row r="614" spans="2:20" ht="15.75">
      <c r="B614" s="154">
        <v>44423</v>
      </c>
      <c r="C614" s="119" t="s">
        <v>1959</v>
      </c>
      <c r="D614" s="119"/>
      <c r="E614" s="119"/>
      <c r="F614" s="155">
        <v>-9.94</v>
      </c>
      <c r="G614" s="133" t="str">
        <f>_xlfn.XLOOKUP(Table1[[#This Row],[Account_ID]], Accounts[ID], Accounts[Account nickname], "Unknown")</f>
        <v>Discover</v>
      </c>
      <c r="H614" s="134" t="str">
        <f>_xlfn.XLOOKUP(Table1[[#This Row],[Account_ID]], Accounts[ID], Accounts[Account'#], "Unknown")</f>
        <v>4618</v>
      </c>
      <c r="I614" s="135" t="str">
        <f>_xlfn.XLOOKUP(_xlfn.XLOOKUP(Table1[[#This Row],[Account]],Accounts[Account nickname],Accounts[Institution ID]),Institutions[ID],Institutions[Institution nickname],"Unknown")</f>
        <v>Discover</v>
      </c>
      <c r="J614" s="136" t="s">
        <v>1961</v>
      </c>
      <c r="K614" s="137" t="s">
        <v>843</v>
      </c>
      <c r="L614" s="137" t="s">
        <v>841</v>
      </c>
      <c r="M61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1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14" s="138" t="str" cm="1">
        <f t="array" ref="O614">IFERROR(INDEX(CategoriesTable[Category type],MATCH(Table1[[#This Row],[Category]],CategoriesTable[Category name],0),0),"")</f>
        <v/>
      </c>
      <c r="P614" s="138">
        <v>15</v>
      </c>
      <c r="Q614" s="138">
        <f>MONTH(Table1[[#This Row],[Date]])</f>
        <v>8</v>
      </c>
      <c r="R614" s="138">
        <v>2021</v>
      </c>
      <c r="S614" s="139">
        <f>IF(ISBLANK(Table1[[#This Row],[Date]]),"",Table1[[#This Row],[Date]]-WEEKDAY(Table1[[#This Row],[Date]],2)+1)</f>
        <v>44417</v>
      </c>
      <c r="T614" s="140">
        <f>IF(ISBLANK(Table1[[#This Row],[Date]]),"",DATE(Table1[[#This Row],[Date_Year]],Table1[[#This Row],[Date_Month]],1))</f>
        <v>44409</v>
      </c>
    </row>
    <row r="615" spans="2:20" ht="15.75">
      <c r="B615" s="154">
        <v>44423</v>
      </c>
      <c r="C615" s="119" t="s">
        <v>728</v>
      </c>
      <c r="D615" s="119"/>
      <c r="E615" s="119"/>
      <c r="F615" s="155">
        <v>-200</v>
      </c>
      <c r="G615" s="133" t="str">
        <f>_xlfn.XLOOKUP(Table1[[#This Row],[Account_ID]], Accounts[ID], Accounts[Account nickname], "Unknown")</f>
        <v>WF</v>
      </c>
      <c r="H615" s="134" t="str">
        <f>_xlfn.XLOOKUP(Table1[[#This Row],[Account_ID]], Accounts[ID], Accounts[Account'#], "Unknown")</f>
        <v>4636</v>
      </c>
      <c r="I615" s="135" t="str">
        <f>_xlfn.XLOOKUP(_xlfn.XLOOKUP(Table1[[#This Row],[Account]],Accounts[Account nickname],Accounts[Institution ID]),Institutions[ID],Institutions[Institution nickname],"Unknown")</f>
        <v>Wells Fargo</v>
      </c>
      <c r="J615" s="136" t="s">
        <v>1053</v>
      </c>
      <c r="K615" s="137" t="s">
        <v>808</v>
      </c>
      <c r="L615" s="137" t="s">
        <v>807</v>
      </c>
      <c r="M61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1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15" s="138" t="str" cm="1">
        <f t="array" ref="O615">IFERROR(INDEX(CategoriesTable[Category type],MATCH(Table1[[#This Row],[Category]],CategoriesTable[Category name],0),0),"")</f>
        <v/>
      </c>
      <c r="P615" s="138">
        <v>15</v>
      </c>
      <c r="Q615" s="138">
        <f>MONTH(Table1[[#This Row],[Date]])</f>
        <v>8</v>
      </c>
      <c r="R615" s="138">
        <v>2021</v>
      </c>
      <c r="S615" s="139">
        <f>IF(ISBLANK(Table1[[#This Row],[Date]]),"",Table1[[#This Row],[Date]]-WEEKDAY(Table1[[#This Row],[Date]],2)+1)</f>
        <v>44417</v>
      </c>
      <c r="T615" s="140">
        <f>IF(ISBLANK(Table1[[#This Row],[Date]]),"",DATE(Table1[[#This Row],[Date_Year]],Table1[[#This Row],[Date_Month]],1))</f>
        <v>44409</v>
      </c>
    </row>
    <row r="616" spans="2:20" ht="15.75">
      <c r="B616" s="154">
        <v>44422</v>
      </c>
      <c r="C616" s="119" t="s">
        <v>724</v>
      </c>
      <c r="D616" s="119"/>
      <c r="E616" s="119"/>
      <c r="F616" s="155">
        <v>-6.83</v>
      </c>
      <c r="G616" s="133" t="str">
        <f>_xlfn.XLOOKUP(Table1[[#This Row],[Account_ID]], Accounts[ID], Accounts[Account nickname], "Unknown")</f>
        <v>Discover</v>
      </c>
      <c r="H616" s="134" t="str">
        <f>_xlfn.XLOOKUP(Table1[[#This Row],[Account_ID]], Accounts[ID], Accounts[Account'#], "Unknown")</f>
        <v>4618</v>
      </c>
      <c r="I616" s="135" t="str">
        <f>_xlfn.XLOOKUP(_xlfn.XLOOKUP(Table1[[#This Row],[Account]],Accounts[Account nickname],Accounts[Institution ID]),Institutions[ID],Institutions[Institution nickname],"Unknown")</f>
        <v>Discover</v>
      </c>
      <c r="J616" s="136" t="s">
        <v>1965</v>
      </c>
      <c r="K616" s="137" t="s">
        <v>843</v>
      </c>
      <c r="L616" s="137" t="s">
        <v>841</v>
      </c>
      <c r="M61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1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16" s="138" t="str" cm="1">
        <f t="array" ref="O616">IFERROR(INDEX(CategoriesTable[Category type],MATCH(Table1[[#This Row],[Category]],CategoriesTable[Category name],0),0),"")</f>
        <v/>
      </c>
      <c r="P616" s="138">
        <v>14</v>
      </c>
      <c r="Q616" s="138">
        <f>MONTH(Table1[[#This Row],[Date]])</f>
        <v>8</v>
      </c>
      <c r="R616" s="138">
        <v>2021</v>
      </c>
      <c r="S616" s="139">
        <f>IF(ISBLANK(Table1[[#This Row],[Date]]),"",Table1[[#This Row],[Date]]-WEEKDAY(Table1[[#This Row],[Date]],2)+1)</f>
        <v>44417</v>
      </c>
      <c r="T616" s="140">
        <f>IF(ISBLANK(Table1[[#This Row],[Date]]),"",DATE(Table1[[#This Row],[Date_Year]],Table1[[#This Row],[Date_Month]],1))</f>
        <v>44409</v>
      </c>
    </row>
    <row r="617" spans="2:20" ht="15.75">
      <c r="B617" s="154">
        <v>44422</v>
      </c>
      <c r="C617" s="119" t="s">
        <v>1818</v>
      </c>
      <c r="D617" s="119"/>
      <c r="E617" s="119"/>
      <c r="F617" s="155">
        <v>-3.99</v>
      </c>
      <c r="G617" s="133" t="str">
        <f>_xlfn.XLOOKUP(Table1[[#This Row],[Account_ID]], Accounts[ID], Accounts[Account nickname], "Unknown")</f>
        <v>Discover</v>
      </c>
      <c r="H617" s="134" t="str">
        <f>_xlfn.XLOOKUP(Table1[[#This Row],[Account_ID]], Accounts[ID], Accounts[Account'#], "Unknown")</f>
        <v>4618</v>
      </c>
      <c r="I617" s="135" t="str">
        <f>_xlfn.XLOOKUP(_xlfn.XLOOKUP(Table1[[#This Row],[Account]],Accounts[Account nickname],Accounts[Institution ID]),Institutions[ID],Institutions[Institution nickname],"Unknown")</f>
        <v>Discover</v>
      </c>
      <c r="J617" s="136" t="s">
        <v>1964</v>
      </c>
      <c r="K617" s="137" t="s">
        <v>843</v>
      </c>
      <c r="L617" s="137" t="s">
        <v>841</v>
      </c>
      <c r="M61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1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17" s="138" t="str" cm="1">
        <f t="array" ref="O617">IFERROR(INDEX(CategoriesTable[Category type],MATCH(Table1[[#This Row],[Category]],CategoriesTable[Category name],0),0),"")</f>
        <v/>
      </c>
      <c r="P617" s="138">
        <v>14</v>
      </c>
      <c r="Q617" s="138">
        <f>MONTH(Table1[[#This Row],[Date]])</f>
        <v>8</v>
      </c>
      <c r="R617" s="138">
        <v>2021</v>
      </c>
      <c r="S617" s="139">
        <f>IF(ISBLANK(Table1[[#This Row],[Date]]),"",Table1[[#This Row],[Date]]-WEEKDAY(Table1[[#This Row],[Date]],2)+1)</f>
        <v>44417</v>
      </c>
      <c r="T617" s="140">
        <f>IF(ISBLANK(Table1[[#This Row],[Date]]),"",DATE(Table1[[#This Row],[Date_Year]],Table1[[#This Row],[Date_Month]],1))</f>
        <v>44409</v>
      </c>
    </row>
    <row r="618" spans="2:20" ht="15.75">
      <c r="B618" s="154">
        <v>44422</v>
      </c>
      <c r="C618" s="119" t="s">
        <v>1962</v>
      </c>
      <c r="D618" s="119"/>
      <c r="E618" s="119"/>
      <c r="F618" s="155">
        <v>-80</v>
      </c>
      <c r="G618" s="133" t="str">
        <f>_xlfn.XLOOKUP(Table1[[#This Row],[Account_ID]], Accounts[ID], Accounts[Account nickname], "Unknown")</f>
        <v>Discover</v>
      </c>
      <c r="H618" s="134" t="str">
        <f>_xlfn.XLOOKUP(Table1[[#This Row],[Account_ID]], Accounts[ID], Accounts[Account'#], "Unknown")</f>
        <v>4618</v>
      </c>
      <c r="I618" s="135" t="str">
        <f>_xlfn.XLOOKUP(_xlfn.XLOOKUP(Table1[[#This Row],[Account]],Accounts[Account nickname],Accounts[Institution ID]),Institutions[ID],Institutions[Institution nickname],"Unknown")</f>
        <v>Discover</v>
      </c>
      <c r="J618" s="136" t="s">
        <v>1963</v>
      </c>
      <c r="K618" s="137" t="s">
        <v>843</v>
      </c>
      <c r="L618" s="137" t="s">
        <v>841</v>
      </c>
      <c r="M61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1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18" s="138" t="str" cm="1">
        <f t="array" ref="O618">IFERROR(INDEX(CategoriesTable[Category type],MATCH(Table1[[#This Row],[Category]],CategoriesTable[Category name],0),0),"")</f>
        <v/>
      </c>
      <c r="P618" s="138">
        <v>14</v>
      </c>
      <c r="Q618" s="138">
        <f>MONTH(Table1[[#This Row],[Date]])</f>
        <v>8</v>
      </c>
      <c r="R618" s="138">
        <v>2021</v>
      </c>
      <c r="S618" s="139">
        <f>IF(ISBLANK(Table1[[#This Row],[Date]]),"",Table1[[#This Row],[Date]]-WEEKDAY(Table1[[#This Row],[Date]],2)+1)</f>
        <v>44417</v>
      </c>
      <c r="T618" s="140">
        <f>IF(ISBLANK(Table1[[#This Row],[Date]]),"",DATE(Table1[[#This Row],[Date_Year]],Table1[[#This Row],[Date_Month]],1))</f>
        <v>44409</v>
      </c>
    </row>
    <row r="619" spans="2:20" ht="15.75">
      <c r="B619" s="154">
        <v>44421</v>
      </c>
      <c r="C619" s="119" t="s">
        <v>1968</v>
      </c>
      <c r="D619" s="119"/>
      <c r="E619" s="119"/>
      <c r="F619" s="155">
        <v>-31.5</v>
      </c>
      <c r="G619" s="133" t="str">
        <f>_xlfn.XLOOKUP(Table1[[#This Row],[Account_ID]], Accounts[ID], Accounts[Account nickname], "Unknown")</f>
        <v>Discover</v>
      </c>
      <c r="H619" s="134" t="str">
        <f>_xlfn.XLOOKUP(Table1[[#This Row],[Account_ID]], Accounts[ID], Accounts[Account'#], "Unknown")</f>
        <v>4618</v>
      </c>
      <c r="I619" s="135" t="str">
        <f>_xlfn.XLOOKUP(_xlfn.XLOOKUP(Table1[[#This Row],[Account]],Accounts[Account nickname],Accounts[Institution ID]),Institutions[ID],Institutions[Institution nickname],"Unknown")</f>
        <v>Discover</v>
      </c>
      <c r="J619" s="136" t="s">
        <v>1969</v>
      </c>
      <c r="K619" s="137" t="s">
        <v>843</v>
      </c>
      <c r="L619" s="137" t="s">
        <v>841</v>
      </c>
      <c r="M61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1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19" s="138" t="str" cm="1">
        <f t="array" ref="O619">IFERROR(INDEX(CategoriesTable[Category type],MATCH(Table1[[#This Row],[Category]],CategoriesTable[Category name],0),0),"")</f>
        <v/>
      </c>
      <c r="P619" s="138">
        <v>13</v>
      </c>
      <c r="Q619" s="138">
        <f>MONTH(Table1[[#This Row],[Date]])</f>
        <v>8</v>
      </c>
      <c r="R619" s="138">
        <v>2021</v>
      </c>
      <c r="S619" s="139">
        <f>IF(ISBLANK(Table1[[#This Row],[Date]]),"",Table1[[#This Row],[Date]]-WEEKDAY(Table1[[#This Row],[Date]],2)+1)</f>
        <v>44417</v>
      </c>
      <c r="T619" s="140">
        <f>IF(ISBLANK(Table1[[#This Row],[Date]]),"",DATE(Table1[[#This Row],[Date_Year]],Table1[[#This Row],[Date_Month]],1))</f>
        <v>44409</v>
      </c>
    </row>
    <row r="620" spans="2:20" ht="15.75">
      <c r="B620" s="154">
        <v>44421</v>
      </c>
      <c r="C620" s="119" t="s">
        <v>1970</v>
      </c>
      <c r="D620" s="119"/>
      <c r="E620" s="119"/>
      <c r="F620" s="155">
        <v>-134</v>
      </c>
      <c r="G620" s="133" t="str">
        <f>_xlfn.XLOOKUP(Table1[[#This Row],[Account_ID]], Accounts[ID], Accounts[Account nickname], "Unknown")</f>
        <v>Discover</v>
      </c>
      <c r="H620" s="134" t="str">
        <f>_xlfn.XLOOKUP(Table1[[#This Row],[Account_ID]], Accounts[ID], Accounts[Account'#], "Unknown")</f>
        <v>4618</v>
      </c>
      <c r="I620" s="135" t="str">
        <f>_xlfn.XLOOKUP(_xlfn.XLOOKUP(Table1[[#This Row],[Account]],Accounts[Account nickname],Accounts[Institution ID]),Institutions[ID],Institutions[Institution nickname],"Unknown")</f>
        <v>Discover</v>
      </c>
      <c r="J620" s="136" t="s">
        <v>1971</v>
      </c>
      <c r="K620" s="137" t="s">
        <v>843</v>
      </c>
      <c r="L620" s="137" t="s">
        <v>841</v>
      </c>
      <c r="M62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2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20" s="138" t="str" cm="1">
        <f t="array" ref="O620">IFERROR(INDEX(CategoriesTable[Category type],MATCH(Table1[[#This Row],[Category]],CategoriesTable[Category name],0),0),"")</f>
        <v/>
      </c>
      <c r="P620" s="138">
        <v>13</v>
      </c>
      <c r="Q620" s="138">
        <f>MONTH(Table1[[#This Row],[Date]])</f>
        <v>8</v>
      </c>
      <c r="R620" s="138">
        <v>2021</v>
      </c>
      <c r="S620" s="139">
        <f>IF(ISBLANK(Table1[[#This Row],[Date]]),"",Table1[[#This Row],[Date]]-WEEKDAY(Table1[[#This Row],[Date]],2)+1)</f>
        <v>44417</v>
      </c>
      <c r="T620" s="140">
        <f>IF(ISBLANK(Table1[[#This Row],[Date]]),"",DATE(Table1[[#This Row],[Date_Year]],Table1[[#This Row],[Date_Month]],1))</f>
        <v>44409</v>
      </c>
    </row>
    <row r="621" spans="2:20" ht="15.75">
      <c r="B621" s="154">
        <v>44421</v>
      </c>
      <c r="C621" s="119" t="s">
        <v>1966</v>
      </c>
      <c r="D621" s="119"/>
      <c r="E621" s="119"/>
      <c r="F621" s="155">
        <v>-22</v>
      </c>
      <c r="G621" s="133" t="str">
        <f>_xlfn.XLOOKUP(Table1[[#This Row],[Account_ID]], Accounts[ID], Accounts[Account nickname], "Unknown")</f>
        <v>Discover</v>
      </c>
      <c r="H621" s="134" t="str">
        <f>_xlfn.XLOOKUP(Table1[[#This Row],[Account_ID]], Accounts[ID], Accounts[Account'#], "Unknown")</f>
        <v>4618</v>
      </c>
      <c r="I621" s="135" t="str">
        <f>_xlfn.XLOOKUP(_xlfn.XLOOKUP(Table1[[#This Row],[Account]],Accounts[Account nickname],Accounts[Institution ID]),Institutions[ID],Institutions[Institution nickname],"Unknown")</f>
        <v>Discover</v>
      </c>
      <c r="J621" s="136" t="s">
        <v>1967</v>
      </c>
      <c r="K621" s="137" t="s">
        <v>843</v>
      </c>
      <c r="L621" s="137" t="s">
        <v>841</v>
      </c>
      <c r="M62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2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21" s="138" t="str" cm="1">
        <f t="array" ref="O621">IFERROR(INDEX(CategoriesTable[Category type],MATCH(Table1[[#This Row],[Category]],CategoriesTable[Category name],0),0),"")</f>
        <v/>
      </c>
      <c r="P621" s="138">
        <v>13</v>
      </c>
      <c r="Q621" s="138">
        <f>MONTH(Table1[[#This Row],[Date]])</f>
        <v>8</v>
      </c>
      <c r="R621" s="138">
        <v>2021</v>
      </c>
      <c r="S621" s="139">
        <f>IF(ISBLANK(Table1[[#This Row],[Date]]),"",Table1[[#This Row],[Date]]-WEEKDAY(Table1[[#This Row],[Date]],2)+1)</f>
        <v>44417</v>
      </c>
      <c r="T621" s="140">
        <f>IF(ISBLANK(Table1[[#This Row],[Date]]),"",DATE(Table1[[#This Row],[Date_Year]],Table1[[#This Row],[Date_Month]],1))</f>
        <v>44409</v>
      </c>
    </row>
    <row r="622" spans="2:20" ht="15.75">
      <c r="B622" s="154">
        <v>44421</v>
      </c>
      <c r="C622" s="119" t="s">
        <v>737</v>
      </c>
      <c r="D622" s="119"/>
      <c r="E622" s="119"/>
      <c r="F622" s="155">
        <v>-70</v>
      </c>
      <c r="G622" s="133" t="str">
        <f>_xlfn.XLOOKUP(Table1[[#This Row],[Account_ID]], Accounts[ID], Accounts[Account nickname], "Unknown")</f>
        <v>WF</v>
      </c>
      <c r="H622" s="134" t="str">
        <f>_xlfn.XLOOKUP(Table1[[#This Row],[Account_ID]], Accounts[ID], Accounts[Account'#], "Unknown")</f>
        <v>4636</v>
      </c>
      <c r="I622" s="135" t="str">
        <f>_xlfn.XLOOKUP(_xlfn.XLOOKUP(Table1[[#This Row],[Account]],Accounts[Account nickname],Accounts[Institution ID]),Institutions[ID],Institutions[Institution nickname],"Unknown")</f>
        <v>Wells Fargo</v>
      </c>
      <c r="J622" s="136" t="s">
        <v>1054</v>
      </c>
      <c r="K622" s="137" t="s">
        <v>808</v>
      </c>
      <c r="L622" s="137" t="s">
        <v>807</v>
      </c>
      <c r="M62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2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22" s="138" t="str" cm="1">
        <f t="array" ref="O622">IFERROR(INDEX(CategoriesTable[Category type],MATCH(Table1[[#This Row],[Category]],CategoriesTable[Category name],0),0),"")</f>
        <v/>
      </c>
      <c r="P622" s="138">
        <v>13</v>
      </c>
      <c r="Q622" s="138">
        <f>MONTH(Table1[[#This Row],[Date]])</f>
        <v>8</v>
      </c>
      <c r="R622" s="138">
        <v>2021</v>
      </c>
      <c r="S622" s="139">
        <f>IF(ISBLANK(Table1[[#This Row],[Date]]),"",Table1[[#This Row],[Date]]-WEEKDAY(Table1[[#This Row],[Date]],2)+1)</f>
        <v>44417</v>
      </c>
      <c r="T622" s="140">
        <f>IF(ISBLANK(Table1[[#This Row],[Date]]),"",DATE(Table1[[#This Row],[Date_Year]],Table1[[#This Row],[Date_Month]],1))</f>
        <v>44409</v>
      </c>
    </row>
    <row r="623" spans="2:20" ht="15.75">
      <c r="B623" s="154">
        <v>44420</v>
      </c>
      <c r="C623" s="119" t="s">
        <v>1500</v>
      </c>
      <c r="D623" s="119"/>
      <c r="E623" s="119"/>
      <c r="F623" s="155">
        <v>-1.99</v>
      </c>
      <c r="G623" s="133" t="str">
        <f>_xlfn.XLOOKUP(Table1[[#This Row],[Account_ID]], Accounts[ID], Accounts[Account nickname], "Unknown")</f>
        <v>Discover</v>
      </c>
      <c r="H623" s="134" t="str">
        <f>_xlfn.XLOOKUP(Table1[[#This Row],[Account_ID]], Accounts[ID], Accounts[Account'#], "Unknown")</f>
        <v>4618</v>
      </c>
      <c r="I623" s="135" t="str">
        <f>_xlfn.XLOOKUP(_xlfn.XLOOKUP(Table1[[#This Row],[Account]],Accounts[Account nickname],Accounts[Institution ID]),Institutions[ID],Institutions[Institution nickname],"Unknown")</f>
        <v>Discover</v>
      </c>
      <c r="J623" s="136" t="s">
        <v>1973</v>
      </c>
      <c r="K623" s="137" t="s">
        <v>843</v>
      </c>
      <c r="L623" s="137" t="s">
        <v>841</v>
      </c>
      <c r="M62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2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23" s="138" t="str" cm="1">
        <f t="array" ref="O623">IFERROR(INDEX(CategoriesTable[Category type],MATCH(Table1[[#This Row],[Category]],CategoriesTable[Category name],0),0),"")</f>
        <v/>
      </c>
      <c r="P623" s="138">
        <v>12</v>
      </c>
      <c r="Q623" s="138">
        <f>MONTH(Table1[[#This Row],[Date]])</f>
        <v>8</v>
      </c>
      <c r="R623" s="138">
        <v>2021</v>
      </c>
      <c r="S623" s="139">
        <f>IF(ISBLANK(Table1[[#This Row],[Date]]),"",Table1[[#This Row],[Date]]-WEEKDAY(Table1[[#This Row],[Date]],2)+1)</f>
        <v>44417</v>
      </c>
      <c r="T623" s="140">
        <f>IF(ISBLANK(Table1[[#This Row],[Date]]),"",DATE(Table1[[#This Row],[Date_Year]],Table1[[#This Row],[Date_Month]],1))</f>
        <v>44409</v>
      </c>
    </row>
    <row r="624" spans="2:20" ht="15.75">
      <c r="B624" s="154">
        <v>44420</v>
      </c>
      <c r="C624" s="119" t="s">
        <v>677</v>
      </c>
      <c r="D624" s="119"/>
      <c r="E624" s="119"/>
      <c r="F624" s="155">
        <v>2033.65</v>
      </c>
      <c r="G624" s="133" t="str">
        <f>_xlfn.XLOOKUP(Table1[[#This Row],[Account_ID]], Accounts[ID], Accounts[Account nickname], "Unknown")</f>
        <v>WF</v>
      </c>
      <c r="H624" s="134" t="str">
        <f>_xlfn.XLOOKUP(Table1[[#This Row],[Account_ID]], Accounts[ID], Accounts[Account'#], "Unknown")</f>
        <v>4636</v>
      </c>
      <c r="I624" s="135" t="str">
        <f>_xlfn.XLOOKUP(_xlfn.XLOOKUP(Table1[[#This Row],[Account]],Accounts[Account nickname],Accounts[Institution ID]),Institutions[ID],Institutions[Institution nickname],"Unknown")</f>
        <v>Wells Fargo</v>
      </c>
      <c r="J624" s="136" t="s">
        <v>1055</v>
      </c>
      <c r="K624" s="137" t="s">
        <v>808</v>
      </c>
      <c r="L624" s="137" t="s">
        <v>807</v>
      </c>
      <c r="M62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2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24" s="138" t="str" cm="1">
        <f t="array" ref="O624">IFERROR(INDEX(CategoriesTable[Category type],MATCH(Table1[[#This Row],[Category]],CategoriesTable[Category name],0),0),"")</f>
        <v/>
      </c>
      <c r="P624" s="138">
        <v>12</v>
      </c>
      <c r="Q624" s="138">
        <f>MONTH(Table1[[#This Row],[Date]])</f>
        <v>8</v>
      </c>
      <c r="R624" s="138">
        <v>2021</v>
      </c>
      <c r="S624" s="139">
        <f>IF(ISBLANK(Table1[[#This Row],[Date]]),"",Table1[[#This Row],[Date]]-WEEKDAY(Table1[[#This Row],[Date]],2)+1)</f>
        <v>44417</v>
      </c>
      <c r="T624" s="140">
        <f>IF(ISBLANK(Table1[[#This Row],[Date]]),"",DATE(Table1[[#This Row],[Date_Year]],Table1[[#This Row],[Date_Month]],1))</f>
        <v>44409</v>
      </c>
    </row>
    <row r="625" spans="2:20" ht="15.75">
      <c r="B625" s="154">
        <v>44420</v>
      </c>
      <c r="C625" s="119" t="s">
        <v>724</v>
      </c>
      <c r="D625" s="119"/>
      <c r="E625" s="119"/>
      <c r="F625" s="155">
        <v>-42.68</v>
      </c>
      <c r="G625" s="133" t="str">
        <f>_xlfn.XLOOKUP(Table1[[#This Row],[Account_ID]], Accounts[ID], Accounts[Account nickname], "Unknown")</f>
        <v>Discover</v>
      </c>
      <c r="H625" s="134" t="str">
        <f>_xlfn.XLOOKUP(Table1[[#This Row],[Account_ID]], Accounts[ID], Accounts[Account'#], "Unknown")</f>
        <v>4618</v>
      </c>
      <c r="I625" s="135" t="str">
        <f>_xlfn.XLOOKUP(_xlfn.XLOOKUP(Table1[[#This Row],[Account]],Accounts[Account nickname],Accounts[Institution ID]),Institutions[ID],Institutions[Institution nickname],"Unknown")</f>
        <v>Discover</v>
      </c>
      <c r="J625" s="136" t="s">
        <v>1974</v>
      </c>
      <c r="K625" s="137" t="s">
        <v>843</v>
      </c>
      <c r="L625" s="137" t="s">
        <v>841</v>
      </c>
      <c r="M62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2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25" s="138" t="str" cm="1">
        <f t="array" ref="O625">IFERROR(INDEX(CategoriesTable[Category type],MATCH(Table1[[#This Row],[Category]],CategoriesTable[Category name],0),0),"")</f>
        <v/>
      </c>
      <c r="P625" s="138">
        <v>12</v>
      </c>
      <c r="Q625" s="138">
        <f>MONTH(Table1[[#This Row],[Date]])</f>
        <v>8</v>
      </c>
      <c r="R625" s="138">
        <v>2021</v>
      </c>
      <c r="S625" s="139">
        <f>IF(ISBLANK(Table1[[#This Row],[Date]]),"",Table1[[#This Row],[Date]]-WEEKDAY(Table1[[#This Row],[Date]],2)+1)</f>
        <v>44417</v>
      </c>
      <c r="T625" s="140">
        <f>IF(ISBLANK(Table1[[#This Row],[Date]]),"",DATE(Table1[[#This Row],[Date_Year]],Table1[[#This Row],[Date_Month]],1))</f>
        <v>44409</v>
      </c>
    </row>
    <row r="626" spans="2:20" ht="15.75">
      <c r="B626" s="154">
        <v>44420</v>
      </c>
      <c r="C626" s="119" t="s">
        <v>1917</v>
      </c>
      <c r="D626" s="119"/>
      <c r="E626" s="119"/>
      <c r="F626" s="155">
        <v>-35</v>
      </c>
      <c r="G626" s="133" t="str">
        <f>_xlfn.XLOOKUP(Table1[[#This Row],[Account_ID]], Accounts[ID], Accounts[Account nickname], "Unknown")</f>
        <v>Discover</v>
      </c>
      <c r="H626" s="134" t="str">
        <f>_xlfn.XLOOKUP(Table1[[#This Row],[Account_ID]], Accounts[ID], Accounts[Account'#], "Unknown")</f>
        <v>4618</v>
      </c>
      <c r="I626" s="135" t="str">
        <f>_xlfn.XLOOKUP(_xlfn.XLOOKUP(Table1[[#This Row],[Account]],Accounts[Account nickname],Accounts[Institution ID]),Institutions[ID],Institutions[Institution nickname],"Unknown")</f>
        <v>Discover</v>
      </c>
      <c r="J626" s="136" t="s">
        <v>1972</v>
      </c>
      <c r="K626" s="137" t="s">
        <v>843</v>
      </c>
      <c r="L626" s="137" t="s">
        <v>841</v>
      </c>
      <c r="M62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2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26" s="138" t="str" cm="1">
        <f t="array" ref="O626">IFERROR(INDEX(CategoriesTable[Category type],MATCH(Table1[[#This Row],[Category]],CategoriesTable[Category name],0),0),"")</f>
        <v/>
      </c>
      <c r="P626" s="138">
        <v>12</v>
      </c>
      <c r="Q626" s="138">
        <f>MONTH(Table1[[#This Row],[Date]])</f>
        <v>8</v>
      </c>
      <c r="R626" s="138">
        <v>2021</v>
      </c>
      <c r="S626" s="139">
        <f>IF(ISBLANK(Table1[[#This Row],[Date]]),"",Table1[[#This Row],[Date]]-WEEKDAY(Table1[[#This Row],[Date]],2)+1)</f>
        <v>44417</v>
      </c>
      <c r="T626" s="140">
        <f>IF(ISBLANK(Table1[[#This Row],[Date]]),"",DATE(Table1[[#This Row],[Date_Year]],Table1[[#This Row],[Date_Month]],1))</f>
        <v>44409</v>
      </c>
    </row>
    <row r="627" spans="2:20" ht="15.75">
      <c r="B627" s="154">
        <v>44419</v>
      </c>
      <c r="C627" s="119" t="s">
        <v>718</v>
      </c>
      <c r="D627" s="119"/>
      <c r="E627" s="119"/>
      <c r="F627" s="155">
        <v>-56.36</v>
      </c>
      <c r="G627" s="133" t="str">
        <f>_xlfn.XLOOKUP(Table1[[#This Row],[Account_ID]], Accounts[ID], Accounts[Account nickname], "Unknown")</f>
        <v>Discover</v>
      </c>
      <c r="H627" s="134" t="str">
        <f>_xlfn.XLOOKUP(Table1[[#This Row],[Account_ID]], Accounts[ID], Accounts[Account'#], "Unknown")</f>
        <v>4618</v>
      </c>
      <c r="I627" s="135" t="str">
        <f>_xlfn.XLOOKUP(_xlfn.XLOOKUP(Table1[[#This Row],[Account]],Accounts[Account nickname],Accounts[Institution ID]),Institutions[ID],Institutions[Institution nickname],"Unknown")</f>
        <v>Discover</v>
      </c>
      <c r="J627" s="136" t="s">
        <v>1978</v>
      </c>
      <c r="K627" s="137" t="s">
        <v>843</v>
      </c>
      <c r="L627" s="137" t="s">
        <v>841</v>
      </c>
      <c r="M62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2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27" s="138" t="str" cm="1">
        <f t="array" ref="O627">IFERROR(INDEX(CategoriesTable[Category type],MATCH(Table1[[#This Row],[Category]],CategoriesTable[Category name],0),0),"")</f>
        <v/>
      </c>
      <c r="P627" s="138">
        <v>11</v>
      </c>
      <c r="Q627" s="138">
        <f>MONTH(Table1[[#This Row],[Date]])</f>
        <v>8</v>
      </c>
      <c r="R627" s="138">
        <v>2021</v>
      </c>
      <c r="S627" s="139">
        <f>IF(ISBLANK(Table1[[#This Row],[Date]]),"",Table1[[#This Row],[Date]]-WEEKDAY(Table1[[#This Row],[Date]],2)+1)</f>
        <v>44417</v>
      </c>
      <c r="T627" s="140">
        <f>IF(ISBLANK(Table1[[#This Row],[Date]]),"",DATE(Table1[[#This Row],[Date_Year]],Table1[[#This Row],[Date_Month]],1))</f>
        <v>44409</v>
      </c>
    </row>
    <row r="628" spans="2:20" ht="15.75">
      <c r="B628" s="154">
        <v>44419</v>
      </c>
      <c r="C628" s="119" t="s">
        <v>1975</v>
      </c>
      <c r="D628" s="119"/>
      <c r="E628" s="119"/>
      <c r="F628" s="155">
        <v>-149</v>
      </c>
      <c r="G628" s="133" t="str">
        <f>_xlfn.XLOOKUP(Table1[[#This Row],[Account_ID]], Accounts[ID], Accounts[Account nickname], "Unknown")</f>
        <v>Discover</v>
      </c>
      <c r="H628" s="134" t="str">
        <f>_xlfn.XLOOKUP(Table1[[#This Row],[Account_ID]], Accounts[ID], Accounts[Account'#], "Unknown")</f>
        <v>4618</v>
      </c>
      <c r="I628" s="135" t="str">
        <f>_xlfn.XLOOKUP(_xlfn.XLOOKUP(Table1[[#This Row],[Account]],Accounts[Account nickname],Accounts[Institution ID]),Institutions[ID],Institutions[Institution nickname],"Unknown")</f>
        <v>Discover</v>
      </c>
      <c r="J628" s="136" t="s">
        <v>1976</v>
      </c>
      <c r="K628" s="137" t="s">
        <v>843</v>
      </c>
      <c r="L628" s="137" t="s">
        <v>841</v>
      </c>
      <c r="M62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2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28" s="138" t="str" cm="1">
        <f t="array" ref="O628">IFERROR(INDEX(CategoriesTable[Category type],MATCH(Table1[[#This Row],[Category]],CategoriesTable[Category name],0),0),"")</f>
        <v/>
      </c>
      <c r="P628" s="138">
        <v>11</v>
      </c>
      <c r="Q628" s="138">
        <f>MONTH(Table1[[#This Row],[Date]])</f>
        <v>8</v>
      </c>
      <c r="R628" s="138">
        <v>2021</v>
      </c>
      <c r="S628" s="139">
        <f>IF(ISBLANK(Table1[[#This Row],[Date]]),"",Table1[[#This Row],[Date]]-WEEKDAY(Table1[[#This Row],[Date]],2)+1)</f>
        <v>44417</v>
      </c>
      <c r="T628" s="140">
        <f>IF(ISBLANK(Table1[[#This Row],[Date]]),"",DATE(Table1[[#This Row],[Date_Year]],Table1[[#This Row],[Date_Month]],1))</f>
        <v>44409</v>
      </c>
    </row>
    <row r="629" spans="2:20" ht="15.75">
      <c r="B629" s="154">
        <v>44419</v>
      </c>
      <c r="C629" s="119" t="s">
        <v>798</v>
      </c>
      <c r="D629" s="119"/>
      <c r="E629" s="119"/>
      <c r="F629" s="155">
        <v>-42.35</v>
      </c>
      <c r="G629" s="133" t="str">
        <f>_xlfn.XLOOKUP(Table1[[#This Row],[Account_ID]], Accounts[ID], Accounts[Account nickname], "Unknown")</f>
        <v>Discover</v>
      </c>
      <c r="H629" s="134" t="str">
        <f>_xlfn.XLOOKUP(Table1[[#This Row],[Account_ID]], Accounts[ID], Accounts[Account'#], "Unknown")</f>
        <v>4618</v>
      </c>
      <c r="I629" s="135" t="str">
        <f>_xlfn.XLOOKUP(_xlfn.XLOOKUP(Table1[[#This Row],[Account]],Accounts[Account nickname],Accounts[Institution ID]),Institutions[ID],Institutions[Institution nickname],"Unknown")</f>
        <v>Discover</v>
      </c>
      <c r="J629" s="136" t="s">
        <v>1977</v>
      </c>
      <c r="K629" s="137" t="s">
        <v>843</v>
      </c>
      <c r="L629" s="137" t="s">
        <v>841</v>
      </c>
      <c r="M62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2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29" s="138" t="str" cm="1">
        <f t="array" ref="O629">IFERROR(INDEX(CategoriesTable[Category type],MATCH(Table1[[#This Row],[Category]],CategoriesTable[Category name],0),0),"")</f>
        <v/>
      </c>
      <c r="P629" s="138">
        <v>11</v>
      </c>
      <c r="Q629" s="138">
        <f>MONTH(Table1[[#This Row],[Date]])</f>
        <v>8</v>
      </c>
      <c r="R629" s="138">
        <v>2021</v>
      </c>
      <c r="S629" s="139">
        <f>IF(ISBLANK(Table1[[#This Row],[Date]]),"",Table1[[#This Row],[Date]]-WEEKDAY(Table1[[#This Row],[Date]],2)+1)</f>
        <v>44417</v>
      </c>
      <c r="T629" s="140">
        <f>IF(ISBLANK(Table1[[#This Row],[Date]]),"",DATE(Table1[[#This Row],[Date_Year]],Table1[[#This Row],[Date_Month]],1))</f>
        <v>44409</v>
      </c>
    </row>
    <row r="630" spans="2:20" ht="15.75">
      <c r="B630" s="154">
        <v>44418</v>
      </c>
      <c r="C630" s="119" t="s">
        <v>739</v>
      </c>
      <c r="D630" s="119"/>
      <c r="E630" s="119"/>
      <c r="F630" s="155">
        <v>-20</v>
      </c>
      <c r="G630" s="133" t="str">
        <f>_xlfn.XLOOKUP(Table1[[#This Row],[Account_ID]], Accounts[ID], Accounts[Account nickname], "Unknown")</f>
        <v>WF</v>
      </c>
      <c r="H630" s="134" t="str">
        <f>_xlfn.XLOOKUP(Table1[[#This Row],[Account_ID]], Accounts[ID], Accounts[Account'#], "Unknown")</f>
        <v>4636</v>
      </c>
      <c r="I630" s="135" t="str">
        <f>_xlfn.XLOOKUP(_xlfn.XLOOKUP(Table1[[#This Row],[Account]],Accounts[Account nickname],Accounts[Institution ID]),Institutions[ID],Institutions[Institution nickname],"Unknown")</f>
        <v>Wells Fargo</v>
      </c>
      <c r="J630" s="136" t="s">
        <v>1057</v>
      </c>
      <c r="K630" s="137" t="s">
        <v>808</v>
      </c>
      <c r="L630" s="137" t="s">
        <v>807</v>
      </c>
      <c r="M63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3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30" s="138" t="str" cm="1">
        <f t="array" ref="O630">IFERROR(INDEX(CategoriesTable[Category type],MATCH(Table1[[#This Row],[Category]],CategoriesTable[Category name],0),0),"")</f>
        <v/>
      </c>
      <c r="P630" s="138">
        <v>10</v>
      </c>
      <c r="Q630" s="138">
        <f>MONTH(Table1[[#This Row],[Date]])</f>
        <v>8</v>
      </c>
      <c r="R630" s="138">
        <v>2021</v>
      </c>
      <c r="S630" s="139">
        <f>IF(ISBLANK(Table1[[#This Row],[Date]]),"",Table1[[#This Row],[Date]]-WEEKDAY(Table1[[#This Row],[Date]],2)+1)</f>
        <v>44417</v>
      </c>
      <c r="T630" s="140">
        <f>IF(ISBLANK(Table1[[#This Row],[Date]]),"",DATE(Table1[[#This Row],[Date_Year]],Table1[[#This Row],[Date_Month]],1))</f>
        <v>44409</v>
      </c>
    </row>
    <row r="631" spans="2:20" ht="15.75">
      <c r="B631" s="154">
        <v>44418</v>
      </c>
      <c r="C631" s="119" t="s">
        <v>738</v>
      </c>
      <c r="D631" s="119"/>
      <c r="E631" s="119"/>
      <c r="F631" s="155">
        <v>-15</v>
      </c>
      <c r="G631" s="133" t="str">
        <f>_xlfn.XLOOKUP(Table1[[#This Row],[Account_ID]], Accounts[ID], Accounts[Account nickname], "Unknown")</f>
        <v>WF</v>
      </c>
      <c r="H631" s="134" t="str">
        <f>_xlfn.XLOOKUP(Table1[[#This Row],[Account_ID]], Accounts[ID], Accounts[Account'#], "Unknown")</f>
        <v>4636</v>
      </c>
      <c r="I631" s="135" t="str">
        <f>_xlfn.XLOOKUP(_xlfn.XLOOKUP(Table1[[#This Row],[Account]],Accounts[Account nickname],Accounts[Institution ID]),Institutions[ID],Institutions[Institution nickname],"Unknown")</f>
        <v>Wells Fargo</v>
      </c>
      <c r="J631" s="136" t="s">
        <v>1056</v>
      </c>
      <c r="K631" s="137" t="s">
        <v>808</v>
      </c>
      <c r="L631" s="137" t="s">
        <v>807</v>
      </c>
      <c r="M63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3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31" s="138" t="str" cm="1">
        <f t="array" ref="O631">IFERROR(INDEX(CategoriesTable[Category type],MATCH(Table1[[#This Row],[Category]],CategoriesTable[Category name],0),0),"")</f>
        <v/>
      </c>
      <c r="P631" s="138">
        <v>10</v>
      </c>
      <c r="Q631" s="138">
        <f>MONTH(Table1[[#This Row],[Date]])</f>
        <v>8</v>
      </c>
      <c r="R631" s="138">
        <v>2021</v>
      </c>
      <c r="S631" s="139">
        <f>IF(ISBLANK(Table1[[#This Row],[Date]]),"",Table1[[#This Row],[Date]]-WEEKDAY(Table1[[#This Row],[Date]],2)+1)</f>
        <v>44417</v>
      </c>
      <c r="T631" s="140">
        <f>IF(ISBLANK(Table1[[#This Row],[Date]]),"",DATE(Table1[[#This Row],[Date_Year]],Table1[[#This Row],[Date_Month]],1))</f>
        <v>44409</v>
      </c>
    </row>
    <row r="632" spans="2:20" ht="15.75">
      <c r="B632" s="154">
        <v>44418</v>
      </c>
      <c r="C632" s="119" t="s">
        <v>1980</v>
      </c>
      <c r="D632" s="119"/>
      <c r="E632" s="119"/>
      <c r="F632" s="155">
        <v>-6.94</v>
      </c>
      <c r="G632" s="133" t="str">
        <f>_xlfn.XLOOKUP(Table1[[#This Row],[Account_ID]], Accounts[ID], Accounts[Account nickname], "Unknown")</f>
        <v>Discover</v>
      </c>
      <c r="H632" s="134" t="str">
        <f>_xlfn.XLOOKUP(Table1[[#This Row],[Account_ID]], Accounts[ID], Accounts[Account'#], "Unknown")</f>
        <v>4618</v>
      </c>
      <c r="I632" s="135" t="str">
        <f>_xlfn.XLOOKUP(_xlfn.XLOOKUP(Table1[[#This Row],[Account]],Accounts[Account nickname],Accounts[Institution ID]),Institutions[ID],Institutions[Institution nickname],"Unknown")</f>
        <v>Discover</v>
      </c>
      <c r="J632" s="136" t="s">
        <v>1981</v>
      </c>
      <c r="K632" s="137" t="s">
        <v>843</v>
      </c>
      <c r="L632" s="137" t="s">
        <v>841</v>
      </c>
      <c r="M63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3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32" s="138" t="str" cm="1">
        <f t="array" ref="O632">IFERROR(INDEX(CategoriesTable[Category type],MATCH(Table1[[#This Row],[Category]],CategoriesTable[Category name],0),0),"")</f>
        <v/>
      </c>
      <c r="P632" s="138">
        <v>10</v>
      </c>
      <c r="Q632" s="138">
        <f>MONTH(Table1[[#This Row],[Date]])</f>
        <v>8</v>
      </c>
      <c r="R632" s="138">
        <v>2021</v>
      </c>
      <c r="S632" s="139">
        <f>IF(ISBLANK(Table1[[#This Row],[Date]]),"",Table1[[#This Row],[Date]]-WEEKDAY(Table1[[#This Row],[Date]],2)+1)</f>
        <v>44417</v>
      </c>
      <c r="T632" s="140">
        <f>IF(ISBLANK(Table1[[#This Row],[Date]]),"",DATE(Table1[[#This Row],[Date_Year]],Table1[[#This Row],[Date_Month]],1))</f>
        <v>44409</v>
      </c>
    </row>
    <row r="633" spans="2:20" ht="15.75">
      <c r="B633" s="154">
        <v>44418</v>
      </c>
      <c r="C633" s="119" t="s">
        <v>910</v>
      </c>
      <c r="D633" s="119"/>
      <c r="E633" s="119"/>
      <c r="F633" s="155">
        <v>-54.03</v>
      </c>
      <c r="G633" s="133" t="str">
        <f>_xlfn.XLOOKUP(Table1[[#This Row],[Account_ID]], Accounts[ID], Accounts[Account nickname], "Unknown")</f>
        <v>Discover</v>
      </c>
      <c r="H633" s="134" t="str">
        <f>_xlfn.XLOOKUP(Table1[[#This Row],[Account_ID]], Accounts[ID], Accounts[Account'#], "Unknown")</f>
        <v>4618</v>
      </c>
      <c r="I633" s="135" t="str">
        <f>_xlfn.XLOOKUP(_xlfn.XLOOKUP(Table1[[#This Row],[Account]],Accounts[Account nickname],Accounts[Institution ID]),Institutions[ID],Institutions[Institution nickname],"Unknown")</f>
        <v>Discover</v>
      </c>
      <c r="J633" s="136" t="s">
        <v>1979</v>
      </c>
      <c r="K633" s="137" t="s">
        <v>843</v>
      </c>
      <c r="L633" s="137" t="s">
        <v>841</v>
      </c>
      <c r="M63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3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33" s="138" t="str" cm="1">
        <f t="array" ref="O633">IFERROR(INDEX(CategoriesTable[Category type],MATCH(Table1[[#This Row],[Category]],CategoriesTable[Category name],0),0),"")</f>
        <v/>
      </c>
      <c r="P633" s="138">
        <v>10</v>
      </c>
      <c r="Q633" s="138">
        <f>MONTH(Table1[[#This Row],[Date]])</f>
        <v>8</v>
      </c>
      <c r="R633" s="138">
        <v>2021</v>
      </c>
      <c r="S633" s="139">
        <f>IF(ISBLANK(Table1[[#This Row],[Date]]),"",Table1[[#This Row],[Date]]-WEEKDAY(Table1[[#This Row],[Date]],2)+1)</f>
        <v>44417</v>
      </c>
      <c r="T633" s="140">
        <f>IF(ISBLANK(Table1[[#This Row],[Date]]),"",DATE(Table1[[#This Row],[Date_Year]],Table1[[#This Row],[Date_Month]],1))</f>
        <v>44409</v>
      </c>
    </row>
    <row r="634" spans="2:20" ht="15.75">
      <c r="B634" s="154">
        <v>44416</v>
      </c>
      <c r="C634" s="119" t="s">
        <v>1623</v>
      </c>
      <c r="D634" s="119"/>
      <c r="E634" s="119"/>
      <c r="F634" s="155">
        <v>-7.15</v>
      </c>
      <c r="G634" s="133" t="str">
        <f>_xlfn.XLOOKUP(Table1[[#This Row],[Account_ID]], Accounts[ID], Accounts[Account nickname], "Unknown")</f>
        <v>Discover</v>
      </c>
      <c r="H634" s="134" t="str">
        <f>_xlfn.XLOOKUP(Table1[[#This Row],[Account_ID]], Accounts[ID], Accounts[Account'#], "Unknown")</f>
        <v>4618</v>
      </c>
      <c r="I634" s="135" t="str">
        <f>_xlfn.XLOOKUP(_xlfn.XLOOKUP(Table1[[#This Row],[Account]],Accounts[Account nickname],Accounts[Institution ID]),Institutions[ID],Institutions[Institution nickname],"Unknown")</f>
        <v>Discover</v>
      </c>
      <c r="J634" s="136" t="s">
        <v>1982</v>
      </c>
      <c r="K634" s="137" t="s">
        <v>843</v>
      </c>
      <c r="L634" s="137" t="s">
        <v>841</v>
      </c>
      <c r="M63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3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34" s="138" t="str" cm="1">
        <f t="array" ref="O634">IFERROR(INDEX(CategoriesTable[Category type],MATCH(Table1[[#This Row],[Category]],CategoriesTable[Category name],0),0),"")</f>
        <v/>
      </c>
      <c r="P634" s="138">
        <v>8</v>
      </c>
      <c r="Q634" s="138">
        <f>MONTH(Table1[[#This Row],[Date]])</f>
        <v>8</v>
      </c>
      <c r="R634" s="138">
        <v>2021</v>
      </c>
      <c r="S634" s="139">
        <f>IF(ISBLANK(Table1[[#This Row],[Date]]),"",Table1[[#This Row],[Date]]-WEEKDAY(Table1[[#This Row],[Date]],2)+1)</f>
        <v>44410</v>
      </c>
      <c r="T634" s="140">
        <f>IF(ISBLANK(Table1[[#This Row],[Date]]),"",DATE(Table1[[#This Row],[Date_Year]],Table1[[#This Row],[Date_Month]],1))</f>
        <v>44409</v>
      </c>
    </row>
    <row r="635" spans="2:20" ht="15.75">
      <c r="B635" s="154">
        <v>44416</v>
      </c>
      <c r="C635" s="119" t="s">
        <v>707</v>
      </c>
      <c r="D635" s="119"/>
      <c r="E635" s="119"/>
      <c r="F635" s="155">
        <v>-12.99</v>
      </c>
      <c r="G635" s="133" t="str">
        <f>_xlfn.XLOOKUP(Table1[[#This Row],[Account_ID]], Accounts[ID], Accounts[Account nickname], "Unknown")</f>
        <v>Discover</v>
      </c>
      <c r="H635" s="134" t="str">
        <f>_xlfn.XLOOKUP(Table1[[#This Row],[Account_ID]], Accounts[ID], Accounts[Account'#], "Unknown")</f>
        <v>4618</v>
      </c>
      <c r="I635" s="135" t="str">
        <f>_xlfn.XLOOKUP(_xlfn.XLOOKUP(Table1[[#This Row],[Account]],Accounts[Account nickname],Accounts[Institution ID]),Institutions[ID],Institutions[Institution nickname],"Unknown")</f>
        <v>Discover</v>
      </c>
      <c r="J635" s="136" t="s">
        <v>1987</v>
      </c>
      <c r="K635" s="137" t="s">
        <v>843</v>
      </c>
      <c r="L635" s="137" t="s">
        <v>841</v>
      </c>
      <c r="M63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3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35" s="138" t="str" cm="1">
        <f t="array" ref="O635">IFERROR(INDEX(CategoriesTable[Category type],MATCH(Table1[[#This Row],[Category]],CategoriesTable[Category name],0),0),"")</f>
        <v/>
      </c>
      <c r="P635" s="138">
        <v>8</v>
      </c>
      <c r="Q635" s="138">
        <f>MONTH(Table1[[#This Row],[Date]])</f>
        <v>8</v>
      </c>
      <c r="R635" s="138">
        <v>2021</v>
      </c>
      <c r="S635" s="139">
        <f>IF(ISBLANK(Table1[[#This Row],[Date]]),"",Table1[[#This Row],[Date]]-WEEKDAY(Table1[[#This Row],[Date]],2)+1)</f>
        <v>44410</v>
      </c>
      <c r="T635" s="140">
        <f>IF(ISBLANK(Table1[[#This Row],[Date]]),"",DATE(Table1[[#This Row],[Date_Year]],Table1[[#This Row],[Date_Month]],1))</f>
        <v>44409</v>
      </c>
    </row>
    <row r="636" spans="2:20" ht="15.75">
      <c r="B636" s="154">
        <v>44416</v>
      </c>
      <c r="C636" s="119" t="s">
        <v>1968</v>
      </c>
      <c r="D636" s="119"/>
      <c r="E636" s="119"/>
      <c r="F636" s="155">
        <v>-31.58</v>
      </c>
      <c r="G636" s="133" t="str">
        <f>_xlfn.XLOOKUP(Table1[[#This Row],[Account_ID]], Accounts[ID], Accounts[Account nickname], "Unknown")</f>
        <v>Discover</v>
      </c>
      <c r="H636" s="134" t="str">
        <f>_xlfn.XLOOKUP(Table1[[#This Row],[Account_ID]], Accounts[ID], Accounts[Account'#], "Unknown")</f>
        <v>4618</v>
      </c>
      <c r="I636" s="135" t="str">
        <f>_xlfn.XLOOKUP(_xlfn.XLOOKUP(Table1[[#This Row],[Account]],Accounts[Account nickname],Accounts[Institution ID]),Institutions[ID],Institutions[Institution nickname],"Unknown")</f>
        <v>Discover</v>
      </c>
      <c r="J636" s="136" t="s">
        <v>1983</v>
      </c>
      <c r="K636" s="137" t="s">
        <v>843</v>
      </c>
      <c r="L636" s="137" t="s">
        <v>841</v>
      </c>
      <c r="M63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3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36" s="138" t="str" cm="1">
        <f t="array" ref="O636">IFERROR(INDEX(CategoriesTable[Category type],MATCH(Table1[[#This Row],[Category]],CategoriesTable[Category name],0),0),"")</f>
        <v/>
      </c>
      <c r="P636" s="138">
        <v>8</v>
      </c>
      <c r="Q636" s="138">
        <f>MONTH(Table1[[#This Row],[Date]])</f>
        <v>8</v>
      </c>
      <c r="R636" s="138">
        <v>2021</v>
      </c>
      <c r="S636" s="139">
        <f>IF(ISBLANK(Table1[[#This Row],[Date]]),"",Table1[[#This Row],[Date]]-WEEKDAY(Table1[[#This Row],[Date]],2)+1)</f>
        <v>44410</v>
      </c>
      <c r="T636" s="140">
        <f>IF(ISBLANK(Table1[[#This Row],[Date]]),"",DATE(Table1[[#This Row],[Date_Year]],Table1[[#This Row],[Date_Month]],1))</f>
        <v>44409</v>
      </c>
    </row>
    <row r="637" spans="2:20" ht="15.75">
      <c r="B637" s="154">
        <v>44416</v>
      </c>
      <c r="C637" s="119" t="s">
        <v>1984</v>
      </c>
      <c r="D637" s="119"/>
      <c r="E637" s="119"/>
      <c r="F637" s="155">
        <v>-21.73</v>
      </c>
      <c r="G637" s="133" t="str">
        <f>_xlfn.XLOOKUP(Table1[[#This Row],[Account_ID]], Accounts[ID], Accounts[Account nickname], "Unknown")</f>
        <v>Discover</v>
      </c>
      <c r="H637" s="134" t="str">
        <f>_xlfn.XLOOKUP(Table1[[#This Row],[Account_ID]], Accounts[ID], Accounts[Account'#], "Unknown")</f>
        <v>4618</v>
      </c>
      <c r="I637" s="135" t="str">
        <f>_xlfn.XLOOKUP(_xlfn.XLOOKUP(Table1[[#This Row],[Account]],Accounts[Account nickname],Accounts[Institution ID]),Institutions[ID],Institutions[Institution nickname],"Unknown")</f>
        <v>Discover</v>
      </c>
      <c r="J637" s="136" t="s">
        <v>1985</v>
      </c>
      <c r="K637" s="137" t="s">
        <v>843</v>
      </c>
      <c r="L637" s="137" t="s">
        <v>841</v>
      </c>
      <c r="M63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3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37" s="138" t="str" cm="1">
        <f t="array" ref="O637">IFERROR(INDEX(CategoriesTable[Category type],MATCH(Table1[[#This Row],[Category]],CategoriesTable[Category name],0),0),"")</f>
        <v/>
      </c>
      <c r="P637" s="138">
        <v>8</v>
      </c>
      <c r="Q637" s="138">
        <f>MONTH(Table1[[#This Row],[Date]])</f>
        <v>8</v>
      </c>
      <c r="R637" s="138">
        <v>2021</v>
      </c>
      <c r="S637" s="139">
        <f>IF(ISBLANK(Table1[[#This Row],[Date]]),"",Table1[[#This Row],[Date]]-WEEKDAY(Table1[[#This Row],[Date]],2)+1)</f>
        <v>44410</v>
      </c>
      <c r="T637" s="140">
        <f>IF(ISBLANK(Table1[[#This Row],[Date]]),"",DATE(Table1[[#This Row],[Date_Year]],Table1[[#This Row],[Date_Month]],1))</f>
        <v>44409</v>
      </c>
    </row>
    <row r="638" spans="2:20" ht="15.75">
      <c r="B638" s="154">
        <v>44416</v>
      </c>
      <c r="C638" s="119" t="s">
        <v>707</v>
      </c>
      <c r="D638" s="119"/>
      <c r="E638" s="119"/>
      <c r="F638" s="155">
        <v>-12.99</v>
      </c>
      <c r="G638" s="133" t="str">
        <f>_xlfn.XLOOKUP(Table1[[#This Row],[Account_ID]], Accounts[ID], Accounts[Account nickname], "Unknown")</f>
        <v>Discover</v>
      </c>
      <c r="H638" s="134" t="str">
        <f>_xlfn.XLOOKUP(Table1[[#This Row],[Account_ID]], Accounts[ID], Accounts[Account'#], "Unknown")</f>
        <v>4618</v>
      </c>
      <c r="I638" s="135" t="str">
        <f>_xlfn.XLOOKUP(_xlfn.XLOOKUP(Table1[[#This Row],[Account]],Accounts[Account nickname],Accounts[Institution ID]),Institutions[ID],Institutions[Institution nickname],"Unknown")</f>
        <v>Discover</v>
      </c>
      <c r="J638" s="136" t="s">
        <v>1986</v>
      </c>
      <c r="K638" s="137" t="s">
        <v>843</v>
      </c>
      <c r="L638" s="137" t="s">
        <v>841</v>
      </c>
      <c r="M63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3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38" s="138" t="str" cm="1">
        <f t="array" ref="O638">IFERROR(INDEX(CategoriesTable[Category type],MATCH(Table1[[#This Row],[Category]],CategoriesTable[Category name],0),0),"")</f>
        <v/>
      </c>
      <c r="P638" s="138">
        <v>8</v>
      </c>
      <c r="Q638" s="138">
        <f>MONTH(Table1[[#This Row],[Date]])</f>
        <v>8</v>
      </c>
      <c r="R638" s="138">
        <v>2021</v>
      </c>
      <c r="S638" s="139">
        <f>IF(ISBLANK(Table1[[#This Row],[Date]]),"",Table1[[#This Row],[Date]]-WEEKDAY(Table1[[#This Row],[Date]],2)+1)</f>
        <v>44410</v>
      </c>
      <c r="T638" s="140">
        <f>IF(ISBLANK(Table1[[#This Row],[Date]]),"",DATE(Table1[[#This Row],[Date_Year]],Table1[[#This Row],[Date_Month]],1))</f>
        <v>44409</v>
      </c>
    </row>
    <row r="639" spans="2:20" ht="15.75">
      <c r="B639" s="154">
        <v>44416</v>
      </c>
      <c r="C639" s="119" t="s">
        <v>707</v>
      </c>
      <c r="D639" s="119"/>
      <c r="E639" s="119"/>
      <c r="F639" s="155">
        <v>-130.81</v>
      </c>
      <c r="G639" s="133" t="str">
        <f>_xlfn.XLOOKUP(Table1[[#This Row],[Account_ID]], Accounts[ID], Accounts[Account nickname], "Unknown")</f>
        <v>Discover</v>
      </c>
      <c r="H639" s="134" t="str">
        <f>_xlfn.XLOOKUP(Table1[[#This Row],[Account_ID]], Accounts[ID], Accounts[Account'#], "Unknown")</f>
        <v>4618</v>
      </c>
      <c r="I639" s="135" t="str">
        <f>_xlfn.XLOOKUP(_xlfn.XLOOKUP(Table1[[#This Row],[Account]],Accounts[Account nickname],Accounts[Institution ID]),Institutions[ID],Institutions[Institution nickname],"Unknown")</f>
        <v>Discover</v>
      </c>
      <c r="J639" s="136" t="s">
        <v>1988</v>
      </c>
      <c r="K639" s="137" t="s">
        <v>843</v>
      </c>
      <c r="L639" s="137" t="s">
        <v>841</v>
      </c>
      <c r="M63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3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39" s="138" t="str" cm="1">
        <f t="array" ref="O639">IFERROR(INDEX(CategoriesTable[Category type],MATCH(Table1[[#This Row],[Category]],CategoriesTable[Category name],0),0),"")</f>
        <v/>
      </c>
      <c r="P639" s="138">
        <v>8</v>
      </c>
      <c r="Q639" s="138">
        <f>MONTH(Table1[[#This Row],[Date]])</f>
        <v>8</v>
      </c>
      <c r="R639" s="138">
        <v>2021</v>
      </c>
      <c r="S639" s="139">
        <f>IF(ISBLANK(Table1[[#This Row],[Date]]),"",Table1[[#This Row],[Date]]-WEEKDAY(Table1[[#This Row],[Date]],2)+1)</f>
        <v>44410</v>
      </c>
      <c r="T639" s="140">
        <f>IF(ISBLANK(Table1[[#This Row],[Date]]),"",DATE(Table1[[#This Row],[Date_Year]],Table1[[#This Row],[Date_Month]],1))</f>
        <v>44409</v>
      </c>
    </row>
    <row r="640" spans="2:20" ht="15.75">
      <c r="B640" s="154">
        <v>44415</v>
      </c>
      <c r="C640" s="119" t="s">
        <v>734</v>
      </c>
      <c r="D640" s="119"/>
      <c r="E640" s="119"/>
      <c r="F640" s="155">
        <v>-40</v>
      </c>
      <c r="G640" s="133" t="str">
        <f>_xlfn.XLOOKUP(Table1[[#This Row],[Account_ID]], Accounts[ID], Accounts[Account nickname], "Unknown")</f>
        <v>WF</v>
      </c>
      <c r="H640" s="134" t="str">
        <f>_xlfn.XLOOKUP(Table1[[#This Row],[Account_ID]], Accounts[ID], Accounts[Account'#], "Unknown")</f>
        <v>4636</v>
      </c>
      <c r="I640" s="135" t="str">
        <f>_xlfn.XLOOKUP(_xlfn.XLOOKUP(Table1[[#This Row],[Account]],Accounts[Account nickname],Accounts[Institution ID]),Institutions[ID],Institutions[Institution nickname],"Unknown")</f>
        <v>Wells Fargo</v>
      </c>
      <c r="J640" s="136" t="s">
        <v>1058</v>
      </c>
      <c r="K640" s="137" t="s">
        <v>808</v>
      </c>
      <c r="L640" s="137" t="s">
        <v>807</v>
      </c>
      <c r="M64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4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40" s="138" t="str" cm="1">
        <f t="array" ref="O640">IFERROR(INDEX(CategoriesTable[Category type],MATCH(Table1[[#This Row],[Category]],CategoriesTable[Category name],0),0),"")</f>
        <v/>
      </c>
      <c r="P640" s="138">
        <v>7</v>
      </c>
      <c r="Q640" s="138">
        <f>MONTH(Table1[[#This Row],[Date]])</f>
        <v>8</v>
      </c>
      <c r="R640" s="138">
        <v>2021</v>
      </c>
      <c r="S640" s="139">
        <f>IF(ISBLANK(Table1[[#This Row],[Date]]),"",Table1[[#This Row],[Date]]-WEEKDAY(Table1[[#This Row],[Date]],2)+1)</f>
        <v>44410</v>
      </c>
      <c r="T640" s="140">
        <f>IF(ISBLANK(Table1[[#This Row],[Date]]),"",DATE(Table1[[#This Row],[Date_Year]],Table1[[#This Row],[Date_Month]],1))</f>
        <v>44409</v>
      </c>
    </row>
    <row r="641" spans="2:20" ht="15.75">
      <c r="B641" s="154">
        <v>44413</v>
      </c>
      <c r="C641" s="119" t="s">
        <v>694</v>
      </c>
      <c r="D641" s="119"/>
      <c r="E641" s="119"/>
      <c r="F641" s="155">
        <v>-12.59</v>
      </c>
      <c r="G641" s="133" t="str">
        <f>_xlfn.XLOOKUP(Table1[[#This Row],[Account_ID]], Accounts[ID], Accounts[Account nickname], "Unknown")</f>
        <v>Discover</v>
      </c>
      <c r="H641" s="134" t="str">
        <f>_xlfn.XLOOKUP(Table1[[#This Row],[Account_ID]], Accounts[ID], Accounts[Account'#], "Unknown")</f>
        <v>4618</v>
      </c>
      <c r="I641" s="135" t="str">
        <f>_xlfn.XLOOKUP(_xlfn.XLOOKUP(Table1[[#This Row],[Account]],Accounts[Account nickname],Accounts[Institution ID]),Institutions[ID],Institutions[Institution nickname],"Unknown")</f>
        <v>Discover</v>
      </c>
      <c r="J641" s="136" t="s">
        <v>1989</v>
      </c>
      <c r="K641" s="137" t="s">
        <v>843</v>
      </c>
      <c r="L641" s="137" t="s">
        <v>841</v>
      </c>
      <c r="M64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4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41" s="138" t="str" cm="1">
        <f t="array" ref="O641">IFERROR(INDEX(CategoriesTable[Category type],MATCH(Table1[[#This Row],[Category]],CategoriesTable[Category name],0),0),"")</f>
        <v/>
      </c>
      <c r="P641" s="138">
        <v>5</v>
      </c>
      <c r="Q641" s="138">
        <f>MONTH(Table1[[#This Row],[Date]])</f>
        <v>8</v>
      </c>
      <c r="R641" s="138">
        <v>2021</v>
      </c>
      <c r="S641" s="139">
        <f>IF(ISBLANK(Table1[[#This Row],[Date]]),"",Table1[[#This Row],[Date]]-WEEKDAY(Table1[[#This Row],[Date]],2)+1)</f>
        <v>44410</v>
      </c>
      <c r="T641" s="140">
        <f>IF(ISBLANK(Table1[[#This Row],[Date]]),"",DATE(Table1[[#This Row],[Date_Year]],Table1[[#This Row],[Date_Month]],1))</f>
        <v>44409</v>
      </c>
    </row>
    <row r="642" spans="2:20" ht="15.75">
      <c r="B642" s="154">
        <v>44413</v>
      </c>
      <c r="C642" s="119" t="s">
        <v>1990</v>
      </c>
      <c r="D642" s="119"/>
      <c r="E642" s="119"/>
      <c r="F642" s="155">
        <v>-4.75</v>
      </c>
      <c r="G642" s="133" t="str">
        <f>_xlfn.XLOOKUP(Table1[[#This Row],[Account_ID]], Accounts[ID], Accounts[Account nickname], "Unknown")</f>
        <v>Discover</v>
      </c>
      <c r="H642" s="134" t="str">
        <f>_xlfn.XLOOKUP(Table1[[#This Row],[Account_ID]], Accounts[ID], Accounts[Account'#], "Unknown")</f>
        <v>4618</v>
      </c>
      <c r="I642" s="135" t="str">
        <f>_xlfn.XLOOKUP(_xlfn.XLOOKUP(Table1[[#This Row],[Account]],Accounts[Account nickname],Accounts[Institution ID]),Institutions[ID],Institutions[Institution nickname],"Unknown")</f>
        <v>Discover</v>
      </c>
      <c r="J642" s="136" t="s">
        <v>1991</v>
      </c>
      <c r="K642" s="137" t="s">
        <v>843</v>
      </c>
      <c r="L642" s="137" t="s">
        <v>841</v>
      </c>
      <c r="M64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4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42" s="138" t="str" cm="1">
        <f t="array" ref="O642">IFERROR(INDEX(CategoriesTable[Category type],MATCH(Table1[[#This Row],[Category]],CategoriesTable[Category name],0),0),"")</f>
        <v/>
      </c>
      <c r="P642" s="138">
        <v>5</v>
      </c>
      <c r="Q642" s="138">
        <f>MONTH(Table1[[#This Row],[Date]])</f>
        <v>8</v>
      </c>
      <c r="R642" s="138">
        <v>2021</v>
      </c>
      <c r="S642" s="139">
        <f>IF(ISBLANK(Table1[[#This Row],[Date]]),"",Table1[[#This Row],[Date]]-WEEKDAY(Table1[[#This Row],[Date]],2)+1)</f>
        <v>44410</v>
      </c>
      <c r="T642" s="140">
        <f>IF(ISBLANK(Table1[[#This Row],[Date]]),"",DATE(Table1[[#This Row],[Date_Year]],Table1[[#This Row],[Date_Month]],1))</f>
        <v>44409</v>
      </c>
    </row>
    <row r="643" spans="2:20" ht="15.75">
      <c r="B643" s="154">
        <v>44412</v>
      </c>
      <c r="C643" s="119" t="s">
        <v>910</v>
      </c>
      <c r="D643" s="119"/>
      <c r="E643" s="119"/>
      <c r="F643" s="155">
        <v>-63.59</v>
      </c>
      <c r="G643" s="133" t="str">
        <f>_xlfn.XLOOKUP(Table1[[#This Row],[Account_ID]], Accounts[ID], Accounts[Account nickname], "Unknown")</f>
        <v>Discover</v>
      </c>
      <c r="H643" s="134" t="str">
        <f>_xlfn.XLOOKUP(Table1[[#This Row],[Account_ID]], Accounts[ID], Accounts[Account'#], "Unknown")</f>
        <v>4618</v>
      </c>
      <c r="I643" s="135" t="str">
        <f>_xlfn.XLOOKUP(_xlfn.XLOOKUP(Table1[[#This Row],[Account]],Accounts[Account nickname],Accounts[Institution ID]),Institutions[ID],Institutions[Institution nickname],"Unknown")</f>
        <v>Discover</v>
      </c>
      <c r="J643" s="136" t="s">
        <v>1992</v>
      </c>
      <c r="K643" s="137" t="s">
        <v>843</v>
      </c>
      <c r="L643" s="137" t="s">
        <v>841</v>
      </c>
      <c r="M64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4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43" s="138" t="str" cm="1">
        <f t="array" ref="O643">IFERROR(INDEX(CategoriesTable[Category type],MATCH(Table1[[#This Row],[Category]],CategoriesTable[Category name],0),0),"")</f>
        <v/>
      </c>
      <c r="P643" s="138">
        <v>4</v>
      </c>
      <c r="Q643" s="138">
        <f>MONTH(Table1[[#This Row],[Date]])</f>
        <v>8</v>
      </c>
      <c r="R643" s="138">
        <v>2021</v>
      </c>
      <c r="S643" s="139">
        <f>IF(ISBLANK(Table1[[#This Row],[Date]]),"",Table1[[#This Row],[Date]]-WEEKDAY(Table1[[#This Row],[Date]],2)+1)</f>
        <v>44410</v>
      </c>
      <c r="T643" s="140">
        <f>IF(ISBLANK(Table1[[#This Row],[Date]]),"",DATE(Table1[[#This Row],[Date_Year]],Table1[[#This Row],[Date_Month]],1))</f>
        <v>44409</v>
      </c>
    </row>
    <row r="644" spans="2:20" ht="15.75">
      <c r="B644" s="154">
        <v>44412</v>
      </c>
      <c r="C644" s="119" t="s">
        <v>1993</v>
      </c>
      <c r="D644" s="119"/>
      <c r="E644" s="119"/>
      <c r="F644" s="155">
        <v>-20</v>
      </c>
      <c r="G644" s="133" t="str">
        <f>_xlfn.XLOOKUP(Table1[[#This Row],[Account_ID]], Accounts[ID], Accounts[Account nickname], "Unknown")</f>
        <v>Discover</v>
      </c>
      <c r="H644" s="134" t="str">
        <f>_xlfn.XLOOKUP(Table1[[#This Row],[Account_ID]], Accounts[ID], Accounts[Account'#], "Unknown")</f>
        <v>4618</v>
      </c>
      <c r="I644" s="135" t="str">
        <f>_xlfn.XLOOKUP(_xlfn.XLOOKUP(Table1[[#This Row],[Account]],Accounts[Account nickname],Accounts[Institution ID]),Institutions[ID],Institutions[Institution nickname],"Unknown")</f>
        <v>Discover</v>
      </c>
      <c r="J644" s="136" t="s">
        <v>1994</v>
      </c>
      <c r="K644" s="137" t="s">
        <v>843</v>
      </c>
      <c r="L644" s="137" t="s">
        <v>841</v>
      </c>
      <c r="M64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4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44" s="138" t="str" cm="1">
        <f t="array" ref="O644">IFERROR(INDEX(CategoriesTable[Category type],MATCH(Table1[[#This Row],[Category]],CategoriesTable[Category name],0),0),"")</f>
        <v/>
      </c>
      <c r="P644" s="138">
        <v>4</v>
      </c>
      <c r="Q644" s="138">
        <f>MONTH(Table1[[#This Row],[Date]])</f>
        <v>8</v>
      </c>
      <c r="R644" s="138">
        <v>2021</v>
      </c>
      <c r="S644" s="139">
        <f>IF(ISBLANK(Table1[[#This Row],[Date]]),"",Table1[[#This Row],[Date]]-WEEKDAY(Table1[[#This Row],[Date]],2)+1)</f>
        <v>44410</v>
      </c>
      <c r="T644" s="140">
        <f>IF(ISBLANK(Table1[[#This Row],[Date]]),"",DATE(Table1[[#This Row],[Date_Year]],Table1[[#This Row],[Date_Month]],1))</f>
        <v>44409</v>
      </c>
    </row>
    <row r="645" spans="2:20" ht="15.75">
      <c r="B645" s="154">
        <v>44412</v>
      </c>
      <c r="C645" s="119" t="s">
        <v>693</v>
      </c>
      <c r="D645" s="119"/>
      <c r="E645" s="119"/>
      <c r="F645" s="155">
        <v>-230</v>
      </c>
      <c r="G645" s="133" t="str">
        <f>_xlfn.XLOOKUP(Table1[[#This Row],[Account_ID]], Accounts[ID], Accounts[Account nickname], "Unknown")</f>
        <v>WF</v>
      </c>
      <c r="H645" s="134" t="str">
        <f>_xlfn.XLOOKUP(Table1[[#This Row],[Account_ID]], Accounts[ID], Accounts[Account'#], "Unknown")</f>
        <v>4636</v>
      </c>
      <c r="I645" s="135" t="str">
        <f>_xlfn.XLOOKUP(_xlfn.XLOOKUP(Table1[[#This Row],[Account]],Accounts[Account nickname],Accounts[Institution ID]),Institutions[ID],Institutions[Institution nickname],"Unknown")</f>
        <v>Wells Fargo</v>
      </c>
      <c r="J645" s="136" t="s">
        <v>1059</v>
      </c>
      <c r="K645" s="137" t="s">
        <v>808</v>
      </c>
      <c r="L645" s="137" t="s">
        <v>807</v>
      </c>
      <c r="M64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4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45" s="138" t="str" cm="1">
        <f t="array" ref="O645">IFERROR(INDEX(CategoriesTable[Category type],MATCH(Table1[[#This Row],[Category]],CategoriesTable[Category name],0),0),"")</f>
        <v/>
      </c>
      <c r="P645" s="138">
        <v>4</v>
      </c>
      <c r="Q645" s="138">
        <f>MONTH(Table1[[#This Row],[Date]])</f>
        <v>8</v>
      </c>
      <c r="R645" s="138">
        <v>2021</v>
      </c>
      <c r="S645" s="139">
        <f>IF(ISBLANK(Table1[[#This Row],[Date]]),"",Table1[[#This Row],[Date]]-WEEKDAY(Table1[[#This Row],[Date]],2)+1)</f>
        <v>44410</v>
      </c>
      <c r="T645" s="140">
        <f>IF(ISBLANK(Table1[[#This Row],[Date]]),"",DATE(Table1[[#This Row],[Date_Year]],Table1[[#This Row],[Date_Month]],1))</f>
        <v>44409</v>
      </c>
    </row>
    <row r="646" spans="2:20" ht="15.75">
      <c r="B646" s="154">
        <v>44412</v>
      </c>
      <c r="C646" s="119" t="s">
        <v>686</v>
      </c>
      <c r="D646" s="119"/>
      <c r="E646" s="119"/>
      <c r="F646" s="155">
        <v>-1173.17</v>
      </c>
      <c r="G646" s="133" t="str">
        <f>_xlfn.XLOOKUP(Table1[[#This Row],[Account_ID]], Accounts[ID], Accounts[Account nickname], "Unknown")</f>
        <v>WF</v>
      </c>
      <c r="H646" s="134" t="str">
        <f>_xlfn.XLOOKUP(Table1[[#This Row],[Account_ID]], Accounts[ID], Accounts[Account'#], "Unknown")</f>
        <v>4636</v>
      </c>
      <c r="I646" s="135" t="str">
        <f>_xlfn.XLOOKUP(_xlfn.XLOOKUP(Table1[[#This Row],[Account]],Accounts[Account nickname],Accounts[Institution ID]),Institutions[ID],Institutions[Institution nickname],"Unknown")</f>
        <v>Wells Fargo</v>
      </c>
      <c r="J646" s="136" t="s">
        <v>1060</v>
      </c>
      <c r="K646" s="137" t="s">
        <v>808</v>
      </c>
      <c r="L646" s="137" t="s">
        <v>807</v>
      </c>
      <c r="M64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4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46" s="138" t="str" cm="1">
        <f t="array" ref="O646">IFERROR(INDEX(CategoriesTable[Category type],MATCH(Table1[[#This Row],[Category]],CategoriesTable[Category name],0),0),"")</f>
        <v/>
      </c>
      <c r="P646" s="138">
        <v>4</v>
      </c>
      <c r="Q646" s="138">
        <f>MONTH(Table1[[#This Row],[Date]])</f>
        <v>8</v>
      </c>
      <c r="R646" s="138">
        <v>2021</v>
      </c>
      <c r="S646" s="139">
        <f>IF(ISBLANK(Table1[[#This Row],[Date]]),"",Table1[[#This Row],[Date]]-WEEKDAY(Table1[[#This Row],[Date]],2)+1)</f>
        <v>44410</v>
      </c>
      <c r="T646" s="140">
        <f>IF(ISBLANK(Table1[[#This Row],[Date]]),"",DATE(Table1[[#This Row],[Date_Year]],Table1[[#This Row],[Date_Month]],1))</f>
        <v>44409</v>
      </c>
    </row>
    <row r="647" spans="2:20" ht="15.75">
      <c r="B647" s="154">
        <v>44412</v>
      </c>
      <c r="C647" s="119" t="s">
        <v>845</v>
      </c>
      <c r="D647" s="119"/>
      <c r="E647" s="119"/>
      <c r="F647" s="155">
        <v>1173.17</v>
      </c>
      <c r="G647" s="133" t="str">
        <f>_xlfn.XLOOKUP(Table1[[#This Row],[Account_ID]], Accounts[ID], Accounts[Account nickname], "Unknown")</f>
        <v>Discover</v>
      </c>
      <c r="H647" s="134" t="str">
        <f>_xlfn.XLOOKUP(Table1[[#This Row],[Account_ID]], Accounts[ID], Accounts[Account'#], "Unknown")</f>
        <v>4618</v>
      </c>
      <c r="I647" s="135" t="str">
        <f>_xlfn.XLOOKUP(_xlfn.XLOOKUP(Table1[[#This Row],[Account]],Accounts[Account nickname],Accounts[Institution ID]),Institutions[ID],Institutions[Institution nickname],"Unknown")</f>
        <v>Discover</v>
      </c>
      <c r="J647" s="136" t="s">
        <v>1995</v>
      </c>
      <c r="K647" s="137" t="s">
        <v>843</v>
      </c>
      <c r="L647" s="137" t="s">
        <v>841</v>
      </c>
      <c r="M64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4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47" s="138" t="str" cm="1">
        <f t="array" ref="O647">IFERROR(INDEX(CategoriesTable[Category type],MATCH(Table1[[#This Row],[Category]],CategoriesTable[Category name],0),0),"")</f>
        <v/>
      </c>
      <c r="P647" s="138">
        <v>4</v>
      </c>
      <c r="Q647" s="138">
        <f>MONTH(Table1[[#This Row],[Date]])</f>
        <v>8</v>
      </c>
      <c r="R647" s="138">
        <v>2021</v>
      </c>
      <c r="S647" s="139">
        <f>IF(ISBLANK(Table1[[#This Row],[Date]]),"",Table1[[#This Row],[Date]]-WEEKDAY(Table1[[#This Row],[Date]],2)+1)</f>
        <v>44410</v>
      </c>
      <c r="T647" s="140">
        <f>IF(ISBLANK(Table1[[#This Row],[Date]]),"",DATE(Table1[[#This Row],[Date_Year]],Table1[[#This Row],[Date_Month]],1))</f>
        <v>44409</v>
      </c>
    </row>
    <row r="648" spans="2:20" ht="15.75">
      <c r="B648" s="154">
        <v>44411</v>
      </c>
      <c r="C648" s="119" t="s">
        <v>745</v>
      </c>
      <c r="D648" s="119"/>
      <c r="E648" s="119"/>
      <c r="F648" s="155">
        <v>-36.78</v>
      </c>
      <c r="G648" s="133" t="str">
        <f>_xlfn.XLOOKUP(Table1[[#This Row],[Account_ID]], Accounts[ID], Accounts[Account nickname], "Unknown")</f>
        <v>Discover</v>
      </c>
      <c r="H648" s="134" t="str">
        <f>_xlfn.XLOOKUP(Table1[[#This Row],[Account_ID]], Accounts[ID], Accounts[Account'#], "Unknown")</f>
        <v>4618</v>
      </c>
      <c r="I648" s="135" t="str">
        <f>_xlfn.XLOOKUP(_xlfn.XLOOKUP(Table1[[#This Row],[Account]],Accounts[Account nickname],Accounts[Institution ID]),Institutions[ID],Institutions[Institution nickname],"Unknown")</f>
        <v>Discover</v>
      </c>
      <c r="J648" s="136" t="s">
        <v>2003</v>
      </c>
      <c r="K648" s="137" t="s">
        <v>843</v>
      </c>
      <c r="L648" s="137" t="s">
        <v>841</v>
      </c>
      <c r="M64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4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48" s="138" t="str" cm="1">
        <f t="array" ref="O648">IFERROR(INDEX(CategoriesTable[Category type],MATCH(Table1[[#This Row],[Category]],CategoriesTable[Category name],0),0),"")</f>
        <v/>
      </c>
      <c r="P648" s="138">
        <v>3</v>
      </c>
      <c r="Q648" s="138">
        <f>MONTH(Table1[[#This Row],[Date]])</f>
        <v>8</v>
      </c>
      <c r="R648" s="138">
        <v>2021</v>
      </c>
      <c r="S648" s="139">
        <f>IF(ISBLANK(Table1[[#This Row],[Date]]),"",Table1[[#This Row],[Date]]-WEEKDAY(Table1[[#This Row],[Date]],2)+1)</f>
        <v>44410</v>
      </c>
      <c r="T648" s="140">
        <f>IF(ISBLANK(Table1[[#This Row],[Date]]),"",DATE(Table1[[#This Row],[Date_Year]],Table1[[#This Row],[Date_Month]],1))</f>
        <v>44409</v>
      </c>
    </row>
    <row r="649" spans="2:20" ht="15.75">
      <c r="B649" s="154">
        <v>44411</v>
      </c>
      <c r="C649" s="119" t="s">
        <v>2005</v>
      </c>
      <c r="D649" s="119"/>
      <c r="E649" s="119"/>
      <c r="F649" s="155">
        <v>-4.8</v>
      </c>
      <c r="G649" s="133" t="str">
        <f>_xlfn.XLOOKUP(Table1[[#This Row],[Account_ID]], Accounts[ID], Accounts[Account nickname], "Unknown")</f>
        <v>Discover</v>
      </c>
      <c r="H649" s="134" t="str">
        <f>_xlfn.XLOOKUP(Table1[[#This Row],[Account_ID]], Accounts[ID], Accounts[Account'#], "Unknown")</f>
        <v>4618</v>
      </c>
      <c r="I649" s="135" t="str">
        <f>_xlfn.XLOOKUP(_xlfn.XLOOKUP(Table1[[#This Row],[Account]],Accounts[Account nickname],Accounts[Institution ID]),Institutions[ID],Institutions[Institution nickname],"Unknown")</f>
        <v>Discover</v>
      </c>
      <c r="J649" s="136" t="s">
        <v>2006</v>
      </c>
      <c r="K649" s="137" t="s">
        <v>843</v>
      </c>
      <c r="L649" s="137" t="s">
        <v>841</v>
      </c>
      <c r="M64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4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49" s="138" t="str" cm="1">
        <f t="array" ref="O649">IFERROR(INDEX(CategoriesTable[Category type],MATCH(Table1[[#This Row],[Category]],CategoriesTable[Category name],0),0),"")</f>
        <v/>
      </c>
      <c r="P649" s="138">
        <v>3</v>
      </c>
      <c r="Q649" s="138">
        <f>MONTH(Table1[[#This Row],[Date]])</f>
        <v>8</v>
      </c>
      <c r="R649" s="138">
        <v>2021</v>
      </c>
      <c r="S649" s="139">
        <f>IF(ISBLANK(Table1[[#This Row],[Date]]),"",Table1[[#This Row],[Date]]-WEEKDAY(Table1[[#This Row],[Date]],2)+1)</f>
        <v>44410</v>
      </c>
      <c r="T649" s="140">
        <f>IF(ISBLANK(Table1[[#This Row],[Date]]),"",DATE(Table1[[#This Row],[Date_Year]],Table1[[#This Row],[Date_Month]],1))</f>
        <v>44409</v>
      </c>
    </row>
    <row r="650" spans="2:20" ht="15.75">
      <c r="B650" s="154">
        <v>44411</v>
      </c>
      <c r="C650" s="119" t="s">
        <v>1403</v>
      </c>
      <c r="D650" s="119"/>
      <c r="E650" s="119"/>
      <c r="F650" s="155">
        <v>-92.07</v>
      </c>
      <c r="G650" s="133" t="str">
        <f>_xlfn.XLOOKUP(Table1[[#This Row],[Account_ID]], Accounts[ID], Accounts[Account nickname], "Unknown")</f>
        <v>Discover</v>
      </c>
      <c r="H650" s="134" t="str">
        <f>_xlfn.XLOOKUP(Table1[[#This Row],[Account_ID]], Accounts[ID], Accounts[Account'#], "Unknown")</f>
        <v>4618</v>
      </c>
      <c r="I650" s="135" t="str">
        <f>_xlfn.XLOOKUP(_xlfn.XLOOKUP(Table1[[#This Row],[Account]],Accounts[Account nickname],Accounts[Institution ID]),Institutions[ID],Institutions[Institution nickname],"Unknown")</f>
        <v>Discover</v>
      </c>
      <c r="J650" s="136" t="s">
        <v>2004</v>
      </c>
      <c r="K650" s="137" t="s">
        <v>843</v>
      </c>
      <c r="L650" s="137" t="s">
        <v>841</v>
      </c>
      <c r="M65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5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50" s="138" t="str" cm="1">
        <f t="array" ref="O650">IFERROR(INDEX(CategoriesTable[Category type],MATCH(Table1[[#This Row],[Category]],CategoriesTable[Category name],0),0),"")</f>
        <v/>
      </c>
      <c r="P650" s="138">
        <v>3</v>
      </c>
      <c r="Q650" s="138">
        <f>MONTH(Table1[[#This Row],[Date]])</f>
        <v>8</v>
      </c>
      <c r="R650" s="138">
        <v>2021</v>
      </c>
      <c r="S650" s="139">
        <f>IF(ISBLANK(Table1[[#This Row],[Date]]),"",Table1[[#This Row],[Date]]-WEEKDAY(Table1[[#This Row],[Date]],2)+1)</f>
        <v>44410</v>
      </c>
      <c r="T650" s="140">
        <f>IF(ISBLANK(Table1[[#This Row],[Date]]),"",DATE(Table1[[#This Row],[Date_Year]],Table1[[#This Row],[Date_Month]],1))</f>
        <v>44409</v>
      </c>
    </row>
    <row r="651" spans="2:20" ht="15.75">
      <c r="B651" s="154">
        <v>44411</v>
      </c>
      <c r="C651" s="119" t="s">
        <v>1549</v>
      </c>
      <c r="D651" s="119"/>
      <c r="E651" s="119"/>
      <c r="F651" s="155">
        <v>-51.94</v>
      </c>
      <c r="G651" s="133" t="str">
        <f>_xlfn.XLOOKUP(Table1[[#This Row],[Account_ID]], Accounts[ID], Accounts[Account nickname], "Unknown")</f>
        <v>Discover</v>
      </c>
      <c r="H651" s="134" t="str">
        <f>_xlfn.XLOOKUP(Table1[[#This Row],[Account_ID]], Accounts[ID], Accounts[Account'#], "Unknown")</f>
        <v>4618</v>
      </c>
      <c r="I651" s="135" t="str">
        <f>_xlfn.XLOOKUP(_xlfn.XLOOKUP(Table1[[#This Row],[Account]],Accounts[Account nickname],Accounts[Institution ID]),Institutions[ID],Institutions[Institution nickname],"Unknown")</f>
        <v>Discover</v>
      </c>
      <c r="J651" s="136" t="s">
        <v>1997</v>
      </c>
      <c r="K651" s="137" t="s">
        <v>843</v>
      </c>
      <c r="L651" s="137" t="s">
        <v>841</v>
      </c>
      <c r="M65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5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51" s="138" t="str" cm="1">
        <f t="array" ref="O651">IFERROR(INDEX(CategoriesTable[Category type],MATCH(Table1[[#This Row],[Category]],CategoriesTable[Category name],0),0),"")</f>
        <v/>
      </c>
      <c r="P651" s="138">
        <v>3</v>
      </c>
      <c r="Q651" s="138">
        <f>MONTH(Table1[[#This Row],[Date]])</f>
        <v>8</v>
      </c>
      <c r="R651" s="138">
        <v>2021</v>
      </c>
      <c r="S651" s="139">
        <f>IF(ISBLANK(Table1[[#This Row],[Date]]),"",Table1[[#This Row],[Date]]-WEEKDAY(Table1[[#This Row],[Date]],2)+1)</f>
        <v>44410</v>
      </c>
      <c r="T651" s="140">
        <f>IF(ISBLANK(Table1[[#This Row],[Date]]),"",DATE(Table1[[#This Row],[Date_Year]],Table1[[#This Row],[Date_Month]],1))</f>
        <v>44409</v>
      </c>
    </row>
    <row r="652" spans="2:20" ht="15.75">
      <c r="B652" s="154">
        <v>44411</v>
      </c>
      <c r="C652" s="119" t="s">
        <v>745</v>
      </c>
      <c r="D652" s="119"/>
      <c r="E652" s="119"/>
      <c r="F652" s="155">
        <v>-29.69</v>
      </c>
      <c r="G652" s="133" t="str">
        <f>_xlfn.XLOOKUP(Table1[[#This Row],[Account_ID]], Accounts[ID], Accounts[Account nickname], "Unknown")</f>
        <v>Discover</v>
      </c>
      <c r="H652" s="134" t="str">
        <f>_xlfn.XLOOKUP(Table1[[#This Row],[Account_ID]], Accounts[ID], Accounts[Account'#], "Unknown")</f>
        <v>4618</v>
      </c>
      <c r="I652" s="135" t="str">
        <f>_xlfn.XLOOKUP(_xlfn.XLOOKUP(Table1[[#This Row],[Account]],Accounts[Account nickname],Accounts[Institution ID]),Institutions[ID],Institutions[Institution nickname],"Unknown")</f>
        <v>Discover</v>
      </c>
      <c r="J652" s="136" t="s">
        <v>2002</v>
      </c>
      <c r="K652" s="137" t="s">
        <v>843</v>
      </c>
      <c r="L652" s="137" t="s">
        <v>841</v>
      </c>
      <c r="M65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5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52" s="138" t="str" cm="1">
        <f t="array" ref="O652">IFERROR(INDEX(CategoriesTable[Category type],MATCH(Table1[[#This Row],[Category]],CategoriesTable[Category name],0),0),"")</f>
        <v/>
      </c>
      <c r="P652" s="138">
        <v>3</v>
      </c>
      <c r="Q652" s="138">
        <f>MONTH(Table1[[#This Row],[Date]])</f>
        <v>8</v>
      </c>
      <c r="R652" s="138">
        <v>2021</v>
      </c>
      <c r="S652" s="139">
        <f>IF(ISBLANK(Table1[[#This Row],[Date]]),"",Table1[[#This Row],[Date]]-WEEKDAY(Table1[[#This Row],[Date]],2)+1)</f>
        <v>44410</v>
      </c>
      <c r="T652" s="140">
        <f>IF(ISBLANK(Table1[[#This Row],[Date]]),"",DATE(Table1[[#This Row],[Date_Year]],Table1[[#This Row],[Date_Month]],1))</f>
        <v>44409</v>
      </c>
    </row>
    <row r="653" spans="2:20" ht="15.75">
      <c r="B653" s="154">
        <v>44411</v>
      </c>
      <c r="C653" s="119" t="s">
        <v>1998</v>
      </c>
      <c r="D653" s="119"/>
      <c r="E653" s="119"/>
      <c r="F653" s="155">
        <v>-4.97</v>
      </c>
      <c r="G653" s="133" t="str">
        <f>_xlfn.XLOOKUP(Table1[[#This Row],[Account_ID]], Accounts[ID], Accounts[Account nickname], "Unknown")</f>
        <v>Discover</v>
      </c>
      <c r="H653" s="134" t="str">
        <f>_xlfn.XLOOKUP(Table1[[#This Row],[Account_ID]], Accounts[ID], Accounts[Account'#], "Unknown")</f>
        <v>4618</v>
      </c>
      <c r="I653" s="135" t="str">
        <f>_xlfn.XLOOKUP(_xlfn.XLOOKUP(Table1[[#This Row],[Account]],Accounts[Account nickname],Accounts[Institution ID]),Institutions[ID],Institutions[Institution nickname],"Unknown")</f>
        <v>Discover</v>
      </c>
      <c r="J653" s="136" t="s">
        <v>1999</v>
      </c>
      <c r="K653" s="137" t="s">
        <v>843</v>
      </c>
      <c r="L653" s="137" t="s">
        <v>841</v>
      </c>
      <c r="M65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5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53" s="138" t="str" cm="1">
        <f t="array" ref="O653">IFERROR(INDEX(CategoriesTable[Category type],MATCH(Table1[[#This Row],[Category]],CategoriesTable[Category name],0),0),"")</f>
        <v/>
      </c>
      <c r="P653" s="138">
        <v>3</v>
      </c>
      <c r="Q653" s="138">
        <f>MONTH(Table1[[#This Row],[Date]])</f>
        <v>8</v>
      </c>
      <c r="R653" s="138">
        <v>2021</v>
      </c>
      <c r="S653" s="139">
        <f>IF(ISBLANK(Table1[[#This Row],[Date]]),"",Table1[[#This Row],[Date]]-WEEKDAY(Table1[[#This Row],[Date]],2)+1)</f>
        <v>44410</v>
      </c>
      <c r="T653" s="140">
        <f>IF(ISBLANK(Table1[[#This Row],[Date]]),"",DATE(Table1[[#This Row],[Date_Year]],Table1[[#This Row],[Date_Month]],1))</f>
        <v>44409</v>
      </c>
    </row>
    <row r="654" spans="2:20" ht="15.75">
      <c r="B654" s="154">
        <v>44411</v>
      </c>
      <c r="C654" s="119" t="s">
        <v>910</v>
      </c>
      <c r="D654" s="119"/>
      <c r="E654" s="119"/>
      <c r="F654" s="155">
        <v>-63.59</v>
      </c>
      <c r="G654" s="133" t="str">
        <f>_xlfn.XLOOKUP(Table1[[#This Row],[Account_ID]], Accounts[ID], Accounts[Account nickname], "Unknown")</f>
        <v>Discover</v>
      </c>
      <c r="H654" s="134" t="str">
        <f>_xlfn.XLOOKUP(Table1[[#This Row],[Account_ID]], Accounts[ID], Accounts[Account'#], "Unknown")</f>
        <v>4618</v>
      </c>
      <c r="I654" s="135" t="str">
        <f>_xlfn.XLOOKUP(_xlfn.XLOOKUP(Table1[[#This Row],[Account]],Accounts[Account nickname],Accounts[Institution ID]),Institutions[ID],Institutions[Institution nickname],"Unknown")</f>
        <v>Discover</v>
      </c>
      <c r="J654" s="136" t="s">
        <v>1996</v>
      </c>
      <c r="K654" s="137" t="s">
        <v>843</v>
      </c>
      <c r="L654" s="137" t="s">
        <v>841</v>
      </c>
      <c r="M65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5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54" s="138" t="str" cm="1">
        <f t="array" ref="O654">IFERROR(INDEX(CategoriesTable[Category type],MATCH(Table1[[#This Row],[Category]],CategoriesTable[Category name],0),0),"")</f>
        <v/>
      </c>
      <c r="P654" s="138">
        <v>3</v>
      </c>
      <c r="Q654" s="138">
        <f>MONTH(Table1[[#This Row],[Date]])</f>
        <v>8</v>
      </c>
      <c r="R654" s="138">
        <v>2021</v>
      </c>
      <c r="S654" s="139">
        <f>IF(ISBLANK(Table1[[#This Row],[Date]]),"",Table1[[#This Row],[Date]]-WEEKDAY(Table1[[#This Row],[Date]],2)+1)</f>
        <v>44410</v>
      </c>
      <c r="T654" s="140">
        <f>IF(ISBLANK(Table1[[#This Row],[Date]]),"",DATE(Table1[[#This Row],[Date_Year]],Table1[[#This Row],[Date_Month]],1))</f>
        <v>44409</v>
      </c>
    </row>
    <row r="655" spans="2:20" ht="15.75">
      <c r="B655" s="154">
        <v>44411</v>
      </c>
      <c r="C655" s="119" t="s">
        <v>1998</v>
      </c>
      <c r="D655" s="119"/>
      <c r="E655" s="119"/>
      <c r="F655" s="155">
        <v>-13.72</v>
      </c>
      <c r="G655" s="133" t="str">
        <f>_xlfn.XLOOKUP(Table1[[#This Row],[Account_ID]], Accounts[ID], Accounts[Account nickname], "Unknown")</f>
        <v>Discover</v>
      </c>
      <c r="H655" s="134" t="str">
        <f>_xlfn.XLOOKUP(Table1[[#This Row],[Account_ID]], Accounts[ID], Accounts[Account'#], "Unknown")</f>
        <v>4618</v>
      </c>
      <c r="I655" s="135" t="str">
        <f>_xlfn.XLOOKUP(_xlfn.XLOOKUP(Table1[[#This Row],[Account]],Accounts[Account nickname],Accounts[Institution ID]),Institutions[ID],Institutions[Institution nickname],"Unknown")</f>
        <v>Discover</v>
      </c>
      <c r="J655" s="136" t="s">
        <v>2000</v>
      </c>
      <c r="K655" s="137" t="s">
        <v>843</v>
      </c>
      <c r="L655" s="137" t="s">
        <v>841</v>
      </c>
      <c r="M65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5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55" s="138" t="str" cm="1">
        <f t="array" ref="O655">IFERROR(INDEX(CategoriesTable[Category type],MATCH(Table1[[#This Row],[Category]],CategoriesTable[Category name],0),0),"")</f>
        <v/>
      </c>
      <c r="P655" s="138">
        <v>3</v>
      </c>
      <c r="Q655" s="138">
        <f>MONTH(Table1[[#This Row],[Date]])</f>
        <v>8</v>
      </c>
      <c r="R655" s="138">
        <v>2021</v>
      </c>
      <c r="S655" s="139">
        <f>IF(ISBLANK(Table1[[#This Row],[Date]]),"",Table1[[#This Row],[Date]]-WEEKDAY(Table1[[#This Row],[Date]],2)+1)</f>
        <v>44410</v>
      </c>
      <c r="T655" s="140">
        <f>IF(ISBLANK(Table1[[#This Row],[Date]]),"",DATE(Table1[[#This Row],[Date_Year]],Table1[[#This Row],[Date_Month]],1))</f>
        <v>44409</v>
      </c>
    </row>
    <row r="656" spans="2:20" ht="15.75">
      <c r="B656" s="154">
        <v>44411</v>
      </c>
      <c r="C656" s="119" t="s">
        <v>1529</v>
      </c>
      <c r="D656" s="119"/>
      <c r="E656" s="119"/>
      <c r="F656" s="155">
        <v>-11.99</v>
      </c>
      <c r="G656" s="133" t="str">
        <f>_xlfn.XLOOKUP(Table1[[#This Row],[Account_ID]], Accounts[ID], Accounts[Account nickname], "Unknown")</f>
        <v>Discover</v>
      </c>
      <c r="H656" s="134" t="str">
        <f>_xlfn.XLOOKUP(Table1[[#This Row],[Account_ID]], Accounts[ID], Accounts[Account'#], "Unknown")</f>
        <v>4618</v>
      </c>
      <c r="I656" s="135" t="str">
        <f>_xlfn.XLOOKUP(_xlfn.XLOOKUP(Table1[[#This Row],[Account]],Accounts[Account nickname],Accounts[Institution ID]),Institutions[ID],Institutions[Institution nickname],"Unknown")</f>
        <v>Discover</v>
      </c>
      <c r="J656" s="136" t="s">
        <v>2001</v>
      </c>
      <c r="K656" s="137" t="s">
        <v>843</v>
      </c>
      <c r="L656" s="137" t="s">
        <v>841</v>
      </c>
      <c r="M65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5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56" s="138" t="str" cm="1">
        <f t="array" ref="O656">IFERROR(INDEX(CategoriesTable[Category type],MATCH(Table1[[#This Row],[Category]],CategoriesTable[Category name],0),0),"")</f>
        <v/>
      </c>
      <c r="P656" s="138">
        <v>3</v>
      </c>
      <c r="Q656" s="138">
        <f>MONTH(Table1[[#This Row],[Date]])</f>
        <v>8</v>
      </c>
      <c r="R656" s="138">
        <v>2021</v>
      </c>
      <c r="S656" s="139">
        <f>IF(ISBLANK(Table1[[#This Row],[Date]]),"",Table1[[#This Row],[Date]]-WEEKDAY(Table1[[#This Row],[Date]],2)+1)</f>
        <v>44410</v>
      </c>
      <c r="T656" s="140">
        <f>IF(ISBLANK(Table1[[#This Row],[Date]]),"",DATE(Table1[[#This Row],[Date_Year]],Table1[[#This Row],[Date_Month]],1))</f>
        <v>44409</v>
      </c>
    </row>
    <row r="657" spans="2:20" ht="15.75">
      <c r="B657" s="154">
        <v>44410</v>
      </c>
      <c r="C657" s="119" t="s">
        <v>910</v>
      </c>
      <c r="D657" s="119"/>
      <c r="E657" s="119"/>
      <c r="F657" s="155">
        <v>-31.79</v>
      </c>
      <c r="G657" s="133" t="str">
        <f>_xlfn.XLOOKUP(Table1[[#This Row],[Account_ID]], Accounts[ID], Accounts[Account nickname], "Unknown")</f>
        <v>Discover</v>
      </c>
      <c r="H657" s="134" t="str">
        <f>_xlfn.XLOOKUP(Table1[[#This Row],[Account_ID]], Accounts[ID], Accounts[Account'#], "Unknown")</f>
        <v>4618</v>
      </c>
      <c r="I657" s="135" t="str">
        <f>_xlfn.XLOOKUP(_xlfn.XLOOKUP(Table1[[#This Row],[Account]],Accounts[Account nickname],Accounts[Institution ID]),Institutions[ID],Institutions[Institution nickname],"Unknown")</f>
        <v>Discover</v>
      </c>
      <c r="J657" s="136" t="s">
        <v>2009</v>
      </c>
      <c r="K657" s="137" t="s">
        <v>843</v>
      </c>
      <c r="L657" s="137" t="s">
        <v>841</v>
      </c>
      <c r="M65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5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57" s="138" t="str" cm="1">
        <f t="array" ref="O657">IFERROR(INDEX(CategoriesTable[Category type],MATCH(Table1[[#This Row],[Category]],CategoriesTable[Category name],0),0),"")</f>
        <v/>
      </c>
      <c r="P657" s="138">
        <v>2</v>
      </c>
      <c r="Q657" s="138">
        <f>MONTH(Table1[[#This Row],[Date]])</f>
        <v>8</v>
      </c>
      <c r="R657" s="138">
        <v>2021</v>
      </c>
      <c r="S657" s="139">
        <f>IF(ISBLANK(Table1[[#This Row],[Date]]),"",Table1[[#This Row],[Date]]-WEEKDAY(Table1[[#This Row],[Date]],2)+1)</f>
        <v>44410</v>
      </c>
      <c r="T657" s="140">
        <f>IF(ISBLANK(Table1[[#This Row],[Date]]),"",DATE(Table1[[#This Row],[Date_Year]],Table1[[#This Row],[Date_Month]],1))</f>
        <v>44409</v>
      </c>
    </row>
    <row r="658" spans="2:20" ht="15.75">
      <c r="B658" s="154">
        <v>44410</v>
      </c>
      <c r="C658" s="119" t="s">
        <v>1549</v>
      </c>
      <c r="D658" s="119"/>
      <c r="E658" s="119"/>
      <c r="F658" s="155">
        <v>-31.75</v>
      </c>
      <c r="G658" s="133" t="str">
        <f>_xlfn.XLOOKUP(Table1[[#This Row],[Account_ID]], Accounts[ID], Accounts[Account nickname], "Unknown")</f>
        <v>Discover</v>
      </c>
      <c r="H658" s="134" t="str">
        <f>_xlfn.XLOOKUP(Table1[[#This Row],[Account_ID]], Accounts[ID], Accounts[Account'#], "Unknown")</f>
        <v>4618</v>
      </c>
      <c r="I658" s="135" t="str">
        <f>_xlfn.XLOOKUP(_xlfn.XLOOKUP(Table1[[#This Row],[Account]],Accounts[Account nickname],Accounts[Institution ID]),Institutions[ID],Institutions[Institution nickname],"Unknown")</f>
        <v>Discover</v>
      </c>
      <c r="J658" s="136" t="s">
        <v>2011</v>
      </c>
      <c r="K658" s="137" t="s">
        <v>843</v>
      </c>
      <c r="L658" s="137" t="s">
        <v>841</v>
      </c>
      <c r="M65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5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58" s="138" t="str" cm="1">
        <f t="array" ref="O658">IFERROR(INDEX(CategoriesTable[Category type],MATCH(Table1[[#This Row],[Category]],CategoriesTable[Category name],0),0),"")</f>
        <v/>
      </c>
      <c r="P658" s="138">
        <v>2</v>
      </c>
      <c r="Q658" s="138">
        <f>MONTH(Table1[[#This Row],[Date]])</f>
        <v>8</v>
      </c>
      <c r="R658" s="138">
        <v>2021</v>
      </c>
      <c r="S658" s="139">
        <f>IF(ISBLANK(Table1[[#This Row],[Date]]),"",Table1[[#This Row],[Date]]-WEEKDAY(Table1[[#This Row],[Date]],2)+1)</f>
        <v>44410</v>
      </c>
      <c r="T658" s="140">
        <f>IF(ISBLANK(Table1[[#This Row],[Date]]),"",DATE(Table1[[#This Row],[Date_Year]],Table1[[#This Row],[Date_Month]],1))</f>
        <v>44409</v>
      </c>
    </row>
    <row r="659" spans="2:20" ht="15.75">
      <c r="B659" s="154">
        <v>44410</v>
      </c>
      <c r="C659" s="119" t="s">
        <v>1534</v>
      </c>
      <c r="D659" s="119"/>
      <c r="E659" s="119"/>
      <c r="F659" s="155">
        <v>-10</v>
      </c>
      <c r="G659" s="133" t="str">
        <f>_xlfn.XLOOKUP(Table1[[#This Row],[Account_ID]], Accounts[ID], Accounts[Account nickname], "Unknown")</f>
        <v>Discover</v>
      </c>
      <c r="H659" s="134" t="str">
        <f>_xlfn.XLOOKUP(Table1[[#This Row],[Account_ID]], Accounts[ID], Accounts[Account'#], "Unknown")</f>
        <v>4618</v>
      </c>
      <c r="I659" s="135" t="str">
        <f>_xlfn.XLOOKUP(_xlfn.XLOOKUP(Table1[[#This Row],[Account]],Accounts[Account nickname],Accounts[Institution ID]),Institutions[ID],Institutions[Institution nickname],"Unknown")</f>
        <v>Discover</v>
      </c>
      <c r="J659" s="136" t="s">
        <v>2013</v>
      </c>
      <c r="K659" s="137" t="s">
        <v>843</v>
      </c>
      <c r="L659" s="137" t="s">
        <v>841</v>
      </c>
      <c r="M65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5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59" s="138" t="str" cm="1">
        <f t="array" ref="O659">IFERROR(INDEX(CategoriesTable[Category type],MATCH(Table1[[#This Row],[Category]],CategoriesTable[Category name],0),0),"")</f>
        <v/>
      </c>
      <c r="P659" s="138">
        <v>2</v>
      </c>
      <c r="Q659" s="138">
        <f>MONTH(Table1[[#This Row],[Date]])</f>
        <v>8</v>
      </c>
      <c r="R659" s="138">
        <v>2021</v>
      </c>
      <c r="S659" s="139">
        <f>IF(ISBLANK(Table1[[#This Row],[Date]]),"",Table1[[#This Row],[Date]]-WEEKDAY(Table1[[#This Row],[Date]],2)+1)</f>
        <v>44410</v>
      </c>
      <c r="T659" s="140">
        <f>IF(ISBLANK(Table1[[#This Row],[Date]]),"",DATE(Table1[[#This Row],[Date_Year]],Table1[[#This Row],[Date_Month]],1))</f>
        <v>44409</v>
      </c>
    </row>
    <row r="660" spans="2:20" ht="15.75">
      <c r="B660" s="154">
        <v>44410</v>
      </c>
      <c r="C660" s="119" t="s">
        <v>2007</v>
      </c>
      <c r="D660" s="119"/>
      <c r="E660" s="119"/>
      <c r="F660" s="155">
        <v>-15</v>
      </c>
      <c r="G660" s="133" t="str">
        <f>_xlfn.XLOOKUP(Table1[[#This Row],[Account_ID]], Accounts[ID], Accounts[Account nickname], "Unknown")</f>
        <v>Discover</v>
      </c>
      <c r="H660" s="134" t="str">
        <f>_xlfn.XLOOKUP(Table1[[#This Row],[Account_ID]], Accounts[ID], Accounts[Account'#], "Unknown")</f>
        <v>4618</v>
      </c>
      <c r="I660" s="135" t="str">
        <f>_xlfn.XLOOKUP(_xlfn.XLOOKUP(Table1[[#This Row],[Account]],Accounts[Account nickname],Accounts[Institution ID]),Institutions[ID],Institutions[Institution nickname],"Unknown")</f>
        <v>Discover</v>
      </c>
      <c r="J660" s="136" t="s">
        <v>2008</v>
      </c>
      <c r="K660" s="137" t="s">
        <v>843</v>
      </c>
      <c r="L660" s="137" t="s">
        <v>841</v>
      </c>
      <c r="M66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6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60" s="138" t="str" cm="1">
        <f t="array" ref="O660">IFERROR(INDEX(CategoriesTable[Category type],MATCH(Table1[[#This Row],[Category]],CategoriesTable[Category name],0),0),"")</f>
        <v/>
      </c>
      <c r="P660" s="138">
        <v>2</v>
      </c>
      <c r="Q660" s="138">
        <f>MONTH(Table1[[#This Row],[Date]])</f>
        <v>8</v>
      </c>
      <c r="R660" s="138">
        <v>2021</v>
      </c>
      <c r="S660" s="139">
        <f>IF(ISBLANK(Table1[[#This Row],[Date]]),"",Table1[[#This Row],[Date]]-WEEKDAY(Table1[[#This Row],[Date]],2)+1)</f>
        <v>44410</v>
      </c>
      <c r="T660" s="140">
        <f>IF(ISBLANK(Table1[[#This Row],[Date]]),"",DATE(Table1[[#This Row],[Date_Year]],Table1[[#This Row],[Date_Month]],1))</f>
        <v>44409</v>
      </c>
    </row>
    <row r="661" spans="2:20" ht="15.75">
      <c r="B661" s="154">
        <v>44410</v>
      </c>
      <c r="C661" s="119" t="s">
        <v>1906</v>
      </c>
      <c r="D661" s="119"/>
      <c r="E661" s="119"/>
      <c r="F661" s="155">
        <v>-7.49</v>
      </c>
      <c r="G661" s="133" t="str">
        <f>_xlfn.XLOOKUP(Table1[[#This Row],[Account_ID]], Accounts[ID], Accounts[Account nickname], "Unknown")</f>
        <v>Discover</v>
      </c>
      <c r="H661" s="134" t="str">
        <f>_xlfn.XLOOKUP(Table1[[#This Row],[Account_ID]], Accounts[ID], Accounts[Account'#], "Unknown")</f>
        <v>4618</v>
      </c>
      <c r="I661" s="135" t="str">
        <f>_xlfn.XLOOKUP(_xlfn.XLOOKUP(Table1[[#This Row],[Account]],Accounts[Account nickname],Accounts[Institution ID]),Institutions[ID],Institutions[Institution nickname],"Unknown")</f>
        <v>Discover</v>
      </c>
      <c r="J661" s="136" t="s">
        <v>2012</v>
      </c>
      <c r="K661" s="137" t="s">
        <v>843</v>
      </c>
      <c r="L661" s="137" t="s">
        <v>841</v>
      </c>
      <c r="M66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6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61" s="138" t="str" cm="1">
        <f t="array" ref="O661">IFERROR(INDEX(CategoriesTable[Category type],MATCH(Table1[[#This Row],[Category]],CategoriesTable[Category name],0),0),"")</f>
        <v/>
      </c>
      <c r="P661" s="138">
        <v>2</v>
      </c>
      <c r="Q661" s="138">
        <f>MONTH(Table1[[#This Row],[Date]])</f>
        <v>8</v>
      </c>
      <c r="R661" s="138">
        <v>2021</v>
      </c>
      <c r="S661" s="139">
        <f>IF(ISBLANK(Table1[[#This Row],[Date]]),"",Table1[[#This Row],[Date]]-WEEKDAY(Table1[[#This Row],[Date]],2)+1)</f>
        <v>44410</v>
      </c>
      <c r="T661" s="140">
        <f>IF(ISBLANK(Table1[[#This Row],[Date]]),"",DATE(Table1[[#This Row],[Date_Year]],Table1[[#This Row],[Date_Month]],1))</f>
        <v>44409</v>
      </c>
    </row>
    <row r="662" spans="2:20" ht="15.75">
      <c r="B662" s="154">
        <v>44410</v>
      </c>
      <c r="C662" s="119" t="s">
        <v>910</v>
      </c>
      <c r="D662" s="119"/>
      <c r="E662" s="119"/>
      <c r="F662" s="155">
        <v>-21.19</v>
      </c>
      <c r="G662" s="133" t="str">
        <f>_xlfn.XLOOKUP(Table1[[#This Row],[Account_ID]], Accounts[ID], Accounts[Account nickname], "Unknown")</f>
        <v>Discover</v>
      </c>
      <c r="H662" s="134" t="str">
        <f>_xlfn.XLOOKUP(Table1[[#This Row],[Account_ID]], Accounts[ID], Accounts[Account'#], "Unknown")</f>
        <v>4618</v>
      </c>
      <c r="I662" s="135" t="str">
        <f>_xlfn.XLOOKUP(_xlfn.XLOOKUP(Table1[[#This Row],[Account]],Accounts[Account nickname],Accounts[Institution ID]),Institutions[ID],Institutions[Institution nickname],"Unknown")</f>
        <v>Discover</v>
      </c>
      <c r="J662" s="136" t="s">
        <v>2010</v>
      </c>
      <c r="K662" s="137" t="s">
        <v>843</v>
      </c>
      <c r="L662" s="137" t="s">
        <v>841</v>
      </c>
      <c r="M66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6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62" s="138" t="str" cm="1">
        <f t="array" ref="O662">IFERROR(INDEX(CategoriesTable[Category type],MATCH(Table1[[#This Row],[Category]],CategoriesTable[Category name],0),0),"")</f>
        <v/>
      </c>
      <c r="P662" s="138">
        <v>2</v>
      </c>
      <c r="Q662" s="138">
        <f>MONTH(Table1[[#This Row],[Date]])</f>
        <v>8</v>
      </c>
      <c r="R662" s="138">
        <v>2021</v>
      </c>
      <c r="S662" s="139">
        <f>IF(ISBLANK(Table1[[#This Row],[Date]]),"",Table1[[#This Row],[Date]]-WEEKDAY(Table1[[#This Row],[Date]],2)+1)</f>
        <v>44410</v>
      </c>
      <c r="T662" s="140">
        <f>IF(ISBLANK(Table1[[#This Row],[Date]]),"",DATE(Table1[[#This Row],[Date_Year]],Table1[[#This Row],[Date_Month]],1))</f>
        <v>44409</v>
      </c>
    </row>
    <row r="663" spans="2:20" ht="15.75">
      <c r="B663" s="154">
        <v>44409</v>
      </c>
      <c r="C663" s="119" t="s">
        <v>697</v>
      </c>
      <c r="D663" s="119"/>
      <c r="E663" s="119"/>
      <c r="F663" s="155">
        <v>-14.83</v>
      </c>
      <c r="G663" s="133" t="str">
        <f>_xlfn.XLOOKUP(Table1[[#This Row],[Account_ID]], Accounts[ID], Accounts[Account nickname], "Unknown")</f>
        <v>Discover</v>
      </c>
      <c r="H663" s="134" t="str">
        <f>_xlfn.XLOOKUP(Table1[[#This Row],[Account_ID]], Accounts[ID], Accounts[Account'#], "Unknown")</f>
        <v>4618</v>
      </c>
      <c r="I663" s="135" t="str">
        <f>_xlfn.XLOOKUP(_xlfn.XLOOKUP(Table1[[#This Row],[Account]],Accounts[Account nickname],Accounts[Institution ID]),Institutions[ID],Institutions[Institution nickname],"Unknown")</f>
        <v>Discover</v>
      </c>
      <c r="J663" s="136" t="s">
        <v>2016</v>
      </c>
      <c r="K663" s="137" t="s">
        <v>843</v>
      </c>
      <c r="L663" s="137" t="s">
        <v>841</v>
      </c>
      <c r="M66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6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63" s="138" t="str" cm="1">
        <f t="array" ref="O663">IFERROR(INDEX(CategoriesTable[Category type],MATCH(Table1[[#This Row],[Category]],CategoriesTable[Category name],0),0),"")</f>
        <v/>
      </c>
      <c r="P663" s="138">
        <v>1</v>
      </c>
      <c r="Q663" s="138">
        <f>MONTH(Table1[[#This Row],[Date]])</f>
        <v>8</v>
      </c>
      <c r="R663" s="138">
        <v>2021</v>
      </c>
      <c r="S663" s="139">
        <f>IF(ISBLANK(Table1[[#This Row],[Date]]),"",Table1[[#This Row],[Date]]-WEEKDAY(Table1[[#This Row],[Date]],2)+1)</f>
        <v>44403</v>
      </c>
      <c r="T663" s="140">
        <f>IF(ISBLANK(Table1[[#This Row],[Date]]),"",DATE(Table1[[#This Row],[Date_Year]],Table1[[#This Row],[Date_Month]],1))</f>
        <v>44409</v>
      </c>
    </row>
    <row r="664" spans="2:20" ht="15.75">
      <c r="B664" s="154">
        <v>44409</v>
      </c>
      <c r="C664" s="119" t="s">
        <v>2014</v>
      </c>
      <c r="D664" s="119"/>
      <c r="E664" s="119"/>
      <c r="F664" s="155">
        <v>-17.47</v>
      </c>
      <c r="G664" s="133" t="str">
        <f>_xlfn.XLOOKUP(Table1[[#This Row],[Account_ID]], Accounts[ID], Accounts[Account nickname], "Unknown")</f>
        <v>Discover</v>
      </c>
      <c r="H664" s="134" t="str">
        <f>_xlfn.XLOOKUP(Table1[[#This Row],[Account_ID]], Accounts[ID], Accounts[Account'#], "Unknown")</f>
        <v>4618</v>
      </c>
      <c r="I664" s="135" t="str">
        <f>_xlfn.XLOOKUP(_xlfn.XLOOKUP(Table1[[#This Row],[Account]],Accounts[Account nickname],Accounts[Institution ID]),Institutions[ID],Institutions[Institution nickname],"Unknown")</f>
        <v>Discover</v>
      </c>
      <c r="J664" s="136" t="s">
        <v>2015</v>
      </c>
      <c r="K664" s="137" t="s">
        <v>843</v>
      </c>
      <c r="L664" s="137" t="s">
        <v>841</v>
      </c>
      <c r="M66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6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64" s="138" t="str" cm="1">
        <f t="array" ref="O664">IFERROR(INDEX(CategoriesTable[Category type],MATCH(Table1[[#This Row],[Category]],CategoriesTable[Category name],0),0),"")</f>
        <v/>
      </c>
      <c r="P664" s="138">
        <v>1</v>
      </c>
      <c r="Q664" s="138">
        <f>MONTH(Table1[[#This Row],[Date]])</f>
        <v>8</v>
      </c>
      <c r="R664" s="138">
        <v>2021</v>
      </c>
      <c r="S664" s="139">
        <f>IF(ISBLANK(Table1[[#This Row],[Date]]),"",Table1[[#This Row],[Date]]-WEEKDAY(Table1[[#This Row],[Date]],2)+1)</f>
        <v>44403</v>
      </c>
      <c r="T664" s="140">
        <f>IF(ISBLANK(Table1[[#This Row],[Date]]),"",DATE(Table1[[#This Row],[Date_Year]],Table1[[#This Row],[Date_Month]],1))</f>
        <v>44409</v>
      </c>
    </row>
    <row r="665" spans="2:20" ht="15.75">
      <c r="B665" s="154">
        <v>44409</v>
      </c>
      <c r="C665" s="119" t="s">
        <v>707</v>
      </c>
      <c r="D665" s="119"/>
      <c r="E665" s="119"/>
      <c r="F665" s="155">
        <v>-15.98</v>
      </c>
      <c r="G665" s="133" t="str">
        <f>_xlfn.XLOOKUP(Table1[[#This Row],[Account_ID]], Accounts[ID], Accounts[Account nickname], "Unknown")</f>
        <v>Discover</v>
      </c>
      <c r="H665" s="134" t="str">
        <f>_xlfn.XLOOKUP(Table1[[#This Row],[Account_ID]], Accounts[ID], Accounts[Account'#], "Unknown")</f>
        <v>4618</v>
      </c>
      <c r="I665" s="135" t="str">
        <f>_xlfn.XLOOKUP(_xlfn.XLOOKUP(Table1[[#This Row],[Account]],Accounts[Account nickname],Accounts[Institution ID]),Institutions[ID],Institutions[Institution nickname],"Unknown")</f>
        <v>Discover</v>
      </c>
      <c r="J665" s="136" t="s">
        <v>2020</v>
      </c>
      <c r="K665" s="137" t="s">
        <v>843</v>
      </c>
      <c r="L665" s="137" t="s">
        <v>841</v>
      </c>
      <c r="M66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6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65" s="138" t="str" cm="1">
        <f t="array" ref="O665">IFERROR(INDEX(CategoriesTable[Category type],MATCH(Table1[[#This Row],[Category]],CategoriesTable[Category name],0),0),"")</f>
        <v/>
      </c>
      <c r="P665" s="138">
        <v>1</v>
      </c>
      <c r="Q665" s="138">
        <f>MONTH(Table1[[#This Row],[Date]])</f>
        <v>8</v>
      </c>
      <c r="R665" s="138">
        <v>2021</v>
      </c>
      <c r="S665" s="139">
        <f>IF(ISBLANK(Table1[[#This Row],[Date]]),"",Table1[[#This Row],[Date]]-WEEKDAY(Table1[[#This Row],[Date]],2)+1)</f>
        <v>44403</v>
      </c>
      <c r="T665" s="140">
        <f>IF(ISBLANK(Table1[[#This Row],[Date]]),"",DATE(Table1[[#This Row],[Date_Year]],Table1[[#This Row],[Date_Month]],1))</f>
        <v>44409</v>
      </c>
    </row>
    <row r="666" spans="2:20" ht="15.75">
      <c r="B666" s="154">
        <v>44409</v>
      </c>
      <c r="C666" s="119" t="s">
        <v>2017</v>
      </c>
      <c r="D666" s="119"/>
      <c r="E666" s="119"/>
      <c r="F666" s="155">
        <v>-30.06</v>
      </c>
      <c r="G666" s="133" t="str">
        <f>_xlfn.XLOOKUP(Table1[[#This Row],[Account_ID]], Accounts[ID], Accounts[Account nickname], "Unknown")</f>
        <v>Discover</v>
      </c>
      <c r="H666" s="134" t="str">
        <f>_xlfn.XLOOKUP(Table1[[#This Row],[Account_ID]], Accounts[ID], Accounts[Account'#], "Unknown")</f>
        <v>4618</v>
      </c>
      <c r="I666" s="135" t="str">
        <f>_xlfn.XLOOKUP(_xlfn.XLOOKUP(Table1[[#This Row],[Account]],Accounts[Account nickname],Accounts[Institution ID]),Institutions[ID],Institutions[Institution nickname],"Unknown")</f>
        <v>Discover</v>
      </c>
      <c r="J666" s="136" t="s">
        <v>2018</v>
      </c>
      <c r="K666" s="137" t="s">
        <v>843</v>
      </c>
      <c r="L666" s="137" t="s">
        <v>841</v>
      </c>
      <c r="M66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6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66" s="138" t="str" cm="1">
        <f t="array" ref="O666">IFERROR(INDEX(CategoriesTable[Category type],MATCH(Table1[[#This Row],[Category]],CategoriesTable[Category name],0),0),"")</f>
        <v/>
      </c>
      <c r="P666" s="138">
        <v>1</v>
      </c>
      <c r="Q666" s="138">
        <f>MONTH(Table1[[#This Row],[Date]])</f>
        <v>8</v>
      </c>
      <c r="R666" s="138">
        <v>2021</v>
      </c>
      <c r="S666" s="139">
        <f>IF(ISBLANK(Table1[[#This Row],[Date]]),"",Table1[[#This Row],[Date]]-WEEKDAY(Table1[[#This Row],[Date]],2)+1)</f>
        <v>44403</v>
      </c>
      <c r="T666" s="140">
        <f>IF(ISBLANK(Table1[[#This Row],[Date]]),"",DATE(Table1[[#This Row],[Date_Year]],Table1[[#This Row],[Date_Month]],1))</f>
        <v>44409</v>
      </c>
    </row>
    <row r="667" spans="2:20" ht="15.75">
      <c r="B667" s="154">
        <v>44409</v>
      </c>
      <c r="C667" s="119" t="s">
        <v>707</v>
      </c>
      <c r="D667" s="119"/>
      <c r="E667" s="119"/>
      <c r="F667" s="155">
        <v>-65.66</v>
      </c>
      <c r="G667" s="133" t="str">
        <f>_xlfn.XLOOKUP(Table1[[#This Row],[Account_ID]], Accounts[ID], Accounts[Account nickname], "Unknown")</f>
        <v>Discover</v>
      </c>
      <c r="H667" s="134" t="str">
        <f>_xlfn.XLOOKUP(Table1[[#This Row],[Account_ID]], Accounts[ID], Accounts[Account'#], "Unknown")</f>
        <v>4618</v>
      </c>
      <c r="I667" s="135" t="str">
        <f>_xlfn.XLOOKUP(_xlfn.XLOOKUP(Table1[[#This Row],[Account]],Accounts[Account nickname],Accounts[Institution ID]),Institutions[ID],Institutions[Institution nickname],"Unknown")</f>
        <v>Discover</v>
      </c>
      <c r="J667" s="136" t="s">
        <v>2021</v>
      </c>
      <c r="K667" s="137" t="s">
        <v>843</v>
      </c>
      <c r="L667" s="137" t="s">
        <v>841</v>
      </c>
      <c r="M66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6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67" s="138" t="str" cm="1">
        <f t="array" ref="O667">IFERROR(INDEX(CategoriesTable[Category type],MATCH(Table1[[#This Row],[Category]],CategoriesTable[Category name],0),0),"")</f>
        <v/>
      </c>
      <c r="P667" s="138">
        <v>1</v>
      </c>
      <c r="Q667" s="138">
        <f>MONTH(Table1[[#This Row],[Date]])</f>
        <v>8</v>
      </c>
      <c r="R667" s="138">
        <v>2021</v>
      </c>
      <c r="S667" s="139">
        <f>IF(ISBLANK(Table1[[#This Row],[Date]]),"",Table1[[#This Row],[Date]]-WEEKDAY(Table1[[#This Row],[Date]],2)+1)</f>
        <v>44403</v>
      </c>
      <c r="T667" s="140">
        <f>IF(ISBLANK(Table1[[#This Row],[Date]]),"",DATE(Table1[[#This Row],[Date_Year]],Table1[[#This Row],[Date_Month]],1))</f>
        <v>44409</v>
      </c>
    </row>
    <row r="668" spans="2:20" ht="15.75">
      <c r="B668" s="154">
        <v>44409</v>
      </c>
      <c r="C668" s="119" t="s">
        <v>698</v>
      </c>
      <c r="D668" s="119"/>
      <c r="E668" s="119"/>
      <c r="F668" s="155">
        <v>-9.99</v>
      </c>
      <c r="G668" s="133" t="str">
        <f>_xlfn.XLOOKUP(Table1[[#This Row],[Account_ID]], Accounts[ID], Accounts[Account nickname], "Unknown")</f>
        <v>Discover</v>
      </c>
      <c r="H668" s="134" t="str">
        <f>_xlfn.XLOOKUP(Table1[[#This Row],[Account_ID]], Accounts[ID], Accounts[Account'#], "Unknown")</f>
        <v>4618</v>
      </c>
      <c r="I668" s="135" t="str">
        <f>_xlfn.XLOOKUP(_xlfn.XLOOKUP(Table1[[#This Row],[Account]],Accounts[Account nickname],Accounts[Institution ID]),Institutions[ID],Institutions[Institution nickname],"Unknown")</f>
        <v>Discover</v>
      </c>
      <c r="J668" s="136" t="s">
        <v>2019</v>
      </c>
      <c r="K668" s="137" t="s">
        <v>843</v>
      </c>
      <c r="L668" s="137" t="s">
        <v>841</v>
      </c>
      <c r="M66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6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68" s="138" t="str" cm="1">
        <f t="array" ref="O668">IFERROR(INDEX(CategoriesTable[Category type],MATCH(Table1[[#This Row],[Category]],CategoriesTable[Category name],0),0),"")</f>
        <v/>
      </c>
      <c r="P668" s="138">
        <v>1</v>
      </c>
      <c r="Q668" s="138">
        <f>MONTH(Table1[[#This Row],[Date]])</f>
        <v>8</v>
      </c>
      <c r="R668" s="138">
        <v>2021</v>
      </c>
      <c r="S668" s="139">
        <f>IF(ISBLANK(Table1[[#This Row],[Date]]),"",Table1[[#This Row],[Date]]-WEEKDAY(Table1[[#This Row],[Date]],2)+1)</f>
        <v>44403</v>
      </c>
      <c r="T668" s="140">
        <f>IF(ISBLANK(Table1[[#This Row],[Date]]),"",DATE(Table1[[#This Row],[Date_Year]],Table1[[#This Row],[Date_Month]],1))</f>
        <v>44409</v>
      </c>
    </row>
    <row r="669" spans="2:20" ht="15.75">
      <c r="B669" s="154">
        <v>44408</v>
      </c>
      <c r="C669" s="119" t="s">
        <v>2025</v>
      </c>
      <c r="D669" s="119"/>
      <c r="E669" s="119"/>
      <c r="F669" s="155">
        <v>-84</v>
      </c>
      <c r="G669" s="133" t="str">
        <f>_xlfn.XLOOKUP(Table1[[#This Row],[Account_ID]], Accounts[ID], Accounts[Account nickname], "Unknown")</f>
        <v>Discover</v>
      </c>
      <c r="H669" s="134" t="str">
        <f>_xlfn.XLOOKUP(Table1[[#This Row],[Account_ID]], Accounts[ID], Accounts[Account'#], "Unknown")</f>
        <v>4618</v>
      </c>
      <c r="I669" s="135" t="str">
        <f>_xlfn.XLOOKUP(_xlfn.XLOOKUP(Table1[[#This Row],[Account]],Accounts[Account nickname],Accounts[Institution ID]),Institutions[ID],Institutions[Institution nickname],"Unknown")</f>
        <v>Discover</v>
      </c>
      <c r="J669" s="136" t="s">
        <v>2026</v>
      </c>
      <c r="K669" s="137" t="s">
        <v>843</v>
      </c>
      <c r="L669" s="137" t="s">
        <v>841</v>
      </c>
      <c r="M66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6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69" s="138" t="str" cm="1">
        <f t="array" ref="O669">IFERROR(INDEX(CategoriesTable[Category type],MATCH(Table1[[#This Row],[Category]],CategoriesTable[Category name],0),0),"")</f>
        <v/>
      </c>
      <c r="P669" s="138">
        <v>31</v>
      </c>
      <c r="Q669" s="138">
        <f>MONTH(Table1[[#This Row],[Date]])</f>
        <v>7</v>
      </c>
      <c r="R669" s="138">
        <v>2021</v>
      </c>
      <c r="S669" s="139">
        <f>IF(ISBLANK(Table1[[#This Row],[Date]]),"",Table1[[#This Row],[Date]]-WEEKDAY(Table1[[#This Row],[Date]],2)+1)</f>
        <v>44403</v>
      </c>
      <c r="T669" s="140">
        <f>IF(ISBLANK(Table1[[#This Row],[Date]]),"",DATE(Table1[[#This Row],[Date_Year]],Table1[[#This Row],[Date_Month]],1))</f>
        <v>44378</v>
      </c>
    </row>
    <row r="670" spans="2:20" ht="15.75">
      <c r="B670" s="154">
        <v>44408</v>
      </c>
      <c r="C670" s="119" t="s">
        <v>2023</v>
      </c>
      <c r="D670" s="119"/>
      <c r="E670" s="119"/>
      <c r="F670" s="155">
        <v>-12.02</v>
      </c>
      <c r="G670" s="133" t="str">
        <f>_xlfn.XLOOKUP(Table1[[#This Row],[Account_ID]], Accounts[ID], Accounts[Account nickname], "Unknown")</f>
        <v>Discover</v>
      </c>
      <c r="H670" s="134" t="str">
        <f>_xlfn.XLOOKUP(Table1[[#This Row],[Account_ID]], Accounts[ID], Accounts[Account'#], "Unknown")</f>
        <v>4618</v>
      </c>
      <c r="I670" s="135" t="str">
        <f>_xlfn.XLOOKUP(_xlfn.XLOOKUP(Table1[[#This Row],[Account]],Accounts[Account nickname],Accounts[Institution ID]),Institutions[ID],Institutions[Institution nickname],"Unknown")</f>
        <v>Discover</v>
      </c>
      <c r="J670" s="136" t="s">
        <v>2024</v>
      </c>
      <c r="K670" s="137" t="s">
        <v>843</v>
      </c>
      <c r="L670" s="137" t="s">
        <v>841</v>
      </c>
      <c r="M67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7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70" s="138" t="str" cm="1">
        <f t="array" ref="O670">IFERROR(INDEX(CategoriesTable[Category type],MATCH(Table1[[#This Row],[Category]],CategoriesTable[Category name],0),0),"")</f>
        <v/>
      </c>
      <c r="P670" s="138">
        <v>31</v>
      </c>
      <c r="Q670" s="138">
        <f>MONTH(Table1[[#This Row],[Date]])</f>
        <v>7</v>
      </c>
      <c r="R670" s="138">
        <v>2021</v>
      </c>
      <c r="S670" s="139">
        <f>IF(ISBLANK(Table1[[#This Row],[Date]]),"",Table1[[#This Row],[Date]]-WEEKDAY(Table1[[#This Row],[Date]],2)+1)</f>
        <v>44403</v>
      </c>
      <c r="T670" s="140">
        <f>IF(ISBLANK(Table1[[#This Row],[Date]]),"",DATE(Table1[[#This Row],[Date_Year]],Table1[[#This Row],[Date_Month]],1))</f>
        <v>44378</v>
      </c>
    </row>
    <row r="671" spans="2:20" ht="15.75">
      <c r="B671" s="154">
        <v>44408</v>
      </c>
      <c r="C671" s="119" t="s">
        <v>704</v>
      </c>
      <c r="D671" s="119"/>
      <c r="E671" s="119"/>
      <c r="F671" s="155">
        <v>-3.78</v>
      </c>
      <c r="G671" s="133" t="str">
        <f>_xlfn.XLOOKUP(Table1[[#This Row],[Account_ID]], Accounts[ID], Accounts[Account nickname], "Unknown")</f>
        <v>Discover</v>
      </c>
      <c r="H671" s="134" t="str">
        <f>_xlfn.XLOOKUP(Table1[[#This Row],[Account_ID]], Accounts[ID], Accounts[Account'#], "Unknown")</f>
        <v>4618</v>
      </c>
      <c r="I671" s="135" t="str">
        <f>_xlfn.XLOOKUP(_xlfn.XLOOKUP(Table1[[#This Row],[Account]],Accounts[Account nickname],Accounts[Institution ID]),Institutions[ID],Institutions[Institution nickname],"Unknown")</f>
        <v>Discover</v>
      </c>
      <c r="J671" s="136" t="s">
        <v>2022</v>
      </c>
      <c r="K671" s="137" t="s">
        <v>843</v>
      </c>
      <c r="L671" s="137" t="s">
        <v>841</v>
      </c>
      <c r="M67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7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71" s="138" t="str" cm="1">
        <f t="array" ref="O671">IFERROR(INDEX(CategoriesTable[Category type],MATCH(Table1[[#This Row],[Category]],CategoriesTable[Category name],0),0),"")</f>
        <v/>
      </c>
      <c r="P671" s="138">
        <v>31</v>
      </c>
      <c r="Q671" s="138">
        <f>MONTH(Table1[[#This Row],[Date]])</f>
        <v>7</v>
      </c>
      <c r="R671" s="138">
        <v>2021</v>
      </c>
      <c r="S671" s="139">
        <f>IF(ISBLANK(Table1[[#This Row],[Date]]),"",Table1[[#This Row],[Date]]-WEEKDAY(Table1[[#This Row],[Date]],2)+1)</f>
        <v>44403</v>
      </c>
      <c r="T671" s="140">
        <f>IF(ISBLANK(Table1[[#This Row],[Date]]),"",DATE(Table1[[#This Row],[Date_Year]],Table1[[#This Row],[Date_Month]],1))</f>
        <v>44378</v>
      </c>
    </row>
    <row r="672" spans="2:20" ht="15.75">
      <c r="B672" s="154">
        <v>44408</v>
      </c>
      <c r="C672" s="119" t="s">
        <v>2027</v>
      </c>
      <c r="D672" s="119"/>
      <c r="E672" s="119"/>
      <c r="F672" s="155">
        <v>-9</v>
      </c>
      <c r="G672" s="133" t="str">
        <f>_xlfn.XLOOKUP(Table1[[#This Row],[Account_ID]], Accounts[ID], Accounts[Account nickname], "Unknown")</f>
        <v>Discover</v>
      </c>
      <c r="H672" s="134" t="str">
        <f>_xlfn.XLOOKUP(Table1[[#This Row],[Account_ID]], Accounts[ID], Accounts[Account'#], "Unknown")</f>
        <v>4618</v>
      </c>
      <c r="I672" s="135" t="str">
        <f>_xlfn.XLOOKUP(_xlfn.XLOOKUP(Table1[[#This Row],[Account]],Accounts[Account nickname],Accounts[Institution ID]),Institutions[ID],Institutions[Institution nickname],"Unknown")</f>
        <v>Discover</v>
      </c>
      <c r="J672" s="136" t="s">
        <v>2028</v>
      </c>
      <c r="K672" s="137" t="s">
        <v>843</v>
      </c>
      <c r="L672" s="137" t="s">
        <v>841</v>
      </c>
      <c r="M67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7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72" s="138" t="str" cm="1">
        <f t="array" ref="O672">IFERROR(INDEX(CategoriesTable[Category type],MATCH(Table1[[#This Row],[Category]],CategoriesTable[Category name],0),0),"")</f>
        <v/>
      </c>
      <c r="P672" s="138">
        <v>31</v>
      </c>
      <c r="Q672" s="138">
        <f>MONTH(Table1[[#This Row],[Date]])</f>
        <v>7</v>
      </c>
      <c r="R672" s="138">
        <v>2021</v>
      </c>
      <c r="S672" s="139">
        <f>IF(ISBLANK(Table1[[#This Row],[Date]]),"",Table1[[#This Row],[Date]]-WEEKDAY(Table1[[#This Row],[Date]],2)+1)</f>
        <v>44403</v>
      </c>
      <c r="T672" s="140">
        <f>IF(ISBLANK(Table1[[#This Row],[Date]]),"",DATE(Table1[[#This Row],[Date_Year]],Table1[[#This Row],[Date_Month]],1))</f>
        <v>44378</v>
      </c>
    </row>
    <row r="673" spans="2:20" ht="15.75">
      <c r="B673" s="154">
        <v>44407</v>
      </c>
      <c r="C673" s="119" t="s">
        <v>2029</v>
      </c>
      <c r="D673" s="119"/>
      <c r="E673" s="119"/>
      <c r="F673" s="155">
        <v>-8.3000000000000007</v>
      </c>
      <c r="G673" s="133" t="str">
        <f>_xlfn.XLOOKUP(Table1[[#This Row],[Account_ID]], Accounts[ID], Accounts[Account nickname], "Unknown")</f>
        <v>Discover</v>
      </c>
      <c r="H673" s="134" t="str">
        <f>_xlfn.XLOOKUP(Table1[[#This Row],[Account_ID]], Accounts[ID], Accounts[Account'#], "Unknown")</f>
        <v>4618</v>
      </c>
      <c r="I673" s="135" t="str">
        <f>_xlfn.XLOOKUP(_xlfn.XLOOKUP(Table1[[#This Row],[Account]],Accounts[Account nickname],Accounts[Institution ID]),Institutions[ID],Institutions[Institution nickname],"Unknown")</f>
        <v>Discover</v>
      </c>
      <c r="J673" s="136" t="s">
        <v>2030</v>
      </c>
      <c r="K673" s="137" t="s">
        <v>843</v>
      </c>
      <c r="L673" s="137" t="s">
        <v>841</v>
      </c>
      <c r="M67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7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73" s="138" t="str" cm="1">
        <f t="array" ref="O673">IFERROR(INDEX(CategoriesTable[Category type],MATCH(Table1[[#This Row],[Category]],CategoriesTable[Category name],0),0),"")</f>
        <v/>
      </c>
      <c r="P673" s="138">
        <v>30</v>
      </c>
      <c r="Q673" s="138">
        <f>MONTH(Table1[[#This Row],[Date]])</f>
        <v>7</v>
      </c>
      <c r="R673" s="138">
        <v>2021</v>
      </c>
      <c r="S673" s="139">
        <f>IF(ISBLANK(Table1[[#This Row],[Date]]),"",Table1[[#This Row],[Date]]-WEEKDAY(Table1[[#This Row],[Date]],2)+1)</f>
        <v>44403</v>
      </c>
      <c r="T673" s="140">
        <f>IF(ISBLANK(Table1[[#This Row],[Date]]),"",DATE(Table1[[#This Row],[Date_Year]],Table1[[#This Row],[Date_Month]],1))</f>
        <v>44378</v>
      </c>
    </row>
    <row r="674" spans="2:20" ht="15.75">
      <c r="B674" s="154">
        <v>44407</v>
      </c>
      <c r="C674" s="119" t="s">
        <v>1906</v>
      </c>
      <c r="D674" s="119"/>
      <c r="E674" s="119"/>
      <c r="F674" s="155">
        <v>-15.3</v>
      </c>
      <c r="G674" s="133" t="str">
        <f>_xlfn.XLOOKUP(Table1[[#This Row],[Account_ID]], Accounts[ID], Accounts[Account nickname], "Unknown")</f>
        <v>Discover</v>
      </c>
      <c r="H674" s="134" t="str">
        <f>_xlfn.XLOOKUP(Table1[[#This Row],[Account_ID]], Accounts[ID], Accounts[Account'#], "Unknown")</f>
        <v>4618</v>
      </c>
      <c r="I674" s="135" t="str">
        <f>_xlfn.XLOOKUP(_xlfn.XLOOKUP(Table1[[#This Row],[Account]],Accounts[Account nickname],Accounts[Institution ID]),Institutions[ID],Institutions[Institution nickname],"Unknown")</f>
        <v>Discover</v>
      </c>
      <c r="J674" s="136" t="s">
        <v>2031</v>
      </c>
      <c r="K674" s="137" t="s">
        <v>843</v>
      </c>
      <c r="L674" s="137" t="s">
        <v>841</v>
      </c>
      <c r="M67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7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74" s="138" t="str" cm="1">
        <f t="array" ref="O674">IFERROR(INDEX(CategoriesTable[Category type],MATCH(Table1[[#This Row],[Category]],CategoriesTable[Category name],0),0),"")</f>
        <v/>
      </c>
      <c r="P674" s="138">
        <v>30</v>
      </c>
      <c r="Q674" s="138">
        <f>MONTH(Table1[[#This Row],[Date]])</f>
        <v>7</v>
      </c>
      <c r="R674" s="138">
        <v>2021</v>
      </c>
      <c r="S674" s="139">
        <f>IF(ISBLANK(Table1[[#This Row],[Date]]),"",Table1[[#This Row],[Date]]-WEEKDAY(Table1[[#This Row],[Date]],2)+1)</f>
        <v>44403</v>
      </c>
      <c r="T674" s="140">
        <f>IF(ISBLANK(Table1[[#This Row],[Date]]),"",DATE(Table1[[#This Row],[Date_Year]],Table1[[#This Row],[Date_Month]],1))</f>
        <v>44378</v>
      </c>
    </row>
    <row r="675" spans="2:20" ht="15.75">
      <c r="B675" s="154">
        <v>44406</v>
      </c>
      <c r="C675" s="119" t="s">
        <v>1726</v>
      </c>
      <c r="D675" s="119"/>
      <c r="E675" s="119"/>
      <c r="F675" s="155">
        <v>-61.97</v>
      </c>
      <c r="G675" s="133" t="str">
        <f>_xlfn.XLOOKUP(Table1[[#This Row],[Account_ID]], Accounts[ID], Accounts[Account nickname], "Unknown")</f>
        <v>Discover</v>
      </c>
      <c r="H675" s="134" t="str">
        <f>_xlfn.XLOOKUP(Table1[[#This Row],[Account_ID]], Accounts[ID], Accounts[Account'#], "Unknown")</f>
        <v>4618</v>
      </c>
      <c r="I675" s="135" t="str">
        <f>_xlfn.XLOOKUP(_xlfn.XLOOKUP(Table1[[#This Row],[Account]],Accounts[Account nickname],Accounts[Institution ID]),Institutions[ID],Institutions[Institution nickname],"Unknown")</f>
        <v>Discover</v>
      </c>
      <c r="J675" s="136" t="s">
        <v>2032</v>
      </c>
      <c r="K675" s="137" t="s">
        <v>843</v>
      </c>
      <c r="L675" s="137" t="s">
        <v>841</v>
      </c>
      <c r="M67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7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75" s="138" t="str" cm="1">
        <f t="array" ref="O675">IFERROR(INDEX(CategoriesTable[Category type],MATCH(Table1[[#This Row],[Category]],CategoriesTable[Category name],0),0),"")</f>
        <v/>
      </c>
      <c r="P675" s="138">
        <v>29</v>
      </c>
      <c r="Q675" s="138">
        <f>MONTH(Table1[[#This Row],[Date]])</f>
        <v>7</v>
      </c>
      <c r="R675" s="138">
        <v>2021</v>
      </c>
      <c r="S675" s="139">
        <f>IF(ISBLANK(Table1[[#This Row],[Date]]),"",Table1[[#This Row],[Date]]-WEEKDAY(Table1[[#This Row],[Date]],2)+1)</f>
        <v>44403</v>
      </c>
      <c r="T675" s="140">
        <f>IF(ISBLANK(Table1[[#This Row],[Date]]),"",DATE(Table1[[#This Row],[Date_Year]],Table1[[#This Row],[Date_Month]],1))</f>
        <v>44378</v>
      </c>
    </row>
    <row r="676" spans="2:20" ht="15.75">
      <c r="B676" s="154">
        <v>44406</v>
      </c>
      <c r="C676" s="119" t="s">
        <v>677</v>
      </c>
      <c r="D676" s="119"/>
      <c r="E676" s="119"/>
      <c r="F676" s="155">
        <v>1733.66</v>
      </c>
      <c r="G676" s="133" t="str">
        <f>_xlfn.XLOOKUP(Table1[[#This Row],[Account_ID]], Accounts[ID], Accounts[Account nickname], "Unknown")</f>
        <v>WF</v>
      </c>
      <c r="H676" s="134" t="str">
        <f>_xlfn.XLOOKUP(Table1[[#This Row],[Account_ID]], Accounts[ID], Accounts[Account'#], "Unknown")</f>
        <v>4636</v>
      </c>
      <c r="I676" s="135" t="str">
        <f>_xlfn.XLOOKUP(_xlfn.XLOOKUP(Table1[[#This Row],[Account]],Accounts[Account nickname],Accounts[Institution ID]),Institutions[ID],Institutions[Institution nickname],"Unknown")</f>
        <v>Wells Fargo</v>
      </c>
      <c r="J676" s="136" t="s">
        <v>1061</v>
      </c>
      <c r="K676" s="137" t="s">
        <v>808</v>
      </c>
      <c r="L676" s="137" t="s">
        <v>807</v>
      </c>
      <c r="M67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7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76" s="138" t="str" cm="1">
        <f t="array" ref="O676">IFERROR(INDEX(CategoriesTable[Category type],MATCH(Table1[[#This Row],[Category]],CategoriesTable[Category name],0),0),"")</f>
        <v/>
      </c>
      <c r="P676" s="138">
        <v>29</v>
      </c>
      <c r="Q676" s="138">
        <f>MONTH(Table1[[#This Row],[Date]])</f>
        <v>7</v>
      </c>
      <c r="R676" s="138">
        <v>2021</v>
      </c>
      <c r="S676" s="139">
        <f>IF(ISBLANK(Table1[[#This Row],[Date]]),"",Table1[[#This Row],[Date]]-WEEKDAY(Table1[[#This Row],[Date]],2)+1)</f>
        <v>44403</v>
      </c>
      <c r="T676" s="140">
        <f>IF(ISBLANK(Table1[[#This Row],[Date]]),"",DATE(Table1[[#This Row],[Date_Year]],Table1[[#This Row],[Date_Month]],1))</f>
        <v>44378</v>
      </c>
    </row>
    <row r="677" spans="2:20" ht="15.75">
      <c r="B677" s="154">
        <v>44406</v>
      </c>
      <c r="C677" s="119" t="s">
        <v>2033</v>
      </c>
      <c r="D677" s="119"/>
      <c r="E677" s="119"/>
      <c r="F677" s="155">
        <v>-30</v>
      </c>
      <c r="G677" s="133" t="str">
        <f>_xlfn.XLOOKUP(Table1[[#This Row],[Account_ID]], Accounts[ID], Accounts[Account nickname], "Unknown")</f>
        <v>Discover</v>
      </c>
      <c r="H677" s="134" t="str">
        <f>_xlfn.XLOOKUP(Table1[[#This Row],[Account_ID]], Accounts[ID], Accounts[Account'#], "Unknown")</f>
        <v>4618</v>
      </c>
      <c r="I677" s="135" t="str">
        <f>_xlfn.XLOOKUP(_xlfn.XLOOKUP(Table1[[#This Row],[Account]],Accounts[Account nickname],Accounts[Institution ID]),Institutions[ID],Institutions[Institution nickname],"Unknown")</f>
        <v>Discover</v>
      </c>
      <c r="J677" s="136" t="s">
        <v>2034</v>
      </c>
      <c r="K677" s="137" t="s">
        <v>843</v>
      </c>
      <c r="L677" s="137" t="s">
        <v>841</v>
      </c>
      <c r="M67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7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77" s="138" t="str" cm="1">
        <f t="array" ref="O677">IFERROR(INDEX(CategoriesTable[Category type],MATCH(Table1[[#This Row],[Category]],CategoriesTable[Category name],0),0),"")</f>
        <v/>
      </c>
      <c r="P677" s="138">
        <v>29</v>
      </c>
      <c r="Q677" s="138">
        <f>MONTH(Table1[[#This Row],[Date]])</f>
        <v>7</v>
      </c>
      <c r="R677" s="138">
        <v>2021</v>
      </c>
      <c r="S677" s="139">
        <f>IF(ISBLANK(Table1[[#This Row],[Date]]),"",Table1[[#This Row],[Date]]-WEEKDAY(Table1[[#This Row],[Date]],2)+1)</f>
        <v>44403</v>
      </c>
      <c r="T677" s="140">
        <f>IF(ISBLANK(Table1[[#This Row],[Date]]),"",DATE(Table1[[#This Row],[Date_Year]],Table1[[#This Row],[Date_Month]],1))</f>
        <v>44378</v>
      </c>
    </row>
    <row r="678" spans="2:20" ht="15.75">
      <c r="B678" s="154">
        <v>44405</v>
      </c>
      <c r="C678" s="119" t="s">
        <v>678</v>
      </c>
      <c r="D678" s="119"/>
      <c r="E678" s="119"/>
      <c r="F678" s="155">
        <v>162.02000000000001</v>
      </c>
      <c r="G678" s="133" t="str">
        <f>_xlfn.XLOOKUP(Table1[[#This Row],[Account_ID]], Accounts[ID], Accounts[Account nickname], "Unknown")</f>
        <v>WF</v>
      </c>
      <c r="H678" s="134" t="str">
        <f>_xlfn.XLOOKUP(Table1[[#This Row],[Account_ID]], Accounts[ID], Accounts[Account'#], "Unknown")</f>
        <v>4636</v>
      </c>
      <c r="I678" s="135" t="str">
        <f>_xlfn.XLOOKUP(_xlfn.XLOOKUP(Table1[[#This Row],[Account]],Accounts[Account nickname],Accounts[Institution ID]),Institutions[ID],Institutions[Institution nickname],"Unknown")</f>
        <v>Wells Fargo</v>
      </c>
      <c r="J678" s="136" t="s">
        <v>1062</v>
      </c>
      <c r="K678" s="137" t="s">
        <v>808</v>
      </c>
      <c r="L678" s="137" t="s">
        <v>807</v>
      </c>
      <c r="M67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7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78" s="138" t="str" cm="1">
        <f t="array" ref="O678">IFERROR(INDEX(CategoriesTable[Category type],MATCH(Table1[[#This Row],[Category]],CategoriesTable[Category name],0),0),"")</f>
        <v/>
      </c>
      <c r="P678" s="138">
        <v>28</v>
      </c>
      <c r="Q678" s="138">
        <f>MONTH(Table1[[#This Row],[Date]])</f>
        <v>7</v>
      </c>
      <c r="R678" s="138">
        <v>2021</v>
      </c>
      <c r="S678" s="139">
        <f>IF(ISBLANK(Table1[[#This Row],[Date]]),"",Table1[[#This Row],[Date]]-WEEKDAY(Table1[[#This Row],[Date]],2)+1)</f>
        <v>44403</v>
      </c>
      <c r="T678" s="140">
        <f>IF(ISBLANK(Table1[[#This Row],[Date]]),"",DATE(Table1[[#This Row],[Date_Year]],Table1[[#This Row],[Date_Month]],1))</f>
        <v>44378</v>
      </c>
    </row>
    <row r="679" spans="2:20" ht="15.75">
      <c r="B679" s="154">
        <v>44405</v>
      </c>
      <c r="C679" s="119" t="s">
        <v>2035</v>
      </c>
      <c r="D679" s="119"/>
      <c r="E679" s="119"/>
      <c r="F679" s="155">
        <v>-324.04000000000002</v>
      </c>
      <c r="G679" s="133" t="str">
        <f>_xlfn.XLOOKUP(Table1[[#This Row],[Account_ID]], Accounts[ID], Accounts[Account nickname], "Unknown")</f>
        <v>Discover</v>
      </c>
      <c r="H679" s="134" t="str">
        <f>_xlfn.XLOOKUP(Table1[[#This Row],[Account_ID]], Accounts[ID], Accounts[Account'#], "Unknown")</f>
        <v>4618</v>
      </c>
      <c r="I679" s="135" t="str">
        <f>_xlfn.XLOOKUP(_xlfn.XLOOKUP(Table1[[#This Row],[Account]],Accounts[Account nickname],Accounts[Institution ID]),Institutions[ID],Institutions[Institution nickname],"Unknown")</f>
        <v>Discover</v>
      </c>
      <c r="J679" s="136" t="s">
        <v>2036</v>
      </c>
      <c r="K679" s="137" t="s">
        <v>843</v>
      </c>
      <c r="L679" s="137" t="s">
        <v>841</v>
      </c>
      <c r="M67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7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79" s="138" t="str" cm="1">
        <f t="array" ref="O679">IFERROR(INDEX(CategoriesTable[Category type],MATCH(Table1[[#This Row],[Category]],CategoriesTable[Category name],0),0),"")</f>
        <v/>
      </c>
      <c r="P679" s="138">
        <v>28</v>
      </c>
      <c r="Q679" s="138">
        <f>MONTH(Table1[[#This Row],[Date]])</f>
        <v>7</v>
      </c>
      <c r="R679" s="138">
        <v>2021</v>
      </c>
      <c r="S679" s="139">
        <f>IF(ISBLANK(Table1[[#This Row],[Date]]),"",Table1[[#This Row],[Date]]-WEEKDAY(Table1[[#This Row],[Date]],2)+1)</f>
        <v>44403</v>
      </c>
      <c r="T679" s="140">
        <f>IF(ISBLANK(Table1[[#This Row],[Date]]),"",DATE(Table1[[#This Row],[Date_Year]],Table1[[#This Row],[Date_Month]],1))</f>
        <v>44378</v>
      </c>
    </row>
    <row r="680" spans="2:20" ht="15.75">
      <c r="B680" s="154">
        <v>44404</v>
      </c>
      <c r="C680" s="119" t="s">
        <v>725</v>
      </c>
      <c r="D680" s="119"/>
      <c r="E680" s="119"/>
      <c r="F680" s="155">
        <v>30</v>
      </c>
      <c r="G680" s="133" t="str">
        <f>_xlfn.XLOOKUP(Table1[[#This Row],[Account_ID]], Accounts[ID], Accounts[Account nickname], "Unknown")</f>
        <v>WF</v>
      </c>
      <c r="H680" s="134" t="str">
        <f>_xlfn.XLOOKUP(Table1[[#This Row],[Account_ID]], Accounts[ID], Accounts[Account'#], "Unknown")</f>
        <v>4636</v>
      </c>
      <c r="I680" s="135" t="str">
        <f>_xlfn.XLOOKUP(_xlfn.XLOOKUP(Table1[[#This Row],[Account]],Accounts[Account nickname],Accounts[Institution ID]),Institutions[ID],Institutions[Institution nickname],"Unknown")</f>
        <v>Wells Fargo</v>
      </c>
      <c r="J680" s="136" t="s">
        <v>1063</v>
      </c>
      <c r="K680" s="137" t="s">
        <v>808</v>
      </c>
      <c r="L680" s="137" t="s">
        <v>807</v>
      </c>
      <c r="M68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8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80" s="138" t="str" cm="1">
        <f t="array" ref="O680">IFERROR(INDEX(CategoriesTable[Category type],MATCH(Table1[[#This Row],[Category]],CategoriesTable[Category name],0),0),"")</f>
        <v/>
      </c>
      <c r="P680" s="138">
        <v>27</v>
      </c>
      <c r="Q680" s="138">
        <f>MONTH(Table1[[#This Row],[Date]])</f>
        <v>7</v>
      </c>
      <c r="R680" s="138">
        <v>2021</v>
      </c>
      <c r="S680" s="139">
        <f>IF(ISBLANK(Table1[[#This Row],[Date]]),"",Table1[[#This Row],[Date]]-WEEKDAY(Table1[[#This Row],[Date]],2)+1)</f>
        <v>44403</v>
      </c>
      <c r="T680" s="140">
        <f>IF(ISBLANK(Table1[[#This Row],[Date]]),"",DATE(Table1[[#This Row],[Date_Year]],Table1[[#This Row],[Date_Month]],1))</f>
        <v>44378</v>
      </c>
    </row>
    <row r="681" spans="2:20" ht="15.75">
      <c r="B681" s="154">
        <v>44404</v>
      </c>
      <c r="C681" s="119" t="s">
        <v>2039</v>
      </c>
      <c r="D681" s="119"/>
      <c r="E681" s="119"/>
      <c r="F681" s="155">
        <v>-29.5</v>
      </c>
      <c r="G681" s="133" t="str">
        <f>_xlfn.XLOOKUP(Table1[[#This Row],[Account_ID]], Accounts[ID], Accounts[Account nickname], "Unknown")</f>
        <v>Discover</v>
      </c>
      <c r="H681" s="134" t="str">
        <f>_xlfn.XLOOKUP(Table1[[#This Row],[Account_ID]], Accounts[ID], Accounts[Account'#], "Unknown")</f>
        <v>4618</v>
      </c>
      <c r="I681" s="135" t="str">
        <f>_xlfn.XLOOKUP(_xlfn.XLOOKUP(Table1[[#This Row],[Account]],Accounts[Account nickname],Accounts[Institution ID]),Institutions[ID],Institutions[Institution nickname],"Unknown")</f>
        <v>Discover</v>
      </c>
      <c r="J681" s="136" t="s">
        <v>2040</v>
      </c>
      <c r="K681" s="137" t="s">
        <v>843</v>
      </c>
      <c r="L681" s="137" t="s">
        <v>841</v>
      </c>
      <c r="M68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8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81" s="138" t="str" cm="1">
        <f t="array" ref="O681">IFERROR(INDEX(CategoriesTable[Category type],MATCH(Table1[[#This Row],[Category]],CategoriesTable[Category name],0),0),"")</f>
        <v/>
      </c>
      <c r="P681" s="138">
        <v>27</v>
      </c>
      <c r="Q681" s="138">
        <f>MONTH(Table1[[#This Row],[Date]])</f>
        <v>7</v>
      </c>
      <c r="R681" s="138">
        <v>2021</v>
      </c>
      <c r="S681" s="139">
        <f>IF(ISBLANK(Table1[[#This Row],[Date]]),"",Table1[[#This Row],[Date]]-WEEKDAY(Table1[[#This Row],[Date]],2)+1)</f>
        <v>44403</v>
      </c>
      <c r="T681" s="140">
        <f>IF(ISBLANK(Table1[[#This Row],[Date]]),"",DATE(Table1[[#This Row],[Date_Year]],Table1[[#This Row],[Date_Month]],1))</f>
        <v>44378</v>
      </c>
    </row>
    <row r="682" spans="2:20" ht="15.75">
      <c r="B682" s="154">
        <v>44404</v>
      </c>
      <c r="C682" s="119" t="s">
        <v>702</v>
      </c>
      <c r="D682" s="119"/>
      <c r="E682" s="119"/>
      <c r="F682" s="155">
        <v>-1.1200000000000001</v>
      </c>
      <c r="G682" s="133" t="str">
        <f>_xlfn.XLOOKUP(Table1[[#This Row],[Account_ID]], Accounts[ID], Accounts[Account nickname], "Unknown")</f>
        <v>Discover</v>
      </c>
      <c r="H682" s="134" t="str">
        <f>_xlfn.XLOOKUP(Table1[[#This Row],[Account_ID]], Accounts[ID], Accounts[Account'#], "Unknown")</f>
        <v>4618</v>
      </c>
      <c r="I682" s="135" t="str">
        <f>_xlfn.XLOOKUP(_xlfn.XLOOKUP(Table1[[#This Row],[Account]],Accounts[Account nickname],Accounts[Institution ID]),Institutions[ID],Institutions[Institution nickname],"Unknown")</f>
        <v>Discover</v>
      </c>
      <c r="J682" s="136" t="s">
        <v>2038</v>
      </c>
      <c r="K682" s="137" t="s">
        <v>843</v>
      </c>
      <c r="L682" s="137" t="s">
        <v>841</v>
      </c>
      <c r="M68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8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82" s="138" t="str" cm="1">
        <f t="array" ref="O682">IFERROR(INDEX(CategoriesTable[Category type],MATCH(Table1[[#This Row],[Category]],CategoriesTable[Category name],0),0),"")</f>
        <v/>
      </c>
      <c r="P682" s="138">
        <v>27</v>
      </c>
      <c r="Q682" s="138">
        <f>MONTH(Table1[[#This Row],[Date]])</f>
        <v>7</v>
      </c>
      <c r="R682" s="138">
        <v>2021</v>
      </c>
      <c r="S682" s="139">
        <f>IF(ISBLANK(Table1[[#This Row],[Date]]),"",Table1[[#This Row],[Date]]-WEEKDAY(Table1[[#This Row],[Date]],2)+1)</f>
        <v>44403</v>
      </c>
      <c r="T682" s="140">
        <f>IF(ISBLANK(Table1[[#This Row],[Date]]),"",DATE(Table1[[#This Row],[Date_Year]],Table1[[#This Row],[Date_Month]],1))</f>
        <v>44378</v>
      </c>
    </row>
    <row r="683" spans="2:20" ht="15.75">
      <c r="B683" s="154">
        <v>44404</v>
      </c>
      <c r="C683" s="119" t="s">
        <v>1679</v>
      </c>
      <c r="D683" s="119"/>
      <c r="E683" s="119"/>
      <c r="F683" s="155">
        <v>-9.99</v>
      </c>
      <c r="G683" s="133" t="str">
        <f>_xlfn.XLOOKUP(Table1[[#This Row],[Account_ID]], Accounts[ID], Accounts[Account nickname], "Unknown")</f>
        <v>Discover</v>
      </c>
      <c r="H683" s="134" t="str">
        <f>_xlfn.XLOOKUP(Table1[[#This Row],[Account_ID]], Accounts[ID], Accounts[Account'#], "Unknown")</f>
        <v>4618</v>
      </c>
      <c r="I683" s="135" t="str">
        <f>_xlfn.XLOOKUP(_xlfn.XLOOKUP(Table1[[#This Row],[Account]],Accounts[Account nickname],Accounts[Institution ID]),Institutions[ID],Institutions[Institution nickname],"Unknown")</f>
        <v>Discover</v>
      </c>
      <c r="J683" s="136" t="s">
        <v>2037</v>
      </c>
      <c r="K683" s="137" t="s">
        <v>843</v>
      </c>
      <c r="L683" s="137" t="s">
        <v>841</v>
      </c>
      <c r="M68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8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83" s="138" t="str" cm="1">
        <f t="array" ref="O683">IFERROR(INDEX(CategoriesTable[Category type],MATCH(Table1[[#This Row],[Category]],CategoriesTable[Category name],0),0),"")</f>
        <v/>
      </c>
      <c r="P683" s="138">
        <v>27</v>
      </c>
      <c r="Q683" s="138">
        <f>MONTH(Table1[[#This Row],[Date]])</f>
        <v>7</v>
      </c>
      <c r="R683" s="138">
        <v>2021</v>
      </c>
      <c r="S683" s="139">
        <f>IF(ISBLANK(Table1[[#This Row],[Date]]),"",Table1[[#This Row],[Date]]-WEEKDAY(Table1[[#This Row],[Date]],2)+1)</f>
        <v>44403</v>
      </c>
      <c r="T683" s="140">
        <f>IF(ISBLANK(Table1[[#This Row],[Date]]),"",DATE(Table1[[#This Row],[Date_Year]],Table1[[#This Row],[Date_Month]],1))</f>
        <v>44378</v>
      </c>
    </row>
    <row r="684" spans="2:20" ht="15.75">
      <c r="B684" s="154">
        <v>44402</v>
      </c>
      <c r="C684" s="119" t="s">
        <v>2041</v>
      </c>
      <c r="D684" s="119"/>
      <c r="E684" s="119"/>
      <c r="F684" s="155">
        <v>-33.340000000000003</v>
      </c>
      <c r="G684" s="133" t="str">
        <f>_xlfn.XLOOKUP(Table1[[#This Row],[Account_ID]], Accounts[ID], Accounts[Account nickname], "Unknown")</f>
        <v>Discover</v>
      </c>
      <c r="H684" s="134" t="str">
        <f>_xlfn.XLOOKUP(Table1[[#This Row],[Account_ID]], Accounts[ID], Accounts[Account'#], "Unknown")</f>
        <v>4618</v>
      </c>
      <c r="I684" s="135" t="str">
        <f>_xlfn.XLOOKUP(_xlfn.XLOOKUP(Table1[[#This Row],[Account]],Accounts[Account nickname],Accounts[Institution ID]),Institutions[ID],Institutions[Institution nickname],"Unknown")</f>
        <v>Discover</v>
      </c>
      <c r="J684" s="136" t="s">
        <v>2042</v>
      </c>
      <c r="K684" s="137" t="s">
        <v>843</v>
      </c>
      <c r="L684" s="137" t="s">
        <v>841</v>
      </c>
      <c r="M68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8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84" s="138" t="str" cm="1">
        <f t="array" ref="O684">IFERROR(INDEX(CategoriesTable[Category type],MATCH(Table1[[#This Row],[Category]],CategoriesTable[Category name],0),0),"")</f>
        <v/>
      </c>
      <c r="P684" s="138">
        <v>25</v>
      </c>
      <c r="Q684" s="138">
        <f>MONTH(Table1[[#This Row],[Date]])</f>
        <v>7</v>
      </c>
      <c r="R684" s="138">
        <v>2021</v>
      </c>
      <c r="S684" s="139">
        <f>IF(ISBLANK(Table1[[#This Row],[Date]]),"",Table1[[#This Row],[Date]]-WEEKDAY(Table1[[#This Row],[Date]],2)+1)</f>
        <v>44396</v>
      </c>
      <c r="T684" s="140">
        <f>IF(ISBLANK(Table1[[#This Row],[Date]]),"",DATE(Table1[[#This Row],[Date_Year]],Table1[[#This Row],[Date_Month]],1))</f>
        <v>44378</v>
      </c>
    </row>
    <row r="685" spans="2:20" ht="15.75">
      <c r="B685" s="154">
        <v>44402</v>
      </c>
      <c r="C685" s="119" t="s">
        <v>2044</v>
      </c>
      <c r="D685" s="119"/>
      <c r="E685" s="119"/>
      <c r="F685" s="155">
        <v>-3</v>
      </c>
      <c r="G685" s="133" t="str">
        <f>_xlfn.XLOOKUP(Table1[[#This Row],[Account_ID]], Accounts[ID], Accounts[Account nickname], "Unknown")</f>
        <v>Discover</v>
      </c>
      <c r="H685" s="134" t="str">
        <f>_xlfn.XLOOKUP(Table1[[#This Row],[Account_ID]], Accounts[ID], Accounts[Account'#], "Unknown")</f>
        <v>4618</v>
      </c>
      <c r="I685" s="135" t="str">
        <f>_xlfn.XLOOKUP(_xlfn.XLOOKUP(Table1[[#This Row],[Account]],Accounts[Account nickname],Accounts[Institution ID]),Institutions[ID],Institutions[Institution nickname],"Unknown")</f>
        <v>Discover</v>
      </c>
      <c r="J685" s="136" t="s">
        <v>2045</v>
      </c>
      <c r="K685" s="137" t="s">
        <v>843</v>
      </c>
      <c r="L685" s="137" t="s">
        <v>841</v>
      </c>
      <c r="M68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8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85" s="138" t="str" cm="1">
        <f t="array" ref="O685">IFERROR(INDEX(CategoriesTable[Category type],MATCH(Table1[[#This Row],[Category]],CategoriesTable[Category name],0),0),"")</f>
        <v/>
      </c>
      <c r="P685" s="138">
        <v>25</v>
      </c>
      <c r="Q685" s="138">
        <f>MONTH(Table1[[#This Row],[Date]])</f>
        <v>7</v>
      </c>
      <c r="R685" s="138">
        <v>2021</v>
      </c>
      <c r="S685" s="139">
        <f>IF(ISBLANK(Table1[[#This Row],[Date]]),"",Table1[[#This Row],[Date]]-WEEKDAY(Table1[[#This Row],[Date]],2)+1)</f>
        <v>44396</v>
      </c>
      <c r="T685" s="140">
        <f>IF(ISBLANK(Table1[[#This Row],[Date]]),"",DATE(Table1[[#This Row],[Date_Year]],Table1[[#This Row],[Date_Month]],1))</f>
        <v>44378</v>
      </c>
    </row>
    <row r="686" spans="2:20" ht="15.75">
      <c r="B686" s="154">
        <v>44402</v>
      </c>
      <c r="C686" s="119" t="s">
        <v>704</v>
      </c>
      <c r="D686" s="119"/>
      <c r="E686" s="119"/>
      <c r="F686" s="155">
        <v>-32.75</v>
      </c>
      <c r="G686" s="133" t="str">
        <f>_xlfn.XLOOKUP(Table1[[#This Row],[Account_ID]], Accounts[ID], Accounts[Account nickname], "Unknown")</f>
        <v>Discover</v>
      </c>
      <c r="H686" s="134" t="str">
        <f>_xlfn.XLOOKUP(Table1[[#This Row],[Account_ID]], Accounts[ID], Accounts[Account'#], "Unknown")</f>
        <v>4618</v>
      </c>
      <c r="I686" s="135" t="str">
        <f>_xlfn.XLOOKUP(_xlfn.XLOOKUP(Table1[[#This Row],[Account]],Accounts[Account nickname],Accounts[Institution ID]),Institutions[ID],Institutions[Institution nickname],"Unknown")</f>
        <v>Discover</v>
      </c>
      <c r="J686" s="136" t="s">
        <v>2043</v>
      </c>
      <c r="K686" s="137" t="s">
        <v>843</v>
      </c>
      <c r="L686" s="137" t="s">
        <v>841</v>
      </c>
      <c r="M68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8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86" s="138" t="str" cm="1">
        <f t="array" ref="O686">IFERROR(INDEX(CategoriesTable[Category type],MATCH(Table1[[#This Row],[Category]],CategoriesTable[Category name],0),0),"")</f>
        <v/>
      </c>
      <c r="P686" s="138">
        <v>25</v>
      </c>
      <c r="Q686" s="138">
        <f>MONTH(Table1[[#This Row],[Date]])</f>
        <v>7</v>
      </c>
      <c r="R686" s="138">
        <v>2021</v>
      </c>
      <c r="S686" s="139">
        <f>IF(ISBLANK(Table1[[#This Row],[Date]]),"",Table1[[#This Row],[Date]]-WEEKDAY(Table1[[#This Row],[Date]],2)+1)</f>
        <v>44396</v>
      </c>
      <c r="T686" s="140">
        <f>IF(ISBLANK(Table1[[#This Row],[Date]]),"",DATE(Table1[[#This Row],[Date_Year]],Table1[[#This Row],[Date_Month]],1))</f>
        <v>44378</v>
      </c>
    </row>
    <row r="687" spans="2:20" ht="15.75">
      <c r="B687" s="154">
        <v>44400</v>
      </c>
      <c r="C687" s="119" t="s">
        <v>2046</v>
      </c>
      <c r="D687" s="119"/>
      <c r="E687" s="119"/>
      <c r="F687" s="155">
        <v>-17.989999999999998</v>
      </c>
      <c r="G687" s="133" t="str">
        <f>_xlfn.XLOOKUP(Table1[[#This Row],[Account_ID]], Accounts[ID], Accounts[Account nickname], "Unknown")</f>
        <v>Discover</v>
      </c>
      <c r="H687" s="134" t="str">
        <f>_xlfn.XLOOKUP(Table1[[#This Row],[Account_ID]], Accounts[ID], Accounts[Account'#], "Unknown")</f>
        <v>4618</v>
      </c>
      <c r="I687" s="135" t="str">
        <f>_xlfn.XLOOKUP(_xlfn.XLOOKUP(Table1[[#This Row],[Account]],Accounts[Account nickname],Accounts[Institution ID]),Institutions[ID],Institutions[Institution nickname],"Unknown")</f>
        <v>Discover</v>
      </c>
      <c r="J687" s="136" t="s">
        <v>2047</v>
      </c>
      <c r="K687" s="137" t="s">
        <v>843</v>
      </c>
      <c r="L687" s="137" t="s">
        <v>841</v>
      </c>
      <c r="M68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8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87" s="138" t="str" cm="1">
        <f t="array" ref="O687">IFERROR(INDEX(CategoriesTable[Category type],MATCH(Table1[[#This Row],[Category]],CategoriesTable[Category name],0),0),"")</f>
        <v/>
      </c>
      <c r="P687" s="138">
        <v>23</v>
      </c>
      <c r="Q687" s="138">
        <f>MONTH(Table1[[#This Row],[Date]])</f>
        <v>7</v>
      </c>
      <c r="R687" s="138">
        <v>2021</v>
      </c>
      <c r="S687" s="139">
        <f>IF(ISBLANK(Table1[[#This Row],[Date]]),"",Table1[[#This Row],[Date]]-WEEKDAY(Table1[[#This Row],[Date]],2)+1)</f>
        <v>44396</v>
      </c>
      <c r="T687" s="140">
        <f>IF(ISBLANK(Table1[[#This Row],[Date]]),"",DATE(Table1[[#This Row],[Date_Year]],Table1[[#This Row],[Date_Month]],1))</f>
        <v>44378</v>
      </c>
    </row>
    <row r="688" spans="2:20" ht="15.75">
      <c r="B688" s="154">
        <v>44399</v>
      </c>
      <c r="C688" s="119" t="s">
        <v>740</v>
      </c>
      <c r="D688" s="119"/>
      <c r="E688" s="119"/>
      <c r="F688" s="155">
        <v>200</v>
      </c>
      <c r="G688" s="133" t="str">
        <f>_xlfn.XLOOKUP(Table1[[#This Row],[Account_ID]], Accounts[ID], Accounts[Account nickname], "Unknown")</f>
        <v>WF</v>
      </c>
      <c r="H688" s="134" t="str">
        <f>_xlfn.XLOOKUP(Table1[[#This Row],[Account_ID]], Accounts[ID], Accounts[Account'#], "Unknown")</f>
        <v>4636</v>
      </c>
      <c r="I688" s="135" t="str">
        <f>_xlfn.XLOOKUP(_xlfn.XLOOKUP(Table1[[#This Row],[Account]],Accounts[Account nickname],Accounts[Institution ID]),Institutions[ID],Institutions[Institution nickname],"Unknown")</f>
        <v>Wells Fargo</v>
      </c>
      <c r="J688" s="136" t="s">
        <v>1065</v>
      </c>
      <c r="K688" s="137" t="s">
        <v>808</v>
      </c>
      <c r="L688" s="137" t="s">
        <v>807</v>
      </c>
      <c r="M68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8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88" s="138" t="str" cm="1">
        <f t="array" ref="O688">IFERROR(INDEX(CategoriesTable[Category type],MATCH(Table1[[#This Row],[Category]],CategoriesTable[Category name],0),0),"")</f>
        <v/>
      </c>
      <c r="P688" s="138">
        <v>22</v>
      </c>
      <c r="Q688" s="138">
        <f>MONTH(Table1[[#This Row],[Date]])</f>
        <v>7</v>
      </c>
      <c r="R688" s="138">
        <v>2021</v>
      </c>
      <c r="S688" s="139">
        <f>IF(ISBLANK(Table1[[#This Row],[Date]]),"",Table1[[#This Row],[Date]]-WEEKDAY(Table1[[#This Row],[Date]],2)+1)</f>
        <v>44396</v>
      </c>
      <c r="T688" s="140">
        <f>IF(ISBLANK(Table1[[#This Row],[Date]]),"",DATE(Table1[[#This Row],[Date_Year]],Table1[[#This Row],[Date_Month]],1))</f>
        <v>44378</v>
      </c>
    </row>
    <row r="689" spans="2:20" ht="15.75">
      <c r="B689" s="154">
        <v>44399</v>
      </c>
      <c r="C689" s="119" t="s">
        <v>1917</v>
      </c>
      <c r="D689" s="119"/>
      <c r="E689" s="119"/>
      <c r="F689" s="155">
        <v>-35</v>
      </c>
      <c r="G689" s="133" t="str">
        <f>_xlfn.XLOOKUP(Table1[[#This Row],[Account_ID]], Accounts[ID], Accounts[Account nickname], "Unknown")</f>
        <v>Discover</v>
      </c>
      <c r="H689" s="134" t="str">
        <f>_xlfn.XLOOKUP(Table1[[#This Row],[Account_ID]], Accounts[ID], Accounts[Account'#], "Unknown")</f>
        <v>4618</v>
      </c>
      <c r="I689" s="135" t="str">
        <f>_xlfn.XLOOKUP(_xlfn.XLOOKUP(Table1[[#This Row],[Account]],Accounts[Account nickname],Accounts[Institution ID]),Institutions[ID],Institutions[Institution nickname],"Unknown")</f>
        <v>Discover</v>
      </c>
      <c r="J689" s="136" t="s">
        <v>2048</v>
      </c>
      <c r="K689" s="137" t="s">
        <v>843</v>
      </c>
      <c r="L689" s="137" t="s">
        <v>841</v>
      </c>
      <c r="M68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8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89" s="138" t="str" cm="1">
        <f t="array" ref="O689">IFERROR(INDEX(CategoriesTable[Category type],MATCH(Table1[[#This Row],[Category]],CategoriesTable[Category name],0),0),"")</f>
        <v/>
      </c>
      <c r="P689" s="138">
        <v>22</v>
      </c>
      <c r="Q689" s="138">
        <f>MONTH(Table1[[#This Row],[Date]])</f>
        <v>7</v>
      </c>
      <c r="R689" s="138">
        <v>2021</v>
      </c>
      <c r="S689" s="139">
        <f>IF(ISBLANK(Table1[[#This Row],[Date]]),"",Table1[[#This Row],[Date]]-WEEKDAY(Table1[[#This Row],[Date]],2)+1)</f>
        <v>44396</v>
      </c>
      <c r="T689" s="140">
        <f>IF(ISBLANK(Table1[[#This Row],[Date]]),"",DATE(Table1[[#This Row],[Date_Year]],Table1[[#This Row],[Date_Month]],1))</f>
        <v>44378</v>
      </c>
    </row>
    <row r="690" spans="2:20" ht="15.75">
      <c r="B690" s="154">
        <v>44399</v>
      </c>
      <c r="C690" s="119" t="s">
        <v>845</v>
      </c>
      <c r="D690" s="119"/>
      <c r="E690" s="119"/>
      <c r="F690" s="155">
        <v>1518.65</v>
      </c>
      <c r="G690" s="133" t="str">
        <f>_xlfn.XLOOKUP(Table1[[#This Row],[Account_ID]], Accounts[ID], Accounts[Account nickname], "Unknown")</f>
        <v>Discover</v>
      </c>
      <c r="H690" s="134" t="str">
        <f>_xlfn.XLOOKUP(Table1[[#This Row],[Account_ID]], Accounts[ID], Accounts[Account'#], "Unknown")</f>
        <v>4618</v>
      </c>
      <c r="I690" s="135" t="str">
        <f>_xlfn.XLOOKUP(_xlfn.XLOOKUP(Table1[[#This Row],[Account]],Accounts[Account nickname],Accounts[Institution ID]),Institutions[ID],Institutions[Institution nickname],"Unknown")</f>
        <v>Discover</v>
      </c>
      <c r="J690" s="136" t="s">
        <v>2049</v>
      </c>
      <c r="K690" s="137" t="s">
        <v>843</v>
      </c>
      <c r="L690" s="137" t="s">
        <v>841</v>
      </c>
      <c r="M69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9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90" s="138" t="str" cm="1">
        <f t="array" ref="O690">IFERROR(INDEX(CategoriesTable[Category type],MATCH(Table1[[#This Row],[Category]],CategoriesTable[Category name],0),0),"")</f>
        <v/>
      </c>
      <c r="P690" s="138">
        <v>22</v>
      </c>
      <c r="Q690" s="138">
        <f>MONTH(Table1[[#This Row],[Date]])</f>
        <v>7</v>
      </c>
      <c r="R690" s="138">
        <v>2021</v>
      </c>
      <c r="S690" s="139">
        <f>IF(ISBLANK(Table1[[#This Row],[Date]]),"",Table1[[#This Row],[Date]]-WEEKDAY(Table1[[#This Row],[Date]],2)+1)</f>
        <v>44396</v>
      </c>
      <c r="T690" s="140">
        <f>IF(ISBLANK(Table1[[#This Row],[Date]]),"",DATE(Table1[[#This Row],[Date_Year]],Table1[[#This Row],[Date_Month]],1))</f>
        <v>44378</v>
      </c>
    </row>
    <row r="691" spans="2:20" ht="15.75">
      <c r="B691" s="154">
        <v>44399</v>
      </c>
      <c r="C691" s="119" t="s">
        <v>735</v>
      </c>
      <c r="D691" s="119"/>
      <c r="E691" s="119"/>
      <c r="F691" s="155">
        <v>-1825</v>
      </c>
      <c r="G691" s="133" t="str">
        <f>_xlfn.XLOOKUP(Table1[[#This Row],[Account_ID]], Accounts[ID], Accounts[Account nickname], "Unknown")</f>
        <v>WF</v>
      </c>
      <c r="H691" s="134" t="str">
        <f>_xlfn.XLOOKUP(Table1[[#This Row],[Account_ID]], Accounts[ID], Accounts[Account'#], "Unknown")</f>
        <v>4636</v>
      </c>
      <c r="I691" s="135" t="str">
        <f>_xlfn.XLOOKUP(_xlfn.XLOOKUP(Table1[[#This Row],[Account]],Accounts[Account nickname],Accounts[Institution ID]),Institutions[ID],Institutions[Institution nickname],"Unknown")</f>
        <v>Wells Fargo</v>
      </c>
      <c r="J691" s="136" t="s">
        <v>1066</v>
      </c>
      <c r="K691" s="137" t="s">
        <v>808</v>
      </c>
      <c r="L691" s="137" t="s">
        <v>807</v>
      </c>
      <c r="M69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9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91" s="138" t="str" cm="1">
        <f t="array" ref="O691">IFERROR(INDEX(CategoriesTable[Category type],MATCH(Table1[[#This Row],[Category]],CategoriesTable[Category name],0),0),"")</f>
        <v/>
      </c>
      <c r="P691" s="138">
        <v>22</v>
      </c>
      <c r="Q691" s="138">
        <f>MONTH(Table1[[#This Row],[Date]])</f>
        <v>7</v>
      </c>
      <c r="R691" s="138">
        <v>2021</v>
      </c>
      <c r="S691" s="139">
        <f>IF(ISBLANK(Table1[[#This Row],[Date]]),"",Table1[[#This Row],[Date]]-WEEKDAY(Table1[[#This Row],[Date]],2)+1)</f>
        <v>44396</v>
      </c>
      <c r="T691" s="140">
        <f>IF(ISBLANK(Table1[[#This Row],[Date]]),"",DATE(Table1[[#This Row],[Date_Year]],Table1[[#This Row],[Date_Month]],1))</f>
        <v>44378</v>
      </c>
    </row>
    <row r="692" spans="2:20" ht="15.75">
      <c r="B692" s="154">
        <v>44399</v>
      </c>
      <c r="C692" s="119" t="s">
        <v>686</v>
      </c>
      <c r="D692" s="119"/>
      <c r="E692" s="119"/>
      <c r="F692" s="155">
        <v>-1518.65</v>
      </c>
      <c r="G692" s="133" t="str">
        <f>_xlfn.XLOOKUP(Table1[[#This Row],[Account_ID]], Accounts[ID], Accounts[Account nickname], "Unknown")</f>
        <v>WF</v>
      </c>
      <c r="H692" s="134" t="str">
        <f>_xlfn.XLOOKUP(Table1[[#This Row],[Account_ID]], Accounts[ID], Accounts[Account'#], "Unknown")</f>
        <v>4636</v>
      </c>
      <c r="I692" s="135" t="str">
        <f>_xlfn.XLOOKUP(_xlfn.XLOOKUP(Table1[[#This Row],[Account]],Accounts[Account nickname],Accounts[Institution ID]),Institutions[ID],Institutions[Institution nickname],"Unknown")</f>
        <v>Wells Fargo</v>
      </c>
      <c r="J692" s="136" t="s">
        <v>1064</v>
      </c>
      <c r="K692" s="137" t="s">
        <v>808</v>
      </c>
      <c r="L692" s="137" t="s">
        <v>807</v>
      </c>
      <c r="M69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9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92" s="138" t="str" cm="1">
        <f t="array" ref="O692">IFERROR(INDEX(CategoriesTable[Category type],MATCH(Table1[[#This Row],[Category]],CategoriesTable[Category name],0),0),"")</f>
        <v/>
      </c>
      <c r="P692" s="138">
        <v>22</v>
      </c>
      <c r="Q692" s="138">
        <f>MONTH(Table1[[#This Row],[Date]])</f>
        <v>7</v>
      </c>
      <c r="R692" s="138">
        <v>2021</v>
      </c>
      <c r="S692" s="139">
        <f>IF(ISBLANK(Table1[[#This Row],[Date]]),"",Table1[[#This Row],[Date]]-WEEKDAY(Table1[[#This Row],[Date]],2)+1)</f>
        <v>44396</v>
      </c>
      <c r="T692" s="140">
        <f>IF(ISBLANK(Table1[[#This Row],[Date]]),"",DATE(Table1[[#This Row],[Date_Year]],Table1[[#This Row],[Date_Month]],1))</f>
        <v>44378</v>
      </c>
    </row>
    <row r="693" spans="2:20" ht="15.75">
      <c r="B693" s="154">
        <v>44398</v>
      </c>
      <c r="C693" s="119" t="s">
        <v>2050</v>
      </c>
      <c r="D693" s="119"/>
      <c r="E693" s="119"/>
      <c r="F693" s="155">
        <v>-12.71</v>
      </c>
      <c r="G693" s="133" t="str">
        <f>_xlfn.XLOOKUP(Table1[[#This Row],[Account_ID]], Accounts[ID], Accounts[Account nickname], "Unknown")</f>
        <v>Discover</v>
      </c>
      <c r="H693" s="134" t="str">
        <f>_xlfn.XLOOKUP(Table1[[#This Row],[Account_ID]], Accounts[ID], Accounts[Account'#], "Unknown")</f>
        <v>4618</v>
      </c>
      <c r="I693" s="135" t="str">
        <f>_xlfn.XLOOKUP(_xlfn.XLOOKUP(Table1[[#This Row],[Account]],Accounts[Account nickname],Accounts[Institution ID]),Institutions[ID],Institutions[Institution nickname],"Unknown")</f>
        <v>Discover</v>
      </c>
      <c r="J693" s="136" t="s">
        <v>2052</v>
      </c>
      <c r="K693" s="137" t="s">
        <v>843</v>
      </c>
      <c r="L693" s="137" t="s">
        <v>841</v>
      </c>
      <c r="M69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9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93" s="138" t="str" cm="1">
        <f t="array" ref="O693">IFERROR(INDEX(CategoriesTable[Category type],MATCH(Table1[[#This Row],[Category]],CategoriesTable[Category name],0),0),"")</f>
        <v/>
      </c>
      <c r="P693" s="138">
        <v>21</v>
      </c>
      <c r="Q693" s="138">
        <f>MONTH(Table1[[#This Row],[Date]])</f>
        <v>7</v>
      </c>
      <c r="R693" s="138">
        <v>2021</v>
      </c>
      <c r="S693" s="139">
        <f>IF(ISBLANK(Table1[[#This Row],[Date]]),"",Table1[[#This Row],[Date]]-WEEKDAY(Table1[[#This Row],[Date]],2)+1)</f>
        <v>44396</v>
      </c>
      <c r="T693" s="140">
        <f>IF(ISBLANK(Table1[[#This Row],[Date]]),"",DATE(Table1[[#This Row],[Date_Year]],Table1[[#This Row],[Date_Month]],1))</f>
        <v>44378</v>
      </c>
    </row>
    <row r="694" spans="2:20" ht="15.75">
      <c r="B694" s="154">
        <v>44398</v>
      </c>
      <c r="C694" s="119" t="s">
        <v>1436</v>
      </c>
      <c r="D694" s="119"/>
      <c r="E694" s="119"/>
      <c r="F694" s="155">
        <v>-7.99</v>
      </c>
      <c r="G694" s="133" t="str">
        <f>_xlfn.XLOOKUP(Table1[[#This Row],[Account_ID]], Accounts[ID], Accounts[Account nickname], "Unknown")</f>
        <v>Discover</v>
      </c>
      <c r="H694" s="134" t="str">
        <f>_xlfn.XLOOKUP(Table1[[#This Row],[Account_ID]], Accounts[ID], Accounts[Account'#], "Unknown")</f>
        <v>4618</v>
      </c>
      <c r="I694" s="135" t="str">
        <f>_xlfn.XLOOKUP(_xlfn.XLOOKUP(Table1[[#This Row],[Account]],Accounts[Account nickname],Accounts[Institution ID]),Institutions[ID],Institutions[Institution nickname],"Unknown")</f>
        <v>Discover</v>
      </c>
      <c r="J694" s="136" t="s">
        <v>2053</v>
      </c>
      <c r="K694" s="137" t="s">
        <v>843</v>
      </c>
      <c r="L694" s="137" t="s">
        <v>841</v>
      </c>
      <c r="M69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9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94" s="138" t="str" cm="1">
        <f t="array" ref="O694">IFERROR(INDEX(CategoriesTable[Category type],MATCH(Table1[[#This Row],[Category]],CategoriesTable[Category name],0),0),"")</f>
        <v/>
      </c>
      <c r="P694" s="138">
        <v>21</v>
      </c>
      <c r="Q694" s="138">
        <f>MONTH(Table1[[#This Row],[Date]])</f>
        <v>7</v>
      </c>
      <c r="R694" s="138">
        <v>2021</v>
      </c>
      <c r="S694" s="139">
        <f>IF(ISBLANK(Table1[[#This Row],[Date]]),"",Table1[[#This Row],[Date]]-WEEKDAY(Table1[[#This Row],[Date]],2)+1)</f>
        <v>44396</v>
      </c>
      <c r="T694" s="140">
        <f>IF(ISBLANK(Table1[[#This Row],[Date]]),"",DATE(Table1[[#This Row],[Date_Year]],Table1[[#This Row],[Date_Month]],1))</f>
        <v>44378</v>
      </c>
    </row>
    <row r="695" spans="2:20" ht="15.75">
      <c r="B695" s="154">
        <v>44398</v>
      </c>
      <c r="C695" s="119" t="s">
        <v>678</v>
      </c>
      <c r="D695" s="119"/>
      <c r="E695" s="119"/>
      <c r="F695" s="155">
        <v>937.5</v>
      </c>
      <c r="G695" s="133" t="str">
        <f>_xlfn.XLOOKUP(Table1[[#This Row],[Account_ID]], Accounts[ID], Accounts[Account nickname], "Unknown")</f>
        <v>WF</v>
      </c>
      <c r="H695" s="134" t="str">
        <f>_xlfn.XLOOKUP(Table1[[#This Row],[Account_ID]], Accounts[ID], Accounts[Account'#], "Unknown")</f>
        <v>4636</v>
      </c>
      <c r="I695" s="135" t="str">
        <f>_xlfn.XLOOKUP(_xlfn.XLOOKUP(Table1[[#This Row],[Account]],Accounts[Account nickname],Accounts[Institution ID]),Institutions[ID],Institutions[Institution nickname],"Unknown")</f>
        <v>Wells Fargo</v>
      </c>
      <c r="J695" s="136" t="s">
        <v>1068</v>
      </c>
      <c r="K695" s="137" t="s">
        <v>808</v>
      </c>
      <c r="L695" s="137" t="s">
        <v>807</v>
      </c>
      <c r="M69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9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95" s="138" t="str" cm="1">
        <f t="array" ref="O695">IFERROR(INDEX(CategoriesTable[Category type],MATCH(Table1[[#This Row],[Category]],CategoriesTable[Category name],0),0),"")</f>
        <v/>
      </c>
      <c r="P695" s="138">
        <v>21</v>
      </c>
      <c r="Q695" s="138">
        <f>MONTH(Table1[[#This Row],[Date]])</f>
        <v>7</v>
      </c>
      <c r="R695" s="138">
        <v>2021</v>
      </c>
      <c r="S695" s="139">
        <f>IF(ISBLANK(Table1[[#This Row],[Date]]),"",Table1[[#This Row],[Date]]-WEEKDAY(Table1[[#This Row],[Date]],2)+1)</f>
        <v>44396</v>
      </c>
      <c r="T695" s="140">
        <f>IF(ISBLANK(Table1[[#This Row],[Date]]),"",DATE(Table1[[#This Row],[Date_Year]],Table1[[#This Row],[Date_Month]],1))</f>
        <v>44378</v>
      </c>
    </row>
    <row r="696" spans="2:20" ht="15.75">
      <c r="B696" s="154">
        <v>44398</v>
      </c>
      <c r="C696" s="119" t="s">
        <v>2050</v>
      </c>
      <c r="D696" s="119"/>
      <c r="E696" s="119"/>
      <c r="F696" s="155">
        <v>-4.2300000000000004</v>
      </c>
      <c r="G696" s="133" t="str">
        <f>_xlfn.XLOOKUP(Table1[[#This Row],[Account_ID]], Accounts[ID], Accounts[Account nickname], "Unknown")</f>
        <v>Discover</v>
      </c>
      <c r="H696" s="134" t="str">
        <f>_xlfn.XLOOKUP(Table1[[#This Row],[Account_ID]], Accounts[ID], Accounts[Account'#], "Unknown")</f>
        <v>4618</v>
      </c>
      <c r="I696" s="135" t="str">
        <f>_xlfn.XLOOKUP(_xlfn.XLOOKUP(Table1[[#This Row],[Account]],Accounts[Account nickname],Accounts[Institution ID]),Institutions[ID],Institutions[Institution nickname],"Unknown")</f>
        <v>Discover</v>
      </c>
      <c r="J696" s="136" t="s">
        <v>2051</v>
      </c>
      <c r="K696" s="137" t="s">
        <v>843</v>
      </c>
      <c r="L696" s="137" t="s">
        <v>841</v>
      </c>
      <c r="M69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9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96" s="138" t="str" cm="1">
        <f t="array" ref="O696">IFERROR(INDEX(CategoriesTable[Category type],MATCH(Table1[[#This Row],[Category]],CategoriesTable[Category name],0),0),"")</f>
        <v/>
      </c>
      <c r="P696" s="138">
        <v>21</v>
      </c>
      <c r="Q696" s="138">
        <f>MONTH(Table1[[#This Row],[Date]])</f>
        <v>7</v>
      </c>
      <c r="R696" s="138">
        <v>2021</v>
      </c>
      <c r="S696" s="139">
        <f>IF(ISBLANK(Table1[[#This Row],[Date]]),"",Table1[[#This Row],[Date]]-WEEKDAY(Table1[[#This Row],[Date]],2)+1)</f>
        <v>44396</v>
      </c>
      <c r="T696" s="140">
        <f>IF(ISBLANK(Table1[[#This Row],[Date]]),"",DATE(Table1[[#This Row],[Date_Year]],Table1[[#This Row],[Date_Month]],1))</f>
        <v>44378</v>
      </c>
    </row>
    <row r="697" spans="2:20" ht="15.75">
      <c r="B697" s="154">
        <v>44398</v>
      </c>
      <c r="C697" s="119" t="s">
        <v>741</v>
      </c>
      <c r="D697" s="119"/>
      <c r="E697" s="119"/>
      <c r="F697" s="155">
        <v>-29.73</v>
      </c>
      <c r="G697" s="133" t="str">
        <f>_xlfn.XLOOKUP(Table1[[#This Row],[Account_ID]], Accounts[ID], Accounts[Account nickname], "Unknown")</f>
        <v>WF</v>
      </c>
      <c r="H697" s="134" t="str">
        <f>_xlfn.XLOOKUP(Table1[[#This Row],[Account_ID]], Accounts[ID], Accounts[Account'#], "Unknown")</f>
        <v>4636</v>
      </c>
      <c r="I697" s="135" t="str">
        <f>_xlfn.XLOOKUP(_xlfn.XLOOKUP(Table1[[#This Row],[Account]],Accounts[Account nickname],Accounts[Institution ID]),Institutions[ID],Institutions[Institution nickname],"Unknown")</f>
        <v>Wells Fargo</v>
      </c>
      <c r="J697" s="136" t="s">
        <v>1067</v>
      </c>
      <c r="K697" s="137" t="s">
        <v>808</v>
      </c>
      <c r="L697" s="137" t="s">
        <v>807</v>
      </c>
      <c r="M69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9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97" s="138" t="str" cm="1">
        <f t="array" ref="O697">IFERROR(INDEX(CategoriesTable[Category type],MATCH(Table1[[#This Row],[Category]],CategoriesTable[Category name],0),0),"")</f>
        <v/>
      </c>
      <c r="P697" s="138">
        <v>21</v>
      </c>
      <c r="Q697" s="138">
        <f>MONTH(Table1[[#This Row],[Date]])</f>
        <v>7</v>
      </c>
      <c r="R697" s="138">
        <v>2021</v>
      </c>
      <c r="S697" s="139">
        <f>IF(ISBLANK(Table1[[#This Row],[Date]]),"",Table1[[#This Row],[Date]]-WEEKDAY(Table1[[#This Row],[Date]],2)+1)</f>
        <v>44396</v>
      </c>
      <c r="T697" s="140">
        <f>IF(ISBLANK(Table1[[#This Row],[Date]]),"",DATE(Table1[[#This Row],[Date_Year]],Table1[[#This Row],[Date_Month]],1))</f>
        <v>44378</v>
      </c>
    </row>
    <row r="698" spans="2:20" ht="15.75">
      <c r="B698" s="154">
        <v>44397</v>
      </c>
      <c r="C698" s="119" t="s">
        <v>2054</v>
      </c>
      <c r="D698" s="119"/>
      <c r="E698" s="119"/>
      <c r="F698" s="155">
        <v>-9.4600000000000009</v>
      </c>
      <c r="G698" s="133" t="str">
        <f>_xlfn.XLOOKUP(Table1[[#This Row],[Account_ID]], Accounts[ID], Accounts[Account nickname], "Unknown")</f>
        <v>Discover</v>
      </c>
      <c r="H698" s="134" t="str">
        <f>_xlfn.XLOOKUP(Table1[[#This Row],[Account_ID]], Accounts[ID], Accounts[Account'#], "Unknown")</f>
        <v>4618</v>
      </c>
      <c r="I698" s="135" t="str">
        <f>_xlfn.XLOOKUP(_xlfn.XLOOKUP(Table1[[#This Row],[Account]],Accounts[Account nickname],Accounts[Institution ID]),Institutions[ID],Institutions[Institution nickname],"Unknown")</f>
        <v>Discover</v>
      </c>
      <c r="J698" s="136" t="s">
        <v>2055</v>
      </c>
      <c r="K698" s="137" t="s">
        <v>843</v>
      </c>
      <c r="L698" s="137" t="s">
        <v>841</v>
      </c>
      <c r="M69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69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98" s="138" t="str" cm="1">
        <f t="array" ref="O698">IFERROR(INDEX(CategoriesTable[Category type],MATCH(Table1[[#This Row],[Category]],CategoriesTable[Category name],0),0),"")</f>
        <v/>
      </c>
      <c r="P698" s="138">
        <v>20</v>
      </c>
      <c r="Q698" s="138">
        <f>MONTH(Table1[[#This Row],[Date]])</f>
        <v>7</v>
      </c>
      <c r="R698" s="138">
        <v>2021</v>
      </c>
      <c r="S698" s="139">
        <f>IF(ISBLANK(Table1[[#This Row],[Date]]),"",Table1[[#This Row],[Date]]-WEEKDAY(Table1[[#This Row],[Date]],2)+1)</f>
        <v>44396</v>
      </c>
      <c r="T698" s="140">
        <f>IF(ISBLANK(Table1[[#This Row],[Date]]),"",DATE(Table1[[#This Row],[Date_Year]],Table1[[#This Row],[Date_Month]],1))</f>
        <v>44378</v>
      </c>
    </row>
    <row r="699" spans="2:20" ht="15.75">
      <c r="B699" s="154">
        <v>44397</v>
      </c>
      <c r="C699" s="119" t="s">
        <v>1383</v>
      </c>
      <c r="D699" s="119" t="s">
        <v>113</v>
      </c>
      <c r="E699" s="119"/>
      <c r="F699" s="155">
        <v>0</v>
      </c>
      <c r="G699" s="133" t="str">
        <f>_xlfn.XLOOKUP(Table1[[#This Row],[Account_ID]], Accounts[ID], Accounts[Account nickname], "Unknown")</f>
        <v>BB</v>
      </c>
      <c r="H699" s="134" t="str">
        <f>_xlfn.XLOOKUP(Table1[[#This Row],[Account_ID]], Accounts[ID], Accounts[Account'#], "Unknown")</f>
        <v>4561</v>
      </c>
      <c r="I699" s="135" t="str">
        <f>_xlfn.XLOOKUP(_xlfn.XLOOKUP(Table1[[#This Row],[Account]],Accounts[Account nickname],Accounts[Institution ID]),Institutions[ID],Institutions[Institution nickname],"Unknown")</f>
        <v>Best Buy - Citi Card</v>
      </c>
      <c r="J699" s="136" t="s">
        <v>2064</v>
      </c>
      <c r="K699" s="137" t="s">
        <v>1375</v>
      </c>
      <c r="L699" s="137" t="s">
        <v>1372</v>
      </c>
      <c r="M69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de9b1d2511bc45a9bb2d484aa9e33b31</v>
      </c>
      <c r="N69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699" s="138" t="str" cm="1">
        <f t="array" ref="O699">IFERROR(INDEX(CategoriesTable[Category type],MATCH(Table1[[#This Row],[Category]],CategoriesTable[Category name],0),0),"")</f>
        <v>Expense</v>
      </c>
      <c r="P699" s="138">
        <v>20</v>
      </c>
      <c r="Q699" s="138">
        <f>MONTH(Table1[[#This Row],[Date]])</f>
        <v>7</v>
      </c>
      <c r="R699" s="138">
        <v>2021</v>
      </c>
      <c r="S699" s="139">
        <f>IF(ISBLANK(Table1[[#This Row],[Date]]),"",Table1[[#This Row],[Date]]-WEEKDAY(Table1[[#This Row],[Date]],2)+1)</f>
        <v>44396</v>
      </c>
      <c r="T699" s="140">
        <f>IF(ISBLANK(Table1[[#This Row],[Date]]),"",DATE(Table1[[#This Row],[Date_Year]],Table1[[#This Row],[Date_Month]],1))</f>
        <v>44378</v>
      </c>
    </row>
    <row r="700" spans="2:20" ht="15.75">
      <c r="B700" s="154">
        <v>44397</v>
      </c>
      <c r="C700" s="119" t="s">
        <v>2061</v>
      </c>
      <c r="D700" s="119"/>
      <c r="E700" s="119"/>
      <c r="F700" s="155">
        <v>-56.29</v>
      </c>
      <c r="G700" s="133" t="str">
        <f>_xlfn.XLOOKUP(Table1[[#This Row],[Account_ID]], Accounts[ID], Accounts[Account nickname], "Unknown")</f>
        <v>Discover</v>
      </c>
      <c r="H700" s="134" t="str">
        <f>_xlfn.XLOOKUP(Table1[[#This Row],[Account_ID]], Accounts[ID], Accounts[Account'#], "Unknown")</f>
        <v>4618</v>
      </c>
      <c r="I700" s="135" t="str">
        <f>_xlfn.XLOOKUP(_xlfn.XLOOKUP(Table1[[#This Row],[Account]],Accounts[Account nickname],Accounts[Institution ID]),Institutions[ID],Institutions[Institution nickname],"Unknown")</f>
        <v>Discover</v>
      </c>
      <c r="J700" s="136" t="s">
        <v>2062</v>
      </c>
      <c r="K700" s="137" t="s">
        <v>843</v>
      </c>
      <c r="L700" s="137" t="s">
        <v>841</v>
      </c>
      <c r="M70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0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00" s="138" t="str" cm="1">
        <f t="array" ref="O700">IFERROR(INDEX(CategoriesTable[Category type],MATCH(Table1[[#This Row],[Category]],CategoriesTable[Category name],0),0),"")</f>
        <v/>
      </c>
      <c r="P700" s="138">
        <v>20</v>
      </c>
      <c r="Q700" s="138">
        <f>MONTH(Table1[[#This Row],[Date]])</f>
        <v>7</v>
      </c>
      <c r="R700" s="138">
        <v>2021</v>
      </c>
      <c r="S700" s="139">
        <f>IF(ISBLANK(Table1[[#This Row],[Date]]),"",Table1[[#This Row],[Date]]-WEEKDAY(Table1[[#This Row],[Date]],2)+1)</f>
        <v>44396</v>
      </c>
      <c r="T700" s="140">
        <f>IF(ISBLANK(Table1[[#This Row],[Date]]),"",DATE(Table1[[#This Row],[Date_Year]],Table1[[#This Row],[Date_Month]],1))</f>
        <v>44378</v>
      </c>
    </row>
    <row r="701" spans="2:20" ht="15.75">
      <c r="B701" s="154">
        <v>44397</v>
      </c>
      <c r="C701" s="119" t="s">
        <v>2050</v>
      </c>
      <c r="D701" s="119"/>
      <c r="E701" s="119"/>
      <c r="F701" s="155">
        <v>-15.88</v>
      </c>
      <c r="G701" s="133" t="str">
        <f>_xlfn.XLOOKUP(Table1[[#This Row],[Account_ID]], Accounts[ID], Accounts[Account nickname], "Unknown")</f>
        <v>Discover</v>
      </c>
      <c r="H701" s="134" t="str">
        <f>_xlfn.XLOOKUP(Table1[[#This Row],[Account_ID]], Accounts[ID], Accounts[Account'#], "Unknown")</f>
        <v>4618</v>
      </c>
      <c r="I701" s="135" t="str">
        <f>_xlfn.XLOOKUP(_xlfn.XLOOKUP(Table1[[#This Row],[Account]],Accounts[Account nickname],Accounts[Institution ID]),Institutions[ID],Institutions[Institution nickname],"Unknown")</f>
        <v>Discover</v>
      </c>
      <c r="J701" s="136" t="s">
        <v>2057</v>
      </c>
      <c r="K701" s="137" t="s">
        <v>843</v>
      </c>
      <c r="L701" s="137" t="s">
        <v>841</v>
      </c>
      <c r="M70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0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01" s="138" t="str" cm="1">
        <f t="array" ref="O701">IFERROR(INDEX(CategoriesTable[Category type],MATCH(Table1[[#This Row],[Category]],CategoriesTable[Category name],0),0),"")</f>
        <v/>
      </c>
      <c r="P701" s="138">
        <v>20</v>
      </c>
      <c r="Q701" s="138">
        <f>MONTH(Table1[[#This Row],[Date]])</f>
        <v>7</v>
      </c>
      <c r="R701" s="138">
        <v>2021</v>
      </c>
      <c r="S701" s="139">
        <f>IF(ISBLANK(Table1[[#This Row],[Date]]),"",Table1[[#This Row],[Date]]-WEEKDAY(Table1[[#This Row],[Date]],2)+1)</f>
        <v>44396</v>
      </c>
      <c r="T701" s="140">
        <f>IF(ISBLANK(Table1[[#This Row],[Date]]),"",DATE(Table1[[#This Row],[Date_Year]],Table1[[#This Row],[Date_Month]],1))</f>
        <v>44378</v>
      </c>
    </row>
    <row r="702" spans="2:20" ht="15.75">
      <c r="B702" s="154">
        <v>44397</v>
      </c>
      <c r="C702" s="119" t="s">
        <v>2054</v>
      </c>
      <c r="D702" s="119"/>
      <c r="E702" s="119"/>
      <c r="F702" s="155">
        <v>-70.040000000000006</v>
      </c>
      <c r="G702" s="133" t="str">
        <f>_xlfn.XLOOKUP(Table1[[#This Row],[Account_ID]], Accounts[ID], Accounts[Account nickname], "Unknown")</f>
        <v>Discover</v>
      </c>
      <c r="H702" s="134" t="str">
        <f>_xlfn.XLOOKUP(Table1[[#This Row],[Account_ID]], Accounts[ID], Accounts[Account'#], "Unknown")</f>
        <v>4618</v>
      </c>
      <c r="I702" s="135" t="str">
        <f>_xlfn.XLOOKUP(_xlfn.XLOOKUP(Table1[[#This Row],[Account]],Accounts[Account nickname],Accounts[Institution ID]),Institutions[ID],Institutions[Institution nickname],"Unknown")</f>
        <v>Discover</v>
      </c>
      <c r="J702" s="136" t="s">
        <v>2056</v>
      </c>
      <c r="K702" s="137" t="s">
        <v>843</v>
      </c>
      <c r="L702" s="137" t="s">
        <v>841</v>
      </c>
      <c r="M70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0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02" s="138" t="str" cm="1">
        <f t="array" ref="O702">IFERROR(INDEX(CategoriesTable[Category type],MATCH(Table1[[#This Row],[Category]],CategoriesTable[Category name],0),0),"")</f>
        <v/>
      </c>
      <c r="P702" s="138">
        <v>20</v>
      </c>
      <c r="Q702" s="138">
        <f>MONTH(Table1[[#This Row],[Date]])</f>
        <v>7</v>
      </c>
      <c r="R702" s="138">
        <v>2021</v>
      </c>
      <c r="S702" s="139">
        <f>IF(ISBLANK(Table1[[#This Row],[Date]]),"",Table1[[#This Row],[Date]]-WEEKDAY(Table1[[#This Row],[Date]],2)+1)</f>
        <v>44396</v>
      </c>
      <c r="T702" s="140">
        <f>IF(ISBLANK(Table1[[#This Row],[Date]]),"",DATE(Table1[[#This Row],[Date_Year]],Table1[[#This Row],[Date_Month]],1))</f>
        <v>44378</v>
      </c>
    </row>
    <row r="703" spans="2:20" ht="15.75">
      <c r="B703" s="154">
        <v>44397</v>
      </c>
      <c r="C703" s="119" t="s">
        <v>1489</v>
      </c>
      <c r="D703" s="119"/>
      <c r="E703" s="119"/>
      <c r="F703" s="155">
        <v>-20.02</v>
      </c>
      <c r="G703" s="133" t="str">
        <f>_xlfn.XLOOKUP(Table1[[#This Row],[Account_ID]], Accounts[ID], Accounts[Account nickname], "Unknown")</f>
        <v>Discover</v>
      </c>
      <c r="H703" s="134" t="str">
        <f>_xlfn.XLOOKUP(Table1[[#This Row],[Account_ID]], Accounts[ID], Accounts[Account'#], "Unknown")</f>
        <v>4618</v>
      </c>
      <c r="I703" s="135" t="str">
        <f>_xlfn.XLOOKUP(_xlfn.XLOOKUP(Table1[[#This Row],[Account]],Accounts[Account nickname],Accounts[Institution ID]),Institutions[ID],Institutions[Institution nickname],"Unknown")</f>
        <v>Discover</v>
      </c>
      <c r="J703" s="136" t="s">
        <v>2063</v>
      </c>
      <c r="K703" s="137" t="s">
        <v>843</v>
      </c>
      <c r="L703" s="137" t="s">
        <v>841</v>
      </c>
      <c r="M70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0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03" s="138" t="str" cm="1">
        <f t="array" ref="O703">IFERROR(INDEX(CategoriesTable[Category type],MATCH(Table1[[#This Row],[Category]],CategoriesTable[Category name],0),0),"")</f>
        <v/>
      </c>
      <c r="P703" s="138">
        <v>20</v>
      </c>
      <c r="Q703" s="138">
        <f>MONTH(Table1[[#This Row],[Date]])</f>
        <v>7</v>
      </c>
      <c r="R703" s="138">
        <v>2021</v>
      </c>
      <c r="S703" s="139">
        <f>IF(ISBLANK(Table1[[#This Row],[Date]]),"",Table1[[#This Row],[Date]]-WEEKDAY(Table1[[#This Row],[Date]],2)+1)</f>
        <v>44396</v>
      </c>
      <c r="T703" s="140">
        <f>IF(ISBLANK(Table1[[#This Row],[Date]]),"",DATE(Table1[[#This Row],[Date_Year]],Table1[[#This Row],[Date_Month]],1))</f>
        <v>44378</v>
      </c>
    </row>
    <row r="704" spans="2:20" ht="15.75">
      <c r="B704" s="154">
        <v>44397</v>
      </c>
      <c r="C704" s="119" t="s">
        <v>1385</v>
      </c>
      <c r="D704" s="119" t="s">
        <v>113</v>
      </c>
      <c r="E704" s="119"/>
      <c r="F704" s="155">
        <v>0</v>
      </c>
      <c r="G704" s="133" t="str">
        <f>_xlfn.XLOOKUP(Table1[[#This Row],[Account_ID]], Accounts[ID], Accounts[Account nickname], "Unknown")</f>
        <v>BB</v>
      </c>
      <c r="H704" s="134" t="str">
        <f>_xlfn.XLOOKUP(Table1[[#This Row],[Account_ID]], Accounts[ID], Accounts[Account'#], "Unknown")</f>
        <v>4561</v>
      </c>
      <c r="I704" s="135" t="str">
        <f>_xlfn.XLOOKUP(_xlfn.XLOOKUP(Table1[[#This Row],[Account]],Accounts[Account nickname],Accounts[Institution ID]),Institutions[ID],Institutions[Institution nickname],"Unknown")</f>
        <v>Best Buy - Citi Card</v>
      </c>
      <c r="J704" s="136" t="s">
        <v>2065</v>
      </c>
      <c r="K704" s="137" t="s">
        <v>1375</v>
      </c>
      <c r="L704" s="137" t="s">
        <v>1372</v>
      </c>
      <c r="M70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de9b1d2511bc45a9bb2d484aa9e33b31</v>
      </c>
      <c r="N70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04" s="138" t="str" cm="1">
        <f t="array" ref="O704">IFERROR(INDEX(CategoriesTable[Category type],MATCH(Table1[[#This Row],[Category]],CategoriesTable[Category name],0),0),"")</f>
        <v>Expense</v>
      </c>
      <c r="P704" s="138">
        <v>20</v>
      </c>
      <c r="Q704" s="138">
        <f>MONTH(Table1[[#This Row],[Date]])</f>
        <v>7</v>
      </c>
      <c r="R704" s="138">
        <v>2021</v>
      </c>
      <c r="S704" s="139">
        <f>IF(ISBLANK(Table1[[#This Row],[Date]]),"",Table1[[#This Row],[Date]]-WEEKDAY(Table1[[#This Row],[Date]],2)+1)</f>
        <v>44396</v>
      </c>
      <c r="T704" s="140">
        <f>IF(ISBLANK(Table1[[#This Row],[Date]]),"",DATE(Table1[[#This Row],[Date_Year]],Table1[[#This Row],[Date_Month]],1))</f>
        <v>44378</v>
      </c>
    </row>
    <row r="705" spans="2:20" ht="15.75">
      <c r="B705" s="154">
        <v>44397</v>
      </c>
      <c r="C705" s="119" t="s">
        <v>860</v>
      </c>
      <c r="D705" s="119"/>
      <c r="E705" s="119"/>
      <c r="F705" s="155">
        <v>-28.6</v>
      </c>
      <c r="G705" s="133" t="str">
        <f>_xlfn.XLOOKUP(Table1[[#This Row],[Account_ID]], Accounts[ID], Accounts[Account nickname], "Unknown")</f>
        <v>Discover</v>
      </c>
      <c r="H705" s="134" t="str">
        <f>_xlfn.XLOOKUP(Table1[[#This Row],[Account_ID]], Accounts[ID], Accounts[Account'#], "Unknown")</f>
        <v>4618</v>
      </c>
      <c r="I705" s="135" t="str">
        <f>_xlfn.XLOOKUP(_xlfn.XLOOKUP(Table1[[#This Row],[Account]],Accounts[Account nickname],Accounts[Institution ID]),Institutions[ID],Institutions[Institution nickname],"Unknown")</f>
        <v>Discover</v>
      </c>
      <c r="J705" s="136" t="s">
        <v>2058</v>
      </c>
      <c r="K705" s="137" t="s">
        <v>843</v>
      </c>
      <c r="L705" s="137" t="s">
        <v>841</v>
      </c>
      <c r="M70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0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05" s="138" t="str" cm="1">
        <f t="array" ref="O705">IFERROR(INDEX(CategoriesTable[Category type],MATCH(Table1[[#This Row],[Category]],CategoriesTable[Category name],0),0),"")</f>
        <v/>
      </c>
      <c r="P705" s="138">
        <v>20</v>
      </c>
      <c r="Q705" s="138">
        <f>MONTH(Table1[[#This Row],[Date]])</f>
        <v>7</v>
      </c>
      <c r="R705" s="138">
        <v>2021</v>
      </c>
      <c r="S705" s="139">
        <f>IF(ISBLANK(Table1[[#This Row],[Date]]),"",Table1[[#This Row],[Date]]-WEEKDAY(Table1[[#This Row],[Date]],2)+1)</f>
        <v>44396</v>
      </c>
      <c r="T705" s="140">
        <f>IF(ISBLANK(Table1[[#This Row],[Date]]),"",DATE(Table1[[#This Row],[Date_Year]],Table1[[#This Row],[Date_Month]],1))</f>
        <v>44378</v>
      </c>
    </row>
    <row r="706" spans="2:20" ht="15.75">
      <c r="B706" s="154">
        <v>44397</v>
      </c>
      <c r="C706" s="119" t="s">
        <v>2059</v>
      </c>
      <c r="D706" s="119"/>
      <c r="E706" s="119"/>
      <c r="F706" s="155">
        <v>-18</v>
      </c>
      <c r="G706" s="133" t="str">
        <f>_xlfn.XLOOKUP(Table1[[#This Row],[Account_ID]], Accounts[ID], Accounts[Account nickname], "Unknown")</f>
        <v>Discover</v>
      </c>
      <c r="H706" s="134" t="str">
        <f>_xlfn.XLOOKUP(Table1[[#This Row],[Account_ID]], Accounts[ID], Accounts[Account'#], "Unknown")</f>
        <v>4618</v>
      </c>
      <c r="I706" s="135" t="str">
        <f>_xlfn.XLOOKUP(_xlfn.XLOOKUP(Table1[[#This Row],[Account]],Accounts[Account nickname],Accounts[Institution ID]),Institutions[ID],Institutions[Institution nickname],"Unknown")</f>
        <v>Discover</v>
      </c>
      <c r="J706" s="136" t="s">
        <v>2060</v>
      </c>
      <c r="K706" s="137" t="s">
        <v>843</v>
      </c>
      <c r="L706" s="137" t="s">
        <v>841</v>
      </c>
      <c r="M70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0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06" s="138" t="str" cm="1">
        <f t="array" ref="O706">IFERROR(INDEX(CategoriesTable[Category type],MATCH(Table1[[#This Row],[Category]],CategoriesTable[Category name],0),0),"")</f>
        <v/>
      </c>
      <c r="P706" s="138">
        <v>20</v>
      </c>
      <c r="Q706" s="138">
        <f>MONTH(Table1[[#This Row],[Date]])</f>
        <v>7</v>
      </c>
      <c r="R706" s="138">
        <v>2021</v>
      </c>
      <c r="S706" s="139">
        <f>IF(ISBLANK(Table1[[#This Row],[Date]]),"",Table1[[#This Row],[Date]]-WEEKDAY(Table1[[#This Row],[Date]],2)+1)</f>
        <v>44396</v>
      </c>
      <c r="T706" s="140">
        <f>IF(ISBLANK(Table1[[#This Row],[Date]]),"",DATE(Table1[[#This Row],[Date_Year]],Table1[[#This Row],[Date_Month]],1))</f>
        <v>44378</v>
      </c>
    </row>
    <row r="707" spans="2:20" ht="15.75">
      <c r="B707" s="154">
        <v>44396</v>
      </c>
      <c r="C707" s="119" t="s">
        <v>730</v>
      </c>
      <c r="D707" s="119"/>
      <c r="E707" s="119"/>
      <c r="F707" s="155">
        <v>-120.94</v>
      </c>
      <c r="G707" s="133" t="str">
        <f>_xlfn.XLOOKUP(Table1[[#This Row],[Account_ID]], Accounts[ID], Accounts[Account nickname], "Unknown")</f>
        <v>WF</v>
      </c>
      <c r="H707" s="134" t="str">
        <f>_xlfn.XLOOKUP(Table1[[#This Row],[Account_ID]], Accounts[ID], Accounts[Account'#], "Unknown")</f>
        <v>4636</v>
      </c>
      <c r="I707" s="135" t="str">
        <f>_xlfn.XLOOKUP(_xlfn.XLOOKUP(Table1[[#This Row],[Account]],Accounts[Account nickname],Accounts[Institution ID]),Institutions[ID],Institutions[Institution nickname],"Unknown")</f>
        <v>Wells Fargo</v>
      </c>
      <c r="J707" s="136" t="s">
        <v>1069</v>
      </c>
      <c r="K707" s="137" t="s">
        <v>808</v>
      </c>
      <c r="L707" s="137" t="s">
        <v>807</v>
      </c>
      <c r="M70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0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07" s="138" t="str" cm="1">
        <f t="array" ref="O707">IFERROR(INDEX(CategoriesTable[Category type],MATCH(Table1[[#This Row],[Category]],CategoriesTable[Category name],0),0),"")</f>
        <v/>
      </c>
      <c r="P707" s="138">
        <v>19</v>
      </c>
      <c r="Q707" s="138">
        <f>MONTH(Table1[[#This Row],[Date]])</f>
        <v>7</v>
      </c>
      <c r="R707" s="138">
        <v>2021</v>
      </c>
      <c r="S707" s="139">
        <f>IF(ISBLANK(Table1[[#This Row],[Date]]),"",Table1[[#This Row],[Date]]-WEEKDAY(Table1[[#This Row],[Date]],2)+1)</f>
        <v>44396</v>
      </c>
      <c r="T707" s="140">
        <f>IF(ISBLANK(Table1[[#This Row],[Date]]),"",DATE(Table1[[#This Row],[Date_Year]],Table1[[#This Row],[Date_Month]],1))</f>
        <v>44378</v>
      </c>
    </row>
    <row r="708" spans="2:20" ht="15.75">
      <c r="B708" s="154">
        <v>44396</v>
      </c>
      <c r="C708" s="119" t="s">
        <v>1927</v>
      </c>
      <c r="D708" s="119"/>
      <c r="E708" s="119"/>
      <c r="F708" s="155">
        <v>-194</v>
      </c>
      <c r="G708" s="133" t="str">
        <f>_xlfn.XLOOKUP(Table1[[#This Row],[Account_ID]], Accounts[ID], Accounts[Account nickname], "Unknown")</f>
        <v>Discover</v>
      </c>
      <c r="H708" s="134" t="str">
        <f>_xlfn.XLOOKUP(Table1[[#This Row],[Account_ID]], Accounts[ID], Accounts[Account'#], "Unknown")</f>
        <v>4618</v>
      </c>
      <c r="I708" s="135" t="str">
        <f>_xlfn.XLOOKUP(_xlfn.XLOOKUP(Table1[[#This Row],[Account]],Accounts[Account nickname],Accounts[Institution ID]),Institutions[ID],Institutions[Institution nickname],"Unknown")</f>
        <v>Discover</v>
      </c>
      <c r="J708" s="136" t="s">
        <v>2069</v>
      </c>
      <c r="K708" s="137" t="s">
        <v>843</v>
      </c>
      <c r="L708" s="137" t="s">
        <v>841</v>
      </c>
      <c r="M70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0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08" s="138" t="str" cm="1">
        <f t="array" ref="O708">IFERROR(INDEX(CategoriesTable[Category type],MATCH(Table1[[#This Row],[Category]],CategoriesTable[Category name],0),0),"")</f>
        <v/>
      </c>
      <c r="P708" s="138">
        <v>19</v>
      </c>
      <c r="Q708" s="138">
        <f>MONTH(Table1[[#This Row],[Date]])</f>
        <v>7</v>
      </c>
      <c r="R708" s="138">
        <v>2021</v>
      </c>
      <c r="S708" s="139">
        <f>IF(ISBLANK(Table1[[#This Row],[Date]]),"",Table1[[#This Row],[Date]]-WEEKDAY(Table1[[#This Row],[Date]],2)+1)</f>
        <v>44396</v>
      </c>
      <c r="T708" s="140">
        <f>IF(ISBLANK(Table1[[#This Row],[Date]]),"",DATE(Table1[[#This Row],[Date_Year]],Table1[[#This Row],[Date_Month]],1))</f>
        <v>44378</v>
      </c>
    </row>
    <row r="709" spans="2:20" ht="15.75">
      <c r="B709" s="154">
        <v>44396</v>
      </c>
      <c r="C709" s="119" t="s">
        <v>1927</v>
      </c>
      <c r="D709" s="119"/>
      <c r="E709" s="119"/>
      <c r="F709" s="155">
        <v>194</v>
      </c>
      <c r="G709" s="133" t="str">
        <f>_xlfn.XLOOKUP(Table1[[#This Row],[Account_ID]], Accounts[ID], Accounts[Account nickname], "Unknown")</f>
        <v>Discover</v>
      </c>
      <c r="H709" s="134" t="str">
        <f>_xlfn.XLOOKUP(Table1[[#This Row],[Account_ID]], Accounts[ID], Accounts[Account'#], "Unknown")</f>
        <v>4618</v>
      </c>
      <c r="I709" s="135" t="str">
        <f>_xlfn.XLOOKUP(_xlfn.XLOOKUP(Table1[[#This Row],[Account]],Accounts[Account nickname],Accounts[Institution ID]),Institutions[ID],Institutions[Institution nickname],"Unknown")</f>
        <v>Discover</v>
      </c>
      <c r="J709" s="136" t="s">
        <v>2068</v>
      </c>
      <c r="K709" s="137" t="s">
        <v>843</v>
      </c>
      <c r="L709" s="137" t="s">
        <v>841</v>
      </c>
      <c r="M70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0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09" s="138" t="str" cm="1">
        <f t="array" ref="O709">IFERROR(INDEX(CategoriesTable[Category type],MATCH(Table1[[#This Row],[Category]],CategoriesTable[Category name],0),0),"")</f>
        <v/>
      </c>
      <c r="P709" s="138">
        <v>19</v>
      </c>
      <c r="Q709" s="138">
        <f>MONTH(Table1[[#This Row],[Date]])</f>
        <v>7</v>
      </c>
      <c r="R709" s="138">
        <v>2021</v>
      </c>
      <c r="S709" s="139">
        <f>IF(ISBLANK(Table1[[#This Row],[Date]]),"",Table1[[#This Row],[Date]]-WEEKDAY(Table1[[#This Row],[Date]],2)+1)</f>
        <v>44396</v>
      </c>
      <c r="T709" s="140">
        <f>IF(ISBLANK(Table1[[#This Row],[Date]]),"",DATE(Table1[[#This Row],[Date_Year]],Table1[[#This Row],[Date_Month]],1))</f>
        <v>44378</v>
      </c>
    </row>
    <row r="710" spans="2:20" ht="15.75">
      <c r="B710" s="154">
        <v>44396</v>
      </c>
      <c r="C710" s="119" t="s">
        <v>2066</v>
      </c>
      <c r="D710" s="119"/>
      <c r="E710" s="119"/>
      <c r="F710" s="155">
        <v>-5</v>
      </c>
      <c r="G710" s="133" t="str">
        <f>_xlfn.XLOOKUP(Table1[[#This Row],[Account_ID]], Accounts[ID], Accounts[Account nickname], "Unknown")</f>
        <v>Discover</v>
      </c>
      <c r="H710" s="134" t="str">
        <f>_xlfn.XLOOKUP(Table1[[#This Row],[Account_ID]], Accounts[ID], Accounts[Account'#], "Unknown")</f>
        <v>4618</v>
      </c>
      <c r="I710" s="135" t="str">
        <f>_xlfn.XLOOKUP(_xlfn.XLOOKUP(Table1[[#This Row],[Account]],Accounts[Account nickname],Accounts[Institution ID]),Institutions[ID],Institutions[Institution nickname],"Unknown")</f>
        <v>Discover</v>
      </c>
      <c r="J710" s="136" t="s">
        <v>2067</v>
      </c>
      <c r="K710" s="137" t="s">
        <v>843</v>
      </c>
      <c r="L710" s="137" t="s">
        <v>841</v>
      </c>
      <c r="M71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1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10" s="138" t="str" cm="1">
        <f t="array" ref="O710">IFERROR(INDEX(CategoriesTable[Category type],MATCH(Table1[[#This Row],[Category]],CategoriesTable[Category name],0),0),"")</f>
        <v/>
      </c>
      <c r="P710" s="138">
        <v>19</v>
      </c>
      <c r="Q710" s="138">
        <f>MONTH(Table1[[#This Row],[Date]])</f>
        <v>7</v>
      </c>
      <c r="R710" s="138">
        <v>2021</v>
      </c>
      <c r="S710" s="139">
        <f>IF(ISBLANK(Table1[[#This Row],[Date]]),"",Table1[[#This Row],[Date]]-WEEKDAY(Table1[[#This Row],[Date]],2)+1)</f>
        <v>44396</v>
      </c>
      <c r="T710" s="140">
        <f>IF(ISBLANK(Table1[[#This Row],[Date]]),"",DATE(Table1[[#This Row],[Date_Year]],Table1[[#This Row],[Date_Month]],1))</f>
        <v>44378</v>
      </c>
    </row>
    <row r="711" spans="2:20" ht="15.75">
      <c r="B711" s="154">
        <v>44395</v>
      </c>
      <c r="C711" s="119" t="s">
        <v>2072</v>
      </c>
      <c r="D711" s="119"/>
      <c r="E711" s="119"/>
      <c r="F711" s="155">
        <v>-22.63</v>
      </c>
      <c r="G711" s="133" t="str">
        <f>_xlfn.XLOOKUP(Table1[[#This Row],[Account_ID]], Accounts[ID], Accounts[Account nickname], "Unknown")</f>
        <v>Discover</v>
      </c>
      <c r="H711" s="134" t="str">
        <f>_xlfn.XLOOKUP(Table1[[#This Row],[Account_ID]], Accounts[ID], Accounts[Account'#], "Unknown")</f>
        <v>4618</v>
      </c>
      <c r="I711" s="135" t="str">
        <f>_xlfn.XLOOKUP(_xlfn.XLOOKUP(Table1[[#This Row],[Account]],Accounts[Account nickname],Accounts[Institution ID]),Institutions[ID],Institutions[Institution nickname],"Unknown")</f>
        <v>Discover</v>
      </c>
      <c r="J711" s="136" t="s">
        <v>2073</v>
      </c>
      <c r="K711" s="137" t="s">
        <v>843</v>
      </c>
      <c r="L711" s="137" t="s">
        <v>841</v>
      </c>
      <c r="M71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1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11" s="138" t="str" cm="1">
        <f t="array" ref="O711">IFERROR(INDEX(CategoriesTable[Category type],MATCH(Table1[[#This Row],[Category]],CategoriesTable[Category name],0),0),"")</f>
        <v/>
      </c>
      <c r="P711" s="138">
        <v>18</v>
      </c>
      <c r="Q711" s="138">
        <f>MONTH(Table1[[#This Row],[Date]])</f>
        <v>7</v>
      </c>
      <c r="R711" s="138">
        <v>2021</v>
      </c>
      <c r="S711" s="139">
        <f>IF(ISBLANK(Table1[[#This Row],[Date]]),"",Table1[[#This Row],[Date]]-WEEKDAY(Table1[[#This Row],[Date]],2)+1)</f>
        <v>44389</v>
      </c>
      <c r="T711" s="140">
        <f>IF(ISBLANK(Table1[[#This Row],[Date]]),"",DATE(Table1[[#This Row],[Date_Year]],Table1[[#This Row],[Date_Month]],1))</f>
        <v>44378</v>
      </c>
    </row>
    <row r="712" spans="2:20" ht="15.75">
      <c r="B712" s="154">
        <v>44395</v>
      </c>
      <c r="C712" s="119" t="s">
        <v>707</v>
      </c>
      <c r="D712" s="119"/>
      <c r="E712" s="119"/>
      <c r="F712" s="155">
        <v>-4.79</v>
      </c>
      <c r="G712" s="133" t="str">
        <f>_xlfn.XLOOKUP(Table1[[#This Row],[Account_ID]], Accounts[ID], Accounts[Account nickname], "Unknown")</f>
        <v>Discover</v>
      </c>
      <c r="H712" s="134" t="str">
        <f>_xlfn.XLOOKUP(Table1[[#This Row],[Account_ID]], Accounts[ID], Accounts[Account'#], "Unknown")</f>
        <v>4618</v>
      </c>
      <c r="I712" s="135" t="str">
        <f>_xlfn.XLOOKUP(_xlfn.XLOOKUP(Table1[[#This Row],[Account]],Accounts[Account nickname],Accounts[Institution ID]),Institutions[ID],Institutions[Institution nickname],"Unknown")</f>
        <v>Discover</v>
      </c>
      <c r="J712" s="136" t="s">
        <v>2074</v>
      </c>
      <c r="K712" s="137" t="s">
        <v>843</v>
      </c>
      <c r="L712" s="137" t="s">
        <v>841</v>
      </c>
      <c r="M71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1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12" s="138" t="str" cm="1">
        <f t="array" ref="O712">IFERROR(INDEX(CategoriesTable[Category type],MATCH(Table1[[#This Row],[Category]],CategoriesTable[Category name],0),0),"")</f>
        <v/>
      </c>
      <c r="P712" s="138">
        <v>18</v>
      </c>
      <c r="Q712" s="138">
        <f>MONTH(Table1[[#This Row],[Date]])</f>
        <v>7</v>
      </c>
      <c r="R712" s="138">
        <v>2021</v>
      </c>
      <c r="S712" s="139">
        <f>IF(ISBLANK(Table1[[#This Row],[Date]]),"",Table1[[#This Row],[Date]]-WEEKDAY(Table1[[#This Row],[Date]],2)+1)</f>
        <v>44389</v>
      </c>
      <c r="T712" s="140">
        <f>IF(ISBLANK(Table1[[#This Row],[Date]]),"",DATE(Table1[[#This Row],[Date_Year]],Table1[[#This Row],[Date_Month]],1))</f>
        <v>44378</v>
      </c>
    </row>
    <row r="713" spans="2:20" ht="15.75">
      <c r="B713" s="154">
        <v>44395</v>
      </c>
      <c r="C713" s="119" t="s">
        <v>2070</v>
      </c>
      <c r="D713" s="119"/>
      <c r="E713" s="119"/>
      <c r="F713" s="155">
        <v>-14.06</v>
      </c>
      <c r="G713" s="133" t="str">
        <f>_xlfn.XLOOKUP(Table1[[#This Row],[Account_ID]], Accounts[ID], Accounts[Account nickname], "Unknown")</f>
        <v>Discover</v>
      </c>
      <c r="H713" s="134" t="str">
        <f>_xlfn.XLOOKUP(Table1[[#This Row],[Account_ID]], Accounts[ID], Accounts[Account'#], "Unknown")</f>
        <v>4618</v>
      </c>
      <c r="I713" s="135" t="str">
        <f>_xlfn.XLOOKUP(_xlfn.XLOOKUP(Table1[[#This Row],[Account]],Accounts[Account nickname],Accounts[Institution ID]),Institutions[ID],Institutions[Institution nickname],"Unknown")</f>
        <v>Discover</v>
      </c>
      <c r="J713" s="152" t="s">
        <v>2071</v>
      </c>
      <c r="K713" s="137" t="s">
        <v>843</v>
      </c>
      <c r="L713" s="137" t="s">
        <v>841</v>
      </c>
      <c r="M71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1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13" s="138" t="str" cm="1">
        <f t="array" ref="O713">IFERROR(INDEX(CategoriesTable[Category type],MATCH(Table1[[#This Row],[Category]],CategoriesTable[Category name],0),0),"")</f>
        <v/>
      </c>
      <c r="P713" s="138">
        <v>18</v>
      </c>
      <c r="Q713" s="138">
        <f>MONTH(Table1[[#This Row],[Date]])</f>
        <v>7</v>
      </c>
      <c r="R713" s="138">
        <v>2021</v>
      </c>
      <c r="S713" s="139">
        <f>IF(ISBLANK(Table1[[#This Row],[Date]]),"",Table1[[#This Row],[Date]]-WEEKDAY(Table1[[#This Row],[Date]],2)+1)</f>
        <v>44389</v>
      </c>
      <c r="T713" s="140">
        <f>IF(ISBLANK(Table1[[#This Row],[Date]]),"",DATE(Table1[[#This Row],[Date_Year]],Table1[[#This Row],[Date_Month]],1))</f>
        <v>44378</v>
      </c>
    </row>
    <row r="714" spans="2:20" ht="15.75">
      <c r="B714" s="154">
        <v>44395</v>
      </c>
      <c r="C714" s="119" t="s">
        <v>707</v>
      </c>
      <c r="D714" s="119"/>
      <c r="E714" s="119"/>
      <c r="F714" s="155">
        <v>-14.75</v>
      </c>
      <c r="G714" s="133" t="str">
        <f>_xlfn.XLOOKUP(Table1[[#This Row],[Account_ID]], Accounts[ID], Accounts[Account nickname], "Unknown")</f>
        <v>Discover</v>
      </c>
      <c r="H714" s="134" t="str">
        <f>_xlfn.XLOOKUP(Table1[[#This Row],[Account_ID]], Accounts[ID], Accounts[Account'#], "Unknown")</f>
        <v>4618</v>
      </c>
      <c r="I714" s="135" t="str">
        <f>_xlfn.XLOOKUP(_xlfn.XLOOKUP(Table1[[#This Row],[Account]],Accounts[Account nickname],Accounts[Institution ID]),Institutions[ID],Institutions[Institution nickname],"Unknown")</f>
        <v>Discover</v>
      </c>
      <c r="J714" s="136" t="s">
        <v>2075</v>
      </c>
      <c r="K714" s="137" t="s">
        <v>843</v>
      </c>
      <c r="L714" s="137" t="s">
        <v>841</v>
      </c>
      <c r="M71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1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14" s="138" t="str" cm="1">
        <f t="array" ref="O714">IFERROR(INDEX(CategoriesTable[Category type],MATCH(Table1[[#This Row],[Category]],CategoriesTable[Category name],0),0),"")</f>
        <v/>
      </c>
      <c r="P714" s="138">
        <v>18</v>
      </c>
      <c r="Q714" s="138">
        <f>MONTH(Table1[[#This Row],[Date]])</f>
        <v>7</v>
      </c>
      <c r="R714" s="138">
        <v>2021</v>
      </c>
      <c r="S714" s="139">
        <f>IF(ISBLANK(Table1[[#This Row],[Date]]),"",Table1[[#This Row],[Date]]-WEEKDAY(Table1[[#This Row],[Date]],2)+1)</f>
        <v>44389</v>
      </c>
      <c r="T714" s="140">
        <f>IF(ISBLANK(Table1[[#This Row],[Date]]),"",DATE(Table1[[#This Row],[Date_Year]],Table1[[#This Row],[Date_Month]],1))</f>
        <v>44378</v>
      </c>
    </row>
    <row r="715" spans="2:20" ht="15.75">
      <c r="B715" s="154">
        <v>44394</v>
      </c>
      <c r="C715" s="119" t="s">
        <v>2076</v>
      </c>
      <c r="D715" s="119"/>
      <c r="E715" s="119"/>
      <c r="F715" s="155">
        <v>-26.92</v>
      </c>
      <c r="G715" s="133" t="str">
        <f>_xlfn.XLOOKUP(Table1[[#This Row],[Account_ID]], Accounts[ID], Accounts[Account nickname], "Unknown")</f>
        <v>Discover</v>
      </c>
      <c r="H715" s="134" t="str">
        <f>_xlfn.XLOOKUP(Table1[[#This Row],[Account_ID]], Accounts[ID], Accounts[Account'#], "Unknown")</f>
        <v>4618</v>
      </c>
      <c r="I715" s="135" t="str">
        <f>_xlfn.XLOOKUP(_xlfn.XLOOKUP(Table1[[#This Row],[Account]],Accounts[Account nickname],Accounts[Institution ID]),Institutions[ID],Institutions[Institution nickname],"Unknown")</f>
        <v>Discover</v>
      </c>
      <c r="J715" s="136" t="s">
        <v>2080</v>
      </c>
      <c r="K715" s="137" t="s">
        <v>843</v>
      </c>
      <c r="L715" s="137" t="s">
        <v>841</v>
      </c>
      <c r="M71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1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15" s="138" t="str" cm="1">
        <f t="array" ref="O715">IFERROR(INDEX(CategoriesTable[Category type],MATCH(Table1[[#This Row],[Category]],CategoriesTable[Category name],0),0),"")</f>
        <v/>
      </c>
      <c r="P715" s="138">
        <v>17</v>
      </c>
      <c r="Q715" s="138">
        <f>MONTH(Table1[[#This Row],[Date]])</f>
        <v>7</v>
      </c>
      <c r="R715" s="138">
        <v>2021</v>
      </c>
      <c r="S715" s="139">
        <f>IF(ISBLANK(Table1[[#This Row],[Date]]),"",Table1[[#This Row],[Date]]-WEEKDAY(Table1[[#This Row],[Date]],2)+1)</f>
        <v>44389</v>
      </c>
      <c r="T715" s="140">
        <f>IF(ISBLANK(Table1[[#This Row],[Date]]),"",DATE(Table1[[#This Row],[Date_Year]],Table1[[#This Row],[Date_Month]],1))</f>
        <v>44378</v>
      </c>
    </row>
    <row r="716" spans="2:20" ht="15.75">
      <c r="B716" s="154">
        <v>44394</v>
      </c>
      <c r="C716" s="119" t="s">
        <v>936</v>
      </c>
      <c r="D716" s="119"/>
      <c r="E716" s="119"/>
      <c r="F716" s="155">
        <v>-9.7200000000000006</v>
      </c>
      <c r="G716" s="133" t="str">
        <f>_xlfn.XLOOKUP(Table1[[#This Row],[Account_ID]], Accounts[ID], Accounts[Account nickname], "Unknown")</f>
        <v>Discover</v>
      </c>
      <c r="H716" s="134" t="str">
        <f>_xlfn.XLOOKUP(Table1[[#This Row],[Account_ID]], Accounts[ID], Accounts[Account'#], "Unknown")</f>
        <v>4618</v>
      </c>
      <c r="I716" s="135" t="str">
        <f>_xlfn.XLOOKUP(_xlfn.XLOOKUP(Table1[[#This Row],[Account]],Accounts[Account nickname],Accounts[Institution ID]),Institutions[ID],Institutions[Institution nickname],"Unknown")</f>
        <v>Discover</v>
      </c>
      <c r="J716" s="136" t="s">
        <v>2089</v>
      </c>
      <c r="K716" s="137" t="s">
        <v>843</v>
      </c>
      <c r="L716" s="137" t="s">
        <v>841</v>
      </c>
      <c r="M71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1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16" s="138" t="str" cm="1">
        <f t="array" ref="O716">IFERROR(INDEX(CategoriesTable[Category type],MATCH(Table1[[#This Row],[Category]],CategoriesTable[Category name],0),0),"")</f>
        <v/>
      </c>
      <c r="P716" s="138">
        <v>17</v>
      </c>
      <c r="Q716" s="138">
        <f>MONTH(Table1[[#This Row],[Date]])</f>
        <v>7</v>
      </c>
      <c r="R716" s="138">
        <v>2021</v>
      </c>
      <c r="S716" s="139">
        <f>IF(ISBLANK(Table1[[#This Row],[Date]]),"",Table1[[#This Row],[Date]]-WEEKDAY(Table1[[#This Row],[Date]],2)+1)</f>
        <v>44389</v>
      </c>
      <c r="T716" s="140">
        <f>IF(ISBLANK(Table1[[#This Row],[Date]]),"",DATE(Table1[[#This Row],[Date_Year]],Table1[[#This Row],[Date_Month]],1))</f>
        <v>44378</v>
      </c>
    </row>
    <row r="717" spans="2:20" ht="15.75">
      <c r="B717" s="154">
        <v>44394</v>
      </c>
      <c r="C717" s="119" t="s">
        <v>2087</v>
      </c>
      <c r="D717" s="119"/>
      <c r="E717" s="119"/>
      <c r="F717" s="155">
        <v>-10</v>
      </c>
      <c r="G717" s="133" t="str">
        <f>_xlfn.XLOOKUP(Table1[[#This Row],[Account_ID]], Accounts[ID], Accounts[Account nickname], "Unknown")</f>
        <v>Discover</v>
      </c>
      <c r="H717" s="134" t="str">
        <f>_xlfn.XLOOKUP(Table1[[#This Row],[Account_ID]], Accounts[ID], Accounts[Account'#], "Unknown")</f>
        <v>4618</v>
      </c>
      <c r="I717" s="135" t="str">
        <f>_xlfn.XLOOKUP(_xlfn.XLOOKUP(Table1[[#This Row],[Account]],Accounts[Account nickname],Accounts[Institution ID]),Institutions[ID],Institutions[Institution nickname],"Unknown")</f>
        <v>Discover</v>
      </c>
      <c r="J717" s="136" t="s">
        <v>2088</v>
      </c>
      <c r="K717" s="137" t="s">
        <v>843</v>
      </c>
      <c r="L717" s="137" t="s">
        <v>841</v>
      </c>
      <c r="M71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1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17" s="138" t="str" cm="1">
        <f t="array" ref="O717">IFERROR(INDEX(CategoriesTable[Category type],MATCH(Table1[[#This Row],[Category]],CategoriesTable[Category name],0),0),"")</f>
        <v/>
      </c>
      <c r="P717" s="138">
        <v>17</v>
      </c>
      <c r="Q717" s="138">
        <f>MONTH(Table1[[#This Row],[Date]])</f>
        <v>7</v>
      </c>
      <c r="R717" s="138">
        <v>2021</v>
      </c>
      <c r="S717" s="139">
        <f>IF(ISBLANK(Table1[[#This Row],[Date]]),"",Table1[[#This Row],[Date]]-WEEKDAY(Table1[[#This Row],[Date]],2)+1)</f>
        <v>44389</v>
      </c>
      <c r="T717" s="140">
        <f>IF(ISBLANK(Table1[[#This Row],[Date]]),"",DATE(Table1[[#This Row],[Date_Year]],Table1[[#This Row],[Date_Month]],1))</f>
        <v>44378</v>
      </c>
    </row>
    <row r="718" spans="2:20" ht="15.75">
      <c r="B718" s="154">
        <v>44394</v>
      </c>
      <c r="C718" s="119" t="s">
        <v>2085</v>
      </c>
      <c r="D718" s="119"/>
      <c r="E718" s="119"/>
      <c r="F718" s="155">
        <v>-25</v>
      </c>
      <c r="G718" s="133" t="str">
        <f>_xlfn.XLOOKUP(Table1[[#This Row],[Account_ID]], Accounts[ID], Accounts[Account nickname], "Unknown")</f>
        <v>Discover</v>
      </c>
      <c r="H718" s="134" t="str">
        <f>_xlfn.XLOOKUP(Table1[[#This Row],[Account_ID]], Accounts[ID], Accounts[Account'#], "Unknown")</f>
        <v>4618</v>
      </c>
      <c r="I718" s="135" t="str">
        <f>_xlfn.XLOOKUP(_xlfn.XLOOKUP(Table1[[#This Row],[Account]],Accounts[Account nickname],Accounts[Institution ID]),Institutions[ID],Institutions[Institution nickname],"Unknown")</f>
        <v>Discover</v>
      </c>
      <c r="J718" s="136" t="s">
        <v>2086</v>
      </c>
      <c r="K718" s="137" t="s">
        <v>843</v>
      </c>
      <c r="L718" s="137" t="s">
        <v>841</v>
      </c>
      <c r="M71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1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18" s="138" t="str" cm="1">
        <f t="array" ref="O718">IFERROR(INDEX(CategoriesTable[Category type],MATCH(Table1[[#This Row],[Category]],CategoriesTable[Category name],0),0),"")</f>
        <v/>
      </c>
      <c r="P718" s="138">
        <v>17</v>
      </c>
      <c r="Q718" s="138">
        <f>MONTH(Table1[[#This Row],[Date]])</f>
        <v>7</v>
      </c>
      <c r="R718" s="138">
        <v>2021</v>
      </c>
      <c r="S718" s="139">
        <f>IF(ISBLANK(Table1[[#This Row],[Date]]),"",Table1[[#This Row],[Date]]-WEEKDAY(Table1[[#This Row],[Date]],2)+1)</f>
        <v>44389</v>
      </c>
      <c r="T718" s="140">
        <f>IF(ISBLANK(Table1[[#This Row],[Date]]),"",DATE(Table1[[#This Row],[Date_Year]],Table1[[#This Row],[Date_Month]],1))</f>
        <v>44378</v>
      </c>
    </row>
    <row r="719" spans="2:20" ht="15.75">
      <c r="B719" s="154">
        <v>44394</v>
      </c>
      <c r="C719" s="119" t="s">
        <v>2082</v>
      </c>
      <c r="D719" s="119"/>
      <c r="E719" s="119"/>
      <c r="F719" s="155">
        <v>-42.8</v>
      </c>
      <c r="G719" s="133" t="str">
        <f>_xlfn.XLOOKUP(Table1[[#This Row],[Account_ID]], Accounts[ID], Accounts[Account nickname], "Unknown")</f>
        <v>Discover</v>
      </c>
      <c r="H719" s="134" t="str">
        <f>_xlfn.XLOOKUP(Table1[[#This Row],[Account_ID]], Accounts[ID], Accounts[Account'#], "Unknown")</f>
        <v>4618</v>
      </c>
      <c r="I719" s="135" t="str">
        <f>_xlfn.XLOOKUP(_xlfn.XLOOKUP(Table1[[#This Row],[Account]],Accounts[Account nickname],Accounts[Institution ID]),Institutions[ID],Institutions[Institution nickname],"Unknown")</f>
        <v>Discover</v>
      </c>
      <c r="J719" s="136" t="s">
        <v>2084</v>
      </c>
      <c r="K719" s="137" t="s">
        <v>843</v>
      </c>
      <c r="L719" s="137" t="s">
        <v>841</v>
      </c>
      <c r="M71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1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19" s="138" t="str" cm="1">
        <f t="array" ref="O719">IFERROR(INDEX(CategoriesTable[Category type],MATCH(Table1[[#This Row],[Category]],CategoriesTable[Category name],0),0),"")</f>
        <v/>
      </c>
      <c r="P719" s="138">
        <v>17</v>
      </c>
      <c r="Q719" s="138">
        <f>MONTH(Table1[[#This Row],[Date]])</f>
        <v>7</v>
      </c>
      <c r="R719" s="138">
        <v>2021</v>
      </c>
      <c r="S719" s="139">
        <f>IF(ISBLANK(Table1[[#This Row],[Date]]),"",Table1[[#This Row],[Date]]-WEEKDAY(Table1[[#This Row],[Date]],2)+1)</f>
        <v>44389</v>
      </c>
      <c r="T719" s="140">
        <f>IF(ISBLANK(Table1[[#This Row],[Date]]),"",DATE(Table1[[#This Row],[Date_Year]],Table1[[#This Row],[Date_Month]],1))</f>
        <v>44378</v>
      </c>
    </row>
    <row r="720" spans="2:20" ht="15.75">
      <c r="B720" s="154">
        <v>44394</v>
      </c>
      <c r="C720" s="119" t="s">
        <v>2076</v>
      </c>
      <c r="D720" s="119"/>
      <c r="E720" s="119"/>
      <c r="F720" s="155">
        <v>-5.87</v>
      </c>
      <c r="G720" s="133" t="str">
        <f>_xlfn.XLOOKUP(Table1[[#This Row],[Account_ID]], Accounts[ID], Accounts[Account nickname], "Unknown")</f>
        <v>Discover</v>
      </c>
      <c r="H720" s="134" t="str">
        <f>_xlfn.XLOOKUP(Table1[[#This Row],[Account_ID]], Accounts[ID], Accounts[Account'#], "Unknown")</f>
        <v>4618</v>
      </c>
      <c r="I720" s="135" t="str">
        <f>_xlfn.XLOOKUP(_xlfn.XLOOKUP(Table1[[#This Row],[Account]],Accounts[Account nickname],Accounts[Institution ID]),Institutions[ID],Institutions[Institution nickname],"Unknown")</f>
        <v>Discover</v>
      </c>
      <c r="J720" s="136" t="s">
        <v>2077</v>
      </c>
      <c r="K720" s="137" t="s">
        <v>843</v>
      </c>
      <c r="L720" s="137" t="s">
        <v>841</v>
      </c>
      <c r="M72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2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20" s="138" t="str" cm="1">
        <f t="array" ref="O720">IFERROR(INDEX(CategoriesTable[Category type],MATCH(Table1[[#This Row],[Category]],CategoriesTable[Category name],0),0),"")</f>
        <v/>
      </c>
      <c r="P720" s="138">
        <v>17</v>
      </c>
      <c r="Q720" s="138">
        <f>MONTH(Table1[[#This Row],[Date]])</f>
        <v>7</v>
      </c>
      <c r="R720" s="138">
        <v>2021</v>
      </c>
      <c r="S720" s="139">
        <f>IF(ISBLANK(Table1[[#This Row],[Date]]),"",Table1[[#This Row],[Date]]-WEEKDAY(Table1[[#This Row],[Date]],2)+1)</f>
        <v>44389</v>
      </c>
      <c r="T720" s="140">
        <f>IF(ISBLANK(Table1[[#This Row],[Date]]),"",DATE(Table1[[#This Row],[Date_Year]],Table1[[#This Row],[Date_Month]],1))</f>
        <v>44378</v>
      </c>
    </row>
    <row r="721" spans="2:20" ht="15.75">
      <c r="B721" s="154">
        <v>44394</v>
      </c>
      <c r="C721" s="119" t="s">
        <v>2076</v>
      </c>
      <c r="D721" s="119"/>
      <c r="E721" s="119"/>
      <c r="F721" s="155">
        <v>-8.8699999999999992</v>
      </c>
      <c r="G721" s="133" t="str">
        <f>_xlfn.XLOOKUP(Table1[[#This Row],[Account_ID]], Accounts[ID], Accounts[Account nickname], "Unknown")</f>
        <v>Discover</v>
      </c>
      <c r="H721" s="134" t="str">
        <f>_xlfn.XLOOKUP(Table1[[#This Row],[Account_ID]], Accounts[ID], Accounts[Account'#], "Unknown")</f>
        <v>4618</v>
      </c>
      <c r="I721" s="135" t="str">
        <f>_xlfn.XLOOKUP(_xlfn.XLOOKUP(Table1[[#This Row],[Account]],Accounts[Account nickname],Accounts[Institution ID]),Institutions[ID],Institutions[Institution nickname],"Unknown")</f>
        <v>Discover</v>
      </c>
      <c r="J721" s="152" t="s">
        <v>2078</v>
      </c>
      <c r="K721" s="137" t="s">
        <v>843</v>
      </c>
      <c r="L721" s="137" t="s">
        <v>841</v>
      </c>
      <c r="M72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2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21" s="138" t="str" cm="1">
        <f t="array" ref="O721">IFERROR(INDEX(CategoriesTable[Category type],MATCH(Table1[[#This Row],[Category]],CategoriesTable[Category name],0),0),"")</f>
        <v/>
      </c>
      <c r="P721" s="138">
        <v>17</v>
      </c>
      <c r="Q721" s="138">
        <f>MONTH(Table1[[#This Row],[Date]])</f>
        <v>7</v>
      </c>
      <c r="R721" s="138">
        <v>2021</v>
      </c>
      <c r="S721" s="139">
        <f>IF(ISBLANK(Table1[[#This Row],[Date]]),"",Table1[[#This Row],[Date]]-WEEKDAY(Table1[[#This Row],[Date]],2)+1)</f>
        <v>44389</v>
      </c>
      <c r="T721" s="140">
        <f>IF(ISBLANK(Table1[[#This Row],[Date]]),"",DATE(Table1[[#This Row],[Date_Year]],Table1[[#This Row],[Date_Month]],1))</f>
        <v>44378</v>
      </c>
    </row>
    <row r="722" spans="2:20" ht="15.75">
      <c r="B722" s="154">
        <v>44394</v>
      </c>
      <c r="C722" s="119" t="s">
        <v>2076</v>
      </c>
      <c r="D722" s="119"/>
      <c r="E722" s="119"/>
      <c r="F722" s="155">
        <v>-13.31</v>
      </c>
      <c r="G722" s="133" t="str">
        <f>_xlfn.XLOOKUP(Table1[[#This Row],[Account_ID]], Accounts[ID], Accounts[Account nickname], "Unknown")</f>
        <v>Discover</v>
      </c>
      <c r="H722" s="134" t="str">
        <f>_xlfn.XLOOKUP(Table1[[#This Row],[Account_ID]], Accounts[ID], Accounts[Account'#], "Unknown")</f>
        <v>4618</v>
      </c>
      <c r="I722" s="135" t="str">
        <f>_xlfn.XLOOKUP(_xlfn.XLOOKUP(Table1[[#This Row],[Account]],Accounts[Account nickname],Accounts[Institution ID]),Institutions[ID],Institutions[Institution nickname],"Unknown")</f>
        <v>Discover</v>
      </c>
      <c r="J722" s="136" t="s">
        <v>2079</v>
      </c>
      <c r="K722" s="137" t="s">
        <v>843</v>
      </c>
      <c r="L722" s="137" t="s">
        <v>841</v>
      </c>
      <c r="M72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2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22" s="138" t="str" cm="1">
        <f t="array" ref="O722">IFERROR(INDEX(CategoriesTable[Category type],MATCH(Table1[[#This Row],[Category]],CategoriesTable[Category name],0),0),"")</f>
        <v/>
      </c>
      <c r="P722" s="138">
        <v>17</v>
      </c>
      <c r="Q722" s="138">
        <f>MONTH(Table1[[#This Row],[Date]])</f>
        <v>7</v>
      </c>
      <c r="R722" s="138">
        <v>2021</v>
      </c>
      <c r="S722" s="139">
        <f>IF(ISBLANK(Table1[[#This Row],[Date]]),"",Table1[[#This Row],[Date]]-WEEKDAY(Table1[[#This Row],[Date]],2)+1)</f>
        <v>44389</v>
      </c>
      <c r="T722" s="140">
        <f>IF(ISBLANK(Table1[[#This Row],[Date]]),"",DATE(Table1[[#This Row],[Date_Year]],Table1[[#This Row],[Date_Month]],1))</f>
        <v>44378</v>
      </c>
    </row>
    <row r="723" spans="2:20" ht="15.75">
      <c r="B723" s="154">
        <v>44394</v>
      </c>
      <c r="C723" s="119" t="s">
        <v>2082</v>
      </c>
      <c r="D723" s="119"/>
      <c r="E723" s="119"/>
      <c r="F723" s="155">
        <v>-42.79</v>
      </c>
      <c r="G723" s="133" t="str">
        <f>_xlfn.XLOOKUP(Table1[[#This Row],[Account_ID]], Accounts[ID], Accounts[Account nickname], "Unknown")</f>
        <v>Discover</v>
      </c>
      <c r="H723" s="134" t="str">
        <f>_xlfn.XLOOKUP(Table1[[#This Row],[Account_ID]], Accounts[ID], Accounts[Account'#], "Unknown")</f>
        <v>4618</v>
      </c>
      <c r="I723" s="135" t="str">
        <f>_xlfn.XLOOKUP(_xlfn.XLOOKUP(Table1[[#This Row],[Account]],Accounts[Account nickname],Accounts[Institution ID]),Institutions[ID],Institutions[Institution nickname],"Unknown")</f>
        <v>Discover</v>
      </c>
      <c r="J723" s="136" t="s">
        <v>2083</v>
      </c>
      <c r="K723" s="137" t="s">
        <v>843</v>
      </c>
      <c r="L723" s="137" t="s">
        <v>841</v>
      </c>
      <c r="M72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2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23" s="138" t="str" cm="1">
        <f t="array" ref="O723">IFERROR(INDEX(CategoriesTable[Category type],MATCH(Table1[[#This Row],[Category]],CategoriesTable[Category name],0),0),"")</f>
        <v/>
      </c>
      <c r="P723" s="138">
        <v>17</v>
      </c>
      <c r="Q723" s="138">
        <f>MONTH(Table1[[#This Row],[Date]])</f>
        <v>7</v>
      </c>
      <c r="R723" s="138">
        <v>2021</v>
      </c>
      <c r="S723" s="139">
        <f>IF(ISBLANK(Table1[[#This Row],[Date]]),"",Table1[[#This Row],[Date]]-WEEKDAY(Table1[[#This Row],[Date]],2)+1)</f>
        <v>44389</v>
      </c>
      <c r="T723" s="140">
        <f>IF(ISBLANK(Table1[[#This Row],[Date]]),"",DATE(Table1[[#This Row],[Date_Year]],Table1[[#This Row],[Date_Month]],1))</f>
        <v>44378</v>
      </c>
    </row>
    <row r="724" spans="2:20" ht="15.75">
      <c r="B724" s="154">
        <v>44394</v>
      </c>
      <c r="C724" s="119" t="s">
        <v>2076</v>
      </c>
      <c r="D724" s="119"/>
      <c r="E724" s="119"/>
      <c r="F724" s="155">
        <v>-27.82</v>
      </c>
      <c r="G724" s="133" t="str">
        <f>_xlfn.XLOOKUP(Table1[[#This Row],[Account_ID]], Accounts[ID], Accounts[Account nickname], "Unknown")</f>
        <v>Discover</v>
      </c>
      <c r="H724" s="134" t="str">
        <f>_xlfn.XLOOKUP(Table1[[#This Row],[Account_ID]], Accounts[ID], Accounts[Account'#], "Unknown")</f>
        <v>4618</v>
      </c>
      <c r="I724" s="135" t="str">
        <f>_xlfn.XLOOKUP(_xlfn.XLOOKUP(Table1[[#This Row],[Account]],Accounts[Account nickname],Accounts[Institution ID]),Institutions[ID],Institutions[Institution nickname],"Unknown")</f>
        <v>Discover</v>
      </c>
      <c r="J724" s="136" t="s">
        <v>2081</v>
      </c>
      <c r="K724" s="137" t="s">
        <v>843</v>
      </c>
      <c r="L724" s="137" t="s">
        <v>841</v>
      </c>
      <c r="M72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2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24" s="138" t="str" cm="1">
        <f t="array" ref="O724">IFERROR(INDEX(CategoriesTable[Category type],MATCH(Table1[[#This Row],[Category]],CategoriesTable[Category name],0),0),"")</f>
        <v/>
      </c>
      <c r="P724" s="138">
        <v>17</v>
      </c>
      <c r="Q724" s="138">
        <f>MONTH(Table1[[#This Row],[Date]])</f>
        <v>7</v>
      </c>
      <c r="R724" s="138">
        <v>2021</v>
      </c>
      <c r="S724" s="139">
        <f>IF(ISBLANK(Table1[[#This Row],[Date]]),"",Table1[[#This Row],[Date]]-WEEKDAY(Table1[[#This Row],[Date]],2)+1)</f>
        <v>44389</v>
      </c>
      <c r="T724" s="140">
        <f>IF(ISBLANK(Table1[[#This Row],[Date]]),"",DATE(Table1[[#This Row],[Date_Year]],Table1[[#This Row],[Date_Month]],1))</f>
        <v>44378</v>
      </c>
    </row>
    <row r="725" spans="2:20" ht="15.75">
      <c r="B725" s="154">
        <v>44393</v>
      </c>
      <c r="C725" s="119" t="s">
        <v>745</v>
      </c>
      <c r="D725" s="119"/>
      <c r="E725" s="119"/>
      <c r="F725" s="155">
        <v>-30.29</v>
      </c>
      <c r="G725" s="133" t="str">
        <f>_xlfn.XLOOKUP(Table1[[#This Row],[Account_ID]], Accounts[ID], Accounts[Account nickname], "Unknown")</f>
        <v>Discover</v>
      </c>
      <c r="H725" s="134" t="str">
        <f>_xlfn.XLOOKUP(Table1[[#This Row],[Account_ID]], Accounts[ID], Accounts[Account'#], "Unknown")</f>
        <v>4618</v>
      </c>
      <c r="I725" s="135" t="str">
        <f>_xlfn.XLOOKUP(_xlfn.XLOOKUP(Table1[[#This Row],[Account]],Accounts[Account nickname],Accounts[Institution ID]),Institutions[ID],Institutions[Institution nickname],"Unknown")</f>
        <v>Discover</v>
      </c>
      <c r="J725" s="136" t="s">
        <v>2098</v>
      </c>
      <c r="K725" s="137" t="s">
        <v>843</v>
      </c>
      <c r="L725" s="137" t="s">
        <v>841</v>
      </c>
      <c r="M72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2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25" s="138" t="str" cm="1">
        <f t="array" ref="O725">IFERROR(INDEX(CategoriesTable[Category type],MATCH(Table1[[#This Row],[Category]],CategoriesTable[Category name],0),0),"")</f>
        <v/>
      </c>
      <c r="P725" s="138">
        <v>16</v>
      </c>
      <c r="Q725" s="138">
        <f>MONTH(Table1[[#This Row],[Date]])</f>
        <v>7</v>
      </c>
      <c r="R725" s="138">
        <v>2021</v>
      </c>
      <c r="S725" s="139">
        <f>IF(ISBLANK(Table1[[#This Row],[Date]]),"",Table1[[#This Row],[Date]]-WEEKDAY(Table1[[#This Row],[Date]],2)+1)</f>
        <v>44389</v>
      </c>
      <c r="T725" s="140">
        <f>IF(ISBLANK(Table1[[#This Row],[Date]]),"",DATE(Table1[[#This Row],[Date_Year]],Table1[[#This Row],[Date_Month]],1))</f>
        <v>44378</v>
      </c>
    </row>
    <row r="726" spans="2:20" ht="15.75">
      <c r="B726" s="154">
        <v>44393</v>
      </c>
      <c r="C726" s="119" t="s">
        <v>707</v>
      </c>
      <c r="D726" s="119"/>
      <c r="E726" s="119"/>
      <c r="F726" s="155">
        <v>-4.99</v>
      </c>
      <c r="G726" s="133" t="str">
        <f>_xlfn.XLOOKUP(Table1[[#This Row],[Account_ID]], Accounts[ID], Accounts[Account nickname], "Unknown")</f>
        <v>Discover</v>
      </c>
      <c r="H726" s="134" t="str">
        <f>_xlfn.XLOOKUP(Table1[[#This Row],[Account_ID]], Accounts[ID], Accounts[Account'#], "Unknown")</f>
        <v>4618</v>
      </c>
      <c r="I726" s="135" t="str">
        <f>_xlfn.XLOOKUP(_xlfn.XLOOKUP(Table1[[#This Row],[Account]],Accounts[Account nickname],Accounts[Institution ID]),Institutions[ID],Institutions[Institution nickname],"Unknown")</f>
        <v>Discover</v>
      </c>
      <c r="J726" s="136" t="s">
        <v>2099</v>
      </c>
      <c r="K726" s="137" t="s">
        <v>843</v>
      </c>
      <c r="L726" s="137" t="s">
        <v>841</v>
      </c>
      <c r="M72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2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26" s="138" t="str" cm="1">
        <f t="array" ref="O726">IFERROR(INDEX(CategoriesTable[Category type],MATCH(Table1[[#This Row],[Category]],CategoriesTable[Category name],0),0),"")</f>
        <v/>
      </c>
      <c r="P726" s="138">
        <v>16</v>
      </c>
      <c r="Q726" s="138">
        <f>MONTH(Table1[[#This Row],[Date]])</f>
        <v>7</v>
      </c>
      <c r="R726" s="138">
        <v>2021</v>
      </c>
      <c r="S726" s="139">
        <f>IF(ISBLANK(Table1[[#This Row],[Date]]),"",Table1[[#This Row],[Date]]-WEEKDAY(Table1[[#This Row],[Date]],2)+1)</f>
        <v>44389</v>
      </c>
      <c r="T726" s="140">
        <f>IF(ISBLANK(Table1[[#This Row],[Date]]),"",DATE(Table1[[#This Row],[Date_Year]],Table1[[#This Row],[Date_Month]],1))</f>
        <v>44378</v>
      </c>
    </row>
    <row r="727" spans="2:20" ht="15.75">
      <c r="B727" s="154">
        <v>44393</v>
      </c>
      <c r="C727" s="119" t="s">
        <v>2093</v>
      </c>
      <c r="D727" s="119"/>
      <c r="E727" s="119"/>
      <c r="F727" s="155">
        <v>-69.98</v>
      </c>
      <c r="G727" s="133" t="str">
        <f>_xlfn.XLOOKUP(Table1[[#This Row],[Account_ID]], Accounts[ID], Accounts[Account nickname], "Unknown")</f>
        <v>Discover</v>
      </c>
      <c r="H727" s="134" t="str">
        <f>_xlfn.XLOOKUP(Table1[[#This Row],[Account_ID]], Accounts[ID], Accounts[Account'#], "Unknown")</f>
        <v>4618</v>
      </c>
      <c r="I727" s="135" t="str">
        <f>_xlfn.XLOOKUP(_xlfn.XLOOKUP(Table1[[#This Row],[Account]],Accounts[Account nickname],Accounts[Institution ID]),Institutions[ID],Institutions[Institution nickname],"Unknown")</f>
        <v>Discover</v>
      </c>
      <c r="J727" s="136" t="s">
        <v>2094</v>
      </c>
      <c r="K727" s="137" t="s">
        <v>843</v>
      </c>
      <c r="L727" s="137" t="s">
        <v>841</v>
      </c>
      <c r="M72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2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27" s="138" t="str" cm="1">
        <f t="array" ref="O727">IFERROR(INDEX(CategoriesTable[Category type],MATCH(Table1[[#This Row],[Category]],CategoriesTable[Category name],0),0),"")</f>
        <v/>
      </c>
      <c r="P727" s="138">
        <v>16</v>
      </c>
      <c r="Q727" s="138">
        <f>MONTH(Table1[[#This Row],[Date]])</f>
        <v>7</v>
      </c>
      <c r="R727" s="138">
        <v>2021</v>
      </c>
      <c r="S727" s="139">
        <f>IF(ISBLANK(Table1[[#This Row],[Date]]),"",Table1[[#This Row],[Date]]-WEEKDAY(Table1[[#This Row],[Date]],2)+1)</f>
        <v>44389</v>
      </c>
      <c r="T727" s="140">
        <f>IF(ISBLANK(Table1[[#This Row],[Date]]),"",DATE(Table1[[#This Row],[Date_Year]],Table1[[#This Row],[Date_Month]],1))</f>
        <v>44378</v>
      </c>
    </row>
    <row r="728" spans="2:20" ht="15.75">
      <c r="B728" s="154">
        <v>44393</v>
      </c>
      <c r="C728" s="119" t="s">
        <v>845</v>
      </c>
      <c r="D728" s="119"/>
      <c r="E728" s="119"/>
      <c r="F728" s="155">
        <v>1000</v>
      </c>
      <c r="G728" s="133" t="str">
        <f>_xlfn.XLOOKUP(Table1[[#This Row],[Account_ID]], Accounts[ID], Accounts[Account nickname], "Unknown")</f>
        <v>Discover</v>
      </c>
      <c r="H728" s="134" t="str">
        <f>_xlfn.XLOOKUP(Table1[[#This Row],[Account_ID]], Accounts[ID], Accounts[Account'#], "Unknown")</f>
        <v>4618</v>
      </c>
      <c r="I728" s="135" t="str">
        <f>_xlfn.XLOOKUP(_xlfn.XLOOKUP(Table1[[#This Row],[Account]],Accounts[Account nickname],Accounts[Institution ID]),Institutions[ID],Institutions[Institution nickname],"Unknown")</f>
        <v>Discover</v>
      </c>
      <c r="J728" s="136" t="s">
        <v>2097</v>
      </c>
      <c r="K728" s="137" t="s">
        <v>843</v>
      </c>
      <c r="L728" s="137" t="s">
        <v>841</v>
      </c>
      <c r="M72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2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28" s="138" t="str" cm="1">
        <f t="array" ref="O728">IFERROR(INDEX(CategoriesTable[Category type],MATCH(Table1[[#This Row],[Category]],CategoriesTable[Category name],0),0),"")</f>
        <v/>
      </c>
      <c r="P728" s="138">
        <v>16</v>
      </c>
      <c r="Q728" s="138">
        <f>MONTH(Table1[[#This Row],[Date]])</f>
        <v>7</v>
      </c>
      <c r="R728" s="138">
        <v>2021</v>
      </c>
      <c r="S728" s="139">
        <f>IF(ISBLANK(Table1[[#This Row],[Date]]),"",Table1[[#This Row],[Date]]-WEEKDAY(Table1[[#This Row],[Date]],2)+1)</f>
        <v>44389</v>
      </c>
      <c r="T728" s="140">
        <f>IF(ISBLANK(Table1[[#This Row],[Date]]),"",DATE(Table1[[#This Row],[Date_Year]],Table1[[#This Row],[Date_Month]],1))</f>
        <v>44378</v>
      </c>
    </row>
    <row r="729" spans="2:20" ht="15.75">
      <c r="B729" s="154">
        <v>44393</v>
      </c>
      <c r="C729" s="119" t="s">
        <v>2061</v>
      </c>
      <c r="D729" s="119"/>
      <c r="E729" s="119"/>
      <c r="F729" s="155">
        <v>-20.54</v>
      </c>
      <c r="G729" s="133" t="str">
        <f>_xlfn.XLOOKUP(Table1[[#This Row],[Account_ID]], Accounts[ID], Accounts[Account nickname], "Unknown")</f>
        <v>Discover</v>
      </c>
      <c r="H729" s="134" t="str">
        <f>_xlfn.XLOOKUP(Table1[[#This Row],[Account_ID]], Accounts[ID], Accounts[Account'#], "Unknown")</f>
        <v>4618</v>
      </c>
      <c r="I729" s="135" t="str">
        <f>_xlfn.XLOOKUP(_xlfn.XLOOKUP(Table1[[#This Row],[Account]],Accounts[Account nickname],Accounts[Institution ID]),Institutions[ID],Institutions[Institution nickname],"Unknown")</f>
        <v>Discover</v>
      </c>
      <c r="J729" s="136" t="s">
        <v>2096</v>
      </c>
      <c r="K729" s="137" t="s">
        <v>843</v>
      </c>
      <c r="L729" s="137" t="s">
        <v>841</v>
      </c>
      <c r="M72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2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29" s="138" t="str" cm="1">
        <f t="array" ref="O729">IFERROR(INDEX(CategoriesTable[Category type],MATCH(Table1[[#This Row],[Category]],CategoriesTable[Category name],0),0),"")</f>
        <v/>
      </c>
      <c r="P729" s="138">
        <v>16</v>
      </c>
      <c r="Q729" s="138">
        <f>MONTH(Table1[[#This Row],[Date]])</f>
        <v>7</v>
      </c>
      <c r="R729" s="138">
        <v>2021</v>
      </c>
      <c r="S729" s="139">
        <f>IF(ISBLANK(Table1[[#This Row],[Date]]),"",Table1[[#This Row],[Date]]-WEEKDAY(Table1[[#This Row],[Date]],2)+1)</f>
        <v>44389</v>
      </c>
      <c r="T729" s="140">
        <f>IF(ISBLANK(Table1[[#This Row],[Date]]),"",DATE(Table1[[#This Row],[Date_Year]],Table1[[#This Row],[Date_Month]],1))</f>
        <v>44378</v>
      </c>
    </row>
    <row r="730" spans="2:20" ht="15.75">
      <c r="B730" s="154">
        <v>44393</v>
      </c>
      <c r="C730" s="119" t="s">
        <v>2061</v>
      </c>
      <c r="D730" s="119"/>
      <c r="E730" s="119"/>
      <c r="F730" s="155">
        <v>-5.7</v>
      </c>
      <c r="G730" s="133" t="str">
        <f>_xlfn.XLOOKUP(Table1[[#This Row],[Account_ID]], Accounts[ID], Accounts[Account nickname], "Unknown")</f>
        <v>Discover</v>
      </c>
      <c r="H730" s="134" t="str">
        <f>_xlfn.XLOOKUP(Table1[[#This Row],[Account_ID]], Accounts[ID], Accounts[Account'#], "Unknown")</f>
        <v>4618</v>
      </c>
      <c r="I730" s="135" t="str">
        <f>_xlfn.XLOOKUP(_xlfn.XLOOKUP(Table1[[#This Row],[Account]],Accounts[Account nickname],Accounts[Institution ID]),Institutions[ID],Institutions[Institution nickname],"Unknown")</f>
        <v>Discover</v>
      </c>
      <c r="J730" s="136" t="s">
        <v>2095</v>
      </c>
      <c r="K730" s="137" t="s">
        <v>843</v>
      </c>
      <c r="L730" s="137" t="s">
        <v>841</v>
      </c>
      <c r="M73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3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30" s="138" t="str" cm="1">
        <f t="array" ref="O730">IFERROR(INDEX(CategoriesTable[Category type],MATCH(Table1[[#This Row],[Category]],CategoriesTable[Category name],0),0),"")</f>
        <v/>
      </c>
      <c r="P730" s="138">
        <v>16</v>
      </c>
      <c r="Q730" s="138">
        <f>MONTH(Table1[[#This Row],[Date]])</f>
        <v>7</v>
      </c>
      <c r="R730" s="138">
        <v>2021</v>
      </c>
      <c r="S730" s="139">
        <f>IF(ISBLANK(Table1[[#This Row],[Date]]),"",Table1[[#This Row],[Date]]-WEEKDAY(Table1[[#This Row],[Date]],2)+1)</f>
        <v>44389</v>
      </c>
      <c r="T730" s="140">
        <f>IF(ISBLANK(Table1[[#This Row],[Date]]),"",DATE(Table1[[#This Row],[Date_Year]],Table1[[#This Row],[Date_Month]],1))</f>
        <v>44378</v>
      </c>
    </row>
    <row r="731" spans="2:20" ht="15.75">
      <c r="B731" s="154">
        <v>44393</v>
      </c>
      <c r="C731" s="119" t="s">
        <v>707</v>
      </c>
      <c r="D731" s="119"/>
      <c r="E731" s="119"/>
      <c r="F731" s="155">
        <v>-59.99</v>
      </c>
      <c r="G731" s="133" t="str">
        <f>_xlfn.XLOOKUP(Table1[[#This Row],[Account_ID]], Accounts[ID], Accounts[Account nickname], "Unknown")</f>
        <v>Discover</v>
      </c>
      <c r="H731" s="134" t="str">
        <f>_xlfn.XLOOKUP(Table1[[#This Row],[Account_ID]], Accounts[ID], Accounts[Account'#], "Unknown")</f>
        <v>4618</v>
      </c>
      <c r="I731" s="135" t="str">
        <f>_xlfn.XLOOKUP(_xlfn.XLOOKUP(Table1[[#This Row],[Account]],Accounts[Account nickname],Accounts[Institution ID]),Institutions[ID],Institutions[Institution nickname],"Unknown")</f>
        <v>Discover</v>
      </c>
      <c r="J731" s="136" t="s">
        <v>2100</v>
      </c>
      <c r="K731" s="137" t="s">
        <v>843</v>
      </c>
      <c r="L731" s="137" t="s">
        <v>841</v>
      </c>
      <c r="M73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3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31" s="138" t="str" cm="1">
        <f t="array" ref="O731">IFERROR(INDEX(CategoriesTable[Category type],MATCH(Table1[[#This Row],[Category]],CategoriesTable[Category name],0),0),"")</f>
        <v/>
      </c>
      <c r="P731" s="138">
        <v>16</v>
      </c>
      <c r="Q731" s="138">
        <f>MONTH(Table1[[#This Row],[Date]])</f>
        <v>7</v>
      </c>
      <c r="R731" s="138">
        <v>2021</v>
      </c>
      <c r="S731" s="139">
        <f>IF(ISBLANK(Table1[[#This Row],[Date]]),"",Table1[[#This Row],[Date]]-WEEKDAY(Table1[[#This Row],[Date]],2)+1)</f>
        <v>44389</v>
      </c>
      <c r="T731" s="140">
        <f>IF(ISBLANK(Table1[[#This Row],[Date]]),"",DATE(Table1[[#This Row],[Date_Year]],Table1[[#This Row],[Date_Month]],1))</f>
        <v>44378</v>
      </c>
    </row>
    <row r="732" spans="2:20" ht="15.75">
      <c r="B732" s="154">
        <v>44393</v>
      </c>
      <c r="C732" s="119" t="s">
        <v>686</v>
      </c>
      <c r="D732" s="119"/>
      <c r="E732" s="119"/>
      <c r="F732" s="155">
        <v>-1000</v>
      </c>
      <c r="G732" s="133" t="str">
        <f>_xlfn.XLOOKUP(Table1[[#This Row],[Account_ID]], Accounts[ID], Accounts[Account nickname], "Unknown")</f>
        <v>WF</v>
      </c>
      <c r="H732" s="134" t="str">
        <f>_xlfn.XLOOKUP(Table1[[#This Row],[Account_ID]], Accounts[ID], Accounts[Account'#], "Unknown")</f>
        <v>4636</v>
      </c>
      <c r="I732" s="135" t="str">
        <f>_xlfn.XLOOKUP(_xlfn.XLOOKUP(Table1[[#This Row],[Account]],Accounts[Account nickname],Accounts[Institution ID]),Institutions[ID],Institutions[Institution nickname],"Unknown")</f>
        <v>Wells Fargo</v>
      </c>
      <c r="J732" s="136" t="s">
        <v>1070</v>
      </c>
      <c r="K732" s="137" t="s">
        <v>808</v>
      </c>
      <c r="L732" s="137" t="s">
        <v>807</v>
      </c>
      <c r="M73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3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32" s="138" t="str" cm="1">
        <f t="array" ref="O732">IFERROR(INDEX(CategoriesTable[Category type],MATCH(Table1[[#This Row],[Category]],CategoriesTable[Category name],0),0),"")</f>
        <v/>
      </c>
      <c r="P732" s="138">
        <v>16</v>
      </c>
      <c r="Q732" s="138">
        <f>MONTH(Table1[[#This Row],[Date]])</f>
        <v>7</v>
      </c>
      <c r="R732" s="138">
        <v>2021</v>
      </c>
      <c r="S732" s="139">
        <f>IF(ISBLANK(Table1[[#This Row],[Date]]),"",Table1[[#This Row],[Date]]-WEEKDAY(Table1[[#This Row],[Date]],2)+1)</f>
        <v>44389</v>
      </c>
      <c r="T732" s="140">
        <f>IF(ISBLANK(Table1[[#This Row],[Date]]),"",DATE(Table1[[#This Row],[Date_Year]],Table1[[#This Row],[Date_Month]],1))</f>
        <v>44378</v>
      </c>
    </row>
    <row r="733" spans="2:20" ht="15.75">
      <c r="B733" s="154">
        <v>44393</v>
      </c>
      <c r="C733" s="119" t="s">
        <v>860</v>
      </c>
      <c r="D733" s="119"/>
      <c r="E733" s="119"/>
      <c r="F733" s="155">
        <v>-56.81</v>
      </c>
      <c r="G733" s="133" t="str">
        <f>_xlfn.XLOOKUP(Table1[[#This Row],[Account_ID]], Accounts[ID], Accounts[Account nickname], "Unknown")</f>
        <v>Discover</v>
      </c>
      <c r="H733" s="134" t="str">
        <f>_xlfn.XLOOKUP(Table1[[#This Row],[Account_ID]], Accounts[ID], Accounts[Account'#], "Unknown")</f>
        <v>4618</v>
      </c>
      <c r="I733" s="135" t="str">
        <f>_xlfn.XLOOKUP(_xlfn.XLOOKUP(Table1[[#This Row],[Account]],Accounts[Account nickname],Accounts[Institution ID]),Institutions[ID],Institutions[Institution nickname],"Unknown")</f>
        <v>Discover</v>
      </c>
      <c r="J733" s="136" t="s">
        <v>2092</v>
      </c>
      <c r="K733" s="137" t="s">
        <v>843</v>
      </c>
      <c r="L733" s="137" t="s">
        <v>841</v>
      </c>
      <c r="M73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3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33" s="138" t="str" cm="1">
        <f t="array" ref="O733">IFERROR(INDEX(CategoriesTable[Category type],MATCH(Table1[[#This Row],[Category]],CategoriesTable[Category name],0),0),"")</f>
        <v/>
      </c>
      <c r="P733" s="138">
        <v>16</v>
      </c>
      <c r="Q733" s="138">
        <f>MONTH(Table1[[#This Row],[Date]])</f>
        <v>7</v>
      </c>
      <c r="R733" s="138">
        <v>2021</v>
      </c>
      <c r="S733" s="139">
        <f>IF(ISBLANK(Table1[[#This Row],[Date]]),"",Table1[[#This Row],[Date]]-WEEKDAY(Table1[[#This Row],[Date]],2)+1)</f>
        <v>44389</v>
      </c>
      <c r="T733" s="140">
        <f>IF(ISBLANK(Table1[[#This Row],[Date]]),"",DATE(Table1[[#This Row],[Date_Year]],Table1[[#This Row],[Date_Month]],1))</f>
        <v>44378</v>
      </c>
    </row>
    <row r="734" spans="2:20" ht="15.75">
      <c r="B734" s="154">
        <v>44393</v>
      </c>
      <c r="C734" s="119" t="s">
        <v>1956</v>
      </c>
      <c r="D734" s="119"/>
      <c r="E734" s="119"/>
      <c r="F734" s="155">
        <v>-50</v>
      </c>
      <c r="G734" s="133" t="str">
        <f>_xlfn.XLOOKUP(Table1[[#This Row],[Account_ID]], Accounts[ID], Accounts[Account nickname], "Unknown")</f>
        <v>Discover</v>
      </c>
      <c r="H734" s="134" t="str">
        <f>_xlfn.XLOOKUP(Table1[[#This Row],[Account_ID]], Accounts[ID], Accounts[Account'#], "Unknown")</f>
        <v>4618</v>
      </c>
      <c r="I734" s="135" t="str">
        <f>_xlfn.XLOOKUP(_xlfn.XLOOKUP(Table1[[#This Row],[Account]],Accounts[Account nickname],Accounts[Institution ID]),Institutions[ID],Institutions[Institution nickname],"Unknown")</f>
        <v>Discover</v>
      </c>
      <c r="J734" s="136" t="s">
        <v>2101</v>
      </c>
      <c r="K734" s="137" t="s">
        <v>843</v>
      </c>
      <c r="L734" s="137" t="s">
        <v>841</v>
      </c>
      <c r="M73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3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34" s="138" t="str" cm="1">
        <f t="array" ref="O734">IFERROR(INDEX(CategoriesTable[Category type],MATCH(Table1[[#This Row],[Category]],CategoriesTable[Category name],0),0),"")</f>
        <v/>
      </c>
      <c r="P734" s="138">
        <v>16</v>
      </c>
      <c r="Q734" s="138">
        <f>MONTH(Table1[[#This Row],[Date]])</f>
        <v>7</v>
      </c>
      <c r="R734" s="138">
        <v>2021</v>
      </c>
      <c r="S734" s="139">
        <f>IF(ISBLANK(Table1[[#This Row],[Date]]),"",Table1[[#This Row],[Date]]-WEEKDAY(Table1[[#This Row],[Date]],2)+1)</f>
        <v>44389</v>
      </c>
      <c r="T734" s="140">
        <f>IF(ISBLANK(Table1[[#This Row],[Date]]),"",DATE(Table1[[#This Row],[Date_Year]],Table1[[#This Row],[Date_Month]],1))</f>
        <v>44378</v>
      </c>
    </row>
    <row r="735" spans="2:20" ht="15.75">
      <c r="B735" s="154">
        <v>44393</v>
      </c>
      <c r="C735" s="119" t="s">
        <v>1939</v>
      </c>
      <c r="D735" s="119"/>
      <c r="E735" s="119"/>
      <c r="F735" s="155">
        <v>-25</v>
      </c>
      <c r="G735" s="133" t="str">
        <f>_xlfn.XLOOKUP(Table1[[#This Row],[Account_ID]], Accounts[ID], Accounts[Account nickname], "Unknown")</f>
        <v>Discover</v>
      </c>
      <c r="H735" s="134" t="str">
        <f>_xlfn.XLOOKUP(Table1[[#This Row],[Account_ID]], Accounts[ID], Accounts[Account'#], "Unknown")</f>
        <v>4618</v>
      </c>
      <c r="I735" s="135" t="str">
        <f>_xlfn.XLOOKUP(_xlfn.XLOOKUP(Table1[[#This Row],[Account]],Accounts[Account nickname],Accounts[Institution ID]),Institutions[ID],Institutions[Institution nickname],"Unknown")</f>
        <v>Discover</v>
      </c>
      <c r="J735" s="136" t="s">
        <v>2090</v>
      </c>
      <c r="K735" s="137" t="s">
        <v>843</v>
      </c>
      <c r="L735" s="137" t="s">
        <v>841</v>
      </c>
      <c r="M73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3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35" s="138" t="str" cm="1">
        <f t="array" ref="O735">IFERROR(INDEX(CategoriesTable[Category type],MATCH(Table1[[#This Row],[Category]],CategoriesTable[Category name],0),0),"")</f>
        <v/>
      </c>
      <c r="P735" s="138">
        <v>16</v>
      </c>
      <c r="Q735" s="138">
        <f>MONTH(Table1[[#This Row],[Date]])</f>
        <v>7</v>
      </c>
      <c r="R735" s="138">
        <v>2021</v>
      </c>
      <c r="S735" s="139">
        <f>IF(ISBLANK(Table1[[#This Row],[Date]]),"",Table1[[#This Row],[Date]]-WEEKDAY(Table1[[#This Row],[Date]],2)+1)</f>
        <v>44389</v>
      </c>
      <c r="T735" s="140">
        <f>IF(ISBLANK(Table1[[#This Row],[Date]]),"",DATE(Table1[[#This Row],[Date_Year]],Table1[[#This Row],[Date_Month]],1))</f>
        <v>44378</v>
      </c>
    </row>
    <row r="736" spans="2:20" ht="15.75">
      <c r="B736" s="154">
        <v>44393</v>
      </c>
      <c r="C736" s="119" t="s">
        <v>860</v>
      </c>
      <c r="D736" s="119"/>
      <c r="E736" s="119"/>
      <c r="F736" s="155">
        <v>-56.81</v>
      </c>
      <c r="G736" s="133" t="str">
        <f>_xlfn.XLOOKUP(Table1[[#This Row],[Account_ID]], Accounts[ID], Accounts[Account nickname], "Unknown")</f>
        <v>Discover</v>
      </c>
      <c r="H736" s="134" t="str">
        <f>_xlfn.XLOOKUP(Table1[[#This Row],[Account_ID]], Accounts[ID], Accounts[Account'#], "Unknown")</f>
        <v>4618</v>
      </c>
      <c r="I736" s="135" t="str">
        <f>_xlfn.XLOOKUP(_xlfn.XLOOKUP(Table1[[#This Row],[Account]],Accounts[Account nickname],Accounts[Institution ID]),Institutions[ID],Institutions[Institution nickname],"Unknown")</f>
        <v>Discover</v>
      </c>
      <c r="J736" s="136" t="s">
        <v>2091</v>
      </c>
      <c r="K736" s="137" t="s">
        <v>843</v>
      </c>
      <c r="L736" s="137" t="s">
        <v>841</v>
      </c>
      <c r="M73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3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36" s="138" t="str" cm="1">
        <f t="array" ref="O736">IFERROR(INDEX(CategoriesTable[Category type],MATCH(Table1[[#This Row],[Category]],CategoriesTable[Category name],0),0),"")</f>
        <v/>
      </c>
      <c r="P736" s="138">
        <v>16</v>
      </c>
      <c r="Q736" s="138">
        <f>MONTH(Table1[[#This Row],[Date]])</f>
        <v>7</v>
      </c>
      <c r="R736" s="138">
        <v>2021</v>
      </c>
      <c r="S736" s="139">
        <f>IF(ISBLANK(Table1[[#This Row],[Date]]),"",Table1[[#This Row],[Date]]-WEEKDAY(Table1[[#This Row],[Date]],2)+1)</f>
        <v>44389</v>
      </c>
      <c r="T736" s="140">
        <f>IF(ISBLANK(Table1[[#This Row],[Date]]),"",DATE(Table1[[#This Row],[Date_Year]],Table1[[#This Row],[Date_Month]],1))</f>
        <v>44378</v>
      </c>
    </row>
    <row r="737" spans="2:20" ht="15.75">
      <c r="B737" s="154">
        <v>44393</v>
      </c>
      <c r="C737" s="119" t="s">
        <v>678</v>
      </c>
      <c r="D737" s="119"/>
      <c r="E737" s="119"/>
      <c r="F737" s="155">
        <v>500</v>
      </c>
      <c r="G737" s="133" t="str">
        <f>_xlfn.XLOOKUP(Table1[[#This Row],[Account_ID]], Accounts[ID], Accounts[Account nickname], "Unknown")</f>
        <v>WF</v>
      </c>
      <c r="H737" s="134" t="str">
        <f>_xlfn.XLOOKUP(Table1[[#This Row],[Account_ID]], Accounts[ID], Accounts[Account'#], "Unknown")</f>
        <v>4636</v>
      </c>
      <c r="I737" s="135" t="str">
        <f>_xlfn.XLOOKUP(_xlfn.XLOOKUP(Table1[[#This Row],[Account]],Accounts[Account nickname],Accounts[Institution ID]),Institutions[ID],Institutions[Institution nickname],"Unknown")</f>
        <v>Wells Fargo</v>
      </c>
      <c r="J737" s="136" t="s">
        <v>1071</v>
      </c>
      <c r="K737" s="137" t="s">
        <v>808</v>
      </c>
      <c r="L737" s="137" t="s">
        <v>807</v>
      </c>
      <c r="M73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3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37" s="138" t="str" cm="1">
        <f t="array" ref="O737">IFERROR(INDEX(CategoriesTable[Category type],MATCH(Table1[[#This Row],[Category]],CategoriesTable[Category name],0),0),"")</f>
        <v/>
      </c>
      <c r="P737" s="138">
        <v>16</v>
      </c>
      <c r="Q737" s="138">
        <f>MONTH(Table1[[#This Row],[Date]])</f>
        <v>7</v>
      </c>
      <c r="R737" s="138">
        <v>2021</v>
      </c>
      <c r="S737" s="139">
        <f>IF(ISBLANK(Table1[[#This Row],[Date]]),"",Table1[[#This Row],[Date]]-WEEKDAY(Table1[[#This Row],[Date]],2)+1)</f>
        <v>44389</v>
      </c>
      <c r="T737" s="140">
        <f>IF(ISBLANK(Table1[[#This Row],[Date]]),"",DATE(Table1[[#This Row],[Date_Year]],Table1[[#This Row],[Date_Month]],1))</f>
        <v>44378</v>
      </c>
    </row>
    <row r="738" spans="2:20" ht="15.75">
      <c r="B738" s="154">
        <v>44393</v>
      </c>
      <c r="C738" s="119" t="s">
        <v>678</v>
      </c>
      <c r="D738" s="119"/>
      <c r="E738" s="119"/>
      <c r="F738" s="155">
        <v>400</v>
      </c>
      <c r="G738" s="133" t="str">
        <f>_xlfn.XLOOKUP(Table1[[#This Row],[Account_ID]], Accounts[ID], Accounts[Account nickname], "Unknown")</f>
        <v>WF</v>
      </c>
      <c r="H738" s="134" t="str">
        <f>_xlfn.XLOOKUP(Table1[[#This Row],[Account_ID]], Accounts[ID], Accounts[Account'#], "Unknown")</f>
        <v>4636</v>
      </c>
      <c r="I738" s="135" t="str">
        <f>_xlfn.XLOOKUP(_xlfn.XLOOKUP(Table1[[#This Row],[Account]],Accounts[Account nickname],Accounts[Institution ID]),Institutions[ID],Institutions[Institution nickname],"Unknown")</f>
        <v>Wells Fargo</v>
      </c>
      <c r="J738" s="136" t="s">
        <v>1072</v>
      </c>
      <c r="K738" s="137" t="s">
        <v>808</v>
      </c>
      <c r="L738" s="137" t="s">
        <v>807</v>
      </c>
      <c r="M73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3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38" s="138" t="str" cm="1">
        <f t="array" ref="O738">IFERROR(INDEX(CategoriesTable[Category type],MATCH(Table1[[#This Row],[Category]],CategoriesTable[Category name],0),0),"")</f>
        <v/>
      </c>
      <c r="P738" s="138">
        <v>16</v>
      </c>
      <c r="Q738" s="138">
        <f>MONTH(Table1[[#This Row],[Date]])</f>
        <v>7</v>
      </c>
      <c r="R738" s="138">
        <v>2021</v>
      </c>
      <c r="S738" s="139">
        <f>IF(ISBLANK(Table1[[#This Row],[Date]]),"",Table1[[#This Row],[Date]]-WEEKDAY(Table1[[#This Row],[Date]],2)+1)</f>
        <v>44389</v>
      </c>
      <c r="T738" s="140">
        <f>IF(ISBLANK(Table1[[#This Row],[Date]]),"",DATE(Table1[[#This Row],[Date_Year]],Table1[[#This Row],[Date_Month]],1))</f>
        <v>44378</v>
      </c>
    </row>
    <row r="739" spans="2:20" ht="15.75">
      <c r="B739" s="154">
        <v>44392</v>
      </c>
      <c r="C739" s="119" t="s">
        <v>2104</v>
      </c>
      <c r="D739" s="119"/>
      <c r="E739" s="119"/>
      <c r="F739" s="155">
        <v>-16.600000000000001</v>
      </c>
      <c r="G739" s="133" t="str">
        <f>_xlfn.XLOOKUP(Table1[[#This Row],[Account_ID]], Accounts[ID], Accounts[Account nickname], "Unknown")</f>
        <v>Discover</v>
      </c>
      <c r="H739" s="134" t="str">
        <f>_xlfn.XLOOKUP(Table1[[#This Row],[Account_ID]], Accounts[ID], Accounts[Account'#], "Unknown")</f>
        <v>4618</v>
      </c>
      <c r="I739" s="135" t="str">
        <f>_xlfn.XLOOKUP(_xlfn.XLOOKUP(Table1[[#This Row],[Account]],Accounts[Account nickname],Accounts[Institution ID]),Institutions[ID],Institutions[Institution nickname],"Unknown")</f>
        <v>Discover</v>
      </c>
      <c r="J739" s="136" t="s">
        <v>2105</v>
      </c>
      <c r="K739" s="137" t="s">
        <v>843</v>
      </c>
      <c r="L739" s="137" t="s">
        <v>841</v>
      </c>
      <c r="M73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3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39" s="138" t="str" cm="1">
        <f t="array" ref="O739">IFERROR(INDEX(CategoriesTable[Category type],MATCH(Table1[[#This Row],[Category]],CategoriesTable[Category name],0),0),"")</f>
        <v/>
      </c>
      <c r="P739" s="138">
        <v>15</v>
      </c>
      <c r="Q739" s="138">
        <f>MONTH(Table1[[#This Row],[Date]])</f>
        <v>7</v>
      </c>
      <c r="R739" s="138">
        <v>2021</v>
      </c>
      <c r="S739" s="139">
        <f>IF(ISBLANK(Table1[[#This Row],[Date]]),"",Table1[[#This Row],[Date]]-WEEKDAY(Table1[[#This Row],[Date]],2)+1)</f>
        <v>44389</v>
      </c>
      <c r="T739" s="140">
        <f>IF(ISBLANK(Table1[[#This Row],[Date]]),"",DATE(Table1[[#This Row],[Date_Year]],Table1[[#This Row],[Date_Month]],1))</f>
        <v>44378</v>
      </c>
    </row>
    <row r="740" spans="2:20" ht="15.75">
      <c r="B740" s="154">
        <v>44392</v>
      </c>
      <c r="C740" s="119" t="s">
        <v>677</v>
      </c>
      <c r="D740" s="119"/>
      <c r="E740" s="119"/>
      <c r="F740" s="155">
        <v>1583.61</v>
      </c>
      <c r="G740" s="133" t="str">
        <f>_xlfn.XLOOKUP(Table1[[#This Row],[Account_ID]], Accounts[ID], Accounts[Account nickname], "Unknown")</f>
        <v>WF</v>
      </c>
      <c r="H740" s="134" t="str">
        <f>_xlfn.XLOOKUP(Table1[[#This Row],[Account_ID]], Accounts[ID], Accounts[Account'#], "Unknown")</f>
        <v>4636</v>
      </c>
      <c r="I740" s="135" t="str">
        <f>_xlfn.XLOOKUP(_xlfn.XLOOKUP(Table1[[#This Row],[Account]],Accounts[Account nickname],Accounts[Institution ID]),Institutions[ID],Institutions[Institution nickname],"Unknown")</f>
        <v>Wells Fargo</v>
      </c>
      <c r="J740" s="136" t="s">
        <v>1074</v>
      </c>
      <c r="K740" s="137" t="s">
        <v>808</v>
      </c>
      <c r="L740" s="137" t="s">
        <v>807</v>
      </c>
      <c r="M74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4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40" s="138" t="str" cm="1">
        <f t="array" ref="O740">IFERROR(INDEX(CategoriesTable[Category type],MATCH(Table1[[#This Row],[Category]],CategoriesTable[Category name],0),0),"")</f>
        <v/>
      </c>
      <c r="P740" s="138">
        <v>15</v>
      </c>
      <c r="Q740" s="138">
        <f>MONTH(Table1[[#This Row],[Date]])</f>
        <v>7</v>
      </c>
      <c r="R740" s="138">
        <v>2021</v>
      </c>
      <c r="S740" s="139">
        <f>IF(ISBLANK(Table1[[#This Row],[Date]]),"",Table1[[#This Row],[Date]]-WEEKDAY(Table1[[#This Row],[Date]],2)+1)</f>
        <v>44389</v>
      </c>
      <c r="T740" s="140">
        <f>IF(ISBLANK(Table1[[#This Row],[Date]]),"",DATE(Table1[[#This Row],[Date_Year]],Table1[[#This Row],[Date_Month]],1))</f>
        <v>44378</v>
      </c>
    </row>
    <row r="741" spans="2:20" ht="15.75">
      <c r="B741" s="154">
        <v>44392</v>
      </c>
      <c r="C741" s="119" t="s">
        <v>2102</v>
      </c>
      <c r="D741" s="119"/>
      <c r="E741" s="119"/>
      <c r="F741" s="155">
        <v>-40</v>
      </c>
      <c r="G741" s="133" t="str">
        <f>_xlfn.XLOOKUP(Table1[[#This Row],[Account_ID]], Accounts[ID], Accounts[Account nickname], "Unknown")</f>
        <v>Discover</v>
      </c>
      <c r="H741" s="134" t="str">
        <f>_xlfn.XLOOKUP(Table1[[#This Row],[Account_ID]], Accounts[ID], Accounts[Account'#], "Unknown")</f>
        <v>4618</v>
      </c>
      <c r="I741" s="135" t="str">
        <f>_xlfn.XLOOKUP(_xlfn.XLOOKUP(Table1[[#This Row],[Account]],Accounts[Account nickname],Accounts[Institution ID]),Institutions[ID],Institutions[Institution nickname],"Unknown")</f>
        <v>Discover</v>
      </c>
      <c r="J741" s="136" t="s">
        <v>2103</v>
      </c>
      <c r="K741" s="137" t="s">
        <v>843</v>
      </c>
      <c r="L741" s="137" t="s">
        <v>841</v>
      </c>
      <c r="M74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4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41" s="138" t="str" cm="1">
        <f t="array" ref="O741">IFERROR(INDEX(CategoriesTable[Category type],MATCH(Table1[[#This Row],[Category]],CategoriesTable[Category name],0),0),"")</f>
        <v/>
      </c>
      <c r="P741" s="138">
        <v>15</v>
      </c>
      <c r="Q741" s="138">
        <f>MONTH(Table1[[#This Row],[Date]])</f>
        <v>7</v>
      </c>
      <c r="R741" s="138">
        <v>2021</v>
      </c>
      <c r="S741" s="139">
        <f>IF(ISBLANK(Table1[[#This Row],[Date]]),"",Table1[[#This Row],[Date]]-WEEKDAY(Table1[[#This Row],[Date]],2)+1)</f>
        <v>44389</v>
      </c>
      <c r="T741" s="140">
        <f>IF(ISBLANK(Table1[[#This Row],[Date]]),"",DATE(Table1[[#This Row],[Date_Year]],Table1[[#This Row],[Date_Month]],1))</f>
        <v>44378</v>
      </c>
    </row>
    <row r="742" spans="2:20" ht="15.75">
      <c r="B742" s="154">
        <v>44392</v>
      </c>
      <c r="C742" s="119" t="s">
        <v>678</v>
      </c>
      <c r="D742" s="119"/>
      <c r="E742" s="119"/>
      <c r="F742" s="155">
        <v>-400</v>
      </c>
      <c r="G742" s="133" t="str">
        <f>_xlfn.XLOOKUP(Table1[[#This Row],[Account_ID]], Accounts[ID], Accounts[Account nickname], "Unknown")</f>
        <v>WF</v>
      </c>
      <c r="H742" s="134" t="str">
        <f>_xlfn.XLOOKUP(Table1[[#This Row],[Account_ID]], Accounts[ID], Accounts[Account'#], "Unknown")</f>
        <v>4636</v>
      </c>
      <c r="I742" s="135" t="str">
        <f>_xlfn.XLOOKUP(_xlfn.XLOOKUP(Table1[[#This Row],[Account]],Accounts[Account nickname],Accounts[Institution ID]),Institutions[ID],Institutions[Institution nickname],"Unknown")</f>
        <v>Wells Fargo</v>
      </c>
      <c r="J742" s="136" t="s">
        <v>1075</v>
      </c>
      <c r="K742" s="137" t="s">
        <v>808</v>
      </c>
      <c r="L742" s="137" t="s">
        <v>807</v>
      </c>
      <c r="M74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4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42" s="138" t="str" cm="1">
        <f t="array" ref="O742">IFERROR(INDEX(CategoriesTable[Category type],MATCH(Table1[[#This Row],[Category]],CategoriesTable[Category name],0),0),"")</f>
        <v/>
      </c>
      <c r="P742" s="138">
        <v>15</v>
      </c>
      <c r="Q742" s="138">
        <f>MONTH(Table1[[#This Row],[Date]])</f>
        <v>7</v>
      </c>
      <c r="R742" s="138">
        <v>2021</v>
      </c>
      <c r="S742" s="139">
        <f>IF(ISBLANK(Table1[[#This Row],[Date]]),"",Table1[[#This Row],[Date]]-WEEKDAY(Table1[[#This Row],[Date]],2)+1)</f>
        <v>44389</v>
      </c>
      <c r="T742" s="140">
        <f>IF(ISBLANK(Table1[[#This Row],[Date]]),"",DATE(Table1[[#This Row],[Date_Year]],Table1[[#This Row],[Date_Month]],1))</f>
        <v>44378</v>
      </c>
    </row>
    <row r="743" spans="2:20" ht="15.75">
      <c r="B743" s="154">
        <v>44392</v>
      </c>
      <c r="C743" s="119" t="s">
        <v>693</v>
      </c>
      <c r="D743" s="119"/>
      <c r="E743" s="119"/>
      <c r="F743" s="155">
        <v>-200</v>
      </c>
      <c r="G743" s="133" t="str">
        <f>_xlfn.XLOOKUP(Table1[[#This Row],[Account_ID]], Accounts[ID], Accounts[Account nickname], "Unknown")</f>
        <v>WF</v>
      </c>
      <c r="H743" s="134" t="str">
        <f>_xlfn.XLOOKUP(Table1[[#This Row],[Account_ID]], Accounts[ID], Accounts[Account'#], "Unknown")</f>
        <v>4636</v>
      </c>
      <c r="I743" s="135" t="str">
        <f>_xlfn.XLOOKUP(_xlfn.XLOOKUP(Table1[[#This Row],[Account]],Accounts[Account nickname],Accounts[Institution ID]),Institutions[ID],Institutions[Institution nickname],"Unknown")</f>
        <v>Wells Fargo</v>
      </c>
      <c r="J743" s="136" t="s">
        <v>1073</v>
      </c>
      <c r="K743" s="137" t="s">
        <v>808</v>
      </c>
      <c r="L743" s="137" t="s">
        <v>807</v>
      </c>
      <c r="M74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4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43" s="138" t="str" cm="1">
        <f t="array" ref="O743">IFERROR(INDEX(CategoriesTable[Category type],MATCH(Table1[[#This Row],[Category]],CategoriesTable[Category name],0),0),"")</f>
        <v/>
      </c>
      <c r="P743" s="138">
        <v>15</v>
      </c>
      <c r="Q743" s="138">
        <f>MONTH(Table1[[#This Row],[Date]])</f>
        <v>7</v>
      </c>
      <c r="R743" s="138">
        <v>2021</v>
      </c>
      <c r="S743" s="139">
        <f>IF(ISBLANK(Table1[[#This Row],[Date]]),"",Table1[[#This Row],[Date]]-WEEKDAY(Table1[[#This Row],[Date]],2)+1)</f>
        <v>44389</v>
      </c>
      <c r="T743" s="140">
        <f>IF(ISBLANK(Table1[[#This Row],[Date]]),"",DATE(Table1[[#This Row],[Date_Year]],Table1[[#This Row],[Date_Month]],1))</f>
        <v>44378</v>
      </c>
    </row>
    <row r="744" spans="2:20" ht="15.75">
      <c r="B744" s="154">
        <v>44391</v>
      </c>
      <c r="C744" s="119" t="s">
        <v>678</v>
      </c>
      <c r="D744" s="119"/>
      <c r="E744" s="119"/>
      <c r="F744" s="155">
        <v>-500</v>
      </c>
      <c r="G744" s="133" t="str">
        <f>_xlfn.XLOOKUP(Table1[[#This Row],[Account_ID]], Accounts[ID], Accounts[Account nickname], "Unknown")</f>
        <v>WF</v>
      </c>
      <c r="H744" s="134" t="str">
        <f>_xlfn.XLOOKUP(Table1[[#This Row],[Account_ID]], Accounts[ID], Accounts[Account'#], "Unknown")</f>
        <v>4636</v>
      </c>
      <c r="I744" s="135" t="str">
        <f>_xlfn.XLOOKUP(_xlfn.XLOOKUP(Table1[[#This Row],[Account]],Accounts[Account nickname],Accounts[Institution ID]),Institutions[ID],Institutions[Institution nickname],"Unknown")</f>
        <v>Wells Fargo</v>
      </c>
      <c r="J744" s="136" t="s">
        <v>1076</v>
      </c>
      <c r="K744" s="137" t="s">
        <v>808</v>
      </c>
      <c r="L744" s="137" t="s">
        <v>807</v>
      </c>
      <c r="M74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4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44" s="138" t="str" cm="1">
        <f t="array" ref="O744">IFERROR(INDEX(CategoriesTable[Category type],MATCH(Table1[[#This Row],[Category]],CategoriesTable[Category name],0),0),"")</f>
        <v/>
      </c>
      <c r="P744" s="138">
        <v>14</v>
      </c>
      <c r="Q744" s="138">
        <f>MONTH(Table1[[#This Row],[Date]])</f>
        <v>7</v>
      </c>
      <c r="R744" s="138">
        <v>2021</v>
      </c>
      <c r="S744" s="139">
        <f>IF(ISBLANK(Table1[[#This Row],[Date]]),"",Table1[[#This Row],[Date]]-WEEKDAY(Table1[[#This Row],[Date]],2)+1)</f>
        <v>44389</v>
      </c>
      <c r="T744" s="140">
        <f>IF(ISBLANK(Table1[[#This Row],[Date]]),"",DATE(Table1[[#This Row],[Date_Year]],Table1[[#This Row],[Date_Month]],1))</f>
        <v>44378</v>
      </c>
    </row>
    <row r="745" spans="2:20" ht="15.75">
      <c r="B745" s="154">
        <v>44391</v>
      </c>
      <c r="C745" s="119" t="s">
        <v>2106</v>
      </c>
      <c r="D745" s="119"/>
      <c r="E745" s="119"/>
      <c r="F745" s="155">
        <v>-60</v>
      </c>
      <c r="G745" s="133" t="str">
        <f>_xlfn.XLOOKUP(Table1[[#This Row],[Account_ID]], Accounts[ID], Accounts[Account nickname], "Unknown")</f>
        <v>Discover</v>
      </c>
      <c r="H745" s="134" t="str">
        <f>_xlfn.XLOOKUP(Table1[[#This Row],[Account_ID]], Accounts[ID], Accounts[Account'#], "Unknown")</f>
        <v>4618</v>
      </c>
      <c r="I745" s="135" t="str">
        <f>_xlfn.XLOOKUP(_xlfn.XLOOKUP(Table1[[#This Row],[Account]],Accounts[Account nickname],Accounts[Institution ID]),Institutions[ID],Institutions[Institution nickname],"Unknown")</f>
        <v>Discover</v>
      </c>
      <c r="J745" s="136" t="s">
        <v>2107</v>
      </c>
      <c r="K745" s="137" t="s">
        <v>843</v>
      </c>
      <c r="L745" s="137" t="s">
        <v>841</v>
      </c>
      <c r="M74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4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45" s="138" t="str" cm="1">
        <f t="array" ref="O745">IFERROR(INDEX(CategoriesTable[Category type],MATCH(Table1[[#This Row],[Category]],CategoriesTable[Category name],0),0),"")</f>
        <v/>
      </c>
      <c r="P745" s="138">
        <v>14</v>
      </c>
      <c r="Q745" s="138">
        <f>MONTH(Table1[[#This Row],[Date]])</f>
        <v>7</v>
      </c>
      <c r="R745" s="138">
        <v>2021</v>
      </c>
      <c r="S745" s="139">
        <f>IF(ISBLANK(Table1[[#This Row],[Date]]),"",Table1[[#This Row],[Date]]-WEEKDAY(Table1[[#This Row],[Date]],2)+1)</f>
        <v>44389</v>
      </c>
      <c r="T745" s="140">
        <f>IF(ISBLANK(Table1[[#This Row],[Date]]),"",DATE(Table1[[#This Row],[Date_Year]],Table1[[#This Row],[Date_Month]],1))</f>
        <v>44378</v>
      </c>
    </row>
    <row r="746" spans="2:20" ht="15.75">
      <c r="B746" s="154">
        <v>44390</v>
      </c>
      <c r="C746" s="119" t="s">
        <v>1726</v>
      </c>
      <c r="D746" s="119"/>
      <c r="E746" s="119"/>
      <c r="F746" s="155">
        <v>-113.96</v>
      </c>
      <c r="G746" s="133" t="str">
        <f>_xlfn.XLOOKUP(Table1[[#This Row],[Account_ID]], Accounts[ID], Accounts[Account nickname], "Unknown")</f>
        <v>Discover</v>
      </c>
      <c r="H746" s="134" t="str">
        <f>_xlfn.XLOOKUP(Table1[[#This Row],[Account_ID]], Accounts[ID], Accounts[Account'#], "Unknown")</f>
        <v>4618</v>
      </c>
      <c r="I746" s="135" t="str">
        <f>_xlfn.XLOOKUP(_xlfn.XLOOKUP(Table1[[#This Row],[Account]],Accounts[Account nickname],Accounts[Institution ID]),Institutions[ID],Institutions[Institution nickname],"Unknown")</f>
        <v>Discover</v>
      </c>
      <c r="J746" s="136" t="s">
        <v>2110</v>
      </c>
      <c r="K746" s="137" t="s">
        <v>843</v>
      </c>
      <c r="L746" s="137" t="s">
        <v>841</v>
      </c>
      <c r="M74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4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46" s="138" t="str" cm="1">
        <f t="array" ref="O746">IFERROR(INDEX(CategoriesTable[Category type],MATCH(Table1[[#This Row],[Category]],CategoriesTable[Category name],0),0),"")</f>
        <v/>
      </c>
      <c r="P746" s="138">
        <v>13</v>
      </c>
      <c r="Q746" s="138">
        <f>MONTH(Table1[[#This Row],[Date]])</f>
        <v>7</v>
      </c>
      <c r="R746" s="138">
        <v>2021</v>
      </c>
      <c r="S746" s="139">
        <f>IF(ISBLANK(Table1[[#This Row],[Date]]),"",Table1[[#This Row],[Date]]-WEEKDAY(Table1[[#This Row],[Date]],2)+1)</f>
        <v>44389</v>
      </c>
      <c r="T746" s="140">
        <f>IF(ISBLANK(Table1[[#This Row],[Date]]),"",DATE(Table1[[#This Row],[Date_Year]],Table1[[#This Row],[Date_Month]],1))</f>
        <v>44378</v>
      </c>
    </row>
    <row r="747" spans="2:20" ht="15.75">
      <c r="B747" s="154">
        <v>44390</v>
      </c>
      <c r="C747" s="119" t="s">
        <v>678</v>
      </c>
      <c r="D747" s="119"/>
      <c r="E747" s="119"/>
      <c r="F747" s="155">
        <v>156.77000000000001</v>
      </c>
      <c r="G747" s="133" t="str">
        <f>_xlfn.XLOOKUP(Table1[[#This Row],[Account_ID]], Accounts[ID], Accounts[Account nickname], "Unknown")</f>
        <v>WF</v>
      </c>
      <c r="H747" s="134" t="str">
        <f>_xlfn.XLOOKUP(Table1[[#This Row],[Account_ID]], Accounts[ID], Accounts[Account'#], "Unknown")</f>
        <v>4636</v>
      </c>
      <c r="I747" s="135" t="str">
        <f>_xlfn.XLOOKUP(_xlfn.XLOOKUP(Table1[[#This Row],[Account]],Accounts[Account nickname],Accounts[Institution ID]),Institutions[ID],Institutions[Institution nickname],"Unknown")</f>
        <v>Wells Fargo</v>
      </c>
      <c r="J747" s="136" t="s">
        <v>1077</v>
      </c>
      <c r="K747" s="137" t="s">
        <v>808</v>
      </c>
      <c r="L747" s="137" t="s">
        <v>807</v>
      </c>
      <c r="M74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4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47" s="138" t="str" cm="1">
        <f t="array" ref="O747">IFERROR(INDEX(CategoriesTable[Category type],MATCH(Table1[[#This Row],[Category]],CategoriesTable[Category name],0),0),"")</f>
        <v/>
      </c>
      <c r="P747" s="138">
        <v>13</v>
      </c>
      <c r="Q747" s="138">
        <f>MONTH(Table1[[#This Row],[Date]])</f>
        <v>7</v>
      </c>
      <c r="R747" s="138">
        <v>2021</v>
      </c>
      <c r="S747" s="139">
        <f>IF(ISBLANK(Table1[[#This Row],[Date]]),"",Table1[[#This Row],[Date]]-WEEKDAY(Table1[[#This Row],[Date]],2)+1)</f>
        <v>44389</v>
      </c>
      <c r="T747" s="140">
        <f>IF(ISBLANK(Table1[[#This Row],[Date]]),"",DATE(Table1[[#This Row],[Date_Year]],Table1[[#This Row],[Date_Month]],1))</f>
        <v>44378</v>
      </c>
    </row>
    <row r="748" spans="2:20" ht="15.75">
      <c r="B748" s="154">
        <v>44390</v>
      </c>
      <c r="C748" s="119" t="s">
        <v>2108</v>
      </c>
      <c r="D748" s="119"/>
      <c r="E748" s="119"/>
      <c r="F748" s="155">
        <v>-67.22</v>
      </c>
      <c r="G748" s="133" t="str">
        <f>_xlfn.XLOOKUP(Table1[[#This Row],[Account_ID]], Accounts[ID], Accounts[Account nickname], "Unknown")</f>
        <v>Discover</v>
      </c>
      <c r="H748" s="134" t="str">
        <f>_xlfn.XLOOKUP(Table1[[#This Row],[Account_ID]], Accounts[ID], Accounts[Account'#], "Unknown")</f>
        <v>4618</v>
      </c>
      <c r="I748" s="135" t="str">
        <f>_xlfn.XLOOKUP(_xlfn.XLOOKUP(Table1[[#This Row],[Account]],Accounts[Account nickname],Accounts[Institution ID]),Institutions[ID],Institutions[Institution nickname],"Unknown")</f>
        <v>Discover</v>
      </c>
      <c r="J748" s="136" t="s">
        <v>2109</v>
      </c>
      <c r="K748" s="137" t="s">
        <v>843</v>
      </c>
      <c r="L748" s="137" t="s">
        <v>841</v>
      </c>
      <c r="M74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4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48" s="138" t="str" cm="1">
        <f t="array" ref="O748">IFERROR(INDEX(CategoriesTable[Category type],MATCH(Table1[[#This Row],[Category]],CategoriesTable[Category name],0),0),"")</f>
        <v/>
      </c>
      <c r="P748" s="138">
        <v>13</v>
      </c>
      <c r="Q748" s="138">
        <f>MONTH(Table1[[#This Row],[Date]])</f>
        <v>7</v>
      </c>
      <c r="R748" s="138">
        <v>2021</v>
      </c>
      <c r="S748" s="139">
        <f>IF(ISBLANK(Table1[[#This Row],[Date]]),"",Table1[[#This Row],[Date]]-WEEKDAY(Table1[[#This Row],[Date]],2)+1)</f>
        <v>44389</v>
      </c>
      <c r="T748" s="140">
        <f>IF(ISBLANK(Table1[[#This Row],[Date]]),"",DATE(Table1[[#This Row],[Date_Year]],Table1[[#This Row],[Date_Month]],1))</f>
        <v>44378</v>
      </c>
    </row>
    <row r="749" spans="2:20" ht="15.75">
      <c r="B749" s="154">
        <v>44389</v>
      </c>
      <c r="C749" s="119" t="s">
        <v>712</v>
      </c>
      <c r="D749" s="119"/>
      <c r="E749" s="119"/>
      <c r="F749" s="155">
        <v>-20</v>
      </c>
      <c r="G749" s="133" t="str">
        <f>_xlfn.XLOOKUP(Table1[[#This Row],[Account_ID]], Accounts[ID], Accounts[Account nickname], "Unknown")</f>
        <v>Discover</v>
      </c>
      <c r="H749" s="134" t="str">
        <f>_xlfn.XLOOKUP(Table1[[#This Row],[Account_ID]], Accounts[ID], Accounts[Account'#], "Unknown")</f>
        <v>4618</v>
      </c>
      <c r="I749" s="135" t="str">
        <f>_xlfn.XLOOKUP(_xlfn.XLOOKUP(Table1[[#This Row],[Account]],Accounts[Account nickname],Accounts[Institution ID]),Institutions[ID],Institutions[Institution nickname],"Unknown")</f>
        <v>Discover</v>
      </c>
      <c r="J749" s="136" t="s">
        <v>2115</v>
      </c>
      <c r="K749" s="137" t="s">
        <v>843</v>
      </c>
      <c r="L749" s="137" t="s">
        <v>841</v>
      </c>
      <c r="M74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4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49" s="138" t="str" cm="1">
        <f t="array" ref="O749">IFERROR(INDEX(CategoriesTable[Category type],MATCH(Table1[[#This Row],[Category]],CategoriesTable[Category name],0),0),"")</f>
        <v/>
      </c>
      <c r="P749" s="138">
        <v>12</v>
      </c>
      <c r="Q749" s="138">
        <f>MONTH(Table1[[#This Row],[Date]])</f>
        <v>7</v>
      </c>
      <c r="R749" s="138">
        <v>2021</v>
      </c>
      <c r="S749" s="139">
        <f>IF(ISBLANK(Table1[[#This Row],[Date]]),"",Table1[[#This Row],[Date]]-WEEKDAY(Table1[[#This Row],[Date]],2)+1)</f>
        <v>44389</v>
      </c>
      <c r="T749" s="140">
        <f>IF(ISBLANK(Table1[[#This Row],[Date]]),"",DATE(Table1[[#This Row],[Date_Year]],Table1[[#This Row],[Date_Month]],1))</f>
        <v>44378</v>
      </c>
    </row>
    <row r="750" spans="2:20" ht="15.75">
      <c r="B750" s="154">
        <v>44389</v>
      </c>
      <c r="C750" s="119" t="s">
        <v>712</v>
      </c>
      <c r="D750" s="119"/>
      <c r="E750" s="119"/>
      <c r="F750" s="155">
        <v>-7.34</v>
      </c>
      <c r="G750" s="133" t="str">
        <f>_xlfn.XLOOKUP(Table1[[#This Row],[Account_ID]], Accounts[ID], Accounts[Account nickname], "Unknown")</f>
        <v>Discover</v>
      </c>
      <c r="H750" s="134" t="str">
        <f>_xlfn.XLOOKUP(Table1[[#This Row],[Account_ID]], Accounts[ID], Accounts[Account'#], "Unknown")</f>
        <v>4618</v>
      </c>
      <c r="I750" s="135" t="str">
        <f>_xlfn.XLOOKUP(_xlfn.XLOOKUP(Table1[[#This Row],[Account]],Accounts[Account nickname],Accounts[Institution ID]),Institutions[ID],Institutions[Institution nickname],"Unknown")</f>
        <v>Discover</v>
      </c>
      <c r="J750" s="136" t="s">
        <v>2113</v>
      </c>
      <c r="K750" s="137" t="s">
        <v>843</v>
      </c>
      <c r="L750" s="137" t="s">
        <v>841</v>
      </c>
      <c r="M75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5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50" s="138" t="str" cm="1">
        <f t="array" ref="O750">IFERROR(INDEX(CategoriesTable[Category type],MATCH(Table1[[#This Row],[Category]],CategoriesTable[Category name],0),0),"")</f>
        <v/>
      </c>
      <c r="P750" s="138">
        <v>12</v>
      </c>
      <c r="Q750" s="138">
        <f>MONTH(Table1[[#This Row],[Date]])</f>
        <v>7</v>
      </c>
      <c r="R750" s="138">
        <v>2021</v>
      </c>
      <c r="S750" s="139">
        <f>IF(ISBLANK(Table1[[#This Row],[Date]]),"",Table1[[#This Row],[Date]]-WEEKDAY(Table1[[#This Row],[Date]],2)+1)</f>
        <v>44389</v>
      </c>
      <c r="T750" s="140">
        <f>IF(ISBLANK(Table1[[#This Row],[Date]]),"",DATE(Table1[[#This Row],[Date_Year]],Table1[[#This Row],[Date_Month]],1))</f>
        <v>44378</v>
      </c>
    </row>
    <row r="751" spans="2:20" ht="15.75">
      <c r="B751" s="154">
        <v>44389</v>
      </c>
      <c r="C751" s="119" t="s">
        <v>742</v>
      </c>
      <c r="D751" s="119"/>
      <c r="E751" s="119"/>
      <c r="F751" s="155">
        <v>-411.99</v>
      </c>
      <c r="G751" s="133" t="str">
        <f>_xlfn.XLOOKUP(Table1[[#This Row],[Account_ID]], Accounts[ID], Accounts[Account nickname], "Unknown")</f>
        <v>WF</v>
      </c>
      <c r="H751" s="134" t="str">
        <f>_xlfn.XLOOKUP(Table1[[#This Row],[Account_ID]], Accounts[ID], Accounts[Account'#], "Unknown")</f>
        <v>4636</v>
      </c>
      <c r="I751" s="135" t="str">
        <f>_xlfn.XLOOKUP(_xlfn.XLOOKUP(Table1[[#This Row],[Account]],Accounts[Account nickname],Accounts[Institution ID]),Institutions[ID],Institutions[Institution nickname],"Unknown")</f>
        <v>Wells Fargo</v>
      </c>
      <c r="J751" s="136" t="s">
        <v>1078</v>
      </c>
      <c r="K751" s="137" t="s">
        <v>808</v>
      </c>
      <c r="L751" s="137" t="s">
        <v>807</v>
      </c>
      <c r="M75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5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51" s="138" t="str" cm="1">
        <f t="array" ref="O751">IFERROR(INDEX(CategoriesTable[Category type],MATCH(Table1[[#This Row],[Category]],CategoriesTable[Category name],0),0),"")</f>
        <v/>
      </c>
      <c r="P751" s="138">
        <v>12</v>
      </c>
      <c r="Q751" s="138">
        <f>MONTH(Table1[[#This Row],[Date]])</f>
        <v>7</v>
      </c>
      <c r="R751" s="138">
        <v>2021</v>
      </c>
      <c r="S751" s="139">
        <f>IF(ISBLANK(Table1[[#This Row],[Date]]),"",Table1[[#This Row],[Date]]-WEEKDAY(Table1[[#This Row],[Date]],2)+1)</f>
        <v>44389</v>
      </c>
      <c r="T751" s="140">
        <f>IF(ISBLANK(Table1[[#This Row],[Date]]),"",DATE(Table1[[#This Row],[Date_Year]],Table1[[#This Row],[Date_Month]],1))</f>
        <v>44378</v>
      </c>
    </row>
    <row r="752" spans="2:20" ht="15.75">
      <c r="B752" s="154">
        <v>44389</v>
      </c>
      <c r="C752" s="119" t="s">
        <v>712</v>
      </c>
      <c r="D752" s="119"/>
      <c r="E752" s="119"/>
      <c r="F752" s="155">
        <v>-16.96</v>
      </c>
      <c r="G752" s="133" t="str">
        <f>_xlfn.XLOOKUP(Table1[[#This Row],[Account_ID]], Accounts[ID], Accounts[Account nickname], "Unknown")</f>
        <v>Discover</v>
      </c>
      <c r="H752" s="134" t="str">
        <f>_xlfn.XLOOKUP(Table1[[#This Row],[Account_ID]], Accounts[ID], Accounts[Account'#], "Unknown")</f>
        <v>4618</v>
      </c>
      <c r="I752" s="135" t="str">
        <f>_xlfn.XLOOKUP(_xlfn.XLOOKUP(Table1[[#This Row],[Account]],Accounts[Account nickname],Accounts[Institution ID]),Institutions[ID],Institutions[Institution nickname],"Unknown")</f>
        <v>Discover</v>
      </c>
      <c r="J752" s="136" t="s">
        <v>2114</v>
      </c>
      <c r="K752" s="137" t="s">
        <v>843</v>
      </c>
      <c r="L752" s="137" t="s">
        <v>841</v>
      </c>
      <c r="M75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5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52" s="138" t="str" cm="1">
        <f t="array" ref="O752">IFERROR(INDEX(CategoriesTable[Category type],MATCH(Table1[[#This Row],[Category]],CategoriesTable[Category name],0),0),"")</f>
        <v/>
      </c>
      <c r="P752" s="138">
        <v>12</v>
      </c>
      <c r="Q752" s="138">
        <f>MONTH(Table1[[#This Row],[Date]])</f>
        <v>7</v>
      </c>
      <c r="R752" s="138">
        <v>2021</v>
      </c>
      <c r="S752" s="139">
        <f>IF(ISBLANK(Table1[[#This Row],[Date]]),"",Table1[[#This Row],[Date]]-WEEKDAY(Table1[[#This Row],[Date]],2)+1)</f>
        <v>44389</v>
      </c>
      <c r="T752" s="140">
        <f>IF(ISBLANK(Table1[[#This Row],[Date]]),"",DATE(Table1[[#This Row],[Date_Year]],Table1[[#This Row],[Date_Month]],1))</f>
        <v>44378</v>
      </c>
    </row>
    <row r="753" spans="2:20" ht="15.75">
      <c r="B753" s="154">
        <v>44389</v>
      </c>
      <c r="C753" s="119" t="s">
        <v>2111</v>
      </c>
      <c r="D753" s="119"/>
      <c r="E753" s="119"/>
      <c r="F753" s="155">
        <v>-6.67</v>
      </c>
      <c r="G753" s="133" t="str">
        <f>_xlfn.XLOOKUP(Table1[[#This Row],[Account_ID]], Accounts[ID], Accounts[Account nickname], "Unknown")</f>
        <v>Discover</v>
      </c>
      <c r="H753" s="134" t="str">
        <f>_xlfn.XLOOKUP(Table1[[#This Row],[Account_ID]], Accounts[ID], Accounts[Account'#], "Unknown")</f>
        <v>4618</v>
      </c>
      <c r="I753" s="135" t="str">
        <f>_xlfn.XLOOKUP(_xlfn.XLOOKUP(Table1[[#This Row],[Account]],Accounts[Account nickname],Accounts[Institution ID]),Institutions[ID],Institutions[Institution nickname],"Unknown")</f>
        <v>Discover</v>
      </c>
      <c r="J753" s="136" t="s">
        <v>2112</v>
      </c>
      <c r="K753" s="137" t="s">
        <v>843</v>
      </c>
      <c r="L753" s="137" t="s">
        <v>841</v>
      </c>
      <c r="M75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5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53" s="138" t="str" cm="1">
        <f t="array" ref="O753">IFERROR(INDEX(CategoriesTable[Category type],MATCH(Table1[[#This Row],[Category]],CategoriesTable[Category name],0),0),"")</f>
        <v/>
      </c>
      <c r="P753" s="138">
        <v>12</v>
      </c>
      <c r="Q753" s="138">
        <f>MONTH(Table1[[#This Row],[Date]])</f>
        <v>7</v>
      </c>
      <c r="R753" s="138">
        <v>2021</v>
      </c>
      <c r="S753" s="139">
        <f>IF(ISBLANK(Table1[[#This Row],[Date]]),"",Table1[[#This Row],[Date]]-WEEKDAY(Table1[[#This Row],[Date]],2)+1)</f>
        <v>44389</v>
      </c>
      <c r="T753" s="140">
        <f>IF(ISBLANK(Table1[[#This Row],[Date]]),"",DATE(Table1[[#This Row],[Date_Year]],Table1[[#This Row],[Date_Month]],1))</f>
        <v>44378</v>
      </c>
    </row>
    <row r="754" spans="2:20" ht="15.75">
      <c r="B754" s="154">
        <v>44389</v>
      </c>
      <c r="C754" s="119" t="s">
        <v>1500</v>
      </c>
      <c r="D754" s="119"/>
      <c r="E754" s="119"/>
      <c r="F754" s="155">
        <v>-1.99</v>
      </c>
      <c r="G754" s="133" t="str">
        <f>_xlfn.XLOOKUP(Table1[[#This Row],[Account_ID]], Accounts[ID], Accounts[Account nickname], "Unknown")</f>
        <v>Discover</v>
      </c>
      <c r="H754" s="134" t="str">
        <f>_xlfn.XLOOKUP(Table1[[#This Row],[Account_ID]], Accounts[ID], Accounts[Account'#], "Unknown")</f>
        <v>4618</v>
      </c>
      <c r="I754" s="135" t="str">
        <f>_xlfn.XLOOKUP(_xlfn.XLOOKUP(Table1[[#This Row],[Account]],Accounts[Account nickname],Accounts[Institution ID]),Institutions[ID],Institutions[Institution nickname],"Unknown")</f>
        <v>Discover</v>
      </c>
      <c r="J754" s="136" t="s">
        <v>2116</v>
      </c>
      <c r="K754" s="137" t="s">
        <v>843</v>
      </c>
      <c r="L754" s="137" t="s">
        <v>841</v>
      </c>
      <c r="M75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5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54" s="138" t="str" cm="1">
        <f t="array" ref="O754">IFERROR(INDEX(CategoriesTable[Category type],MATCH(Table1[[#This Row],[Category]],CategoriesTable[Category name],0),0),"")</f>
        <v/>
      </c>
      <c r="P754" s="138">
        <v>12</v>
      </c>
      <c r="Q754" s="138">
        <f>MONTH(Table1[[#This Row],[Date]])</f>
        <v>7</v>
      </c>
      <c r="R754" s="138">
        <v>2021</v>
      </c>
      <c r="S754" s="139">
        <f>IF(ISBLANK(Table1[[#This Row],[Date]]),"",Table1[[#This Row],[Date]]-WEEKDAY(Table1[[#This Row],[Date]],2)+1)</f>
        <v>44389</v>
      </c>
      <c r="T754" s="140">
        <f>IF(ISBLANK(Table1[[#This Row],[Date]]),"",DATE(Table1[[#This Row],[Date_Year]],Table1[[#This Row],[Date_Month]],1))</f>
        <v>44378</v>
      </c>
    </row>
    <row r="755" spans="2:20" ht="15.75">
      <c r="B755" s="154">
        <v>44388</v>
      </c>
      <c r="C755" s="119" t="s">
        <v>2117</v>
      </c>
      <c r="D755" s="119"/>
      <c r="E755" s="119"/>
      <c r="F755" s="155">
        <v>-16.670000000000002</v>
      </c>
      <c r="G755" s="133" t="str">
        <f>_xlfn.XLOOKUP(Table1[[#This Row],[Account_ID]], Accounts[ID], Accounts[Account nickname], "Unknown")</f>
        <v>Discover</v>
      </c>
      <c r="H755" s="134" t="str">
        <f>_xlfn.XLOOKUP(Table1[[#This Row],[Account_ID]], Accounts[ID], Accounts[Account'#], "Unknown")</f>
        <v>4618</v>
      </c>
      <c r="I755" s="135" t="str">
        <f>_xlfn.XLOOKUP(_xlfn.XLOOKUP(Table1[[#This Row],[Account]],Accounts[Account nickname],Accounts[Institution ID]),Institutions[ID],Institutions[Institution nickname],"Unknown")</f>
        <v>Discover</v>
      </c>
      <c r="J755" s="136" t="s">
        <v>2118</v>
      </c>
      <c r="K755" s="137" t="s">
        <v>843</v>
      </c>
      <c r="L755" s="137" t="s">
        <v>841</v>
      </c>
      <c r="M75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5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55" s="138" t="str" cm="1">
        <f t="array" ref="O755">IFERROR(INDEX(CategoriesTable[Category type],MATCH(Table1[[#This Row],[Category]],CategoriesTable[Category name],0),0),"")</f>
        <v/>
      </c>
      <c r="P755" s="138">
        <v>11</v>
      </c>
      <c r="Q755" s="138">
        <f>MONTH(Table1[[#This Row],[Date]])</f>
        <v>7</v>
      </c>
      <c r="R755" s="138">
        <v>2021</v>
      </c>
      <c r="S755" s="139">
        <f>IF(ISBLANK(Table1[[#This Row],[Date]]),"",Table1[[#This Row],[Date]]-WEEKDAY(Table1[[#This Row],[Date]],2)+1)</f>
        <v>44382</v>
      </c>
      <c r="T755" s="140">
        <f>IF(ISBLANK(Table1[[#This Row],[Date]]),"",DATE(Table1[[#This Row],[Date_Year]],Table1[[#This Row],[Date_Month]],1))</f>
        <v>44378</v>
      </c>
    </row>
    <row r="756" spans="2:20" ht="15.75">
      <c r="B756" s="154">
        <v>44387</v>
      </c>
      <c r="C756" s="119" t="s">
        <v>1980</v>
      </c>
      <c r="D756" s="119"/>
      <c r="E756" s="119"/>
      <c r="F756" s="155">
        <v>-8.7899999999999991</v>
      </c>
      <c r="G756" s="133" t="str">
        <f>_xlfn.XLOOKUP(Table1[[#This Row],[Account_ID]], Accounts[ID], Accounts[Account nickname], "Unknown")</f>
        <v>Discover</v>
      </c>
      <c r="H756" s="134" t="str">
        <f>_xlfn.XLOOKUP(Table1[[#This Row],[Account_ID]], Accounts[ID], Accounts[Account'#], "Unknown")</f>
        <v>4618</v>
      </c>
      <c r="I756" s="135" t="str">
        <f>_xlfn.XLOOKUP(_xlfn.XLOOKUP(Table1[[#This Row],[Account]],Accounts[Account nickname],Accounts[Institution ID]),Institutions[ID],Institutions[Institution nickname],"Unknown")</f>
        <v>Discover</v>
      </c>
      <c r="J756" s="136" t="s">
        <v>2125</v>
      </c>
      <c r="K756" s="137" t="s">
        <v>843</v>
      </c>
      <c r="L756" s="137" t="s">
        <v>841</v>
      </c>
      <c r="M75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5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56" s="138" t="str" cm="1">
        <f t="array" ref="O756">IFERROR(INDEX(CategoriesTable[Category type],MATCH(Table1[[#This Row],[Category]],CategoriesTable[Category name],0),0),"")</f>
        <v/>
      </c>
      <c r="P756" s="138">
        <v>10</v>
      </c>
      <c r="Q756" s="138">
        <f>MONTH(Table1[[#This Row],[Date]])</f>
        <v>7</v>
      </c>
      <c r="R756" s="138">
        <v>2021</v>
      </c>
      <c r="S756" s="139">
        <f>IF(ISBLANK(Table1[[#This Row],[Date]]),"",Table1[[#This Row],[Date]]-WEEKDAY(Table1[[#This Row],[Date]],2)+1)</f>
        <v>44382</v>
      </c>
      <c r="T756" s="140">
        <f>IF(ISBLANK(Table1[[#This Row],[Date]]),"",DATE(Table1[[#This Row],[Date_Year]],Table1[[#This Row],[Date_Month]],1))</f>
        <v>44378</v>
      </c>
    </row>
    <row r="757" spans="2:20" ht="15.75">
      <c r="B757" s="154">
        <v>44387</v>
      </c>
      <c r="C757" s="119" t="s">
        <v>2122</v>
      </c>
      <c r="D757" s="119"/>
      <c r="E757" s="119"/>
      <c r="F757" s="155">
        <v>-65.150000000000006</v>
      </c>
      <c r="G757" s="133" t="str">
        <f>_xlfn.XLOOKUP(Table1[[#This Row],[Account_ID]], Accounts[ID], Accounts[Account nickname], "Unknown")</f>
        <v>Discover</v>
      </c>
      <c r="H757" s="134" t="str">
        <f>_xlfn.XLOOKUP(Table1[[#This Row],[Account_ID]], Accounts[ID], Accounts[Account'#], "Unknown")</f>
        <v>4618</v>
      </c>
      <c r="I757" s="135" t="str">
        <f>_xlfn.XLOOKUP(_xlfn.XLOOKUP(Table1[[#This Row],[Account]],Accounts[Account nickname],Accounts[Institution ID]),Institutions[ID],Institutions[Institution nickname],"Unknown")</f>
        <v>Discover</v>
      </c>
      <c r="J757" s="136" t="s">
        <v>2123</v>
      </c>
      <c r="K757" s="137" t="s">
        <v>843</v>
      </c>
      <c r="L757" s="137" t="s">
        <v>841</v>
      </c>
      <c r="M75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5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57" s="138" t="str" cm="1">
        <f t="array" ref="O757">IFERROR(INDEX(CategoriesTable[Category type],MATCH(Table1[[#This Row],[Category]],CategoriesTable[Category name],0),0),"")</f>
        <v/>
      </c>
      <c r="P757" s="138">
        <v>10</v>
      </c>
      <c r="Q757" s="138">
        <f>MONTH(Table1[[#This Row],[Date]])</f>
        <v>7</v>
      </c>
      <c r="R757" s="138">
        <v>2021</v>
      </c>
      <c r="S757" s="139">
        <f>IF(ISBLANK(Table1[[#This Row],[Date]]),"",Table1[[#This Row],[Date]]-WEEKDAY(Table1[[#This Row],[Date]],2)+1)</f>
        <v>44382</v>
      </c>
      <c r="T757" s="140">
        <f>IF(ISBLANK(Table1[[#This Row],[Date]]),"",DATE(Table1[[#This Row],[Date_Year]],Table1[[#This Row],[Date_Month]],1))</f>
        <v>44378</v>
      </c>
    </row>
    <row r="758" spans="2:20" ht="15.75">
      <c r="B758" s="154">
        <v>44387</v>
      </c>
      <c r="C758" s="119" t="s">
        <v>910</v>
      </c>
      <c r="D758" s="119"/>
      <c r="E758" s="119"/>
      <c r="F758" s="155">
        <v>-15.89</v>
      </c>
      <c r="G758" s="133" t="str">
        <f>_xlfn.XLOOKUP(Table1[[#This Row],[Account_ID]], Accounts[ID], Accounts[Account nickname], "Unknown")</f>
        <v>Discover</v>
      </c>
      <c r="H758" s="134" t="str">
        <f>_xlfn.XLOOKUP(Table1[[#This Row],[Account_ID]], Accounts[ID], Accounts[Account'#], "Unknown")</f>
        <v>4618</v>
      </c>
      <c r="I758" s="135" t="str">
        <f>_xlfn.XLOOKUP(_xlfn.XLOOKUP(Table1[[#This Row],[Account]],Accounts[Account nickname],Accounts[Institution ID]),Institutions[ID],Institutions[Institution nickname],"Unknown")</f>
        <v>Discover</v>
      </c>
      <c r="J758" s="136" t="s">
        <v>2119</v>
      </c>
      <c r="K758" s="137" t="s">
        <v>843</v>
      </c>
      <c r="L758" s="137" t="s">
        <v>841</v>
      </c>
      <c r="M75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5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58" s="138" t="str" cm="1">
        <f t="array" ref="O758">IFERROR(INDEX(CategoriesTable[Category type],MATCH(Table1[[#This Row],[Category]],CategoriesTable[Category name],0),0),"")</f>
        <v/>
      </c>
      <c r="P758" s="138">
        <v>10</v>
      </c>
      <c r="Q758" s="138">
        <f>MONTH(Table1[[#This Row],[Date]])</f>
        <v>7</v>
      </c>
      <c r="R758" s="138">
        <v>2021</v>
      </c>
      <c r="S758" s="139">
        <f>IF(ISBLANK(Table1[[#This Row],[Date]]),"",Table1[[#This Row],[Date]]-WEEKDAY(Table1[[#This Row],[Date]],2)+1)</f>
        <v>44382</v>
      </c>
      <c r="T758" s="140">
        <f>IF(ISBLANK(Table1[[#This Row],[Date]]),"",DATE(Table1[[#This Row],[Date_Year]],Table1[[#This Row],[Date_Month]],1))</f>
        <v>44378</v>
      </c>
    </row>
    <row r="759" spans="2:20" ht="15.75">
      <c r="B759" s="154">
        <v>44387</v>
      </c>
      <c r="C759" s="119" t="s">
        <v>700</v>
      </c>
      <c r="D759" s="119"/>
      <c r="E759" s="119"/>
      <c r="F759" s="155">
        <v>-86.25</v>
      </c>
      <c r="G759" s="133" t="str">
        <f>_xlfn.XLOOKUP(Table1[[#This Row],[Account_ID]], Accounts[ID], Accounts[Account nickname], "Unknown")</f>
        <v>Discover</v>
      </c>
      <c r="H759" s="134" t="str">
        <f>_xlfn.XLOOKUP(Table1[[#This Row],[Account_ID]], Accounts[ID], Accounts[Account'#], "Unknown")</f>
        <v>4618</v>
      </c>
      <c r="I759" s="135" t="str">
        <f>_xlfn.XLOOKUP(_xlfn.XLOOKUP(Table1[[#This Row],[Account]],Accounts[Account nickname],Accounts[Institution ID]),Institutions[ID],Institutions[Institution nickname],"Unknown")</f>
        <v>Discover</v>
      </c>
      <c r="J759" s="136" t="s">
        <v>2124</v>
      </c>
      <c r="K759" s="137" t="s">
        <v>843</v>
      </c>
      <c r="L759" s="137" t="s">
        <v>841</v>
      </c>
      <c r="M75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5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59" s="138" t="str" cm="1">
        <f t="array" ref="O759">IFERROR(INDEX(CategoriesTable[Category type],MATCH(Table1[[#This Row],[Category]],CategoriesTable[Category name],0),0),"")</f>
        <v/>
      </c>
      <c r="P759" s="138">
        <v>10</v>
      </c>
      <c r="Q759" s="138">
        <f>MONTH(Table1[[#This Row],[Date]])</f>
        <v>7</v>
      </c>
      <c r="R759" s="138">
        <v>2021</v>
      </c>
      <c r="S759" s="139">
        <f>IF(ISBLANK(Table1[[#This Row],[Date]]),"",Table1[[#This Row],[Date]]-WEEKDAY(Table1[[#This Row],[Date]],2)+1)</f>
        <v>44382</v>
      </c>
      <c r="T759" s="140">
        <f>IF(ISBLANK(Table1[[#This Row],[Date]]),"",DATE(Table1[[#This Row],[Date_Year]],Table1[[#This Row],[Date_Month]],1))</f>
        <v>44378</v>
      </c>
    </row>
    <row r="760" spans="2:20" ht="15.75">
      <c r="B760" s="154">
        <v>44387</v>
      </c>
      <c r="C760" s="119" t="s">
        <v>2120</v>
      </c>
      <c r="D760" s="119"/>
      <c r="E760" s="119"/>
      <c r="F760" s="155">
        <v>-401.51</v>
      </c>
      <c r="G760" s="133" t="str">
        <f>_xlfn.XLOOKUP(Table1[[#This Row],[Account_ID]], Accounts[ID], Accounts[Account nickname], "Unknown")</f>
        <v>Discover</v>
      </c>
      <c r="H760" s="134" t="str">
        <f>_xlfn.XLOOKUP(Table1[[#This Row],[Account_ID]], Accounts[ID], Accounts[Account'#], "Unknown")</f>
        <v>4618</v>
      </c>
      <c r="I760" s="135" t="str">
        <f>_xlfn.XLOOKUP(_xlfn.XLOOKUP(Table1[[#This Row],[Account]],Accounts[Account nickname],Accounts[Institution ID]),Institutions[ID],Institutions[Institution nickname],"Unknown")</f>
        <v>Discover</v>
      </c>
      <c r="J760" s="136" t="s">
        <v>2121</v>
      </c>
      <c r="K760" s="137" t="s">
        <v>843</v>
      </c>
      <c r="L760" s="137" t="s">
        <v>841</v>
      </c>
      <c r="M76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6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60" s="138" t="str" cm="1">
        <f t="array" ref="O760">IFERROR(INDEX(CategoriesTable[Category type],MATCH(Table1[[#This Row],[Category]],CategoriesTable[Category name],0),0),"")</f>
        <v/>
      </c>
      <c r="P760" s="138">
        <v>10</v>
      </c>
      <c r="Q760" s="138">
        <f>MONTH(Table1[[#This Row],[Date]])</f>
        <v>7</v>
      </c>
      <c r="R760" s="138">
        <v>2021</v>
      </c>
      <c r="S760" s="139">
        <f>IF(ISBLANK(Table1[[#This Row],[Date]]),"",Table1[[#This Row],[Date]]-WEEKDAY(Table1[[#This Row],[Date]],2)+1)</f>
        <v>44382</v>
      </c>
      <c r="T760" s="140">
        <f>IF(ISBLANK(Table1[[#This Row],[Date]]),"",DATE(Table1[[#This Row],[Date_Year]],Table1[[#This Row],[Date_Month]],1))</f>
        <v>44378</v>
      </c>
    </row>
    <row r="761" spans="2:20" ht="15.75">
      <c r="B761" s="154">
        <v>44386</v>
      </c>
      <c r="C761" s="119" t="s">
        <v>743</v>
      </c>
      <c r="D761" s="119"/>
      <c r="E761" s="119"/>
      <c r="F761" s="155">
        <v>-143.24</v>
      </c>
      <c r="G761" s="133" t="str">
        <f>_xlfn.XLOOKUP(Table1[[#This Row],[Account_ID]], Accounts[ID], Accounts[Account nickname], "Unknown")</f>
        <v>WF</v>
      </c>
      <c r="H761" s="134" t="str">
        <f>_xlfn.XLOOKUP(Table1[[#This Row],[Account_ID]], Accounts[ID], Accounts[Account'#], "Unknown")</f>
        <v>4636</v>
      </c>
      <c r="I761" s="135" t="str">
        <f>_xlfn.XLOOKUP(_xlfn.XLOOKUP(Table1[[#This Row],[Account]],Accounts[Account nickname],Accounts[Institution ID]),Institutions[ID],Institutions[Institution nickname],"Unknown")</f>
        <v>Wells Fargo</v>
      </c>
      <c r="J761" s="136" t="s">
        <v>1079</v>
      </c>
      <c r="K761" s="137" t="s">
        <v>808</v>
      </c>
      <c r="L761" s="137" t="s">
        <v>807</v>
      </c>
      <c r="M76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6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61" s="138" t="str" cm="1">
        <f t="array" ref="O761">IFERROR(INDEX(CategoriesTable[Category type],MATCH(Table1[[#This Row],[Category]],CategoriesTable[Category name],0),0),"")</f>
        <v/>
      </c>
      <c r="P761" s="138">
        <v>9</v>
      </c>
      <c r="Q761" s="138">
        <f>MONTH(Table1[[#This Row],[Date]])</f>
        <v>7</v>
      </c>
      <c r="R761" s="138">
        <v>2021</v>
      </c>
      <c r="S761" s="139">
        <f>IF(ISBLANK(Table1[[#This Row],[Date]]),"",Table1[[#This Row],[Date]]-WEEKDAY(Table1[[#This Row],[Date]],2)+1)</f>
        <v>44382</v>
      </c>
      <c r="T761" s="140">
        <f>IF(ISBLANK(Table1[[#This Row],[Date]]),"",DATE(Table1[[#This Row],[Date_Year]],Table1[[#This Row],[Date_Month]],1))</f>
        <v>44378</v>
      </c>
    </row>
    <row r="762" spans="2:20" ht="15.75">
      <c r="B762" s="154">
        <v>44386</v>
      </c>
      <c r="C762" s="119" t="s">
        <v>1623</v>
      </c>
      <c r="D762" s="119"/>
      <c r="E762" s="119"/>
      <c r="F762" s="155">
        <v>-19.989999999999998</v>
      </c>
      <c r="G762" s="133" t="str">
        <f>_xlfn.XLOOKUP(Table1[[#This Row],[Account_ID]], Accounts[ID], Accounts[Account nickname], "Unknown")</f>
        <v>Discover</v>
      </c>
      <c r="H762" s="134" t="str">
        <f>_xlfn.XLOOKUP(Table1[[#This Row],[Account_ID]], Accounts[ID], Accounts[Account'#], "Unknown")</f>
        <v>4618</v>
      </c>
      <c r="I762" s="135" t="str">
        <f>_xlfn.XLOOKUP(_xlfn.XLOOKUP(Table1[[#This Row],[Account]],Accounts[Account nickname],Accounts[Institution ID]),Institutions[ID],Institutions[Institution nickname],"Unknown")</f>
        <v>Discover</v>
      </c>
      <c r="J762" s="136" t="s">
        <v>2126</v>
      </c>
      <c r="K762" s="137" t="s">
        <v>843</v>
      </c>
      <c r="L762" s="137" t="s">
        <v>841</v>
      </c>
      <c r="M76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6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62" s="138" t="str" cm="1">
        <f t="array" ref="O762">IFERROR(INDEX(CategoriesTable[Category type],MATCH(Table1[[#This Row],[Category]],CategoriesTable[Category name],0),0),"")</f>
        <v/>
      </c>
      <c r="P762" s="138">
        <v>9</v>
      </c>
      <c r="Q762" s="138">
        <f>MONTH(Table1[[#This Row],[Date]])</f>
        <v>7</v>
      </c>
      <c r="R762" s="138">
        <v>2021</v>
      </c>
      <c r="S762" s="139">
        <f>IF(ISBLANK(Table1[[#This Row],[Date]]),"",Table1[[#This Row],[Date]]-WEEKDAY(Table1[[#This Row],[Date]],2)+1)</f>
        <v>44382</v>
      </c>
      <c r="T762" s="140">
        <f>IF(ISBLANK(Table1[[#This Row],[Date]]),"",DATE(Table1[[#This Row],[Date_Year]],Table1[[#This Row],[Date_Month]],1))</f>
        <v>44378</v>
      </c>
    </row>
    <row r="763" spans="2:20" ht="15.75">
      <c r="B763" s="154">
        <v>44386</v>
      </c>
      <c r="C763" s="119" t="s">
        <v>715</v>
      </c>
      <c r="D763" s="119"/>
      <c r="E763" s="119"/>
      <c r="F763" s="155">
        <v>-13.12</v>
      </c>
      <c r="G763" s="133" t="str">
        <f>_xlfn.XLOOKUP(Table1[[#This Row],[Account_ID]], Accounts[ID], Accounts[Account nickname], "Unknown")</f>
        <v>Discover</v>
      </c>
      <c r="H763" s="134" t="str">
        <f>_xlfn.XLOOKUP(Table1[[#This Row],[Account_ID]], Accounts[ID], Accounts[Account'#], "Unknown")</f>
        <v>4618</v>
      </c>
      <c r="I763" s="135" t="str">
        <f>_xlfn.XLOOKUP(_xlfn.XLOOKUP(Table1[[#This Row],[Account]],Accounts[Account nickname],Accounts[Institution ID]),Institutions[ID],Institutions[Institution nickname],"Unknown")</f>
        <v>Discover</v>
      </c>
      <c r="J763" s="136" t="s">
        <v>2128</v>
      </c>
      <c r="K763" s="137" t="s">
        <v>843</v>
      </c>
      <c r="L763" s="137" t="s">
        <v>841</v>
      </c>
      <c r="M76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6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63" s="138" t="str" cm="1">
        <f t="array" ref="O763">IFERROR(INDEX(CategoriesTable[Category type],MATCH(Table1[[#This Row],[Category]],CategoriesTable[Category name],0),0),"")</f>
        <v/>
      </c>
      <c r="P763" s="138">
        <v>9</v>
      </c>
      <c r="Q763" s="138">
        <f>MONTH(Table1[[#This Row],[Date]])</f>
        <v>7</v>
      </c>
      <c r="R763" s="138">
        <v>2021</v>
      </c>
      <c r="S763" s="139">
        <f>IF(ISBLANK(Table1[[#This Row],[Date]]),"",Table1[[#This Row],[Date]]-WEEKDAY(Table1[[#This Row],[Date]],2)+1)</f>
        <v>44382</v>
      </c>
      <c r="T763" s="140">
        <f>IF(ISBLANK(Table1[[#This Row],[Date]]),"",DATE(Table1[[#This Row],[Date_Year]],Table1[[#This Row],[Date_Month]],1))</f>
        <v>44378</v>
      </c>
    </row>
    <row r="764" spans="2:20" ht="15.75">
      <c r="B764" s="154">
        <v>44386</v>
      </c>
      <c r="C764" s="119" t="s">
        <v>798</v>
      </c>
      <c r="D764" s="119"/>
      <c r="E764" s="119"/>
      <c r="F764" s="155">
        <v>-60.82</v>
      </c>
      <c r="G764" s="133" t="str">
        <f>_xlfn.XLOOKUP(Table1[[#This Row],[Account_ID]], Accounts[ID], Accounts[Account nickname], "Unknown")</f>
        <v>Discover</v>
      </c>
      <c r="H764" s="134" t="str">
        <f>_xlfn.XLOOKUP(Table1[[#This Row],[Account_ID]], Accounts[ID], Accounts[Account'#], "Unknown")</f>
        <v>4618</v>
      </c>
      <c r="I764" s="135" t="str">
        <f>_xlfn.XLOOKUP(_xlfn.XLOOKUP(Table1[[#This Row],[Account]],Accounts[Account nickname],Accounts[Institution ID]),Institutions[ID],Institutions[Institution nickname],"Unknown")</f>
        <v>Discover</v>
      </c>
      <c r="J764" s="136" t="s">
        <v>2129</v>
      </c>
      <c r="K764" s="137" t="s">
        <v>843</v>
      </c>
      <c r="L764" s="137" t="s">
        <v>841</v>
      </c>
      <c r="M76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6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64" s="138" t="str" cm="1">
        <f t="array" ref="O764">IFERROR(INDEX(CategoriesTable[Category type],MATCH(Table1[[#This Row],[Category]],CategoriesTable[Category name],0),0),"")</f>
        <v/>
      </c>
      <c r="P764" s="138">
        <v>9</v>
      </c>
      <c r="Q764" s="138">
        <f>MONTH(Table1[[#This Row],[Date]])</f>
        <v>7</v>
      </c>
      <c r="R764" s="138">
        <v>2021</v>
      </c>
      <c r="S764" s="139">
        <f>IF(ISBLANK(Table1[[#This Row],[Date]]),"",Table1[[#This Row],[Date]]-WEEKDAY(Table1[[#This Row],[Date]],2)+1)</f>
        <v>44382</v>
      </c>
      <c r="T764" s="140">
        <f>IF(ISBLANK(Table1[[#This Row],[Date]]),"",DATE(Table1[[#This Row],[Date_Year]],Table1[[#This Row],[Date_Month]],1))</f>
        <v>44378</v>
      </c>
    </row>
    <row r="765" spans="2:20" ht="15.75">
      <c r="B765" s="154">
        <v>44386</v>
      </c>
      <c r="C765" s="119" t="s">
        <v>718</v>
      </c>
      <c r="D765" s="119"/>
      <c r="E765" s="119"/>
      <c r="F765" s="155">
        <v>-24.29</v>
      </c>
      <c r="G765" s="133" t="str">
        <f>_xlfn.XLOOKUP(Table1[[#This Row],[Account_ID]], Accounts[ID], Accounts[Account nickname], "Unknown")</f>
        <v>Discover</v>
      </c>
      <c r="H765" s="134" t="str">
        <f>_xlfn.XLOOKUP(Table1[[#This Row],[Account_ID]], Accounts[ID], Accounts[Account'#], "Unknown")</f>
        <v>4618</v>
      </c>
      <c r="I765" s="135" t="str">
        <f>_xlfn.XLOOKUP(_xlfn.XLOOKUP(Table1[[#This Row],[Account]],Accounts[Account nickname],Accounts[Institution ID]),Institutions[ID],Institutions[Institution nickname],"Unknown")</f>
        <v>Discover</v>
      </c>
      <c r="J765" s="136" t="s">
        <v>2130</v>
      </c>
      <c r="K765" s="137" t="s">
        <v>843</v>
      </c>
      <c r="L765" s="137" t="s">
        <v>841</v>
      </c>
      <c r="M76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6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65" s="138" t="str" cm="1">
        <f t="array" ref="O765">IFERROR(INDEX(CategoriesTable[Category type],MATCH(Table1[[#This Row],[Category]],CategoriesTable[Category name],0),0),"")</f>
        <v/>
      </c>
      <c r="P765" s="138">
        <v>9</v>
      </c>
      <c r="Q765" s="138">
        <f>MONTH(Table1[[#This Row],[Date]])</f>
        <v>7</v>
      </c>
      <c r="R765" s="138">
        <v>2021</v>
      </c>
      <c r="S765" s="139">
        <f>IF(ISBLANK(Table1[[#This Row],[Date]]),"",Table1[[#This Row],[Date]]-WEEKDAY(Table1[[#This Row],[Date]],2)+1)</f>
        <v>44382</v>
      </c>
      <c r="T765" s="140">
        <f>IF(ISBLANK(Table1[[#This Row],[Date]]),"",DATE(Table1[[#This Row],[Date_Year]],Table1[[#This Row],[Date_Month]],1))</f>
        <v>44378</v>
      </c>
    </row>
    <row r="766" spans="2:20" ht="15.75">
      <c r="B766" s="154">
        <v>44386</v>
      </c>
      <c r="C766" s="119" t="s">
        <v>1917</v>
      </c>
      <c r="D766" s="119"/>
      <c r="E766" s="119"/>
      <c r="F766" s="155">
        <v>-35</v>
      </c>
      <c r="G766" s="133" t="str">
        <f>_xlfn.XLOOKUP(Table1[[#This Row],[Account_ID]], Accounts[ID], Accounts[Account nickname], "Unknown")</f>
        <v>Discover</v>
      </c>
      <c r="H766" s="134" t="str">
        <f>_xlfn.XLOOKUP(Table1[[#This Row],[Account_ID]], Accounts[ID], Accounts[Account'#], "Unknown")</f>
        <v>4618</v>
      </c>
      <c r="I766" s="135" t="str">
        <f>_xlfn.XLOOKUP(_xlfn.XLOOKUP(Table1[[#This Row],[Account]],Accounts[Account nickname],Accounts[Institution ID]),Institutions[ID],Institutions[Institution nickname],"Unknown")</f>
        <v>Discover</v>
      </c>
      <c r="J766" s="152" t="s">
        <v>2127</v>
      </c>
      <c r="K766" s="137" t="s">
        <v>843</v>
      </c>
      <c r="L766" s="137" t="s">
        <v>841</v>
      </c>
      <c r="M76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6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66" s="138" t="str" cm="1">
        <f t="array" ref="O766">IFERROR(INDEX(CategoriesTable[Category type],MATCH(Table1[[#This Row],[Category]],CategoriesTable[Category name],0),0),"")</f>
        <v/>
      </c>
      <c r="P766" s="138">
        <v>9</v>
      </c>
      <c r="Q766" s="138">
        <f>MONTH(Table1[[#This Row],[Date]])</f>
        <v>7</v>
      </c>
      <c r="R766" s="138">
        <v>2021</v>
      </c>
      <c r="S766" s="139">
        <f>IF(ISBLANK(Table1[[#This Row],[Date]]),"",Table1[[#This Row],[Date]]-WEEKDAY(Table1[[#This Row],[Date]],2)+1)</f>
        <v>44382</v>
      </c>
      <c r="T766" s="140">
        <f>IF(ISBLANK(Table1[[#This Row],[Date]]),"",DATE(Table1[[#This Row],[Date_Year]],Table1[[#This Row],[Date_Month]],1))</f>
        <v>44378</v>
      </c>
    </row>
    <row r="767" spans="2:20" ht="15.75">
      <c r="B767" s="154">
        <v>44385</v>
      </c>
      <c r="C767" s="119" t="s">
        <v>2131</v>
      </c>
      <c r="D767" s="119"/>
      <c r="E767" s="119"/>
      <c r="F767" s="155">
        <v>-28.1</v>
      </c>
      <c r="G767" s="133" t="str">
        <f>_xlfn.XLOOKUP(Table1[[#This Row],[Account_ID]], Accounts[ID], Accounts[Account nickname], "Unknown")</f>
        <v>Discover</v>
      </c>
      <c r="H767" s="134" t="str">
        <f>_xlfn.XLOOKUP(Table1[[#This Row],[Account_ID]], Accounts[ID], Accounts[Account'#], "Unknown")</f>
        <v>4618</v>
      </c>
      <c r="I767" s="135" t="str">
        <f>_xlfn.XLOOKUP(_xlfn.XLOOKUP(Table1[[#This Row],[Account]],Accounts[Account nickname],Accounts[Institution ID]),Institutions[ID],Institutions[Institution nickname],"Unknown")</f>
        <v>Discover</v>
      </c>
      <c r="J767" s="136" t="s">
        <v>2132</v>
      </c>
      <c r="K767" s="137" t="s">
        <v>843</v>
      </c>
      <c r="L767" s="137" t="s">
        <v>841</v>
      </c>
      <c r="M76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6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67" s="138" t="str" cm="1">
        <f t="array" ref="O767">IFERROR(INDEX(CategoriesTable[Category type],MATCH(Table1[[#This Row],[Category]],CategoriesTable[Category name],0),0),"")</f>
        <v/>
      </c>
      <c r="P767" s="138">
        <v>8</v>
      </c>
      <c r="Q767" s="138">
        <f>MONTH(Table1[[#This Row],[Date]])</f>
        <v>7</v>
      </c>
      <c r="R767" s="138">
        <v>2021</v>
      </c>
      <c r="S767" s="139">
        <f>IF(ISBLANK(Table1[[#This Row],[Date]]),"",Table1[[#This Row],[Date]]-WEEKDAY(Table1[[#This Row],[Date]],2)+1)</f>
        <v>44382</v>
      </c>
      <c r="T767" s="140">
        <f>IF(ISBLANK(Table1[[#This Row],[Date]]),"",DATE(Table1[[#This Row],[Date_Year]],Table1[[#This Row],[Date_Month]],1))</f>
        <v>44378</v>
      </c>
    </row>
    <row r="768" spans="2:20" ht="15.75">
      <c r="B768" s="154">
        <v>44385</v>
      </c>
      <c r="C768" s="119" t="s">
        <v>1726</v>
      </c>
      <c r="D768" s="119"/>
      <c r="E768" s="119"/>
      <c r="F768" s="155">
        <v>-27.68</v>
      </c>
      <c r="G768" s="133" t="str">
        <f>_xlfn.XLOOKUP(Table1[[#This Row],[Account_ID]], Accounts[ID], Accounts[Account nickname], "Unknown")</f>
        <v>Discover</v>
      </c>
      <c r="H768" s="134" t="str">
        <f>_xlfn.XLOOKUP(Table1[[#This Row],[Account_ID]], Accounts[ID], Accounts[Account'#], "Unknown")</f>
        <v>4618</v>
      </c>
      <c r="I768" s="135" t="str">
        <f>_xlfn.XLOOKUP(_xlfn.XLOOKUP(Table1[[#This Row],[Account]],Accounts[Account nickname],Accounts[Institution ID]),Institutions[ID],Institutions[Institution nickname],"Unknown")</f>
        <v>Discover</v>
      </c>
      <c r="J768" s="136" t="s">
        <v>2133</v>
      </c>
      <c r="K768" s="137" t="s">
        <v>843</v>
      </c>
      <c r="L768" s="137" t="s">
        <v>841</v>
      </c>
      <c r="M76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6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68" s="138" t="str" cm="1">
        <f t="array" ref="O768">IFERROR(INDEX(CategoriesTable[Category type],MATCH(Table1[[#This Row],[Category]],CategoriesTable[Category name],0),0),"")</f>
        <v/>
      </c>
      <c r="P768" s="138">
        <v>8</v>
      </c>
      <c r="Q768" s="138">
        <f>MONTH(Table1[[#This Row],[Date]])</f>
        <v>7</v>
      </c>
      <c r="R768" s="138">
        <v>2021</v>
      </c>
      <c r="S768" s="139">
        <f>IF(ISBLANK(Table1[[#This Row],[Date]]),"",Table1[[#This Row],[Date]]-WEEKDAY(Table1[[#This Row],[Date]],2)+1)</f>
        <v>44382</v>
      </c>
      <c r="T768" s="140">
        <f>IF(ISBLANK(Table1[[#This Row],[Date]]),"",DATE(Table1[[#This Row],[Date_Year]],Table1[[#This Row],[Date_Month]],1))</f>
        <v>44378</v>
      </c>
    </row>
    <row r="769" spans="2:20" ht="15.75">
      <c r="B769" s="154">
        <v>44384</v>
      </c>
      <c r="C769" s="119" t="s">
        <v>1623</v>
      </c>
      <c r="D769" s="119"/>
      <c r="E769" s="119"/>
      <c r="F769" s="155">
        <v>-15</v>
      </c>
      <c r="G769" s="133" t="str">
        <f>_xlfn.XLOOKUP(Table1[[#This Row],[Account_ID]], Accounts[ID], Accounts[Account nickname], "Unknown")</f>
        <v>Discover</v>
      </c>
      <c r="H769" s="134" t="str">
        <f>_xlfn.XLOOKUP(Table1[[#This Row],[Account_ID]], Accounts[ID], Accounts[Account'#], "Unknown")</f>
        <v>4618</v>
      </c>
      <c r="I769" s="135" t="str">
        <f>_xlfn.XLOOKUP(_xlfn.XLOOKUP(Table1[[#This Row],[Account]],Accounts[Account nickname],Accounts[Institution ID]),Institutions[ID],Institutions[Institution nickname],"Unknown")</f>
        <v>Discover</v>
      </c>
      <c r="J769" s="136" t="s">
        <v>2136</v>
      </c>
      <c r="K769" s="137" t="s">
        <v>843</v>
      </c>
      <c r="L769" s="137" t="s">
        <v>841</v>
      </c>
      <c r="M76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6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69" s="138" t="str" cm="1">
        <f t="array" ref="O769">IFERROR(INDEX(CategoriesTable[Category type],MATCH(Table1[[#This Row],[Category]],CategoriesTable[Category name],0),0),"")</f>
        <v/>
      </c>
      <c r="P769" s="138">
        <v>7</v>
      </c>
      <c r="Q769" s="138">
        <f>MONTH(Table1[[#This Row],[Date]])</f>
        <v>7</v>
      </c>
      <c r="R769" s="138">
        <v>2021</v>
      </c>
      <c r="S769" s="139">
        <f>IF(ISBLANK(Table1[[#This Row],[Date]]),"",Table1[[#This Row],[Date]]-WEEKDAY(Table1[[#This Row],[Date]],2)+1)</f>
        <v>44382</v>
      </c>
      <c r="T769" s="140">
        <f>IF(ISBLANK(Table1[[#This Row],[Date]]),"",DATE(Table1[[#This Row],[Date_Year]],Table1[[#This Row],[Date_Month]],1))</f>
        <v>44378</v>
      </c>
    </row>
    <row r="770" spans="2:20" ht="15.75">
      <c r="B770" s="154">
        <v>44384</v>
      </c>
      <c r="C770" s="119" t="s">
        <v>2134</v>
      </c>
      <c r="D770" s="119"/>
      <c r="E770" s="119"/>
      <c r="F770" s="155">
        <v>-94.95</v>
      </c>
      <c r="G770" s="133" t="str">
        <f>_xlfn.XLOOKUP(Table1[[#This Row],[Account_ID]], Accounts[ID], Accounts[Account nickname], "Unknown")</f>
        <v>Discover</v>
      </c>
      <c r="H770" s="134" t="str">
        <f>_xlfn.XLOOKUP(Table1[[#This Row],[Account_ID]], Accounts[ID], Accounts[Account'#], "Unknown")</f>
        <v>4618</v>
      </c>
      <c r="I770" s="135" t="str">
        <f>_xlfn.XLOOKUP(_xlfn.XLOOKUP(Table1[[#This Row],[Account]],Accounts[Account nickname],Accounts[Institution ID]),Institutions[ID],Institutions[Institution nickname],"Unknown")</f>
        <v>Discover</v>
      </c>
      <c r="J770" s="136" t="s">
        <v>2135</v>
      </c>
      <c r="K770" s="137" t="s">
        <v>843</v>
      </c>
      <c r="L770" s="137" t="s">
        <v>841</v>
      </c>
      <c r="M77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7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70" s="138" t="str" cm="1">
        <f t="array" ref="O770">IFERROR(INDEX(CategoriesTable[Category type],MATCH(Table1[[#This Row],[Category]],CategoriesTable[Category name],0),0),"")</f>
        <v/>
      </c>
      <c r="P770" s="138">
        <v>7</v>
      </c>
      <c r="Q770" s="138">
        <f>MONTH(Table1[[#This Row],[Date]])</f>
        <v>7</v>
      </c>
      <c r="R770" s="138">
        <v>2021</v>
      </c>
      <c r="S770" s="139">
        <f>IF(ISBLANK(Table1[[#This Row],[Date]]),"",Table1[[#This Row],[Date]]-WEEKDAY(Table1[[#This Row],[Date]],2)+1)</f>
        <v>44382</v>
      </c>
      <c r="T770" s="140">
        <f>IF(ISBLANK(Table1[[#This Row],[Date]]),"",DATE(Table1[[#This Row],[Date_Year]],Table1[[#This Row],[Date_Month]],1))</f>
        <v>44378</v>
      </c>
    </row>
    <row r="771" spans="2:20" ht="15.75">
      <c r="B771" s="154">
        <v>44384</v>
      </c>
      <c r="C771" s="119" t="s">
        <v>685</v>
      </c>
      <c r="D771" s="119"/>
      <c r="E771" s="119"/>
      <c r="F771" s="155">
        <v>-95.38</v>
      </c>
      <c r="G771" s="133" t="str">
        <f>_xlfn.XLOOKUP(Table1[[#This Row],[Account_ID]], Accounts[ID], Accounts[Account nickname], "Unknown")</f>
        <v>WF</v>
      </c>
      <c r="H771" s="134" t="str">
        <f>_xlfn.XLOOKUP(Table1[[#This Row],[Account_ID]], Accounts[ID], Accounts[Account'#], "Unknown")</f>
        <v>4636</v>
      </c>
      <c r="I771" s="135" t="str">
        <f>_xlfn.XLOOKUP(_xlfn.XLOOKUP(Table1[[#This Row],[Account]],Accounts[Account nickname],Accounts[Institution ID]),Institutions[ID],Institutions[Institution nickname],"Unknown")</f>
        <v>Wells Fargo</v>
      </c>
      <c r="J771" s="136" t="s">
        <v>1080</v>
      </c>
      <c r="K771" s="137" t="s">
        <v>808</v>
      </c>
      <c r="L771" s="137" t="s">
        <v>807</v>
      </c>
      <c r="M77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7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71" s="138" t="str" cm="1">
        <f t="array" ref="O771">IFERROR(INDEX(CategoriesTable[Category type],MATCH(Table1[[#This Row],[Category]],CategoriesTable[Category name],0),0),"")</f>
        <v/>
      </c>
      <c r="P771" s="138">
        <v>7</v>
      </c>
      <c r="Q771" s="138">
        <f>MONTH(Table1[[#This Row],[Date]])</f>
        <v>7</v>
      </c>
      <c r="R771" s="138">
        <v>2021</v>
      </c>
      <c r="S771" s="139">
        <f>IF(ISBLANK(Table1[[#This Row],[Date]]),"",Table1[[#This Row],[Date]]-WEEKDAY(Table1[[#This Row],[Date]],2)+1)</f>
        <v>44382</v>
      </c>
      <c r="T771" s="140">
        <f>IF(ISBLANK(Table1[[#This Row],[Date]]),"",DATE(Table1[[#This Row],[Date_Year]],Table1[[#This Row],[Date_Month]],1))</f>
        <v>44378</v>
      </c>
    </row>
    <row r="772" spans="2:20" ht="15.75">
      <c r="B772" s="154">
        <v>44384</v>
      </c>
      <c r="C772" s="119" t="s">
        <v>2137</v>
      </c>
      <c r="D772" s="119"/>
      <c r="E772" s="119"/>
      <c r="F772" s="155">
        <v>-382.98</v>
      </c>
      <c r="G772" s="133" t="str">
        <f>_xlfn.XLOOKUP(Table1[[#This Row],[Account_ID]], Accounts[ID], Accounts[Account nickname], "Unknown")</f>
        <v>Discover</v>
      </c>
      <c r="H772" s="134" t="str">
        <f>_xlfn.XLOOKUP(Table1[[#This Row],[Account_ID]], Accounts[ID], Accounts[Account'#], "Unknown")</f>
        <v>4618</v>
      </c>
      <c r="I772" s="135" t="str">
        <f>_xlfn.XLOOKUP(_xlfn.XLOOKUP(Table1[[#This Row],[Account]],Accounts[Account nickname],Accounts[Institution ID]),Institutions[ID],Institutions[Institution nickname],"Unknown")</f>
        <v>Discover</v>
      </c>
      <c r="J772" s="136" t="s">
        <v>2138</v>
      </c>
      <c r="K772" s="137" t="s">
        <v>843</v>
      </c>
      <c r="L772" s="137" t="s">
        <v>841</v>
      </c>
      <c r="M77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7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72" s="138" t="str" cm="1">
        <f t="array" ref="O772">IFERROR(INDEX(CategoriesTable[Category type],MATCH(Table1[[#This Row],[Category]],CategoriesTable[Category name],0),0),"")</f>
        <v/>
      </c>
      <c r="P772" s="138">
        <v>7</v>
      </c>
      <c r="Q772" s="138">
        <f>MONTH(Table1[[#This Row],[Date]])</f>
        <v>7</v>
      </c>
      <c r="R772" s="138">
        <v>2021</v>
      </c>
      <c r="S772" s="139">
        <f>IF(ISBLANK(Table1[[#This Row],[Date]]),"",Table1[[#This Row],[Date]]-WEEKDAY(Table1[[#This Row],[Date]],2)+1)</f>
        <v>44382</v>
      </c>
      <c r="T772" s="140">
        <f>IF(ISBLANK(Table1[[#This Row],[Date]]),"",DATE(Table1[[#This Row],[Date_Year]],Table1[[#This Row],[Date_Month]],1))</f>
        <v>44378</v>
      </c>
    </row>
    <row r="773" spans="2:20" ht="15.75">
      <c r="B773" s="154">
        <v>44383</v>
      </c>
      <c r="C773" s="119" t="s">
        <v>1377</v>
      </c>
      <c r="D773" s="119" t="s">
        <v>106</v>
      </c>
      <c r="E773" s="119"/>
      <c r="F773" s="155">
        <v>95.38</v>
      </c>
      <c r="G773" s="133" t="str">
        <f>_xlfn.XLOOKUP(Table1[[#This Row],[Account_ID]], Accounts[ID], Accounts[Account nickname], "Unknown")</f>
        <v>BB</v>
      </c>
      <c r="H773" s="134" t="str">
        <f>_xlfn.XLOOKUP(Table1[[#This Row],[Account_ID]], Accounts[ID], Accounts[Account'#], "Unknown")</f>
        <v>4561</v>
      </c>
      <c r="I773" s="135" t="str">
        <f>_xlfn.XLOOKUP(_xlfn.XLOOKUP(Table1[[#This Row],[Account]],Accounts[Account nickname],Accounts[Institution ID]),Institutions[ID],Institutions[Institution nickname],"Unknown")</f>
        <v>Best Buy - Citi Card</v>
      </c>
      <c r="J773" s="136" t="s">
        <v>2139</v>
      </c>
      <c r="K773" s="137" t="s">
        <v>1375</v>
      </c>
      <c r="L773" s="137" t="s">
        <v>1372</v>
      </c>
      <c r="M77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3dafc6bd8d7c45ae9840ff09e01567d1</v>
      </c>
      <c r="N77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73" s="138" t="str" cm="1">
        <f t="array" ref="O773">IFERROR(INDEX(CategoriesTable[Category type],MATCH(Table1[[#This Row],[Category]],CategoriesTable[Category name],0),0),"")</f>
        <v>Expense</v>
      </c>
      <c r="P773" s="138">
        <v>6</v>
      </c>
      <c r="Q773" s="138">
        <f>MONTH(Table1[[#This Row],[Date]])</f>
        <v>7</v>
      </c>
      <c r="R773" s="138">
        <v>2021</v>
      </c>
      <c r="S773" s="139">
        <f>IF(ISBLANK(Table1[[#This Row],[Date]]),"",Table1[[#This Row],[Date]]-WEEKDAY(Table1[[#This Row],[Date]],2)+1)</f>
        <v>44382</v>
      </c>
      <c r="T773" s="140">
        <f>IF(ISBLANK(Table1[[#This Row],[Date]]),"",DATE(Table1[[#This Row],[Date_Year]],Table1[[#This Row],[Date_Month]],1))</f>
        <v>44378</v>
      </c>
    </row>
    <row r="774" spans="2:20" ht="15.75">
      <c r="B774" s="154">
        <v>44383</v>
      </c>
      <c r="C774" s="119" t="s">
        <v>686</v>
      </c>
      <c r="D774" s="119"/>
      <c r="E774" s="119"/>
      <c r="F774" s="155">
        <v>-367.73</v>
      </c>
      <c r="G774" s="133" t="str">
        <f>_xlfn.XLOOKUP(Table1[[#This Row],[Account_ID]], Accounts[ID], Accounts[Account nickname], "Unknown")</f>
        <v>WF</v>
      </c>
      <c r="H774" s="134" t="str">
        <f>_xlfn.XLOOKUP(Table1[[#This Row],[Account_ID]], Accounts[ID], Accounts[Account'#], "Unknown")</f>
        <v>4636</v>
      </c>
      <c r="I774" s="135" t="str">
        <f>_xlfn.XLOOKUP(_xlfn.XLOOKUP(Table1[[#This Row],[Account]],Accounts[Account nickname],Accounts[Institution ID]),Institutions[ID],Institutions[Institution nickname],"Unknown")</f>
        <v>Wells Fargo</v>
      </c>
      <c r="J774" s="136" t="s">
        <v>1083</v>
      </c>
      <c r="K774" s="137" t="s">
        <v>808</v>
      </c>
      <c r="L774" s="137" t="s">
        <v>807</v>
      </c>
      <c r="M77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7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74" s="138" t="str" cm="1">
        <f t="array" ref="O774">IFERROR(INDEX(CategoriesTable[Category type],MATCH(Table1[[#This Row],[Category]],CategoriesTable[Category name],0),0),"")</f>
        <v/>
      </c>
      <c r="P774" s="138">
        <v>6</v>
      </c>
      <c r="Q774" s="138">
        <f>MONTH(Table1[[#This Row],[Date]])</f>
        <v>7</v>
      </c>
      <c r="R774" s="138">
        <v>2021</v>
      </c>
      <c r="S774" s="139">
        <f>IF(ISBLANK(Table1[[#This Row],[Date]]),"",Table1[[#This Row],[Date]]-WEEKDAY(Table1[[#This Row],[Date]],2)+1)</f>
        <v>44382</v>
      </c>
      <c r="T774" s="140">
        <f>IF(ISBLANK(Table1[[#This Row],[Date]]),"",DATE(Table1[[#This Row],[Date_Year]],Table1[[#This Row],[Date_Month]],1))</f>
        <v>44378</v>
      </c>
    </row>
    <row r="775" spans="2:20" ht="15.75">
      <c r="B775" s="154">
        <v>44383</v>
      </c>
      <c r="C775" s="119" t="s">
        <v>686</v>
      </c>
      <c r="D775" s="119"/>
      <c r="E775" s="119"/>
      <c r="F775" s="155">
        <v>-1854.26</v>
      </c>
      <c r="G775" s="133" t="str">
        <f>_xlfn.XLOOKUP(Table1[[#This Row],[Account_ID]], Accounts[ID], Accounts[Account nickname], "Unknown")</f>
        <v>WF</v>
      </c>
      <c r="H775" s="134" t="str">
        <f>_xlfn.XLOOKUP(Table1[[#This Row],[Account_ID]], Accounts[ID], Accounts[Account'#], "Unknown")</f>
        <v>4636</v>
      </c>
      <c r="I775" s="135" t="str">
        <f>_xlfn.XLOOKUP(_xlfn.XLOOKUP(Table1[[#This Row],[Account]],Accounts[Account nickname],Accounts[Institution ID]),Institutions[ID],Institutions[Institution nickname],"Unknown")</f>
        <v>Wells Fargo</v>
      </c>
      <c r="J775" s="136" t="s">
        <v>1082</v>
      </c>
      <c r="K775" s="137" t="s">
        <v>808</v>
      </c>
      <c r="L775" s="137" t="s">
        <v>807</v>
      </c>
      <c r="M77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7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75" s="138" t="str" cm="1">
        <f t="array" ref="O775">IFERROR(INDEX(CategoriesTable[Category type],MATCH(Table1[[#This Row],[Category]],CategoriesTable[Category name],0),0),"")</f>
        <v/>
      </c>
      <c r="P775" s="138">
        <v>6</v>
      </c>
      <c r="Q775" s="138">
        <f>MONTH(Table1[[#This Row],[Date]])</f>
        <v>7</v>
      </c>
      <c r="R775" s="138">
        <v>2021</v>
      </c>
      <c r="S775" s="139">
        <f>IF(ISBLANK(Table1[[#This Row],[Date]]),"",Table1[[#This Row],[Date]]-WEEKDAY(Table1[[#This Row],[Date]],2)+1)</f>
        <v>44382</v>
      </c>
      <c r="T775" s="140">
        <f>IF(ISBLANK(Table1[[#This Row],[Date]]),"",DATE(Table1[[#This Row],[Date_Year]],Table1[[#This Row],[Date_Month]],1))</f>
        <v>44378</v>
      </c>
    </row>
    <row r="776" spans="2:20" ht="15.75">
      <c r="B776" s="154">
        <v>44383</v>
      </c>
      <c r="C776" s="119" t="s">
        <v>744</v>
      </c>
      <c r="D776" s="119"/>
      <c r="E776" s="119"/>
      <c r="F776" s="155">
        <v>-30</v>
      </c>
      <c r="G776" s="133" t="str">
        <f>_xlfn.XLOOKUP(Table1[[#This Row],[Account_ID]], Accounts[ID], Accounts[Account nickname], "Unknown")</f>
        <v>WF</v>
      </c>
      <c r="H776" s="134" t="str">
        <f>_xlfn.XLOOKUP(Table1[[#This Row],[Account_ID]], Accounts[ID], Accounts[Account'#], "Unknown")</f>
        <v>4636</v>
      </c>
      <c r="I776" s="135" t="str">
        <f>_xlfn.XLOOKUP(_xlfn.XLOOKUP(Table1[[#This Row],[Account]],Accounts[Account nickname],Accounts[Institution ID]),Institutions[ID],Institutions[Institution nickname],"Unknown")</f>
        <v>Wells Fargo</v>
      </c>
      <c r="J776" s="136" t="s">
        <v>1081</v>
      </c>
      <c r="K776" s="137" t="s">
        <v>808</v>
      </c>
      <c r="L776" s="137" t="s">
        <v>807</v>
      </c>
      <c r="M77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7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76" s="138" t="str" cm="1">
        <f t="array" ref="O776">IFERROR(INDEX(CategoriesTable[Category type],MATCH(Table1[[#This Row],[Category]],CategoriesTable[Category name],0),0),"")</f>
        <v/>
      </c>
      <c r="P776" s="138">
        <v>6</v>
      </c>
      <c r="Q776" s="138">
        <f>MONTH(Table1[[#This Row],[Date]])</f>
        <v>7</v>
      </c>
      <c r="R776" s="138">
        <v>2021</v>
      </c>
      <c r="S776" s="139">
        <f>IF(ISBLANK(Table1[[#This Row],[Date]]),"",Table1[[#This Row],[Date]]-WEEKDAY(Table1[[#This Row],[Date]],2)+1)</f>
        <v>44382</v>
      </c>
      <c r="T776" s="140">
        <f>IF(ISBLANK(Table1[[#This Row],[Date]]),"",DATE(Table1[[#This Row],[Date_Year]],Table1[[#This Row],[Date_Month]],1))</f>
        <v>44378</v>
      </c>
    </row>
    <row r="777" spans="2:20" ht="15.75">
      <c r="B777" s="154">
        <v>44383</v>
      </c>
      <c r="C777" s="119" t="s">
        <v>678</v>
      </c>
      <c r="D777" s="119"/>
      <c r="E777" s="119"/>
      <c r="F777" s="155">
        <v>1076.8800000000001</v>
      </c>
      <c r="G777" s="133" t="str">
        <f>_xlfn.XLOOKUP(Table1[[#This Row],[Account_ID]], Accounts[ID], Accounts[Account nickname], "Unknown")</f>
        <v>WF</v>
      </c>
      <c r="H777" s="134" t="str">
        <f>_xlfn.XLOOKUP(Table1[[#This Row],[Account_ID]], Accounts[ID], Accounts[Account'#], "Unknown")</f>
        <v>4636</v>
      </c>
      <c r="I777" s="135" t="str">
        <f>_xlfn.XLOOKUP(_xlfn.XLOOKUP(Table1[[#This Row],[Account]],Accounts[Account nickname],Accounts[Institution ID]),Institutions[ID],Institutions[Institution nickname],"Unknown")</f>
        <v>Wells Fargo</v>
      </c>
      <c r="J777" s="136" t="s">
        <v>1084</v>
      </c>
      <c r="K777" s="137" t="s">
        <v>808</v>
      </c>
      <c r="L777" s="137" t="s">
        <v>807</v>
      </c>
      <c r="M77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7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77" s="138" t="str" cm="1">
        <f t="array" ref="O777">IFERROR(INDEX(CategoriesTable[Category type],MATCH(Table1[[#This Row],[Category]],CategoriesTable[Category name],0),0),"")</f>
        <v/>
      </c>
      <c r="P777" s="138">
        <v>6</v>
      </c>
      <c r="Q777" s="138">
        <f>MONTH(Table1[[#This Row],[Date]])</f>
        <v>7</v>
      </c>
      <c r="R777" s="138">
        <v>2021</v>
      </c>
      <c r="S777" s="139">
        <f>IF(ISBLANK(Table1[[#This Row],[Date]]),"",Table1[[#This Row],[Date]]-WEEKDAY(Table1[[#This Row],[Date]],2)+1)</f>
        <v>44382</v>
      </c>
      <c r="T777" s="140">
        <f>IF(ISBLANK(Table1[[#This Row],[Date]]),"",DATE(Table1[[#This Row],[Date_Year]],Table1[[#This Row],[Date_Month]],1))</f>
        <v>44378</v>
      </c>
    </row>
    <row r="778" spans="2:20" ht="15.75">
      <c r="B778" s="154">
        <v>44383</v>
      </c>
      <c r="C778" s="119" t="s">
        <v>678</v>
      </c>
      <c r="D778" s="119"/>
      <c r="E778" s="119"/>
      <c r="F778" s="155">
        <v>-32</v>
      </c>
      <c r="G778" s="133" t="str">
        <f>_xlfn.XLOOKUP(Table1[[#This Row],[Account_ID]], Accounts[ID], Accounts[Account nickname], "Unknown")</f>
        <v>WF</v>
      </c>
      <c r="H778" s="134" t="str">
        <f>_xlfn.XLOOKUP(Table1[[#This Row],[Account_ID]], Accounts[ID], Accounts[Account'#], "Unknown")</f>
        <v>4636</v>
      </c>
      <c r="I778" s="135" t="str">
        <f>_xlfn.XLOOKUP(_xlfn.XLOOKUP(Table1[[#This Row],[Account]],Accounts[Account nickname],Accounts[Institution ID]),Institutions[ID],Institutions[Institution nickname],"Unknown")</f>
        <v>Wells Fargo</v>
      </c>
      <c r="J778" s="136" t="s">
        <v>1085</v>
      </c>
      <c r="K778" s="137" t="s">
        <v>808</v>
      </c>
      <c r="L778" s="137" t="s">
        <v>807</v>
      </c>
      <c r="M77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7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78" s="138" t="str" cm="1">
        <f t="array" ref="O778">IFERROR(INDEX(CategoriesTable[Category type],MATCH(Table1[[#This Row],[Category]],CategoriesTable[Category name],0),0),"")</f>
        <v/>
      </c>
      <c r="P778" s="138">
        <v>6</v>
      </c>
      <c r="Q778" s="138">
        <f>MONTH(Table1[[#This Row],[Date]])</f>
        <v>7</v>
      </c>
      <c r="R778" s="138">
        <v>2021</v>
      </c>
      <c r="S778" s="139">
        <f>IF(ISBLANK(Table1[[#This Row],[Date]]),"",Table1[[#This Row],[Date]]-WEEKDAY(Table1[[#This Row],[Date]],2)+1)</f>
        <v>44382</v>
      </c>
      <c r="T778" s="140">
        <f>IF(ISBLANK(Table1[[#This Row],[Date]]),"",DATE(Table1[[#This Row],[Date_Year]],Table1[[#This Row],[Date_Month]],1))</f>
        <v>44378</v>
      </c>
    </row>
    <row r="779" spans="2:20" ht="15.75">
      <c r="B779" s="154">
        <v>44382</v>
      </c>
      <c r="C779" s="119" t="s">
        <v>689</v>
      </c>
      <c r="D779" s="119"/>
      <c r="E779" s="119"/>
      <c r="F779" s="155">
        <v>-32.33</v>
      </c>
      <c r="G779" s="133" t="str">
        <f>_xlfn.XLOOKUP(Table1[[#This Row],[Account_ID]], Accounts[ID], Accounts[Account nickname], "Unknown")</f>
        <v>Discover</v>
      </c>
      <c r="H779" s="134" t="str">
        <f>_xlfn.XLOOKUP(Table1[[#This Row],[Account_ID]], Accounts[ID], Accounts[Account'#], "Unknown")</f>
        <v>4618</v>
      </c>
      <c r="I779" s="135" t="str">
        <f>_xlfn.XLOOKUP(_xlfn.XLOOKUP(Table1[[#This Row],[Account]],Accounts[Account nickname],Accounts[Institution ID]),Institutions[ID],Institutions[Institution nickname],"Unknown")</f>
        <v>Discover</v>
      </c>
      <c r="J779" s="136" t="s">
        <v>2144</v>
      </c>
      <c r="K779" s="137" t="s">
        <v>843</v>
      </c>
      <c r="L779" s="137" t="s">
        <v>841</v>
      </c>
      <c r="M77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7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79" s="138" t="str" cm="1">
        <f t="array" ref="O779">IFERROR(INDEX(CategoriesTable[Category type],MATCH(Table1[[#This Row],[Category]],CategoriesTable[Category name],0),0),"")</f>
        <v/>
      </c>
      <c r="P779" s="138">
        <v>5</v>
      </c>
      <c r="Q779" s="138">
        <f>MONTH(Table1[[#This Row],[Date]])</f>
        <v>7</v>
      </c>
      <c r="R779" s="138">
        <v>2021</v>
      </c>
      <c r="S779" s="139">
        <f>IF(ISBLANK(Table1[[#This Row],[Date]]),"",Table1[[#This Row],[Date]]-WEEKDAY(Table1[[#This Row],[Date]],2)+1)</f>
        <v>44382</v>
      </c>
      <c r="T779" s="140">
        <f>IF(ISBLANK(Table1[[#This Row],[Date]]),"",DATE(Table1[[#This Row],[Date_Year]],Table1[[#This Row],[Date_Month]],1))</f>
        <v>44378</v>
      </c>
    </row>
    <row r="780" spans="2:20" ht="15.75">
      <c r="B780" s="154">
        <v>44382</v>
      </c>
      <c r="C780" s="119" t="s">
        <v>746</v>
      </c>
      <c r="D780" s="119"/>
      <c r="E780" s="119"/>
      <c r="F780" s="155">
        <v>-26.66</v>
      </c>
      <c r="G780" s="133" t="str">
        <f>_xlfn.XLOOKUP(Table1[[#This Row],[Account_ID]], Accounts[ID], Accounts[Account nickname], "Unknown")</f>
        <v>WF</v>
      </c>
      <c r="H780" s="134" t="str">
        <f>_xlfn.XLOOKUP(Table1[[#This Row],[Account_ID]], Accounts[ID], Accounts[Account'#], "Unknown")</f>
        <v>4636</v>
      </c>
      <c r="I780" s="135" t="str">
        <f>_xlfn.XLOOKUP(_xlfn.XLOOKUP(Table1[[#This Row],[Account]],Accounts[Account nickname],Accounts[Institution ID]),Institutions[ID],Institutions[Institution nickname],"Unknown")</f>
        <v>Wells Fargo</v>
      </c>
      <c r="J780" s="136" t="s">
        <v>1086</v>
      </c>
      <c r="K780" s="137" t="s">
        <v>808</v>
      </c>
      <c r="L780" s="137" t="s">
        <v>807</v>
      </c>
      <c r="M78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8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80" s="138" t="str" cm="1">
        <f t="array" ref="O780">IFERROR(INDEX(CategoriesTable[Category type],MATCH(Table1[[#This Row],[Category]],CategoriesTable[Category name],0),0),"")</f>
        <v/>
      </c>
      <c r="P780" s="138">
        <v>5</v>
      </c>
      <c r="Q780" s="138">
        <f>MONTH(Table1[[#This Row],[Date]])</f>
        <v>7</v>
      </c>
      <c r="R780" s="138">
        <v>2021</v>
      </c>
      <c r="S780" s="139">
        <f>IF(ISBLANK(Table1[[#This Row],[Date]]),"",Table1[[#This Row],[Date]]-WEEKDAY(Table1[[#This Row],[Date]],2)+1)</f>
        <v>44382</v>
      </c>
      <c r="T780" s="140">
        <f>IF(ISBLANK(Table1[[#This Row],[Date]]),"",DATE(Table1[[#This Row],[Date_Year]],Table1[[#This Row],[Date_Month]],1))</f>
        <v>44378</v>
      </c>
    </row>
    <row r="781" spans="2:20" ht="15.75">
      <c r="B781" s="154">
        <v>44382</v>
      </c>
      <c r="C781" s="119" t="s">
        <v>702</v>
      </c>
      <c r="D781" s="119"/>
      <c r="E781" s="119"/>
      <c r="F781" s="155">
        <v>-10.9</v>
      </c>
      <c r="G781" s="133" t="str">
        <f>_xlfn.XLOOKUP(Table1[[#This Row],[Account_ID]], Accounts[ID], Accounts[Account nickname], "Unknown")</f>
        <v>Discover</v>
      </c>
      <c r="H781" s="134" t="str">
        <f>_xlfn.XLOOKUP(Table1[[#This Row],[Account_ID]], Accounts[ID], Accounts[Account'#], "Unknown")</f>
        <v>4618</v>
      </c>
      <c r="I781" s="135" t="str">
        <f>_xlfn.XLOOKUP(_xlfn.XLOOKUP(Table1[[#This Row],[Account]],Accounts[Account nickname],Accounts[Institution ID]),Institutions[ID],Institutions[Institution nickname],"Unknown")</f>
        <v>Discover</v>
      </c>
      <c r="J781" s="136" t="s">
        <v>2143</v>
      </c>
      <c r="K781" s="137" t="s">
        <v>843</v>
      </c>
      <c r="L781" s="137" t="s">
        <v>841</v>
      </c>
      <c r="M78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8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81" s="138" t="str" cm="1">
        <f t="array" ref="O781">IFERROR(INDEX(CategoriesTable[Category type],MATCH(Table1[[#This Row],[Category]],CategoriesTable[Category name],0),0),"")</f>
        <v/>
      </c>
      <c r="P781" s="138">
        <v>5</v>
      </c>
      <c r="Q781" s="138">
        <f>MONTH(Table1[[#This Row],[Date]])</f>
        <v>7</v>
      </c>
      <c r="R781" s="138">
        <v>2021</v>
      </c>
      <c r="S781" s="139">
        <f>IF(ISBLANK(Table1[[#This Row],[Date]]),"",Table1[[#This Row],[Date]]-WEEKDAY(Table1[[#This Row],[Date]],2)+1)</f>
        <v>44382</v>
      </c>
      <c r="T781" s="140">
        <f>IF(ISBLANK(Table1[[#This Row],[Date]]),"",DATE(Table1[[#This Row],[Date_Year]],Table1[[#This Row],[Date_Month]],1))</f>
        <v>44378</v>
      </c>
    </row>
    <row r="782" spans="2:20" ht="15.75">
      <c r="B782" s="154">
        <v>44382</v>
      </c>
      <c r="C782" s="119" t="s">
        <v>2141</v>
      </c>
      <c r="D782" s="119"/>
      <c r="E782" s="119"/>
      <c r="F782" s="155">
        <v>190.79</v>
      </c>
      <c r="G782" s="133" t="str">
        <f>_xlfn.XLOOKUP(Table1[[#This Row],[Account_ID]], Accounts[ID], Accounts[Account nickname], "Unknown")</f>
        <v>Discover</v>
      </c>
      <c r="H782" s="134" t="str">
        <f>_xlfn.XLOOKUP(Table1[[#This Row],[Account_ID]], Accounts[ID], Accounts[Account'#], "Unknown")</f>
        <v>4618</v>
      </c>
      <c r="I782" s="135" t="str">
        <f>_xlfn.XLOOKUP(_xlfn.XLOOKUP(Table1[[#This Row],[Account]],Accounts[Account nickname],Accounts[Institution ID]),Institutions[ID],Institutions[Institution nickname],"Unknown")</f>
        <v>Discover</v>
      </c>
      <c r="J782" s="136" t="s">
        <v>2142</v>
      </c>
      <c r="K782" s="137" t="s">
        <v>843</v>
      </c>
      <c r="L782" s="137" t="s">
        <v>841</v>
      </c>
      <c r="M78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8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82" s="138" t="str" cm="1">
        <f t="array" ref="O782">IFERROR(INDEX(CategoriesTable[Category type],MATCH(Table1[[#This Row],[Category]],CategoriesTable[Category name],0),0),"")</f>
        <v/>
      </c>
      <c r="P782" s="138">
        <v>5</v>
      </c>
      <c r="Q782" s="138">
        <f>MONTH(Table1[[#This Row],[Date]])</f>
        <v>7</v>
      </c>
      <c r="R782" s="138">
        <v>2021</v>
      </c>
      <c r="S782" s="139">
        <f>IF(ISBLANK(Table1[[#This Row],[Date]]),"",Table1[[#This Row],[Date]]-WEEKDAY(Table1[[#This Row],[Date]],2)+1)</f>
        <v>44382</v>
      </c>
      <c r="T782" s="140">
        <f>IF(ISBLANK(Table1[[#This Row],[Date]]),"",DATE(Table1[[#This Row],[Date_Year]],Table1[[#This Row],[Date_Month]],1))</f>
        <v>44378</v>
      </c>
    </row>
    <row r="783" spans="2:20" ht="15.75">
      <c r="B783" s="154">
        <v>44382</v>
      </c>
      <c r="C783" s="119" t="s">
        <v>745</v>
      </c>
      <c r="D783" s="119"/>
      <c r="E783" s="119"/>
      <c r="F783" s="155">
        <v>-35.700000000000003</v>
      </c>
      <c r="G783" s="133" t="str">
        <f>_xlfn.XLOOKUP(Table1[[#This Row],[Account_ID]], Accounts[ID], Accounts[Account nickname], "Unknown")</f>
        <v>WF</v>
      </c>
      <c r="H783" s="134" t="str">
        <f>_xlfn.XLOOKUP(Table1[[#This Row],[Account_ID]], Accounts[ID], Accounts[Account'#], "Unknown")</f>
        <v>4636</v>
      </c>
      <c r="I783" s="135" t="str">
        <f>_xlfn.XLOOKUP(_xlfn.XLOOKUP(Table1[[#This Row],[Account]],Accounts[Account nickname],Accounts[Institution ID]),Institutions[ID],Institutions[Institution nickname],"Unknown")</f>
        <v>Wells Fargo</v>
      </c>
      <c r="J783" s="136" t="s">
        <v>1087</v>
      </c>
      <c r="K783" s="137" t="s">
        <v>808</v>
      </c>
      <c r="L783" s="137" t="s">
        <v>807</v>
      </c>
      <c r="M78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8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83" s="138" t="str" cm="1">
        <f t="array" ref="O783">IFERROR(INDEX(CategoriesTable[Category type],MATCH(Table1[[#This Row],[Category]],CategoriesTable[Category name],0),0),"")</f>
        <v/>
      </c>
      <c r="P783" s="138">
        <v>5</v>
      </c>
      <c r="Q783" s="138">
        <f>MONTH(Table1[[#This Row],[Date]])</f>
        <v>7</v>
      </c>
      <c r="R783" s="138">
        <v>2021</v>
      </c>
      <c r="S783" s="139">
        <f>IF(ISBLANK(Table1[[#This Row],[Date]]),"",Table1[[#This Row],[Date]]-WEEKDAY(Table1[[#This Row],[Date]],2)+1)</f>
        <v>44382</v>
      </c>
      <c r="T783" s="140">
        <f>IF(ISBLANK(Table1[[#This Row],[Date]]),"",DATE(Table1[[#This Row],[Date_Year]],Table1[[#This Row],[Date_Month]],1))</f>
        <v>44378</v>
      </c>
    </row>
    <row r="784" spans="2:20" ht="15.75">
      <c r="B784" s="154">
        <v>44382</v>
      </c>
      <c r="C784" s="119" t="s">
        <v>845</v>
      </c>
      <c r="D784" s="119"/>
      <c r="E784" s="119"/>
      <c r="F784" s="155">
        <v>367.73</v>
      </c>
      <c r="G784" s="133" t="str">
        <f>_xlfn.XLOOKUP(Table1[[#This Row],[Account_ID]], Accounts[ID], Accounts[Account nickname], "Unknown")</f>
        <v>Discover</v>
      </c>
      <c r="H784" s="134" t="str">
        <f>_xlfn.XLOOKUP(Table1[[#This Row],[Account_ID]], Accounts[ID], Accounts[Account'#], "Unknown")</f>
        <v>4618</v>
      </c>
      <c r="I784" s="135" t="str">
        <f>_xlfn.XLOOKUP(_xlfn.XLOOKUP(Table1[[#This Row],[Account]],Accounts[Account nickname],Accounts[Institution ID]),Institutions[ID],Institutions[Institution nickname],"Unknown")</f>
        <v>Discover</v>
      </c>
      <c r="J784" s="136" t="s">
        <v>2140</v>
      </c>
      <c r="K784" s="137" t="s">
        <v>843</v>
      </c>
      <c r="L784" s="137" t="s">
        <v>841</v>
      </c>
      <c r="M78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8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84" s="138" t="str" cm="1">
        <f t="array" ref="O784">IFERROR(INDEX(CategoriesTable[Category type],MATCH(Table1[[#This Row],[Category]],CategoriesTable[Category name],0),0),"")</f>
        <v/>
      </c>
      <c r="P784" s="138">
        <v>5</v>
      </c>
      <c r="Q784" s="138">
        <f>MONTH(Table1[[#This Row],[Date]])</f>
        <v>7</v>
      </c>
      <c r="R784" s="138">
        <v>2021</v>
      </c>
      <c r="S784" s="139">
        <f>IF(ISBLANK(Table1[[#This Row],[Date]]),"",Table1[[#This Row],[Date]]-WEEKDAY(Table1[[#This Row],[Date]],2)+1)</f>
        <v>44382</v>
      </c>
      <c r="T784" s="140">
        <f>IF(ISBLANK(Table1[[#This Row],[Date]]),"",DATE(Table1[[#This Row],[Date_Year]],Table1[[#This Row],[Date_Month]],1))</f>
        <v>44378</v>
      </c>
    </row>
    <row r="785" spans="2:20" ht="15.75">
      <c r="B785" s="154">
        <v>44382</v>
      </c>
      <c r="C785" s="119" t="s">
        <v>712</v>
      </c>
      <c r="D785" s="119"/>
      <c r="E785" s="119"/>
      <c r="F785" s="155">
        <v>-48.99</v>
      </c>
      <c r="G785" s="133" t="str">
        <f>_xlfn.XLOOKUP(Table1[[#This Row],[Account_ID]], Accounts[ID], Accounts[Account nickname], "Unknown")</f>
        <v>Discover</v>
      </c>
      <c r="H785" s="134" t="str">
        <f>_xlfn.XLOOKUP(Table1[[#This Row],[Account_ID]], Accounts[ID], Accounts[Account'#], "Unknown")</f>
        <v>4618</v>
      </c>
      <c r="I785" s="135" t="str">
        <f>_xlfn.XLOOKUP(_xlfn.XLOOKUP(Table1[[#This Row],[Account]],Accounts[Account nickname],Accounts[Institution ID]),Institutions[ID],Institutions[Institution nickname],"Unknown")</f>
        <v>Discover</v>
      </c>
      <c r="J785" s="136" t="s">
        <v>2145</v>
      </c>
      <c r="K785" s="137" t="s">
        <v>843</v>
      </c>
      <c r="L785" s="137" t="s">
        <v>841</v>
      </c>
      <c r="M78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8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85" s="138" t="str" cm="1">
        <f t="array" ref="O785">IFERROR(INDEX(CategoriesTable[Category type],MATCH(Table1[[#This Row],[Category]],CategoriesTable[Category name],0),0),"")</f>
        <v/>
      </c>
      <c r="P785" s="138">
        <v>5</v>
      </c>
      <c r="Q785" s="138">
        <f>MONTH(Table1[[#This Row],[Date]])</f>
        <v>7</v>
      </c>
      <c r="R785" s="138">
        <v>2021</v>
      </c>
      <c r="S785" s="139">
        <f>IF(ISBLANK(Table1[[#This Row],[Date]]),"",Table1[[#This Row],[Date]]-WEEKDAY(Table1[[#This Row],[Date]],2)+1)</f>
        <v>44382</v>
      </c>
      <c r="T785" s="140">
        <f>IF(ISBLANK(Table1[[#This Row],[Date]]),"",DATE(Table1[[#This Row],[Date_Year]],Table1[[#This Row],[Date_Month]],1))</f>
        <v>44378</v>
      </c>
    </row>
    <row r="786" spans="2:20" ht="15.75">
      <c r="B786" s="154">
        <v>44381</v>
      </c>
      <c r="C786" s="119" t="s">
        <v>2152</v>
      </c>
      <c r="D786" s="119"/>
      <c r="E786" s="119"/>
      <c r="F786" s="155">
        <v>-2.75</v>
      </c>
      <c r="G786" s="133" t="str">
        <f>_xlfn.XLOOKUP(Table1[[#This Row],[Account_ID]], Accounts[ID], Accounts[Account nickname], "Unknown")</f>
        <v>Discover</v>
      </c>
      <c r="H786" s="134" t="str">
        <f>_xlfn.XLOOKUP(Table1[[#This Row],[Account_ID]], Accounts[ID], Accounts[Account'#], "Unknown")</f>
        <v>4618</v>
      </c>
      <c r="I786" s="135" t="str">
        <f>_xlfn.XLOOKUP(_xlfn.XLOOKUP(Table1[[#This Row],[Account]],Accounts[Account nickname],Accounts[Institution ID]),Institutions[ID],Institutions[Institution nickname],"Unknown")</f>
        <v>Discover</v>
      </c>
      <c r="J786" s="136" t="s">
        <v>2153</v>
      </c>
      <c r="K786" s="137" t="s">
        <v>843</v>
      </c>
      <c r="L786" s="137" t="s">
        <v>841</v>
      </c>
      <c r="M78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8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86" s="138" t="str" cm="1">
        <f t="array" ref="O786">IFERROR(INDEX(CategoriesTable[Category type],MATCH(Table1[[#This Row],[Category]],CategoriesTable[Category name],0),0),"")</f>
        <v/>
      </c>
      <c r="P786" s="138">
        <v>4</v>
      </c>
      <c r="Q786" s="138">
        <f>MONTH(Table1[[#This Row],[Date]])</f>
        <v>7</v>
      </c>
      <c r="R786" s="138">
        <v>2021</v>
      </c>
      <c r="S786" s="139">
        <f>IF(ISBLANK(Table1[[#This Row],[Date]]),"",Table1[[#This Row],[Date]]-WEEKDAY(Table1[[#This Row],[Date]],2)+1)</f>
        <v>44375</v>
      </c>
      <c r="T786" s="140">
        <f>IF(ISBLANK(Table1[[#This Row],[Date]]),"",DATE(Table1[[#This Row],[Date_Year]],Table1[[#This Row],[Date_Month]],1))</f>
        <v>44378</v>
      </c>
    </row>
    <row r="787" spans="2:20" ht="15.75">
      <c r="B787" s="154">
        <v>44381</v>
      </c>
      <c r="C787" s="119" t="s">
        <v>845</v>
      </c>
      <c r="D787" s="119"/>
      <c r="E787" s="119"/>
      <c r="F787" s="155">
        <v>1854.26</v>
      </c>
      <c r="G787" s="133" t="str">
        <f>_xlfn.XLOOKUP(Table1[[#This Row],[Account_ID]], Accounts[ID], Accounts[Account nickname], "Unknown")</f>
        <v>Discover</v>
      </c>
      <c r="H787" s="134" t="str">
        <f>_xlfn.XLOOKUP(Table1[[#This Row],[Account_ID]], Accounts[ID], Accounts[Account'#], "Unknown")</f>
        <v>4618</v>
      </c>
      <c r="I787" s="135" t="str">
        <f>_xlfn.XLOOKUP(_xlfn.XLOOKUP(Table1[[#This Row],[Account]],Accounts[Account nickname],Accounts[Institution ID]),Institutions[ID],Institutions[Institution nickname],"Unknown")</f>
        <v>Discover</v>
      </c>
      <c r="J787" s="136" t="s">
        <v>2148</v>
      </c>
      <c r="K787" s="137" t="s">
        <v>843</v>
      </c>
      <c r="L787" s="137" t="s">
        <v>841</v>
      </c>
      <c r="M78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8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87" s="138" t="str" cm="1">
        <f t="array" ref="O787">IFERROR(INDEX(CategoriesTable[Category type],MATCH(Table1[[#This Row],[Category]],CategoriesTable[Category name],0),0),"")</f>
        <v/>
      </c>
      <c r="P787" s="138">
        <v>4</v>
      </c>
      <c r="Q787" s="138">
        <f>MONTH(Table1[[#This Row],[Date]])</f>
        <v>7</v>
      </c>
      <c r="R787" s="138">
        <v>2021</v>
      </c>
      <c r="S787" s="139">
        <f>IF(ISBLANK(Table1[[#This Row],[Date]]),"",Table1[[#This Row],[Date]]-WEEKDAY(Table1[[#This Row],[Date]],2)+1)</f>
        <v>44375</v>
      </c>
      <c r="T787" s="140">
        <f>IF(ISBLANK(Table1[[#This Row],[Date]]),"",DATE(Table1[[#This Row],[Date_Year]],Table1[[#This Row],[Date_Month]],1))</f>
        <v>44378</v>
      </c>
    </row>
    <row r="788" spans="2:20" ht="15.75">
      <c r="B788" s="154">
        <v>44381</v>
      </c>
      <c r="C788" s="119" t="s">
        <v>1726</v>
      </c>
      <c r="D788" s="119"/>
      <c r="E788" s="119"/>
      <c r="F788" s="155">
        <v>-78.17</v>
      </c>
      <c r="G788" s="133" t="str">
        <f>_xlfn.XLOOKUP(Table1[[#This Row],[Account_ID]], Accounts[ID], Accounts[Account nickname], "Unknown")</f>
        <v>Discover</v>
      </c>
      <c r="H788" s="134" t="str">
        <f>_xlfn.XLOOKUP(Table1[[#This Row],[Account_ID]], Accounts[ID], Accounts[Account'#], "Unknown")</f>
        <v>4618</v>
      </c>
      <c r="I788" s="135" t="str">
        <f>_xlfn.XLOOKUP(_xlfn.XLOOKUP(Table1[[#This Row],[Account]],Accounts[Account nickname],Accounts[Institution ID]),Institutions[ID],Institutions[Institution nickname],"Unknown")</f>
        <v>Discover</v>
      </c>
      <c r="J788" s="136" t="s">
        <v>2149</v>
      </c>
      <c r="K788" s="137" t="s">
        <v>843</v>
      </c>
      <c r="L788" s="137" t="s">
        <v>841</v>
      </c>
      <c r="M78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8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88" s="138" t="str" cm="1">
        <f t="array" ref="O788">IFERROR(INDEX(CategoriesTable[Category type],MATCH(Table1[[#This Row],[Category]],CategoriesTable[Category name],0),0),"")</f>
        <v/>
      </c>
      <c r="P788" s="138">
        <v>4</v>
      </c>
      <c r="Q788" s="138">
        <f>MONTH(Table1[[#This Row],[Date]])</f>
        <v>7</v>
      </c>
      <c r="R788" s="138">
        <v>2021</v>
      </c>
      <c r="S788" s="139">
        <f>IF(ISBLANK(Table1[[#This Row],[Date]]),"",Table1[[#This Row],[Date]]-WEEKDAY(Table1[[#This Row],[Date]],2)+1)</f>
        <v>44375</v>
      </c>
      <c r="T788" s="140">
        <f>IF(ISBLANK(Table1[[#This Row],[Date]]),"",DATE(Table1[[#This Row],[Date_Year]],Table1[[#This Row],[Date_Month]],1))</f>
        <v>44378</v>
      </c>
    </row>
    <row r="789" spans="2:20" ht="15.75">
      <c r="B789" s="154">
        <v>44381</v>
      </c>
      <c r="C789" s="119" t="s">
        <v>2152</v>
      </c>
      <c r="D789" s="119"/>
      <c r="E789" s="119"/>
      <c r="F789" s="155">
        <v>-2.75</v>
      </c>
      <c r="G789" s="133" t="str">
        <f>_xlfn.XLOOKUP(Table1[[#This Row],[Account_ID]], Accounts[ID], Accounts[Account nickname], "Unknown")</f>
        <v>Discover</v>
      </c>
      <c r="H789" s="134" t="str">
        <f>_xlfn.XLOOKUP(Table1[[#This Row],[Account_ID]], Accounts[ID], Accounts[Account'#], "Unknown")</f>
        <v>4618</v>
      </c>
      <c r="I789" s="135" t="str">
        <f>_xlfn.XLOOKUP(_xlfn.XLOOKUP(Table1[[#This Row],[Account]],Accounts[Account nickname],Accounts[Institution ID]),Institutions[ID],Institutions[Institution nickname],"Unknown")</f>
        <v>Discover</v>
      </c>
      <c r="J789" s="136" t="s">
        <v>2155</v>
      </c>
      <c r="K789" s="137" t="s">
        <v>843</v>
      </c>
      <c r="L789" s="137" t="s">
        <v>841</v>
      </c>
      <c r="M78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8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89" s="138" t="str" cm="1">
        <f t="array" ref="O789">IFERROR(INDEX(CategoriesTable[Category type],MATCH(Table1[[#This Row],[Category]],CategoriesTable[Category name],0),0),"")</f>
        <v/>
      </c>
      <c r="P789" s="138">
        <v>4</v>
      </c>
      <c r="Q789" s="138">
        <f>MONTH(Table1[[#This Row],[Date]])</f>
        <v>7</v>
      </c>
      <c r="R789" s="138">
        <v>2021</v>
      </c>
      <c r="S789" s="139">
        <f>IF(ISBLANK(Table1[[#This Row],[Date]]),"",Table1[[#This Row],[Date]]-WEEKDAY(Table1[[#This Row],[Date]],2)+1)</f>
        <v>44375</v>
      </c>
      <c r="T789" s="140">
        <f>IF(ISBLANK(Table1[[#This Row],[Date]]),"",DATE(Table1[[#This Row],[Date_Year]],Table1[[#This Row],[Date_Month]],1))</f>
        <v>44378</v>
      </c>
    </row>
    <row r="790" spans="2:20" ht="15.75">
      <c r="B790" s="154">
        <v>44381</v>
      </c>
      <c r="C790" s="119" t="s">
        <v>2152</v>
      </c>
      <c r="D790" s="119"/>
      <c r="E790" s="119"/>
      <c r="F790" s="155">
        <v>-2.75</v>
      </c>
      <c r="G790" s="133" t="str">
        <f>_xlfn.XLOOKUP(Table1[[#This Row],[Account_ID]], Accounts[ID], Accounts[Account nickname], "Unknown")</f>
        <v>Discover</v>
      </c>
      <c r="H790" s="134" t="str">
        <f>_xlfn.XLOOKUP(Table1[[#This Row],[Account_ID]], Accounts[ID], Accounts[Account'#], "Unknown")</f>
        <v>4618</v>
      </c>
      <c r="I790" s="135" t="str">
        <f>_xlfn.XLOOKUP(_xlfn.XLOOKUP(Table1[[#This Row],[Account]],Accounts[Account nickname],Accounts[Institution ID]),Institutions[ID],Institutions[Institution nickname],"Unknown")</f>
        <v>Discover</v>
      </c>
      <c r="J790" s="136" t="s">
        <v>2154</v>
      </c>
      <c r="K790" s="137" t="s">
        <v>843</v>
      </c>
      <c r="L790" s="137" t="s">
        <v>841</v>
      </c>
      <c r="M79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9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90" s="138" t="str" cm="1">
        <f t="array" ref="O790">IFERROR(INDEX(CategoriesTable[Category type],MATCH(Table1[[#This Row],[Category]],CategoriesTable[Category name],0),0),"")</f>
        <v/>
      </c>
      <c r="P790" s="138">
        <v>4</v>
      </c>
      <c r="Q790" s="138">
        <f>MONTH(Table1[[#This Row],[Date]])</f>
        <v>7</v>
      </c>
      <c r="R790" s="138">
        <v>2021</v>
      </c>
      <c r="S790" s="139">
        <f>IF(ISBLANK(Table1[[#This Row],[Date]]),"",Table1[[#This Row],[Date]]-WEEKDAY(Table1[[#This Row],[Date]],2)+1)</f>
        <v>44375</v>
      </c>
      <c r="T790" s="140">
        <f>IF(ISBLANK(Table1[[#This Row],[Date]]),"",DATE(Table1[[#This Row],[Date_Year]],Table1[[#This Row],[Date_Month]],1))</f>
        <v>44378</v>
      </c>
    </row>
    <row r="791" spans="2:20" ht="15.75">
      <c r="B791" s="154">
        <v>44381</v>
      </c>
      <c r="C791" s="119" t="s">
        <v>2152</v>
      </c>
      <c r="D791" s="119"/>
      <c r="E791" s="119"/>
      <c r="F791" s="155">
        <v>-2.75</v>
      </c>
      <c r="G791" s="133" t="str">
        <f>_xlfn.XLOOKUP(Table1[[#This Row],[Account_ID]], Accounts[ID], Accounts[Account nickname], "Unknown")</f>
        <v>Discover</v>
      </c>
      <c r="H791" s="134" t="str">
        <f>_xlfn.XLOOKUP(Table1[[#This Row],[Account_ID]], Accounts[ID], Accounts[Account'#], "Unknown")</f>
        <v>4618</v>
      </c>
      <c r="I791" s="135" t="str">
        <f>_xlfn.XLOOKUP(_xlfn.XLOOKUP(Table1[[#This Row],[Account]],Accounts[Account nickname],Accounts[Institution ID]),Institutions[ID],Institutions[Institution nickname],"Unknown")</f>
        <v>Discover</v>
      </c>
      <c r="J791" s="136" t="s">
        <v>2156</v>
      </c>
      <c r="K791" s="137" t="s">
        <v>843</v>
      </c>
      <c r="L791" s="137" t="s">
        <v>841</v>
      </c>
      <c r="M79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9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91" s="138" t="str" cm="1">
        <f t="array" ref="O791">IFERROR(INDEX(CategoriesTable[Category type],MATCH(Table1[[#This Row],[Category]],CategoriesTable[Category name],0),0),"")</f>
        <v/>
      </c>
      <c r="P791" s="138">
        <v>4</v>
      </c>
      <c r="Q791" s="138">
        <f>MONTH(Table1[[#This Row],[Date]])</f>
        <v>7</v>
      </c>
      <c r="R791" s="138">
        <v>2021</v>
      </c>
      <c r="S791" s="139">
        <f>IF(ISBLANK(Table1[[#This Row],[Date]]),"",Table1[[#This Row],[Date]]-WEEKDAY(Table1[[#This Row],[Date]],2)+1)</f>
        <v>44375</v>
      </c>
      <c r="T791" s="140">
        <f>IF(ISBLANK(Table1[[#This Row],[Date]]),"",DATE(Table1[[#This Row],[Date_Year]],Table1[[#This Row],[Date_Month]],1))</f>
        <v>44378</v>
      </c>
    </row>
    <row r="792" spans="2:20" ht="15.75">
      <c r="B792" s="154">
        <v>44381</v>
      </c>
      <c r="C792" s="119" t="s">
        <v>2146</v>
      </c>
      <c r="D792" s="119"/>
      <c r="E792" s="119"/>
      <c r="F792" s="155">
        <v>-51.44</v>
      </c>
      <c r="G792" s="133" t="str">
        <f>_xlfn.XLOOKUP(Table1[[#This Row],[Account_ID]], Accounts[ID], Accounts[Account nickname], "Unknown")</f>
        <v>Discover</v>
      </c>
      <c r="H792" s="134" t="str">
        <f>_xlfn.XLOOKUP(Table1[[#This Row],[Account_ID]], Accounts[ID], Accounts[Account'#], "Unknown")</f>
        <v>4618</v>
      </c>
      <c r="I792" s="135" t="str">
        <f>_xlfn.XLOOKUP(_xlfn.XLOOKUP(Table1[[#This Row],[Account]],Accounts[Account nickname],Accounts[Institution ID]),Institutions[ID],Institutions[Institution nickname],"Unknown")</f>
        <v>Discover</v>
      </c>
      <c r="J792" s="136" t="s">
        <v>2147</v>
      </c>
      <c r="K792" s="137" t="s">
        <v>843</v>
      </c>
      <c r="L792" s="137" t="s">
        <v>841</v>
      </c>
      <c r="M79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9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92" s="138" t="str" cm="1">
        <f t="array" ref="O792">IFERROR(INDEX(CategoriesTable[Category type],MATCH(Table1[[#This Row],[Category]],CategoriesTable[Category name],0),0),"")</f>
        <v/>
      </c>
      <c r="P792" s="138">
        <v>4</v>
      </c>
      <c r="Q792" s="138">
        <f>MONTH(Table1[[#This Row],[Date]])</f>
        <v>7</v>
      </c>
      <c r="R792" s="138">
        <v>2021</v>
      </c>
      <c r="S792" s="139">
        <f>IF(ISBLANK(Table1[[#This Row],[Date]]),"",Table1[[#This Row],[Date]]-WEEKDAY(Table1[[#This Row],[Date]],2)+1)</f>
        <v>44375</v>
      </c>
      <c r="T792" s="140">
        <f>IF(ISBLANK(Table1[[#This Row],[Date]]),"",DATE(Table1[[#This Row],[Date_Year]],Table1[[#This Row],[Date_Month]],1))</f>
        <v>44378</v>
      </c>
    </row>
    <row r="793" spans="2:20" ht="15.75">
      <c r="B793" s="154">
        <v>44381</v>
      </c>
      <c r="C793" s="119" t="s">
        <v>2150</v>
      </c>
      <c r="D793" s="119"/>
      <c r="E793" s="119"/>
      <c r="F793" s="155">
        <v>-37.619999999999997</v>
      </c>
      <c r="G793" s="133" t="str">
        <f>_xlfn.XLOOKUP(Table1[[#This Row],[Account_ID]], Accounts[ID], Accounts[Account nickname], "Unknown")</f>
        <v>Discover</v>
      </c>
      <c r="H793" s="134" t="str">
        <f>_xlfn.XLOOKUP(Table1[[#This Row],[Account_ID]], Accounts[ID], Accounts[Account'#], "Unknown")</f>
        <v>4618</v>
      </c>
      <c r="I793" s="135" t="str">
        <f>_xlfn.XLOOKUP(_xlfn.XLOOKUP(Table1[[#This Row],[Account]],Accounts[Account nickname],Accounts[Institution ID]),Institutions[ID],Institutions[Institution nickname],"Unknown")</f>
        <v>Discover</v>
      </c>
      <c r="J793" s="152" t="s">
        <v>2151</v>
      </c>
      <c r="K793" s="137" t="s">
        <v>843</v>
      </c>
      <c r="L793" s="137" t="s">
        <v>841</v>
      </c>
      <c r="M79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9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93" s="138" t="str" cm="1">
        <f t="array" ref="O793">IFERROR(INDEX(CategoriesTable[Category type],MATCH(Table1[[#This Row],[Category]],CategoriesTable[Category name],0),0),"")</f>
        <v/>
      </c>
      <c r="P793" s="138">
        <v>4</v>
      </c>
      <c r="Q793" s="138">
        <f>MONTH(Table1[[#This Row],[Date]])</f>
        <v>7</v>
      </c>
      <c r="R793" s="138">
        <v>2021</v>
      </c>
      <c r="S793" s="139">
        <f>IF(ISBLANK(Table1[[#This Row],[Date]]),"",Table1[[#This Row],[Date]]-WEEKDAY(Table1[[#This Row],[Date]],2)+1)</f>
        <v>44375</v>
      </c>
      <c r="T793" s="140">
        <f>IF(ISBLANK(Table1[[#This Row],[Date]]),"",DATE(Table1[[#This Row],[Date_Year]],Table1[[#This Row],[Date_Month]],1))</f>
        <v>44378</v>
      </c>
    </row>
    <row r="794" spans="2:20" ht="15.75">
      <c r="B794" s="154">
        <v>44380</v>
      </c>
      <c r="C794" s="119" t="s">
        <v>1529</v>
      </c>
      <c r="D794" s="119"/>
      <c r="E794" s="119"/>
      <c r="F794" s="155">
        <v>-11.99</v>
      </c>
      <c r="G794" s="133" t="str">
        <f>_xlfn.XLOOKUP(Table1[[#This Row],[Account_ID]], Accounts[ID], Accounts[Account nickname], "Unknown")</f>
        <v>Discover</v>
      </c>
      <c r="H794" s="134" t="str">
        <f>_xlfn.XLOOKUP(Table1[[#This Row],[Account_ID]], Accounts[ID], Accounts[Account'#], "Unknown")</f>
        <v>4618</v>
      </c>
      <c r="I794" s="135" t="str">
        <f>_xlfn.XLOOKUP(_xlfn.XLOOKUP(Table1[[#This Row],[Account]],Accounts[Account nickname],Accounts[Institution ID]),Institutions[ID],Institutions[Institution nickname],"Unknown")</f>
        <v>Discover</v>
      </c>
      <c r="J794" s="136" t="s">
        <v>2157</v>
      </c>
      <c r="K794" s="137" t="s">
        <v>843</v>
      </c>
      <c r="L794" s="137" t="s">
        <v>841</v>
      </c>
      <c r="M79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9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94" s="138" t="str" cm="1">
        <f t="array" ref="O794">IFERROR(INDEX(CategoriesTable[Category type],MATCH(Table1[[#This Row],[Category]],CategoriesTable[Category name],0),0),"")</f>
        <v/>
      </c>
      <c r="P794" s="138">
        <v>3</v>
      </c>
      <c r="Q794" s="138">
        <f>MONTH(Table1[[#This Row],[Date]])</f>
        <v>7</v>
      </c>
      <c r="R794" s="138">
        <v>2021</v>
      </c>
      <c r="S794" s="139">
        <f>IF(ISBLANK(Table1[[#This Row],[Date]]),"",Table1[[#This Row],[Date]]-WEEKDAY(Table1[[#This Row],[Date]],2)+1)</f>
        <v>44375</v>
      </c>
      <c r="T794" s="140">
        <f>IF(ISBLANK(Table1[[#This Row],[Date]]),"",DATE(Table1[[#This Row],[Date_Year]],Table1[[#This Row],[Date_Month]],1))</f>
        <v>44378</v>
      </c>
    </row>
    <row r="795" spans="2:20" ht="15.75">
      <c r="B795" s="154">
        <v>44380</v>
      </c>
      <c r="C795" s="119" t="s">
        <v>1403</v>
      </c>
      <c r="D795" s="119"/>
      <c r="E795" s="119"/>
      <c r="F795" s="155">
        <v>-92.07</v>
      </c>
      <c r="G795" s="133" t="str">
        <f>_xlfn.XLOOKUP(Table1[[#This Row],[Account_ID]], Accounts[ID], Accounts[Account nickname], "Unknown")</f>
        <v>Discover</v>
      </c>
      <c r="H795" s="134" t="str">
        <f>_xlfn.XLOOKUP(Table1[[#This Row],[Account_ID]], Accounts[ID], Accounts[Account'#], "Unknown")</f>
        <v>4618</v>
      </c>
      <c r="I795" s="135" t="str">
        <f>_xlfn.XLOOKUP(_xlfn.XLOOKUP(Table1[[#This Row],[Account]],Accounts[Account nickname],Accounts[Institution ID]),Institutions[ID],Institutions[Institution nickname],"Unknown")</f>
        <v>Discover</v>
      </c>
      <c r="J795" s="136" t="s">
        <v>2165</v>
      </c>
      <c r="K795" s="137" t="s">
        <v>843</v>
      </c>
      <c r="L795" s="137" t="s">
        <v>841</v>
      </c>
      <c r="M79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9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95" s="138" t="str" cm="1">
        <f t="array" ref="O795">IFERROR(INDEX(CategoriesTable[Category type],MATCH(Table1[[#This Row],[Category]],CategoriesTable[Category name],0),0),"")</f>
        <v/>
      </c>
      <c r="P795" s="138">
        <v>3</v>
      </c>
      <c r="Q795" s="138">
        <f>MONTH(Table1[[#This Row],[Date]])</f>
        <v>7</v>
      </c>
      <c r="R795" s="138">
        <v>2021</v>
      </c>
      <c r="S795" s="139">
        <f>IF(ISBLANK(Table1[[#This Row],[Date]]),"",Table1[[#This Row],[Date]]-WEEKDAY(Table1[[#This Row],[Date]],2)+1)</f>
        <v>44375</v>
      </c>
      <c r="T795" s="140">
        <f>IF(ISBLANK(Table1[[#This Row],[Date]]),"",DATE(Table1[[#This Row],[Date_Year]],Table1[[#This Row],[Date_Month]],1))</f>
        <v>44378</v>
      </c>
    </row>
    <row r="796" spans="2:20" ht="15.75">
      <c r="B796" s="154">
        <v>44380</v>
      </c>
      <c r="C796" s="119" t="s">
        <v>2163</v>
      </c>
      <c r="D796" s="119"/>
      <c r="E796" s="119"/>
      <c r="F796" s="155">
        <v>-2.75</v>
      </c>
      <c r="G796" s="133" t="str">
        <f>_xlfn.XLOOKUP(Table1[[#This Row],[Account_ID]], Accounts[ID], Accounts[Account nickname], "Unknown")</f>
        <v>Discover</v>
      </c>
      <c r="H796" s="134" t="str">
        <f>_xlfn.XLOOKUP(Table1[[#This Row],[Account_ID]], Accounts[ID], Accounts[Account'#], "Unknown")</f>
        <v>4618</v>
      </c>
      <c r="I796" s="135" t="str">
        <f>_xlfn.XLOOKUP(_xlfn.XLOOKUP(Table1[[#This Row],[Account]],Accounts[Account nickname],Accounts[Institution ID]),Institutions[ID],Institutions[Institution nickname],"Unknown")</f>
        <v>Discover</v>
      </c>
      <c r="J796" s="136" t="s">
        <v>2164</v>
      </c>
      <c r="K796" s="137" t="s">
        <v>843</v>
      </c>
      <c r="L796" s="137" t="s">
        <v>841</v>
      </c>
      <c r="M79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9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96" s="138" t="str" cm="1">
        <f t="array" ref="O796">IFERROR(INDEX(CategoriesTable[Category type],MATCH(Table1[[#This Row],[Category]],CategoriesTable[Category name],0),0),"")</f>
        <v/>
      </c>
      <c r="P796" s="138">
        <v>3</v>
      </c>
      <c r="Q796" s="138">
        <f>MONTH(Table1[[#This Row],[Date]])</f>
        <v>7</v>
      </c>
      <c r="R796" s="138">
        <v>2021</v>
      </c>
      <c r="S796" s="139">
        <f>IF(ISBLANK(Table1[[#This Row],[Date]]),"",Table1[[#This Row],[Date]]-WEEKDAY(Table1[[#This Row],[Date]],2)+1)</f>
        <v>44375</v>
      </c>
      <c r="T796" s="140">
        <f>IF(ISBLANK(Table1[[#This Row],[Date]]),"",DATE(Table1[[#This Row],[Date_Year]],Table1[[#This Row],[Date_Month]],1))</f>
        <v>44378</v>
      </c>
    </row>
    <row r="797" spans="2:20" ht="15.75">
      <c r="B797" s="154">
        <v>44380</v>
      </c>
      <c r="C797" s="119" t="s">
        <v>1726</v>
      </c>
      <c r="D797" s="119"/>
      <c r="E797" s="119"/>
      <c r="F797" s="155">
        <v>-62.54</v>
      </c>
      <c r="G797" s="133" t="str">
        <f>_xlfn.XLOOKUP(Table1[[#This Row],[Account_ID]], Accounts[ID], Accounts[Account nickname], "Unknown")</f>
        <v>Discover</v>
      </c>
      <c r="H797" s="134" t="str">
        <f>_xlfn.XLOOKUP(Table1[[#This Row],[Account_ID]], Accounts[ID], Accounts[Account'#], "Unknown")</f>
        <v>4618</v>
      </c>
      <c r="I797" s="135" t="str">
        <f>_xlfn.XLOOKUP(_xlfn.XLOOKUP(Table1[[#This Row],[Account]],Accounts[Account nickname],Accounts[Institution ID]),Institutions[ID],Institutions[Institution nickname],"Unknown")</f>
        <v>Discover</v>
      </c>
      <c r="J797" s="136" t="s">
        <v>2158</v>
      </c>
      <c r="K797" s="137" t="s">
        <v>843</v>
      </c>
      <c r="L797" s="137" t="s">
        <v>841</v>
      </c>
      <c r="M79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9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97" s="138" t="str" cm="1">
        <f t="array" ref="O797">IFERROR(INDEX(CategoriesTable[Category type],MATCH(Table1[[#This Row],[Category]],CategoriesTable[Category name],0),0),"")</f>
        <v/>
      </c>
      <c r="P797" s="138">
        <v>3</v>
      </c>
      <c r="Q797" s="138">
        <f>MONTH(Table1[[#This Row],[Date]])</f>
        <v>7</v>
      </c>
      <c r="R797" s="138">
        <v>2021</v>
      </c>
      <c r="S797" s="139">
        <f>IF(ISBLANK(Table1[[#This Row],[Date]]),"",Table1[[#This Row],[Date]]-WEEKDAY(Table1[[#This Row],[Date]],2)+1)</f>
        <v>44375</v>
      </c>
      <c r="T797" s="140">
        <f>IF(ISBLANK(Table1[[#This Row],[Date]]),"",DATE(Table1[[#This Row],[Date_Year]],Table1[[#This Row],[Date_Month]],1))</f>
        <v>44378</v>
      </c>
    </row>
    <row r="798" spans="2:20" ht="15.75">
      <c r="B798" s="154">
        <v>44380</v>
      </c>
      <c r="C798" s="119" t="s">
        <v>2152</v>
      </c>
      <c r="D798" s="119"/>
      <c r="E798" s="119"/>
      <c r="F798" s="155">
        <v>-2.75</v>
      </c>
      <c r="G798" s="133" t="str">
        <f>_xlfn.XLOOKUP(Table1[[#This Row],[Account_ID]], Accounts[ID], Accounts[Account nickname], "Unknown")</f>
        <v>Discover</v>
      </c>
      <c r="H798" s="134" t="str">
        <f>_xlfn.XLOOKUP(Table1[[#This Row],[Account_ID]], Accounts[ID], Accounts[Account'#], "Unknown")</f>
        <v>4618</v>
      </c>
      <c r="I798" s="135" t="str">
        <f>_xlfn.XLOOKUP(_xlfn.XLOOKUP(Table1[[#This Row],[Account]],Accounts[Account nickname],Accounts[Institution ID]),Institutions[ID],Institutions[Institution nickname],"Unknown")</f>
        <v>Discover</v>
      </c>
      <c r="J798" s="136" t="s">
        <v>2159</v>
      </c>
      <c r="K798" s="137" t="s">
        <v>843</v>
      </c>
      <c r="L798" s="137" t="s">
        <v>841</v>
      </c>
      <c r="M79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9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98" s="138" t="str" cm="1">
        <f t="array" ref="O798">IFERROR(INDEX(CategoriesTable[Category type],MATCH(Table1[[#This Row],[Category]],CategoriesTable[Category name],0),0),"")</f>
        <v/>
      </c>
      <c r="P798" s="138">
        <v>3</v>
      </c>
      <c r="Q798" s="138">
        <f>MONTH(Table1[[#This Row],[Date]])</f>
        <v>7</v>
      </c>
      <c r="R798" s="138">
        <v>2021</v>
      </c>
      <c r="S798" s="139">
        <f>IF(ISBLANK(Table1[[#This Row],[Date]]),"",Table1[[#This Row],[Date]]-WEEKDAY(Table1[[#This Row],[Date]],2)+1)</f>
        <v>44375</v>
      </c>
      <c r="T798" s="140">
        <f>IF(ISBLANK(Table1[[#This Row],[Date]]),"",DATE(Table1[[#This Row],[Date_Year]],Table1[[#This Row],[Date_Month]],1))</f>
        <v>44378</v>
      </c>
    </row>
    <row r="799" spans="2:20" ht="15.75">
      <c r="B799" s="154">
        <v>44380</v>
      </c>
      <c r="C799" s="119" t="s">
        <v>2152</v>
      </c>
      <c r="D799" s="119"/>
      <c r="E799" s="119"/>
      <c r="F799" s="155">
        <v>-2.75</v>
      </c>
      <c r="G799" s="133" t="str">
        <f>_xlfn.XLOOKUP(Table1[[#This Row],[Account_ID]], Accounts[ID], Accounts[Account nickname], "Unknown")</f>
        <v>Discover</v>
      </c>
      <c r="H799" s="134" t="str">
        <f>_xlfn.XLOOKUP(Table1[[#This Row],[Account_ID]], Accounts[ID], Accounts[Account'#], "Unknown")</f>
        <v>4618</v>
      </c>
      <c r="I799" s="135" t="str">
        <f>_xlfn.XLOOKUP(_xlfn.XLOOKUP(Table1[[#This Row],[Account]],Accounts[Account nickname],Accounts[Institution ID]),Institutions[ID],Institutions[Institution nickname],"Unknown")</f>
        <v>Discover</v>
      </c>
      <c r="J799" s="136" t="s">
        <v>2161</v>
      </c>
      <c r="K799" s="137" t="s">
        <v>843</v>
      </c>
      <c r="L799" s="137" t="s">
        <v>841</v>
      </c>
      <c r="M79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79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799" s="138" t="str" cm="1">
        <f t="array" ref="O799">IFERROR(INDEX(CategoriesTable[Category type],MATCH(Table1[[#This Row],[Category]],CategoriesTable[Category name],0),0),"")</f>
        <v/>
      </c>
      <c r="P799" s="138">
        <v>3</v>
      </c>
      <c r="Q799" s="138">
        <f>MONTH(Table1[[#This Row],[Date]])</f>
        <v>7</v>
      </c>
      <c r="R799" s="138">
        <v>2021</v>
      </c>
      <c r="S799" s="139">
        <f>IF(ISBLANK(Table1[[#This Row],[Date]]),"",Table1[[#This Row],[Date]]-WEEKDAY(Table1[[#This Row],[Date]],2)+1)</f>
        <v>44375</v>
      </c>
      <c r="T799" s="140">
        <f>IF(ISBLANK(Table1[[#This Row],[Date]]),"",DATE(Table1[[#This Row],[Date_Year]],Table1[[#This Row],[Date_Month]],1))</f>
        <v>44378</v>
      </c>
    </row>
    <row r="800" spans="2:20" ht="15.75">
      <c r="B800" s="154">
        <v>44380</v>
      </c>
      <c r="C800" s="119" t="s">
        <v>2152</v>
      </c>
      <c r="D800" s="119"/>
      <c r="E800" s="119"/>
      <c r="F800" s="155">
        <v>-2.75</v>
      </c>
      <c r="G800" s="133" t="str">
        <f>_xlfn.XLOOKUP(Table1[[#This Row],[Account_ID]], Accounts[ID], Accounts[Account nickname], "Unknown")</f>
        <v>Discover</v>
      </c>
      <c r="H800" s="134" t="str">
        <f>_xlfn.XLOOKUP(Table1[[#This Row],[Account_ID]], Accounts[ID], Accounts[Account'#], "Unknown")</f>
        <v>4618</v>
      </c>
      <c r="I800" s="135" t="str">
        <f>_xlfn.XLOOKUP(_xlfn.XLOOKUP(Table1[[#This Row],[Account]],Accounts[Account nickname],Accounts[Institution ID]),Institutions[ID],Institutions[Institution nickname],"Unknown")</f>
        <v>Discover</v>
      </c>
      <c r="J800" s="136" t="s">
        <v>2160</v>
      </c>
      <c r="K800" s="137" t="s">
        <v>843</v>
      </c>
      <c r="L800" s="137" t="s">
        <v>841</v>
      </c>
      <c r="M80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0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00" s="138" t="str" cm="1">
        <f t="array" ref="O800">IFERROR(INDEX(CategoriesTable[Category type],MATCH(Table1[[#This Row],[Category]],CategoriesTable[Category name],0),0),"")</f>
        <v/>
      </c>
      <c r="P800" s="138">
        <v>3</v>
      </c>
      <c r="Q800" s="138">
        <f>MONTH(Table1[[#This Row],[Date]])</f>
        <v>7</v>
      </c>
      <c r="R800" s="138">
        <v>2021</v>
      </c>
      <c r="S800" s="139">
        <f>IF(ISBLANK(Table1[[#This Row],[Date]]),"",Table1[[#This Row],[Date]]-WEEKDAY(Table1[[#This Row],[Date]],2)+1)</f>
        <v>44375</v>
      </c>
      <c r="T800" s="140">
        <f>IF(ISBLANK(Table1[[#This Row],[Date]]),"",DATE(Table1[[#This Row],[Date_Year]],Table1[[#This Row],[Date_Month]],1))</f>
        <v>44378</v>
      </c>
    </row>
    <row r="801" spans="2:20" ht="15.75">
      <c r="B801" s="154">
        <v>44380</v>
      </c>
      <c r="C801" s="119" t="s">
        <v>2152</v>
      </c>
      <c r="D801" s="119"/>
      <c r="E801" s="119"/>
      <c r="F801" s="155">
        <v>-2.75</v>
      </c>
      <c r="G801" s="133" t="str">
        <f>_xlfn.XLOOKUP(Table1[[#This Row],[Account_ID]], Accounts[ID], Accounts[Account nickname], "Unknown")</f>
        <v>Discover</v>
      </c>
      <c r="H801" s="134" t="str">
        <f>_xlfn.XLOOKUP(Table1[[#This Row],[Account_ID]], Accounts[ID], Accounts[Account'#], "Unknown")</f>
        <v>4618</v>
      </c>
      <c r="I801" s="135" t="str">
        <f>_xlfn.XLOOKUP(_xlfn.XLOOKUP(Table1[[#This Row],[Account]],Accounts[Account nickname],Accounts[Institution ID]),Institutions[ID],Institutions[Institution nickname],"Unknown")</f>
        <v>Discover</v>
      </c>
      <c r="J801" s="136" t="s">
        <v>2162</v>
      </c>
      <c r="K801" s="137" t="s">
        <v>843</v>
      </c>
      <c r="L801" s="137" t="s">
        <v>841</v>
      </c>
      <c r="M80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0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01" s="138" t="str" cm="1">
        <f t="array" ref="O801">IFERROR(INDEX(CategoriesTable[Category type],MATCH(Table1[[#This Row],[Category]],CategoriesTable[Category name],0),0),"")</f>
        <v/>
      </c>
      <c r="P801" s="138">
        <v>3</v>
      </c>
      <c r="Q801" s="138">
        <f>MONTH(Table1[[#This Row],[Date]])</f>
        <v>7</v>
      </c>
      <c r="R801" s="138">
        <v>2021</v>
      </c>
      <c r="S801" s="139">
        <f>IF(ISBLANK(Table1[[#This Row],[Date]]),"",Table1[[#This Row],[Date]]-WEEKDAY(Table1[[#This Row],[Date]],2)+1)</f>
        <v>44375</v>
      </c>
      <c r="T801" s="140">
        <f>IF(ISBLANK(Table1[[#This Row],[Date]]),"",DATE(Table1[[#This Row],[Date_Year]],Table1[[#This Row],[Date_Month]],1))</f>
        <v>44378</v>
      </c>
    </row>
    <row r="802" spans="2:20" ht="15.75">
      <c r="B802" s="154">
        <v>44380</v>
      </c>
      <c r="C802" s="119" t="s">
        <v>2166</v>
      </c>
      <c r="D802" s="119"/>
      <c r="E802" s="119"/>
      <c r="F802" s="155">
        <v>-29.9</v>
      </c>
      <c r="G802" s="133" t="str">
        <f>_xlfn.XLOOKUP(Table1[[#This Row],[Account_ID]], Accounts[ID], Accounts[Account nickname], "Unknown")</f>
        <v>Discover</v>
      </c>
      <c r="H802" s="134" t="str">
        <f>_xlfn.XLOOKUP(Table1[[#This Row],[Account_ID]], Accounts[ID], Accounts[Account'#], "Unknown")</f>
        <v>4618</v>
      </c>
      <c r="I802" s="135" t="str">
        <f>_xlfn.XLOOKUP(_xlfn.XLOOKUP(Table1[[#This Row],[Account]],Accounts[Account nickname],Accounts[Institution ID]),Institutions[ID],Institutions[Institution nickname],"Unknown")</f>
        <v>Discover</v>
      </c>
      <c r="J802" s="136" t="s">
        <v>2167</v>
      </c>
      <c r="K802" s="137" t="s">
        <v>843</v>
      </c>
      <c r="L802" s="137" t="s">
        <v>841</v>
      </c>
      <c r="M80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0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02" s="138" t="str" cm="1">
        <f t="array" ref="O802">IFERROR(INDEX(CategoriesTable[Category type],MATCH(Table1[[#This Row],[Category]],CategoriesTable[Category name],0),0),"")</f>
        <v/>
      </c>
      <c r="P802" s="138">
        <v>3</v>
      </c>
      <c r="Q802" s="138">
        <f>MONTH(Table1[[#This Row],[Date]])</f>
        <v>7</v>
      </c>
      <c r="R802" s="138">
        <v>2021</v>
      </c>
      <c r="S802" s="139">
        <f>IF(ISBLANK(Table1[[#This Row],[Date]]),"",Table1[[#This Row],[Date]]-WEEKDAY(Table1[[#This Row],[Date]],2)+1)</f>
        <v>44375</v>
      </c>
      <c r="T802" s="140">
        <f>IF(ISBLANK(Table1[[#This Row],[Date]]),"",DATE(Table1[[#This Row],[Date_Year]],Table1[[#This Row],[Date_Month]],1))</f>
        <v>44378</v>
      </c>
    </row>
    <row r="803" spans="2:20" ht="15.75">
      <c r="B803" s="154">
        <v>44379</v>
      </c>
      <c r="C803" s="119" t="s">
        <v>2152</v>
      </c>
      <c r="D803" s="119"/>
      <c r="E803" s="119"/>
      <c r="F803" s="155">
        <v>-2.75</v>
      </c>
      <c r="G803" s="133" t="str">
        <f>_xlfn.XLOOKUP(Table1[[#This Row],[Account_ID]], Accounts[ID], Accounts[Account nickname], "Unknown")</f>
        <v>Discover</v>
      </c>
      <c r="H803" s="134" t="str">
        <f>_xlfn.XLOOKUP(Table1[[#This Row],[Account_ID]], Accounts[ID], Accounts[Account'#], "Unknown")</f>
        <v>4618</v>
      </c>
      <c r="I803" s="135" t="str">
        <f>_xlfn.XLOOKUP(_xlfn.XLOOKUP(Table1[[#This Row],[Account]],Accounts[Account nickname],Accounts[Institution ID]),Institutions[ID],Institutions[Institution nickname],"Unknown")</f>
        <v>Discover</v>
      </c>
      <c r="J803" s="136" t="s">
        <v>2178</v>
      </c>
      <c r="K803" s="137" t="s">
        <v>843</v>
      </c>
      <c r="L803" s="137" t="s">
        <v>841</v>
      </c>
      <c r="M80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0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03" s="138" t="str" cm="1">
        <f t="array" ref="O803">IFERROR(INDEX(CategoriesTable[Category type],MATCH(Table1[[#This Row],[Category]],CategoriesTable[Category name],0),0),"")</f>
        <v/>
      </c>
      <c r="P803" s="138">
        <v>2</v>
      </c>
      <c r="Q803" s="138">
        <f>MONTH(Table1[[#This Row],[Date]])</f>
        <v>7</v>
      </c>
      <c r="R803" s="138">
        <v>2021</v>
      </c>
      <c r="S803" s="139">
        <f>IF(ISBLANK(Table1[[#This Row],[Date]]),"",Table1[[#This Row],[Date]]-WEEKDAY(Table1[[#This Row],[Date]],2)+1)</f>
        <v>44375</v>
      </c>
      <c r="T803" s="140">
        <f>IF(ISBLANK(Table1[[#This Row],[Date]]),"",DATE(Table1[[#This Row],[Date_Year]],Table1[[#This Row],[Date_Month]],1))</f>
        <v>44378</v>
      </c>
    </row>
    <row r="804" spans="2:20" ht="15.75">
      <c r="B804" s="154">
        <v>44379</v>
      </c>
      <c r="C804" s="119" t="s">
        <v>1534</v>
      </c>
      <c r="D804" s="119"/>
      <c r="E804" s="119"/>
      <c r="F804" s="155">
        <v>-10</v>
      </c>
      <c r="G804" s="133" t="str">
        <f>_xlfn.XLOOKUP(Table1[[#This Row],[Account_ID]], Accounts[ID], Accounts[Account nickname], "Unknown")</f>
        <v>Discover</v>
      </c>
      <c r="H804" s="134" t="str">
        <f>_xlfn.XLOOKUP(Table1[[#This Row],[Account_ID]], Accounts[ID], Accounts[Account'#], "Unknown")</f>
        <v>4618</v>
      </c>
      <c r="I804" s="135" t="str">
        <f>_xlfn.XLOOKUP(_xlfn.XLOOKUP(Table1[[#This Row],[Account]],Accounts[Account nickname],Accounts[Institution ID]),Institutions[ID],Institutions[Institution nickname],"Unknown")</f>
        <v>Discover</v>
      </c>
      <c r="J804" s="136" t="s">
        <v>2174</v>
      </c>
      <c r="K804" s="137" t="s">
        <v>843</v>
      </c>
      <c r="L804" s="137" t="s">
        <v>841</v>
      </c>
      <c r="M80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0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04" s="138" t="str" cm="1">
        <f t="array" ref="O804">IFERROR(INDEX(CategoriesTable[Category type],MATCH(Table1[[#This Row],[Category]],CategoriesTable[Category name],0),0),"")</f>
        <v/>
      </c>
      <c r="P804" s="138">
        <v>2</v>
      </c>
      <c r="Q804" s="138">
        <f>MONTH(Table1[[#This Row],[Date]])</f>
        <v>7</v>
      </c>
      <c r="R804" s="138">
        <v>2021</v>
      </c>
      <c r="S804" s="139">
        <f>IF(ISBLANK(Table1[[#This Row],[Date]]),"",Table1[[#This Row],[Date]]-WEEKDAY(Table1[[#This Row],[Date]],2)+1)</f>
        <v>44375</v>
      </c>
      <c r="T804" s="140">
        <f>IF(ISBLANK(Table1[[#This Row],[Date]]),"",DATE(Table1[[#This Row],[Date_Year]],Table1[[#This Row],[Date_Month]],1))</f>
        <v>44378</v>
      </c>
    </row>
    <row r="805" spans="2:20" ht="15.75">
      <c r="B805" s="154">
        <v>44379</v>
      </c>
      <c r="C805" s="119" t="s">
        <v>2170</v>
      </c>
      <c r="D805" s="119"/>
      <c r="E805" s="119"/>
      <c r="F805" s="155">
        <v>-13.88</v>
      </c>
      <c r="G805" s="133" t="str">
        <f>_xlfn.XLOOKUP(Table1[[#This Row],[Account_ID]], Accounts[ID], Accounts[Account nickname], "Unknown")</f>
        <v>Discover</v>
      </c>
      <c r="H805" s="134" t="str">
        <f>_xlfn.XLOOKUP(Table1[[#This Row],[Account_ID]], Accounts[ID], Accounts[Account'#], "Unknown")</f>
        <v>4618</v>
      </c>
      <c r="I805" s="135" t="str">
        <f>_xlfn.XLOOKUP(_xlfn.XLOOKUP(Table1[[#This Row],[Account]],Accounts[Account nickname],Accounts[Institution ID]),Institutions[ID],Institutions[Institution nickname],"Unknown")</f>
        <v>Discover</v>
      </c>
      <c r="J805" s="136" t="s">
        <v>2171</v>
      </c>
      <c r="K805" s="137" t="s">
        <v>843</v>
      </c>
      <c r="L805" s="137" t="s">
        <v>841</v>
      </c>
      <c r="M80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0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05" s="138" t="str" cm="1">
        <f t="array" ref="O805">IFERROR(INDEX(CategoriesTable[Category type],MATCH(Table1[[#This Row],[Category]],CategoriesTable[Category name],0),0),"")</f>
        <v/>
      </c>
      <c r="P805" s="138">
        <v>2</v>
      </c>
      <c r="Q805" s="138">
        <f>MONTH(Table1[[#This Row],[Date]])</f>
        <v>7</v>
      </c>
      <c r="R805" s="138">
        <v>2021</v>
      </c>
      <c r="S805" s="139">
        <f>IF(ISBLANK(Table1[[#This Row],[Date]]),"",Table1[[#This Row],[Date]]-WEEKDAY(Table1[[#This Row],[Date]],2)+1)</f>
        <v>44375</v>
      </c>
      <c r="T805" s="140">
        <f>IF(ISBLANK(Table1[[#This Row],[Date]]),"",DATE(Table1[[#This Row],[Date_Year]],Table1[[#This Row],[Date_Month]],1))</f>
        <v>44378</v>
      </c>
    </row>
    <row r="806" spans="2:20" ht="15.75">
      <c r="B806" s="154">
        <v>44379</v>
      </c>
      <c r="C806" s="119" t="s">
        <v>2179</v>
      </c>
      <c r="D806" s="119"/>
      <c r="E806" s="119"/>
      <c r="F806" s="155">
        <v>-9.36</v>
      </c>
      <c r="G806" s="133" t="str">
        <f>_xlfn.XLOOKUP(Table1[[#This Row],[Account_ID]], Accounts[ID], Accounts[Account nickname], "Unknown")</f>
        <v>Discover</v>
      </c>
      <c r="H806" s="134" t="str">
        <f>_xlfn.XLOOKUP(Table1[[#This Row],[Account_ID]], Accounts[ID], Accounts[Account'#], "Unknown")</f>
        <v>4618</v>
      </c>
      <c r="I806" s="135" t="str">
        <f>_xlfn.XLOOKUP(_xlfn.XLOOKUP(Table1[[#This Row],[Account]],Accounts[Account nickname],Accounts[Institution ID]),Institutions[ID],Institutions[Institution nickname],"Unknown")</f>
        <v>Discover</v>
      </c>
      <c r="J806" s="136" t="s">
        <v>2180</v>
      </c>
      <c r="K806" s="137" t="s">
        <v>843</v>
      </c>
      <c r="L806" s="137" t="s">
        <v>841</v>
      </c>
      <c r="M80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0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06" s="138" t="str" cm="1">
        <f t="array" ref="O806">IFERROR(INDEX(CategoriesTable[Category type],MATCH(Table1[[#This Row],[Category]],CategoriesTable[Category name],0),0),"")</f>
        <v/>
      </c>
      <c r="P806" s="138">
        <v>2</v>
      </c>
      <c r="Q806" s="138">
        <f>MONTH(Table1[[#This Row],[Date]])</f>
        <v>7</v>
      </c>
      <c r="R806" s="138">
        <v>2021</v>
      </c>
      <c r="S806" s="139">
        <f>IF(ISBLANK(Table1[[#This Row],[Date]]),"",Table1[[#This Row],[Date]]-WEEKDAY(Table1[[#This Row],[Date]],2)+1)</f>
        <v>44375</v>
      </c>
      <c r="T806" s="140">
        <f>IF(ISBLANK(Table1[[#This Row],[Date]]),"",DATE(Table1[[#This Row],[Date_Year]],Table1[[#This Row],[Date_Month]],1))</f>
        <v>44378</v>
      </c>
    </row>
    <row r="807" spans="2:20" ht="15.75">
      <c r="B807" s="154">
        <v>44379</v>
      </c>
      <c r="C807" s="119" t="s">
        <v>2166</v>
      </c>
      <c r="D807" s="119"/>
      <c r="E807" s="119"/>
      <c r="F807" s="155">
        <v>-199.4</v>
      </c>
      <c r="G807" s="133" t="str">
        <f>_xlfn.XLOOKUP(Table1[[#This Row],[Account_ID]], Accounts[ID], Accounts[Account nickname], "Unknown")</f>
        <v>Discover</v>
      </c>
      <c r="H807" s="134" t="str">
        <f>_xlfn.XLOOKUP(Table1[[#This Row],[Account_ID]], Accounts[ID], Accounts[Account'#], "Unknown")</f>
        <v>4618</v>
      </c>
      <c r="I807" s="135" t="str">
        <f>_xlfn.XLOOKUP(_xlfn.XLOOKUP(Table1[[#This Row],[Account]],Accounts[Account nickname],Accounts[Institution ID]),Institutions[ID],Institutions[Institution nickname],"Unknown")</f>
        <v>Discover</v>
      </c>
      <c r="J807" s="136" t="s">
        <v>2182</v>
      </c>
      <c r="K807" s="137" t="s">
        <v>843</v>
      </c>
      <c r="L807" s="137" t="s">
        <v>841</v>
      </c>
      <c r="M80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0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07" s="138" t="str" cm="1">
        <f t="array" ref="O807">IFERROR(INDEX(CategoriesTable[Category type],MATCH(Table1[[#This Row],[Category]],CategoriesTable[Category name],0),0),"")</f>
        <v/>
      </c>
      <c r="P807" s="138">
        <v>2</v>
      </c>
      <c r="Q807" s="138">
        <f>MONTH(Table1[[#This Row],[Date]])</f>
        <v>7</v>
      </c>
      <c r="R807" s="138">
        <v>2021</v>
      </c>
      <c r="S807" s="139">
        <f>IF(ISBLANK(Table1[[#This Row],[Date]]),"",Table1[[#This Row],[Date]]-WEEKDAY(Table1[[#This Row],[Date]],2)+1)</f>
        <v>44375</v>
      </c>
      <c r="T807" s="140">
        <f>IF(ISBLANK(Table1[[#This Row],[Date]]),"",DATE(Table1[[#This Row],[Date_Year]],Table1[[#This Row],[Date_Month]],1))</f>
        <v>44378</v>
      </c>
    </row>
    <row r="808" spans="2:20" ht="15.75">
      <c r="B808" s="154">
        <v>44379</v>
      </c>
      <c r="C808" s="119" t="s">
        <v>2168</v>
      </c>
      <c r="D808" s="119"/>
      <c r="E808" s="119"/>
      <c r="F808" s="155">
        <v>-71.78</v>
      </c>
      <c r="G808" s="133" t="str">
        <f>_xlfn.XLOOKUP(Table1[[#This Row],[Account_ID]], Accounts[ID], Accounts[Account nickname], "Unknown")</f>
        <v>Discover</v>
      </c>
      <c r="H808" s="134" t="str">
        <f>_xlfn.XLOOKUP(Table1[[#This Row],[Account_ID]], Accounts[ID], Accounts[Account'#], "Unknown")</f>
        <v>4618</v>
      </c>
      <c r="I808" s="135" t="str">
        <f>_xlfn.XLOOKUP(_xlfn.XLOOKUP(Table1[[#This Row],[Account]],Accounts[Account nickname],Accounts[Institution ID]),Institutions[ID],Institutions[Institution nickname],"Unknown")</f>
        <v>Discover</v>
      </c>
      <c r="J808" s="136" t="s">
        <v>2169</v>
      </c>
      <c r="K808" s="137" t="s">
        <v>843</v>
      </c>
      <c r="L808" s="137" t="s">
        <v>841</v>
      </c>
      <c r="M80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0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08" s="138" t="str" cm="1">
        <f t="array" ref="O808">IFERROR(INDEX(CategoriesTable[Category type],MATCH(Table1[[#This Row],[Category]],CategoriesTable[Category name],0),0),"")</f>
        <v/>
      </c>
      <c r="P808" s="138">
        <v>2</v>
      </c>
      <c r="Q808" s="138">
        <f>MONTH(Table1[[#This Row],[Date]])</f>
        <v>7</v>
      </c>
      <c r="R808" s="138">
        <v>2021</v>
      </c>
      <c r="S808" s="139">
        <f>IF(ISBLANK(Table1[[#This Row],[Date]]),"",Table1[[#This Row],[Date]]-WEEKDAY(Table1[[#This Row],[Date]],2)+1)</f>
        <v>44375</v>
      </c>
      <c r="T808" s="140">
        <f>IF(ISBLANK(Table1[[#This Row],[Date]]),"",DATE(Table1[[#This Row],[Date_Year]],Table1[[#This Row],[Date_Month]],1))</f>
        <v>44378</v>
      </c>
    </row>
    <row r="809" spans="2:20" ht="15.75">
      <c r="B809" s="154">
        <v>44379</v>
      </c>
      <c r="C809" s="119" t="s">
        <v>2172</v>
      </c>
      <c r="D809" s="119"/>
      <c r="E809" s="119"/>
      <c r="F809" s="155">
        <v>-6.24</v>
      </c>
      <c r="G809" s="133" t="str">
        <f>_xlfn.XLOOKUP(Table1[[#This Row],[Account_ID]], Accounts[ID], Accounts[Account nickname], "Unknown")</f>
        <v>Discover</v>
      </c>
      <c r="H809" s="134" t="str">
        <f>_xlfn.XLOOKUP(Table1[[#This Row],[Account_ID]], Accounts[ID], Accounts[Account'#], "Unknown")</f>
        <v>4618</v>
      </c>
      <c r="I809" s="135" t="str">
        <f>_xlfn.XLOOKUP(_xlfn.XLOOKUP(Table1[[#This Row],[Account]],Accounts[Account nickname],Accounts[Institution ID]),Institutions[ID],Institutions[Institution nickname],"Unknown")</f>
        <v>Discover</v>
      </c>
      <c r="J809" s="136" t="s">
        <v>2173</v>
      </c>
      <c r="K809" s="137" t="s">
        <v>843</v>
      </c>
      <c r="L809" s="137" t="s">
        <v>841</v>
      </c>
      <c r="M80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0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09" s="138" t="str" cm="1">
        <f t="array" ref="O809">IFERROR(INDEX(CategoriesTable[Category type],MATCH(Table1[[#This Row],[Category]],CategoriesTable[Category name],0),0),"")</f>
        <v/>
      </c>
      <c r="P809" s="138">
        <v>2</v>
      </c>
      <c r="Q809" s="138">
        <f>MONTH(Table1[[#This Row],[Date]])</f>
        <v>7</v>
      </c>
      <c r="R809" s="138">
        <v>2021</v>
      </c>
      <c r="S809" s="139">
        <f>IF(ISBLANK(Table1[[#This Row],[Date]]),"",Table1[[#This Row],[Date]]-WEEKDAY(Table1[[#This Row],[Date]],2)+1)</f>
        <v>44375</v>
      </c>
      <c r="T809" s="140">
        <f>IF(ISBLANK(Table1[[#This Row],[Date]]),"",DATE(Table1[[#This Row],[Date_Year]],Table1[[#This Row],[Date_Month]],1))</f>
        <v>44378</v>
      </c>
    </row>
    <row r="810" spans="2:20" ht="15.75">
      <c r="B810" s="154">
        <v>44379</v>
      </c>
      <c r="C810" s="119" t="s">
        <v>747</v>
      </c>
      <c r="D810" s="119"/>
      <c r="E810" s="119"/>
      <c r="F810" s="155">
        <v>-222.5</v>
      </c>
      <c r="G810" s="133" t="str">
        <f>_xlfn.XLOOKUP(Table1[[#This Row],[Account_ID]], Accounts[ID], Accounts[Account nickname], "Unknown")</f>
        <v>WF</v>
      </c>
      <c r="H810" s="134" t="str">
        <f>_xlfn.XLOOKUP(Table1[[#This Row],[Account_ID]], Accounts[ID], Accounts[Account'#], "Unknown")</f>
        <v>4636</v>
      </c>
      <c r="I810" s="135" t="str">
        <f>_xlfn.XLOOKUP(_xlfn.XLOOKUP(Table1[[#This Row],[Account]],Accounts[Account nickname],Accounts[Institution ID]),Institutions[ID],Institutions[Institution nickname],"Unknown")</f>
        <v>Wells Fargo</v>
      </c>
      <c r="J810" s="136" t="s">
        <v>1088</v>
      </c>
      <c r="K810" s="137" t="s">
        <v>808</v>
      </c>
      <c r="L810" s="137" t="s">
        <v>807</v>
      </c>
      <c r="M81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1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10" s="138" t="str" cm="1">
        <f t="array" ref="O810">IFERROR(INDEX(CategoriesTable[Category type],MATCH(Table1[[#This Row],[Category]],CategoriesTable[Category name],0),0),"")</f>
        <v/>
      </c>
      <c r="P810" s="138">
        <v>2</v>
      </c>
      <c r="Q810" s="138">
        <f>MONTH(Table1[[#This Row],[Date]])</f>
        <v>7</v>
      </c>
      <c r="R810" s="138">
        <v>2021</v>
      </c>
      <c r="S810" s="139">
        <f>IF(ISBLANK(Table1[[#This Row],[Date]]),"",Table1[[#This Row],[Date]]-WEEKDAY(Table1[[#This Row],[Date]],2)+1)</f>
        <v>44375</v>
      </c>
      <c r="T810" s="140">
        <f>IF(ISBLANK(Table1[[#This Row],[Date]]),"",DATE(Table1[[#This Row],[Date_Year]],Table1[[#This Row],[Date_Month]],1))</f>
        <v>44378</v>
      </c>
    </row>
    <row r="811" spans="2:20" ht="15.75">
      <c r="B811" s="154">
        <v>44379</v>
      </c>
      <c r="C811" s="119" t="s">
        <v>2152</v>
      </c>
      <c r="D811" s="119"/>
      <c r="E811" s="119"/>
      <c r="F811" s="155">
        <v>-2.75</v>
      </c>
      <c r="G811" s="133" t="str">
        <f>_xlfn.XLOOKUP(Table1[[#This Row],[Account_ID]], Accounts[ID], Accounts[Account nickname], "Unknown")</f>
        <v>Discover</v>
      </c>
      <c r="H811" s="134" t="str">
        <f>_xlfn.XLOOKUP(Table1[[#This Row],[Account_ID]], Accounts[ID], Accounts[Account'#], "Unknown")</f>
        <v>4618</v>
      </c>
      <c r="I811" s="135" t="str">
        <f>_xlfn.XLOOKUP(_xlfn.XLOOKUP(Table1[[#This Row],[Account]],Accounts[Account nickname],Accounts[Institution ID]),Institutions[ID],Institutions[Institution nickname],"Unknown")</f>
        <v>Discover</v>
      </c>
      <c r="J811" s="136" t="s">
        <v>2177</v>
      </c>
      <c r="K811" s="137" t="s">
        <v>843</v>
      </c>
      <c r="L811" s="137" t="s">
        <v>841</v>
      </c>
      <c r="M81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1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11" s="138" t="str" cm="1">
        <f t="array" ref="O811">IFERROR(INDEX(CategoriesTable[Category type],MATCH(Table1[[#This Row],[Category]],CategoriesTable[Category name],0),0),"")</f>
        <v/>
      </c>
      <c r="P811" s="138">
        <v>2</v>
      </c>
      <c r="Q811" s="138">
        <f>MONTH(Table1[[#This Row],[Date]])</f>
        <v>7</v>
      </c>
      <c r="R811" s="138">
        <v>2021</v>
      </c>
      <c r="S811" s="139">
        <f>IF(ISBLANK(Table1[[#This Row],[Date]]),"",Table1[[#This Row],[Date]]-WEEKDAY(Table1[[#This Row],[Date]],2)+1)</f>
        <v>44375</v>
      </c>
      <c r="T811" s="140">
        <f>IF(ISBLANK(Table1[[#This Row],[Date]]),"",DATE(Table1[[#This Row],[Date_Year]],Table1[[#This Row],[Date_Month]],1))</f>
        <v>44378</v>
      </c>
    </row>
    <row r="812" spans="2:20" ht="15.75">
      <c r="B812" s="154">
        <v>44379</v>
      </c>
      <c r="C812" s="119" t="s">
        <v>2175</v>
      </c>
      <c r="D812" s="119"/>
      <c r="E812" s="119"/>
      <c r="F812" s="155">
        <v>-3</v>
      </c>
      <c r="G812" s="133" t="str">
        <f>_xlfn.XLOOKUP(Table1[[#This Row],[Account_ID]], Accounts[ID], Accounts[Account nickname], "Unknown")</f>
        <v>Discover</v>
      </c>
      <c r="H812" s="134" t="str">
        <f>_xlfn.XLOOKUP(Table1[[#This Row],[Account_ID]], Accounts[ID], Accounts[Account'#], "Unknown")</f>
        <v>4618</v>
      </c>
      <c r="I812" s="135" t="str">
        <f>_xlfn.XLOOKUP(_xlfn.XLOOKUP(Table1[[#This Row],[Account]],Accounts[Account nickname],Accounts[Institution ID]),Institutions[ID],Institutions[Institution nickname],"Unknown")</f>
        <v>Discover</v>
      </c>
      <c r="J812" s="136" t="s">
        <v>2176</v>
      </c>
      <c r="K812" s="137" t="s">
        <v>843</v>
      </c>
      <c r="L812" s="137" t="s">
        <v>841</v>
      </c>
      <c r="M81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1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12" s="138" t="str" cm="1">
        <f t="array" ref="O812">IFERROR(INDEX(CategoriesTable[Category type],MATCH(Table1[[#This Row],[Category]],CategoriesTable[Category name],0),0),"")</f>
        <v/>
      </c>
      <c r="P812" s="138">
        <v>2</v>
      </c>
      <c r="Q812" s="138">
        <f>MONTH(Table1[[#This Row],[Date]])</f>
        <v>7</v>
      </c>
      <c r="R812" s="138">
        <v>2021</v>
      </c>
      <c r="S812" s="139">
        <f>IF(ISBLANK(Table1[[#This Row],[Date]]),"",Table1[[#This Row],[Date]]-WEEKDAY(Table1[[#This Row],[Date]],2)+1)</f>
        <v>44375</v>
      </c>
      <c r="T812" s="140">
        <f>IF(ISBLANK(Table1[[#This Row],[Date]]),"",DATE(Table1[[#This Row],[Date_Year]],Table1[[#This Row],[Date_Month]],1))</f>
        <v>44378</v>
      </c>
    </row>
    <row r="813" spans="2:20" ht="15.75">
      <c r="B813" s="154">
        <v>44379</v>
      </c>
      <c r="C813" s="119" t="s">
        <v>2166</v>
      </c>
      <c r="D813" s="119"/>
      <c r="E813" s="119"/>
      <c r="F813" s="155">
        <v>129.69999999999999</v>
      </c>
      <c r="G813" s="133" t="str">
        <f>_xlfn.XLOOKUP(Table1[[#This Row],[Account_ID]], Accounts[ID], Accounts[Account nickname], "Unknown")</f>
        <v>Discover</v>
      </c>
      <c r="H813" s="134" t="str">
        <f>_xlfn.XLOOKUP(Table1[[#This Row],[Account_ID]], Accounts[ID], Accounts[Account'#], "Unknown")</f>
        <v>4618</v>
      </c>
      <c r="I813" s="135" t="str">
        <f>_xlfn.XLOOKUP(_xlfn.XLOOKUP(Table1[[#This Row],[Account]],Accounts[Account nickname],Accounts[Institution ID]),Institutions[ID],Institutions[Institution nickname],"Unknown")</f>
        <v>Discover</v>
      </c>
      <c r="J813" s="136" t="s">
        <v>2181</v>
      </c>
      <c r="K813" s="137" t="s">
        <v>843</v>
      </c>
      <c r="L813" s="137" t="s">
        <v>841</v>
      </c>
      <c r="M81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1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13" s="138" t="str" cm="1">
        <f t="array" ref="O813">IFERROR(INDEX(CategoriesTable[Category type],MATCH(Table1[[#This Row],[Category]],CategoriesTable[Category name],0),0),"")</f>
        <v/>
      </c>
      <c r="P813" s="138">
        <v>2</v>
      </c>
      <c r="Q813" s="138">
        <f>MONTH(Table1[[#This Row],[Date]])</f>
        <v>7</v>
      </c>
      <c r="R813" s="138">
        <v>2021</v>
      </c>
      <c r="S813" s="139">
        <f>IF(ISBLANK(Table1[[#This Row],[Date]]),"",Table1[[#This Row],[Date]]-WEEKDAY(Table1[[#This Row],[Date]],2)+1)</f>
        <v>44375</v>
      </c>
      <c r="T813" s="140">
        <f>IF(ISBLANK(Table1[[#This Row],[Date]]),"",DATE(Table1[[#This Row],[Date_Year]],Table1[[#This Row],[Date_Month]],1))</f>
        <v>44378</v>
      </c>
    </row>
    <row r="814" spans="2:20" ht="15.75">
      <c r="B814" s="154">
        <v>44378</v>
      </c>
      <c r="C814" s="119" t="s">
        <v>686</v>
      </c>
      <c r="D814" s="119"/>
      <c r="E814" s="119"/>
      <c r="F814" s="155">
        <v>-871.96</v>
      </c>
      <c r="G814" s="133" t="str">
        <f>_xlfn.XLOOKUP(Table1[[#This Row],[Account_ID]], Accounts[ID], Accounts[Account nickname], "Unknown")</f>
        <v>WF</v>
      </c>
      <c r="H814" s="134" t="str">
        <f>_xlfn.XLOOKUP(Table1[[#This Row],[Account_ID]], Accounts[ID], Accounts[Account'#], "Unknown")</f>
        <v>4636</v>
      </c>
      <c r="I814" s="135" t="str">
        <f>_xlfn.XLOOKUP(_xlfn.XLOOKUP(Table1[[#This Row],[Account]],Accounts[Account nickname],Accounts[Institution ID]),Institutions[ID],Institutions[Institution nickname],"Unknown")</f>
        <v>Wells Fargo</v>
      </c>
      <c r="J814" s="136" t="s">
        <v>1089</v>
      </c>
      <c r="K814" s="137" t="s">
        <v>808</v>
      </c>
      <c r="L814" s="137" t="s">
        <v>807</v>
      </c>
      <c r="M81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1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14" s="138" t="str" cm="1">
        <f t="array" ref="O814">IFERROR(INDEX(CategoriesTable[Category type],MATCH(Table1[[#This Row],[Category]],CategoriesTable[Category name],0),0),"")</f>
        <v/>
      </c>
      <c r="P814" s="138">
        <v>1</v>
      </c>
      <c r="Q814" s="138">
        <f>MONTH(Table1[[#This Row],[Date]])</f>
        <v>7</v>
      </c>
      <c r="R814" s="138">
        <v>2021</v>
      </c>
      <c r="S814" s="139">
        <f>IF(ISBLANK(Table1[[#This Row],[Date]]),"",Table1[[#This Row],[Date]]-WEEKDAY(Table1[[#This Row],[Date]],2)+1)</f>
        <v>44375</v>
      </c>
      <c r="T814" s="140">
        <f>IF(ISBLANK(Table1[[#This Row],[Date]]),"",DATE(Table1[[#This Row],[Date_Year]],Table1[[#This Row],[Date_Month]],1))</f>
        <v>44378</v>
      </c>
    </row>
    <row r="815" spans="2:20" ht="15.75">
      <c r="B815" s="154">
        <v>44378</v>
      </c>
      <c r="C815" s="119" t="s">
        <v>1734</v>
      </c>
      <c r="D815" s="119"/>
      <c r="E815" s="119"/>
      <c r="F815" s="155">
        <v>-1380.63</v>
      </c>
      <c r="G815" s="133" t="str">
        <f>_xlfn.XLOOKUP(Table1[[#This Row],[Account_ID]], Accounts[ID], Accounts[Account nickname], "Unknown")</f>
        <v>Discover</v>
      </c>
      <c r="H815" s="134" t="str">
        <f>_xlfn.XLOOKUP(Table1[[#This Row],[Account_ID]], Accounts[ID], Accounts[Account'#], "Unknown")</f>
        <v>4618</v>
      </c>
      <c r="I815" s="135" t="str">
        <f>_xlfn.XLOOKUP(_xlfn.XLOOKUP(Table1[[#This Row],[Account]],Accounts[Account nickname],Accounts[Institution ID]),Institutions[ID],Institutions[Institution nickname],"Unknown")</f>
        <v>Discover</v>
      </c>
      <c r="J815" s="136" t="s">
        <v>2183</v>
      </c>
      <c r="K815" s="137" t="s">
        <v>843</v>
      </c>
      <c r="L815" s="137" t="s">
        <v>841</v>
      </c>
      <c r="M81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1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15" s="138" t="str" cm="1">
        <f t="array" ref="O815">IFERROR(INDEX(CategoriesTable[Category type],MATCH(Table1[[#This Row],[Category]],CategoriesTable[Category name],0),0),"")</f>
        <v/>
      </c>
      <c r="P815" s="138">
        <v>1</v>
      </c>
      <c r="Q815" s="138">
        <f>MONTH(Table1[[#This Row],[Date]])</f>
        <v>7</v>
      </c>
      <c r="R815" s="138">
        <v>2021</v>
      </c>
      <c r="S815" s="139">
        <f>IF(ISBLANK(Table1[[#This Row],[Date]]),"",Table1[[#This Row],[Date]]-WEEKDAY(Table1[[#This Row],[Date]],2)+1)</f>
        <v>44375</v>
      </c>
      <c r="T815" s="140">
        <f>IF(ISBLANK(Table1[[#This Row],[Date]]),"",DATE(Table1[[#This Row],[Date_Year]],Table1[[#This Row],[Date_Month]],1))</f>
        <v>44378</v>
      </c>
    </row>
    <row r="816" spans="2:20" ht="15.75">
      <c r="B816" s="154">
        <v>44378</v>
      </c>
      <c r="C816" s="119" t="s">
        <v>698</v>
      </c>
      <c r="D816" s="119"/>
      <c r="E816" s="119"/>
      <c r="F816" s="155">
        <v>-9.99</v>
      </c>
      <c r="G816" s="133" t="str">
        <f>_xlfn.XLOOKUP(Table1[[#This Row],[Account_ID]], Accounts[ID], Accounts[Account nickname], "Unknown")</f>
        <v>Discover</v>
      </c>
      <c r="H816" s="134" t="str">
        <f>_xlfn.XLOOKUP(Table1[[#This Row],[Account_ID]], Accounts[ID], Accounts[Account'#], "Unknown")</f>
        <v>4618</v>
      </c>
      <c r="I816" s="135" t="str">
        <f>_xlfn.XLOOKUP(_xlfn.XLOOKUP(Table1[[#This Row],[Account]],Accounts[Account nickname],Accounts[Institution ID]),Institutions[ID],Institutions[Institution nickname],"Unknown")</f>
        <v>Discover</v>
      </c>
      <c r="J816" s="136" t="s">
        <v>2185</v>
      </c>
      <c r="K816" s="137" t="s">
        <v>843</v>
      </c>
      <c r="L816" s="137" t="s">
        <v>841</v>
      </c>
      <c r="M81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1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16" s="138" t="str" cm="1">
        <f t="array" ref="O816">IFERROR(INDEX(CategoriesTable[Category type],MATCH(Table1[[#This Row],[Category]],CategoriesTable[Category name],0),0),"")</f>
        <v/>
      </c>
      <c r="P816" s="138">
        <v>1</v>
      </c>
      <c r="Q816" s="138">
        <f>MONTH(Table1[[#This Row],[Date]])</f>
        <v>7</v>
      </c>
      <c r="R816" s="138">
        <v>2021</v>
      </c>
      <c r="S816" s="139">
        <f>IF(ISBLANK(Table1[[#This Row],[Date]]),"",Table1[[#This Row],[Date]]-WEEKDAY(Table1[[#This Row],[Date]],2)+1)</f>
        <v>44375</v>
      </c>
      <c r="T816" s="140">
        <f>IF(ISBLANK(Table1[[#This Row],[Date]]),"",DATE(Table1[[#This Row],[Date_Year]],Table1[[#This Row],[Date_Month]],1))</f>
        <v>44378</v>
      </c>
    </row>
    <row r="817" spans="2:20" ht="15.75">
      <c r="B817" s="154">
        <v>44378</v>
      </c>
      <c r="C817" s="119" t="s">
        <v>2166</v>
      </c>
      <c r="D817" s="119"/>
      <c r="E817" s="119"/>
      <c r="F817" s="155">
        <v>-129.80000000000001</v>
      </c>
      <c r="G817" s="133" t="str">
        <f>_xlfn.XLOOKUP(Table1[[#This Row],[Account_ID]], Accounts[ID], Accounts[Account nickname], "Unknown")</f>
        <v>Discover</v>
      </c>
      <c r="H817" s="134" t="str">
        <f>_xlfn.XLOOKUP(Table1[[#This Row],[Account_ID]], Accounts[ID], Accounts[Account'#], "Unknown")</f>
        <v>4618</v>
      </c>
      <c r="I817" s="135" t="str">
        <f>_xlfn.XLOOKUP(_xlfn.XLOOKUP(Table1[[#This Row],[Account]],Accounts[Account nickname],Accounts[Institution ID]),Institutions[ID],Institutions[Institution nickname],"Unknown")</f>
        <v>Discover</v>
      </c>
      <c r="J817" s="136" t="s">
        <v>2188</v>
      </c>
      <c r="K817" s="137" t="s">
        <v>843</v>
      </c>
      <c r="L817" s="137" t="s">
        <v>841</v>
      </c>
      <c r="M81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1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17" s="138" t="str" cm="1">
        <f t="array" ref="O817">IFERROR(INDEX(CategoriesTable[Category type],MATCH(Table1[[#This Row],[Category]],CategoriesTable[Category name],0),0),"")</f>
        <v/>
      </c>
      <c r="P817" s="138">
        <v>1</v>
      </c>
      <c r="Q817" s="138">
        <f>MONTH(Table1[[#This Row],[Date]])</f>
        <v>7</v>
      </c>
      <c r="R817" s="138">
        <v>2021</v>
      </c>
      <c r="S817" s="139">
        <f>IF(ISBLANK(Table1[[#This Row],[Date]]),"",Table1[[#This Row],[Date]]-WEEKDAY(Table1[[#This Row],[Date]],2)+1)</f>
        <v>44375</v>
      </c>
      <c r="T817" s="140">
        <f>IF(ISBLANK(Table1[[#This Row],[Date]]),"",DATE(Table1[[#This Row],[Date_Year]],Table1[[#This Row],[Date_Month]],1))</f>
        <v>44378</v>
      </c>
    </row>
    <row r="818" spans="2:20" ht="15.75">
      <c r="B818" s="154">
        <v>44378</v>
      </c>
      <c r="C818" s="119" t="s">
        <v>2186</v>
      </c>
      <c r="D818" s="119"/>
      <c r="E818" s="119"/>
      <c r="F818" s="155">
        <v>-220</v>
      </c>
      <c r="G818" s="133" t="str">
        <f>_xlfn.XLOOKUP(Table1[[#This Row],[Account_ID]], Accounts[ID], Accounts[Account nickname], "Unknown")</f>
        <v>Discover</v>
      </c>
      <c r="H818" s="134" t="str">
        <f>_xlfn.XLOOKUP(Table1[[#This Row],[Account_ID]], Accounts[ID], Accounts[Account'#], "Unknown")</f>
        <v>4618</v>
      </c>
      <c r="I818" s="135" t="str">
        <f>_xlfn.XLOOKUP(_xlfn.XLOOKUP(Table1[[#This Row],[Account]],Accounts[Account nickname],Accounts[Institution ID]),Institutions[ID],Institutions[Institution nickname],"Unknown")</f>
        <v>Discover</v>
      </c>
      <c r="J818" s="136" t="s">
        <v>2187</v>
      </c>
      <c r="K818" s="137" t="s">
        <v>843</v>
      </c>
      <c r="L818" s="137" t="s">
        <v>841</v>
      </c>
      <c r="M81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1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18" s="138" t="str" cm="1">
        <f t="array" ref="O818">IFERROR(INDEX(CategoriesTable[Category type],MATCH(Table1[[#This Row],[Category]],CategoriesTable[Category name],0),0),"")</f>
        <v/>
      </c>
      <c r="P818" s="138">
        <v>1</v>
      </c>
      <c r="Q818" s="138">
        <f>MONTH(Table1[[#This Row],[Date]])</f>
        <v>7</v>
      </c>
      <c r="R818" s="138">
        <v>2021</v>
      </c>
      <c r="S818" s="139">
        <f>IF(ISBLANK(Table1[[#This Row],[Date]]),"",Table1[[#This Row],[Date]]-WEEKDAY(Table1[[#This Row],[Date]],2)+1)</f>
        <v>44375</v>
      </c>
      <c r="T818" s="140">
        <f>IF(ISBLANK(Table1[[#This Row],[Date]]),"",DATE(Table1[[#This Row],[Date_Year]],Table1[[#This Row],[Date_Month]],1))</f>
        <v>44378</v>
      </c>
    </row>
    <row r="819" spans="2:20" ht="15.75">
      <c r="B819" s="154">
        <v>44378</v>
      </c>
      <c r="C819" s="119" t="s">
        <v>677</v>
      </c>
      <c r="D819" s="119"/>
      <c r="E819" s="119"/>
      <c r="F819" s="155">
        <v>1583.62</v>
      </c>
      <c r="G819" s="133" t="str">
        <f>_xlfn.XLOOKUP(Table1[[#This Row],[Account_ID]], Accounts[ID], Accounts[Account nickname], "Unknown")</f>
        <v>WF</v>
      </c>
      <c r="H819" s="134" t="str">
        <f>_xlfn.XLOOKUP(Table1[[#This Row],[Account_ID]], Accounts[ID], Accounts[Account'#], "Unknown")</f>
        <v>4636</v>
      </c>
      <c r="I819" s="135" t="str">
        <f>_xlfn.XLOOKUP(_xlfn.XLOOKUP(Table1[[#This Row],[Account]],Accounts[Account nickname],Accounts[Institution ID]),Institutions[ID],Institutions[Institution nickname],"Unknown")</f>
        <v>Wells Fargo</v>
      </c>
      <c r="J819" s="152" t="s">
        <v>1090</v>
      </c>
      <c r="K819" s="137" t="s">
        <v>808</v>
      </c>
      <c r="L819" s="137" t="s">
        <v>807</v>
      </c>
      <c r="M81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1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19" s="138" t="str" cm="1">
        <f t="array" ref="O819">IFERROR(INDEX(CategoriesTable[Category type],MATCH(Table1[[#This Row],[Category]],CategoriesTable[Category name],0),0),"")</f>
        <v/>
      </c>
      <c r="P819" s="138">
        <v>1</v>
      </c>
      <c r="Q819" s="138">
        <f>MONTH(Table1[[#This Row],[Date]])</f>
        <v>7</v>
      </c>
      <c r="R819" s="138">
        <v>2021</v>
      </c>
      <c r="S819" s="139">
        <f>IF(ISBLANK(Table1[[#This Row],[Date]]),"",Table1[[#This Row],[Date]]-WEEKDAY(Table1[[#This Row],[Date]],2)+1)</f>
        <v>44375</v>
      </c>
      <c r="T819" s="140">
        <f>IF(ISBLANK(Table1[[#This Row],[Date]]),"",DATE(Table1[[#This Row],[Date_Year]],Table1[[#This Row],[Date_Month]],1))</f>
        <v>44378</v>
      </c>
    </row>
    <row r="820" spans="2:20" ht="15.75">
      <c r="B820" s="154">
        <v>44378</v>
      </c>
      <c r="C820" s="119" t="s">
        <v>845</v>
      </c>
      <c r="D820" s="119"/>
      <c r="E820" s="119"/>
      <c r="F820" s="155">
        <v>871.96</v>
      </c>
      <c r="G820" s="133" t="str">
        <f>_xlfn.XLOOKUP(Table1[[#This Row],[Account_ID]], Accounts[ID], Accounts[Account nickname], "Unknown")</f>
        <v>Discover</v>
      </c>
      <c r="H820" s="134" t="str">
        <f>_xlfn.XLOOKUP(Table1[[#This Row],[Account_ID]], Accounts[ID], Accounts[Account'#], "Unknown")</f>
        <v>4618</v>
      </c>
      <c r="I820" s="135" t="str">
        <f>_xlfn.XLOOKUP(_xlfn.XLOOKUP(Table1[[#This Row],[Account]],Accounts[Account nickname],Accounts[Institution ID]),Institutions[ID],Institutions[Institution nickname],"Unknown")</f>
        <v>Discover</v>
      </c>
      <c r="J820" s="136" t="s">
        <v>2184</v>
      </c>
      <c r="K820" s="137" t="s">
        <v>843</v>
      </c>
      <c r="L820" s="137" t="s">
        <v>841</v>
      </c>
      <c r="M82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2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20" s="138" t="str" cm="1">
        <f t="array" ref="O820">IFERROR(INDEX(CategoriesTable[Category type],MATCH(Table1[[#This Row],[Category]],CategoriesTable[Category name],0),0),"")</f>
        <v/>
      </c>
      <c r="P820" s="138">
        <v>1</v>
      </c>
      <c r="Q820" s="138">
        <f>MONTH(Table1[[#This Row],[Date]])</f>
        <v>7</v>
      </c>
      <c r="R820" s="138">
        <v>2021</v>
      </c>
      <c r="S820" s="139">
        <f>IF(ISBLANK(Table1[[#This Row],[Date]]),"",Table1[[#This Row],[Date]]-WEEKDAY(Table1[[#This Row],[Date]],2)+1)</f>
        <v>44375</v>
      </c>
      <c r="T820" s="140">
        <f>IF(ISBLANK(Table1[[#This Row],[Date]]),"",DATE(Table1[[#This Row],[Date_Year]],Table1[[#This Row],[Date_Month]],1))</f>
        <v>44378</v>
      </c>
    </row>
    <row r="821" spans="2:20" ht="15.75">
      <c r="B821" s="154">
        <v>44377</v>
      </c>
      <c r="C821" s="119" t="s">
        <v>2189</v>
      </c>
      <c r="D821" s="119"/>
      <c r="E821" s="119"/>
      <c r="F821" s="155">
        <v>-6.34</v>
      </c>
      <c r="G821" s="133" t="str">
        <f>_xlfn.XLOOKUP(Table1[[#This Row],[Account_ID]], Accounts[ID], Accounts[Account nickname], "Unknown")</f>
        <v>Discover</v>
      </c>
      <c r="H821" s="134" t="str">
        <f>_xlfn.XLOOKUP(Table1[[#This Row],[Account_ID]], Accounts[ID], Accounts[Account'#], "Unknown")</f>
        <v>4618</v>
      </c>
      <c r="I821" s="135" t="str">
        <f>_xlfn.XLOOKUP(_xlfn.XLOOKUP(Table1[[#This Row],[Account]],Accounts[Account nickname],Accounts[Institution ID]),Institutions[ID],Institutions[Institution nickname],"Unknown")</f>
        <v>Discover</v>
      </c>
      <c r="J821" s="136" t="s">
        <v>2190</v>
      </c>
      <c r="K821" s="137" t="s">
        <v>843</v>
      </c>
      <c r="L821" s="137" t="s">
        <v>841</v>
      </c>
      <c r="M82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2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21" s="138" t="str" cm="1">
        <f t="array" ref="O821">IFERROR(INDEX(CategoriesTable[Category type],MATCH(Table1[[#This Row],[Category]],CategoriesTable[Category name],0),0),"")</f>
        <v/>
      </c>
      <c r="P821" s="138">
        <v>30</v>
      </c>
      <c r="Q821" s="138">
        <f>MONTH(Table1[[#This Row],[Date]])</f>
        <v>6</v>
      </c>
      <c r="R821" s="138">
        <v>2021</v>
      </c>
      <c r="S821" s="139">
        <f>IF(ISBLANK(Table1[[#This Row],[Date]]),"",Table1[[#This Row],[Date]]-WEEKDAY(Table1[[#This Row],[Date]],2)+1)</f>
        <v>44375</v>
      </c>
      <c r="T821" s="140">
        <f>IF(ISBLANK(Table1[[#This Row],[Date]]),"",DATE(Table1[[#This Row],[Date_Year]],Table1[[#This Row],[Date_Month]],1))</f>
        <v>44348</v>
      </c>
    </row>
    <row r="822" spans="2:20" ht="15.75">
      <c r="B822" s="154">
        <v>44377</v>
      </c>
      <c r="C822" s="119" t="s">
        <v>735</v>
      </c>
      <c r="D822" s="119"/>
      <c r="E822" s="119"/>
      <c r="F822" s="155">
        <v>-1804.34</v>
      </c>
      <c r="G822" s="133" t="str">
        <f>_xlfn.XLOOKUP(Table1[[#This Row],[Account_ID]], Accounts[ID], Accounts[Account nickname], "Unknown")</f>
        <v>WF</v>
      </c>
      <c r="H822" s="134" t="str">
        <f>_xlfn.XLOOKUP(Table1[[#This Row],[Account_ID]], Accounts[ID], Accounts[Account'#], "Unknown")</f>
        <v>4636</v>
      </c>
      <c r="I822" s="135" t="str">
        <f>_xlfn.XLOOKUP(_xlfn.XLOOKUP(Table1[[#This Row],[Account]],Accounts[Account nickname],Accounts[Institution ID]),Institutions[ID],Institutions[Institution nickname],"Unknown")</f>
        <v>Wells Fargo</v>
      </c>
      <c r="J822" s="136" t="s">
        <v>1091</v>
      </c>
      <c r="K822" s="137" t="s">
        <v>808</v>
      </c>
      <c r="L822" s="137" t="s">
        <v>807</v>
      </c>
      <c r="M82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2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22" s="138" t="str" cm="1">
        <f t="array" ref="O822">IFERROR(INDEX(CategoriesTable[Category type],MATCH(Table1[[#This Row],[Category]],CategoriesTable[Category name],0),0),"")</f>
        <v/>
      </c>
      <c r="P822" s="138">
        <v>30</v>
      </c>
      <c r="Q822" s="138">
        <f>MONTH(Table1[[#This Row],[Date]])</f>
        <v>6</v>
      </c>
      <c r="R822" s="138">
        <v>2021</v>
      </c>
      <c r="S822" s="139">
        <f>IF(ISBLANK(Table1[[#This Row],[Date]]),"",Table1[[#This Row],[Date]]-WEEKDAY(Table1[[#This Row],[Date]],2)+1)</f>
        <v>44375</v>
      </c>
      <c r="T822" s="140">
        <f>IF(ISBLANK(Table1[[#This Row],[Date]]),"",DATE(Table1[[#This Row],[Date_Year]],Table1[[#This Row],[Date_Month]],1))</f>
        <v>44348</v>
      </c>
    </row>
    <row r="823" spans="2:20" ht="15.75">
      <c r="B823" s="154">
        <v>44376</v>
      </c>
      <c r="C823" s="119" t="s">
        <v>2193</v>
      </c>
      <c r="D823" s="119"/>
      <c r="E823" s="119"/>
      <c r="F823" s="155">
        <v>-43.54</v>
      </c>
      <c r="G823" s="133" t="str">
        <f>_xlfn.XLOOKUP(Table1[[#This Row],[Account_ID]], Accounts[ID], Accounts[Account nickname], "Unknown")</f>
        <v>Discover</v>
      </c>
      <c r="H823" s="134" t="str">
        <f>_xlfn.XLOOKUP(Table1[[#This Row],[Account_ID]], Accounts[ID], Accounts[Account'#], "Unknown")</f>
        <v>4618</v>
      </c>
      <c r="I823" s="135" t="str">
        <f>_xlfn.XLOOKUP(_xlfn.XLOOKUP(Table1[[#This Row],[Account]],Accounts[Account nickname],Accounts[Institution ID]),Institutions[ID],Institutions[Institution nickname],"Unknown")</f>
        <v>Discover</v>
      </c>
      <c r="J823" s="136" t="s">
        <v>2194</v>
      </c>
      <c r="K823" s="137" t="s">
        <v>843</v>
      </c>
      <c r="L823" s="137" t="s">
        <v>841</v>
      </c>
      <c r="M82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2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23" s="138" t="str" cm="1">
        <f t="array" ref="O823">IFERROR(INDEX(CategoriesTable[Category type],MATCH(Table1[[#This Row],[Category]],CategoriesTable[Category name],0),0),"")</f>
        <v/>
      </c>
      <c r="P823" s="138">
        <v>29</v>
      </c>
      <c r="Q823" s="138">
        <f>MONTH(Table1[[#This Row],[Date]])</f>
        <v>6</v>
      </c>
      <c r="R823" s="138">
        <v>2021</v>
      </c>
      <c r="S823" s="139">
        <f>IF(ISBLANK(Table1[[#This Row],[Date]]),"",Table1[[#This Row],[Date]]-WEEKDAY(Table1[[#This Row],[Date]],2)+1)</f>
        <v>44375</v>
      </c>
      <c r="T823" s="140">
        <f>IF(ISBLANK(Table1[[#This Row],[Date]]),"",DATE(Table1[[#This Row],[Date_Year]],Table1[[#This Row],[Date_Month]],1))</f>
        <v>44348</v>
      </c>
    </row>
    <row r="824" spans="2:20" ht="15.75">
      <c r="B824" s="154">
        <v>44376</v>
      </c>
      <c r="C824" s="119" t="s">
        <v>2152</v>
      </c>
      <c r="D824" s="119"/>
      <c r="E824" s="119"/>
      <c r="F824" s="155">
        <v>-2.75</v>
      </c>
      <c r="G824" s="133" t="str">
        <f>_xlfn.XLOOKUP(Table1[[#This Row],[Account_ID]], Accounts[ID], Accounts[Account nickname], "Unknown")</f>
        <v>Discover</v>
      </c>
      <c r="H824" s="134" t="str">
        <f>_xlfn.XLOOKUP(Table1[[#This Row],[Account_ID]], Accounts[ID], Accounts[Account'#], "Unknown")</f>
        <v>4618</v>
      </c>
      <c r="I824" s="135" t="str">
        <f>_xlfn.XLOOKUP(_xlfn.XLOOKUP(Table1[[#This Row],[Account]],Accounts[Account nickname],Accounts[Institution ID]),Institutions[ID],Institutions[Institution nickname],"Unknown")</f>
        <v>Discover</v>
      </c>
      <c r="J824" s="136" t="s">
        <v>2192</v>
      </c>
      <c r="K824" s="137" t="s">
        <v>843</v>
      </c>
      <c r="L824" s="137" t="s">
        <v>841</v>
      </c>
      <c r="M82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2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24" s="138" t="str" cm="1">
        <f t="array" ref="O824">IFERROR(INDEX(CategoriesTable[Category type],MATCH(Table1[[#This Row],[Category]],CategoriesTable[Category name],0),0),"")</f>
        <v/>
      </c>
      <c r="P824" s="138">
        <v>29</v>
      </c>
      <c r="Q824" s="138">
        <f>MONTH(Table1[[#This Row],[Date]])</f>
        <v>6</v>
      </c>
      <c r="R824" s="138">
        <v>2021</v>
      </c>
      <c r="S824" s="139">
        <f>IF(ISBLANK(Table1[[#This Row],[Date]]),"",Table1[[#This Row],[Date]]-WEEKDAY(Table1[[#This Row],[Date]],2)+1)</f>
        <v>44375</v>
      </c>
      <c r="T824" s="140">
        <f>IF(ISBLANK(Table1[[#This Row],[Date]]),"",DATE(Table1[[#This Row],[Date_Year]],Table1[[#This Row],[Date_Month]],1))</f>
        <v>44348</v>
      </c>
    </row>
    <row r="825" spans="2:20" ht="15.75">
      <c r="B825" s="154">
        <v>44376</v>
      </c>
      <c r="C825" s="119" t="s">
        <v>2152</v>
      </c>
      <c r="D825" s="119"/>
      <c r="E825" s="119"/>
      <c r="F825" s="155">
        <v>-2.75</v>
      </c>
      <c r="G825" s="133" t="str">
        <f>_xlfn.XLOOKUP(Table1[[#This Row],[Account_ID]], Accounts[ID], Accounts[Account nickname], "Unknown")</f>
        <v>Discover</v>
      </c>
      <c r="H825" s="134" t="str">
        <f>_xlfn.XLOOKUP(Table1[[#This Row],[Account_ID]], Accounts[ID], Accounts[Account'#], "Unknown")</f>
        <v>4618</v>
      </c>
      <c r="I825" s="135" t="str">
        <f>_xlfn.XLOOKUP(_xlfn.XLOOKUP(Table1[[#This Row],[Account]],Accounts[Account nickname],Accounts[Institution ID]),Institutions[ID],Institutions[Institution nickname],"Unknown")</f>
        <v>Discover</v>
      </c>
      <c r="J825" s="136" t="s">
        <v>2191</v>
      </c>
      <c r="K825" s="137" t="s">
        <v>843</v>
      </c>
      <c r="L825" s="137" t="s">
        <v>841</v>
      </c>
      <c r="M82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2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25" s="138" t="str" cm="1">
        <f t="array" ref="O825">IFERROR(INDEX(CategoriesTable[Category type],MATCH(Table1[[#This Row],[Category]],CategoriesTable[Category name],0),0),"")</f>
        <v/>
      </c>
      <c r="P825" s="138">
        <v>29</v>
      </c>
      <c r="Q825" s="138">
        <f>MONTH(Table1[[#This Row],[Date]])</f>
        <v>6</v>
      </c>
      <c r="R825" s="138">
        <v>2021</v>
      </c>
      <c r="S825" s="139">
        <f>IF(ISBLANK(Table1[[#This Row],[Date]]),"",Table1[[#This Row],[Date]]-WEEKDAY(Table1[[#This Row],[Date]],2)+1)</f>
        <v>44375</v>
      </c>
      <c r="T825" s="140">
        <f>IF(ISBLANK(Table1[[#This Row],[Date]]),"",DATE(Table1[[#This Row],[Date_Year]],Table1[[#This Row],[Date_Month]],1))</f>
        <v>44348</v>
      </c>
    </row>
    <row r="826" spans="2:20" ht="15.75">
      <c r="B826" s="154">
        <v>44375</v>
      </c>
      <c r="C826" s="119" t="s">
        <v>2200</v>
      </c>
      <c r="D826" s="119"/>
      <c r="E826" s="119"/>
      <c r="F826" s="155">
        <v>-52.02</v>
      </c>
      <c r="G826" s="133" t="str">
        <f>_xlfn.XLOOKUP(Table1[[#This Row],[Account_ID]], Accounts[ID], Accounts[Account nickname], "Unknown")</f>
        <v>Discover</v>
      </c>
      <c r="H826" s="134" t="str">
        <f>_xlfn.XLOOKUP(Table1[[#This Row],[Account_ID]], Accounts[ID], Accounts[Account'#], "Unknown")</f>
        <v>4618</v>
      </c>
      <c r="I826" s="135" t="str">
        <f>_xlfn.XLOOKUP(_xlfn.XLOOKUP(Table1[[#This Row],[Account]],Accounts[Account nickname],Accounts[Institution ID]),Institutions[ID],Institutions[Institution nickname],"Unknown")</f>
        <v>Discover</v>
      </c>
      <c r="J826" s="136" t="s">
        <v>2201</v>
      </c>
      <c r="K826" s="137" t="s">
        <v>843</v>
      </c>
      <c r="L826" s="137" t="s">
        <v>841</v>
      </c>
      <c r="M82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2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26" s="138" t="str" cm="1">
        <f t="array" ref="O826">IFERROR(INDEX(CategoriesTable[Category type],MATCH(Table1[[#This Row],[Category]],CategoriesTable[Category name],0),0),"")</f>
        <v/>
      </c>
      <c r="P826" s="138">
        <v>28</v>
      </c>
      <c r="Q826" s="138">
        <f>MONTH(Table1[[#This Row],[Date]])</f>
        <v>6</v>
      </c>
      <c r="R826" s="138">
        <v>2021</v>
      </c>
      <c r="S826" s="139">
        <f>IF(ISBLANK(Table1[[#This Row],[Date]]),"",Table1[[#This Row],[Date]]-WEEKDAY(Table1[[#This Row],[Date]],2)+1)</f>
        <v>44375</v>
      </c>
      <c r="T826" s="140">
        <f>IF(ISBLANK(Table1[[#This Row],[Date]]),"",DATE(Table1[[#This Row],[Date_Year]],Table1[[#This Row],[Date_Month]],1))</f>
        <v>44348</v>
      </c>
    </row>
    <row r="827" spans="2:20" ht="15.75">
      <c r="B827" s="154">
        <v>44375</v>
      </c>
      <c r="C827" s="119" t="s">
        <v>2152</v>
      </c>
      <c r="D827" s="119"/>
      <c r="E827" s="119"/>
      <c r="F827" s="155">
        <v>-2.75</v>
      </c>
      <c r="G827" s="133" t="str">
        <f>_xlfn.XLOOKUP(Table1[[#This Row],[Account_ID]], Accounts[ID], Accounts[Account nickname], "Unknown")</f>
        <v>Discover</v>
      </c>
      <c r="H827" s="134" t="str">
        <f>_xlfn.XLOOKUP(Table1[[#This Row],[Account_ID]], Accounts[ID], Accounts[Account'#], "Unknown")</f>
        <v>4618</v>
      </c>
      <c r="I827" s="135" t="str">
        <f>_xlfn.XLOOKUP(_xlfn.XLOOKUP(Table1[[#This Row],[Account]],Accounts[Account nickname],Accounts[Institution ID]),Institutions[ID],Institutions[Institution nickname],"Unknown")</f>
        <v>Discover</v>
      </c>
      <c r="J827" s="136" t="s">
        <v>2199</v>
      </c>
      <c r="K827" s="137" t="s">
        <v>843</v>
      </c>
      <c r="L827" s="137" t="s">
        <v>841</v>
      </c>
      <c r="M82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2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27" s="138" t="str" cm="1">
        <f t="array" ref="O827">IFERROR(INDEX(CategoriesTable[Category type],MATCH(Table1[[#This Row],[Category]],CategoriesTable[Category name],0),0),"")</f>
        <v/>
      </c>
      <c r="P827" s="138">
        <v>28</v>
      </c>
      <c r="Q827" s="138">
        <f>MONTH(Table1[[#This Row],[Date]])</f>
        <v>6</v>
      </c>
      <c r="R827" s="138">
        <v>2021</v>
      </c>
      <c r="S827" s="139">
        <f>IF(ISBLANK(Table1[[#This Row],[Date]]),"",Table1[[#This Row],[Date]]-WEEKDAY(Table1[[#This Row],[Date]],2)+1)</f>
        <v>44375</v>
      </c>
      <c r="T827" s="140">
        <f>IF(ISBLANK(Table1[[#This Row],[Date]]),"",DATE(Table1[[#This Row],[Date_Year]],Table1[[#This Row],[Date_Month]],1))</f>
        <v>44348</v>
      </c>
    </row>
    <row r="828" spans="2:20" ht="15.75">
      <c r="B828" s="154">
        <v>44375</v>
      </c>
      <c r="C828" s="119" t="s">
        <v>2196</v>
      </c>
      <c r="D828" s="119"/>
      <c r="E828" s="119"/>
      <c r="F828" s="155">
        <v>-21.77</v>
      </c>
      <c r="G828" s="133" t="str">
        <f>_xlfn.XLOOKUP(Table1[[#This Row],[Account_ID]], Accounts[ID], Accounts[Account nickname], "Unknown")</f>
        <v>Discover</v>
      </c>
      <c r="H828" s="134" t="str">
        <f>_xlfn.XLOOKUP(Table1[[#This Row],[Account_ID]], Accounts[ID], Accounts[Account'#], "Unknown")</f>
        <v>4618</v>
      </c>
      <c r="I828" s="135" t="str">
        <f>_xlfn.XLOOKUP(_xlfn.XLOOKUP(Table1[[#This Row],[Account]],Accounts[Account nickname],Accounts[Institution ID]),Institutions[ID],Institutions[Institution nickname],"Unknown")</f>
        <v>Discover</v>
      </c>
      <c r="J828" s="136" t="s">
        <v>2197</v>
      </c>
      <c r="K828" s="137" t="s">
        <v>843</v>
      </c>
      <c r="L828" s="137" t="s">
        <v>841</v>
      </c>
      <c r="M82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2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28" s="138" t="str" cm="1">
        <f t="array" ref="O828">IFERROR(INDEX(CategoriesTable[Category type],MATCH(Table1[[#This Row],[Category]],CategoriesTable[Category name],0),0),"")</f>
        <v/>
      </c>
      <c r="P828" s="138">
        <v>28</v>
      </c>
      <c r="Q828" s="138">
        <f>MONTH(Table1[[#This Row],[Date]])</f>
        <v>6</v>
      </c>
      <c r="R828" s="138">
        <v>2021</v>
      </c>
      <c r="S828" s="139">
        <f>IF(ISBLANK(Table1[[#This Row],[Date]]),"",Table1[[#This Row],[Date]]-WEEKDAY(Table1[[#This Row],[Date]],2)+1)</f>
        <v>44375</v>
      </c>
      <c r="T828" s="140">
        <f>IF(ISBLANK(Table1[[#This Row],[Date]]),"",DATE(Table1[[#This Row],[Date_Year]],Table1[[#This Row],[Date_Month]],1))</f>
        <v>44348</v>
      </c>
    </row>
    <row r="829" spans="2:20" ht="15.75">
      <c r="B829" s="154">
        <v>44375</v>
      </c>
      <c r="C829" s="119" t="s">
        <v>1726</v>
      </c>
      <c r="D829" s="119"/>
      <c r="E829" s="119"/>
      <c r="F829" s="155">
        <v>-5.38</v>
      </c>
      <c r="G829" s="133" t="str">
        <f>_xlfn.XLOOKUP(Table1[[#This Row],[Account_ID]], Accounts[ID], Accounts[Account nickname], "Unknown")</f>
        <v>Discover</v>
      </c>
      <c r="H829" s="134" t="str">
        <f>_xlfn.XLOOKUP(Table1[[#This Row],[Account_ID]], Accounts[ID], Accounts[Account'#], "Unknown")</f>
        <v>4618</v>
      </c>
      <c r="I829" s="135" t="str">
        <f>_xlfn.XLOOKUP(_xlfn.XLOOKUP(Table1[[#This Row],[Account]],Accounts[Account nickname],Accounts[Institution ID]),Institutions[ID],Institutions[Institution nickname],"Unknown")</f>
        <v>Discover</v>
      </c>
      <c r="J829" s="136" t="s">
        <v>2198</v>
      </c>
      <c r="K829" s="137" t="s">
        <v>843</v>
      </c>
      <c r="L829" s="137" t="s">
        <v>841</v>
      </c>
      <c r="M82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2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29" s="138" t="str" cm="1">
        <f t="array" ref="O829">IFERROR(INDEX(CategoriesTable[Category type],MATCH(Table1[[#This Row],[Category]],CategoriesTable[Category name],0),0),"")</f>
        <v/>
      </c>
      <c r="P829" s="138">
        <v>28</v>
      </c>
      <c r="Q829" s="138">
        <f>MONTH(Table1[[#This Row],[Date]])</f>
        <v>6</v>
      </c>
      <c r="R829" s="138">
        <v>2021</v>
      </c>
      <c r="S829" s="139">
        <f>IF(ISBLANK(Table1[[#This Row],[Date]]),"",Table1[[#This Row],[Date]]-WEEKDAY(Table1[[#This Row],[Date]],2)+1)</f>
        <v>44375</v>
      </c>
      <c r="T829" s="140">
        <f>IF(ISBLANK(Table1[[#This Row],[Date]]),"",DATE(Table1[[#This Row],[Date_Year]],Table1[[#This Row],[Date_Month]],1))</f>
        <v>44348</v>
      </c>
    </row>
    <row r="830" spans="2:20" ht="15.75">
      <c r="B830" s="154">
        <v>44375</v>
      </c>
      <c r="C830" s="119" t="s">
        <v>860</v>
      </c>
      <c r="D830" s="119"/>
      <c r="E830" s="119"/>
      <c r="F830" s="155">
        <v>55.11</v>
      </c>
      <c r="G830" s="133" t="str">
        <f>_xlfn.XLOOKUP(Table1[[#This Row],[Account_ID]], Accounts[ID], Accounts[Account nickname], "Unknown")</f>
        <v>Discover</v>
      </c>
      <c r="H830" s="134" t="str">
        <f>_xlfn.XLOOKUP(Table1[[#This Row],[Account_ID]], Accounts[ID], Accounts[Account'#], "Unknown")</f>
        <v>4618</v>
      </c>
      <c r="I830" s="135" t="str">
        <f>_xlfn.XLOOKUP(_xlfn.XLOOKUP(Table1[[#This Row],[Account]],Accounts[Account nickname],Accounts[Institution ID]),Institutions[ID],Institutions[Institution nickname],"Unknown")</f>
        <v>Discover</v>
      </c>
      <c r="J830" s="136" t="s">
        <v>2195</v>
      </c>
      <c r="K830" s="137" t="s">
        <v>843</v>
      </c>
      <c r="L830" s="137" t="s">
        <v>841</v>
      </c>
      <c r="M83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3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30" s="138" t="str" cm="1">
        <f t="array" ref="O830">IFERROR(INDEX(CategoriesTable[Category type],MATCH(Table1[[#This Row],[Category]],CategoriesTable[Category name],0),0),"")</f>
        <v/>
      </c>
      <c r="P830" s="138">
        <v>28</v>
      </c>
      <c r="Q830" s="138">
        <f>MONTH(Table1[[#This Row],[Date]])</f>
        <v>6</v>
      </c>
      <c r="R830" s="138">
        <v>2021</v>
      </c>
      <c r="S830" s="139">
        <f>IF(ISBLANK(Table1[[#This Row],[Date]]),"",Table1[[#This Row],[Date]]-WEEKDAY(Table1[[#This Row],[Date]],2)+1)</f>
        <v>44375</v>
      </c>
      <c r="T830" s="140">
        <f>IF(ISBLANK(Table1[[#This Row],[Date]]),"",DATE(Table1[[#This Row],[Date_Year]],Table1[[#This Row],[Date_Month]],1))</f>
        <v>44348</v>
      </c>
    </row>
    <row r="831" spans="2:20" ht="15.75">
      <c r="B831" s="154">
        <v>44374</v>
      </c>
      <c r="C831" s="119" t="s">
        <v>2152</v>
      </c>
      <c r="D831" s="119"/>
      <c r="E831" s="119"/>
      <c r="F831" s="155">
        <v>-2.75</v>
      </c>
      <c r="G831" s="133" t="str">
        <f>_xlfn.XLOOKUP(Table1[[#This Row],[Account_ID]], Accounts[ID], Accounts[Account nickname], "Unknown")</f>
        <v>Discover</v>
      </c>
      <c r="H831" s="134" t="str">
        <f>_xlfn.XLOOKUP(Table1[[#This Row],[Account_ID]], Accounts[ID], Accounts[Account'#], "Unknown")</f>
        <v>4618</v>
      </c>
      <c r="I831" s="135" t="str">
        <f>_xlfn.XLOOKUP(_xlfn.XLOOKUP(Table1[[#This Row],[Account]],Accounts[Account nickname],Accounts[Institution ID]),Institutions[ID],Institutions[Institution nickname],"Unknown")</f>
        <v>Discover</v>
      </c>
      <c r="J831" s="136" t="s">
        <v>2206</v>
      </c>
      <c r="K831" s="137" t="s">
        <v>843</v>
      </c>
      <c r="L831" s="137" t="s">
        <v>841</v>
      </c>
      <c r="M83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3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31" s="138" t="str" cm="1">
        <f t="array" ref="O831">IFERROR(INDEX(CategoriesTable[Category type],MATCH(Table1[[#This Row],[Category]],CategoriesTable[Category name],0),0),"")</f>
        <v/>
      </c>
      <c r="P831" s="138">
        <v>27</v>
      </c>
      <c r="Q831" s="138">
        <f>MONTH(Table1[[#This Row],[Date]])</f>
        <v>6</v>
      </c>
      <c r="R831" s="138">
        <v>2021</v>
      </c>
      <c r="S831" s="139">
        <f>IF(ISBLANK(Table1[[#This Row],[Date]]),"",Table1[[#This Row],[Date]]-WEEKDAY(Table1[[#This Row],[Date]],2)+1)</f>
        <v>44368</v>
      </c>
      <c r="T831" s="140">
        <f>IF(ISBLANK(Table1[[#This Row],[Date]]),"",DATE(Table1[[#This Row],[Date_Year]],Table1[[#This Row],[Date_Month]],1))</f>
        <v>44348</v>
      </c>
    </row>
    <row r="832" spans="2:20" ht="15.75">
      <c r="B832" s="154">
        <v>44374</v>
      </c>
      <c r="C832" s="119" t="s">
        <v>2203</v>
      </c>
      <c r="D832" s="119"/>
      <c r="E832" s="119"/>
      <c r="F832" s="155">
        <v>-3.99</v>
      </c>
      <c r="G832" s="133" t="str">
        <f>_xlfn.XLOOKUP(Table1[[#This Row],[Account_ID]], Accounts[ID], Accounts[Account nickname], "Unknown")</f>
        <v>Discover</v>
      </c>
      <c r="H832" s="134" t="str">
        <f>_xlfn.XLOOKUP(Table1[[#This Row],[Account_ID]], Accounts[ID], Accounts[Account'#], "Unknown")</f>
        <v>4618</v>
      </c>
      <c r="I832" s="135" t="str">
        <f>_xlfn.XLOOKUP(_xlfn.XLOOKUP(Table1[[#This Row],[Account]],Accounts[Account nickname],Accounts[Institution ID]),Institutions[ID],Institutions[Institution nickname],"Unknown")</f>
        <v>Discover</v>
      </c>
      <c r="J832" s="136" t="s">
        <v>2204</v>
      </c>
      <c r="K832" s="137" t="s">
        <v>843</v>
      </c>
      <c r="L832" s="137" t="s">
        <v>841</v>
      </c>
      <c r="M83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3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32" s="138" t="str" cm="1">
        <f t="array" ref="O832">IFERROR(INDEX(CategoriesTable[Category type],MATCH(Table1[[#This Row],[Category]],CategoriesTable[Category name],0),0),"")</f>
        <v/>
      </c>
      <c r="P832" s="138">
        <v>27</v>
      </c>
      <c r="Q832" s="138">
        <f>MONTH(Table1[[#This Row],[Date]])</f>
        <v>6</v>
      </c>
      <c r="R832" s="138">
        <v>2021</v>
      </c>
      <c r="S832" s="139">
        <f>IF(ISBLANK(Table1[[#This Row],[Date]]),"",Table1[[#This Row],[Date]]-WEEKDAY(Table1[[#This Row],[Date]],2)+1)</f>
        <v>44368</v>
      </c>
      <c r="T832" s="140">
        <f>IF(ISBLANK(Table1[[#This Row],[Date]]),"",DATE(Table1[[#This Row],[Date_Year]],Table1[[#This Row],[Date_Month]],1))</f>
        <v>44348</v>
      </c>
    </row>
    <row r="833" spans="2:20" ht="15.75">
      <c r="B833" s="154">
        <v>44374</v>
      </c>
      <c r="C833" s="119" t="s">
        <v>1623</v>
      </c>
      <c r="D833" s="119"/>
      <c r="E833" s="119"/>
      <c r="F833" s="155">
        <v>-10</v>
      </c>
      <c r="G833" s="133" t="str">
        <f>_xlfn.XLOOKUP(Table1[[#This Row],[Account_ID]], Accounts[ID], Accounts[Account nickname], "Unknown")</f>
        <v>Discover</v>
      </c>
      <c r="H833" s="134" t="str">
        <f>_xlfn.XLOOKUP(Table1[[#This Row],[Account_ID]], Accounts[ID], Accounts[Account'#], "Unknown")</f>
        <v>4618</v>
      </c>
      <c r="I833" s="135" t="str">
        <f>_xlfn.XLOOKUP(_xlfn.XLOOKUP(Table1[[#This Row],[Account]],Accounts[Account nickname],Accounts[Institution ID]),Institutions[ID],Institutions[Institution nickname],"Unknown")</f>
        <v>Discover</v>
      </c>
      <c r="J833" s="136" t="s">
        <v>2202</v>
      </c>
      <c r="K833" s="137" t="s">
        <v>843</v>
      </c>
      <c r="L833" s="137" t="s">
        <v>841</v>
      </c>
      <c r="M83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3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33" s="138" t="str" cm="1">
        <f t="array" ref="O833">IFERROR(INDEX(CategoriesTable[Category type],MATCH(Table1[[#This Row],[Category]],CategoriesTable[Category name],0),0),"")</f>
        <v/>
      </c>
      <c r="P833" s="138">
        <v>27</v>
      </c>
      <c r="Q833" s="138">
        <f>MONTH(Table1[[#This Row],[Date]])</f>
        <v>6</v>
      </c>
      <c r="R833" s="138">
        <v>2021</v>
      </c>
      <c r="S833" s="139">
        <f>IF(ISBLANK(Table1[[#This Row],[Date]]),"",Table1[[#This Row],[Date]]-WEEKDAY(Table1[[#This Row],[Date]],2)+1)</f>
        <v>44368</v>
      </c>
      <c r="T833" s="140">
        <f>IF(ISBLANK(Table1[[#This Row],[Date]]),"",DATE(Table1[[#This Row],[Date_Year]],Table1[[#This Row],[Date_Month]],1))</f>
        <v>44348</v>
      </c>
    </row>
    <row r="834" spans="2:20" ht="15.75">
      <c r="B834" s="154">
        <v>44374</v>
      </c>
      <c r="C834" s="119" t="s">
        <v>2208</v>
      </c>
      <c r="D834" s="119"/>
      <c r="E834" s="119"/>
      <c r="F834" s="155">
        <v>-10.25</v>
      </c>
      <c r="G834" s="133" t="str">
        <f>_xlfn.XLOOKUP(Table1[[#This Row],[Account_ID]], Accounts[ID], Accounts[Account nickname], "Unknown")</f>
        <v>Discover</v>
      </c>
      <c r="H834" s="134" t="str">
        <f>_xlfn.XLOOKUP(Table1[[#This Row],[Account_ID]], Accounts[ID], Accounts[Account'#], "Unknown")</f>
        <v>4618</v>
      </c>
      <c r="I834" s="135" t="str">
        <f>_xlfn.XLOOKUP(_xlfn.XLOOKUP(Table1[[#This Row],[Account]],Accounts[Account nickname],Accounts[Institution ID]),Institutions[ID],Institutions[Institution nickname],"Unknown")</f>
        <v>Discover</v>
      </c>
      <c r="J834" s="152" t="s">
        <v>2209</v>
      </c>
      <c r="K834" s="137" t="s">
        <v>843</v>
      </c>
      <c r="L834" s="137" t="s">
        <v>841</v>
      </c>
      <c r="M83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3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34" s="138" t="str" cm="1">
        <f t="array" ref="O834">IFERROR(INDEX(CategoriesTable[Category type],MATCH(Table1[[#This Row],[Category]],CategoriesTable[Category name],0),0),"")</f>
        <v/>
      </c>
      <c r="P834" s="138">
        <v>27</v>
      </c>
      <c r="Q834" s="138">
        <f>MONTH(Table1[[#This Row],[Date]])</f>
        <v>6</v>
      </c>
      <c r="R834" s="138">
        <v>2021</v>
      </c>
      <c r="S834" s="139">
        <f>IF(ISBLANK(Table1[[#This Row],[Date]]),"",Table1[[#This Row],[Date]]-WEEKDAY(Table1[[#This Row],[Date]],2)+1)</f>
        <v>44368</v>
      </c>
      <c r="T834" s="140">
        <f>IF(ISBLANK(Table1[[#This Row],[Date]]),"",DATE(Table1[[#This Row],[Date_Year]],Table1[[#This Row],[Date_Month]],1))</f>
        <v>44348</v>
      </c>
    </row>
    <row r="835" spans="2:20" ht="15.75">
      <c r="B835" s="154">
        <v>44374</v>
      </c>
      <c r="C835" s="119" t="s">
        <v>2152</v>
      </c>
      <c r="D835" s="119"/>
      <c r="E835" s="119"/>
      <c r="F835" s="155">
        <v>-2.75</v>
      </c>
      <c r="G835" s="133" t="str">
        <f>_xlfn.XLOOKUP(Table1[[#This Row],[Account_ID]], Accounts[ID], Accounts[Account nickname], "Unknown")</f>
        <v>Discover</v>
      </c>
      <c r="H835" s="134" t="str">
        <f>_xlfn.XLOOKUP(Table1[[#This Row],[Account_ID]], Accounts[ID], Accounts[Account'#], "Unknown")</f>
        <v>4618</v>
      </c>
      <c r="I835" s="135" t="str">
        <f>_xlfn.XLOOKUP(_xlfn.XLOOKUP(Table1[[#This Row],[Account]],Accounts[Account nickname],Accounts[Institution ID]),Institutions[ID],Institutions[Institution nickname],"Unknown")</f>
        <v>Discover</v>
      </c>
      <c r="J835" s="136" t="s">
        <v>2207</v>
      </c>
      <c r="K835" s="137" t="s">
        <v>843</v>
      </c>
      <c r="L835" s="137" t="s">
        <v>841</v>
      </c>
      <c r="M83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3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35" s="138" t="str" cm="1">
        <f t="array" ref="O835">IFERROR(INDEX(CategoriesTable[Category type],MATCH(Table1[[#This Row],[Category]],CategoriesTable[Category name],0),0),"")</f>
        <v/>
      </c>
      <c r="P835" s="138">
        <v>27</v>
      </c>
      <c r="Q835" s="138">
        <f>MONTH(Table1[[#This Row],[Date]])</f>
        <v>6</v>
      </c>
      <c r="R835" s="138">
        <v>2021</v>
      </c>
      <c r="S835" s="139">
        <f>IF(ISBLANK(Table1[[#This Row],[Date]]),"",Table1[[#This Row],[Date]]-WEEKDAY(Table1[[#This Row],[Date]],2)+1)</f>
        <v>44368</v>
      </c>
      <c r="T835" s="140">
        <f>IF(ISBLANK(Table1[[#This Row],[Date]]),"",DATE(Table1[[#This Row],[Date_Year]],Table1[[#This Row],[Date_Month]],1))</f>
        <v>44348</v>
      </c>
    </row>
    <row r="836" spans="2:20" ht="15.75">
      <c r="B836" s="154">
        <v>44374</v>
      </c>
      <c r="C836" s="119" t="s">
        <v>1679</v>
      </c>
      <c r="D836" s="119"/>
      <c r="E836" s="119"/>
      <c r="F836" s="155">
        <v>-9.99</v>
      </c>
      <c r="G836" s="133" t="str">
        <f>_xlfn.XLOOKUP(Table1[[#This Row],[Account_ID]], Accounts[ID], Accounts[Account nickname], "Unknown")</f>
        <v>Discover</v>
      </c>
      <c r="H836" s="134" t="str">
        <f>_xlfn.XLOOKUP(Table1[[#This Row],[Account_ID]], Accounts[ID], Accounts[Account'#], "Unknown")</f>
        <v>4618</v>
      </c>
      <c r="I836" s="135" t="str">
        <f>_xlfn.XLOOKUP(_xlfn.XLOOKUP(Table1[[#This Row],[Account]],Accounts[Account nickname],Accounts[Institution ID]),Institutions[ID],Institutions[Institution nickname],"Unknown")</f>
        <v>Discover</v>
      </c>
      <c r="J836" s="136" t="s">
        <v>2205</v>
      </c>
      <c r="K836" s="137" t="s">
        <v>843</v>
      </c>
      <c r="L836" s="137" t="s">
        <v>841</v>
      </c>
      <c r="M83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3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36" s="138" t="str" cm="1">
        <f t="array" ref="O836">IFERROR(INDEX(CategoriesTable[Category type],MATCH(Table1[[#This Row],[Category]],CategoriesTable[Category name],0),0),"")</f>
        <v/>
      </c>
      <c r="P836" s="138">
        <v>27</v>
      </c>
      <c r="Q836" s="138">
        <f>MONTH(Table1[[#This Row],[Date]])</f>
        <v>6</v>
      </c>
      <c r="R836" s="138">
        <v>2021</v>
      </c>
      <c r="S836" s="139">
        <f>IF(ISBLANK(Table1[[#This Row],[Date]]),"",Table1[[#This Row],[Date]]-WEEKDAY(Table1[[#This Row],[Date]],2)+1)</f>
        <v>44368</v>
      </c>
      <c r="T836" s="140">
        <f>IF(ISBLANK(Table1[[#This Row],[Date]]),"",DATE(Table1[[#This Row],[Date_Year]],Table1[[#This Row],[Date_Month]],1))</f>
        <v>44348</v>
      </c>
    </row>
    <row r="837" spans="2:20" ht="15.75">
      <c r="B837" s="154">
        <v>44373</v>
      </c>
      <c r="C837" s="119" t="s">
        <v>2152</v>
      </c>
      <c r="D837" s="119"/>
      <c r="E837" s="119"/>
      <c r="F837" s="155">
        <v>-2.75</v>
      </c>
      <c r="G837" s="133" t="str">
        <f>_xlfn.XLOOKUP(Table1[[#This Row],[Account_ID]], Accounts[ID], Accounts[Account nickname], "Unknown")</f>
        <v>Discover</v>
      </c>
      <c r="H837" s="134" t="str">
        <f>_xlfn.XLOOKUP(Table1[[#This Row],[Account_ID]], Accounts[ID], Accounts[Account'#], "Unknown")</f>
        <v>4618</v>
      </c>
      <c r="I837" s="135" t="str">
        <f>_xlfn.XLOOKUP(_xlfn.XLOOKUP(Table1[[#This Row],[Account]],Accounts[Account nickname],Accounts[Institution ID]),Institutions[ID],Institutions[Institution nickname],"Unknown")</f>
        <v>Discover</v>
      </c>
      <c r="J837" s="136" t="s">
        <v>2213</v>
      </c>
      <c r="K837" s="137" t="s">
        <v>843</v>
      </c>
      <c r="L837" s="137" t="s">
        <v>841</v>
      </c>
      <c r="M83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3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37" s="138" t="str" cm="1">
        <f t="array" ref="O837">IFERROR(INDEX(CategoriesTable[Category type],MATCH(Table1[[#This Row],[Category]],CategoriesTable[Category name],0),0),"")</f>
        <v/>
      </c>
      <c r="P837" s="138">
        <v>26</v>
      </c>
      <c r="Q837" s="138">
        <f>MONTH(Table1[[#This Row],[Date]])</f>
        <v>6</v>
      </c>
      <c r="R837" s="138">
        <v>2021</v>
      </c>
      <c r="S837" s="139">
        <f>IF(ISBLANK(Table1[[#This Row],[Date]]),"",Table1[[#This Row],[Date]]-WEEKDAY(Table1[[#This Row],[Date]],2)+1)</f>
        <v>44368</v>
      </c>
      <c r="T837" s="140">
        <f>IF(ISBLANK(Table1[[#This Row],[Date]]),"",DATE(Table1[[#This Row],[Date_Year]],Table1[[#This Row],[Date_Month]],1))</f>
        <v>44348</v>
      </c>
    </row>
    <row r="838" spans="2:20" ht="15.75">
      <c r="B838" s="154">
        <v>44373</v>
      </c>
      <c r="C838" s="119" t="s">
        <v>860</v>
      </c>
      <c r="D838" s="119"/>
      <c r="E838" s="119"/>
      <c r="F838" s="155">
        <v>5.4</v>
      </c>
      <c r="G838" s="133" t="str">
        <f>_xlfn.XLOOKUP(Table1[[#This Row],[Account_ID]], Accounts[ID], Accounts[Account nickname], "Unknown")</f>
        <v>Discover</v>
      </c>
      <c r="H838" s="134" t="str">
        <f>_xlfn.XLOOKUP(Table1[[#This Row],[Account_ID]], Accounts[ID], Accounts[Account'#], "Unknown")</f>
        <v>4618</v>
      </c>
      <c r="I838" s="135" t="str">
        <f>_xlfn.XLOOKUP(_xlfn.XLOOKUP(Table1[[#This Row],[Account]],Accounts[Account nickname],Accounts[Institution ID]),Institutions[ID],Institutions[Institution nickname],"Unknown")</f>
        <v>Discover</v>
      </c>
      <c r="J838" s="136" t="s">
        <v>2210</v>
      </c>
      <c r="K838" s="137" t="s">
        <v>843</v>
      </c>
      <c r="L838" s="137" t="s">
        <v>841</v>
      </c>
      <c r="M83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3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38" s="138" t="str" cm="1">
        <f t="array" ref="O838">IFERROR(INDEX(CategoriesTable[Category type],MATCH(Table1[[#This Row],[Category]],CategoriesTable[Category name],0),0),"")</f>
        <v/>
      </c>
      <c r="P838" s="138">
        <v>26</v>
      </c>
      <c r="Q838" s="138">
        <f>MONTH(Table1[[#This Row],[Date]])</f>
        <v>6</v>
      </c>
      <c r="R838" s="138">
        <v>2021</v>
      </c>
      <c r="S838" s="139">
        <f>IF(ISBLANK(Table1[[#This Row],[Date]]),"",Table1[[#This Row],[Date]]-WEEKDAY(Table1[[#This Row],[Date]],2)+1)</f>
        <v>44368</v>
      </c>
      <c r="T838" s="140">
        <f>IF(ISBLANK(Table1[[#This Row],[Date]]),"",DATE(Table1[[#This Row],[Date_Year]],Table1[[#This Row],[Date_Month]],1))</f>
        <v>44348</v>
      </c>
    </row>
    <row r="839" spans="2:20" ht="15.75">
      <c r="B839" s="154">
        <v>44373</v>
      </c>
      <c r="C839" s="119" t="s">
        <v>710</v>
      </c>
      <c r="D839" s="119"/>
      <c r="E839" s="119"/>
      <c r="F839" s="155">
        <v>-9.07</v>
      </c>
      <c r="G839" s="133" t="str">
        <f>_xlfn.XLOOKUP(Table1[[#This Row],[Account_ID]], Accounts[ID], Accounts[Account nickname], "Unknown")</f>
        <v>Discover</v>
      </c>
      <c r="H839" s="134" t="str">
        <f>_xlfn.XLOOKUP(Table1[[#This Row],[Account_ID]], Accounts[ID], Accounts[Account'#], "Unknown")</f>
        <v>4618</v>
      </c>
      <c r="I839" s="135" t="str">
        <f>_xlfn.XLOOKUP(_xlfn.XLOOKUP(Table1[[#This Row],[Account]],Accounts[Account nickname],Accounts[Institution ID]),Institutions[ID],Institutions[Institution nickname],"Unknown")</f>
        <v>Discover</v>
      </c>
      <c r="J839" s="136" t="s">
        <v>2211</v>
      </c>
      <c r="K839" s="137" t="s">
        <v>843</v>
      </c>
      <c r="L839" s="137" t="s">
        <v>841</v>
      </c>
      <c r="M83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3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39" s="138" t="str" cm="1">
        <f t="array" ref="O839">IFERROR(INDEX(CategoriesTable[Category type],MATCH(Table1[[#This Row],[Category]],CategoriesTable[Category name],0),0),"")</f>
        <v/>
      </c>
      <c r="P839" s="138">
        <v>26</v>
      </c>
      <c r="Q839" s="138">
        <f>MONTH(Table1[[#This Row],[Date]])</f>
        <v>6</v>
      </c>
      <c r="R839" s="138">
        <v>2021</v>
      </c>
      <c r="S839" s="139">
        <f>IF(ISBLANK(Table1[[#This Row],[Date]]),"",Table1[[#This Row],[Date]]-WEEKDAY(Table1[[#This Row],[Date]],2)+1)</f>
        <v>44368</v>
      </c>
      <c r="T839" s="140">
        <f>IF(ISBLANK(Table1[[#This Row],[Date]]),"",DATE(Table1[[#This Row],[Date_Year]],Table1[[#This Row],[Date_Month]],1))</f>
        <v>44348</v>
      </c>
    </row>
    <row r="840" spans="2:20" ht="15.75">
      <c r="B840" s="154">
        <v>44373</v>
      </c>
      <c r="C840" s="119" t="s">
        <v>2152</v>
      </c>
      <c r="D840" s="119"/>
      <c r="E840" s="119"/>
      <c r="F840" s="155">
        <v>-2.75</v>
      </c>
      <c r="G840" s="133" t="str">
        <f>_xlfn.XLOOKUP(Table1[[#This Row],[Account_ID]], Accounts[ID], Accounts[Account nickname], "Unknown")</f>
        <v>Discover</v>
      </c>
      <c r="H840" s="134" t="str">
        <f>_xlfn.XLOOKUP(Table1[[#This Row],[Account_ID]], Accounts[ID], Accounts[Account'#], "Unknown")</f>
        <v>4618</v>
      </c>
      <c r="I840" s="135" t="str">
        <f>_xlfn.XLOOKUP(_xlfn.XLOOKUP(Table1[[#This Row],[Account]],Accounts[Account nickname],Accounts[Institution ID]),Institutions[ID],Institutions[Institution nickname],"Unknown")</f>
        <v>Discover</v>
      </c>
      <c r="J840" s="136" t="s">
        <v>2212</v>
      </c>
      <c r="K840" s="137" t="s">
        <v>843</v>
      </c>
      <c r="L840" s="137" t="s">
        <v>841</v>
      </c>
      <c r="M84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4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40" s="138" t="str" cm="1">
        <f t="array" ref="O840">IFERROR(INDEX(CategoriesTable[Category type],MATCH(Table1[[#This Row],[Category]],CategoriesTable[Category name],0),0),"")</f>
        <v/>
      </c>
      <c r="P840" s="138">
        <v>26</v>
      </c>
      <c r="Q840" s="138">
        <f>MONTH(Table1[[#This Row],[Date]])</f>
        <v>6</v>
      </c>
      <c r="R840" s="138">
        <v>2021</v>
      </c>
      <c r="S840" s="139">
        <f>IF(ISBLANK(Table1[[#This Row],[Date]]),"",Table1[[#This Row],[Date]]-WEEKDAY(Table1[[#This Row],[Date]],2)+1)</f>
        <v>44368</v>
      </c>
      <c r="T840" s="140">
        <f>IF(ISBLANK(Table1[[#This Row],[Date]]),"",DATE(Table1[[#This Row],[Date_Year]],Table1[[#This Row],[Date_Month]],1))</f>
        <v>44348</v>
      </c>
    </row>
    <row r="841" spans="2:20" ht="15.75">
      <c r="B841" s="154">
        <v>44372</v>
      </c>
      <c r="C841" s="119" t="s">
        <v>702</v>
      </c>
      <c r="D841" s="119"/>
      <c r="E841" s="119"/>
      <c r="F841" s="155">
        <v>-8.6300000000000008</v>
      </c>
      <c r="G841" s="133" t="str">
        <f>_xlfn.XLOOKUP(Table1[[#This Row],[Account_ID]], Accounts[ID], Accounts[Account nickname], "Unknown")</f>
        <v>Discover</v>
      </c>
      <c r="H841" s="134" t="str">
        <f>_xlfn.XLOOKUP(Table1[[#This Row],[Account_ID]], Accounts[ID], Accounts[Account'#], "Unknown")</f>
        <v>4618</v>
      </c>
      <c r="I841" s="135" t="str">
        <f>_xlfn.XLOOKUP(_xlfn.XLOOKUP(Table1[[#This Row],[Account]],Accounts[Account nickname],Accounts[Institution ID]),Institutions[ID],Institutions[Institution nickname],"Unknown")</f>
        <v>Discover</v>
      </c>
      <c r="J841" s="136" t="s">
        <v>2216</v>
      </c>
      <c r="K841" s="137" t="s">
        <v>843</v>
      </c>
      <c r="L841" s="137" t="s">
        <v>841</v>
      </c>
      <c r="M84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4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41" s="138" t="str" cm="1">
        <f t="array" ref="O841">IFERROR(INDEX(CategoriesTable[Category type],MATCH(Table1[[#This Row],[Category]],CategoriesTable[Category name],0),0),"")</f>
        <v/>
      </c>
      <c r="P841" s="138">
        <v>25</v>
      </c>
      <c r="Q841" s="138">
        <f>MONTH(Table1[[#This Row],[Date]])</f>
        <v>6</v>
      </c>
      <c r="R841" s="138">
        <v>2021</v>
      </c>
      <c r="S841" s="139">
        <f>IF(ISBLANK(Table1[[#This Row],[Date]]),"",Table1[[#This Row],[Date]]-WEEKDAY(Table1[[#This Row],[Date]],2)+1)</f>
        <v>44368</v>
      </c>
      <c r="T841" s="140">
        <f>IF(ISBLANK(Table1[[#This Row],[Date]]),"",DATE(Table1[[#This Row],[Date_Year]],Table1[[#This Row],[Date_Month]],1))</f>
        <v>44348</v>
      </c>
    </row>
    <row r="842" spans="2:20" ht="15.75">
      <c r="B842" s="154">
        <v>44372</v>
      </c>
      <c r="C842" s="119" t="s">
        <v>2141</v>
      </c>
      <c r="D842" s="119"/>
      <c r="E842" s="119"/>
      <c r="F842" s="155">
        <v>-268.14999999999998</v>
      </c>
      <c r="G842" s="133" t="str">
        <f>_xlfn.XLOOKUP(Table1[[#This Row],[Account_ID]], Accounts[ID], Accounts[Account nickname], "Unknown")</f>
        <v>Discover</v>
      </c>
      <c r="H842" s="134" t="str">
        <f>_xlfn.XLOOKUP(Table1[[#This Row],[Account_ID]], Accounts[ID], Accounts[Account'#], "Unknown")</f>
        <v>4618</v>
      </c>
      <c r="I842" s="135" t="str">
        <f>_xlfn.XLOOKUP(_xlfn.XLOOKUP(Table1[[#This Row],[Account]],Accounts[Account nickname],Accounts[Institution ID]),Institutions[ID],Institutions[Institution nickname],"Unknown")</f>
        <v>Discover</v>
      </c>
      <c r="J842" s="136" t="s">
        <v>2215</v>
      </c>
      <c r="K842" s="137" t="s">
        <v>843</v>
      </c>
      <c r="L842" s="137" t="s">
        <v>841</v>
      </c>
      <c r="M84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4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42" s="138" t="str" cm="1">
        <f t="array" ref="O842">IFERROR(INDEX(CategoriesTable[Category type],MATCH(Table1[[#This Row],[Category]],CategoriesTable[Category name],0),0),"")</f>
        <v/>
      </c>
      <c r="P842" s="138">
        <v>25</v>
      </c>
      <c r="Q842" s="138">
        <f>MONTH(Table1[[#This Row],[Date]])</f>
        <v>6</v>
      </c>
      <c r="R842" s="138">
        <v>2021</v>
      </c>
      <c r="S842" s="139">
        <f>IF(ISBLANK(Table1[[#This Row],[Date]]),"",Table1[[#This Row],[Date]]-WEEKDAY(Table1[[#This Row],[Date]],2)+1)</f>
        <v>44368</v>
      </c>
      <c r="T842" s="140">
        <f>IF(ISBLANK(Table1[[#This Row],[Date]]),"",DATE(Table1[[#This Row],[Date_Year]],Table1[[#This Row],[Date_Month]],1))</f>
        <v>44348</v>
      </c>
    </row>
    <row r="843" spans="2:20" ht="15.75">
      <c r="B843" s="154">
        <v>44372</v>
      </c>
      <c r="C843" s="119" t="s">
        <v>860</v>
      </c>
      <c r="D843" s="119"/>
      <c r="E843" s="119"/>
      <c r="F843" s="155">
        <v>-55.11</v>
      </c>
      <c r="G843" s="133" t="str">
        <f>_xlfn.XLOOKUP(Table1[[#This Row],[Account_ID]], Accounts[ID], Accounts[Account nickname], "Unknown")</f>
        <v>Discover</v>
      </c>
      <c r="H843" s="134" t="str">
        <f>_xlfn.XLOOKUP(Table1[[#This Row],[Account_ID]], Accounts[ID], Accounts[Account'#], "Unknown")</f>
        <v>4618</v>
      </c>
      <c r="I843" s="135" t="str">
        <f>_xlfn.XLOOKUP(_xlfn.XLOOKUP(Table1[[#This Row],[Account]],Accounts[Account nickname],Accounts[Institution ID]),Institutions[ID],Institutions[Institution nickname],"Unknown")</f>
        <v>Discover</v>
      </c>
      <c r="J843" s="136" t="s">
        <v>2214</v>
      </c>
      <c r="K843" s="137" t="s">
        <v>843</v>
      </c>
      <c r="L843" s="137" t="s">
        <v>841</v>
      </c>
      <c r="M84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4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43" s="138" t="str" cm="1">
        <f t="array" ref="O843">IFERROR(INDEX(CategoriesTable[Category type],MATCH(Table1[[#This Row],[Category]],CategoriesTable[Category name],0),0),"")</f>
        <v/>
      </c>
      <c r="P843" s="138">
        <v>25</v>
      </c>
      <c r="Q843" s="138">
        <f>MONTH(Table1[[#This Row],[Date]])</f>
        <v>6</v>
      </c>
      <c r="R843" s="138">
        <v>2021</v>
      </c>
      <c r="S843" s="139">
        <f>IF(ISBLANK(Table1[[#This Row],[Date]]),"",Table1[[#This Row],[Date]]-WEEKDAY(Table1[[#This Row],[Date]],2)+1)</f>
        <v>44368</v>
      </c>
      <c r="T843" s="140">
        <f>IF(ISBLANK(Table1[[#This Row],[Date]]),"",DATE(Table1[[#This Row],[Date_Year]],Table1[[#This Row],[Date_Month]],1))</f>
        <v>44348</v>
      </c>
    </row>
    <row r="844" spans="2:20" ht="15.75">
      <c r="B844" s="154">
        <v>44371</v>
      </c>
      <c r="C844" s="119" t="s">
        <v>2122</v>
      </c>
      <c r="D844" s="119"/>
      <c r="E844" s="119"/>
      <c r="F844" s="155">
        <v>-88.85</v>
      </c>
      <c r="G844" s="133" t="str">
        <f>_xlfn.XLOOKUP(Table1[[#This Row],[Account_ID]], Accounts[ID], Accounts[Account nickname], "Unknown")</f>
        <v>Discover</v>
      </c>
      <c r="H844" s="134" t="str">
        <f>_xlfn.XLOOKUP(Table1[[#This Row],[Account_ID]], Accounts[ID], Accounts[Account'#], "Unknown")</f>
        <v>4618</v>
      </c>
      <c r="I844" s="135" t="str">
        <f>_xlfn.XLOOKUP(_xlfn.XLOOKUP(Table1[[#This Row],[Account]],Accounts[Account nickname],Accounts[Institution ID]),Institutions[ID],Institutions[Institution nickname],"Unknown")</f>
        <v>Discover</v>
      </c>
      <c r="J844" s="136" t="s">
        <v>2218</v>
      </c>
      <c r="K844" s="137" t="s">
        <v>843</v>
      </c>
      <c r="L844" s="137" t="s">
        <v>841</v>
      </c>
      <c r="M84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4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44" s="138" t="str" cm="1">
        <f t="array" ref="O844">IFERROR(INDEX(CategoriesTable[Category type],MATCH(Table1[[#This Row],[Category]],CategoriesTable[Category name],0),0),"")</f>
        <v/>
      </c>
      <c r="P844" s="138">
        <v>24</v>
      </c>
      <c r="Q844" s="138">
        <f>MONTH(Table1[[#This Row],[Date]])</f>
        <v>6</v>
      </c>
      <c r="R844" s="138">
        <v>2021</v>
      </c>
      <c r="S844" s="139">
        <f>IF(ISBLANK(Table1[[#This Row],[Date]]),"",Table1[[#This Row],[Date]]-WEEKDAY(Table1[[#This Row],[Date]],2)+1)</f>
        <v>44368</v>
      </c>
      <c r="T844" s="140">
        <f>IF(ISBLANK(Table1[[#This Row],[Date]]),"",DATE(Table1[[#This Row],[Date_Year]],Table1[[#This Row],[Date_Month]],1))</f>
        <v>44348</v>
      </c>
    </row>
    <row r="845" spans="2:20" ht="15.75">
      <c r="B845" s="154">
        <v>44371</v>
      </c>
      <c r="C845" s="119" t="s">
        <v>745</v>
      </c>
      <c r="D845" s="119"/>
      <c r="E845" s="119"/>
      <c r="F845" s="155">
        <v>-36.520000000000003</v>
      </c>
      <c r="G845" s="133" t="str">
        <f>_xlfn.XLOOKUP(Table1[[#This Row],[Account_ID]], Accounts[ID], Accounts[Account nickname], "Unknown")</f>
        <v>Discover</v>
      </c>
      <c r="H845" s="134" t="str">
        <f>_xlfn.XLOOKUP(Table1[[#This Row],[Account_ID]], Accounts[ID], Accounts[Account'#], "Unknown")</f>
        <v>4618</v>
      </c>
      <c r="I845" s="135" t="str">
        <f>_xlfn.XLOOKUP(_xlfn.XLOOKUP(Table1[[#This Row],[Account]],Accounts[Account nickname],Accounts[Institution ID]),Institutions[ID],Institutions[Institution nickname],"Unknown")</f>
        <v>Discover</v>
      </c>
      <c r="J845" s="136" t="s">
        <v>2217</v>
      </c>
      <c r="K845" s="137" t="s">
        <v>843</v>
      </c>
      <c r="L845" s="137" t="s">
        <v>841</v>
      </c>
      <c r="M84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4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45" s="138" t="str" cm="1">
        <f t="array" ref="O845">IFERROR(INDEX(CategoriesTable[Category type],MATCH(Table1[[#This Row],[Category]],CategoriesTable[Category name],0),0),"")</f>
        <v/>
      </c>
      <c r="P845" s="138">
        <v>24</v>
      </c>
      <c r="Q845" s="138">
        <f>MONTH(Table1[[#This Row],[Date]])</f>
        <v>6</v>
      </c>
      <c r="R845" s="138">
        <v>2021</v>
      </c>
      <c r="S845" s="139">
        <f>IF(ISBLANK(Table1[[#This Row],[Date]]),"",Table1[[#This Row],[Date]]-WEEKDAY(Table1[[#This Row],[Date]],2)+1)</f>
        <v>44368</v>
      </c>
      <c r="T845" s="140">
        <f>IF(ISBLANK(Table1[[#This Row],[Date]]),"",DATE(Table1[[#This Row],[Date_Year]],Table1[[#This Row],[Date_Month]],1))</f>
        <v>44348</v>
      </c>
    </row>
    <row r="846" spans="2:20" ht="15.75">
      <c r="B846" s="154">
        <v>44370</v>
      </c>
      <c r="C846" s="119" t="s">
        <v>686</v>
      </c>
      <c r="D846" s="119"/>
      <c r="E846" s="119"/>
      <c r="F846" s="155">
        <v>-1869</v>
      </c>
      <c r="G846" s="133" t="str">
        <f>_xlfn.XLOOKUP(Table1[[#This Row],[Account_ID]], Accounts[ID], Accounts[Account nickname], "Unknown")</f>
        <v>WF</v>
      </c>
      <c r="H846" s="134" t="str">
        <f>_xlfn.XLOOKUP(Table1[[#This Row],[Account_ID]], Accounts[ID], Accounts[Account'#], "Unknown")</f>
        <v>4636</v>
      </c>
      <c r="I846" s="135" t="str">
        <f>_xlfn.XLOOKUP(_xlfn.XLOOKUP(Table1[[#This Row],[Account]],Accounts[Account nickname],Accounts[Institution ID]),Institutions[ID],Institutions[Institution nickname],"Unknown")</f>
        <v>Wells Fargo</v>
      </c>
      <c r="J846" s="136" t="s">
        <v>1093</v>
      </c>
      <c r="K846" s="137" t="s">
        <v>808</v>
      </c>
      <c r="L846" s="137" t="s">
        <v>807</v>
      </c>
      <c r="M84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4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46" s="138" t="str" cm="1">
        <f t="array" ref="O846">IFERROR(INDEX(CategoriesTable[Category type],MATCH(Table1[[#This Row],[Category]],CategoriesTable[Category name],0),0),"")</f>
        <v/>
      </c>
      <c r="P846" s="138">
        <v>23</v>
      </c>
      <c r="Q846" s="138">
        <f>MONTH(Table1[[#This Row],[Date]])</f>
        <v>6</v>
      </c>
      <c r="R846" s="138">
        <v>2021</v>
      </c>
      <c r="S846" s="139">
        <f>IF(ISBLANK(Table1[[#This Row],[Date]]),"",Table1[[#This Row],[Date]]-WEEKDAY(Table1[[#This Row],[Date]],2)+1)</f>
        <v>44368</v>
      </c>
      <c r="T846" s="140">
        <f>IF(ISBLANK(Table1[[#This Row],[Date]]),"",DATE(Table1[[#This Row],[Date_Year]],Table1[[#This Row],[Date_Month]],1))</f>
        <v>44348</v>
      </c>
    </row>
    <row r="847" spans="2:20" ht="15.75">
      <c r="B847" s="154">
        <v>44370</v>
      </c>
      <c r="C847" s="119" t="s">
        <v>749</v>
      </c>
      <c r="D847" s="119"/>
      <c r="E847" s="119"/>
      <c r="F847" s="155">
        <v>198.46</v>
      </c>
      <c r="G847" s="133" t="str">
        <f>_xlfn.XLOOKUP(Table1[[#This Row],[Account_ID]], Accounts[ID], Accounts[Account nickname], "Unknown")</f>
        <v>WF</v>
      </c>
      <c r="H847" s="134" t="str">
        <f>_xlfn.XLOOKUP(Table1[[#This Row],[Account_ID]], Accounts[ID], Accounts[Account'#], "Unknown")</f>
        <v>4636</v>
      </c>
      <c r="I847" s="135" t="str">
        <f>_xlfn.XLOOKUP(_xlfn.XLOOKUP(Table1[[#This Row],[Account]],Accounts[Account nickname],Accounts[Institution ID]),Institutions[ID],Institutions[Institution nickname],"Unknown")</f>
        <v>Wells Fargo</v>
      </c>
      <c r="J847" s="136" t="s">
        <v>1094</v>
      </c>
      <c r="K847" s="137" t="s">
        <v>808</v>
      </c>
      <c r="L847" s="137" t="s">
        <v>807</v>
      </c>
      <c r="M84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4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47" s="138" t="str" cm="1">
        <f t="array" ref="O847">IFERROR(INDEX(CategoriesTable[Category type],MATCH(Table1[[#This Row],[Category]],CategoriesTable[Category name],0),0),"")</f>
        <v/>
      </c>
      <c r="P847" s="138">
        <v>23</v>
      </c>
      <c r="Q847" s="138">
        <f>MONTH(Table1[[#This Row],[Date]])</f>
        <v>6</v>
      </c>
      <c r="R847" s="138">
        <v>2021</v>
      </c>
      <c r="S847" s="139">
        <f>IF(ISBLANK(Table1[[#This Row],[Date]]),"",Table1[[#This Row],[Date]]-WEEKDAY(Table1[[#This Row],[Date]],2)+1)</f>
        <v>44368</v>
      </c>
      <c r="T847" s="140">
        <f>IF(ISBLANK(Table1[[#This Row],[Date]]),"",DATE(Table1[[#This Row],[Date_Year]],Table1[[#This Row],[Date_Month]],1))</f>
        <v>44348</v>
      </c>
    </row>
    <row r="848" spans="2:20" ht="15.75">
      <c r="B848" s="154">
        <v>44370</v>
      </c>
      <c r="C848" s="119" t="s">
        <v>2220</v>
      </c>
      <c r="D848" s="119"/>
      <c r="E848" s="119"/>
      <c r="F848" s="155">
        <v>-22</v>
      </c>
      <c r="G848" s="133" t="str">
        <f>_xlfn.XLOOKUP(Table1[[#This Row],[Account_ID]], Accounts[ID], Accounts[Account nickname], "Unknown")</f>
        <v>Discover</v>
      </c>
      <c r="H848" s="134" t="str">
        <f>_xlfn.XLOOKUP(Table1[[#This Row],[Account_ID]], Accounts[ID], Accounts[Account'#], "Unknown")</f>
        <v>4618</v>
      </c>
      <c r="I848" s="135" t="str">
        <f>_xlfn.XLOOKUP(_xlfn.XLOOKUP(Table1[[#This Row],[Account]],Accounts[Account nickname],Accounts[Institution ID]),Institutions[ID],Institutions[Institution nickname],"Unknown")</f>
        <v>Discover</v>
      </c>
      <c r="J848" s="136" t="s">
        <v>2221</v>
      </c>
      <c r="K848" s="137" t="s">
        <v>843</v>
      </c>
      <c r="L848" s="137" t="s">
        <v>841</v>
      </c>
      <c r="M84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4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48" s="138" t="str" cm="1">
        <f t="array" ref="O848">IFERROR(INDEX(CategoriesTable[Category type],MATCH(Table1[[#This Row],[Category]],CategoriesTable[Category name],0),0),"")</f>
        <v/>
      </c>
      <c r="P848" s="138">
        <v>23</v>
      </c>
      <c r="Q848" s="138">
        <f>MONTH(Table1[[#This Row],[Date]])</f>
        <v>6</v>
      </c>
      <c r="R848" s="138">
        <v>2021</v>
      </c>
      <c r="S848" s="139">
        <f>IF(ISBLANK(Table1[[#This Row],[Date]]),"",Table1[[#This Row],[Date]]-WEEKDAY(Table1[[#This Row],[Date]],2)+1)</f>
        <v>44368</v>
      </c>
      <c r="T848" s="140">
        <f>IF(ISBLANK(Table1[[#This Row],[Date]]),"",DATE(Table1[[#This Row],[Date_Year]],Table1[[#This Row],[Date_Month]],1))</f>
        <v>44348</v>
      </c>
    </row>
    <row r="849" spans="2:20" ht="15.75">
      <c r="B849" s="154">
        <v>44370</v>
      </c>
      <c r="C849" s="119" t="s">
        <v>748</v>
      </c>
      <c r="D849" s="119"/>
      <c r="E849" s="119"/>
      <c r="F849" s="155">
        <v>-58.57</v>
      </c>
      <c r="G849" s="133" t="str">
        <f>_xlfn.XLOOKUP(Table1[[#This Row],[Account_ID]], Accounts[ID], Accounts[Account nickname], "Unknown")</f>
        <v>WF</v>
      </c>
      <c r="H849" s="134" t="str">
        <f>_xlfn.XLOOKUP(Table1[[#This Row],[Account_ID]], Accounts[ID], Accounts[Account'#], "Unknown")</f>
        <v>4636</v>
      </c>
      <c r="I849" s="135" t="str">
        <f>_xlfn.XLOOKUP(_xlfn.XLOOKUP(Table1[[#This Row],[Account]],Accounts[Account nickname],Accounts[Institution ID]),Institutions[ID],Institutions[Institution nickname],"Unknown")</f>
        <v>Wells Fargo</v>
      </c>
      <c r="J849" s="136" t="s">
        <v>1092</v>
      </c>
      <c r="K849" s="137" t="s">
        <v>808</v>
      </c>
      <c r="L849" s="137" t="s">
        <v>807</v>
      </c>
      <c r="M84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4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49" s="138" t="str" cm="1">
        <f t="array" ref="O849">IFERROR(INDEX(CategoriesTable[Category type],MATCH(Table1[[#This Row],[Category]],CategoriesTable[Category name],0),0),"")</f>
        <v/>
      </c>
      <c r="P849" s="138">
        <v>23</v>
      </c>
      <c r="Q849" s="138">
        <f>MONTH(Table1[[#This Row],[Date]])</f>
        <v>6</v>
      </c>
      <c r="R849" s="138">
        <v>2021</v>
      </c>
      <c r="S849" s="139">
        <f>IF(ISBLANK(Table1[[#This Row],[Date]]),"",Table1[[#This Row],[Date]]-WEEKDAY(Table1[[#This Row],[Date]],2)+1)</f>
        <v>44368</v>
      </c>
      <c r="T849" s="140">
        <f>IF(ISBLANK(Table1[[#This Row],[Date]]),"",DATE(Table1[[#This Row],[Date_Year]],Table1[[#This Row],[Date_Month]],1))</f>
        <v>44348</v>
      </c>
    </row>
    <row r="850" spans="2:20" ht="15.75">
      <c r="B850" s="154">
        <v>44370</v>
      </c>
      <c r="C850" s="119" t="s">
        <v>845</v>
      </c>
      <c r="D850" s="119"/>
      <c r="E850" s="119"/>
      <c r="F850" s="155">
        <v>1869</v>
      </c>
      <c r="G850" s="133" t="str">
        <f>_xlfn.XLOOKUP(Table1[[#This Row],[Account_ID]], Accounts[ID], Accounts[Account nickname], "Unknown")</f>
        <v>Discover</v>
      </c>
      <c r="H850" s="134" t="str">
        <f>_xlfn.XLOOKUP(Table1[[#This Row],[Account_ID]], Accounts[ID], Accounts[Account'#], "Unknown")</f>
        <v>4618</v>
      </c>
      <c r="I850" s="135" t="str">
        <f>_xlfn.XLOOKUP(_xlfn.XLOOKUP(Table1[[#This Row],[Account]],Accounts[Account nickname],Accounts[Institution ID]),Institutions[ID],Institutions[Institution nickname],"Unknown")</f>
        <v>Discover</v>
      </c>
      <c r="J850" s="136" t="s">
        <v>2219</v>
      </c>
      <c r="K850" s="137" t="s">
        <v>843</v>
      </c>
      <c r="L850" s="137" t="s">
        <v>841</v>
      </c>
      <c r="M85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5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50" s="138" t="str" cm="1">
        <f t="array" ref="O850">IFERROR(INDEX(CategoriesTable[Category type],MATCH(Table1[[#This Row],[Category]],CategoriesTable[Category name],0),0),"")</f>
        <v/>
      </c>
      <c r="P850" s="138">
        <v>23</v>
      </c>
      <c r="Q850" s="138">
        <f>MONTH(Table1[[#This Row],[Date]])</f>
        <v>6</v>
      </c>
      <c r="R850" s="138">
        <v>2021</v>
      </c>
      <c r="S850" s="139">
        <f>IF(ISBLANK(Table1[[#This Row],[Date]]),"",Table1[[#This Row],[Date]]-WEEKDAY(Table1[[#This Row],[Date]],2)+1)</f>
        <v>44368</v>
      </c>
      <c r="T850" s="140">
        <f>IF(ISBLANK(Table1[[#This Row],[Date]]),"",DATE(Table1[[#This Row],[Date_Year]],Table1[[#This Row],[Date_Month]],1))</f>
        <v>44348</v>
      </c>
    </row>
    <row r="851" spans="2:20" ht="15.75">
      <c r="B851" s="154">
        <v>44369</v>
      </c>
      <c r="C851" s="119" t="s">
        <v>1917</v>
      </c>
      <c r="D851" s="119"/>
      <c r="E851" s="119"/>
      <c r="F851" s="155">
        <v>-35</v>
      </c>
      <c r="G851" s="133" t="str">
        <f>_xlfn.XLOOKUP(Table1[[#This Row],[Account_ID]], Accounts[ID], Accounts[Account nickname], "Unknown")</f>
        <v>Discover</v>
      </c>
      <c r="H851" s="134" t="str">
        <f>_xlfn.XLOOKUP(Table1[[#This Row],[Account_ID]], Accounts[ID], Accounts[Account'#], "Unknown")</f>
        <v>4618</v>
      </c>
      <c r="I851" s="135" t="str">
        <f>_xlfn.XLOOKUP(_xlfn.XLOOKUP(Table1[[#This Row],[Account]],Accounts[Account nickname],Accounts[Institution ID]),Institutions[ID],Institutions[Institution nickname],"Unknown")</f>
        <v>Discover</v>
      </c>
      <c r="J851" s="136" t="s">
        <v>2224</v>
      </c>
      <c r="K851" s="137" t="s">
        <v>843</v>
      </c>
      <c r="L851" s="137" t="s">
        <v>841</v>
      </c>
      <c r="M85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5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51" s="138" t="str" cm="1">
        <f t="array" ref="O851">IFERROR(INDEX(CategoriesTable[Category type],MATCH(Table1[[#This Row],[Category]],CategoriesTable[Category name],0),0),"")</f>
        <v/>
      </c>
      <c r="P851" s="138">
        <v>22</v>
      </c>
      <c r="Q851" s="138">
        <f>MONTH(Table1[[#This Row],[Date]])</f>
        <v>6</v>
      </c>
      <c r="R851" s="138">
        <v>2021</v>
      </c>
      <c r="S851" s="139">
        <f>IF(ISBLANK(Table1[[#This Row],[Date]]),"",Table1[[#This Row],[Date]]-WEEKDAY(Table1[[#This Row],[Date]],2)+1)</f>
        <v>44368</v>
      </c>
      <c r="T851" s="140">
        <f>IF(ISBLANK(Table1[[#This Row],[Date]]),"",DATE(Table1[[#This Row],[Date_Year]],Table1[[#This Row],[Date_Month]],1))</f>
        <v>44348</v>
      </c>
    </row>
    <row r="852" spans="2:20" ht="15.75">
      <c r="B852" s="154">
        <v>44369</v>
      </c>
      <c r="C852" s="119" t="s">
        <v>750</v>
      </c>
      <c r="D852" s="119"/>
      <c r="E852" s="119"/>
      <c r="F852" s="155">
        <v>-20</v>
      </c>
      <c r="G852" s="133" t="str">
        <f>_xlfn.XLOOKUP(Table1[[#This Row],[Account_ID]], Accounts[ID], Accounts[Account nickname], "Unknown")</f>
        <v>WF</v>
      </c>
      <c r="H852" s="134" t="str">
        <f>_xlfn.XLOOKUP(Table1[[#This Row],[Account_ID]], Accounts[ID], Accounts[Account'#], "Unknown")</f>
        <v>4636</v>
      </c>
      <c r="I852" s="135" t="str">
        <f>_xlfn.XLOOKUP(_xlfn.XLOOKUP(Table1[[#This Row],[Account]],Accounts[Account nickname],Accounts[Institution ID]),Institutions[ID],Institutions[Institution nickname],"Unknown")</f>
        <v>Wells Fargo</v>
      </c>
      <c r="J852" s="136" t="s">
        <v>1095</v>
      </c>
      <c r="K852" s="137" t="s">
        <v>808</v>
      </c>
      <c r="L852" s="137" t="s">
        <v>807</v>
      </c>
      <c r="M85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5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52" s="138" t="str" cm="1">
        <f t="array" ref="O852">IFERROR(INDEX(CategoriesTable[Category type],MATCH(Table1[[#This Row],[Category]],CategoriesTable[Category name],0),0),"")</f>
        <v/>
      </c>
      <c r="P852" s="138">
        <v>22</v>
      </c>
      <c r="Q852" s="138">
        <f>MONTH(Table1[[#This Row],[Date]])</f>
        <v>6</v>
      </c>
      <c r="R852" s="138">
        <v>2021</v>
      </c>
      <c r="S852" s="139">
        <f>IF(ISBLANK(Table1[[#This Row],[Date]]),"",Table1[[#This Row],[Date]]-WEEKDAY(Table1[[#This Row],[Date]],2)+1)</f>
        <v>44368</v>
      </c>
      <c r="T852" s="140">
        <f>IF(ISBLANK(Table1[[#This Row],[Date]]),"",DATE(Table1[[#This Row],[Date_Year]],Table1[[#This Row],[Date_Month]],1))</f>
        <v>44348</v>
      </c>
    </row>
    <row r="853" spans="2:20" ht="15.75">
      <c r="B853" s="154">
        <v>44369</v>
      </c>
      <c r="C853" s="119" t="s">
        <v>2222</v>
      </c>
      <c r="D853" s="119"/>
      <c r="E853" s="119"/>
      <c r="F853" s="155">
        <v>-199</v>
      </c>
      <c r="G853" s="133" t="str">
        <f>_xlfn.XLOOKUP(Table1[[#This Row],[Account_ID]], Accounts[ID], Accounts[Account nickname], "Unknown")</f>
        <v>Discover</v>
      </c>
      <c r="H853" s="134" t="str">
        <f>_xlfn.XLOOKUP(Table1[[#This Row],[Account_ID]], Accounts[ID], Accounts[Account'#], "Unknown")</f>
        <v>4618</v>
      </c>
      <c r="I853" s="135" t="str">
        <f>_xlfn.XLOOKUP(_xlfn.XLOOKUP(Table1[[#This Row],[Account]],Accounts[Account nickname],Accounts[Institution ID]),Institutions[ID],Institutions[Institution nickname],"Unknown")</f>
        <v>Discover</v>
      </c>
      <c r="J853" s="136" t="s">
        <v>2223</v>
      </c>
      <c r="K853" s="137" t="s">
        <v>843</v>
      </c>
      <c r="L853" s="137" t="s">
        <v>841</v>
      </c>
      <c r="M85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5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53" s="138" t="str" cm="1">
        <f t="array" ref="O853">IFERROR(INDEX(CategoriesTable[Category type],MATCH(Table1[[#This Row],[Category]],CategoriesTable[Category name],0),0),"")</f>
        <v/>
      </c>
      <c r="P853" s="138">
        <v>22</v>
      </c>
      <c r="Q853" s="138">
        <f>MONTH(Table1[[#This Row],[Date]])</f>
        <v>6</v>
      </c>
      <c r="R853" s="138">
        <v>2021</v>
      </c>
      <c r="S853" s="139">
        <f>IF(ISBLANK(Table1[[#This Row],[Date]]),"",Table1[[#This Row],[Date]]-WEEKDAY(Table1[[#This Row],[Date]],2)+1)</f>
        <v>44368</v>
      </c>
      <c r="T853" s="140">
        <f>IF(ISBLANK(Table1[[#This Row],[Date]]),"",DATE(Table1[[#This Row],[Date_Year]],Table1[[#This Row],[Date_Month]],1))</f>
        <v>44348</v>
      </c>
    </row>
    <row r="854" spans="2:20" ht="15.75">
      <c r="B854" s="154">
        <v>44368</v>
      </c>
      <c r="C854" s="119" t="s">
        <v>860</v>
      </c>
      <c r="D854" s="119"/>
      <c r="E854" s="119"/>
      <c r="F854" s="155">
        <v>-5.4</v>
      </c>
      <c r="G854" s="133" t="str">
        <f>_xlfn.XLOOKUP(Table1[[#This Row],[Account_ID]], Accounts[ID], Accounts[Account nickname], "Unknown")</f>
        <v>Discover</v>
      </c>
      <c r="H854" s="134" t="str">
        <f>_xlfn.XLOOKUP(Table1[[#This Row],[Account_ID]], Accounts[ID], Accounts[Account'#], "Unknown")</f>
        <v>4618</v>
      </c>
      <c r="I854" s="135" t="str">
        <f>_xlfn.XLOOKUP(_xlfn.XLOOKUP(Table1[[#This Row],[Account]],Accounts[Account nickname],Accounts[Institution ID]),Institutions[ID],Institutions[Institution nickname],"Unknown")</f>
        <v>Discover</v>
      </c>
      <c r="J854" s="136" t="s">
        <v>2225</v>
      </c>
      <c r="K854" s="137" t="s">
        <v>843</v>
      </c>
      <c r="L854" s="137" t="s">
        <v>841</v>
      </c>
      <c r="M85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5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54" s="138" t="str" cm="1">
        <f t="array" ref="O854">IFERROR(INDEX(CategoriesTable[Category type],MATCH(Table1[[#This Row],[Category]],CategoriesTable[Category name],0),0),"")</f>
        <v/>
      </c>
      <c r="P854" s="138">
        <v>21</v>
      </c>
      <c r="Q854" s="138">
        <f>MONTH(Table1[[#This Row],[Date]])</f>
        <v>6</v>
      </c>
      <c r="R854" s="138">
        <v>2021</v>
      </c>
      <c r="S854" s="139">
        <f>IF(ISBLANK(Table1[[#This Row],[Date]]),"",Table1[[#This Row],[Date]]-WEEKDAY(Table1[[#This Row],[Date]],2)+1)</f>
        <v>44368</v>
      </c>
      <c r="T854" s="140">
        <f>IF(ISBLANK(Table1[[#This Row],[Date]]),"",DATE(Table1[[#This Row],[Date_Year]],Table1[[#This Row],[Date_Month]],1))</f>
        <v>44348</v>
      </c>
    </row>
    <row r="855" spans="2:20" ht="15.75">
      <c r="B855" s="154">
        <v>44368</v>
      </c>
      <c r="C855" s="119" t="s">
        <v>702</v>
      </c>
      <c r="D855" s="119"/>
      <c r="E855" s="119"/>
      <c r="F855" s="155">
        <v>-3.81</v>
      </c>
      <c r="G855" s="133" t="str">
        <f>_xlfn.XLOOKUP(Table1[[#This Row],[Account_ID]], Accounts[ID], Accounts[Account nickname], "Unknown")</f>
        <v>Discover</v>
      </c>
      <c r="H855" s="134" t="str">
        <f>_xlfn.XLOOKUP(Table1[[#This Row],[Account_ID]], Accounts[ID], Accounts[Account'#], "Unknown")</f>
        <v>4618</v>
      </c>
      <c r="I855" s="135" t="str">
        <f>_xlfn.XLOOKUP(_xlfn.XLOOKUP(Table1[[#This Row],[Account]],Accounts[Account nickname],Accounts[Institution ID]),Institutions[ID],Institutions[Institution nickname],"Unknown")</f>
        <v>Discover</v>
      </c>
      <c r="J855" s="136" t="s">
        <v>2229</v>
      </c>
      <c r="K855" s="137" t="s">
        <v>843</v>
      </c>
      <c r="L855" s="137" t="s">
        <v>841</v>
      </c>
      <c r="M85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5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55" s="138" t="str" cm="1">
        <f t="array" ref="O855">IFERROR(INDEX(CategoriesTable[Category type],MATCH(Table1[[#This Row],[Category]],CategoriesTable[Category name],0),0),"")</f>
        <v/>
      </c>
      <c r="P855" s="138">
        <v>21</v>
      </c>
      <c r="Q855" s="138">
        <f>MONTH(Table1[[#This Row],[Date]])</f>
        <v>6</v>
      </c>
      <c r="R855" s="138">
        <v>2021</v>
      </c>
      <c r="S855" s="139">
        <f>IF(ISBLANK(Table1[[#This Row],[Date]]),"",Table1[[#This Row],[Date]]-WEEKDAY(Table1[[#This Row],[Date]],2)+1)</f>
        <v>44368</v>
      </c>
      <c r="T855" s="140">
        <f>IF(ISBLANK(Table1[[#This Row],[Date]]),"",DATE(Table1[[#This Row],[Date_Year]],Table1[[#This Row],[Date_Month]],1))</f>
        <v>44348</v>
      </c>
    </row>
    <row r="856" spans="2:20" ht="15.75">
      <c r="B856" s="154">
        <v>44368</v>
      </c>
      <c r="C856" s="119" t="s">
        <v>1436</v>
      </c>
      <c r="D856" s="119"/>
      <c r="E856" s="119"/>
      <c r="F856" s="155">
        <v>-7.99</v>
      </c>
      <c r="G856" s="133" t="str">
        <f>_xlfn.XLOOKUP(Table1[[#This Row],[Account_ID]], Accounts[ID], Accounts[Account nickname], "Unknown")</f>
        <v>Discover</v>
      </c>
      <c r="H856" s="134" t="str">
        <f>_xlfn.XLOOKUP(Table1[[#This Row],[Account_ID]], Accounts[ID], Accounts[Account'#], "Unknown")</f>
        <v>4618</v>
      </c>
      <c r="I856" s="135" t="str">
        <f>_xlfn.XLOOKUP(_xlfn.XLOOKUP(Table1[[#This Row],[Account]],Accounts[Account nickname],Accounts[Institution ID]),Institutions[ID],Institutions[Institution nickname],"Unknown")</f>
        <v>Discover</v>
      </c>
      <c r="J856" s="136" t="s">
        <v>2230</v>
      </c>
      <c r="K856" s="137" t="s">
        <v>843</v>
      </c>
      <c r="L856" s="137" t="s">
        <v>841</v>
      </c>
      <c r="M85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5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56" s="138" t="str" cm="1">
        <f t="array" ref="O856">IFERROR(INDEX(CategoriesTable[Category type],MATCH(Table1[[#This Row],[Category]],CategoriesTable[Category name],0),0),"")</f>
        <v/>
      </c>
      <c r="P856" s="138">
        <v>21</v>
      </c>
      <c r="Q856" s="138">
        <f>MONTH(Table1[[#This Row],[Date]])</f>
        <v>6</v>
      </c>
      <c r="R856" s="138">
        <v>2021</v>
      </c>
      <c r="S856" s="139">
        <f>IF(ISBLANK(Table1[[#This Row],[Date]]),"",Table1[[#This Row],[Date]]-WEEKDAY(Table1[[#This Row],[Date]],2)+1)</f>
        <v>44368</v>
      </c>
      <c r="T856" s="140">
        <f>IF(ISBLANK(Table1[[#This Row],[Date]]),"",DATE(Table1[[#This Row],[Date_Year]],Table1[[#This Row],[Date_Month]],1))</f>
        <v>44348</v>
      </c>
    </row>
    <row r="857" spans="2:20" ht="15.75">
      <c r="B857" s="154">
        <v>44368</v>
      </c>
      <c r="C857" s="119" t="s">
        <v>678</v>
      </c>
      <c r="D857" s="119"/>
      <c r="E857" s="119"/>
      <c r="F857" s="155">
        <v>-2738.5</v>
      </c>
      <c r="G857" s="133" t="str">
        <f>_xlfn.XLOOKUP(Table1[[#This Row],[Account_ID]], Accounts[ID], Accounts[Account nickname], "Unknown")</f>
        <v>WF</v>
      </c>
      <c r="H857" s="134" t="str">
        <f>_xlfn.XLOOKUP(Table1[[#This Row],[Account_ID]], Accounts[ID], Accounts[Account'#], "Unknown")</f>
        <v>4636</v>
      </c>
      <c r="I857" s="135" t="str">
        <f>_xlfn.XLOOKUP(_xlfn.XLOOKUP(Table1[[#This Row],[Account]],Accounts[Account nickname],Accounts[Institution ID]),Institutions[ID],Institutions[Institution nickname],"Unknown")</f>
        <v>Wells Fargo</v>
      </c>
      <c r="J857" s="136" t="s">
        <v>1097</v>
      </c>
      <c r="K857" s="137" t="s">
        <v>808</v>
      </c>
      <c r="L857" s="137" t="s">
        <v>807</v>
      </c>
      <c r="M85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5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57" s="138" t="str" cm="1">
        <f t="array" ref="O857">IFERROR(INDEX(CategoriesTable[Category type],MATCH(Table1[[#This Row],[Category]],CategoriesTable[Category name],0),0),"")</f>
        <v/>
      </c>
      <c r="P857" s="138">
        <v>21</v>
      </c>
      <c r="Q857" s="138">
        <f>MONTH(Table1[[#This Row],[Date]])</f>
        <v>6</v>
      </c>
      <c r="R857" s="138">
        <v>2021</v>
      </c>
      <c r="S857" s="139">
        <f>IF(ISBLANK(Table1[[#This Row],[Date]]),"",Table1[[#This Row],[Date]]-WEEKDAY(Table1[[#This Row],[Date]],2)+1)</f>
        <v>44368</v>
      </c>
      <c r="T857" s="140">
        <f>IF(ISBLANK(Table1[[#This Row],[Date]]),"",DATE(Table1[[#This Row],[Date_Year]],Table1[[#This Row],[Date_Month]],1))</f>
        <v>44348</v>
      </c>
    </row>
    <row r="858" spans="2:20" ht="15.75">
      <c r="B858" s="154">
        <v>44368</v>
      </c>
      <c r="C858" s="119" t="s">
        <v>718</v>
      </c>
      <c r="D858" s="119"/>
      <c r="E858" s="119"/>
      <c r="F858" s="155">
        <v>-60.38</v>
      </c>
      <c r="G858" s="133" t="str">
        <f>_xlfn.XLOOKUP(Table1[[#This Row],[Account_ID]], Accounts[ID], Accounts[Account nickname], "Unknown")</f>
        <v>Discover</v>
      </c>
      <c r="H858" s="134" t="str">
        <f>_xlfn.XLOOKUP(Table1[[#This Row],[Account_ID]], Accounts[ID], Accounts[Account'#], "Unknown")</f>
        <v>4618</v>
      </c>
      <c r="I858" s="135" t="str">
        <f>_xlfn.XLOOKUP(_xlfn.XLOOKUP(Table1[[#This Row],[Account]],Accounts[Account nickname],Accounts[Institution ID]),Institutions[ID],Institutions[Institution nickname],"Unknown")</f>
        <v>Discover</v>
      </c>
      <c r="J858" s="136" t="s">
        <v>2233</v>
      </c>
      <c r="K858" s="137" t="s">
        <v>843</v>
      </c>
      <c r="L858" s="137" t="s">
        <v>841</v>
      </c>
      <c r="M85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5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58" s="138" t="str" cm="1">
        <f t="array" ref="O858">IFERROR(INDEX(CategoriesTable[Category type],MATCH(Table1[[#This Row],[Category]],CategoriesTable[Category name],0),0),"")</f>
        <v/>
      </c>
      <c r="P858" s="138">
        <v>21</v>
      </c>
      <c r="Q858" s="138">
        <f>MONTH(Table1[[#This Row],[Date]])</f>
        <v>6</v>
      </c>
      <c r="R858" s="138">
        <v>2021</v>
      </c>
      <c r="S858" s="139">
        <f>IF(ISBLANK(Table1[[#This Row],[Date]]),"",Table1[[#This Row],[Date]]-WEEKDAY(Table1[[#This Row],[Date]],2)+1)</f>
        <v>44368</v>
      </c>
      <c r="T858" s="140">
        <f>IF(ISBLANK(Table1[[#This Row],[Date]]),"",DATE(Table1[[#This Row],[Date_Year]],Table1[[#This Row],[Date_Month]],1))</f>
        <v>44348</v>
      </c>
    </row>
    <row r="859" spans="2:20" ht="15.75">
      <c r="B859" s="154">
        <v>44368</v>
      </c>
      <c r="C859" s="119" t="s">
        <v>2226</v>
      </c>
      <c r="D859" s="119"/>
      <c r="E859" s="119"/>
      <c r="F859" s="155">
        <v>-27.87</v>
      </c>
      <c r="G859" s="133" t="str">
        <f>_xlfn.XLOOKUP(Table1[[#This Row],[Account_ID]], Accounts[ID], Accounts[Account nickname], "Unknown")</f>
        <v>Discover</v>
      </c>
      <c r="H859" s="134" t="str">
        <f>_xlfn.XLOOKUP(Table1[[#This Row],[Account_ID]], Accounts[ID], Accounts[Account'#], "Unknown")</f>
        <v>4618</v>
      </c>
      <c r="I859" s="135" t="str">
        <f>_xlfn.XLOOKUP(_xlfn.XLOOKUP(Table1[[#This Row],[Account]],Accounts[Account nickname],Accounts[Institution ID]),Institutions[ID],Institutions[Institution nickname],"Unknown")</f>
        <v>Discover</v>
      </c>
      <c r="J859" s="136" t="s">
        <v>2227</v>
      </c>
      <c r="K859" s="137" t="s">
        <v>843</v>
      </c>
      <c r="L859" s="137" t="s">
        <v>841</v>
      </c>
      <c r="M85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5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59" s="138" t="str" cm="1">
        <f t="array" ref="O859">IFERROR(INDEX(CategoriesTable[Category type],MATCH(Table1[[#This Row],[Category]],CategoriesTable[Category name],0),0),"")</f>
        <v/>
      </c>
      <c r="P859" s="138">
        <v>21</v>
      </c>
      <c r="Q859" s="138">
        <f>MONTH(Table1[[#This Row],[Date]])</f>
        <v>6</v>
      </c>
      <c r="R859" s="138">
        <v>2021</v>
      </c>
      <c r="S859" s="139">
        <f>IF(ISBLANK(Table1[[#This Row],[Date]]),"",Table1[[#This Row],[Date]]-WEEKDAY(Table1[[#This Row],[Date]],2)+1)</f>
        <v>44368</v>
      </c>
      <c r="T859" s="140">
        <f>IF(ISBLANK(Table1[[#This Row],[Date]]),"",DATE(Table1[[#This Row],[Date_Year]],Table1[[#This Row],[Date_Month]],1))</f>
        <v>44348</v>
      </c>
    </row>
    <row r="860" spans="2:20" ht="15.75">
      <c r="B860" s="154">
        <v>44368</v>
      </c>
      <c r="C860" s="119" t="s">
        <v>2120</v>
      </c>
      <c r="D860" s="119"/>
      <c r="E860" s="119"/>
      <c r="F860" s="155">
        <v>-75</v>
      </c>
      <c r="G860" s="133" t="str">
        <f>_xlfn.XLOOKUP(Table1[[#This Row],[Account_ID]], Accounts[ID], Accounts[Account nickname], "Unknown")</f>
        <v>Discover</v>
      </c>
      <c r="H860" s="134" t="str">
        <f>_xlfn.XLOOKUP(Table1[[#This Row],[Account_ID]], Accounts[ID], Accounts[Account'#], "Unknown")</f>
        <v>4618</v>
      </c>
      <c r="I860" s="135" t="str">
        <f>_xlfn.XLOOKUP(_xlfn.XLOOKUP(Table1[[#This Row],[Account]],Accounts[Account nickname],Accounts[Institution ID]),Institutions[ID],Institutions[Institution nickname],"Unknown")</f>
        <v>Discover</v>
      </c>
      <c r="J860" s="136" t="s">
        <v>2228</v>
      </c>
      <c r="K860" s="137" t="s">
        <v>843</v>
      </c>
      <c r="L860" s="137" t="s">
        <v>841</v>
      </c>
      <c r="M86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6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60" s="138" t="str" cm="1">
        <f t="array" ref="O860">IFERROR(INDEX(CategoriesTable[Category type],MATCH(Table1[[#This Row],[Category]],CategoriesTable[Category name],0),0),"")</f>
        <v/>
      </c>
      <c r="P860" s="138">
        <v>21</v>
      </c>
      <c r="Q860" s="138">
        <f>MONTH(Table1[[#This Row],[Date]])</f>
        <v>6</v>
      </c>
      <c r="R860" s="138">
        <v>2021</v>
      </c>
      <c r="S860" s="139">
        <f>IF(ISBLANK(Table1[[#This Row],[Date]]),"",Table1[[#This Row],[Date]]-WEEKDAY(Table1[[#This Row],[Date]],2)+1)</f>
        <v>44368</v>
      </c>
      <c r="T860" s="140">
        <f>IF(ISBLANK(Table1[[#This Row],[Date]]),"",DATE(Table1[[#This Row],[Date_Year]],Table1[[#This Row],[Date_Month]],1))</f>
        <v>44348</v>
      </c>
    </row>
    <row r="861" spans="2:20" ht="15.75">
      <c r="B861" s="154">
        <v>44368</v>
      </c>
      <c r="C861" s="119" t="s">
        <v>2231</v>
      </c>
      <c r="D861" s="119"/>
      <c r="E861" s="119"/>
      <c r="F861" s="155">
        <v>-200</v>
      </c>
      <c r="G861" s="133" t="str">
        <f>_xlfn.XLOOKUP(Table1[[#This Row],[Account_ID]], Accounts[ID], Accounts[Account nickname], "Unknown")</f>
        <v>Discover</v>
      </c>
      <c r="H861" s="134" t="str">
        <f>_xlfn.XLOOKUP(Table1[[#This Row],[Account_ID]], Accounts[ID], Accounts[Account'#], "Unknown")</f>
        <v>4618</v>
      </c>
      <c r="I861" s="135" t="str">
        <f>_xlfn.XLOOKUP(_xlfn.XLOOKUP(Table1[[#This Row],[Account]],Accounts[Account nickname],Accounts[Institution ID]),Institutions[ID],Institutions[Institution nickname],"Unknown")</f>
        <v>Discover</v>
      </c>
      <c r="J861" s="136" t="s">
        <v>2232</v>
      </c>
      <c r="K861" s="137" t="s">
        <v>843</v>
      </c>
      <c r="L861" s="137" t="s">
        <v>841</v>
      </c>
      <c r="M86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6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61" s="138" t="str" cm="1">
        <f t="array" ref="O861">IFERROR(INDEX(CategoriesTable[Category type],MATCH(Table1[[#This Row],[Category]],CategoriesTable[Category name],0),0),"")</f>
        <v/>
      </c>
      <c r="P861" s="138">
        <v>21</v>
      </c>
      <c r="Q861" s="138">
        <f>MONTH(Table1[[#This Row],[Date]])</f>
        <v>6</v>
      </c>
      <c r="R861" s="138">
        <v>2021</v>
      </c>
      <c r="S861" s="139">
        <f>IF(ISBLANK(Table1[[#This Row],[Date]]),"",Table1[[#This Row],[Date]]-WEEKDAY(Table1[[#This Row],[Date]],2)+1)</f>
        <v>44368</v>
      </c>
      <c r="T861" s="140">
        <f>IF(ISBLANK(Table1[[#This Row],[Date]]),"",DATE(Table1[[#This Row],[Date_Year]],Table1[[#This Row],[Date_Month]],1))</f>
        <v>44348</v>
      </c>
    </row>
    <row r="862" spans="2:20" ht="15.75">
      <c r="B862" s="154">
        <v>44368</v>
      </c>
      <c r="C862" s="119" t="s">
        <v>678</v>
      </c>
      <c r="D862" s="119"/>
      <c r="E862" s="119"/>
      <c r="F862" s="155">
        <v>-615</v>
      </c>
      <c r="G862" s="133" t="str">
        <f>_xlfn.XLOOKUP(Table1[[#This Row],[Account_ID]], Accounts[ID], Accounts[Account nickname], "Unknown")</f>
        <v>WF</v>
      </c>
      <c r="H862" s="134" t="str">
        <f>_xlfn.XLOOKUP(Table1[[#This Row],[Account_ID]], Accounts[ID], Accounts[Account'#], "Unknown")</f>
        <v>4636</v>
      </c>
      <c r="I862" s="135" t="str">
        <f>_xlfn.XLOOKUP(_xlfn.XLOOKUP(Table1[[#This Row],[Account]],Accounts[Account nickname],Accounts[Institution ID]),Institutions[ID],Institutions[Institution nickname],"Unknown")</f>
        <v>Wells Fargo</v>
      </c>
      <c r="J862" s="152" t="s">
        <v>1096</v>
      </c>
      <c r="K862" s="137" t="s">
        <v>808</v>
      </c>
      <c r="L862" s="137" t="s">
        <v>807</v>
      </c>
      <c r="M86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6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62" s="138" t="str" cm="1">
        <f t="array" ref="O862">IFERROR(INDEX(CategoriesTable[Category type],MATCH(Table1[[#This Row],[Category]],CategoriesTable[Category name],0),0),"")</f>
        <v/>
      </c>
      <c r="P862" s="138">
        <v>21</v>
      </c>
      <c r="Q862" s="138">
        <f>MONTH(Table1[[#This Row],[Date]])</f>
        <v>6</v>
      </c>
      <c r="R862" s="138">
        <v>2021</v>
      </c>
      <c r="S862" s="139">
        <f>IF(ISBLANK(Table1[[#This Row],[Date]]),"",Table1[[#This Row],[Date]]-WEEKDAY(Table1[[#This Row],[Date]],2)+1)</f>
        <v>44368</v>
      </c>
      <c r="T862" s="140">
        <f>IF(ISBLANK(Table1[[#This Row],[Date]]),"",DATE(Table1[[#This Row],[Date_Year]],Table1[[#This Row],[Date_Month]],1))</f>
        <v>44348</v>
      </c>
    </row>
    <row r="863" spans="2:20" ht="15.75">
      <c r="B863" s="154">
        <v>44367</v>
      </c>
      <c r="C863" s="119" t="s">
        <v>714</v>
      </c>
      <c r="D863" s="119"/>
      <c r="E863" s="119"/>
      <c r="F863" s="155">
        <v>-17.53</v>
      </c>
      <c r="G863" s="133" t="str">
        <f>_xlfn.XLOOKUP(Table1[[#This Row],[Account_ID]], Accounts[ID], Accounts[Account nickname], "Unknown")</f>
        <v>Discover</v>
      </c>
      <c r="H863" s="134" t="str">
        <f>_xlfn.XLOOKUP(Table1[[#This Row],[Account_ID]], Accounts[ID], Accounts[Account'#], "Unknown")</f>
        <v>4618</v>
      </c>
      <c r="I863" s="135" t="str">
        <f>_xlfn.XLOOKUP(_xlfn.XLOOKUP(Table1[[#This Row],[Account]],Accounts[Account nickname],Accounts[Institution ID]),Institutions[ID],Institutions[Institution nickname],"Unknown")</f>
        <v>Discover</v>
      </c>
      <c r="J863" s="136" t="s">
        <v>2234</v>
      </c>
      <c r="K863" s="137" t="s">
        <v>843</v>
      </c>
      <c r="L863" s="137" t="s">
        <v>841</v>
      </c>
      <c r="M86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6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63" s="138" t="str" cm="1">
        <f t="array" ref="O863">IFERROR(INDEX(CategoriesTable[Category type],MATCH(Table1[[#This Row],[Category]],CategoriesTable[Category name],0),0),"")</f>
        <v/>
      </c>
      <c r="P863" s="138">
        <v>20</v>
      </c>
      <c r="Q863" s="138">
        <f>MONTH(Table1[[#This Row],[Date]])</f>
        <v>6</v>
      </c>
      <c r="R863" s="138">
        <v>2021</v>
      </c>
      <c r="S863" s="139">
        <f>IF(ISBLANK(Table1[[#This Row],[Date]]),"",Table1[[#This Row],[Date]]-WEEKDAY(Table1[[#This Row],[Date]],2)+1)</f>
        <v>44361</v>
      </c>
      <c r="T863" s="140">
        <f>IF(ISBLANK(Table1[[#This Row],[Date]]),"",DATE(Table1[[#This Row],[Date_Year]],Table1[[#This Row],[Date_Month]],1))</f>
        <v>44348</v>
      </c>
    </row>
    <row r="864" spans="2:20" ht="15.75">
      <c r="B864" s="154">
        <v>44366</v>
      </c>
      <c r="C864" s="119" t="s">
        <v>713</v>
      </c>
      <c r="D864" s="119"/>
      <c r="E864" s="119"/>
      <c r="F864" s="155">
        <v>-11.05</v>
      </c>
      <c r="G864" s="133" t="str">
        <f>_xlfn.XLOOKUP(Table1[[#This Row],[Account_ID]], Accounts[ID], Accounts[Account nickname], "Unknown")</f>
        <v>Discover</v>
      </c>
      <c r="H864" s="134" t="str">
        <f>_xlfn.XLOOKUP(Table1[[#This Row],[Account_ID]], Accounts[ID], Accounts[Account'#], "Unknown")</f>
        <v>4618</v>
      </c>
      <c r="I864" s="135" t="str">
        <f>_xlfn.XLOOKUP(_xlfn.XLOOKUP(Table1[[#This Row],[Account]],Accounts[Account nickname],Accounts[Institution ID]),Institutions[ID],Institutions[Institution nickname],"Unknown")</f>
        <v>Discover</v>
      </c>
      <c r="J864" s="136" t="s">
        <v>2235</v>
      </c>
      <c r="K864" s="137" t="s">
        <v>843</v>
      </c>
      <c r="L864" s="137" t="s">
        <v>841</v>
      </c>
      <c r="M86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6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64" s="138" t="str" cm="1">
        <f t="array" ref="O864">IFERROR(INDEX(CategoriesTable[Category type],MATCH(Table1[[#This Row],[Category]],CategoriesTable[Category name],0),0),"")</f>
        <v/>
      </c>
      <c r="P864" s="138">
        <v>19</v>
      </c>
      <c r="Q864" s="138">
        <f>MONTH(Table1[[#This Row],[Date]])</f>
        <v>6</v>
      </c>
      <c r="R864" s="138">
        <v>2021</v>
      </c>
      <c r="S864" s="139">
        <f>IF(ISBLANK(Table1[[#This Row],[Date]]),"",Table1[[#This Row],[Date]]-WEEKDAY(Table1[[#This Row],[Date]],2)+1)</f>
        <v>44361</v>
      </c>
      <c r="T864" s="140">
        <f>IF(ISBLANK(Table1[[#This Row],[Date]]),"",DATE(Table1[[#This Row],[Date_Year]],Table1[[#This Row],[Date_Month]],1))</f>
        <v>44348</v>
      </c>
    </row>
    <row r="865" spans="2:20" ht="15.75">
      <c r="B865" s="154">
        <v>44366</v>
      </c>
      <c r="C865" s="119" t="s">
        <v>685</v>
      </c>
      <c r="D865" s="119" t="s">
        <v>103</v>
      </c>
      <c r="E865" s="119"/>
      <c r="F865" s="155">
        <v>-95.38</v>
      </c>
      <c r="G865" s="133" t="str">
        <f>_xlfn.XLOOKUP(Table1[[#This Row],[Account_ID]], Accounts[ID], Accounts[Account nickname], "Unknown")</f>
        <v>BB</v>
      </c>
      <c r="H865" s="134" t="str">
        <f>_xlfn.XLOOKUP(Table1[[#This Row],[Account_ID]], Accounts[ID], Accounts[Account'#], "Unknown")</f>
        <v>4561</v>
      </c>
      <c r="I865" s="135" t="str">
        <f>_xlfn.XLOOKUP(_xlfn.XLOOKUP(Table1[[#This Row],[Account]],Accounts[Account nickname],Accounts[Institution ID]),Institutions[ID],Institutions[Institution nickname],"Unknown")</f>
        <v>Best Buy - Citi Card</v>
      </c>
      <c r="J865" s="136" t="s">
        <v>2237</v>
      </c>
      <c r="K865" s="137" t="s">
        <v>1375</v>
      </c>
      <c r="L865" s="137" t="s">
        <v>1372</v>
      </c>
      <c r="M86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fca5dd8329b743f7b77704e23a1e63ad</v>
      </c>
      <c r="N86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65" s="138" t="str" cm="1">
        <f t="array" ref="O865">IFERROR(INDEX(CategoriesTable[Category type],MATCH(Table1[[#This Row],[Category]],CategoriesTable[Category name],0),0),"")</f>
        <v>Expense</v>
      </c>
      <c r="P865" s="138">
        <v>19</v>
      </c>
      <c r="Q865" s="138">
        <f>MONTH(Table1[[#This Row],[Date]])</f>
        <v>6</v>
      </c>
      <c r="R865" s="138">
        <v>2021</v>
      </c>
      <c r="S865" s="139">
        <f>IF(ISBLANK(Table1[[#This Row],[Date]]),"",Table1[[#This Row],[Date]]-WEEKDAY(Table1[[#This Row],[Date]],2)+1)</f>
        <v>44361</v>
      </c>
      <c r="T865" s="140">
        <f>IF(ISBLANK(Table1[[#This Row],[Date]]),"",DATE(Table1[[#This Row],[Date_Year]],Table1[[#This Row],[Date_Month]],1))</f>
        <v>44348</v>
      </c>
    </row>
    <row r="866" spans="2:20" ht="15.75">
      <c r="B866" s="154">
        <v>44366</v>
      </c>
      <c r="C866" s="119" t="s">
        <v>1489</v>
      </c>
      <c r="D866" s="119"/>
      <c r="E866" s="119"/>
      <c r="F866" s="155">
        <v>-74.19</v>
      </c>
      <c r="G866" s="133" t="str">
        <f>_xlfn.XLOOKUP(Table1[[#This Row],[Account_ID]], Accounts[ID], Accounts[Account nickname], "Unknown")</f>
        <v>Discover</v>
      </c>
      <c r="H866" s="134" t="str">
        <f>_xlfn.XLOOKUP(Table1[[#This Row],[Account_ID]], Accounts[ID], Accounts[Account'#], "Unknown")</f>
        <v>4618</v>
      </c>
      <c r="I866" s="135" t="str">
        <f>_xlfn.XLOOKUP(_xlfn.XLOOKUP(Table1[[#This Row],[Account]],Accounts[Account nickname],Accounts[Institution ID]),Institutions[ID],Institutions[Institution nickname],"Unknown")</f>
        <v>Discover</v>
      </c>
      <c r="J866" s="136" t="s">
        <v>2236</v>
      </c>
      <c r="K866" s="137" t="s">
        <v>843</v>
      </c>
      <c r="L866" s="137" t="s">
        <v>841</v>
      </c>
      <c r="M86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6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66" s="138" t="str" cm="1">
        <f t="array" ref="O866">IFERROR(INDEX(CategoriesTable[Category type],MATCH(Table1[[#This Row],[Category]],CategoriesTable[Category name],0),0),"")</f>
        <v/>
      </c>
      <c r="P866" s="138">
        <v>19</v>
      </c>
      <c r="Q866" s="138">
        <f>MONTH(Table1[[#This Row],[Date]])</f>
        <v>6</v>
      </c>
      <c r="R866" s="138">
        <v>2021</v>
      </c>
      <c r="S866" s="139">
        <f>IF(ISBLANK(Table1[[#This Row],[Date]]),"",Table1[[#This Row],[Date]]-WEEKDAY(Table1[[#This Row],[Date]],2)+1)</f>
        <v>44361</v>
      </c>
      <c r="T866" s="140">
        <f>IF(ISBLANK(Table1[[#This Row],[Date]]),"",DATE(Table1[[#This Row],[Date_Year]],Table1[[#This Row],[Date_Month]],1))</f>
        <v>44348</v>
      </c>
    </row>
    <row r="867" spans="2:20" ht="15.75">
      <c r="B867" s="154">
        <v>44365</v>
      </c>
      <c r="C867" s="119" t="s">
        <v>749</v>
      </c>
      <c r="D867" s="119"/>
      <c r="E867" s="119"/>
      <c r="F867" s="155">
        <v>3967.1</v>
      </c>
      <c r="G867" s="133" t="str">
        <f>_xlfn.XLOOKUP(Table1[[#This Row],[Account_ID]], Accounts[ID], Accounts[Account nickname], "Unknown")</f>
        <v>WF</v>
      </c>
      <c r="H867" s="134" t="str">
        <f>_xlfn.XLOOKUP(Table1[[#This Row],[Account_ID]], Accounts[ID], Accounts[Account'#], "Unknown")</f>
        <v>4636</v>
      </c>
      <c r="I867" s="135" t="str">
        <f>_xlfn.XLOOKUP(_xlfn.XLOOKUP(Table1[[#This Row],[Account]],Accounts[Account nickname],Accounts[Institution ID]),Institutions[ID],Institutions[Institution nickname],"Unknown")</f>
        <v>Wells Fargo</v>
      </c>
      <c r="J867" s="136" t="s">
        <v>1099</v>
      </c>
      <c r="K867" s="137" t="s">
        <v>808</v>
      </c>
      <c r="L867" s="137" t="s">
        <v>807</v>
      </c>
      <c r="M86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6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67" s="138" t="str" cm="1">
        <f t="array" ref="O867">IFERROR(INDEX(CategoriesTable[Category type],MATCH(Table1[[#This Row],[Category]],CategoriesTable[Category name],0),0),"")</f>
        <v/>
      </c>
      <c r="P867" s="138">
        <v>18</v>
      </c>
      <c r="Q867" s="138">
        <f>MONTH(Table1[[#This Row],[Date]])</f>
        <v>6</v>
      </c>
      <c r="R867" s="138">
        <v>2021</v>
      </c>
      <c r="S867" s="139">
        <f>IF(ISBLANK(Table1[[#This Row],[Date]]),"",Table1[[#This Row],[Date]]-WEEKDAY(Table1[[#This Row],[Date]],2)+1)</f>
        <v>44361</v>
      </c>
      <c r="T867" s="140">
        <f>IF(ISBLANK(Table1[[#This Row],[Date]]),"",DATE(Table1[[#This Row],[Date_Year]],Table1[[#This Row],[Date_Month]],1))</f>
        <v>44348</v>
      </c>
    </row>
    <row r="868" spans="2:20" ht="15.75">
      <c r="B868" s="154">
        <v>44365</v>
      </c>
      <c r="C868" s="119" t="s">
        <v>1489</v>
      </c>
      <c r="D868" s="119"/>
      <c r="E868" s="119"/>
      <c r="F868" s="155">
        <v>-7.82</v>
      </c>
      <c r="G868" s="133" t="str">
        <f>_xlfn.XLOOKUP(Table1[[#This Row],[Account_ID]], Accounts[ID], Accounts[Account nickname], "Unknown")</f>
        <v>Discover</v>
      </c>
      <c r="H868" s="134" t="str">
        <f>_xlfn.XLOOKUP(Table1[[#This Row],[Account_ID]], Accounts[ID], Accounts[Account'#], "Unknown")</f>
        <v>4618</v>
      </c>
      <c r="I868" s="135" t="str">
        <f>_xlfn.XLOOKUP(_xlfn.XLOOKUP(Table1[[#This Row],[Account]],Accounts[Account nickname],Accounts[Institution ID]),Institutions[ID],Institutions[Institution nickname],"Unknown")</f>
        <v>Discover</v>
      </c>
      <c r="J868" s="136" t="s">
        <v>2238</v>
      </c>
      <c r="K868" s="137" t="s">
        <v>843</v>
      </c>
      <c r="L868" s="137" t="s">
        <v>841</v>
      </c>
      <c r="M86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6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68" s="138" t="str" cm="1">
        <f t="array" ref="O868">IFERROR(INDEX(CategoriesTable[Category type],MATCH(Table1[[#This Row],[Category]],CategoriesTable[Category name],0),0),"")</f>
        <v/>
      </c>
      <c r="P868" s="138">
        <v>18</v>
      </c>
      <c r="Q868" s="138">
        <f>MONTH(Table1[[#This Row],[Date]])</f>
        <v>6</v>
      </c>
      <c r="R868" s="138">
        <v>2021</v>
      </c>
      <c r="S868" s="139">
        <f>IF(ISBLANK(Table1[[#This Row],[Date]]),"",Table1[[#This Row],[Date]]-WEEKDAY(Table1[[#This Row],[Date]],2)+1)</f>
        <v>44361</v>
      </c>
      <c r="T868" s="140">
        <f>IF(ISBLANK(Table1[[#This Row],[Date]]),"",DATE(Table1[[#This Row],[Date_Year]],Table1[[#This Row],[Date_Month]],1))</f>
        <v>44348</v>
      </c>
    </row>
    <row r="869" spans="2:20" ht="15.75">
      <c r="B869" s="154">
        <v>44365</v>
      </c>
      <c r="C869" s="119" t="s">
        <v>700</v>
      </c>
      <c r="D869" s="119"/>
      <c r="E869" s="119"/>
      <c r="F869" s="155">
        <v>-86.25</v>
      </c>
      <c r="G869" s="133" t="str">
        <f>_xlfn.XLOOKUP(Table1[[#This Row],[Account_ID]], Accounts[ID], Accounts[Account nickname], "Unknown")</f>
        <v>Discover</v>
      </c>
      <c r="H869" s="134" t="str">
        <f>_xlfn.XLOOKUP(Table1[[#This Row],[Account_ID]], Accounts[ID], Accounts[Account'#], "Unknown")</f>
        <v>4618</v>
      </c>
      <c r="I869" s="135" t="str">
        <f>_xlfn.XLOOKUP(_xlfn.XLOOKUP(Table1[[#This Row],[Account]],Accounts[Account nickname],Accounts[Institution ID]),Institutions[ID],Institutions[Institution nickname],"Unknown")</f>
        <v>Discover</v>
      </c>
      <c r="J869" s="136" t="s">
        <v>2239</v>
      </c>
      <c r="K869" s="137" t="s">
        <v>843</v>
      </c>
      <c r="L869" s="137" t="s">
        <v>841</v>
      </c>
      <c r="M86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6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69" s="138" t="str" cm="1">
        <f t="array" ref="O869">IFERROR(INDEX(CategoriesTable[Category type],MATCH(Table1[[#This Row],[Category]],CategoriesTable[Category name],0),0),"")</f>
        <v/>
      </c>
      <c r="P869" s="138">
        <v>18</v>
      </c>
      <c r="Q869" s="138">
        <f>MONTH(Table1[[#This Row],[Date]])</f>
        <v>6</v>
      </c>
      <c r="R869" s="138">
        <v>2021</v>
      </c>
      <c r="S869" s="139">
        <f>IF(ISBLANK(Table1[[#This Row],[Date]]),"",Table1[[#This Row],[Date]]-WEEKDAY(Table1[[#This Row],[Date]],2)+1)</f>
        <v>44361</v>
      </c>
      <c r="T869" s="140">
        <f>IF(ISBLANK(Table1[[#This Row],[Date]]),"",DATE(Table1[[#This Row],[Date_Year]],Table1[[#This Row],[Date_Month]],1))</f>
        <v>44348</v>
      </c>
    </row>
    <row r="870" spans="2:20" ht="15.75">
      <c r="B870" s="154">
        <v>44365</v>
      </c>
      <c r="C870" s="119" t="s">
        <v>751</v>
      </c>
      <c r="D870" s="119"/>
      <c r="E870" s="119"/>
      <c r="F870" s="155">
        <v>680.02</v>
      </c>
      <c r="G870" s="133" t="str">
        <f>_xlfn.XLOOKUP(Table1[[#This Row],[Account_ID]], Accounts[ID], Accounts[Account nickname], "Unknown")</f>
        <v>WF</v>
      </c>
      <c r="H870" s="134" t="str">
        <f>_xlfn.XLOOKUP(Table1[[#This Row],[Account_ID]], Accounts[ID], Accounts[Account'#], "Unknown")</f>
        <v>4636</v>
      </c>
      <c r="I870" s="135" t="str">
        <f>_xlfn.XLOOKUP(_xlfn.XLOOKUP(Table1[[#This Row],[Account]],Accounts[Account nickname],Accounts[Institution ID]),Institutions[ID],Institutions[Institution nickname],"Unknown")</f>
        <v>Wells Fargo</v>
      </c>
      <c r="J870" s="136" t="s">
        <v>1098</v>
      </c>
      <c r="K870" s="137" t="s">
        <v>808</v>
      </c>
      <c r="L870" s="137" t="s">
        <v>807</v>
      </c>
      <c r="M87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7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70" s="138" t="str" cm="1">
        <f t="array" ref="O870">IFERROR(INDEX(CategoriesTable[Category type],MATCH(Table1[[#This Row],[Category]],CategoriesTable[Category name],0),0),"")</f>
        <v/>
      </c>
      <c r="P870" s="138">
        <v>18</v>
      </c>
      <c r="Q870" s="138">
        <f>MONTH(Table1[[#This Row],[Date]])</f>
        <v>6</v>
      </c>
      <c r="R870" s="138">
        <v>2021</v>
      </c>
      <c r="S870" s="139">
        <f>IF(ISBLANK(Table1[[#This Row],[Date]]),"",Table1[[#This Row],[Date]]-WEEKDAY(Table1[[#This Row],[Date]],2)+1)</f>
        <v>44361</v>
      </c>
      <c r="T870" s="140">
        <f>IF(ISBLANK(Table1[[#This Row],[Date]]),"",DATE(Table1[[#This Row],[Date_Year]],Table1[[#This Row],[Date_Month]],1))</f>
        <v>44348</v>
      </c>
    </row>
    <row r="871" spans="2:20" ht="15.75">
      <c r="B871" s="154">
        <v>44364</v>
      </c>
      <c r="C871" s="119" t="s">
        <v>787</v>
      </c>
      <c r="D871" s="119"/>
      <c r="E871" s="119"/>
      <c r="F871" s="155">
        <v>-3.13</v>
      </c>
      <c r="G871" s="133" t="str">
        <f>_xlfn.XLOOKUP(Table1[[#This Row],[Account_ID]], Accounts[ID], Accounts[Account nickname], "Unknown")</f>
        <v>Discover</v>
      </c>
      <c r="H871" s="134" t="str">
        <f>_xlfn.XLOOKUP(Table1[[#This Row],[Account_ID]], Accounts[ID], Accounts[Account'#], "Unknown")</f>
        <v>4618</v>
      </c>
      <c r="I871" s="135" t="str">
        <f>_xlfn.XLOOKUP(_xlfn.XLOOKUP(Table1[[#This Row],[Account]],Accounts[Account nickname],Accounts[Institution ID]),Institutions[ID],Institutions[Institution nickname],"Unknown")</f>
        <v>Discover</v>
      </c>
      <c r="J871" s="136" t="s">
        <v>2240</v>
      </c>
      <c r="K871" s="137" t="s">
        <v>843</v>
      </c>
      <c r="L871" s="137" t="s">
        <v>841</v>
      </c>
      <c r="M87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7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71" s="138" t="str" cm="1">
        <f t="array" ref="O871">IFERROR(INDEX(CategoriesTable[Category type],MATCH(Table1[[#This Row],[Category]],CategoriesTable[Category name],0),0),"")</f>
        <v/>
      </c>
      <c r="P871" s="138">
        <v>17</v>
      </c>
      <c r="Q871" s="138">
        <f>MONTH(Table1[[#This Row],[Date]])</f>
        <v>6</v>
      </c>
      <c r="R871" s="138">
        <v>2021</v>
      </c>
      <c r="S871" s="139">
        <f>IF(ISBLANK(Table1[[#This Row],[Date]]),"",Table1[[#This Row],[Date]]-WEEKDAY(Table1[[#This Row],[Date]],2)+1)</f>
        <v>44361</v>
      </c>
      <c r="T871" s="140">
        <f>IF(ISBLANK(Table1[[#This Row],[Date]]),"",DATE(Table1[[#This Row],[Date_Year]],Table1[[#This Row],[Date_Month]],1))</f>
        <v>44348</v>
      </c>
    </row>
    <row r="872" spans="2:20" ht="15.75">
      <c r="B872" s="154">
        <v>44364</v>
      </c>
      <c r="C872" s="119" t="s">
        <v>2241</v>
      </c>
      <c r="D872" s="119"/>
      <c r="E872" s="119"/>
      <c r="F872" s="155">
        <v>-50</v>
      </c>
      <c r="G872" s="133" t="str">
        <f>_xlfn.XLOOKUP(Table1[[#This Row],[Account_ID]], Accounts[ID], Accounts[Account nickname], "Unknown")</f>
        <v>Discover</v>
      </c>
      <c r="H872" s="134" t="str">
        <f>_xlfn.XLOOKUP(Table1[[#This Row],[Account_ID]], Accounts[ID], Accounts[Account'#], "Unknown")</f>
        <v>4618</v>
      </c>
      <c r="I872" s="135" t="str">
        <f>_xlfn.XLOOKUP(_xlfn.XLOOKUP(Table1[[#This Row],[Account]],Accounts[Account nickname],Accounts[Institution ID]),Institutions[ID],Institutions[Institution nickname],"Unknown")</f>
        <v>Discover</v>
      </c>
      <c r="J872" s="136" t="s">
        <v>2242</v>
      </c>
      <c r="K872" s="137" t="s">
        <v>843</v>
      </c>
      <c r="L872" s="137" t="s">
        <v>841</v>
      </c>
      <c r="M87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7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72" s="138" t="str" cm="1">
        <f t="array" ref="O872">IFERROR(INDEX(CategoriesTable[Category type],MATCH(Table1[[#This Row],[Category]],CategoriesTable[Category name],0),0),"")</f>
        <v/>
      </c>
      <c r="P872" s="138">
        <v>17</v>
      </c>
      <c r="Q872" s="138">
        <f>MONTH(Table1[[#This Row],[Date]])</f>
        <v>6</v>
      </c>
      <c r="R872" s="138">
        <v>2021</v>
      </c>
      <c r="S872" s="139">
        <f>IF(ISBLANK(Table1[[#This Row],[Date]]),"",Table1[[#This Row],[Date]]-WEEKDAY(Table1[[#This Row],[Date]],2)+1)</f>
        <v>44361</v>
      </c>
      <c r="T872" s="140">
        <f>IF(ISBLANK(Table1[[#This Row],[Date]]),"",DATE(Table1[[#This Row],[Date_Year]],Table1[[#This Row],[Date_Month]],1))</f>
        <v>44348</v>
      </c>
    </row>
    <row r="873" spans="2:20" ht="15.75">
      <c r="B873" s="154">
        <v>44364</v>
      </c>
      <c r="C873" s="119" t="s">
        <v>677</v>
      </c>
      <c r="D873" s="119"/>
      <c r="E873" s="119"/>
      <c r="F873" s="155">
        <v>4436.57</v>
      </c>
      <c r="G873" s="133" t="str">
        <f>_xlfn.XLOOKUP(Table1[[#This Row],[Account_ID]], Accounts[ID], Accounts[Account nickname], "Unknown")</f>
        <v>WF</v>
      </c>
      <c r="H873" s="134" t="str">
        <f>_xlfn.XLOOKUP(Table1[[#This Row],[Account_ID]], Accounts[ID], Accounts[Account'#], "Unknown")</f>
        <v>4636</v>
      </c>
      <c r="I873" s="135" t="str">
        <f>_xlfn.XLOOKUP(_xlfn.XLOOKUP(Table1[[#This Row],[Account]],Accounts[Account nickname],Accounts[Institution ID]),Institutions[ID],Institutions[Institution nickname],"Unknown")</f>
        <v>Wells Fargo</v>
      </c>
      <c r="J873" s="136" t="s">
        <v>1100</v>
      </c>
      <c r="K873" s="137" t="s">
        <v>808</v>
      </c>
      <c r="L873" s="137" t="s">
        <v>807</v>
      </c>
      <c r="M87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7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73" s="138" t="str" cm="1">
        <f t="array" ref="O873">IFERROR(INDEX(CategoriesTable[Category type],MATCH(Table1[[#This Row],[Category]],CategoriesTable[Category name],0),0),"")</f>
        <v/>
      </c>
      <c r="P873" s="138">
        <v>17</v>
      </c>
      <c r="Q873" s="138">
        <f>MONTH(Table1[[#This Row],[Date]])</f>
        <v>6</v>
      </c>
      <c r="R873" s="138">
        <v>2021</v>
      </c>
      <c r="S873" s="139">
        <f>IF(ISBLANK(Table1[[#This Row],[Date]]),"",Table1[[#This Row],[Date]]-WEEKDAY(Table1[[#This Row],[Date]],2)+1)</f>
        <v>44361</v>
      </c>
      <c r="T873" s="140">
        <f>IF(ISBLANK(Table1[[#This Row],[Date]]),"",DATE(Table1[[#This Row],[Date_Year]],Table1[[#This Row],[Date_Month]],1))</f>
        <v>44348</v>
      </c>
    </row>
    <row r="874" spans="2:20" ht="15.75">
      <c r="B874" s="154">
        <v>44363</v>
      </c>
      <c r="C874" s="119" t="s">
        <v>730</v>
      </c>
      <c r="D874" s="119"/>
      <c r="E874" s="119"/>
      <c r="F874" s="155">
        <v>-33.61</v>
      </c>
      <c r="G874" s="133" t="str">
        <f>_xlfn.XLOOKUP(Table1[[#This Row],[Account_ID]], Accounts[ID], Accounts[Account nickname], "Unknown")</f>
        <v>WF</v>
      </c>
      <c r="H874" s="134" t="str">
        <f>_xlfn.XLOOKUP(Table1[[#This Row],[Account_ID]], Accounts[ID], Accounts[Account'#], "Unknown")</f>
        <v>4636</v>
      </c>
      <c r="I874" s="135" t="str">
        <f>_xlfn.XLOOKUP(_xlfn.XLOOKUP(Table1[[#This Row],[Account]],Accounts[Account nickname],Accounts[Institution ID]),Institutions[ID],Institutions[Institution nickname],"Unknown")</f>
        <v>Wells Fargo</v>
      </c>
      <c r="J874" s="136" t="s">
        <v>1101</v>
      </c>
      <c r="K874" s="137" t="s">
        <v>808</v>
      </c>
      <c r="L874" s="137" t="s">
        <v>807</v>
      </c>
      <c r="M87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7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74" s="138" t="str" cm="1">
        <f t="array" ref="O874">IFERROR(INDEX(CategoriesTable[Category type],MATCH(Table1[[#This Row],[Category]],CategoriesTable[Category name],0),0),"")</f>
        <v/>
      </c>
      <c r="P874" s="138">
        <v>16</v>
      </c>
      <c r="Q874" s="138">
        <f>MONTH(Table1[[#This Row],[Date]])</f>
        <v>6</v>
      </c>
      <c r="R874" s="138">
        <v>2021</v>
      </c>
      <c r="S874" s="139">
        <f>IF(ISBLANK(Table1[[#This Row],[Date]]),"",Table1[[#This Row],[Date]]-WEEKDAY(Table1[[#This Row],[Date]],2)+1)</f>
        <v>44361</v>
      </c>
      <c r="T874" s="140">
        <f>IF(ISBLANK(Table1[[#This Row],[Date]]),"",DATE(Table1[[#This Row],[Date_Year]],Table1[[#This Row],[Date_Month]],1))</f>
        <v>44348</v>
      </c>
    </row>
    <row r="875" spans="2:20" ht="15.75">
      <c r="B875" s="154">
        <v>44363</v>
      </c>
      <c r="C875" s="119" t="s">
        <v>1927</v>
      </c>
      <c r="D875" s="119"/>
      <c r="E875" s="119"/>
      <c r="F875" s="155">
        <v>-194</v>
      </c>
      <c r="G875" s="133" t="str">
        <f>_xlfn.XLOOKUP(Table1[[#This Row],[Account_ID]], Accounts[ID], Accounts[Account nickname], "Unknown")</f>
        <v>Discover</v>
      </c>
      <c r="H875" s="134" t="str">
        <f>_xlfn.XLOOKUP(Table1[[#This Row],[Account_ID]], Accounts[ID], Accounts[Account'#], "Unknown")</f>
        <v>4618</v>
      </c>
      <c r="I875" s="135" t="str">
        <f>_xlfn.XLOOKUP(_xlfn.XLOOKUP(Table1[[#This Row],[Account]],Accounts[Account nickname],Accounts[Institution ID]),Institutions[ID],Institutions[Institution nickname],"Unknown")</f>
        <v>Discover</v>
      </c>
      <c r="J875" s="136" t="s">
        <v>2243</v>
      </c>
      <c r="K875" s="137" t="s">
        <v>843</v>
      </c>
      <c r="L875" s="137" t="s">
        <v>841</v>
      </c>
      <c r="M87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7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75" s="138" t="str" cm="1">
        <f t="array" ref="O875">IFERROR(INDEX(CategoriesTable[Category type],MATCH(Table1[[#This Row],[Category]],CategoriesTable[Category name],0),0),"")</f>
        <v/>
      </c>
      <c r="P875" s="138">
        <v>16</v>
      </c>
      <c r="Q875" s="138">
        <f>MONTH(Table1[[#This Row],[Date]])</f>
        <v>6</v>
      </c>
      <c r="R875" s="138">
        <v>2021</v>
      </c>
      <c r="S875" s="139">
        <f>IF(ISBLANK(Table1[[#This Row],[Date]]),"",Table1[[#This Row],[Date]]-WEEKDAY(Table1[[#This Row],[Date]],2)+1)</f>
        <v>44361</v>
      </c>
      <c r="T875" s="140">
        <f>IF(ISBLANK(Table1[[#This Row],[Date]]),"",DATE(Table1[[#This Row],[Date_Year]],Table1[[#This Row],[Date_Month]],1))</f>
        <v>44348</v>
      </c>
    </row>
    <row r="876" spans="2:20" ht="15.75">
      <c r="B876" s="154">
        <v>44361</v>
      </c>
      <c r="C876" s="119" t="s">
        <v>1980</v>
      </c>
      <c r="D876" s="119"/>
      <c r="E876" s="119"/>
      <c r="F876" s="155">
        <v>-30.12</v>
      </c>
      <c r="G876" s="133" t="str">
        <f>_xlfn.XLOOKUP(Table1[[#This Row],[Account_ID]], Accounts[ID], Accounts[Account nickname], "Unknown")</f>
        <v>Discover</v>
      </c>
      <c r="H876" s="134" t="str">
        <f>_xlfn.XLOOKUP(Table1[[#This Row],[Account_ID]], Accounts[ID], Accounts[Account'#], "Unknown")</f>
        <v>4618</v>
      </c>
      <c r="I876" s="135" t="str">
        <f>_xlfn.XLOOKUP(_xlfn.XLOOKUP(Table1[[#This Row],[Account]],Accounts[Account nickname],Accounts[Institution ID]),Institutions[ID],Institutions[Institution nickname],"Unknown")</f>
        <v>Discover</v>
      </c>
      <c r="J876" s="136" t="s">
        <v>2244</v>
      </c>
      <c r="K876" s="137" t="s">
        <v>843</v>
      </c>
      <c r="L876" s="137" t="s">
        <v>841</v>
      </c>
      <c r="M87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7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76" s="138" t="str" cm="1">
        <f t="array" ref="O876">IFERROR(INDEX(CategoriesTable[Category type],MATCH(Table1[[#This Row],[Category]],CategoriesTable[Category name],0),0),"")</f>
        <v/>
      </c>
      <c r="P876" s="138">
        <v>14</v>
      </c>
      <c r="Q876" s="138">
        <f>MONTH(Table1[[#This Row],[Date]])</f>
        <v>6</v>
      </c>
      <c r="R876" s="138">
        <v>2021</v>
      </c>
      <c r="S876" s="139">
        <f>IF(ISBLANK(Table1[[#This Row],[Date]]),"",Table1[[#This Row],[Date]]-WEEKDAY(Table1[[#This Row],[Date]],2)+1)</f>
        <v>44361</v>
      </c>
      <c r="T876" s="140">
        <f>IF(ISBLANK(Table1[[#This Row],[Date]]),"",DATE(Table1[[#This Row],[Date_Year]],Table1[[#This Row],[Date_Month]],1))</f>
        <v>44348</v>
      </c>
    </row>
    <row r="877" spans="2:20" ht="15.75">
      <c r="B877" s="154">
        <v>44361</v>
      </c>
      <c r="C877" s="119" t="s">
        <v>683</v>
      </c>
      <c r="D877" s="119"/>
      <c r="E877" s="119"/>
      <c r="F877" s="155">
        <v>-200</v>
      </c>
      <c r="G877" s="133" t="str">
        <f>_xlfn.XLOOKUP(Table1[[#This Row],[Account_ID]], Accounts[ID], Accounts[Account nickname], "Unknown")</f>
        <v>WF</v>
      </c>
      <c r="H877" s="134" t="str">
        <f>_xlfn.XLOOKUP(Table1[[#This Row],[Account_ID]], Accounts[ID], Accounts[Account'#], "Unknown")</f>
        <v>4636</v>
      </c>
      <c r="I877" s="135" t="str">
        <f>_xlfn.XLOOKUP(_xlfn.XLOOKUP(Table1[[#This Row],[Account]],Accounts[Account nickname],Accounts[Institution ID]),Institutions[ID],Institutions[Institution nickname],"Unknown")</f>
        <v>Wells Fargo</v>
      </c>
      <c r="J877" s="136" t="s">
        <v>1102</v>
      </c>
      <c r="K877" s="137" t="s">
        <v>808</v>
      </c>
      <c r="L877" s="137" t="s">
        <v>807</v>
      </c>
      <c r="M87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7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77" s="138" t="str" cm="1">
        <f t="array" ref="O877">IFERROR(INDEX(CategoriesTable[Category type],MATCH(Table1[[#This Row],[Category]],CategoriesTable[Category name],0),0),"")</f>
        <v/>
      </c>
      <c r="P877" s="138">
        <v>14</v>
      </c>
      <c r="Q877" s="138">
        <f>MONTH(Table1[[#This Row],[Date]])</f>
        <v>6</v>
      </c>
      <c r="R877" s="138">
        <v>2021</v>
      </c>
      <c r="S877" s="139">
        <f>IF(ISBLANK(Table1[[#This Row],[Date]]),"",Table1[[#This Row],[Date]]-WEEKDAY(Table1[[#This Row],[Date]],2)+1)</f>
        <v>44361</v>
      </c>
      <c r="T877" s="140">
        <f>IF(ISBLANK(Table1[[#This Row],[Date]]),"",DATE(Table1[[#This Row],[Date_Year]],Table1[[#This Row],[Date_Month]],1))</f>
        <v>44348</v>
      </c>
    </row>
    <row r="878" spans="2:20" ht="15.75">
      <c r="B878" s="154">
        <v>44360</v>
      </c>
      <c r="C878" s="119" t="s">
        <v>702</v>
      </c>
      <c r="D878" s="119"/>
      <c r="E878" s="119"/>
      <c r="F878" s="155">
        <v>-2.3199999999999998</v>
      </c>
      <c r="G878" s="133" t="str">
        <f>_xlfn.XLOOKUP(Table1[[#This Row],[Account_ID]], Accounts[ID], Accounts[Account nickname], "Unknown")</f>
        <v>Discover</v>
      </c>
      <c r="H878" s="134" t="str">
        <f>_xlfn.XLOOKUP(Table1[[#This Row],[Account_ID]], Accounts[ID], Accounts[Account'#], "Unknown")</f>
        <v>4618</v>
      </c>
      <c r="I878" s="135" t="str">
        <f>_xlfn.XLOOKUP(_xlfn.XLOOKUP(Table1[[#This Row],[Account]],Accounts[Account nickname],Accounts[Institution ID]),Institutions[ID],Institutions[Institution nickname],"Unknown")</f>
        <v>Discover</v>
      </c>
      <c r="J878" s="136" t="s">
        <v>2245</v>
      </c>
      <c r="K878" s="137" t="s">
        <v>843</v>
      </c>
      <c r="L878" s="137" t="s">
        <v>841</v>
      </c>
      <c r="M87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7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78" s="138" t="str" cm="1">
        <f t="array" ref="O878">IFERROR(INDEX(CategoriesTable[Category type],MATCH(Table1[[#This Row],[Category]],CategoriesTable[Category name],0),0),"")</f>
        <v/>
      </c>
      <c r="P878" s="138">
        <v>13</v>
      </c>
      <c r="Q878" s="138">
        <f>MONTH(Table1[[#This Row],[Date]])</f>
        <v>6</v>
      </c>
      <c r="R878" s="138">
        <v>2021</v>
      </c>
      <c r="S878" s="139">
        <f>IF(ISBLANK(Table1[[#This Row],[Date]]),"",Table1[[#This Row],[Date]]-WEEKDAY(Table1[[#This Row],[Date]],2)+1)</f>
        <v>44354</v>
      </c>
      <c r="T878" s="140">
        <f>IF(ISBLANK(Table1[[#This Row],[Date]]),"",DATE(Table1[[#This Row],[Date_Year]],Table1[[#This Row],[Date_Month]],1))</f>
        <v>44348</v>
      </c>
    </row>
    <row r="879" spans="2:20" ht="15.75">
      <c r="B879" s="154">
        <v>44359</v>
      </c>
      <c r="C879" s="119" t="s">
        <v>1500</v>
      </c>
      <c r="D879" s="119"/>
      <c r="E879" s="119"/>
      <c r="F879" s="155">
        <v>-1.99</v>
      </c>
      <c r="G879" s="133" t="str">
        <f>_xlfn.XLOOKUP(Table1[[#This Row],[Account_ID]], Accounts[ID], Accounts[Account nickname], "Unknown")</f>
        <v>Discover</v>
      </c>
      <c r="H879" s="134" t="str">
        <f>_xlfn.XLOOKUP(Table1[[#This Row],[Account_ID]], Accounts[ID], Accounts[Account'#], "Unknown")</f>
        <v>4618</v>
      </c>
      <c r="I879" s="135" t="str">
        <f>_xlfn.XLOOKUP(_xlfn.XLOOKUP(Table1[[#This Row],[Account]],Accounts[Account nickname],Accounts[Institution ID]),Institutions[ID],Institutions[Institution nickname],"Unknown")</f>
        <v>Discover</v>
      </c>
      <c r="J879" s="136" t="s">
        <v>2250</v>
      </c>
      <c r="K879" s="137" t="s">
        <v>843</v>
      </c>
      <c r="L879" s="137" t="s">
        <v>841</v>
      </c>
      <c r="M87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7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79" s="138" t="str" cm="1">
        <f t="array" ref="O879">IFERROR(INDEX(CategoriesTable[Category type],MATCH(Table1[[#This Row],[Category]],CategoriesTable[Category name],0),0),"")</f>
        <v/>
      </c>
      <c r="P879" s="138">
        <v>12</v>
      </c>
      <c r="Q879" s="138">
        <f>MONTH(Table1[[#This Row],[Date]])</f>
        <v>6</v>
      </c>
      <c r="R879" s="138">
        <v>2021</v>
      </c>
      <c r="S879" s="139">
        <f>IF(ISBLANK(Table1[[#This Row],[Date]]),"",Table1[[#This Row],[Date]]-WEEKDAY(Table1[[#This Row],[Date]],2)+1)</f>
        <v>44354</v>
      </c>
      <c r="T879" s="140">
        <f>IF(ISBLANK(Table1[[#This Row],[Date]]),"",DATE(Table1[[#This Row],[Date_Year]],Table1[[#This Row],[Date_Month]],1))</f>
        <v>44348</v>
      </c>
    </row>
    <row r="880" spans="2:20" ht="15.75">
      <c r="B880" s="154">
        <v>44359</v>
      </c>
      <c r="C880" s="119" t="s">
        <v>1489</v>
      </c>
      <c r="D880" s="119"/>
      <c r="E880" s="119"/>
      <c r="F880" s="155">
        <v>-14.18</v>
      </c>
      <c r="G880" s="133" t="str">
        <f>_xlfn.XLOOKUP(Table1[[#This Row],[Account_ID]], Accounts[ID], Accounts[Account nickname], "Unknown")</f>
        <v>Discover</v>
      </c>
      <c r="H880" s="134" t="str">
        <f>_xlfn.XLOOKUP(Table1[[#This Row],[Account_ID]], Accounts[ID], Accounts[Account'#], "Unknown")</f>
        <v>4618</v>
      </c>
      <c r="I880" s="135" t="str">
        <f>_xlfn.XLOOKUP(_xlfn.XLOOKUP(Table1[[#This Row],[Account]],Accounts[Account nickname],Accounts[Institution ID]),Institutions[ID],Institutions[Institution nickname],"Unknown")</f>
        <v>Discover</v>
      </c>
      <c r="J880" s="136" t="s">
        <v>2249</v>
      </c>
      <c r="K880" s="137" t="s">
        <v>843</v>
      </c>
      <c r="L880" s="137" t="s">
        <v>841</v>
      </c>
      <c r="M88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8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80" s="138" t="str" cm="1">
        <f t="array" ref="O880">IFERROR(INDEX(CategoriesTable[Category type],MATCH(Table1[[#This Row],[Category]],CategoriesTable[Category name],0),0),"")</f>
        <v/>
      </c>
      <c r="P880" s="138">
        <v>12</v>
      </c>
      <c r="Q880" s="138">
        <f>MONTH(Table1[[#This Row],[Date]])</f>
        <v>6</v>
      </c>
      <c r="R880" s="138">
        <v>2021</v>
      </c>
      <c r="S880" s="139">
        <f>IF(ISBLANK(Table1[[#This Row],[Date]]),"",Table1[[#This Row],[Date]]-WEEKDAY(Table1[[#This Row],[Date]],2)+1)</f>
        <v>44354</v>
      </c>
      <c r="T880" s="140">
        <f>IF(ISBLANK(Table1[[#This Row],[Date]]),"",DATE(Table1[[#This Row],[Date_Year]],Table1[[#This Row],[Date_Month]],1))</f>
        <v>44348</v>
      </c>
    </row>
    <row r="881" spans="2:20" ht="15.75">
      <c r="B881" s="154">
        <v>44359</v>
      </c>
      <c r="C881" s="119" t="s">
        <v>1489</v>
      </c>
      <c r="D881" s="119"/>
      <c r="E881" s="119"/>
      <c r="F881" s="155">
        <v>-0.24</v>
      </c>
      <c r="G881" s="133" t="str">
        <f>_xlfn.XLOOKUP(Table1[[#This Row],[Account_ID]], Accounts[ID], Accounts[Account nickname], "Unknown")</f>
        <v>Discover</v>
      </c>
      <c r="H881" s="134" t="str">
        <f>_xlfn.XLOOKUP(Table1[[#This Row],[Account_ID]], Accounts[ID], Accounts[Account'#], "Unknown")</f>
        <v>4618</v>
      </c>
      <c r="I881" s="135" t="str">
        <f>_xlfn.XLOOKUP(_xlfn.XLOOKUP(Table1[[#This Row],[Account]],Accounts[Account nickname],Accounts[Institution ID]),Institutions[ID],Institutions[Institution nickname],"Unknown")</f>
        <v>Discover</v>
      </c>
      <c r="J881" s="136" t="s">
        <v>2248</v>
      </c>
      <c r="K881" s="137" t="s">
        <v>843</v>
      </c>
      <c r="L881" s="137" t="s">
        <v>841</v>
      </c>
      <c r="M88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8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81" s="138" t="str" cm="1">
        <f t="array" ref="O881">IFERROR(INDEX(CategoriesTable[Category type],MATCH(Table1[[#This Row],[Category]],CategoriesTable[Category name],0),0),"")</f>
        <v/>
      </c>
      <c r="P881" s="138">
        <v>12</v>
      </c>
      <c r="Q881" s="138">
        <f>MONTH(Table1[[#This Row],[Date]])</f>
        <v>6</v>
      </c>
      <c r="R881" s="138">
        <v>2021</v>
      </c>
      <c r="S881" s="139">
        <f>IF(ISBLANK(Table1[[#This Row],[Date]]),"",Table1[[#This Row],[Date]]-WEEKDAY(Table1[[#This Row],[Date]],2)+1)</f>
        <v>44354</v>
      </c>
      <c r="T881" s="140">
        <f>IF(ISBLANK(Table1[[#This Row],[Date]]),"",DATE(Table1[[#This Row],[Date_Year]],Table1[[#This Row],[Date_Month]],1))</f>
        <v>44348</v>
      </c>
    </row>
    <row r="882" spans="2:20" ht="15.75">
      <c r="B882" s="154">
        <v>44359</v>
      </c>
      <c r="C882" s="119" t="s">
        <v>2246</v>
      </c>
      <c r="D882" s="119"/>
      <c r="E882" s="119"/>
      <c r="F882" s="155">
        <v>-8.3699999999999992</v>
      </c>
      <c r="G882" s="133" t="str">
        <f>_xlfn.XLOOKUP(Table1[[#This Row],[Account_ID]], Accounts[ID], Accounts[Account nickname], "Unknown")</f>
        <v>Discover</v>
      </c>
      <c r="H882" s="134" t="str">
        <f>_xlfn.XLOOKUP(Table1[[#This Row],[Account_ID]], Accounts[ID], Accounts[Account'#], "Unknown")</f>
        <v>4618</v>
      </c>
      <c r="I882" s="135" t="str">
        <f>_xlfn.XLOOKUP(_xlfn.XLOOKUP(Table1[[#This Row],[Account]],Accounts[Account nickname],Accounts[Institution ID]),Institutions[ID],Institutions[Institution nickname],"Unknown")</f>
        <v>Discover</v>
      </c>
      <c r="J882" s="136" t="s">
        <v>2247</v>
      </c>
      <c r="K882" s="137" t="s">
        <v>843</v>
      </c>
      <c r="L882" s="137" t="s">
        <v>841</v>
      </c>
      <c r="M88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8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82" s="138" t="str" cm="1">
        <f t="array" ref="O882">IFERROR(INDEX(CategoriesTable[Category type],MATCH(Table1[[#This Row],[Category]],CategoriesTable[Category name],0),0),"")</f>
        <v/>
      </c>
      <c r="P882" s="138">
        <v>12</v>
      </c>
      <c r="Q882" s="138">
        <f>MONTH(Table1[[#This Row],[Date]])</f>
        <v>6</v>
      </c>
      <c r="R882" s="138">
        <v>2021</v>
      </c>
      <c r="S882" s="139">
        <f>IF(ISBLANK(Table1[[#This Row],[Date]]),"",Table1[[#This Row],[Date]]-WEEKDAY(Table1[[#This Row],[Date]],2)+1)</f>
        <v>44354</v>
      </c>
      <c r="T882" s="140">
        <f>IF(ISBLANK(Table1[[#This Row],[Date]]),"",DATE(Table1[[#This Row],[Date_Year]],Table1[[#This Row],[Date_Month]],1))</f>
        <v>44348</v>
      </c>
    </row>
    <row r="883" spans="2:20" ht="15.75">
      <c r="B883" s="154">
        <v>44358</v>
      </c>
      <c r="C883" s="119" t="s">
        <v>678</v>
      </c>
      <c r="D883" s="119"/>
      <c r="E883" s="119"/>
      <c r="F883" s="155">
        <v>-78.75</v>
      </c>
      <c r="G883" s="133" t="str">
        <f>_xlfn.XLOOKUP(Table1[[#This Row],[Account_ID]], Accounts[ID], Accounts[Account nickname], "Unknown")</f>
        <v>WF</v>
      </c>
      <c r="H883" s="134" t="str">
        <f>_xlfn.XLOOKUP(Table1[[#This Row],[Account_ID]], Accounts[ID], Accounts[Account'#], "Unknown")</f>
        <v>4636</v>
      </c>
      <c r="I883" s="135" t="str">
        <f>_xlfn.XLOOKUP(_xlfn.XLOOKUP(Table1[[#This Row],[Account]],Accounts[Account nickname],Accounts[Institution ID]),Institutions[ID],Institutions[Institution nickname],"Unknown")</f>
        <v>Wells Fargo</v>
      </c>
      <c r="J883" s="136" t="s">
        <v>1103</v>
      </c>
      <c r="K883" s="137" t="s">
        <v>808</v>
      </c>
      <c r="L883" s="137" t="s">
        <v>807</v>
      </c>
      <c r="M88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8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83" s="138" t="str" cm="1">
        <f t="array" ref="O883">IFERROR(INDEX(CategoriesTable[Category type],MATCH(Table1[[#This Row],[Category]],CategoriesTable[Category name],0),0),"")</f>
        <v/>
      </c>
      <c r="P883" s="138">
        <v>11</v>
      </c>
      <c r="Q883" s="138">
        <f>MONTH(Table1[[#This Row],[Date]])</f>
        <v>6</v>
      </c>
      <c r="R883" s="138">
        <v>2021</v>
      </c>
      <c r="S883" s="139">
        <f>IF(ISBLANK(Table1[[#This Row],[Date]]),"",Table1[[#This Row],[Date]]-WEEKDAY(Table1[[#This Row],[Date]],2)+1)</f>
        <v>44354</v>
      </c>
      <c r="T883" s="140">
        <f>IF(ISBLANK(Table1[[#This Row],[Date]]),"",DATE(Table1[[#This Row],[Date_Year]],Table1[[#This Row],[Date_Month]],1))</f>
        <v>44348</v>
      </c>
    </row>
    <row r="884" spans="2:20" ht="15.75">
      <c r="B884" s="154">
        <v>44358</v>
      </c>
      <c r="C884" s="119" t="s">
        <v>694</v>
      </c>
      <c r="D884" s="119"/>
      <c r="E884" s="119"/>
      <c r="F884" s="155">
        <v>-16.78</v>
      </c>
      <c r="G884" s="133" t="str">
        <f>_xlfn.XLOOKUP(Table1[[#This Row],[Account_ID]], Accounts[ID], Accounts[Account nickname], "Unknown")</f>
        <v>Discover</v>
      </c>
      <c r="H884" s="134" t="str">
        <f>_xlfn.XLOOKUP(Table1[[#This Row],[Account_ID]], Accounts[ID], Accounts[Account'#], "Unknown")</f>
        <v>4618</v>
      </c>
      <c r="I884" s="135" t="str">
        <f>_xlfn.XLOOKUP(_xlfn.XLOOKUP(Table1[[#This Row],[Account]],Accounts[Account nickname],Accounts[Institution ID]),Institutions[ID],Institutions[Institution nickname],"Unknown")</f>
        <v>Discover</v>
      </c>
      <c r="J884" s="136" t="s">
        <v>2253</v>
      </c>
      <c r="K884" s="137" t="s">
        <v>843</v>
      </c>
      <c r="L884" s="137" t="s">
        <v>841</v>
      </c>
      <c r="M88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8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84" s="138" t="str" cm="1">
        <f t="array" ref="O884">IFERROR(INDEX(CategoriesTable[Category type],MATCH(Table1[[#This Row],[Category]],CategoriesTable[Category name],0),0),"")</f>
        <v/>
      </c>
      <c r="P884" s="138">
        <v>11</v>
      </c>
      <c r="Q884" s="138">
        <f>MONTH(Table1[[#This Row],[Date]])</f>
        <v>6</v>
      </c>
      <c r="R884" s="138">
        <v>2021</v>
      </c>
      <c r="S884" s="139">
        <f>IF(ISBLANK(Table1[[#This Row],[Date]]),"",Table1[[#This Row],[Date]]-WEEKDAY(Table1[[#This Row],[Date]],2)+1)</f>
        <v>44354</v>
      </c>
      <c r="T884" s="140">
        <f>IF(ISBLANK(Table1[[#This Row],[Date]]),"",DATE(Table1[[#This Row],[Date_Year]],Table1[[#This Row],[Date_Month]],1))</f>
        <v>44348</v>
      </c>
    </row>
    <row r="885" spans="2:20" ht="15.75">
      <c r="B885" s="154">
        <v>44358</v>
      </c>
      <c r="C885" s="119" t="s">
        <v>2254</v>
      </c>
      <c r="D885" s="119"/>
      <c r="E885" s="119"/>
      <c r="F885" s="155">
        <v>-31.8</v>
      </c>
      <c r="G885" s="133" t="str">
        <f>_xlfn.XLOOKUP(Table1[[#This Row],[Account_ID]], Accounts[ID], Accounts[Account nickname], "Unknown")</f>
        <v>Discover</v>
      </c>
      <c r="H885" s="134" t="str">
        <f>_xlfn.XLOOKUP(Table1[[#This Row],[Account_ID]], Accounts[ID], Accounts[Account'#], "Unknown")</f>
        <v>4618</v>
      </c>
      <c r="I885" s="135" t="str">
        <f>_xlfn.XLOOKUP(_xlfn.XLOOKUP(Table1[[#This Row],[Account]],Accounts[Account nickname],Accounts[Institution ID]),Institutions[ID],Institutions[Institution nickname],"Unknown")</f>
        <v>Discover</v>
      </c>
      <c r="J885" s="136" t="s">
        <v>2255</v>
      </c>
      <c r="K885" s="137" t="s">
        <v>843</v>
      </c>
      <c r="L885" s="137" t="s">
        <v>841</v>
      </c>
      <c r="M88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8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85" s="138" t="str" cm="1">
        <f t="array" ref="O885">IFERROR(INDEX(CategoriesTable[Category type],MATCH(Table1[[#This Row],[Category]],CategoriesTable[Category name],0),0),"")</f>
        <v/>
      </c>
      <c r="P885" s="138">
        <v>11</v>
      </c>
      <c r="Q885" s="138">
        <f>MONTH(Table1[[#This Row],[Date]])</f>
        <v>6</v>
      </c>
      <c r="R885" s="138">
        <v>2021</v>
      </c>
      <c r="S885" s="139">
        <f>IF(ISBLANK(Table1[[#This Row],[Date]]),"",Table1[[#This Row],[Date]]-WEEKDAY(Table1[[#This Row],[Date]],2)+1)</f>
        <v>44354</v>
      </c>
      <c r="T885" s="140">
        <f>IF(ISBLANK(Table1[[#This Row],[Date]]),"",DATE(Table1[[#This Row],[Date_Year]],Table1[[#This Row],[Date_Month]],1))</f>
        <v>44348</v>
      </c>
    </row>
    <row r="886" spans="2:20" ht="15.75">
      <c r="B886" s="154">
        <v>44358</v>
      </c>
      <c r="C886" s="119" t="s">
        <v>910</v>
      </c>
      <c r="D886" s="119"/>
      <c r="E886" s="119"/>
      <c r="F886" s="155">
        <v>-15.89</v>
      </c>
      <c r="G886" s="133" t="str">
        <f>_xlfn.XLOOKUP(Table1[[#This Row],[Account_ID]], Accounts[ID], Accounts[Account nickname], "Unknown")</f>
        <v>Discover</v>
      </c>
      <c r="H886" s="134" t="str">
        <f>_xlfn.XLOOKUP(Table1[[#This Row],[Account_ID]], Accounts[ID], Accounts[Account'#], "Unknown")</f>
        <v>4618</v>
      </c>
      <c r="I886" s="135" t="str">
        <f>_xlfn.XLOOKUP(_xlfn.XLOOKUP(Table1[[#This Row],[Account]],Accounts[Account nickname],Accounts[Institution ID]),Institutions[ID],Institutions[Institution nickname],"Unknown")</f>
        <v>Discover</v>
      </c>
      <c r="J886" s="136" t="s">
        <v>2251</v>
      </c>
      <c r="K886" s="137" t="s">
        <v>843</v>
      </c>
      <c r="L886" s="137" t="s">
        <v>841</v>
      </c>
      <c r="M88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8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86" s="138" t="str" cm="1">
        <f t="array" ref="O886">IFERROR(INDEX(CategoriesTable[Category type],MATCH(Table1[[#This Row],[Category]],CategoriesTable[Category name],0),0),"")</f>
        <v/>
      </c>
      <c r="P886" s="138">
        <v>11</v>
      </c>
      <c r="Q886" s="138">
        <f>MONTH(Table1[[#This Row],[Date]])</f>
        <v>6</v>
      </c>
      <c r="R886" s="138">
        <v>2021</v>
      </c>
      <c r="S886" s="139">
        <f>IF(ISBLANK(Table1[[#This Row],[Date]]),"",Table1[[#This Row],[Date]]-WEEKDAY(Table1[[#This Row],[Date]],2)+1)</f>
        <v>44354</v>
      </c>
      <c r="T886" s="140">
        <f>IF(ISBLANK(Table1[[#This Row],[Date]]),"",DATE(Table1[[#This Row],[Date_Year]],Table1[[#This Row],[Date_Month]],1))</f>
        <v>44348</v>
      </c>
    </row>
    <row r="887" spans="2:20" ht="15.75">
      <c r="B887" s="154">
        <v>44358</v>
      </c>
      <c r="C887" s="119" t="s">
        <v>2246</v>
      </c>
      <c r="D887" s="119"/>
      <c r="E887" s="119"/>
      <c r="F887" s="155">
        <v>-52.11</v>
      </c>
      <c r="G887" s="133" t="str">
        <f>_xlfn.XLOOKUP(Table1[[#This Row],[Account_ID]], Accounts[ID], Accounts[Account nickname], "Unknown")</f>
        <v>Discover</v>
      </c>
      <c r="H887" s="134" t="str">
        <f>_xlfn.XLOOKUP(Table1[[#This Row],[Account_ID]], Accounts[ID], Accounts[Account'#], "Unknown")</f>
        <v>4618</v>
      </c>
      <c r="I887" s="135" t="str">
        <f>_xlfn.XLOOKUP(_xlfn.XLOOKUP(Table1[[#This Row],[Account]],Accounts[Account nickname],Accounts[Institution ID]),Institutions[ID],Institutions[Institution nickname],"Unknown")</f>
        <v>Discover</v>
      </c>
      <c r="J887" s="136" t="s">
        <v>2252</v>
      </c>
      <c r="K887" s="137" t="s">
        <v>843</v>
      </c>
      <c r="L887" s="137" t="s">
        <v>841</v>
      </c>
      <c r="M88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8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87" s="138" t="str" cm="1">
        <f t="array" ref="O887">IFERROR(INDEX(CategoriesTable[Category type],MATCH(Table1[[#This Row],[Category]],CategoriesTable[Category name],0),0),"")</f>
        <v/>
      </c>
      <c r="P887" s="138">
        <v>11</v>
      </c>
      <c r="Q887" s="138">
        <f>MONTH(Table1[[#This Row],[Date]])</f>
        <v>6</v>
      </c>
      <c r="R887" s="138">
        <v>2021</v>
      </c>
      <c r="S887" s="139">
        <f>IF(ISBLANK(Table1[[#This Row],[Date]]),"",Table1[[#This Row],[Date]]-WEEKDAY(Table1[[#This Row],[Date]],2)+1)</f>
        <v>44354</v>
      </c>
      <c r="T887" s="140">
        <f>IF(ISBLANK(Table1[[#This Row],[Date]]),"",DATE(Table1[[#This Row],[Date_Year]],Table1[[#This Row],[Date_Month]],1))</f>
        <v>44348</v>
      </c>
    </row>
    <row r="888" spans="2:20" ht="15.75">
      <c r="B888" s="154">
        <v>44357</v>
      </c>
      <c r="C888" s="119" t="s">
        <v>1623</v>
      </c>
      <c r="D888" s="119"/>
      <c r="E888" s="119"/>
      <c r="F888" s="155">
        <v>-9.99</v>
      </c>
      <c r="G888" s="133" t="str">
        <f>_xlfn.XLOOKUP(Table1[[#This Row],[Account_ID]], Accounts[ID], Accounts[Account nickname], "Unknown")</f>
        <v>Discover</v>
      </c>
      <c r="H888" s="134" t="str">
        <f>_xlfn.XLOOKUP(Table1[[#This Row],[Account_ID]], Accounts[ID], Accounts[Account'#], "Unknown")</f>
        <v>4618</v>
      </c>
      <c r="I888" s="135" t="str">
        <f>_xlfn.XLOOKUP(_xlfn.XLOOKUP(Table1[[#This Row],[Account]],Accounts[Account nickname],Accounts[Institution ID]),Institutions[ID],Institutions[Institution nickname],"Unknown")</f>
        <v>Discover</v>
      </c>
      <c r="J888" s="136" t="s">
        <v>2259</v>
      </c>
      <c r="K888" s="137" t="s">
        <v>843</v>
      </c>
      <c r="L888" s="137" t="s">
        <v>841</v>
      </c>
      <c r="M88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8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88" s="138" t="str" cm="1">
        <f t="array" ref="O888">IFERROR(INDEX(CategoriesTable[Category type],MATCH(Table1[[#This Row],[Category]],CategoriesTable[Category name],0),0),"")</f>
        <v/>
      </c>
      <c r="P888" s="138">
        <v>10</v>
      </c>
      <c r="Q888" s="138">
        <f>MONTH(Table1[[#This Row],[Date]])</f>
        <v>6</v>
      </c>
      <c r="R888" s="138">
        <v>2021</v>
      </c>
      <c r="S888" s="139">
        <f>IF(ISBLANK(Table1[[#This Row],[Date]]),"",Table1[[#This Row],[Date]]-WEEKDAY(Table1[[#This Row],[Date]],2)+1)</f>
        <v>44354</v>
      </c>
      <c r="T888" s="140">
        <f>IF(ISBLANK(Table1[[#This Row],[Date]]),"",DATE(Table1[[#This Row],[Date_Year]],Table1[[#This Row],[Date_Month]],1))</f>
        <v>44348</v>
      </c>
    </row>
    <row r="889" spans="2:20" ht="15.75">
      <c r="B889" s="154">
        <v>44357</v>
      </c>
      <c r="C889" s="119" t="s">
        <v>720</v>
      </c>
      <c r="D889" s="119"/>
      <c r="E889" s="119"/>
      <c r="F889" s="155">
        <v>-3.13</v>
      </c>
      <c r="G889" s="133" t="str">
        <f>_xlfn.XLOOKUP(Table1[[#This Row],[Account_ID]], Accounts[ID], Accounts[Account nickname], "Unknown")</f>
        <v>Discover</v>
      </c>
      <c r="H889" s="134" t="str">
        <f>_xlfn.XLOOKUP(Table1[[#This Row],[Account_ID]], Accounts[ID], Accounts[Account'#], "Unknown")</f>
        <v>4618</v>
      </c>
      <c r="I889" s="135" t="str">
        <f>_xlfn.XLOOKUP(_xlfn.XLOOKUP(Table1[[#This Row],[Account]],Accounts[Account nickname],Accounts[Institution ID]),Institutions[ID],Institutions[Institution nickname],"Unknown")</f>
        <v>Discover</v>
      </c>
      <c r="J889" s="136" t="s">
        <v>2261</v>
      </c>
      <c r="K889" s="137" t="s">
        <v>843</v>
      </c>
      <c r="L889" s="137" t="s">
        <v>841</v>
      </c>
      <c r="M88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8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89" s="138" t="str" cm="1">
        <f t="array" ref="O889">IFERROR(INDEX(CategoriesTable[Category type],MATCH(Table1[[#This Row],[Category]],CategoriesTable[Category name],0),0),"")</f>
        <v/>
      </c>
      <c r="P889" s="138">
        <v>10</v>
      </c>
      <c r="Q889" s="138">
        <f>MONTH(Table1[[#This Row],[Date]])</f>
        <v>6</v>
      </c>
      <c r="R889" s="138">
        <v>2021</v>
      </c>
      <c r="S889" s="139">
        <f>IF(ISBLANK(Table1[[#This Row],[Date]]),"",Table1[[#This Row],[Date]]-WEEKDAY(Table1[[#This Row],[Date]],2)+1)</f>
        <v>44354</v>
      </c>
      <c r="T889" s="140">
        <f>IF(ISBLANK(Table1[[#This Row],[Date]]),"",DATE(Table1[[#This Row],[Date_Year]],Table1[[#This Row],[Date_Month]],1))</f>
        <v>44348</v>
      </c>
    </row>
    <row r="890" spans="2:20" ht="15.75">
      <c r="B890" s="154">
        <v>44357</v>
      </c>
      <c r="C890" s="119" t="s">
        <v>1623</v>
      </c>
      <c r="D890" s="119"/>
      <c r="E890" s="119"/>
      <c r="F890" s="155">
        <v>-6.25</v>
      </c>
      <c r="G890" s="133" t="str">
        <f>_xlfn.XLOOKUP(Table1[[#This Row],[Account_ID]], Accounts[ID], Accounts[Account nickname], "Unknown")</f>
        <v>Discover</v>
      </c>
      <c r="H890" s="134" t="str">
        <f>_xlfn.XLOOKUP(Table1[[#This Row],[Account_ID]], Accounts[ID], Accounts[Account'#], "Unknown")</f>
        <v>4618</v>
      </c>
      <c r="I890" s="135" t="str">
        <f>_xlfn.XLOOKUP(_xlfn.XLOOKUP(Table1[[#This Row],[Account]],Accounts[Account nickname],Accounts[Institution ID]),Institutions[ID],Institutions[Institution nickname],"Unknown")</f>
        <v>Discover</v>
      </c>
      <c r="J890" s="152" t="s">
        <v>2258</v>
      </c>
      <c r="K890" s="137" t="s">
        <v>843</v>
      </c>
      <c r="L890" s="137" t="s">
        <v>841</v>
      </c>
      <c r="M89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9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90" s="138" t="str" cm="1">
        <f t="array" ref="O890">IFERROR(INDEX(CategoriesTable[Category type],MATCH(Table1[[#This Row],[Category]],CategoriesTable[Category name],0),0),"")</f>
        <v/>
      </c>
      <c r="P890" s="138">
        <v>10</v>
      </c>
      <c r="Q890" s="138">
        <f>MONTH(Table1[[#This Row],[Date]])</f>
        <v>6</v>
      </c>
      <c r="R890" s="138">
        <v>2021</v>
      </c>
      <c r="S890" s="139">
        <f>IF(ISBLANK(Table1[[#This Row],[Date]]),"",Table1[[#This Row],[Date]]-WEEKDAY(Table1[[#This Row],[Date]],2)+1)</f>
        <v>44354</v>
      </c>
      <c r="T890" s="140">
        <f>IF(ISBLANK(Table1[[#This Row],[Date]]),"",DATE(Table1[[#This Row],[Date_Year]],Table1[[#This Row],[Date_Month]],1))</f>
        <v>44348</v>
      </c>
    </row>
    <row r="891" spans="2:20" ht="15.75">
      <c r="B891" s="154">
        <v>44357</v>
      </c>
      <c r="C891" s="119" t="s">
        <v>2256</v>
      </c>
      <c r="D891" s="119"/>
      <c r="E891" s="119"/>
      <c r="F891" s="155">
        <v>-25.06</v>
      </c>
      <c r="G891" s="133" t="str">
        <f>_xlfn.XLOOKUP(Table1[[#This Row],[Account_ID]], Accounts[ID], Accounts[Account nickname], "Unknown")</f>
        <v>Discover</v>
      </c>
      <c r="H891" s="134" t="str">
        <f>_xlfn.XLOOKUP(Table1[[#This Row],[Account_ID]], Accounts[ID], Accounts[Account'#], "Unknown")</f>
        <v>4618</v>
      </c>
      <c r="I891" s="135" t="str">
        <f>_xlfn.XLOOKUP(_xlfn.XLOOKUP(Table1[[#This Row],[Account]],Accounts[Account nickname],Accounts[Institution ID]),Institutions[ID],Institutions[Institution nickname],"Unknown")</f>
        <v>Discover</v>
      </c>
      <c r="J891" s="136" t="s">
        <v>2257</v>
      </c>
      <c r="K891" s="137" t="s">
        <v>843</v>
      </c>
      <c r="L891" s="137" t="s">
        <v>841</v>
      </c>
      <c r="M89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9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91" s="138" t="str" cm="1">
        <f t="array" ref="O891">IFERROR(INDEX(CategoriesTable[Category type],MATCH(Table1[[#This Row],[Category]],CategoriesTable[Category name],0),0),"")</f>
        <v/>
      </c>
      <c r="P891" s="138">
        <v>10</v>
      </c>
      <c r="Q891" s="138">
        <f>MONTH(Table1[[#This Row],[Date]])</f>
        <v>6</v>
      </c>
      <c r="R891" s="138">
        <v>2021</v>
      </c>
      <c r="S891" s="139">
        <f>IF(ISBLANK(Table1[[#This Row],[Date]]),"",Table1[[#This Row],[Date]]-WEEKDAY(Table1[[#This Row],[Date]],2)+1)</f>
        <v>44354</v>
      </c>
      <c r="T891" s="140">
        <f>IF(ISBLANK(Table1[[#This Row],[Date]]),"",DATE(Table1[[#This Row],[Date_Year]],Table1[[#This Row],[Date_Month]],1))</f>
        <v>44348</v>
      </c>
    </row>
    <row r="892" spans="2:20" ht="15.75">
      <c r="B892" s="154">
        <v>44357</v>
      </c>
      <c r="C892" s="119" t="s">
        <v>1623</v>
      </c>
      <c r="D892" s="119"/>
      <c r="E892" s="119"/>
      <c r="F892" s="155">
        <v>-11.99</v>
      </c>
      <c r="G892" s="133" t="str">
        <f>_xlfn.XLOOKUP(Table1[[#This Row],[Account_ID]], Accounts[ID], Accounts[Account nickname], "Unknown")</f>
        <v>Discover</v>
      </c>
      <c r="H892" s="134" t="str">
        <f>_xlfn.XLOOKUP(Table1[[#This Row],[Account_ID]], Accounts[ID], Accounts[Account'#], "Unknown")</f>
        <v>4618</v>
      </c>
      <c r="I892" s="135" t="str">
        <f>_xlfn.XLOOKUP(_xlfn.XLOOKUP(Table1[[#This Row],[Account]],Accounts[Account nickname],Accounts[Institution ID]),Institutions[ID],Institutions[Institution nickname],"Unknown")</f>
        <v>Discover</v>
      </c>
      <c r="J892" s="136" t="s">
        <v>2260</v>
      </c>
      <c r="K892" s="137" t="s">
        <v>843</v>
      </c>
      <c r="L892" s="137" t="s">
        <v>841</v>
      </c>
      <c r="M89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9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92" s="138" t="str" cm="1">
        <f t="array" ref="O892">IFERROR(INDEX(CategoriesTable[Category type],MATCH(Table1[[#This Row],[Category]],CategoriesTable[Category name],0),0),"")</f>
        <v/>
      </c>
      <c r="P892" s="138">
        <v>10</v>
      </c>
      <c r="Q892" s="138">
        <f>MONTH(Table1[[#This Row],[Date]])</f>
        <v>6</v>
      </c>
      <c r="R892" s="138">
        <v>2021</v>
      </c>
      <c r="S892" s="139">
        <f>IF(ISBLANK(Table1[[#This Row],[Date]]),"",Table1[[#This Row],[Date]]-WEEKDAY(Table1[[#This Row],[Date]],2)+1)</f>
        <v>44354</v>
      </c>
      <c r="T892" s="140">
        <f>IF(ISBLANK(Table1[[#This Row],[Date]]),"",DATE(Table1[[#This Row],[Date_Year]],Table1[[#This Row],[Date_Month]],1))</f>
        <v>44348</v>
      </c>
    </row>
    <row r="893" spans="2:20" ht="15.75">
      <c r="B893" s="154">
        <v>44356</v>
      </c>
      <c r="C893" s="119" t="s">
        <v>1623</v>
      </c>
      <c r="D893" s="119"/>
      <c r="E893" s="119"/>
      <c r="F893" s="155">
        <v>-4.99</v>
      </c>
      <c r="G893" s="133" t="str">
        <f>_xlfn.XLOOKUP(Table1[[#This Row],[Account_ID]], Accounts[ID], Accounts[Account nickname], "Unknown")</f>
        <v>Discover</v>
      </c>
      <c r="H893" s="134" t="str">
        <f>_xlfn.XLOOKUP(Table1[[#This Row],[Account_ID]], Accounts[ID], Accounts[Account'#], "Unknown")</f>
        <v>4618</v>
      </c>
      <c r="I893" s="135" t="str">
        <f>_xlfn.XLOOKUP(_xlfn.XLOOKUP(Table1[[#This Row],[Account]],Accounts[Account nickname],Accounts[Institution ID]),Institutions[ID],Institutions[Institution nickname],"Unknown")</f>
        <v>Discover</v>
      </c>
      <c r="J893" s="136" t="s">
        <v>2262</v>
      </c>
      <c r="K893" s="137" t="s">
        <v>843</v>
      </c>
      <c r="L893" s="137" t="s">
        <v>841</v>
      </c>
      <c r="M89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9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93" s="138" t="str" cm="1">
        <f t="array" ref="O893">IFERROR(INDEX(CategoriesTable[Category type],MATCH(Table1[[#This Row],[Category]],CategoriesTable[Category name],0),0),"")</f>
        <v/>
      </c>
      <c r="P893" s="138">
        <v>9</v>
      </c>
      <c r="Q893" s="138">
        <f>MONTH(Table1[[#This Row],[Date]])</f>
        <v>6</v>
      </c>
      <c r="R893" s="138">
        <v>2021</v>
      </c>
      <c r="S893" s="139">
        <f>IF(ISBLANK(Table1[[#This Row],[Date]]),"",Table1[[#This Row],[Date]]-WEEKDAY(Table1[[#This Row],[Date]],2)+1)</f>
        <v>44354</v>
      </c>
      <c r="T893" s="140">
        <f>IF(ISBLANK(Table1[[#This Row],[Date]]),"",DATE(Table1[[#This Row],[Date_Year]],Table1[[#This Row],[Date_Month]],1))</f>
        <v>44348</v>
      </c>
    </row>
    <row r="894" spans="2:20" ht="15.75">
      <c r="B894" s="154">
        <v>44356</v>
      </c>
      <c r="C894" s="119" t="s">
        <v>752</v>
      </c>
      <c r="D894" s="119"/>
      <c r="E894" s="119"/>
      <c r="F894" s="155">
        <v>1158.2</v>
      </c>
      <c r="G894" s="133" t="str">
        <f>_xlfn.XLOOKUP(Table1[[#This Row],[Account_ID]], Accounts[ID], Accounts[Account nickname], "Unknown")</f>
        <v>WF</v>
      </c>
      <c r="H894" s="134" t="str">
        <f>_xlfn.XLOOKUP(Table1[[#This Row],[Account_ID]], Accounts[ID], Accounts[Account'#], "Unknown")</f>
        <v>4636</v>
      </c>
      <c r="I894" s="135" t="str">
        <f>_xlfn.XLOOKUP(_xlfn.XLOOKUP(Table1[[#This Row],[Account]],Accounts[Account nickname],Accounts[Institution ID]),Institutions[ID],Institutions[Institution nickname],"Unknown")</f>
        <v>Wells Fargo</v>
      </c>
      <c r="J894" s="136" t="s">
        <v>1104</v>
      </c>
      <c r="K894" s="137" t="s">
        <v>808</v>
      </c>
      <c r="L894" s="137" t="s">
        <v>807</v>
      </c>
      <c r="M89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9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94" s="138" t="str" cm="1">
        <f t="array" ref="O894">IFERROR(INDEX(CategoriesTable[Category type],MATCH(Table1[[#This Row],[Category]],CategoriesTable[Category name],0),0),"")</f>
        <v/>
      </c>
      <c r="P894" s="138">
        <v>9</v>
      </c>
      <c r="Q894" s="138">
        <f>MONTH(Table1[[#This Row],[Date]])</f>
        <v>6</v>
      </c>
      <c r="R894" s="138">
        <v>2021</v>
      </c>
      <c r="S894" s="139">
        <f>IF(ISBLANK(Table1[[#This Row],[Date]]),"",Table1[[#This Row],[Date]]-WEEKDAY(Table1[[#This Row],[Date]],2)+1)</f>
        <v>44354</v>
      </c>
      <c r="T894" s="140">
        <f>IF(ISBLANK(Table1[[#This Row],[Date]]),"",DATE(Table1[[#This Row],[Date_Year]],Table1[[#This Row],[Date_Month]],1))</f>
        <v>44348</v>
      </c>
    </row>
    <row r="895" spans="2:20" ht="15.75">
      <c r="B895" s="154">
        <v>44356</v>
      </c>
      <c r="C895" s="119" t="s">
        <v>2263</v>
      </c>
      <c r="D895" s="119"/>
      <c r="E895" s="119"/>
      <c r="F895" s="155">
        <v>-3.89</v>
      </c>
      <c r="G895" s="133" t="str">
        <f>_xlfn.XLOOKUP(Table1[[#This Row],[Account_ID]], Accounts[ID], Accounts[Account nickname], "Unknown")</f>
        <v>Discover</v>
      </c>
      <c r="H895" s="134" t="str">
        <f>_xlfn.XLOOKUP(Table1[[#This Row],[Account_ID]], Accounts[ID], Accounts[Account'#], "Unknown")</f>
        <v>4618</v>
      </c>
      <c r="I895" s="135" t="str">
        <f>_xlfn.XLOOKUP(_xlfn.XLOOKUP(Table1[[#This Row],[Account]],Accounts[Account nickname],Accounts[Institution ID]),Institutions[ID],Institutions[Institution nickname],"Unknown")</f>
        <v>Discover</v>
      </c>
      <c r="J895" s="152" t="s">
        <v>2264</v>
      </c>
      <c r="K895" s="137" t="s">
        <v>843</v>
      </c>
      <c r="L895" s="137" t="s">
        <v>841</v>
      </c>
      <c r="M89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9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95" s="138" t="str" cm="1">
        <f t="array" ref="O895">IFERROR(INDEX(CategoriesTable[Category type],MATCH(Table1[[#This Row],[Category]],CategoriesTable[Category name],0),0),"")</f>
        <v/>
      </c>
      <c r="P895" s="138">
        <v>9</v>
      </c>
      <c r="Q895" s="138">
        <f>MONTH(Table1[[#This Row],[Date]])</f>
        <v>6</v>
      </c>
      <c r="R895" s="138">
        <v>2021</v>
      </c>
      <c r="S895" s="139">
        <f>IF(ISBLANK(Table1[[#This Row],[Date]]),"",Table1[[#This Row],[Date]]-WEEKDAY(Table1[[#This Row],[Date]],2)+1)</f>
        <v>44354</v>
      </c>
      <c r="T895" s="140">
        <f>IF(ISBLANK(Table1[[#This Row],[Date]]),"",DATE(Table1[[#This Row],[Date_Year]],Table1[[#This Row],[Date_Month]],1))</f>
        <v>44348</v>
      </c>
    </row>
    <row r="896" spans="2:20" ht="15.75">
      <c r="B896" s="154">
        <v>44355</v>
      </c>
      <c r="C896" s="119" t="s">
        <v>754</v>
      </c>
      <c r="D896" s="119"/>
      <c r="E896" s="119"/>
      <c r="F896" s="155">
        <v>-12.17</v>
      </c>
      <c r="G896" s="133" t="str">
        <f>_xlfn.XLOOKUP(Table1[[#This Row],[Account_ID]], Accounts[ID], Accounts[Account nickname], "Unknown")</f>
        <v>WF</v>
      </c>
      <c r="H896" s="134" t="str">
        <f>_xlfn.XLOOKUP(Table1[[#This Row],[Account_ID]], Accounts[ID], Accounts[Account'#], "Unknown")</f>
        <v>4636</v>
      </c>
      <c r="I896" s="135" t="str">
        <f>_xlfn.XLOOKUP(_xlfn.XLOOKUP(Table1[[#This Row],[Account]],Accounts[Account nickname],Accounts[Institution ID]),Institutions[ID],Institutions[Institution nickname],"Unknown")</f>
        <v>Wells Fargo</v>
      </c>
      <c r="J896" s="136" t="s">
        <v>1106</v>
      </c>
      <c r="K896" s="137" t="s">
        <v>808</v>
      </c>
      <c r="L896" s="137" t="s">
        <v>807</v>
      </c>
      <c r="M89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9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96" s="138" t="str" cm="1">
        <f t="array" ref="O896">IFERROR(INDEX(CategoriesTable[Category type],MATCH(Table1[[#This Row],[Category]],CategoriesTable[Category name],0),0),"")</f>
        <v/>
      </c>
      <c r="P896" s="138">
        <v>8</v>
      </c>
      <c r="Q896" s="138">
        <f>MONTH(Table1[[#This Row],[Date]])</f>
        <v>6</v>
      </c>
      <c r="R896" s="138">
        <v>2021</v>
      </c>
      <c r="S896" s="139">
        <f>IF(ISBLANK(Table1[[#This Row],[Date]]),"",Table1[[#This Row],[Date]]-WEEKDAY(Table1[[#This Row],[Date]],2)+1)</f>
        <v>44354</v>
      </c>
      <c r="T896" s="140">
        <f>IF(ISBLANK(Table1[[#This Row],[Date]]),"",DATE(Table1[[#This Row],[Date_Year]],Table1[[#This Row],[Date_Month]],1))</f>
        <v>44348</v>
      </c>
    </row>
    <row r="897" spans="2:20" ht="15.75">
      <c r="B897" s="154">
        <v>44355</v>
      </c>
      <c r="C897" s="119" t="s">
        <v>753</v>
      </c>
      <c r="D897" s="119"/>
      <c r="E897" s="119"/>
      <c r="F897" s="155">
        <v>415.42</v>
      </c>
      <c r="G897" s="133" t="str">
        <f>_xlfn.XLOOKUP(Table1[[#This Row],[Account_ID]], Accounts[ID], Accounts[Account nickname], "Unknown")</f>
        <v>WF</v>
      </c>
      <c r="H897" s="134" t="str">
        <f>_xlfn.XLOOKUP(Table1[[#This Row],[Account_ID]], Accounts[ID], Accounts[Account'#], "Unknown")</f>
        <v>4636</v>
      </c>
      <c r="I897" s="135" t="str">
        <f>_xlfn.XLOOKUP(_xlfn.XLOOKUP(Table1[[#This Row],[Account]],Accounts[Account nickname],Accounts[Institution ID]),Institutions[ID],Institutions[Institution nickname],"Unknown")</f>
        <v>Wells Fargo</v>
      </c>
      <c r="J897" s="136" t="s">
        <v>1105</v>
      </c>
      <c r="K897" s="137" t="s">
        <v>808</v>
      </c>
      <c r="L897" s="137" t="s">
        <v>807</v>
      </c>
      <c r="M89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9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97" s="138" t="str" cm="1">
        <f t="array" ref="O897">IFERROR(INDEX(CategoriesTable[Category type],MATCH(Table1[[#This Row],[Category]],CategoriesTable[Category name],0),0),"")</f>
        <v/>
      </c>
      <c r="P897" s="138">
        <v>8</v>
      </c>
      <c r="Q897" s="138">
        <f>MONTH(Table1[[#This Row],[Date]])</f>
        <v>6</v>
      </c>
      <c r="R897" s="138">
        <v>2021</v>
      </c>
      <c r="S897" s="139">
        <f>IF(ISBLANK(Table1[[#This Row],[Date]]),"",Table1[[#This Row],[Date]]-WEEKDAY(Table1[[#This Row],[Date]],2)+1)</f>
        <v>44354</v>
      </c>
      <c r="T897" s="140">
        <f>IF(ISBLANK(Table1[[#This Row],[Date]]),"",DATE(Table1[[#This Row],[Date_Year]],Table1[[#This Row],[Date_Month]],1))</f>
        <v>44348</v>
      </c>
    </row>
    <row r="898" spans="2:20" ht="15.75">
      <c r="B898" s="154">
        <v>44354</v>
      </c>
      <c r="C898" s="119" t="s">
        <v>2134</v>
      </c>
      <c r="D898" s="119"/>
      <c r="E898" s="119"/>
      <c r="F898" s="155">
        <v>-94.95</v>
      </c>
      <c r="G898" s="133" t="str">
        <f>_xlfn.XLOOKUP(Table1[[#This Row],[Account_ID]], Accounts[ID], Accounts[Account nickname], "Unknown")</f>
        <v>Discover</v>
      </c>
      <c r="H898" s="134" t="str">
        <f>_xlfn.XLOOKUP(Table1[[#This Row],[Account_ID]], Accounts[ID], Accounts[Account'#], "Unknown")</f>
        <v>4618</v>
      </c>
      <c r="I898" s="135" t="str">
        <f>_xlfn.XLOOKUP(_xlfn.XLOOKUP(Table1[[#This Row],[Account]],Accounts[Account nickname],Accounts[Institution ID]),Institutions[ID],Institutions[Institution nickname],"Unknown")</f>
        <v>Discover</v>
      </c>
      <c r="J898" s="136" t="s">
        <v>2265</v>
      </c>
      <c r="K898" s="137" t="s">
        <v>843</v>
      </c>
      <c r="L898" s="137" t="s">
        <v>841</v>
      </c>
      <c r="M89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9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98" s="138" t="str" cm="1">
        <f t="array" ref="O898">IFERROR(INDEX(CategoriesTable[Category type],MATCH(Table1[[#This Row],[Category]],CategoriesTable[Category name],0),0),"")</f>
        <v/>
      </c>
      <c r="P898" s="138">
        <v>7</v>
      </c>
      <c r="Q898" s="138">
        <f>MONTH(Table1[[#This Row],[Date]])</f>
        <v>6</v>
      </c>
      <c r="R898" s="138">
        <v>2021</v>
      </c>
      <c r="S898" s="139">
        <f>IF(ISBLANK(Table1[[#This Row],[Date]]),"",Table1[[#This Row],[Date]]-WEEKDAY(Table1[[#This Row],[Date]],2)+1)</f>
        <v>44354</v>
      </c>
      <c r="T898" s="140">
        <f>IF(ISBLANK(Table1[[#This Row],[Date]]),"",DATE(Table1[[#This Row],[Date_Year]],Table1[[#This Row],[Date_Month]],1))</f>
        <v>44348</v>
      </c>
    </row>
    <row r="899" spans="2:20" ht="15.75">
      <c r="B899" s="154">
        <v>44354</v>
      </c>
      <c r="C899" s="119" t="s">
        <v>686</v>
      </c>
      <c r="D899" s="119"/>
      <c r="E899" s="119"/>
      <c r="F899" s="155">
        <v>-1368.32</v>
      </c>
      <c r="G899" s="133" t="str">
        <f>_xlfn.XLOOKUP(Table1[[#This Row],[Account_ID]], Accounts[ID], Accounts[Account nickname], "Unknown")</f>
        <v>WF</v>
      </c>
      <c r="H899" s="134" t="str">
        <f>_xlfn.XLOOKUP(Table1[[#This Row],[Account_ID]], Accounts[ID], Accounts[Account'#], "Unknown")</f>
        <v>4636</v>
      </c>
      <c r="I899" s="135" t="str">
        <f>_xlfn.XLOOKUP(_xlfn.XLOOKUP(Table1[[#This Row],[Account]],Accounts[Account nickname],Accounts[Institution ID]),Institutions[ID],Institutions[Institution nickname],"Unknown")</f>
        <v>Wells Fargo</v>
      </c>
      <c r="J899" s="136" t="s">
        <v>1108</v>
      </c>
      <c r="K899" s="137" t="s">
        <v>808</v>
      </c>
      <c r="L899" s="137" t="s">
        <v>807</v>
      </c>
      <c r="M89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89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899" s="138" t="str" cm="1">
        <f t="array" ref="O899">IFERROR(INDEX(CategoriesTable[Category type],MATCH(Table1[[#This Row],[Category]],CategoriesTable[Category name],0),0),"")</f>
        <v/>
      </c>
      <c r="P899" s="138">
        <v>7</v>
      </c>
      <c r="Q899" s="138">
        <f>MONTH(Table1[[#This Row],[Date]])</f>
        <v>6</v>
      </c>
      <c r="R899" s="138">
        <v>2021</v>
      </c>
      <c r="S899" s="139">
        <f>IF(ISBLANK(Table1[[#This Row],[Date]]),"",Table1[[#This Row],[Date]]-WEEKDAY(Table1[[#This Row],[Date]],2)+1)</f>
        <v>44354</v>
      </c>
      <c r="T899" s="140">
        <f>IF(ISBLANK(Table1[[#This Row],[Date]]),"",DATE(Table1[[#This Row],[Date_Year]],Table1[[#This Row],[Date_Month]],1))</f>
        <v>44348</v>
      </c>
    </row>
    <row r="900" spans="2:20" ht="15.75">
      <c r="B900" s="154">
        <v>44354</v>
      </c>
      <c r="C900" s="119" t="s">
        <v>683</v>
      </c>
      <c r="D900" s="119"/>
      <c r="E900" s="119"/>
      <c r="F900" s="155">
        <v>-200</v>
      </c>
      <c r="G900" s="133" t="str">
        <f>_xlfn.XLOOKUP(Table1[[#This Row],[Account_ID]], Accounts[ID], Accounts[Account nickname], "Unknown")</f>
        <v>WF</v>
      </c>
      <c r="H900" s="134" t="str">
        <f>_xlfn.XLOOKUP(Table1[[#This Row],[Account_ID]], Accounts[ID], Accounts[Account'#], "Unknown")</f>
        <v>4636</v>
      </c>
      <c r="I900" s="135" t="str">
        <f>_xlfn.XLOOKUP(_xlfn.XLOOKUP(Table1[[#This Row],[Account]],Accounts[Account nickname],Accounts[Institution ID]),Institutions[ID],Institutions[Institution nickname],"Unknown")</f>
        <v>Wells Fargo</v>
      </c>
      <c r="J900" s="136" t="s">
        <v>1107</v>
      </c>
      <c r="K900" s="137" t="s">
        <v>808</v>
      </c>
      <c r="L900" s="137" t="s">
        <v>807</v>
      </c>
      <c r="M90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0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00" s="138" t="str" cm="1">
        <f t="array" ref="O900">IFERROR(INDEX(CategoriesTable[Category type],MATCH(Table1[[#This Row],[Category]],CategoriesTable[Category name],0),0),"")</f>
        <v/>
      </c>
      <c r="P900" s="138">
        <v>7</v>
      </c>
      <c r="Q900" s="138">
        <f>MONTH(Table1[[#This Row],[Date]])</f>
        <v>6</v>
      </c>
      <c r="R900" s="138">
        <v>2021</v>
      </c>
      <c r="S900" s="139">
        <f>IF(ISBLANK(Table1[[#This Row],[Date]]),"",Table1[[#This Row],[Date]]-WEEKDAY(Table1[[#This Row],[Date]],2)+1)</f>
        <v>44354</v>
      </c>
      <c r="T900" s="140">
        <f>IF(ISBLANK(Table1[[#This Row],[Date]]),"",DATE(Table1[[#This Row],[Date_Year]],Table1[[#This Row],[Date_Month]],1))</f>
        <v>44348</v>
      </c>
    </row>
    <row r="901" spans="2:20" ht="15.75">
      <c r="B901" s="154">
        <v>44354</v>
      </c>
      <c r="C901" s="119" t="s">
        <v>678</v>
      </c>
      <c r="D901" s="119"/>
      <c r="E901" s="119"/>
      <c r="F901" s="155">
        <v>-564.69000000000005</v>
      </c>
      <c r="G901" s="133" t="str">
        <f>_xlfn.XLOOKUP(Table1[[#This Row],[Account_ID]], Accounts[ID], Accounts[Account nickname], "Unknown")</f>
        <v>WF</v>
      </c>
      <c r="H901" s="134" t="str">
        <f>_xlfn.XLOOKUP(Table1[[#This Row],[Account_ID]], Accounts[ID], Accounts[Account'#], "Unknown")</f>
        <v>4636</v>
      </c>
      <c r="I901" s="135" t="str">
        <f>_xlfn.XLOOKUP(_xlfn.XLOOKUP(Table1[[#This Row],[Account]],Accounts[Account nickname],Accounts[Institution ID]),Institutions[ID],Institutions[Institution nickname],"Unknown")</f>
        <v>Wells Fargo</v>
      </c>
      <c r="J901" s="136" t="s">
        <v>1111</v>
      </c>
      <c r="K901" s="137" t="s">
        <v>808</v>
      </c>
      <c r="L901" s="137" t="s">
        <v>807</v>
      </c>
      <c r="M90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0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01" s="138" t="str" cm="1">
        <f t="array" ref="O901">IFERROR(INDEX(CategoriesTable[Category type],MATCH(Table1[[#This Row],[Category]],CategoriesTable[Category name],0),0),"")</f>
        <v/>
      </c>
      <c r="P901" s="138">
        <v>7</v>
      </c>
      <c r="Q901" s="138">
        <f>MONTH(Table1[[#This Row],[Date]])</f>
        <v>6</v>
      </c>
      <c r="R901" s="138">
        <v>2021</v>
      </c>
      <c r="S901" s="139">
        <f>IF(ISBLANK(Table1[[#This Row],[Date]]),"",Table1[[#This Row],[Date]]-WEEKDAY(Table1[[#This Row],[Date]],2)+1)</f>
        <v>44354</v>
      </c>
      <c r="T901" s="140">
        <f>IF(ISBLANK(Table1[[#This Row],[Date]]),"",DATE(Table1[[#This Row],[Date_Year]],Table1[[#This Row],[Date_Month]],1))</f>
        <v>44348</v>
      </c>
    </row>
    <row r="902" spans="2:20" ht="15.75">
      <c r="B902" s="154">
        <v>44354</v>
      </c>
      <c r="C902" s="119" t="s">
        <v>678</v>
      </c>
      <c r="D902" s="119"/>
      <c r="E902" s="119"/>
      <c r="F902" s="155">
        <v>-70.58</v>
      </c>
      <c r="G902" s="133" t="str">
        <f>_xlfn.XLOOKUP(Table1[[#This Row],[Account_ID]], Accounts[ID], Accounts[Account nickname], "Unknown")</f>
        <v>WF</v>
      </c>
      <c r="H902" s="134" t="str">
        <f>_xlfn.XLOOKUP(Table1[[#This Row],[Account_ID]], Accounts[ID], Accounts[Account'#], "Unknown")</f>
        <v>4636</v>
      </c>
      <c r="I902" s="135" t="str">
        <f>_xlfn.XLOOKUP(_xlfn.XLOOKUP(Table1[[#This Row],[Account]],Accounts[Account nickname],Accounts[Institution ID]),Institutions[ID],Institutions[Institution nickname],"Unknown")</f>
        <v>Wells Fargo</v>
      </c>
      <c r="J902" s="136" t="s">
        <v>1110</v>
      </c>
      <c r="K902" s="137" t="s">
        <v>808</v>
      </c>
      <c r="L902" s="137" t="s">
        <v>807</v>
      </c>
      <c r="M90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0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02" s="138" t="str" cm="1">
        <f t="array" ref="O902">IFERROR(INDEX(CategoriesTable[Category type],MATCH(Table1[[#This Row],[Category]],CategoriesTable[Category name],0),0),"")</f>
        <v/>
      </c>
      <c r="P902" s="138">
        <v>7</v>
      </c>
      <c r="Q902" s="138">
        <f>MONTH(Table1[[#This Row],[Date]])</f>
        <v>6</v>
      </c>
      <c r="R902" s="138">
        <v>2021</v>
      </c>
      <c r="S902" s="139">
        <f>IF(ISBLANK(Table1[[#This Row],[Date]]),"",Table1[[#This Row],[Date]]-WEEKDAY(Table1[[#This Row],[Date]],2)+1)</f>
        <v>44354</v>
      </c>
      <c r="T902" s="140">
        <f>IF(ISBLANK(Table1[[#This Row],[Date]]),"",DATE(Table1[[#This Row],[Date_Year]],Table1[[#This Row],[Date_Month]],1))</f>
        <v>44348</v>
      </c>
    </row>
    <row r="903" spans="2:20" ht="15.75">
      <c r="B903" s="154">
        <v>44354</v>
      </c>
      <c r="C903" s="119" t="s">
        <v>2266</v>
      </c>
      <c r="D903" s="119"/>
      <c r="E903" s="119"/>
      <c r="F903" s="155">
        <v>-110.19</v>
      </c>
      <c r="G903" s="133" t="str">
        <f>_xlfn.XLOOKUP(Table1[[#This Row],[Account_ID]], Accounts[ID], Accounts[Account nickname], "Unknown")</f>
        <v>Discover</v>
      </c>
      <c r="H903" s="134" t="str">
        <f>_xlfn.XLOOKUP(Table1[[#This Row],[Account_ID]], Accounts[ID], Accounts[Account'#], "Unknown")</f>
        <v>4618</v>
      </c>
      <c r="I903" s="135" t="str">
        <f>_xlfn.XLOOKUP(_xlfn.XLOOKUP(Table1[[#This Row],[Account]],Accounts[Account nickname],Accounts[Institution ID]),Institutions[ID],Institutions[Institution nickname],"Unknown")</f>
        <v>Discover</v>
      </c>
      <c r="J903" s="136" t="s">
        <v>2267</v>
      </c>
      <c r="K903" s="137" t="s">
        <v>843</v>
      </c>
      <c r="L903" s="137" t="s">
        <v>841</v>
      </c>
      <c r="M90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0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03" s="138" t="str" cm="1">
        <f t="array" ref="O903">IFERROR(INDEX(CategoriesTable[Category type],MATCH(Table1[[#This Row],[Category]],CategoriesTable[Category name],0),0),"")</f>
        <v/>
      </c>
      <c r="P903" s="138">
        <v>7</v>
      </c>
      <c r="Q903" s="138">
        <f>MONTH(Table1[[#This Row],[Date]])</f>
        <v>6</v>
      </c>
      <c r="R903" s="138">
        <v>2021</v>
      </c>
      <c r="S903" s="139">
        <f>IF(ISBLANK(Table1[[#This Row],[Date]]),"",Table1[[#This Row],[Date]]-WEEKDAY(Table1[[#This Row],[Date]],2)+1)</f>
        <v>44354</v>
      </c>
      <c r="T903" s="140">
        <f>IF(ISBLANK(Table1[[#This Row],[Date]]),"",DATE(Table1[[#This Row],[Date_Year]],Table1[[#This Row],[Date_Month]],1))</f>
        <v>44348</v>
      </c>
    </row>
    <row r="904" spans="2:20" ht="15.75">
      <c r="B904" s="154">
        <v>44354</v>
      </c>
      <c r="C904" s="119" t="s">
        <v>676</v>
      </c>
      <c r="D904" s="119"/>
      <c r="E904" s="119"/>
      <c r="F904" s="155">
        <v>128.05000000000001</v>
      </c>
      <c r="G904" s="133" t="str">
        <f>_xlfn.XLOOKUP(Table1[[#This Row],[Account_ID]], Accounts[ID], Accounts[Account nickname], "Unknown")</f>
        <v>WF</v>
      </c>
      <c r="H904" s="134" t="str">
        <f>_xlfn.XLOOKUP(Table1[[#This Row],[Account_ID]], Accounts[ID], Accounts[Account'#], "Unknown")</f>
        <v>4636</v>
      </c>
      <c r="I904" s="135" t="str">
        <f>_xlfn.XLOOKUP(_xlfn.XLOOKUP(Table1[[#This Row],[Account]],Accounts[Account nickname],Accounts[Institution ID]),Institutions[ID],Institutions[Institution nickname],"Unknown")</f>
        <v>Wells Fargo</v>
      </c>
      <c r="J904" s="136" t="s">
        <v>1109</v>
      </c>
      <c r="K904" s="137" t="s">
        <v>808</v>
      </c>
      <c r="L904" s="137" t="s">
        <v>807</v>
      </c>
      <c r="M90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0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04" s="138" t="str" cm="1">
        <f t="array" ref="O904">IFERROR(INDEX(CategoriesTable[Category type],MATCH(Table1[[#This Row],[Category]],CategoriesTable[Category name],0),0),"")</f>
        <v/>
      </c>
      <c r="P904" s="138">
        <v>7</v>
      </c>
      <c r="Q904" s="138">
        <f>MONTH(Table1[[#This Row],[Date]])</f>
        <v>6</v>
      </c>
      <c r="R904" s="138">
        <v>2021</v>
      </c>
      <c r="S904" s="139">
        <f>IF(ISBLANK(Table1[[#This Row],[Date]]),"",Table1[[#This Row],[Date]]-WEEKDAY(Table1[[#This Row],[Date]],2)+1)</f>
        <v>44354</v>
      </c>
      <c r="T904" s="140">
        <f>IF(ISBLANK(Table1[[#This Row],[Date]]),"",DATE(Table1[[#This Row],[Date_Year]],Table1[[#This Row],[Date_Month]],1))</f>
        <v>44348</v>
      </c>
    </row>
    <row r="905" spans="2:20" ht="15.75">
      <c r="B905" s="154">
        <v>44353</v>
      </c>
      <c r="C905" s="119" t="s">
        <v>1726</v>
      </c>
      <c r="D905" s="119"/>
      <c r="E905" s="119"/>
      <c r="F905" s="155">
        <v>-31.77</v>
      </c>
      <c r="G905" s="133" t="str">
        <f>_xlfn.XLOOKUP(Table1[[#This Row],[Account_ID]], Accounts[ID], Accounts[Account nickname], "Unknown")</f>
        <v>Discover</v>
      </c>
      <c r="H905" s="134" t="str">
        <f>_xlfn.XLOOKUP(Table1[[#This Row],[Account_ID]], Accounts[ID], Accounts[Account'#], "Unknown")</f>
        <v>4618</v>
      </c>
      <c r="I905" s="135" t="str">
        <f>_xlfn.XLOOKUP(_xlfn.XLOOKUP(Table1[[#This Row],[Account]],Accounts[Account nickname],Accounts[Institution ID]),Institutions[ID],Institutions[Institution nickname],"Unknown")</f>
        <v>Discover</v>
      </c>
      <c r="J905" s="136" t="s">
        <v>2268</v>
      </c>
      <c r="K905" s="137" t="s">
        <v>843</v>
      </c>
      <c r="L905" s="137" t="s">
        <v>841</v>
      </c>
      <c r="M90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0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05" s="138" t="str" cm="1">
        <f t="array" ref="O905">IFERROR(INDEX(CategoriesTable[Category type],MATCH(Table1[[#This Row],[Category]],CategoriesTable[Category name],0),0),"")</f>
        <v/>
      </c>
      <c r="P905" s="138">
        <v>6</v>
      </c>
      <c r="Q905" s="138">
        <f>MONTH(Table1[[#This Row],[Date]])</f>
        <v>6</v>
      </c>
      <c r="R905" s="138">
        <v>2021</v>
      </c>
      <c r="S905" s="139">
        <f>IF(ISBLANK(Table1[[#This Row],[Date]]),"",Table1[[#This Row],[Date]]-WEEKDAY(Table1[[#This Row],[Date]],2)+1)</f>
        <v>44347</v>
      </c>
      <c r="T905" s="140">
        <f>IF(ISBLANK(Table1[[#This Row],[Date]]),"",DATE(Table1[[#This Row],[Date_Year]],Table1[[#This Row],[Date_Month]],1))</f>
        <v>44348</v>
      </c>
    </row>
    <row r="906" spans="2:20" ht="15.75">
      <c r="B906" s="154">
        <v>44353</v>
      </c>
      <c r="C906" s="119" t="s">
        <v>718</v>
      </c>
      <c r="D906" s="119"/>
      <c r="E906" s="119"/>
      <c r="F906" s="155">
        <v>-192.86</v>
      </c>
      <c r="G906" s="133" t="str">
        <f>_xlfn.XLOOKUP(Table1[[#This Row],[Account_ID]], Accounts[ID], Accounts[Account nickname], "Unknown")</f>
        <v>Discover</v>
      </c>
      <c r="H906" s="134" t="str">
        <f>_xlfn.XLOOKUP(Table1[[#This Row],[Account_ID]], Accounts[ID], Accounts[Account'#], "Unknown")</f>
        <v>4618</v>
      </c>
      <c r="I906" s="135" t="str">
        <f>_xlfn.XLOOKUP(_xlfn.XLOOKUP(Table1[[#This Row],[Account]],Accounts[Account nickname],Accounts[Institution ID]),Institutions[ID],Institutions[Institution nickname],"Unknown")</f>
        <v>Discover</v>
      </c>
      <c r="J906" s="136" t="s">
        <v>2269</v>
      </c>
      <c r="K906" s="137" t="s">
        <v>843</v>
      </c>
      <c r="L906" s="137" t="s">
        <v>841</v>
      </c>
      <c r="M90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0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06" s="138" t="str" cm="1">
        <f t="array" ref="O906">IFERROR(INDEX(CategoriesTable[Category type],MATCH(Table1[[#This Row],[Category]],CategoriesTable[Category name],0),0),"")</f>
        <v/>
      </c>
      <c r="P906" s="138">
        <v>6</v>
      </c>
      <c r="Q906" s="138">
        <f>MONTH(Table1[[#This Row],[Date]])</f>
        <v>6</v>
      </c>
      <c r="R906" s="138">
        <v>2021</v>
      </c>
      <c r="S906" s="139">
        <f>IF(ISBLANK(Table1[[#This Row],[Date]]),"",Table1[[#This Row],[Date]]-WEEKDAY(Table1[[#This Row],[Date]],2)+1)</f>
        <v>44347</v>
      </c>
      <c r="T906" s="140">
        <f>IF(ISBLANK(Table1[[#This Row],[Date]]),"",DATE(Table1[[#This Row],[Date_Year]],Table1[[#This Row],[Date_Month]],1))</f>
        <v>44348</v>
      </c>
    </row>
    <row r="907" spans="2:20" ht="15.75">
      <c r="B907" s="154">
        <v>44352</v>
      </c>
      <c r="C907" s="119" t="s">
        <v>1674</v>
      </c>
      <c r="D907" s="119"/>
      <c r="E907" s="119"/>
      <c r="F907" s="155">
        <v>-1.05</v>
      </c>
      <c r="G907" s="133" t="str">
        <f>_xlfn.XLOOKUP(Table1[[#This Row],[Account_ID]], Accounts[ID], Accounts[Account nickname], "Unknown")</f>
        <v>Discover</v>
      </c>
      <c r="H907" s="134" t="str">
        <f>_xlfn.XLOOKUP(Table1[[#This Row],[Account_ID]], Accounts[ID], Accounts[Account'#], "Unknown")</f>
        <v>4618</v>
      </c>
      <c r="I907" s="135" t="str">
        <f>_xlfn.XLOOKUP(_xlfn.XLOOKUP(Table1[[#This Row],[Account]],Accounts[Account nickname],Accounts[Institution ID]),Institutions[ID],Institutions[Institution nickname],"Unknown")</f>
        <v>Discover</v>
      </c>
      <c r="J907" s="136" t="s">
        <v>2274</v>
      </c>
      <c r="K907" s="137" t="s">
        <v>843</v>
      </c>
      <c r="L907" s="137" t="s">
        <v>841</v>
      </c>
      <c r="M90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0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07" s="138" t="str" cm="1">
        <f t="array" ref="O907">IFERROR(INDEX(CategoriesTable[Category type],MATCH(Table1[[#This Row],[Category]],CategoriesTable[Category name],0),0),"")</f>
        <v/>
      </c>
      <c r="P907" s="138">
        <v>5</v>
      </c>
      <c r="Q907" s="138">
        <f>MONTH(Table1[[#This Row],[Date]])</f>
        <v>6</v>
      </c>
      <c r="R907" s="138">
        <v>2021</v>
      </c>
      <c r="S907" s="139">
        <f>IF(ISBLANK(Table1[[#This Row],[Date]]),"",Table1[[#This Row],[Date]]-WEEKDAY(Table1[[#This Row],[Date]],2)+1)</f>
        <v>44347</v>
      </c>
      <c r="T907" s="140">
        <f>IF(ISBLANK(Table1[[#This Row],[Date]]),"",DATE(Table1[[#This Row],[Date_Year]],Table1[[#This Row],[Date_Month]],1))</f>
        <v>44348</v>
      </c>
    </row>
    <row r="908" spans="2:20" ht="15.75">
      <c r="B908" s="154">
        <v>44352</v>
      </c>
      <c r="C908" s="119" t="s">
        <v>718</v>
      </c>
      <c r="D908" s="119"/>
      <c r="E908" s="119"/>
      <c r="F908" s="155">
        <v>-80.55</v>
      </c>
      <c r="G908" s="133" t="str">
        <f>_xlfn.XLOOKUP(Table1[[#This Row],[Account_ID]], Accounts[ID], Accounts[Account nickname], "Unknown")</f>
        <v>Discover</v>
      </c>
      <c r="H908" s="134" t="str">
        <f>_xlfn.XLOOKUP(Table1[[#This Row],[Account_ID]], Accounts[ID], Accounts[Account'#], "Unknown")</f>
        <v>4618</v>
      </c>
      <c r="I908" s="135" t="str">
        <f>_xlfn.XLOOKUP(_xlfn.XLOOKUP(Table1[[#This Row],[Account]],Accounts[Account nickname],Accounts[Institution ID]),Institutions[ID],Institutions[Institution nickname],"Unknown")</f>
        <v>Discover</v>
      </c>
      <c r="J908" s="136" t="s">
        <v>2273</v>
      </c>
      <c r="K908" s="137" t="s">
        <v>843</v>
      </c>
      <c r="L908" s="137" t="s">
        <v>841</v>
      </c>
      <c r="M90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0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08" s="138" t="str" cm="1">
        <f t="array" ref="O908">IFERROR(INDEX(CategoriesTable[Category type],MATCH(Table1[[#This Row],[Category]],CategoriesTable[Category name],0),0),"")</f>
        <v/>
      </c>
      <c r="P908" s="138">
        <v>5</v>
      </c>
      <c r="Q908" s="138">
        <f>MONTH(Table1[[#This Row],[Date]])</f>
        <v>6</v>
      </c>
      <c r="R908" s="138">
        <v>2021</v>
      </c>
      <c r="S908" s="139">
        <f>IF(ISBLANK(Table1[[#This Row],[Date]]),"",Table1[[#This Row],[Date]]-WEEKDAY(Table1[[#This Row],[Date]],2)+1)</f>
        <v>44347</v>
      </c>
      <c r="T908" s="140">
        <f>IF(ISBLANK(Table1[[#This Row],[Date]]),"",DATE(Table1[[#This Row],[Date_Year]],Table1[[#This Row],[Date_Month]],1))</f>
        <v>44348</v>
      </c>
    </row>
    <row r="909" spans="2:20" ht="15.75">
      <c r="B909" s="154">
        <v>44352</v>
      </c>
      <c r="C909" s="119" t="s">
        <v>2271</v>
      </c>
      <c r="D909" s="119"/>
      <c r="E909" s="119"/>
      <c r="F909" s="155">
        <v>-13.72</v>
      </c>
      <c r="G909" s="133" t="str">
        <f>_xlfn.XLOOKUP(Table1[[#This Row],[Account_ID]], Accounts[ID], Accounts[Account nickname], "Unknown")</f>
        <v>Discover</v>
      </c>
      <c r="H909" s="134" t="str">
        <f>_xlfn.XLOOKUP(Table1[[#This Row],[Account_ID]], Accounts[ID], Accounts[Account'#], "Unknown")</f>
        <v>4618</v>
      </c>
      <c r="I909" s="135" t="str">
        <f>_xlfn.XLOOKUP(_xlfn.XLOOKUP(Table1[[#This Row],[Account]],Accounts[Account nickname],Accounts[Institution ID]),Institutions[ID],Institutions[Institution nickname],"Unknown")</f>
        <v>Discover</v>
      </c>
      <c r="J909" s="136" t="s">
        <v>2272</v>
      </c>
      <c r="K909" s="137" t="s">
        <v>843</v>
      </c>
      <c r="L909" s="137" t="s">
        <v>841</v>
      </c>
      <c r="M90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0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09" s="138" t="str" cm="1">
        <f t="array" ref="O909">IFERROR(INDEX(CategoriesTable[Category type],MATCH(Table1[[#This Row],[Category]],CategoriesTable[Category name],0),0),"")</f>
        <v/>
      </c>
      <c r="P909" s="138">
        <v>5</v>
      </c>
      <c r="Q909" s="138">
        <f>MONTH(Table1[[#This Row],[Date]])</f>
        <v>6</v>
      </c>
      <c r="R909" s="138">
        <v>2021</v>
      </c>
      <c r="S909" s="139">
        <f>IF(ISBLANK(Table1[[#This Row],[Date]]),"",Table1[[#This Row],[Date]]-WEEKDAY(Table1[[#This Row],[Date]],2)+1)</f>
        <v>44347</v>
      </c>
      <c r="T909" s="140">
        <f>IF(ISBLANK(Table1[[#This Row],[Date]]),"",DATE(Table1[[#This Row],[Date_Year]],Table1[[#This Row],[Date_Month]],1))</f>
        <v>44348</v>
      </c>
    </row>
    <row r="910" spans="2:20" ht="15.75">
      <c r="B910" s="154">
        <v>44352</v>
      </c>
      <c r="C910" s="119" t="s">
        <v>1611</v>
      </c>
      <c r="D910" s="119"/>
      <c r="E910" s="119"/>
      <c r="F910" s="155">
        <v>-1.36</v>
      </c>
      <c r="G910" s="133" t="str">
        <f>_xlfn.XLOOKUP(Table1[[#This Row],[Account_ID]], Accounts[ID], Accounts[Account nickname], "Unknown")</f>
        <v>Discover</v>
      </c>
      <c r="H910" s="134" t="str">
        <f>_xlfn.XLOOKUP(Table1[[#This Row],[Account_ID]], Accounts[ID], Accounts[Account'#], "Unknown")</f>
        <v>4618</v>
      </c>
      <c r="I910" s="135" t="str">
        <f>_xlfn.XLOOKUP(_xlfn.XLOOKUP(Table1[[#This Row],[Account]],Accounts[Account nickname],Accounts[Institution ID]),Institutions[ID],Institutions[Institution nickname],"Unknown")</f>
        <v>Discover</v>
      </c>
      <c r="J910" s="136" t="s">
        <v>2270</v>
      </c>
      <c r="K910" s="137" t="s">
        <v>843</v>
      </c>
      <c r="L910" s="137" t="s">
        <v>841</v>
      </c>
      <c r="M91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1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10" s="138" t="str" cm="1">
        <f t="array" ref="O910">IFERROR(INDEX(CategoriesTable[Category type],MATCH(Table1[[#This Row],[Category]],CategoriesTable[Category name],0),0),"")</f>
        <v/>
      </c>
      <c r="P910" s="138">
        <v>5</v>
      </c>
      <c r="Q910" s="138">
        <f>MONTH(Table1[[#This Row],[Date]])</f>
        <v>6</v>
      </c>
      <c r="R910" s="138">
        <v>2021</v>
      </c>
      <c r="S910" s="139">
        <f>IF(ISBLANK(Table1[[#This Row],[Date]]),"",Table1[[#This Row],[Date]]-WEEKDAY(Table1[[#This Row],[Date]],2)+1)</f>
        <v>44347</v>
      </c>
      <c r="T910" s="140">
        <f>IF(ISBLANK(Table1[[#This Row],[Date]]),"",DATE(Table1[[#This Row],[Date_Year]],Table1[[#This Row],[Date_Month]],1))</f>
        <v>44348</v>
      </c>
    </row>
    <row r="911" spans="2:20" ht="15.75">
      <c r="B911" s="154">
        <v>44351</v>
      </c>
      <c r="C911" s="119" t="s">
        <v>845</v>
      </c>
      <c r="D911" s="119"/>
      <c r="E911" s="119"/>
      <c r="F911" s="155">
        <v>1368.32</v>
      </c>
      <c r="G911" s="133" t="str">
        <f>_xlfn.XLOOKUP(Table1[[#This Row],[Account_ID]], Accounts[ID], Accounts[Account nickname], "Unknown")</f>
        <v>Discover</v>
      </c>
      <c r="H911" s="134" t="str">
        <f>_xlfn.XLOOKUP(Table1[[#This Row],[Account_ID]], Accounts[ID], Accounts[Account'#], "Unknown")</f>
        <v>4618</v>
      </c>
      <c r="I911" s="135" t="str">
        <f>_xlfn.XLOOKUP(_xlfn.XLOOKUP(Table1[[#This Row],[Account]],Accounts[Account nickname],Accounts[Institution ID]),Institutions[ID],Institutions[Institution nickname],"Unknown")</f>
        <v>Discover</v>
      </c>
      <c r="J911" s="136" t="s">
        <v>2275</v>
      </c>
      <c r="K911" s="137" t="s">
        <v>843</v>
      </c>
      <c r="L911" s="137" t="s">
        <v>841</v>
      </c>
      <c r="M91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1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11" s="138" t="str" cm="1">
        <f t="array" ref="O911">IFERROR(INDEX(CategoriesTable[Category type],MATCH(Table1[[#This Row],[Category]],CategoriesTable[Category name],0),0),"")</f>
        <v/>
      </c>
      <c r="P911" s="138">
        <v>4</v>
      </c>
      <c r="Q911" s="138">
        <f>MONTH(Table1[[#This Row],[Date]])</f>
        <v>6</v>
      </c>
      <c r="R911" s="138">
        <v>2021</v>
      </c>
      <c r="S911" s="139">
        <f>IF(ISBLANK(Table1[[#This Row],[Date]]),"",Table1[[#This Row],[Date]]-WEEKDAY(Table1[[#This Row],[Date]],2)+1)</f>
        <v>44347</v>
      </c>
      <c r="T911" s="140">
        <f>IF(ISBLANK(Table1[[#This Row],[Date]]),"",DATE(Table1[[#This Row],[Date_Year]],Table1[[#This Row],[Date_Month]],1))</f>
        <v>44348</v>
      </c>
    </row>
    <row r="912" spans="2:20" ht="15.75">
      <c r="B912" s="154">
        <v>44351</v>
      </c>
      <c r="C912" s="119" t="s">
        <v>1778</v>
      </c>
      <c r="D912" s="119"/>
      <c r="E912" s="119"/>
      <c r="F912" s="155">
        <v>-88.37</v>
      </c>
      <c r="G912" s="133" t="str">
        <f>_xlfn.XLOOKUP(Table1[[#This Row],[Account_ID]], Accounts[ID], Accounts[Account nickname], "Unknown")</f>
        <v>Discover</v>
      </c>
      <c r="H912" s="134" t="str">
        <f>_xlfn.XLOOKUP(Table1[[#This Row],[Account_ID]], Accounts[ID], Accounts[Account'#], "Unknown")</f>
        <v>4618</v>
      </c>
      <c r="I912" s="135" t="str">
        <f>_xlfn.XLOOKUP(_xlfn.XLOOKUP(Table1[[#This Row],[Account]],Accounts[Account nickname],Accounts[Institution ID]),Institutions[ID],Institutions[Institution nickname],"Unknown")</f>
        <v>Discover</v>
      </c>
      <c r="J912" s="136" t="s">
        <v>2277</v>
      </c>
      <c r="K912" s="137" t="s">
        <v>843</v>
      </c>
      <c r="L912" s="137" t="s">
        <v>841</v>
      </c>
      <c r="M91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1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12" s="138" t="str" cm="1">
        <f t="array" ref="O912">IFERROR(INDEX(CategoriesTable[Category type],MATCH(Table1[[#This Row],[Category]],CategoriesTable[Category name],0),0),"")</f>
        <v/>
      </c>
      <c r="P912" s="138">
        <v>4</v>
      </c>
      <c r="Q912" s="138">
        <f>MONTH(Table1[[#This Row],[Date]])</f>
        <v>6</v>
      </c>
      <c r="R912" s="138">
        <v>2021</v>
      </c>
      <c r="S912" s="139">
        <f>IF(ISBLANK(Table1[[#This Row],[Date]]),"",Table1[[#This Row],[Date]]-WEEKDAY(Table1[[#This Row],[Date]],2)+1)</f>
        <v>44347</v>
      </c>
      <c r="T912" s="140">
        <f>IF(ISBLANK(Table1[[#This Row],[Date]]),"",DATE(Table1[[#This Row],[Date_Year]],Table1[[#This Row],[Date_Month]],1))</f>
        <v>44348</v>
      </c>
    </row>
    <row r="913" spans="2:20" ht="15.75">
      <c r="B913" s="154">
        <v>44351</v>
      </c>
      <c r="C913" s="119" t="s">
        <v>678</v>
      </c>
      <c r="D913" s="119"/>
      <c r="E913" s="119"/>
      <c r="F913" s="155">
        <v>-118</v>
      </c>
      <c r="G913" s="133" t="str">
        <f>_xlfn.XLOOKUP(Table1[[#This Row],[Account_ID]], Accounts[ID], Accounts[Account nickname], "Unknown")</f>
        <v>WF</v>
      </c>
      <c r="H913" s="134" t="str">
        <f>_xlfn.XLOOKUP(Table1[[#This Row],[Account_ID]], Accounts[ID], Accounts[Account'#], "Unknown")</f>
        <v>4636</v>
      </c>
      <c r="I913" s="135" t="str">
        <f>_xlfn.XLOOKUP(_xlfn.XLOOKUP(Table1[[#This Row],[Account]],Accounts[Account nickname],Accounts[Institution ID]),Institutions[ID],Institutions[Institution nickname],"Unknown")</f>
        <v>Wells Fargo</v>
      </c>
      <c r="J913" s="136" t="s">
        <v>1114</v>
      </c>
      <c r="K913" s="137" t="s">
        <v>808</v>
      </c>
      <c r="L913" s="137" t="s">
        <v>807</v>
      </c>
      <c r="M91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1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13" s="138" t="str" cm="1">
        <f t="array" ref="O913">IFERROR(INDEX(CategoriesTable[Category type],MATCH(Table1[[#This Row],[Category]],CategoriesTable[Category name],0),0),"")</f>
        <v/>
      </c>
      <c r="P913" s="138">
        <v>4</v>
      </c>
      <c r="Q913" s="138">
        <f>MONTH(Table1[[#This Row],[Date]])</f>
        <v>6</v>
      </c>
      <c r="R913" s="138">
        <v>2021</v>
      </c>
      <c r="S913" s="139">
        <f>IF(ISBLANK(Table1[[#This Row],[Date]]),"",Table1[[#This Row],[Date]]-WEEKDAY(Table1[[#This Row],[Date]],2)+1)</f>
        <v>44347</v>
      </c>
      <c r="T913" s="140">
        <f>IF(ISBLANK(Table1[[#This Row],[Date]]),"",DATE(Table1[[#This Row],[Date_Year]],Table1[[#This Row],[Date_Month]],1))</f>
        <v>44348</v>
      </c>
    </row>
    <row r="914" spans="2:20" ht="15.75">
      <c r="B914" s="154">
        <v>44351</v>
      </c>
      <c r="C914" s="119" t="s">
        <v>718</v>
      </c>
      <c r="D914" s="119"/>
      <c r="E914" s="119"/>
      <c r="F914" s="155">
        <v>-84.8</v>
      </c>
      <c r="G914" s="133" t="str">
        <f>_xlfn.XLOOKUP(Table1[[#This Row],[Account_ID]], Accounts[ID], Accounts[Account nickname], "Unknown")</f>
        <v>Discover</v>
      </c>
      <c r="H914" s="134" t="str">
        <f>_xlfn.XLOOKUP(Table1[[#This Row],[Account_ID]], Accounts[ID], Accounts[Account'#], "Unknown")</f>
        <v>4618</v>
      </c>
      <c r="I914" s="135" t="str">
        <f>_xlfn.XLOOKUP(_xlfn.XLOOKUP(Table1[[#This Row],[Account]],Accounts[Account nickname],Accounts[Institution ID]),Institutions[ID],Institutions[Institution nickname],"Unknown")</f>
        <v>Discover</v>
      </c>
      <c r="J914" s="136" t="s">
        <v>2276</v>
      </c>
      <c r="K914" s="137" t="s">
        <v>843</v>
      </c>
      <c r="L914" s="137" t="s">
        <v>841</v>
      </c>
      <c r="M91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1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14" s="138" t="str" cm="1">
        <f t="array" ref="O914">IFERROR(INDEX(CategoriesTable[Category type],MATCH(Table1[[#This Row],[Category]],CategoriesTable[Category name],0),0),"")</f>
        <v/>
      </c>
      <c r="P914" s="138">
        <v>4</v>
      </c>
      <c r="Q914" s="138">
        <f>MONTH(Table1[[#This Row],[Date]])</f>
        <v>6</v>
      </c>
      <c r="R914" s="138">
        <v>2021</v>
      </c>
      <c r="S914" s="139">
        <f>IF(ISBLANK(Table1[[#This Row],[Date]]),"",Table1[[#This Row],[Date]]-WEEKDAY(Table1[[#This Row],[Date]],2)+1)</f>
        <v>44347</v>
      </c>
      <c r="T914" s="140">
        <f>IF(ISBLANK(Table1[[#This Row],[Date]]),"",DATE(Table1[[#This Row],[Date_Year]],Table1[[#This Row],[Date_Month]],1))</f>
        <v>44348</v>
      </c>
    </row>
    <row r="915" spans="2:20" ht="15.75">
      <c r="B915" s="154">
        <v>44351</v>
      </c>
      <c r="C915" s="119" t="s">
        <v>755</v>
      </c>
      <c r="D915" s="119"/>
      <c r="E915" s="119"/>
      <c r="F915" s="155">
        <v>-2041.66</v>
      </c>
      <c r="G915" s="133" t="str">
        <f>_xlfn.XLOOKUP(Table1[[#This Row],[Account_ID]], Accounts[ID], Accounts[Account nickname], "Unknown")</f>
        <v>WF</v>
      </c>
      <c r="H915" s="134" t="str">
        <f>_xlfn.XLOOKUP(Table1[[#This Row],[Account_ID]], Accounts[ID], Accounts[Account'#], "Unknown")</f>
        <v>4636</v>
      </c>
      <c r="I915" s="135" t="str">
        <f>_xlfn.XLOOKUP(_xlfn.XLOOKUP(Table1[[#This Row],[Account]],Accounts[Account nickname],Accounts[Institution ID]),Institutions[ID],Institutions[Institution nickname],"Unknown")</f>
        <v>Wells Fargo</v>
      </c>
      <c r="J915" s="136" t="s">
        <v>1113</v>
      </c>
      <c r="K915" s="137" t="s">
        <v>808</v>
      </c>
      <c r="L915" s="137" t="s">
        <v>807</v>
      </c>
      <c r="M91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1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15" s="138" t="str" cm="1">
        <f t="array" ref="O915">IFERROR(INDEX(CategoriesTable[Category type],MATCH(Table1[[#This Row],[Category]],CategoriesTable[Category name],0),0),"")</f>
        <v/>
      </c>
      <c r="P915" s="138">
        <v>4</v>
      </c>
      <c r="Q915" s="138">
        <f>MONTH(Table1[[#This Row],[Date]])</f>
        <v>6</v>
      </c>
      <c r="R915" s="138">
        <v>2021</v>
      </c>
      <c r="S915" s="139">
        <f>IF(ISBLANK(Table1[[#This Row],[Date]]),"",Table1[[#This Row],[Date]]-WEEKDAY(Table1[[#This Row],[Date]],2)+1)</f>
        <v>44347</v>
      </c>
      <c r="T915" s="140">
        <f>IF(ISBLANK(Table1[[#This Row],[Date]]),"",DATE(Table1[[#This Row],[Date_Year]],Table1[[#This Row],[Date_Month]],1))</f>
        <v>44348</v>
      </c>
    </row>
    <row r="916" spans="2:20" ht="15.75">
      <c r="B916" s="154">
        <v>44351</v>
      </c>
      <c r="C916" s="119" t="s">
        <v>751</v>
      </c>
      <c r="D916" s="119"/>
      <c r="E916" s="119"/>
      <c r="F916" s="155">
        <v>1174.51</v>
      </c>
      <c r="G916" s="133" t="str">
        <f>_xlfn.XLOOKUP(Table1[[#This Row],[Account_ID]], Accounts[ID], Accounts[Account nickname], "Unknown")</f>
        <v>WF</v>
      </c>
      <c r="H916" s="134" t="str">
        <f>_xlfn.XLOOKUP(Table1[[#This Row],[Account_ID]], Accounts[ID], Accounts[Account'#], "Unknown")</f>
        <v>4636</v>
      </c>
      <c r="I916" s="135" t="str">
        <f>_xlfn.XLOOKUP(_xlfn.XLOOKUP(Table1[[#This Row],[Account]],Accounts[Account nickname],Accounts[Institution ID]),Institutions[ID],Institutions[Institution nickname],"Unknown")</f>
        <v>Wells Fargo</v>
      </c>
      <c r="J916" s="136" t="s">
        <v>1112</v>
      </c>
      <c r="K916" s="137" t="s">
        <v>808</v>
      </c>
      <c r="L916" s="137" t="s">
        <v>807</v>
      </c>
      <c r="M91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1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16" s="138" t="str" cm="1">
        <f t="array" ref="O916">IFERROR(INDEX(CategoriesTable[Category type],MATCH(Table1[[#This Row],[Category]],CategoriesTable[Category name],0),0),"")</f>
        <v/>
      </c>
      <c r="P916" s="138">
        <v>4</v>
      </c>
      <c r="Q916" s="138">
        <f>MONTH(Table1[[#This Row],[Date]])</f>
        <v>6</v>
      </c>
      <c r="R916" s="138">
        <v>2021</v>
      </c>
      <c r="S916" s="139">
        <f>IF(ISBLANK(Table1[[#This Row],[Date]]),"",Table1[[#This Row],[Date]]-WEEKDAY(Table1[[#This Row],[Date]],2)+1)</f>
        <v>44347</v>
      </c>
      <c r="T916" s="140">
        <f>IF(ISBLANK(Table1[[#This Row],[Date]]),"",DATE(Table1[[#This Row],[Date_Year]],Table1[[#This Row],[Date_Month]],1))</f>
        <v>44348</v>
      </c>
    </row>
    <row r="917" spans="2:20" ht="15.75">
      <c r="B917" s="154">
        <v>44350</v>
      </c>
      <c r="C917" s="119" t="s">
        <v>1529</v>
      </c>
      <c r="D917" s="119"/>
      <c r="E917" s="119"/>
      <c r="F917" s="155">
        <v>-11.99</v>
      </c>
      <c r="G917" s="133" t="str">
        <f>_xlfn.XLOOKUP(Table1[[#This Row],[Account_ID]], Accounts[ID], Accounts[Account nickname], "Unknown")</f>
        <v>Discover</v>
      </c>
      <c r="H917" s="134" t="str">
        <f>_xlfn.XLOOKUP(Table1[[#This Row],[Account_ID]], Accounts[ID], Accounts[Account'#], "Unknown")</f>
        <v>4618</v>
      </c>
      <c r="I917" s="135" t="str">
        <f>_xlfn.XLOOKUP(_xlfn.XLOOKUP(Table1[[#This Row],[Account]],Accounts[Account nickname],Accounts[Institution ID]),Institutions[ID],Institutions[Institution nickname],"Unknown")</f>
        <v>Discover</v>
      </c>
      <c r="J917" s="136" t="s">
        <v>2278</v>
      </c>
      <c r="K917" s="137" t="s">
        <v>843</v>
      </c>
      <c r="L917" s="137" t="s">
        <v>841</v>
      </c>
      <c r="M91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1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17" s="138" t="str" cm="1">
        <f t="array" ref="O917">IFERROR(INDEX(CategoriesTable[Category type],MATCH(Table1[[#This Row],[Category]],CategoriesTable[Category name],0),0),"")</f>
        <v/>
      </c>
      <c r="P917" s="138">
        <v>3</v>
      </c>
      <c r="Q917" s="138">
        <f>MONTH(Table1[[#This Row],[Date]])</f>
        <v>6</v>
      </c>
      <c r="R917" s="138">
        <v>2021</v>
      </c>
      <c r="S917" s="139">
        <f>IF(ISBLANK(Table1[[#This Row],[Date]]),"",Table1[[#This Row],[Date]]-WEEKDAY(Table1[[#This Row],[Date]],2)+1)</f>
        <v>44347</v>
      </c>
      <c r="T917" s="140">
        <f>IF(ISBLANK(Table1[[#This Row],[Date]]),"",DATE(Table1[[#This Row],[Date_Year]],Table1[[#This Row],[Date_Month]],1))</f>
        <v>44348</v>
      </c>
    </row>
    <row r="918" spans="2:20" ht="15.75">
      <c r="B918" s="154">
        <v>44350</v>
      </c>
      <c r="C918" s="119" t="s">
        <v>2279</v>
      </c>
      <c r="D918" s="119"/>
      <c r="E918" s="119"/>
      <c r="F918" s="155">
        <v>-78</v>
      </c>
      <c r="G918" s="133" t="str">
        <f>_xlfn.XLOOKUP(Table1[[#This Row],[Account_ID]], Accounts[ID], Accounts[Account nickname], "Unknown")</f>
        <v>Discover</v>
      </c>
      <c r="H918" s="134" t="str">
        <f>_xlfn.XLOOKUP(Table1[[#This Row],[Account_ID]], Accounts[ID], Accounts[Account'#], "Unknown")</f>
        <v>4618</v>
      </c>
      <c r="I918" s="135" t="str">
        <f>_xlfn.XLOOKUP(_xlfn.XLOOKUP(Table1[[#This Row],[Account]],Accounts[Account nickname],Accounts[Institution ID]),Institutions[ID],Institutions[Institution nickname],"Unknown")</f>
        <v>Discover</v>
      </c>
      <c r="J918" s="136" t="s">
        <v>2280</v>
      </c>
      <c r="K918" s="137" t="s">
        <v>843</v>
      </c>
      <c r="L918" s="137" t="s">
        <v>841</v>
      </c>
      <c r="M91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1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18" s="138" t="str" cm="1">
        <f t="array" ref="O918">IFERROR(INDEX(CategoriesTable[Category type],MATCH(Table1[[#This Row],[Category]],CategoriesTable[Category name],0),0),"")</f>
        <v/>
      </c>
      <c r="P918" s="138">
        <v>3</v>
      </c>
      <c r="Q918" s="138">
        <f>MONTH(Table1[[#This Row],[Date]])</f>
        <v>6</v>
      </c>
      <c r="R918" s="138">
        <v>2021</v>
      </c>
      <c r="S918" s="139">
        <f>IF(ISBLANK(Table1[[#This Row],[Date]]),"",Table1[[#This Row],[Date]]-WEEKDAY(Table1[[#This Row],[Date]],2)+1)</f>
        <v>44347</v>
      </c>
      <c r="T918" s="140">
        <f>IF(ISBLANK(Table1[[#This Row],[Date]]),"",DATE(Table1[[#This Row],[Date_Year]],Table1[[#This Row],[Date_Month]],1))</f>
        <v>44348</v>
      </c>
    </row>
    <row r="919" spans="2:20" ht="15.75">
      <c r="B919" s="154">
        <v>44350</v>
      </c>
      <c r="C919" s="119" t="s">
        <v>2281</v>
      </c>
      <c r="D919" s="119"/>
      <c r="E919" s="119"/>
      <c r="F919" s="155">
        <v>-105</v>
      </c>
      <c r="G919" s="133" t="str">
        <f>_xlfn.XLOOKUP(Table1[[#This Row],[Account_ID]], Accounts[ID], Accounts[Account nickname], "Unknown")</f>
        <v>Discover</v>
      </c>
      <c r="H919" s="134" t="str">
        <f>_xlfn.XLOOKUP(Table1[[#This Row],[Account_ID]], Accounts[ID], Accounts[Account'#], "Unknown")</f>
        <v>4618</v>
      </c>
      <c r="I919" s="135" t="str">
        <f>_xlfn.XLOOKUP(_xlfn.XLOOKUP(Table1[[#This Row],[Account]],Accounts[Account nickname],Accounts[Institution ID]),Institutions[ID],Institutions[Institution nickname],"Unknown")</f>
        <v>Discover</v>
      </c>
      <c r="J919" s="136" t="s">
        <v>2282</v>
      </c>
      <c r="K919" s="137" t="s">
        <v>843</v>
      </c>
      <c r="L919" s="137" t="s">
        <v>841</v>
      </c>
      <c r="M91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1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19" s="138" t="str" cm="1">
        <f t="array" ref="O919">IFERROR(INDEX(CategoriesTable[Category type],MATCH(Table1[[#This Row],[Category]],CategoriesTable[Category name],0),0),"")</f>
        <v/>
      </c>
      <c r="P919" s="138">
        <v>3</v>
      </c>
      <c r="Q919" s="138">
        <f>MONTH(Table1[[#This Row],[Date]])</f>
        <v>6</v>
      </c>
      <c r="R919" s="138">
        <v>2021</v>
      </c>
      <c r="S919" s="139">
        <f>IF(ISBLANK(Table1[[#This Row],[Date]]),"",Table1[[#This Row],[Date]]-WEEKDAY(Table1[[#This Row],[Date]],2)+1)</f>
        <v>44347</v>
      </c>
      <c r="T919" s="140">
        <f>IF(ISBLANK(Table1[[#This Row],[Date]]),"",DATE(Table1[[#This Row],[Date_Year]],Table1[[#This Row],[Date_Month]],1))</f>
        <v>44348</v>
      </c>
    </row>
    <row r="920" spans="2:20" ht="15.75">
      <c r="B920" s="154">
        <v>44349</v>
      </c>
      <c r="C920" s="119" t="s">
        <v>2287</v>
      </c>
      <c r="D920" s="119"/>
      <c r="E920" s="119"/>
      <c r="F920" s="155">
        <v>-49.99</v>
      </c>
      <c r="G920" s="133" t="str">
        <f>_xlfn.XLOOKUP(Table1[[#This Row],[Account_ID]], Accounts[ID], Accounts[Account nickname], "Unknown")</f>
        <v>Discover</v>
      </c>
      <c r="H920" s="134" t="str">
        <f>_xlfn.XLOOKUP(Table1[[#This Row],[Account_ID]], Accounts[ID], Accounts[Account'#], "Unknown")</f>
        <v>4618</v>
      </c>
      <c r="I920" s="135" t="str">
        <f>_xlfn.XLOOKUP(_xlfn.XLOOKUP(Table1[[#This Row],[Account]],Accounts[Account nickname],Accounts[Institution ID]),Institutions[ID],Institutions[Institution nickname],"Unknown")</f>
        <v>Discover</v>
      </c>
      <c r="J920" s="136" t="s">
        <v>2288</v>
      </c>
      <c r="K920" s="137" t="s">
        <v>843</v>
      </c>
      <c r="L920" s="137" t="s">
        <v>841</v>
      </c>
      <c r="M92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2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20" s="138" t="str" cm="1">
        <f t="array" ref="O920">IFERROR(INDEX(CategoriesTable[Category type],MATCH(Table1[[#This Row],[Category]],CategoriesTable[Category name],0),0),"")</f>
        <v/>
      </c>
      <c r="P920" s="138">
        <v>2</v>
      </c>
      <c r="Q920" s="138">
        <f>MONTH(Table1[[#This Row],[Date]])</f>
        <v>6</v>
      </c>
      <c r="R920" s="138">
        <v>2021</v>
      </c>
      <c r="S920" s="139">
        <f>IF(ISBLANK(Table1[[#This Row],[Date]]),"",Table1[[#This Row],[Date]]-WEEKDAY(Table1[[#This Row],[Date]],2)+1)</f>
        <v>44347</v>
      </c>
      <c r="T920" s="140">
        <f>IF(ISBLANK(Table1[[#This Row],[Date]]),"",DATE(Table1[[#This Row],[Date_Year]],Table1[[#This Row],[Date_Month]],1))</f>
        <v>44348</v>
      </c>
    </row>
    <row r="921" spans="2:20" ht="15.75">
      <c r="B921" s="154">
        <v>44349</v>
      </c>
      <c r="C921" s="119" t="s">
        <v>1534</v>
      </c>
      <c r="D921" s="119"/>
      <c r="E921" s="119"/>
      <c r="F921" s="155">
        <v>-10</v>
      </c>
      <c r="G921" s="133" t="str">
        <f>_xlfn.XLOOKUP(Table1[[#This Row],[Account_ID]], Accounts[ID], Accounts[Account nickname], "Unknown")</f>
        <v>Discover</v>
      </c>
      <c r="H921" s="134" t="str">
        <f>_xlfn.XLOOKUP(Table1[[#This Row],[Account_ID]], Accounts[ID], Accounts[Account'#], "Unknown")</f>
        <v>4618</v>
      </c>
      <c r="I921" s="135" t="str">
        <f>_xlfn.XLOOKUP(_xlfn.XLOOKUP(Table1[[#This Row],[Account]],Accounts[Account nickname],Accounts[Institution ID]),Institutions[ID],Institutions[Institution nickname],"Unknown")</f>
        <v>Discover</v>
      </c>
      <c r="J921" s="136" t="s">
        <v>2286</v>
      </c>
      <c r="K921" s="137" t="s">
        <v>843</v>
      </c>
      <c r="L921" s="137" t="s">
        <v>841</v>
      </c>
      <c r="M92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2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21" s="138" t="str" cm="1">
        <f t="array" ref="O921">IFERROR(INDEX(CategoriesTable[Category type],MATCH(Table1[[#This Row],[Category]],CategoriesTable[Category name],0),0),"")</f>
        <v/>
      </c>
      <c r="P921" s="138">
        <v>2</v>
      </c>
      <c r="Q921" s="138">
        <f>MONTH(Table1[[#This Row],[Date]])</f>
        <v>6</v>
      </c>
      <c r="R921" s="138">
        <v>2021</v>
      </c>
      <c r="S921" s="139">
        <f>IF(ISBLANK(Table1[[#This Row],[Date]]),"",Table1[[#This Row],[Date]]-WEEKDAY(Table1[[#This Row],[Date]],2)+1)</f>
        <v>44347</v>
      </c>
      <c r="T921" s="140">
        <f>IF(ISBLANK(Table1[[#This Row],[Date]]),"",DATE(Table1[[#This Row],[Date_Year]],Table1[[#This Row],[Date_Month]],1))</f>
        <v>44348</v>
      </c>
    </row>
    <row r="922" spans="2:20" ht="15.75">
      <c r="B922" s="154">
        <v>44349</v>
      </c>
      <c r="C922" s="119" t="s">
        <v>1529</v>
      </c>
      <c r="D922" s="119"/>
      <c r="E922" s="119"/>
      <c r="F922" s="155">
        <v>-0.4</v>
      </c>
      <c r="G922" s="133" t="str">
        <f>_xlfn.XLOOKUP(Table1[[#This Row],[Account_ID]], Accounts[ID], Accounts[Account nickname], "Unknown")</f>
        <v>Discover</v>
      </c>
      <c r="H922" s="134" t="str">
        <f>_xlfn.XLOOKUP(Table1[[#This Row],[Account_ID]], Accounts[ID], Accounts[Account'#], "Unknown")</f>
        <v>4618</v>
      </c>
      <c r="I922" s="135" t="str">
        <f>_xlfn.XLOOKUP(_xlfn.XLOOKUP(Table1[[#This Row],[Account]],Accounts[Account nickname],Accounts[Institution ID]),Institutions[ID],Institutions[Institution nickname],"Unknown")</f>
        <v>Discover</v>
      </c>
      <c r="J922" s="136" t="s">
        <v>2285</v>
      </c>
      <c r="K922" s="137" t="s">
        <v>843</v>
      </c>
      <c r="L922" s="137" t="s">
        <v>841</v>
      </c>
      <c r="M92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2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22" s="138" t="str" cm="1">
        <f t="array" ref="O922">IFERROR(INDEX(CategoriesTable[Category type],MATCH(Table1[[#This Row],[Category]],CategoriesTable[Category name],0),0),"")</f>
        <v/>
      </c>
      <c r="P922" s="138">
        <v>2</v>
      </c>
      <c r="Q922" s="138">
        <f>MONTH(Table1[[#This Row],[Date]])</f>
        <v>6</v>
      </c>
      <c r="R922" s="138">
        <v>2021</v>
      </c>
      <c r="S922" s="139">
        <f>IF(ISBLANK(Table1[[#This Row],[Date]]),"",Table1[[#This Row],[Date]]-WEEKDAY(Table1[[#This Row],[Date]],2)+1)</f>
        <v>44347</v>
      </c>
      <c r="T922" s="140">
        <f>IF(ISBLANK(Table1[[#This Row],[Date]]),"",DATE(Table1[[#This Row],[Date_Year]],Table1[[#This Row],[Date_Month]],1))</f>
        <v>44348</v>
      </c>
    </row>
    <row r="923" spans="2:20" ht="15.75">
      <c r="B923" s="154">
        <v>44349</v>
      </c>
      <c r="C923" s="119" t="s">
        <v>2289</v>
      </c>
      <c r="D923" s="119"/>
      <c r="E923" s="119"/>
      <c r="F923" s="155">
        <v>-1.99</v>
      </c>
      <c r="G923" s="133" t="str">
        <f>_xlfn.XLOOKUP(Table1[[#This Row],[Account_ID]], Accounts[ID], Accounts[Account nickname], "Unknown")</f>
        <v>Discover</v>
      </c>
      <c r="H923" s="134" t="str">
        <f>_xlfn.XLOOKUP(Table1[[#This Row],[Account_ID]], Accounts[ID], Accounts[Account'#], "Unknown")</f>
        <v>4618</v>
      </c>
      <c r="I923" s="135" t="str">
        <f>_xlfn.XLOOKUP(_xlfn.XLOOKUP(Table1[[#This Row],[Account]],Accounts[Account nickname],Accounts[Institution ID]),Institutions[ID],Institutions[Institution nickname],"Unknown")</f>
        <v>Discover</v>
      </c>
      <c r="J923" s="136" t="s">
        <v>2290</v>
      </c>
      <c r="K923" s="137" t="s">
        <v>843</v>
      </c>
      <c r="L923" s="137" t="s">
        <v>841</v>
      </c>
      <c r="M92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2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23" s="138" t="str" cm="1">
        <f t="array" ref="O923">IFERROR(INDEX(CategoriesTable[Category type],MATCH(Table1[[#This Row],[Category]],CategoriesTable[Category name],0),0),"")</f>
        <v/>
      </c>
      <c r="P923" s="138">
        <v>2</v>
      </c>
      <c r="Q923" s="138">
        <f>MONTH(Table1[[#This Row],[Date]])</f>
        <v>6</v>
      </c>
      <c r="R923" s="138">
        <v>2021</v>
      </c>
      <c r="S923" s="139">
        <f>IF(ISBLANK(Table1[[#This Row],[Date]]),"",Table1[[#This Row],[Date]]-WEEKDAY(Table1[[#This Row],[Date]],2)+1)</f>
        <v>44347</v>
      </c>
      <c r="T923" s="140">
        <f>IF(ISBLANK(Table1[[#This Row],[Date]]),"",DATE(Table1[[#This Row],[Date_Year]],Table1[[#This Row],[Date_Month]],1))</f>
        <v>44348</v>
      </c>
    </row>
    <row r="924" spans="2:20" ht="15.75">
      <c r="B924" s="154">
        <v>44349</v>
      </c>
      <c r="C924" s="119" t="s">
        <v>2283</v>
      </c>
      <c r="D924" s="119"/>
      <c r="E924" s="119"/>
      <c r="F924" s="155">
        <v>-29.04</v>
      </c>
      <c r="G924" s="133" t="str">
        <f>_xlfn.XLOOKUP(Table1[[#This Row],[Account_ID]], Accounts[ID], Accounts[Account nickname], "Unknown")</f>
        <v>Discover</v>
      </c>
      <c r="H924" s="134" t="str">
        <f>_xlfn.XLOOKUP(Table1[[#This Row],[Account_ID]], Accounts[ID], Accounts[Account'#], "Unknown")</f>
        <v>4618</v>
      </c>
      <c r="I924" s="135" t="str">
        <f>_xlfn.XLOOKUP(_xlfn.XLOOKUP(Table1[[#This Row],[Account]],Accounts[Account nickname],Accounts[Institution ID]),Institutions[ID],Institutions[Institution nickname],"Unknown")</f>
        <v>Discover</v>
      </c>
      <c r="J924" s="136" t="s">
        <v>2284</v>
      </c>
      <c r="K924" s="137" t="s">
        <v>843</v>
      </c>
      <c r="L924" s="137" t="s">
        <v>841</v>
      </c>
      <c r="M92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2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24" s="138" t="str" cm="1">
        <f t="array" ref="O924">IFERROR(INDEX(CategoriesTable[Category type],MATCH(Table1[[#This Row],[Category]],CategoriesTable[Category name],0),0),"")</f>
        <v/>
      </c>
      <c r="P924" s="138">
        <v>2</v>
      </c>
      <c r="Q924" s="138">
        <f>MONTH(Table1[[#This Row],[Date]])</f>
        <v>6</v>
      </c>
      <c r="R924" s="138">
        <v>2021</v>
      </c>
      <c r="S924" s="139">
        <f>IF(ISBLANK(Table1[[#This Row],[Date]]),"",Table1[[#This Row],[Date]]-WEEKDAY(Table1[[#This Row],[Date]],2)+1)</f>
        <v>44347</v>
      </c>
      <c r="T924" s="140">
        <f>IF(ISBLANK(Table1[[#This Row],[Date]]),"",DATE(Table1[[#This Row],[Date_Year]],Table1[[#This Row],[Date_Month]],1))</f>
        <v>44348</v>
      </c>
    </row>
    <row r="925" spans="2:20" ht="15.75">
      <c r="B925" s="154">
        <v>44348</v>
      </c>
      <c r="C925" s="119" t="s">
        <v>752</v>
      </c>
      <c r="D925" s="119"/>
      <c r="E925" s="119"/>
      <c r="F925" s="155">
        <v>2000</v>
      </c>
      <c r="G925" s="133" t="str">
        <f>_xlfn.XLOOKUP(Table1[[#This Row],[Account_ID]], Accounts[ID], Accounts[Account nickname], "Unknown")</f>
        <v>WF</v>
      </c>
      <c r="H925" s="134" t="str">
        <f>_xlfn.XLOOKUP(Table1[[#This Row],[Account_ID]], Accounts[ID], Accounts[Account'#], "Unknown")</f>
        <v>4636</v>
      </c>
      <c r="I925" s="135" t="str">
        <f>_xlfn.XLOOKUP(_xlfn.XLOOKUP(Table1[[#This Row],[Account]],Accounts[Account nickname],Accounts[Institution ID]),Institutions[ID],Institutions[Institution nickname],"Unknown")</f>
        <v>Wells Fargo</v>
      </c>
      <c r="J925" s="136" t="s">
        <v>1115</v>
      </c>
      <c r="K925" s="137" t="s">
        <v>808</v>
      </c>
      <c r="L925" s="137" t="s">
        <v>807</v>
      </c>
      <c r="M92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2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25" s="138" t="str" cm="1">
        <f t="array" ref="O925">IFERROR(INDEX(CategoriesTable[Category type],MATCH(Table1[[#This Row],[Category]],CategoriesTable[Category name],0),0),"")</f>
        <v/>
      </c>
      <c r="P925" s="138">
        <v>1</v>
      </c>
      <c r="Q925" s="138">
        <f>MONTH(Table1[[#This Row],[Date]])</f>
        <v>6</v>
      </c>
      <c r="R925" s="138">
        <v>2021</v>
      </c>
      <c r="S925" s="139">
        <f>IF(ISBLANK(Table1[[#This Row],[Date]]),"",Table1[[#This Row],[Date]]-WEEKDAY(Table1[[#This Row],[Date]],2)+1)</f>
        <v>44347</v>
      </c>
      <c r="T925" s="140">
        <f>IF(ISBLANK(Table1[[#This Row],[Date]]),"",DATE(Table1[[#This Row],[Date_Year]],Table1[[#This Row],[Date_Month]],1))</f>
        <v>44348</v>
      </c>
    </row>
    <row r="926" spans="2:20" ht="15.75">
      <c r="B926" s="154">
        <v>44348</v>
      </c>
      <c r="C926" s="119" t="s">
        <v>698</v>
      </c>
      <c r="D926" s="119"/>
      <c r="E926" s="119"/>
      <c r="F926" s="155">
        <v>-9.99</v>
      </c>
      <c r="G926" s="133" t="str">
        <f>_xlfn.XLOOKUP(Table1[[#This Row],[Account_ID]], Accounts[ID], Accounts[Account nickname], "Unknown")</f>
        <v>Discover</v>
      </c>
      <c r="H926" s="134" t="str">
        <f>_xlfn.XLOOKUP(Table1[[#This Row],[Account_ID]], Accounts[ID], Accounts[Account'#], "Unknown")</f>
        <v>4618</v>
      </c>
      <c r="I926" s="135" t="str">
        <f>_xlfn.XLOOKUP(_xlfn.XLOOKUP(Table1[[#This Row],[Account]],Accounts[Account nickname],Accounts[Institution ID]),Institutions[ID],Institutions[Institution nickname],"Unknown")</f>
        <v>Discover</v>
      </c>
      <c r="J926" s="136" t="s">
        <v>2293</v>
      </c>
      <c r="K926" s="137" t="s">
        <v>843</v>
      </c>
      <c r="L926" s="137" t="s">
        <v>841</v>
      </c>
      <c r="M92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2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26" s="138" t="str" cm="1">
        <f t="array" ref="O926">IFERROR(INDEX(CategoriesTable[Category type],MATCH(Table1[[#This Row],[Category]],CategoriesTable[Category name],0),0),"")</f>
        <v/>
      </c>
      <c r="P926" s="138">
        <v>1</v>
      </c>
      <c r="Q926" s="138">
        <f>MONTH(Table1[[#This Row],[Date]])</f>
        <v>6</v>
      </c>
      <c r="R926" s="138">
        <v>2021</v>
      </c>
      <c r="S926" s="139">
        <f>IF(ISBLANK(Table1[[#This Row],[Date]]),"",Table1[[#This Row],[Date]]-WEEKDAY(Table1[[#This Row],[Date]],2)+1)</f>
        <v>44347</v>
      </c>
      <c r="T926" s="140">
        <f>IF(ISBLANK(Table1[[#This Row],[Date]]),"",DATE(Table1[[#This Row],[Date_Year]],Table1[[#This Row],[Date_Month]],1))</f>
        <v>44348</v>
      </c>
    </row>
    <row r="927" spans="2:20" ht="15.75">
      <c r="B927" s="154">
        <v>44348</v>
      </c>
      <c r="C927" s="119" t="s">
        <v>2134</v>
      </c>
      <c r="D927" s="119"/>
      <c r="E927" s="119"/>
      <c r="F927" s="155">
        <v>-49</v>
      </c>
      <c r="G927" s="133" t="str">
        <f>_xlfn.XLOOKUP(Table1[[#This Row],[Account_ID]], Accounts[ID], Accounts[Account nickname], "Unknown")</f>
        <v>Discover</v>
      </c>
      <c r="H927" s="134" t="str">
        <f>_xlfn.XLOOKUP(Table1[[#This Row],[Account_ID]], Accounts[ID], Accounts[Account'#], "Unknown")</f>
        <v>4618</v>
      </c>
      <c r="I927" s="135" t="str">
        <f>_xlfn.XLOOKUP(_xlfn.XLOOKUP(Table1[[#This Row],[Account]],Accounts[Account nickname],Accounts[Institution ID]),Institutions[ID],Institutions[Institution nickname],"Unknown")</f>
        <v>Discover</v>
      </c>
      <c r="J927" s="136" t="s">
        <v>2291</v>
      </c>
      <c r="K927" s="137" t="s">
        <v>843</v>
      </c>
      <c r="L927" s="137" t="s">
        <v>841</v>
      </c>
      <c r="M92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2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27" s="138" t="str" cm="1">
        <f t="array" ref="O927">IFERROR(INDEX(CategoriesTable[Category type],MATCH(Table1[[#This Row],[Category]],CategoriesTable[Category name],0),0),"")</f>
        <v/>
      </c>
      <c r="P927" s="138">
        <v>1</v>
      </c>
      <c r="Q927" s="138">
        <f>MONTH(Table1[[#This Row],[Date]])</f>
        <v>6</v>
      </c>
      <c r="R927" s="138">
        <v>2021</v>
      </c>
      <c r="S927" s="139">
        <f>IF(ISBLANK(Table1[[#This Row],[Date]]),"",Table1[[#This Row],[Date]]-WEEKDAY(Table1[[#This Row],[Date]],2)+1)</f>
        <v>44347</v>
      </c>
      <c r="T927" s="140">
        <f>IF(ISBLANK(Table1[[#This Row],[Date]]),"",DATE(Table1[[#This Row],[Date_Year]],Table1[[#This Row],[Date_Month]],1))</f>
        <v>44348</v>
      </c>
    </row>
    <row r="928" spans="2:20" ht="15.75">
      <c r="B928" s="154">
        <v>44348</v>
      </c>
      <c r="C928" s="119" t="s">
        <v>697</v>
      </c>
      <c r="D928" s="119"/>
      <c r="E928" s="119"/>
      <c r="F928" s="155">
        <v>-14.83</v>
      </c>
      <c r="G928" s="133" t="str">
        <f>_xlfn.XLOOKUP(Table1[[#This Row],[Account_ID]], Accounts[ID], Accounts[Account nickname], "Unknown")</f>
        <v>Discover</v>
      </c>
      <c r="H928" s="134" t="str">
        <f>_xlfn.XLOOKUP(Table1[[#This Row],[Account_ID]], Accounts[ID], Accounts[Account'#], "Unknown")</f>
        <v>4618</v>
      </c>
      <c r="I928" s="135" t="str">
        <f>_xlfn.XLOOKUP(_xlfn.XLOOKUP(Table1[[#This Row],[Account]],Accounts[Account nickname],Accounts[Institution ID]),Institutions[ID],Institutions[Institution nickname],"Unknown")</f>
        <v>Discover</v>
      </c>
      <c r="J928" s="136" t="s">
        <v>2292</v>
      </c>
      <c r="K928" s="137" t="s">
        <v>843</v>
      </c>
      <c r="L928" s="137" t="s">
        <v>841</v>
      </c>
      <c r="M92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2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28" s="138" t="str" cm="1">
        <f t="array" ref="O928">IFERROR(INDEX(CategoriesTable[Category type],MATCH(Table1[[#This Row],[Category]],CategoriesTable[Category name],0),0),"")</f>
        <v/>
      </c>
      <c r="P928" s="138">
        <v>1</v>
      </c>
      <c r="Q928" s="138">
        <f>MONTH(Table1[[#This Row],[Date]])</f>
        <v>6</v>
      </c>
      <c r="R928" s="138">
        <v>2021</v>
      </c>
      <c r="S928" s="139">
        <f>IF(ISBLANK(Table1[[#This Row],[Date]]),"",Table1[[#This Row],[Date]]-WEEKDAY(Table1[[#This Row],[Date]],2)+1)</f>
        <v>44347</v>
      </c>
      <c r="T928" s="140">
        <f>IF(ISBLANK(Table1[[#This Row],[Date]]),"",DATE(Table1[[#This Row],[Date_Year]],Table1[[#This Row],[Date_Month]],1))</f>
        <v>44348</v>
      </c>
    </row>
    <row r="929" spans="2:20" ht="15.75">
      <c r="B929" s="154">
        <v>44347</v>
      </c>
      <c r="C929" s="119" t="s">
        <v>746</v>
      </c>
      <c r="D929" s="119"/>
      <c r="E929" s="119"/>
      <c r="F929" s="155">
        <v>-17.309999999999999</v>
      </c>
      <c r="G929" s="133" t="str">
        <f>_xlfn.XLOOKUP(Table1[[#This Row],[Account_ID]], Accounts[ID], Accounts[Account nickname], "Unknown")</f>
        <v>Discover</v>
      </c>
      <c r="H929" s="134" t="str">
        <f>_xlfn.XLOOKUP(Table1[[#This Row],[Account_ID]], Accounts[ID], Accounts[Account'#], "Unknown")</f>
        <v>4618</v>
      </c>
      <c r="I929" s="135" t="str">
        <f>_xlfn.XLOOKUP(_xlfn.XLOOKUP(Table1[[#This Row],[Account]],Accounts[Account nickname],Accounts[Institution ID]),Institutions[ID],Institutions[Institution nickname],"Unknown")</f>
        <v>Discover</v>
      </c>
      <c r="J929" s="136" t="s">
        <v>2295</v>
      </c>
      <c r="K929" s="137" t="s">
        <v>843</v>
      </c>
      <c r="L929" s="137" t="s">
        <v>841</v>
      </c>
      <c r="M92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2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29" s="138" t="str" cm="1">
        <f t="array" ref="O929">IFERROR(INDEX(CategoriesTable[Category type],MATCH(Table1[[#This Row],[Category]],CategoriesTable[Category name],0),0),"")</f>
        <v/>
      </c>
      <c r="P929" s="138">
        <v>31</v>
      </c>
      <c r="Q929" s="138">
        <f>MONTH(Table1[[#This Row],[Date]])</f>
        <v>5</v>
      </c>
      <c r="R929" s="138">
        <v>2021</v>
      </c>
      <c r="S929" s="139">
        <f>IF(ISBLANK(Table1[[#This Row],[Date]]),"",Table1[[#This Row],[Date]]-WEEKDAY(Table1[[#This Row],[Date]],2)+1)</f>
        <v>44347</v>
      </c>
      <c r="T929" s="140">
        <f>IF(ISBLANK(Table1[[#This Row],[Date]]),"",DATE(Table1[[#This Row],[Date_Year]],Table1[[#This Row],[Date_Month]],1))</f>
        <v>44317</v>
      </c>
    </row>
    <row r="930" spans="2:20" ht="15.75">
      <c r="B930" s="154">
        <v>44347</v>
      </c>
      <c r="C930" s="119" t="s">
        <v>2296</v>
      </c>
      <c r="D930" s="119"/>
      <c r="E930" s="119"/>
      <c r="F930" s="155">
        <v>-9.5500000000000007</v>
      </c>
      <c r="G930" s="133" t="str">
        <f>_xlfn.XLOOKUP(Table1[[#This Row],[Account_ID]], Accounts[ID], Accounts[Account nickname], "Unknown")</f>
        <v>Discover</v>
      </c>
      <c r="H930" s="134" t="str">
        <f>_xlfn.XLOOKUP(Table1[[#This Row],[Account_ID]], Accounts[ID], Accounts[Account'#], "Unknown")</f>
        <v>4618</v>
      </c>
      <c r="I930" s="135" t="str">
        <f>_xlfn.XLOOKUP(_xlfn.XLOOKUP(Table1[[#This Row],[Account]],Accounts[Account nickname],Accounts[Institution ID]),Institutions[ID],Institutions[Institution nickname],"Unknown")</f>
        <v>Discover</v>
      </c>
      <c r="J930" s="136" t="s">
        <v>2297</v>
      </c>
      <c r="K930" s="137" t="s">
        <v>843</v>
      </c>
      <c r="L930" s="137" t="s">
        <v>841</v>
      </c>
      <c r="M93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3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30" s="138" t="str" cm="1">
        <f t="array" ref="O930">IFERROR(INDEX(CategoriesTable[Category type],MATCH(Table1[[#This Row],[Category]],CategoriesTable[Category name],0),0),"")</f>
        <v/>
      </c>
      <c r="P930" s="138">
        <v>31</v>
      </c>
      <c r="Q930" s="138">
        <f>MONTH(Table1[[#This Row],[Date]])</f>
        <v>5</v>
      </c>
      <c r="R930" s="138">
        <v>2021</v>
      </c>
      <c r="S930" s="139">
        <f>IF(ISBLANK(Table1[[#This Row],[Date]]),"",Table1[[#This Row],[Date]]-WEEKDAY(Table1[[#This Row],[Date]],2)+1)</f>
        <v>44347</v>
      </c>
      <c r="T930" s="140">
        <f>IF(ISBLANK(Table1[[#This Row],[Date]]),"",DATE(Table1[[#This Row],[Date_Year]],Table1[[#This Row],[Date_Month]],1))</f>
        <v>44317</v>
      </c>
    </row>
    <row r="931" spans="2:20" ht="15.75">
      <c r="B931" s="154">
        <v>44347</v>
      </c>
      <c r="C931" s="119" t="s">
        <v>910</v>
      </c>
      <c r="D931" s="119"/>
      <c r="E931" s="119"/>
      <c r="F931" s="155">
        <v>-37.090000000000003</v>
      </c>
      <c r="G931" s="133" t="str">
        <f>_xlfn.XLOOKUP(Table1[[#This Row],[Account_ID]], Accounts[ID], Accounts[Account nickname], "Unknown")</f>
        <v>Discover</v>
      </c>
      <c r="H931" s="134" t="str">
        <f>_xlfn.XLOOKUP(Table1[[#This Row],[Account_ID]], Accounts[ID], Accounts[Account'#], "Unknown")</f>
        <v>4618</v>
      </c>
      <c r="I931" s="135" t="str">
        <f>_xlfn.XLOOKUP(_xlfn.XLOOKUP(Table1[[#This Row],[Account]],Accounts[Account nickname],Accounts[Institution ID]),Institutions[ID],Institutions[Institution nickname],"Unknown")</f>
        <v>Discover</v>
      </c>
      <c r="J931" s="136" t="s">
        <v>2294</v>
      </c>
      <c r="K931" s="137" t="s">
        <v>843</v>
      </c>
      <c r="L931" s="137" t="s">
        <v>841</v>
      </c>
      <c r="M93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3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31" s="138" t="str" cm="1">
        <f t="array" ref="O931">IFERROR(INDEX(CategoriesTable[Category type],MATCH(Table1[[#This Row],[Category]],CategoriesTable[Category name],0),0),"")</f>
        <v/>
      </c>
      <c r="P931" s="138">
        <v>31</v>
      </c>
      <c r="Q931" s="138">
        <f>MONTH(Table1[[#This Row],[Date]])</f>
        <v>5</v>
      </c>
      <c r="R931" s="138">
        <v>2021</v>
      </c>
      <c r="S931" s="139">
        <f>IF(ISBLANK(Table1[[#This Row],[Date]]),"",Table1[[#This Row],[Date]]-WEEKDAY(Table1[[#This Row],[Date]],2)+1)</f>
        <v>44347</v>
      </c>
      <c r="T931" s="140">
        <f>IF(ISBLANK(Table1[[#This Row],[Date]]),"",DATE(Table1[[#This Row],[Date_Year]],Table1[[#This Row],[Date_Month]],1))</f>
        <v>44317</v>
      </c>
    </row>
    <row r="932" spans="2:20" ht="15.75">
      <c r="B932" s="154">
        <v>44347</v>
      </c>
      <c r="C932" s="119" t="s">
        <v>718</v>
      </c>
      <c r="D932" s="119"/>
      <c r="E932" s="119"/>
      <c r="F932" s="155">
        <v>-21.18</v>
      </c>
      <c r="G932" s="133" t="str">
        <f>_xlfn.XLOOKUP(Table1[[#This Row],[Account_ID]], Accounts[ID], Accounts[Account nickname], "Unknown")</f>
        <v>Discover</v>
      </c>
      <c r="H932" s="134" t="str">
        <f>_xlfn.XLOOKUP(Table1[[#This Row],[Account_ID]], Accounts[ID], Accounts[Account'#], "Unknown")</f>
        <v>4618</v>
      </c>
      <c r="I932" s="135" t="str">
        <f>_xlfn.XLOOKUP(_xlfn.XLOOKUP(Table1[[#This Row],[Account]],Accounts[Account nickname],Accounts[Institution ID]),Institutions[ID],Institutions[Institution nickname],"Unknown")</f>
        <v>Discover</v>
      </c>
      <c r="J932" s="136" t="s">
        <v>2298</v>
      </c>
      <c r="K932" s="137" t="s">
        <v>843</v>
      </c>
      <c r="L932" s="137" t="s">
        <v>841</v>
      </c>
      <c r="M93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3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32" s="138" t="str" cm="1">
        <f t="array" ref="O932">IFERROR(INDEX(CategoriesTable[Category type],MATCH(Table1[[#This Row],[Category]],CategoriesTable[Category name],0),0),"")</f>
        <v/>
      </c>
      <c r="P932" s="138">
        <v>31</v>
      </c>
      <c r="Q932" s="138">
        <f>MONTH(Table1[[#This Row],[Date]])</f>
        <v>5</v>
      </c>
      <c r="R932" s="138">
        <v>2021</v>
      </c>
      <c r="S932" s="139">
        <f>IF(ISBLANK(Table1[[#This Row],[Date]]),"",Table1[[#This Row],[Date]]-WEEKDAY(Table1[[#This Row],[Date]],2)+1)</f>
        <v>44347</v>
      </c>
      <c r="T932" s="140">
        <f>IF(ISBLANK(Table1[[#This Row],[Date]]),"",DATE(Table1[[#This Row],[Date_Year]],Table1[[#This Row],[Date_Month]],1))</f>
        <v>44317</v>
      </c>
    </row>
    <row r="933" spans="2:20" ht="15.75">
      <c r="B933" s="154">
        <v>44347</v>
      </c>
      <c r="C933" s="119" t="s">
        <v>1778</v>
      </c>
      <c r="D933" s="119"/>
      <c r="E933" s="119"/>
      <c r="F933" s="155">
        <v>-57.27</v>
      </c>
      <c r="G933" s="133" t="str">
        <f>_xlfn.XLOOKUP(Table1[[#This Row],[Account_ID]], Accounts[ID], Accounts[Account nickname], "Unknown")</f>
        <v>Discover</v>
      </c>
      <c r="H933" s="134" t="str">
        <f>_xlfn.XLOOKUP(Table1[[#This Row],[Account_ID]], Accounts[ID], Accounts[Account'#], "Unknown")</f>
        <v>4618</v>
      </c>
      <c r="I933" s="135" t="str">
        <f>_xlfn.XLOOKUP(_xlfn.XLOOKUP(Table1[[#This Row],[Account]],Accounts[Account nickname],Accounts[Institution ID]),Institutions[ID],Institutions[Institution nickname],"Unknown")</f>
        <v>Discover</v>
      </c>
      <c r="J933" s="136" t="s">
        <v>2299</v>
      </c>
      <c r="K933" s="137" t="s">
        <v>843</v>
      </c>
      <c r="L933" s="137" t="s">
        <v>841</v>
      </c>
      <c r="M93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3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33" s="138" t="str" cm="1">
        <f t="array" ref="O933">IFERROR(INDEX(CategoriesTable[Category type],MATCH(Table1[[#This Row],[Category]],CategoriesTable[Category name],0),0),"")</f>
        <v/>
      </c>
      <c r="P933" s="138">
        <v>31</v>
      </c>
      <c r="Q933" s="138">
        <f>MONTH(Table1[[#This Row],[Date]])</f>
        <v>5</v>
      </c>
      <c r="R933" s="138">
        <v>2021</v>
      </c>
      <c r="S933" s="139">
        <f>IF(ISBLANK(Table1[[#This Row],[Date]]),"",Table1[[#This Row],[Date]]-WEEKDAY(Table1[[#This Row],[Date]],2)+1)</f>
        <v>44347</v>
      </c>
      <c r="T933" s="140">
        <f>IF(ISBLANK(Table1[[#This Row],[Date]]),"",DATE(Table1[[#This Row],[Date_Year]],Table1[[#This Row],[Date_Month]],1))</f>
        <v>44317</v>
      </c>
    </row>
    <row r="934" spans="2:20" ht="15.75">
      <c r="B934" s="154">
        <v>44346</v>
      </c>
      <c r="C934" s="119" t="s">
        <v>1917</v>
      </c>
      <c r="D934" s="119"/>
      <c r="E934" s="119"/>
      <c r="F934" s="155">
        <v>-35</v>
      </c>
      <c r="G934" s="133" t="str">
        <f>_xlfn.XLOOKUP(Table1[[#This Row],[Account_ID]], Accounts[ID], Accounts[Account nickname], "Unknown")</f>
        <v>Discover</v>
      </c>
      <c r="H934" s="134" t="str">
        <f>_xlfn.XLOOKUP(Table1[[#This Row],[Account_ID]], Accounts[ID], Accounts[Account'#], "Unknown")</f>
        <v>4618</v>
      </c>
      <c r="I934" s="135" t="str">
        <f>_xlfn.XLOOKUP(_xlfn.XLOOKUP(Table1[[#This Row],[Account]],Accounts[Account nickname],Accounts[Institution ID]),Institutions[ID],Institutions[Institution nickname],"Unknown")</f>
        <v>Discover</v>
      </c>
      <c r="J934" s="136" t="s">
        <v>2302</v>
      </c>
      <c r="K934" s="137" t="s">
        <v>843</v>
      </c>
      <c r="L934" s="137" t="s">
        <v>841</v>
      </c>
      <c r="M93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3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34" s="138" t="str" cm="1">
        <f t="array" ref="O934">IFERROR(INDEX(CategoriesTable[Category type],MATCH(Table1[[#This Row],[Category]],CategoriesTable[Category name],0),0),"")</f>
        <v/>
      </c>
      <c r="P934" s="138">
        <v>30</v>
      </c>
      <c r="Q934" s="138">
        <f>MONTH(Table1[[#This Row],[Date]])</f>
        <v>5</v>
      </c>
      <c r="R934" s="138">
        <v>2021</v>
      </c>
      <c r="S934" s="139">
        <f>IF(ISBLANK(Table1[[#This Row],[Date]]),"",Table1[[#This Row],[Date]]-WEEKDAY(Table1[[#This Row],[Date]],2)+1)</f>
        <v>44340</v>
      </c>
      <c r="T934" s="140">
        <f>IF(ISBLANK(Table1[[#This Row],[Date]]),"",DATE(Table1[[#This Row],[Date_Year]],Table1[[#This Row],[Date_Month]],1))</f>
        <v>44317</v>
      </c>
    </row>
    <row r="935" spans="2:20" ht="15.75">
      <c r="B935" s="154">
        <v>44346</v>
      </c>
      <c r="C935" s="119" t="s">
        <v>702</v>
      </c>
      <c r="D935" s="119"/>
      <c r="E935" s="119"/>
      <c r="F935" s="155">
        <v>-8.2799999999999994</v>
      </c>
      <c r="G935" s="133" t="str">
        <f>_xlfn.XLOOKUP(Table1[[#This Row],[Account_ID]], Accounts[ID], Accounts[Account nickname], "Unknown")</f>
        <v>Discover</v>
      </c>
      <c r="H935" s="134" t="str">
        <f>_xlfn.XLOOKUP(Table1[[#This Row],[Account_ID]], Accounts[ID], Accounts[Account'#], "Unknown")</f>
        <v>4618</v>
      </c>
      <c r="I935" s="135" t="str">
        <f>_xlfn.XLOOKUP(_xlfn.XLOOKUP(Table1[[#This Row],[Account]],Accounts[Account nickname],Accounts[Institution ID]),Institutions[ID],Institutions[Institution nickname],"Unknown")</f>
        <v>Discover</v>
      </c>
      <c r="J935" s="136" t="s">
        <v>2303</v>
      </c>
      <c r="K935" s="137" t="s">
        <v>843</v>
      </c>
      <c r="L935" s="137" t="s">
        <v>841</v>
      </c>
      <c r="M93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3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35" s="138" t="str" cm="1">
        <f t="array" ref="O935">IFERROR(INDEX(CategoriesTable[Category type],MATCH(Table1[[#This Row],[Category]],CategoriesTable[Category name],0),0),"")</f>
        <v/>
      </c>
      <c r="P935" s="138">
        <v>30</v>
      </c>
      <c r="Q935" s="138">
        <f>MONTH(Table1[[#This Row],[Date]])</f>
        <v>5</v>
      </c>
      <c r="R935" s="138">
        <v>2021</v>
      </c>
      <c r="S935" s="139">
        <f>IF(ISBLANK(Table1[[#This Row],[Date]]),"",Table1[[#This Row],[Date]]-WEEKDAY(Table1[[#This Row],[Date]],2)+1)</f>
        <v>44340</v>
      </c>
      <c r="T935" s="140">
        <f>IF(ISBLANK(Table1[[#This Row],[Date]]),"",DATE(Table1[[#This Row],[Date_Year]],Table1[[#This Row],[Date_Month]],1))</f>
        <v>44317</v>
      </c>
    </row>
    <row r="936" spans="2:20" ht="15.75">
      <c r="B936" s="154">
        <v>44346</v>
      </c>
      <c r="C936" s="119" t="s">
        <v>718</v>
      </c>
      <c r="D936" s="119"/>
      <c r="E936" s="119"/>
      <c r="F936" s="155">
        <v>-60.92</v>
      </c>
      <c r="G936" s="133" t="str">
        <f>_xlfn.XLOOKUP(Table1[[#This Row],[Account_ID]], Accounts[ID], Accounts[Account nickname], "Unknown")</f>
        <v>Discover</v>
      </c>
      <c r="H936" s="134" t="str">
        <f>_xlfn.XLOOKUP(Table1[[#This Row],[Account_ID]], Accounts[ID], Accounts[Account'#], "Unknown")</f>
        <v>4618</v>
      </c>
      <c r="I936" s="135" t="str">
        <f>_xlfn.XLOOKUP(_xlfn.XLOOKUP(Table1[[#This Row],[Account]],Accounts[Account nickname],Accounts[Institution ID]),Institutions[ID],Institutions[Institution nickname],"Unknown")</f>
        <v>Discover</v>
      </c>
      <c r="J936" s="136" t="s">
        <v>2304</v>
      </c>
      <c r="K936" s="137" t="s">
        <v>843</v>
      </c>
      <c r="L936" s="137" t="s">
        <v>841</v>
      </c>
      <c r="M93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3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36" s="138" t="str" cm="1">
        <f t="array" ref="O936">IFERROR(INDEX(CategoriesTable[Category type],MATCH(Table1[[#This Row],[Category]],CategoriesTable[Category name],0),0),"")</f>
        <v/>
      </c>
      <c r="P936" s="138">
        <v>30</v>
      </c>
      <c r="Q936" s="138">
        <f>MONTH(Table1[[#This Row],[Date]])</f>
        <v>5</v>
      </c>
      <c r="R936" s="138">
        <v>2021</v>
      </c>
      <c r="S936" s="139">
        <f>IF(ISBLANK(Table1[[#This Row],[Date]]),"",Table1[[#This Row],[Date]]-WEEKDAY(Table1[[#This Row],[Date]],2)+1)</f>
        <v>44340</v>
      </c>
      <c r="T936" s="140">
        <f>IF(ISBLANK(Table1[[#This Row],[Date]]),"",DATE(Table1[[#This Row],[Date_Year]],Table1[[#This Row],[Date_Month]],1))</f>
        <v>44317</v>
      </c>
    </row>
    <row r="937" spans="2:20" ht="15.75">
      <c r="B937" s="154">
        <v>44346</v>
      </c>
      <c r="C937" s="119" t="s">
        <v>2300</v>
      </c>
      <c r="D937" s="119"/>
      <c r="E937" s="119"/>
      <c r="F937" s="155">
        <v>-54</v>
      </c>
      <c r="G937" s="133" t="str">
        <f>_xlfn.XLOOKUP(Table1[[#This Row],[Account_ID]], Accounts[ID], Accounts[Account nickname], "Unknown")</f>
        <v>Discover</v>
      </c>
      <c r="H937" s="134" t="str">
        <f>_xlfn.XLOOKUP(Table1[[#This Row],[Account_ID]], Accounts[ID], Accounts[Account'#], "Unknown")</f>
        <v>4618</v>
      </c>
      <c r="I937" s="135" t="str">
        <f>_xlfn.XLOOKUP(_xlfn.XLOOKUP(Table1[[#This Row],[Account]],Accounts[Account nickname],Accounts[Institution ID]),Institutions[ID],Institutions[Institution nickname],"Unknown")</f>
        <v>Discover</v>
      </c>
      <c r="J937" s="136" t="s">
        <v>2301</v>
      </c>
      <c r="K937" s="137" t="s">
        <v>843</v>
      </c>
      <c r="L937" s="137" t="s">
        <v>841</v>
      </c>
      <c r="M93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3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37" s="138" t="str" cm="1">
        <f t="array" ref="O937">IFERROR(INDEX(CategoriesTable[Category type],MATCH(Table1[[#This Row],[Category]],CategoriesTable[Category name],0),0),"")</f>
        <v/>
      </c>
      <c r="P937" s="138">
        <v>30</v>
      </c>
      <c r="Q937" s="138">
        <f>MONTH(Table1[[#This Row],[Date]])</f>
        <v>5</v>
      </c>
      <c r="R937" s="138">
        <v>2021</v>
      </c>
      <c r="S937" s="139">
        <f>IF(ISBLANK(Table1[[#This Row],[Date]]),"",Table1[[#This Row],[Date]]-WEEKDAY(Table1[[#This Row],[Date]],2)+1)</f>
        <v>44340</v>
      </c>
      <c r="T937" s="140">
        <f>IF(ISBLANK(Table1[[#This Row],[Date]]),"",DATE(Table1[[#This Row],[Date_Year]],Table1[[#This Row],[Date_Month]],1))</f>
        <v>44317</v>
      </c>
    </row>
    <row r="938" spans="2:20" ht="15.75">
      <c r="B938" s="154">
        <v>44345</v>
      </c>
      <c r="C938" s="119" t="s">
        <v>2308</v>
      </c>
      <c r="D938" s="119"/>
      <c r="E938" s="119"/>
      <c r="F938" s="155">
        <v>-4.1500000000000004</v>
      </c>
      <c r="G938" s="133" t="str">
        <f>_xlfn.XLOOKUP(Table1[[#This Row],[Account_ID]], Accounts[ID], Accounts[Account nickname], "Unknown")</f>
        <v>Discover</v>
      </c>
      <c r="H938" s="134" t="str">
        <f>_xlfn.XLOOKUP(Table1[[#This Row],[Account_ID]], Accounts[ID], Accounts[Account'#], "Unknown")</f>
        <v>4618</v>
      </c>
      <c r="I938" s="135" t="str">
        <f>_xlfn.XLOOKUP(_xlfn.XLOOKUP(Table1[[#This Row],[Account]],Accounts[Account nickname],Accounts[Institution ID]),Institutions[ID],Institutions[Institution nickname],"Unknown")</f>
        <v>Discover</v>
      </c>
      <c r="J938" s="136" t="s">
        <v>2309</v>
      </c>
      <c r="K938" s="137" t="s">
        <v>843</v>
      </c>
      <c r="L938" s="137" t="s">
        <v>841</v>
      </c>
      <c r="M93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3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38" s="138" t="str" cm="1">
        <f t="array" ref="O938">IFERROR(INDEX(CategoriesTable[Category type],MATCH(Table1[[#This Row],[Category]],CategoriesTable[Category name],0),0),"")</f>
        <v/>
      </c>
      <c r="P938" s="138">
        <v>29</v>
      </c>
      <c r="Q938" s="138">
        <f>MONTH(Table1[[#This Row],[Date]])</f>
        <v>5</v>
      </c>
      <c r="R938" s="138">
        <v>2021</v>
      </c>
      <c r="S938" s="139">
        <f>IF(ISBLANK(Table1[[#This Row],[Date]]),"",Table1[[#This Row],[Date]]-WEEKDAY(Table1[[#This Row],[Date]],2)+1)</f>
        <v>44340</v>
      </c>
      <c r="T938" s="140">
        <f>IF(ISBLANK(Table1[[#This Row],[Date]]),"",DATE(Table1[[#This Row],[Date_Year]],Table1[[#This Row],[Date_Month]],1))</f>
        <v>44317</v>
      </c>
    </row>
    <row r="939" spans="2:20" ht="15.75">
      <c r="B939" s="154">
        <v>44345</v>
      </c>
      <c r="C939" s="119" t="s">
        <v>708</v>
      </c>
      <c r="D939" s="119"/>
      <c r="E939" s="119"/>
      <c r="F939" s="155">
        <v>-28.92</v>
      </c>
      <c r="G939" s="133" t="str">
        <f>_xlfn.XLOOKUP(Table1[[#This Row],[Account_ID]], Accounts[ID], Accounts[Account nickname], "Unknown")</f>
        <v>Discover</v>
      </c>
      <c r="H939" s="134" t="str">
        <f>_xlfn.XLOOKUP(Table1[[#This Row],[Account_ID]], Accounts[ID], Accounts[Account'#], "Unknown")</f>
        <v>4618</v>
      </c>
      <c r="I939" s="135" t="str">
        <f>_xlfn.XLOOKUP(_xlfn.XLOOKUP(Table1[[#This Row],[Account]],Accounts[Account nickname],Accounts[Institution ID]),Institutions[ID],Institutions[Institution nickname],"Unknown")</f>
        <v>Discover</v>
      </c>
      <c r="J939" s="136" t="s">
        <v>2305</v>
      </c>
      <c r="K939" s="137" t="s">
        <v>843</v>
      </c>
      <c r="L939" s="137" t="s">
        <v>841</v>
      </c>
      <c r="M93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3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39" s="138" t="str" cm="1">
        <f t="array" ref="O939">IFERROR(INDEX(CategoriesTable[Category type],MATCH(Table1[[#This Row],[Category]],CategoriesTable[Category name],0),0),"")</f>
        <v/>
      </c>
      <c r="P939" s="138">
        <v>29</v>
      </c>
      <c r="Q939" s="138">
        <f>MONTH(Table1[[#This Row],[Date]])</f>
        <v>5</v>
      </c>
      <c r="R939" s="138">
        <v>2021</v>
      </c>
      <c r="S939" s="139">
        <f>IF(ISBLANK(Table1[[#This Row],[Date]]),"",Table1[[#This Row],[Date]]-WEEKDAY(Table1[[#This Row],[Date]],2)+1)</f>
        <v>44340</v>
      </c>
      <c r="T939" s="140">
        <f>IF(ISBLANK(Table1[[#This Row],[Date]]),"",DATE(Table1[[#This Row],[Date_Year]],Table1[[#This Row],[Date_Month]],1))</f>
        <v>44317</v>
      </c>
    </row>
    <row r="940" spans="2:20" ht="15.75">
      <c r="B940" s="154">
        <v>44345</v>
      </c>
      <c r="C940" s="119" t="s">
        <v>1726</v>
      </c>
      <c r="D940" s="119"/>
      <c r="E940" s="119"/>
      <c r="F940" s="155">
        <v>-26.84</v>
      </c>
      <c r="G940" s="133" t="str">
        <f>_xlfn.XLOOKUP(Table1[[#This Row],[Account_ID]], Accounts[ID], Accounts[Account nickname], "Unknown")</f>
        <v>Discover</v>
      </c>
      <c r="H940" s="134" t="str">
        <f>_xlfn.XLOOKUP(Table1[[#This Row],[Account_ID]], Accounts[ID], Accounts[Account'#], "Unknown")</f>
        <v>4618</v>
      </c>
      <c r="I940" s="135" t="str">
        <f>_xlfn.XLOOKUP(_xlfn.XLOOKUP(Table1[[#This Row],[Account]],Accounts[Account nickname],Accounts[Institution ID]),Institutions[ID],Institutions[Institution nickname],"Unknown")</f>
        <v>Discover</v>
      </c>
      <c r="J940" s="136" t="s">
        <v>2306</v>
      </c>
      <c r="K940" s="137" t="s">
        <v>843</v>
      </c>
      <c r="L940" s="137" t="s">
        <v>841</v>
      </c>
      <c r="M94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4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40" s="138" t="str" cm="1">
        <f t="array" ref="O940">IFERROR(INDEX(CategoriesTable[Category type],MATCH(Table1[[#This Row],[Category]],CategoriesTable[Category name],0),0),"")</f>
        <v/>
      </c>
      <c r="P940" s="138">
        <v>29</v>
      </c>
      <c r="Q940" s="138">
        <f>MONTH(Table1[[#This Row],[Date]])</f>
        <v>5</v>
      </c>
      <c r="R940" s="138">
        <v>2021</v>
      </c>
      <c r="S940" s="139">
        <f>IF(ISBLANK(Table1[[#This Row],[Date]]),"",Table1[[#This Row],[Date]]-WEEKDAY(Table1[[#This Row],[Date]],2)+1)</f>
        <v>44340</v>
      </c>
      <c r="T940" s="140">
        <f>IF(ISBLANK(Table1[[#This Row],[Date]]),"",DATE(Table1[[#This Row],[Date_Year]],Table1[[#This Row],[Date_Month]],1))</f>
        <v>44317</v>
      </c>
    </row>
    <row r="941" spans="2:20" ht="15.75">
      <c r="B941" s="154">
        <v>44345</v>
      </c>
      <c r="C941" s="119" t="s">
        <v>2308</v>
      </c>
      <c r="D941" s="119"/>
      <c r="E941" s="119"/>
      <c r="F941" s="155">
        <v>-23.07</v>
      </c>
      <c r="G941" s="133" t="str">
        <f>_xlfn.XLOOKUP(Table1[[#This Row],[Account_ID]], Accounts[ID], Accounts[Account nickname], "Unknown")</f>
        <v>Discover</v>
      </c>
      <c r="H941" s="134" t="str">
        <f>_xlfn.XLOOKUP(Table1[[#This Row],[Account_ID]], Accounts[ID], Accounts[Account'#], "Unknown")</f>
        <v>4618</v>
      </c>
      <c r="I941" s="135" t="str">
        <f>_xlfn.XLOOKUP(_xlfn.XLOOKUP(Table1[[#This Row],[Account]],Accounts[Account nickname],Accounts[Institution ID]),Institutions[ID],Institutions[Institution nickname],"Unknown")</f>
        <v>Discover</v>
      </c>
      <c r="J941" s="136" t="s">
        <v>2310</v>
      </c>
      <c r="K941" s="137" t="s">
        <v>843</v>
      </c>
      <c r="L941" s="137" t="s">
        <v>841</v>
      </c>
      <c r="M94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4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41" s="138" t="str" cm="1">
        <f t="array" ref="O941">IFERROR(INDEX(CategoriesTable[Category type],MATCH(Table1[[#This Row],[Category]],CategoriesTable[Category name],0),0),"")</f>
        <v/>
      </c>
      <c r="P941" s="138">
        <v>29</v>
      </c>
      <c r="Q941" s="138">
        <f>MONTH(Table1[[#This Row],[Date]])</f>
        <v>5</v>
      </c>
      <c r="R941" s="138">
        <v>2021</v>
      </c>
      <c r="S941" s="139">
        <f>IF(ISBLANK(Table1[[#This Row],[Date]]),"",Table1[[#This Row],[Date]]-WEEKDAY(Table1[[#This Row],[Date]],2)+1)</f>
        <v>44340</v>
      </c>
      <c r="T941" s="140">
        <f>IF(ISBLANK(Table1[[#This Row],[Date]]),"",DATE(Table1[[#This Row],[Date_Year]],Table1[[#This Row],[Date_Month]],1))</f>
        <v>44317</v>
      </c>
    </row>
    <row r="942" spans="2:20" ht="15.75">
      <c r="B942" s="154">
        <v>44345</v>
      </c>
      <c r="C942" s="119" t="s">
        <v>718</v>
      </c>
      <c r="D942" s="119"/>
      <c r="E942" s="119"/>
      <c r="F942" s="155">
        <v>-39.200000000000003</v>
      </c>
      <c r="G942" s="133" t="str">
        <f>_xlfn.XLOOKUP(Table1[[#This Row],[Account_ID]], Accounts[ID], Accounts[Account nickname], "Unknown")</f>
        <v>Discover</v>
      </c>
      <c r="H942" s="134" t="str">
        <f>_xlfn.XLOOKUP(Table1[[#This Row],[Account_ID]], Accounts[ID], Accounts[Account'#], "Unknown")</f>
        <v>4618</v>
      </c>
      <c r="I942" s="135" t="str">
        <f>_xlfn.XLOOKUP(_xlfn.XLOOKUP(Table1[[#This Row],[Account]],Accounts[Account nickname],Accounts[Institution ID]),Institutions[ID],Institutions[Institution nickname],"Unknown")</f>
        <v>Discover</v>
      </c>
      <c r="J942" s="136" t="s">
        <v>2307</v>
      </c>
      <c r="K942" s="137" t="s">
        <v>843</v>
      </c>
      <c r="L942" s="137" t="s">
        <v>841</v>
      </c>
      <c r="M94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4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42" s="138" t="str" cm="1">
        <f t="array" ref="O942">IFERROR(INDEX(CategoriesTable[Category type],MATCH(Table1[[#This Row],[Category]],CategoriesTable[Category name],0),0),"")</f>
        <v/>
      </c>
      <c r="P942" s="138">
        <v>29</v>
      </c>
      <c r="Q942" s="138">
        <f>MONTH(Table1[[#This Row],[Date]])</f>
        <v>5</v>
      </c>
      <c r="R942" s="138">
        <v>2021</v>
      </c>
      <c r="S942" s="139">
        <f>IF(ISBLANK(Table1[[#This Row],[Date]]),"",Table1[[#This Row],[Date]]-WEEKDAY(Table1[[#This Row],[Date]],2)+1)</f>
        <v>44340</v>
      </c>
      <c r="T942" s="140">
        <f>IF(ISBLANK(Table1[[#This Row],[Date]]),"",DATE(Table1[[#This Row],[Date_Year]],Table1[[#This Row],[Date_Month]],1))</f>
        <v>44317</v>
      </c>
    </row>
    <row r="943" spans="2:20" ht="15.75">
      <c r="B943" s="154">
        <v>44344</v>
      </c>
      <c r="C943" s="119" t="s">
        <v>2311</v>
      </c>
      <c r="D943" s="119"/>
      <c r="E943" s="119"/>
      <c r="F943" s="155">
        <v>-286.31</v>
      </c>
      <c r="G943" s="133" t="str">
        <f>_xlfn.XLOOKUP(Table1[[#This Row],[Account_ID]], Accounts[ID], Accounts[Account nickname], "Unknown")</f>
        <v>Discover</v>
      </c>
      <c r="H943" s="134" t="str">
        <f>_xlfn.XLOOKUP(Table1[[#This Row],[Account_ID]], Accounts[ID], Accounts[Account'#], "Unknown")</f>
        <v>4618</v>
      </c>
      <c r="I943" s="135" t="str">
        <f>_xlfn.XLOOKUP(_xlfn.XLOOKUP(Table1[[#This Row],[Account]],Accounts[Account nickname],Accounts[Institution ID]),Institutions[ID],Institutions[Institution nickname],"Unknown")</f>
        <v>Discover</v>
      </c>
      <c r="J943" s="136" t="s">
        <v>2312</v>
      </c>
      <c r="K943" s="137" t="s">
        <v>843</v>
      </c>
      <c r="L943" s="137" t="s">
        <v>841</v>
      </c>
      <c r="M94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4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43" s="138" t="str" cm="1">
        <f t="array" ref="O943">IFERROR(INDEX(CategoriesTable[Category type],MATCH(Table1[[#This Row],[Category]],CategoriesTable[Category name],0),0),"")</f>
        <v/>
      </c>
      <c r="P943" s="138">
        <v>28</v>
      </c>
      <c r="Q943" s="138">
        <f>MONTH(Table1[[#This Row],[Date]])</f>
        <v>5</v>
      </c>
      <c r="R943" s="138">
        <v>2021</v>
      </c>
      <c r="S943" s="139">
        <f>IF(ISBLANK(Table1[[#This Row],[Date]]),"",Table1[[#This Row],[Date]]-WEEKDAY(Table1[[#This Row],[Date]],2)+1)</f>
        <v>44340</v>
      </c>
      <c r="T943" s="140">
        <f>IF(ISBLANK(Table1[[#This Row],[Date]]),"",DATE(Table1[[#This Row],[Date_Year]],Table1[[#This Row],[Date_Month]],1))</f>
        <v>44317</v>
      </c>
    </row>
    <row r="944" spans="2:20" ht="15.75">
      <c r="B944" s="154">
        <v>44344</v>
      </c>
      <c r="C944" s="119" t="s">
        <v>724</v>
      </c>
      <c r="D944" s="119"/>
      <c r="E944" s="119"/>
      <c r="F944" s="155">
        <v>-51.77</v>
      </c>
      <c r="G944" s="133" t="str">
        <f>_xlfn.XLOOKUP(Table1[[#This Row],[Account_ID]], Accounts[ID], Accounts[Account nickname], "Unknown")</f>
        <v>Discover</v>
      </c>
      <c r="H944" s="134" t="str">
        <f>_xlfn.XLOOKUP(Table1[[#This Row],[Account_ID]], Accounts[ID], Accounts[Account'#], "Unknown")</f>
        <v>4618</v>
      </c>
      <c r="I944" s="135" t="str">
        <f>_xlfn.XLOOKUP(_xlfn.XLOOKUP(Table1[[#This Row],[Account]],Accounts[Account nickname],Accounts[Institution ID]),Institutions[ID],Institutions[Institution nickname],"Unknown")</f>
        <v>Discover</v>
      </c>
      <c r="J944" s="136" t="s">
        <v>2313</v>
      </c>
      <c r="K944" s="137" t="s">
        <v>843</v>
      </c>
      <c r="L944" s="137" t="s">
        <v>841</v>
      </c>
      <c r="M94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4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44" s="138" t="str" cm="1">
        <f t="array" ref="O944">IFERROR(INDEX(CategoriesTable[Category type],MATCH(Table1[[#This Row],[Category]],CategoriesTable[Category name],0),0),"")</f>
        <v/>
      </c>
      <c r="P944" s="138">
        <v>28</v>
      </c>
      <c r="Q944" s="138">
        <f>MONTH(Table1[[#This Row],[Date]])</f>
        <v>5</v>
      </c>
      <c r="R944" s="138">
        <v>2021</v>
      </c>
      <c r="S944" s="139">
        <f>IF(ISBLANK(Table1[[#This Row],[Date]]),"",Table1[[#This Row],[Date]]-WEEKDAY(Table1[[#This Row],[Date]],2)+1)</f>
        <v>44340</v>
      </c>
      <c r="T944" s="140">
        <f>IF(ISBLANK(Table1[[#This Row],[Date]]),"",DATE(Table1[[#This Row],[Date_Year]],Table1[[#This Row],[Date_Month]],1))</f>
        <v>44317</v>
      </c>
    </row>
    <row r="945" spans="2:20" ht="15.75">
      <c r="B945" s="154">
        <v>44344</v>
      </c>
      <c r="C945" s="119" t="s">
        <v>728</v>
      </c>
      <c r="D945" s="119"/>
      <c r="E945" s="119"/>
      <c r="F945" s="155">
        <v>-500</v>
      </c>
      <c r="G945" s="133" t="str">
        <f>_xlfn.XLOOKUP(Table1[[#This Row],[Account_ID]], Accounts[ID], Accounts[Account nickname], "Unknown")</f>
        <v>WF</v>
      </c>
      <c r="H945" s="134" t="str">
        <f>_xlfn.XLOOKUP(Table1[[#This Row],[Account_ID]], Accounts[ID], Accounts[Account'#], "Unknown")</f>
        <v>4636</v>
      </c>
      <c r="I945" s="135" t="str">
        <f>_xlfn.XLOOKUP(_xlfn.XLOOKUP(Table1[[#This Row],[Account]],Accounts[Account nickname],Accounts[Institution ID]),Institutions[ID],Institutions[Institution nickname],"Unknown")</f>
        <v>Wells Fargo</v>
      </c>
      <c r="J945" s="136" t="s">
        <v>1116</v>
      </c>
      <c r="K945" s="137" t="s">
        <v>808</v>
      </c>
      <c r="L945" s="137" t="s">
        <v>807</v>
      </c>
      <c r="M94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4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45" s="138" t="str" cm="1">
        <f t="array" ref="O945">IFERROR(INDEX(CategoriesTable[Category type],MATCH(Table1[[#This Row],[Category]],CategoriesTable[Category name],0),0),"")</f>
        <v/>
      </c>
      <c r="P945" s="138">
        <v>28</v>
      </c>
      <c r="Q945" s="138">
        <f>MONTH(Table1[[#This Row],[Date]])</f>
        <v>5</v>
      </c>
      <c r="R945" s="138">
        <v>2021</v>
      </c>
      <c r="S945" s="139">
        <f>IF(ISBLANK(Table1[[#This Row],[Date]]),"",Table1[[#This Row],[Date]]-WEEKDAY(Table1[[#This Row],[Date]],2)+1)</f>
        <v>44340</v>
      </c>
      <c r="T945" s="140">
        <f>IF(ISBLANK(Table1[[#This Row],[Date]]),"",DATE(Table1[[#This Row],[Date_Year]],Table1[[#This Row],[Date_Month]],1))</f>
        <v>44317</v>
      </c>
    </row>
    <row r="946" spans="2:20" ht="15.75">
      <c r="B946" s="154">
        <v>44343</v>
      </c>
      <c r="C946" s="119" t="s">
        <v>693</v>
      </c>
      <c r="D946" s="119"/>
      <c r="E946" s="119"/>
      <c r="F946" s="155">
        <v>-140</v>
      </c>
      <c r="G946" s="133" t="str">
        <f>_xlfn.XLOOKUP(Table1[[#This Row],[Account_ID]], Accounts[ID], Accounts[Account nickname], "Unknown")</f>
        <v>WF</v>
      </c>
      <c r="H946" s="134" t="str">
        <f>_xlfn.XLOOKUP(Table1[[#This Row],[Account_ID]], Accounts[ID], Accounts[Account'#], "Unknown")</f>
        <v>4636</v>
      </c>
      <c r="I946" s="135" t="str">
        <f>_xlfn.XLOOKUP(_xlfn.XLOOKUP(Table1[[#This Row],[Account]],Accounts[Account nickname],Accounts[Institution ID]),Institutions[ID],Institutions[Institution nickname],"Unknown")</f>
        <v>Wells Fargo</v>
      </c>
      <c r="J946" s="136" t="s">
        <v>1117</v>
      </c>
      <c r="K946" s="137" t="s">
        <v>808</v>
      </c>
      <c r="L946" s="137" t="s">
        <v>807</v>
      </c>
      <c r="M94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4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46" s="138" t="str" cm="1">
        <f t="array" ref="O946">IFERROR(INDEX(CategoriesTable[Category type],MATCH(Table1[[#This Row],[Category]],CategoriesTable[Category name],0),0),"")</f>
        <v/>
      </c>
      <c r="P946" s="138">
        <v>27</v>
      </c>
      <c r="Q946" s="138">
        <f>MONTH(Table1[[#This Row],[Date]])</f>
        <v>5</v>
      </c>
      <c r="R946" s="138">
        <v>2021</v>
      </c>
      <c r="S946" s="139">
        <f>IF(ISBLANK(Table1[[#This Row],[Date]]),"",Table1[[#This Row],[Date]]-WEEKDAY(Table1[[#This Row],[Date]],2)+1)</f>
        <v>44340</v>
      </c>
      <c r="T946" s="140">
        <f>IF(ISBLANK(Table1[[#This Row],[Date]]),"",DATE(Table1[[#This Row],[Date_Year]],Table1[[#This Row],[Date_Month]],1))</f>
        <v>44317</v>
      </c>
    </row>
    <row r="947" spans="2:20" ht="15.75">
      <c r="B947" s="154">
        <v>44343</v>
      </c>
      <c r="C947" s="119" t="s">
        <v>788</v>
      </c>
      <c r="D947" s="119"/>
      <c r="E947" s="119"/>
      <c r="F947" s="155">
        <v>-26.35</v>
      </c>
      <c r="G947" s="133" t="str">
        <f>_xlfn.XLOOKUP(Table1[[#This Row],[Account_ID]], Accounts[ID], Accounts[Account nickname], "Unknown")</f>
        <v>Discover</v>
      </c>
      <c r="H947" s="134" t="str">
        <f>_xlfn.XLOOKUP(Table1[[#This Row],[Account_ID]], Accounts[ID], Accounts[Account'#], "Unknown")</f>
        <v>4618</v>
      </c>
      <c r="I947" s="135" t="str">
        <f>_xlfn.XLOOKUP(_xlfn.XLOOKUP(Table1[[#This Row],[Account]],Accounts[Account nickname],Accounts[Institution ID]),Institutions[ID],Institutions[Institution nickname],"Unknown")</f>
        <v>Discover</v>
      </c>
      <c r="J947" s="136" t="s">
        <v>2315</v>
      </c>
      <c r="K947" s="137" t="s">
        <v>843</v>
      </c>
      <c r="L947" s="137" t="s">
        <v>841</v>
      </c>
      <c r="M94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4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47" s="138" t="str" cm="1">
        <f t="array" ref="O947">IFERROR(INDEX(CategoriesTable[Category type],MATCH(Table1[[#This Row],[Category]],CategoriesTable[Category name],0),0),"")</f>
        <v/>
      </c>
      <c r="P947" s="138">
        <v>27</v>
      </c>
      <c r="Q947" s="138">
        <f>MONTH(Table1[[#This Row],[Date]])</f>
        <v>5</v>
      </c>
      <c r="R947" s="138">
        <v>2021</v>
      </c>
      <c r="S947" s="139">
        <f>IF(ISBLANK(Table1[[#This Row],[Date]]),"",Table1[[#This Row],[Date]]-WEEKDAY(Table1[[#This Row],[Date]],2)+1)</f>
        <v>44340</v>
      </c>
      <c r="T947" s="140">
        <f>IF(ISBLANK(Table1[[#This Row],[Date]]),"",DATE(Table1[[#This Row],[Date_Year]],Table1[[#This Row],[Date_Month]],1))</f>
        <v>44317</v>
      </c>
    </row>
    <row r="948" spans="2:20" ht="15.75">
      <c r="B948" s="154">
        <v>44343</v>
      </c>
      <c r="C948" s="119" t="s">
        <v>1679</v>
      </c>
      <c r="D948" s="119"/>
      <c r="E948" s="119"/>
      <c r="F948" s="155">
        <v>-9.99</v>
      </c>
      <c r="G948" s="133" t="str">
        <f>_xlfn.XLOOKUP(Table1[[#This Row],[Account_ID]], Accounts[ID], Accounts[Account nickname], "Unknown")</f>
        <v>Discover</v>
      </c>
      <c r="H948" s="134" t="str">
        <f>_xlfn.XLOOKUP(Table1[[#This Row],[Account_ID]], Accounts[ID], Accounts[Account'#], "Unknown")</f>
        <v>4618</v>
      </c>
      <c r="I948" s="135" t="str">
        <f>_xlfn.XLOOKUP(_xlfn.XLOOKUP(Table1[[#This Row],[Account]],Accounts[Account nickname],Accounts[Institution ID]),Institutions[ID],Institutions[Institution nickname],"Unknown")</f>
        <v>Discover</v>
      </c>
      <c r="J948" s="136" t="s">
        <v>2314</v>
      </c>
      <c r="K948" s="137" t="s">
        <v>843</v>
      </c>
      <c r="L948" s="137" t="s">
        <v>841</v>
      </c>
      <c r="M94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4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48" s="138" t="str" cm="1">
        <f t="array" ref="O948">IFERROR(INDEX(CategoriesTable[Category type],MATCH(Table1[[#This Row],[Category]],CategoriesTable[Category name],0),0),"")</f>
        <v/>
      </c>
      <c r="P948" s="138">
        <v>27</v>
      </c>
      <c r="Q948" s="138">
        <f>MONTH(Table1[[#This Row],[Date]])</f>
        <v>5</v>
      </c>
      <c r="R948" s="138">
        <v>2021</v>
      </c>
      <c r="S948" s="139">
        <f>IF(ISBLANK(Table1[[#This Row],[Date]]),"",Table1[[#This Row],[Date]]-WEEKDAY(Table1[[#This Row],[Date]],2)+1)</f>
        <v>44340</v>
      </c>
      <c r="T948" s="140">
        <f>IF(ISBLANK(Table1[[#This Row],[Date]]),"",DATE(Table1[[#This Row],[Date_Year]],Table1[[#This Row],[Date_Month]],1))</f>
        <v>44317</v>
      </c>
    </row>
    <row r="949" spans="2:20" ht="15.75">
      <c r="B949" s="154">
        <v>44342</v>
      </c>
      <c r="C949" s="119" t="s">
        <v>694</v>
      </c>
      <c r="D949" s="119"/>
      <c r="E949" s="119"/>
      <c r="F949" s="155">
        <v>-17.37</v>
      </c>
      <c r="G949" s="133" t="str">
        <f>_xlfn.XLOOKUP(Table1[[#This Row],[Account_ID]], Accounts[ID], Accounts[Account nickname], "Unknown")</f>
        <v>Discover</v>
      </c>
      <c r="H949" s="134" t="str">
        <f>_xlfn.XLOOKUP(Table1[[#This Row],[Account_ID]], Accounts[ID], Accounts[Account'#], "Unknown")</f>
        <v>4618</v>
      </c>
      <c r="I949" s="135" t="str">
        <f>_xlfn.XLOOKUP(_xlfn.XLOOKUP(Table1[[#This Row],[Account]],Accounts[Account nickname],Accounts[Institution ID]),Institutions[ID],Institutions[Institution nickname],"Unknown")</f>
        <v>Discover</v>
      </c>
      <c r="J949" s="136" t="s">
        <v>2316</v>
      </c>
      <c r="K949" s="137" t="s">
        <v>843</v>
      </c>
      <c r="L949" s="137" t="s">
        <v>841</v>
      </c>
      <c r="M94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4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49" s="138" t="str" cm="1">
        <f t="array" ref="O949">IFERROR(INDEX(CategoriesTable[Category type],MATCH(Table1[[#This Row],[Category]],CategoriesTable[Category name],0),0),"")</f>
        <v/>
      </c>
      <c r="P949" s="138">
        <v>26</v>
      </c>
      <c r="Q949" s="138">
        <f>MONTH(Table1[[#This Row],[Date]])</f>
        <v>5</v>
      </c>
      <c r="R949" s="138">
        <v>2021</v>
      </c>
      <c r="S949" s="139">
        <f>IF(ISBLANK(Table1[[#This Row],[Date]]),"",Table1[[#This Row],[Date]]-WEEKDAY(Table1[[#This Row],[Date]],2)+1)</f>
        <v>44340</v>
      </c>
      <c r="T949" s="140">
        <f>IF(ISBLANK(Table1[[#This Row],[Date]]),"",DATE(Table1[[#This Row],[Date_Year]],Table1[[#This Row],[Date_Month]],1))</f>
        <v>44317</v>
      </c>
    </row>
    <row r="950" spans="2:20" ht="15.75">
      <c r="B950" s="154">
        <v>44341</v>
      </c>
      <c r="C950" s="119" t="s">
        <v>910</v>
      </c>
      <c r="D950" s="119"/>
      <c r="E950" s="119"/>
      <c r="F950" s="155">
        <v>-5.29</v>
      </c>
      <c r="G950" s="133" t="str">
        <f>_xlfn.XLOOKUP(Table1[[#This Row],[Account_ID]], Accounts[ID], Accounts[Account nickname], "Unknown")</f>
        <v>Discover</v>
      </c>
      <c r="H950" s="134" t="str">
        <f>_xlfn.XLOOKUP(Table1[[#This Row],[Account_ID]], Accounts[ID], Accounts[Account'#], "Unknown")</f>
        <v>4618</v>
      </c>
      <c r="I950" s="135" t="str">
        <f>_xlfn.XLOOKUP(_xlfn.XLOOKUP(Table1[[#This Row],[Account]],Accounts[Account nickname],Accounts[Institution ID]),Institutions[ID],Institutions[Institution nickname],"Unknown")</f>
        <v>Discover</v>
      </c>
      <c r="J950" s="136" t="s">
        <v>2317</v>
      </c>
      <c r="K950" s="137" t="s">
        <v>843</v>
      </c>
      <c r="L950" s="137" t="s">
        <v>841</v>
      </c>
      <c r="M95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5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50" s="138" t="str" cm="1">
        <f t="array" ref="O950">IFERROR(INDEX(CategoriesTable[Category type],MATCH(Table1[[#This Row],[Category]],CategoriesTable[Category name],0),0),"")</f>
        <v/>
      </c>
      <c r="P950" s="138">
        <v>25</v>
      </c>
      <c r="Q950" s="138">
        <f>MONTH(Table1[[#This Row],[Date]])</f>
        <v>5</v>
      </c>
      <c r="R950" s="138">
        <v>2021</v>
      </c>
      <c r="S950" s="139">
        <f>IF(ISBLANK(Table1[[#This Row],[Date]]),"",Table1[[#This Row],[Date]]-WEEKDAY(Table1[[#This Row],[Date]],2)+1)</f>
        <v>44340</v>
      </c>
      <c r="T950" s="140">
        <f>IF(ISBLANK(Table1[[#This Row],[Date]]),"",DATE(Table1[[#This Row],[Date_Year]],Table1[[#This Row],[Date_Month]],1))</f>
        <v>44317</v>
      </c>
    </row>
    <row r="951" spans="2:20" ht="15.75">
      <c r="B951" s="154">
        <v>44341</v>
      </c>
      <c r="C951" s="119" t="s">
        <v>718</v>
      </c>
      <c r="D951" s="119"/>
      <c r="E951" s="119"/>
      <c r="F951" s="155">
        <v>-22.25</v>
      </c>
      <c r="G951" s="133" t="str">
        <f>_xlfn.XLOOKUP(Table1[[#This Row],[Account_ID]], Accounts[ID], Accounts[Account nickname], "Unknown")</f>
        <v>Discover</v>
      </c>
      <c r="H951" s="134" t="str">
        <f>_xlfn.XLOOKUP(Table1[[#This Row],[Account_ID]], Accounts[ID], Accounts[Account'#], "Unknown")</f>
        <v>4618</v>
      </c>
      <c r="I951" s="135" t="str">
        <f>_xlfn.XLOOKUP(_xlfn.XLOOKUP(Table1[[#This Row],[Account]],Accounts[Account nickname],Accounts[Institution ID]),Institutions[ID],Institutions[Institution nickname],"Unknown")</f>
        <v>Discover</v>
      </c>
      <c r="J951" s="136" t="s">
        <v>2320</v>
      </c>
      <c r="K951" s="137" t="s">
        <v>843</v>
      </c>
      <c r="L951" s="137" t="s">
        <v>841</v>
      </c>
      <c r="M95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5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51" s="138" t="str" cm="1">
        <f t="array" ref="O951">IFERROR(INDEX(CategoriesTable[Category type],MATCH(Table1[[#This Row],[Category]],CategoriesTable[Category name],0),0),"")</f>
        <v/>
      </c>
      <c r="P951" s="138">
        <v>25</v>
      </c>
      <c r="Q951" s="138">
        <f>MONTH(Table1[[#This Row],[Date]])</f>
        <v>5</v>
      </c>
      <c r="R951" s="138">
        <v>2021</v>
      </c>
      <c r="S951" s="139">
        <f>IF(ISBLANK(Table1[[#This Row],[Date]]),"",Table1[[#This Row],[Date]]-WEEKDAY(Table1[[#This Row],[Date]],2)+1)</f>
        <v>44340</v>
      </c>
      <c r="T951" s="140">
        <f>IF(ISBLANK(Table1[[#This Row],[Date]]),"",DATE(Table1[[#This Row],[Date_Year]],Table1[[#This Row],[Date_Month]],1))</f>
        <v>44317</v>
      </c>
    </row>
    <row r="952" spans="2:20" ht="15.75">
      <c r="B952" s="154">
        <v>44341</v>
      </c>
      <c r="C952" s="119" t="s">
        <v>694</v>
      </c>
      <c r="D952" s="119"/>
      <c r="E952" s="119"/>
      <c r="F952" s="155">
        <v>-12.59</v>
      </c>
      <c r="G952" s="133" t="str">
        <f>_xlfn.XLOOKUP(Table1[[#This Row],[Account_ID]], Accounts[ID], Accounts[Account nickname], "Unknown")</f>
        <v>Discover</v>
      </c>
      <c r="H952" s="134" t="str">
        <f>_xlfn.XLOOKUP(Table1[[#This Row],[Account_ID]], Accounts[ID], Accounts[Account'#], "Unknown")</f>
        <v>4618</v>
      </c>
      <c r="I952" s="135" t="str">
        <f>_xlfn.XLOOKUP(_xlfn.XLOOKUP(Table1[[#This Row],[Account]],Accounts[Account nickname],Accounts[Institution ID]),Institutions[ID],Institutions[Institution nickname],"Unknown")</f>
        <v>Discover</v>
      </c>
      <c r="J952" s="136" t="s">
        <v>2319</v>
      </c>
      <c r="K952" s="137" t="s">
        <v>843</v>
      </c>
      <c r="L952" s="137" t="s">
        <v>841</v>
      </c>
      <c r="M95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5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52" s="138" t="str" cm="1">
        <f t="array" ref="O952">IFERROR(INDEX(CategoriesTable[Category type],MATCH(Table1[[#This Row],[Category]],CategoriesTable[Category name],0),0),"")</f>
        <v/>
      </c>
      <c r="P952" s="138">
        <v>25</v>
      </c>
      <c r="Q952" s="138">
        <f>MONTH(Table1[[#This Row],[Date]])</f>
        <v>5</v>
      </c>
      <c r="R952" s="138">
        <v>2021</v>
      </c>
      <c r="S952" s="139">
        <f>IF(ISBLANK(Table1[[#This Row],[Date]]),"",Table1[[#This Row],[Date]]-WEEKDAY(Table1[[#This Row],[Date]],2)+1)</f>
        <v>44340</v>
      </c>
      <c r="T952" s="140">
        <f>IF(ISBLANK(Table1[[#This Row],[Date]]),"",DATE(Table1[[#This Row],[Date_Year]],Table1[[#This Row],[Date_Month]],1))</f>
        <v>44317</v>
      </c>
    </row>
    <row r="953" spans="2:20" ht="15.75">
      <c r="B953" s="154">
        <v>44341</v>
      </c>
      <c r="C953" s="119" t="s">
        <v>1917</v>
      </c>
      <c r="D953" s="119"/>
      <c r="E953" s="119"/>
      <c r="F953" s="155">
        <v>-35</v>
      </c>
      <c r="G953" s="133" t="str">
        <f>_xlfn.XLOOKUP(Table1[[#This Row],[Account_ID]], Accounts[ID], Accounts[Account nickname], "Unknown")</f>
        <v>Discover</v>
      </c>
      <c r="H953" s="134" t="str">
        <f>_xlfn.XLOOKUP(Table1[[#This Row],[Account_ID]], Accounts[ID], Accounts[Account'#], "Unknown")</f>
        <v>4618</v>
      </c>
      <c r="I953" s="135" t="str">
        <f>_xlfn.XLOOKUP(_xlfn.XLOOKUP(Table1[[#This Row],[Account]],Accounts[Account nickname],Accounts[Institution ID]),Institutions[ID],Institutions[Institution nickname],"Unknown")</f>
        <v>Discover</v>
      </c>
      <c r="J953" s="136" t="s">
        <v>2318</v>
      </c>
      <c r="K953" s="137" t="s">
        <v>843</v>
      </c>
      <c r="L953" s="137" t="s">
        <v>841</v>
      </c>
      <c r="M95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5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53" s="138" t="str" cm="1">
        <f t="array" ref="O953">IFERROR(INDEX(CategoriesTable[Category type],MATCH(Table1[[#This Row],[Category]],CategoriesTable[Category name],0),0),"")</f>
        <v/>
      </c>
      <c r="P953" s="138">
        <v>25</v>
      </c>
      <c r="Q953" s="138">
        <f>MONTH(Table1[[#This Row],[Date]])</f>
        <v>5</v>
      </c>
      <c r="R953" s="138">
        <v>2021</v>
      </c>
      <c r="S953" s="139">
        <f>IF(ISBLANK(Table1[[#This Row],[Date]]),"",Table1[[#This Row],[Date]]-WEEKDAY(Table1[[#This Row],[Date]],2)+1)</f>
        <v>44340</v>
      </c>
      <c r="T953" s="140">
        <f>IF(ISBLANK(Table1[[#This Row],[Date]]),"",DATE(Table1[[#This Row],[Date_Year]],Table1[[#This Row],[Date_Month]],1))</f>
        <v>44317</v>
      </c>
    </row>
    <row r="954" spans="2:20" ht="15.75">
      <c r="B954" s="154">
        <v>44341</v>
      </c>
      <c r="C954" s="119" t="s">
        <v>678</v>
      </c>
      <c r="D954" s="119"/>
      <c r="E954" s="119"/>
      <c r="F954" s="155">
        <v>-215.27</v>
      </c>
      <c r="G954" s="133" t="str">
        <f>_xlfn.XLOOKUP(Table1[[#This Row],[Account_ID]], Accounts[ID], Accounts[Account nickname], "Unknown")</f>
        <v>WF</v>
      </c>
      <c r="H954" s="134" t="str">
        <f>_xlfn.XLOOKUP(Table1[[#This Row],[Account_ID]], Accounts[ID], Accounts[Account'#], "Unknown")</f>
        <v>4636</v>
      </c>
      <c r="I954" s="135" t="str">
        <f>_xlfn.XLOOKUP(_xlfn.XLOOKUP(Table1[[#This Row],[Account]],Accounts[Account nickname],Accounts[Institution ID]),Institutions[ID],Institutions[Institution nickname],"Unknown")</f>
        <v>Wells Fargo</v>
      </c>
      <c r="J954" s="136" t="s">
        <v>1118</v>
      </c>
      <c r="K954" s="137" t="s">
        <v>808</v>
      </c>
      <c r="L954" s="137" t="s">
        <v>807</v>
      </c>
      <c r="M95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5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54" s="138" t="str" cm="1">
        <f t="array" ref="O954">IFERROR(INDEX(CategoriesTable[Category type],MATCH(Table1[[#This Row],[Category]],CategoriesTable[Category name],0),0),"")</f>
        <v/>
      </c>
      <c r="P954" s="138">
        <v>25</v>
      </c>
      <c r="Q954" s="138">
        <f>MONTH(Table1[[#This Row],[Date]])</f>
        <v>5</v>
      </c>
      <c r="R954" s="138">
        <v>2021</v>
      </c>
      <c r="S954" s="139">
        <f>IF(ISBLANK(Table1[[#This Row],[Date]]),"",Table1[[#This Row],[Date]]-WEEKDAY(Table1[[#This Row],[Date]],2)+1)</f>
        <v>44340</v>
      </c>
      <c r="T954" s="140">
        <f>IF(ISBLANK(Table1[[#This Row],[Date]]),"",DATE(Table1[[#This Row],[Date_Year]],Table1[[#This Row],[Date_Month]],1))</f>
        <v>44317</v>
      </c>
    </row>
    <row r="955" spans="2:20" ht="15.75">
      <c r="B955" s="154">
        <v>44340</v>
      </c>
      <c r="C955" s="119" t="s">
        <v>2321</v>
      </c>
      <c r="D955" s="119"/>
      <c r="E955" s="119"/>
      <c r="F955" s="155">
        <v>-2</v>
      </c>
      <c r="G955" s="133" t="str">
        <f>_xlfn.XLOOKUP(Table1[[#This Row],[Account_ID]], Accounts[ID], Accounts[Account nickname], "Unknown")</f>
        <v>Discover</v>
      </c>
      <c r="H955" s="134" t="str">
        <f>_xlfn.XLOOKUP(Table1[[#This Row],[Account_ID]], Accounts[ID], Accounts[Account'#], "Unknown")</f>
        <v>4618</v>
      </c>
      <c r="I955" s="135" t="str">
        <f>_xlfn.XLOOKUP(_xlfn.XLOOKUP(Table1[[#This Row],[Account]],Accounts[Account nickname],Accounts[Institution ID]),Institutions[ID],Institutions[Institution nickname],"Unknown")</f>
        <v>Discover</v>
      </c>
      <c r="J955" s="136" t="s">
        <v>2322</v>
      </c>
      <c r="K955" s="137" t="s">
        <v>843</v>
      </c>
      <c r="L955" s="137" t="s">
        <v>841</v>
      </c>
      <c r="M95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5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55" s="138" t="str" cm="1">
        <f t="array" ref="O955">IFERROR(INDEX(CategoriesTable[Category type],MATCH(Table1[[#This Row],[Category]],CategoriesTable[Category name],0),0),"")</f>
        <v/>
      </c>
      <c r="P955" s="138">
        <v>24</v>
      </c>
      <c r="Q955" s="138">
        <f>MONTH(Table1[[#This Row],[Date]])</f>
        <v>5</v>
      </c>
      <c r="R955" s="138">
        <v>2021</v>
      </c>
      <c r="S955" s="139">
        <f>IF(ISBLANK(Table1[[#This Row],[Date]]),"",Table1[[#This Row],[Date]]-WEEKDAY(Table1[[#This Row],[Date]],2)+1)</f>
        <v>44340</v>
      </c>
      <c r="T955" s="140">
        <f>IF(ISBLANK(Table1[[#This Row],[Date]]),"",DATE(Table1[[#This Row],[Date_Year]],Table1[[#This Row],[Date_Month]],1))</f>
        <v>44317</v>
      </c>
    </row>
    <row r="956" spans="2:20" ht="15.75">
      <c r="B956" s="154">
        <v>44340</v>
      </c>
      <c r="C956" s="119" t="s">
        <v>845</v>
      </c>
      <c r="D956" s="119"/>
      <c r="E956" s="119"/>
      <c r="F956" s="155">
        <v>1412.32</v>
      </c>
      <c r="G956" s="133" t="str">
        <f>_xlfn.XLOOKUP(Table1[[#This Row],[Account_ID]], Accounts[ID], Accounts[Account nickname], "Unknown")</f>
        <v>Discover</v>
      </c>
      <c r="H956" s="134" t="str">
        <f>_xlfn.XLOOKUP(Table1[[#This Row],[Account_ID]], Accounts[ID], Accounts[Account'#], "Unknown")</f>
        <v>4618</v>
      </c>
      <c r="I956" s="135" t="str">
        <f>_xlfn.XLOOKUP(_xlfn.XLOOKUP(Table1[[#This Row],[Account]],Accounts[Account nickname],Accounts[Institution ID]),Institutions[ID],Institutions[Institution nickname],"Unknown")</f>
        <v>Discover</v>
      </c>
      <c r="J956" s="136" t="s">
        <v>2323</v>
      </c>
      <c r="K956" s="137" t="s">
        <v>843</v>
      </c>
      <c r="L956" s="137" t="s">
        <v>841</v>
      </c>
      <c r="M95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5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56" s="138" t="str" cm="1">
        <f t="array" ref="O956">IFERROR(INDEX(CategoriesTable[Category type],MATCH(Table1[[#This Row],[Category]],CategoriesTable[Category name],0),0),"")</f>
        <v/>
      </c>
      <c r="P956" s="138">
        <v>24</v>
      </c>
      <c r="Q956" s="138">
        <f>MONTH(Table1[[#This Row],[Date]])</f>
        <v>5</v>
      </c>
      <c r="R956" s="138">
        <v>2021</v>
      </c>
      <c r="S956" s="139">
        <f>IF(ISBLANK(Table1[[#This Row],[Date]]),"",Table1[[#This Row],[Date]]-WEEKDAY(Table1[[#This Row],[Date]],2)+1)</f>
        <v>44340</v>
      </c>
      <c r="T956" s="140">
        <f>IF(ISBLANK(Table1[[#This Row],[Date]]),"",DATE(Table1[[#This Row],[Date_Year]],Table1[[#This Row],[Date_Month]],1))</f>
        <v>44317</v>
      </c>
    </row>
    <row r="957" spans="2:20" ht="15.75">
      <c r="B957" s="154">
        <v>44340</v>
      </c>
      <c r="C957" s="119" t="s">
        <v>678</v>
      </c>
      <c r="D957" s="119"/>
      <c r="E957" s="119"/>
      <c r="F957" s="155">
        <v>815.63</v>
      </c>
      <c r="G957" s="133" t="str">
        <f>_xlfn.XLOOKUP(Table1[[#This Row],[Account_ID]], Accounts[ID], Accounts[Account nickname], "Unknown")</f>
        <v>WF</v>
      </c>
      <c r="H957" s="134" t="str">
        <f>_xlfn.XLOOKUP(Table1[[#This Row],[Account_ID]], Accounts[ID], Accounts[Account'#], "Unknown")</f>
        <v>4636</v>
      </c>
      <c r="I957" s="135" t="str">
        <f>_xlfn.XLOOKUP(_xlfn.XLOOKUP(Table1[[#This Row],[Account]],Accounts[Account nickname],Accounts[Institution ID]),Institutions[ID],Institutions[Institution nickname],"Unknown")</f>
        <v>Wells Fargo</v>
      </c>
      <c r="J957" s="136" t="s">
        <v>1120</v>
      </c>
      <c r="K957" s="137" t="s">
        <v>808</v>
      </c>
      <c r="L957" s="137" t="s">
        <v>807</v>
      </c>
      <c r="M95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5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57" s="138" t="str" cm="1">
        <f t="array" ref="O957">IFERROR(INDEX(CategoriesTable[Category type],MATCH(Table1[[#This Row],[Category]],CategoriesTable[Category name],0),0),"")</f>
        <v/>
      </c>
      <c r="P957" s="138">
        <v>24</v>
      </c>
      <c r="Q957" s="138">
        <f>MONTH(Table1[[#This Row],[Date]])</f>
        <v>5</v>
      </c>
      <c r="R957" s="138">
        <v>2021</v>
      </c>
      <c r="S957" s="139">
        <f>IF(ISBLANK(Table1[[#This Row],[Date]]),"",Table1[[#This Row],[Date]]-WEEKDAY(Table1[[#This Row],[Date]],2)+1)</f>
        <v>44340</v>
      </c>
      <c r="T957" s="140">
        <f>IF(ISBLANK(Table1[[#This Row],[Date]]),"",DATE(Table1[[#This Row],[Date_Year]],Table1[[#This Row],[Date_Month]],1))</f>
        <v>44317</v>
      </c>
    </row>
    <row r="958" spans="2:20" ht="15.75">
      <c r="B958" s="154">
        <v>44340</v>
      </c>
      <c r="C958" s="119" t="s">
        <v>686</v>
      </c>
      <c r="D958" s="119"/>
      <c r="E958" s="119"/>
      <c r="F958" s="155">
        <v>-1412.32</v>
      </c>
      <c r="G958" s="133" t="str">
        <f>_xlfn.XLOOKUP(Table1[[#This Row],[Account_ID]], Accounts[ID], Accounts[Account nickname], "Unknown")</f>
        <v>WF</v>
      </c>
      <c r="H958" s="134" t="str">
        <f>_xlfn.XLOOKUP(Table1[[#This Row],[Account_ID]], Accounts[ID], Accounts[Account'#], "Unknown")</f>
        <v>4636</v>
      </c>
      <c r="I958" s="135" t="str">
        <f>_xlfn.XLOOKUP(_xlfn.XLOOKUP(Table1[[#This Row],[Account]],Accounts[Account nickname],Accounts[Institution ID]),Institutions[ID],Institutions[Institution nickname],"Unknown")</f>
        <v>Wells Fargo</v>
      </c>
      <c r="J958" s="136" t="s">
        <v>1119</v>
      </c>
      <c r="K958" s="137" t="s">
        <v>808</v>
      </c>
      <c r="L958" s="137" t="s">
        <v>807</v>
      </c>
      <c r="M95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5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58" s="138" t="str" cm="1">
        <f t="array" ref="O958">IFERROR(INDEX(CategoriesTable[Category type],MATCH(Table1[[#This Row],[Category]],CategoriesTable[Category name],0),0),"")</f>
        <v/>
      </c>
      <c r="P958" s="138">
        <v>24</v>
      </c>
      <c r="Q958" s="138">
        <f>MONTH(Table1[[#This Row],[Date]])</f>
        <v>5</v>
      </c>
      <c r="R958" s="138">
        <v>2021</v>
      </c>
      <c r="S958" s="139">
        <f>IF(ISBLANK(Table1[[#This Row],[Date]]),"",Table1[[#This Row],[Date]]-WEEKDAY(Table1[[#This Row],[Date]],2)+1)</f>
        <v>44340</v>
      </c>
      <c r="T958" s="140">
        <f>IF(ISBLANK(Table1[[#This Row],[Date]]),"",DATE(Table1[[#This Row],[Date_Year]],Table1[[#This Row],[Date_Month]],1))</f>
        <v>44317</v>
      </c>
    </row>
    <row r="959" spans="2:20" ht="15.75">
      <c r="B959" s="154">
        <v>44340</v>
      </c>
      <c r="C959" s="119" t="s">
        <v>694</v>
      </c>
      <c r="D959" s="119"/>
      <c r="E959" s="119"/>
      <c r="F959" s="155">
        <v>-12.59</v>
      </c>
      <c r="G959" s="133" t="str">
        <f>_xlfn.XLOOKUP(Table1[[#This Row],[Account_ID]], Accounts[ID], Accounts[Account nickname], "Unknown")</f>
        <v>Discover</v>
      </c>
      <c r="H959" s="134" t="str">
        <f>_xlfn.XLOOKUP(Table1[[#This Row],[Account_ID]], Accounts[ID], Accounts[Account'#], "Unknown")</f>
        <v>4618</v>
      </c>
      <c r="I959" s="135" t="str">
        <f>_xlfn.XLOOKUP(_xlfn.XLOOKUP(Table1[[#This Row],[Account]],Accounts[Account nickname],Accounts[Institution ID]),Institutions[ID],Institutions[Institution nickname],"Unknown")</f>
        <v>Discover</v>
      </c>
      <c r="J959" s="136" t="s">
        <v>2324</v>
      </c>
      <c r="K959" s="137" t="s">
        <v>843</v>
      </c>
      <c r="L959" s="137" t="s">
        <v>841</v>
      </c>
      <c r="M95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5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59" s="138" t="str" cm="1">
        <f t="array" ref="O959">IFERROR(INDEX(CategoriesTable[Category type],MATCH(Table1[[#This Row],[Category]],CategoriesTable[Category name],0),0),"")</f>
        <v/>
      </c>
      <c r="P959" s="138">
        <v>24</v>
      </c>
      <c r="Q959" s="138">
        <f>MONTH(Table1[[#This Row],[Date]])</f>
        <v>5</v>
      </c>
      <c r="R959" s="138">
        <v>2021</v>
      </c>
      <c r="S959" s="139">
        <f>IF(ISBLANK(Table1[[#This Row],[Date]]),"",Table1[[#This Row],[Date]]-WEEKDAY(Table1[[#This Row],[Date]],2)+1)</f>
        <v>44340</v>
      </c>
      <c r="T959" s="140">
        <f>IF(ISBLANK(Table1[[#This Row],[Date]]),"",DATE(Table1[[#This Row],[Date_Year]],Table1[[#This Row],[Date_Month]],1))</f>
        <v>44317</v>
      </c>
    </row>
    <row r="960" spans="2:20" ht="15.75">
      <c r="B960" s="154">
        <v>44339</v>
      </c>
      <c r="C960" s="119" t="s">
        <v>1917</v>
      </c>
      <c r="D960" s="119"/>
      <c r="E960" s="119"/>
      <c r="F960" s="155">
        <v>-35</v>
      </c>
      <c r="G960" s="133" t="str">
        <f>_xlfn.XLOOKUP(Table1[[#This Row],[Account_ID]], Accounts[ID], Accounts[Account nickname], "Unknown")</f>
        <v>Discover</v>
      </c>
      <c r="H960" s="134" t="str">
        <f>_xlfn.XLOOKUP(Table1[[#This Row],[Account_ID]], Accounts[ID], Accounts[Account'#], "Unknown")</f>
        <v>4618</v>
      </c>
      <c r="I960" s="135" t="str">
        <f>_xlfn.XLOOKUP(_xlfn.XLOOKUP(Table1[[#This Row],[Account]],Accounts[Account nickname],Accounts[Institution ID]),Institutions[ID],Institutions[Institution nickname],"Unknown")</f>
        <v>Discover</v>
      </c>
      <c r="J960" s="136" t="s">
        <v>2325</v>
      </c>
      <c r="K960" s="137" t="s">
        <v>843</v>
      </c>
      <c r="L960" s="137" t="s">
        <v>841</v>
      </c>
      <c r="M96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6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60" s="138" t="str" cm="1">
        <f t="array" ref="O960">IFERROR(INDEX(CategoriesTable[Category type],MATCH(Table1[[#This Row],[Category]],CategoriesTable[Category name],0),0),"")</f>
        <v/>
      </c>
      <c r="P960" s="138">
        <v>23</v>
      </c>
      <c r="Q960" s="138">
        <f>MONTH(Table1[[#This Row],[Date]])</f>
        <v>5</v>
      </c>
      <c r="R960" s="138">
        <v>2021</v>
      </c>
      <c r="S960" s="139">
        <f>IF(ISBLANK(Table1[[#This Row],[Date]]),"",Table1[[#This Row],[Date]]-WEEKDAY(Table1[[#This Row],[Date]],2)+1)</f>
        <v>44333</v>
      </c>
      <c r="T960" s="140">
        <f>IF(ISBLANK(Table1[[#This Row],[Date]]),"",DATE(Table1[[#This Row],[Date_Year]],Table1[[#This Row],[Date_Month]],1))</f>
        <v>44317</v>
      </c>
    </row>
    <row r="961" spans="2:20" ht="15.75">
      <c r="B961" s="154">
        <v>44338</v>
      </c>
      <c r="C961" s="119" t="s">
        <v>2326</v>
      </c>
      <c r="D961" s="119"/>
      <c r="E961" s="119"/>
      <c r="F961" s="155">
        <v>-50.7</v>
      </c>
      <c r="G961" s="133" t="str">
        <f>_xlfn.XLOOKUP(Table1[[#This Row],[Account_ID]], Accounts[ID], Accounts[Account nickname], "Unknown")</f>
        <v>Discover</v>
      </c>
      <c r="H961" s="134" t="str">
        <f>_xlfn.XLOOKUP(Table1[[#This Row],[Account_ID]], Accounts[ID], Accounts[Account'#], "Unknown")</f>
        <v>4618</v>
      </c>
      <c r="I961" s="135" t="str">
        <f>_xlfn.XLOOKUP(_xlfn.XLOOKUP(Table1[[#This Row],[Account]],Accounts[Account nickname],Accounts[Institution ID]),Institutions[ID],Institutions[Institution nickname],"Unknown")</f>
        <v>Discover</v>
      </c>
      <c r="J961" s="136" t="s">
        <v>2327</v>
      </c>
      <c r="K961" s="137" t="s">
        <v>843</v>
      </c>
      <c r="L961" s="137" t="s">
        <v>841</v>
      </c>
      <c r="M96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6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61" s="138" t="str" cm="1">
        <f t="array" ref="O961">IFERROR(INDEX(CategoriesTable[Category type],MATCH(Table1[[#This Row],[Category]],CategoriesTable[Category name],0),0),"")</f>
        <v/>
      </c>
      <c r="P961" s="138">
        <v>22</v>
      </c>
      <c r="Q961" s="138">
        <f>MONTH(Table1[[#This Row],[Date]])</f>
        <v>5</v>
      </c>
      <c r="R961" s="138">
        <v>2021</v>
      </c>
      <c r="S961" s="139">
        <f>IF(ISBLANK(Table1[[#This Row],[Date]]),"",Table1[[#This Row],[Date]]-WEEKDAY(Table1[[#This Row],[Date]],2)+1)</f>
        <v>44333</v>
      </c>
      <c r="T961" s="140">
        <f>IF(ISBLANK(Table1[[#This Row],[Date]]),"",DATE(Table1[[#This Row],[Date_Year]],Table1[[#This Row],[Date_Month]],1))</f>
        <v>44317</v>
      </c>
    </row>
    <row r="962" spans="2:20" ht="15.75">
      <c r="B962" s="154">
        <v>44338</v>
      </c>
      <c r="C962" s="119" t="s">
        <v>2328</v>
      </c>
      <c r="D962" s="119"/>
      <c r="E962" s="119"/>
      <c r="F962" s="155">
        <v>-37.89</v>
      </c>
      <c r="G962" s="133" t="str">
        <f>_xlfn.XLOOKUP(Table1[[#This Row],[Account_ID]], Accounts[ID], Accounts[Account nickname], "Unknown")</f>
        <v>Discover</v>
      </c>
      <c r="H962" s="134" t="str">
        <f>_xlfn.XLOOKUP(Table1[[#This Row],[Account_ID]], Accounts[ID], Accounts[Account'#], "Unknown")</f>
        <v>4618</v>
      </c>
      <c r="I962" s="135" t="str">
        <f>_xlfn.XLOOKUP(_xlfn.XLOOKUP(Table1[[#This Row],[Account]],Accounts[Account nickname],Accounts[Institution ID]),Institutions[ID],Institutions[Institution nickname],"Unknown")</f>
        <v>Discover</v>
      </c>
      <c r="J962" s="136" t="s">
        <v>2329</v>
      </c>
      <c r="K962" s="137" t="s">
        <v>843</v>
      </c>
      <c r="L962" s="137" t="s">
        <v>841</v>
      </c>
      <c r="M96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6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62" s="138" t="str" cm="1">
        <f t="array" ref="O962">IFERROR(INDEX(CategoriesTable[Category type],MATCH(Table1[[#This Row],[Category]],CategoriesTable[Category name],0),0),"")</f>
        <v/>
      </c>
      <c r="P962" s="138">
        <v>22</v>
      </c>
      <c r="Q962" s="138">
        <f>MONTH(Table1[[#This Row],[Date]])</f>
        <v>5</v>
      </c>
      <c r="R962" s="138">
        <v>2021</v>
      </c>
      <c r="S962" s="139">
        <f>IF(ISBLANK(Table1[[#This Row],[Date]]),"",Table1[[#This Row],[Date]]-WEEKDAY(Table1[[#This Row],[Date]],2)+1)</f>
        <v>44333</v>
      </c>
      <c r="T962" s="140">
        <f>IF(ISBLANK(Table1[[#This Row],[Date]]),"",DATE(Table1[[#This Row],[Date_Year]],Table1[[#This Row],[Date_Month]],1))</f>
        <v>44317</v>
      </c>
    </row>
    <row r="963" spans="2:20" ht="15.75">
      <c r="B963" s="154">
        <v>44338</v>
      </c>
      <c r="C963" s="119" t="s">
        <v>756</v>
      </c>
      <c r="D963" s="119"/>
      <c r="E963" s="119"/>
      <c r="F963" s="155">
        <v>-50</v>
      </c>
      <c r="G963" s="133" t="str">
        <f>_xlfn.XLOOKUP(Table1[[#This Row],[Account_ID]], Accounts[ID], Accounts[Account nickname], "Unknown")</f>
        <v>WF</v>
      </c>
      <c r="H963" s="134" t="str">
        <f>_xlfn.XLOOKUP(Table1[[#This Row],[Account_ID]], Accounts[ID], Accounts[Account'#], "Unknown")</f>
        <v>4636</v>
      </c>
      <c r="I963" s="135" t="str">
        <f>_xlfn.XLOOKUP(_xlfn.XLOOKUP(Table1[[#This Row],[Account]],Accounts[Account nickname],Accounts[Institution ID]),Institutions[ID],Institutions[Institution nickname],"Unknown")</f>
        <v>Wells Fargo</v>
      </c>
      <c r="J963" s="136" t="s">
        <v>1121</v>
      </c>
      <c r="K963" s="137" t="s">
        <v>808</v>
      </c>
      <c r="L963" s="137" t="s">
        <v>807</v>
      </c>
      <c r="M96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6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63" s="138" t="str" cm="1">
        <f t="array" ref="O963">IFERROR(INDEX(CategoriesTable[Category type],MATCH(Table1[[#This Row],[Category]],CategoriesTable[Category name],0),0),"")</f>
        <v/>
      </c>
      <c r="P963" s="138">
        <v>22</v>
      </c>
      <c r="Q963" s="138">
        <f>MONTH(Table1[[#This Row],[Date]])</f>
        <v>5</v>
      </c>
      <c r="R963" s="138">
        <v>2021</v>
      </c>
      <c r="S963" s="139">
        <f>IF(ISBLANK(Table1[[#This Row],[Date]]),"",Table1[[#This Row],[Date]]-WEEKDAY(Table1[[#This Row],[Date]],2)+1)</f>
        <v>44333</v>
      </c>
      <c r="T963" s="140">
        <f>IF(ISBLANK(Table1[[#This Row],[Date]]),"",DATE(Table1[[#This Row],[Date_Year]],Table1[[#This Row],[Date_Month]],1))</f>
        <v>44317</v>
      </c>
    </row>
    <row r="964" spans="2:20" ht="15.75">
      <c r="B964" s="154">
        <v>44337</v>
      </c>
      <c r="C964" s="119" t="s">
        <v>706</v>
      </c>
      <c r="D964" s="119"/>
      <c r="E964" s="119"/>
      <c r="F964" s="155">
        <v>-31.25</v>
      </c>
      <c r="G964" s="133" t="str">
        <f>_xlfn.XLOOKUP(Table1[[#This Row],[Account_ID]], Accounts[ID], Accounts[Account nickname], "Unknown")</f>
        <v>Discover</v>
      </c>
      <c r="H964" s="134" t="str">
        <f>_xlfn.XLOOKUP(Table1[[#This Row],[Account_ID]], Accounts[ID], Accounts[Account'#], "Unknown")</f>
        <v>4618</v>
      </c>
      <c r="I964" s="135" t="str">
        <f>_xlfn.XLOOKUP(_xlfn.XLOOKUP(Table1[[#This Row],[Account]],Accounts[Account nickname],Accounts[Institution ID]),Institutions[ID],Institutions[Institution nickname],"Unknown")</f>
        <v>Discover</v>
      </c>
      <c r="J964" s="136" t="s">
        <v>2333</v>
      </c>
      <c r="K964" s="137" t="s">
        <v>843</v>
      </c>
      <c r="L964" s="137" t="s">
        <v>841</v>
      </c>
      <c r="M96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6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64" s="138" t="str" cm="1">
        <f t="array" ref="O964">IFERROR(INDEX(CategoriesTable[Category type],MATCH(Table1[[#This Row],[Category]],CategoriesTable[Category name],0),0),"")</f>
        <v/>
      </c>
      <c r="P964" s="138">
        <v>21</v>
      </c>
      <c r="Q964" s="138">
        <f>MONTH(Table1[[#This Row],[Date]])</f>
        <v>5</v>
      </c>
      <c r="R964" s="138">
        <v>2021</v>
      </c>
      <c r="S964" s="139">
        <f>IF(ISBLANK(Table1[[#This Row],[Date]]),"",Table1[[#This Row],[Date]]-WEEKDAY(Table1[[#This Row],[Date]],2)+1)</f>
        <v>44333</v>
      </c>
      <c r="T964" s="140">
        <f>IF(ISBLANK(Table1[[#This Row],[Date]]),"",DATE(Table1[[#This Row],[Date_Year]],Table1[[#This Row],[Date_Month]],1))</f>
        <v>44317</v>
      </c>
    </row>
    <row r="965" spans="2:20" ht="15.75">
      <c r="B965" s="154">
        <v>44337</v>
      </c>
      <c r="C965" s="119" t="s">
        <v>2330</v>
      </c>
      <c r="D965" s="119"/>
      <c r="E965" s="119"/>
      <c r="F965" s="155">
        <v>-16</v>
      </c>
      <c r="G965" s="133" t="str">
        <f>_xlfn.XLOOKUP(Table1[[#This Row],[Account_ID]], Accounts[ID], Accounts[Account nickname], "Unknown")</f>
        <v>Discover</v>
      </c>
      <c r="H965" s="134" t="str">
        <f>_xlfn.XLOOKUP(Table1[[#This Row],[Account_ID]], Accounts[ID], Accounts[Account'#], "Unknown")</f>
        <v>4618</v>
      </c>
      <c r="I965" s="135" t="str">
        <f>_xlfn.XLOOKUP(_xlfn.XLOOKUP(Table1[[#This Row],[Account]],Accounts[Account nickname],Accounts[Institution ID]),Institutions[ID],Institutions[Institution nickname],"Unknown")</f>
        <v>Discover</v>
      </c>
      <c r="J965" s="136" t="s">
        <v>2331</v>
      </c>
      <c r="K965" s="137" t="s">
        <v>843</v>
      </c>
      <c r="L965" s="137" t="s">
        <v>841</v>
      </c>
      <c r="M96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6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65" s="138" t="str" cm="1">
        <f t="array" ref="O965">IFERROR(INDEX(CategoriesTable[Category type],MATCH(Table1[[#This Row],[Category]],CategoriesTable[Category name],0),0),"")</f>
        <v/>
      </c>
      <c r="P965" s="138">
        <v>21</v>
      </c>
      <c r="Q965" s="138">
        <f>MONTH(Table1[[#This Row],[Date]])</f>
        <v>5</v>
      </c>
      <c r="R965" s="138">
        <v>2021</v>
      </c>
      <c r="S965" s="139">
        <f>IF(ISBLANK(Table1[[#This Row],[Date]]),"",Table1[[#This Row],[Date]]-WEEKDAY(Table1[[#This Row],[Date]],2)+1)</f>
        <v>44333</v>
      </c>
      <c r="T965" s="140">
        <f>IF(ISBLANK(Table1[[#This Row],[Date]]),"",DATE(Table1[[#This Row],[Date_Year]],Table1[[#This Row],[Date_Month]],1))</f>
        <v>44317</v>
      </c>
    </row>
    <row r="966" spans="2:20" ht="15.75">
      <c r="B966" s="154">
        <v>44337</v>
      </c>
      <c r="C966" s="119" t="s">
        <v>757</v>
      </c>
      <c r="D966" s="119"/>
      <c r="E966" s="119"/>
      <c r="F966" s="155">
        <v>-50</v>
      </c>
      <c r="G966" s="133" t="str">
        <f>_xlfn.XLOOKUP(Table1[[#This Row],[Account_ID]], Accounts[ID], Accounts[Account nickname], "Unknown")</f>
        <v>WF</v>
      </c>
      <c r="H966" s="134" t="str">
        <f>_xlfn.XLOOKUP(Table1[[#This Row],[Account_ID]], Accounts[ID], Accounts[Account'#], "Unknown")</f>
        <v>4636</v>
      </c>
      <c r="I966" s="135" t="str">
        <f>_xlfn.XLOOKUP(_xlfn.XLOOKUP(Table1[[#This Row],[Account]],Accounts[Account nickname],Accounts[Institution ID]),Institutions[ID],Institutions[Institution nickname],"Unknown")</f>
        <v>Wells Fargo</v>
      </c>
      <c r="J966" s="136" t="s">
        <v>1123</v>
      </c>
      <c r="K966" s="137" t="s">
        <v>808</v>
      </c>
      <c r="L966" s="137" t="s">
        <v>807</v>
      </c>
      <c r="M96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6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66" s="138" t="str" cm="1">
        <f t="array" ref="O966">IFERROR(INDEX(CategoriesTable[Category type],MATCH(Table1[[#This Row],[Category]],CategoriesTable[Category name],0),0),"")</f>
        <v/>
      </c>
      <c r="P966" s="138">
        <v>21</v>
      </c>
      <c r="Q966" s="138">
        <f>MONTH(Table1[[#This Row],[Date]])</f>
        <v>5</v>
      </c>
      <c r="R966" s="138">
        <v>2021</v>
      </c>
      <c r="S966" s="139">
        <f>IF(ISBLANK(Table1[[#This Row],[Date]]),"",Table1[[#This Row],[Date]]-WEEKDAY(Table1[[#This Row],[Date]],2)+1)</f>
        <v>44333</v>
      </c>
      <c r="T966" s="140">
        <f>IF(ISBLANK(Table1[[#This Row],[Date]]),"",DATE(Table1[[#This Row],[Date_Year]],Table1[[#This Row],[Date_Month]],1))</f>
        <v>44317</v>
      </c>
    </row>
    <row r="967" spans="2:20" ht="15.75">
      <c r="B967" s="154">
        <v>44337</v>
      </c>
      <c r="C967" s="119" t="s">
        <v>751</v>
      </c>
      <c r="D967" s="119"/>
      <c r="E967" s="119"/>
      <c r="F967" s="155">
        <v>1342.98</v>
      </c>
      <c r="G967" s="133" t="str">
        <f>_xlfn.XLOOKUP(Table1[[#This Row],[Account_ID]], Accounts[ID], Accounts[Account nickname], "Unknown")</f>
        <v>WF</v>
      </c>
      <c r="H967" s="134" t="str">
        <f>_xlfn.XLOOKUP(Table1[[#This Row],[Account_ID]], Accounts[ID], Accounts[Account'#], "Unknown")</f>
        <v>4636</v>
      </c>
      <c r="I967" s="135" t="str">
        <f>_xlfn.XLOOKUP(_xlfn.XLOOKUP(Table1[[#This Row],[Account]],Accounts[Account nickname],Accounts[Institution ID]),Institutions[ID],Institutions[Institution nickname],"Unknown")</f>
        <v>Wells Fargo</v>
      </c>
      <c r="J967" s="136" t="s">
        <v>1124</v>
      </c>
      <c r="K967" s="137" t="s">
        <v>808</v>
      </c>
      <c r="L967" s="137" t="s">
        <v>807</v>
      </c>
      <c r="M96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6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67" s="138" t="str" cm="1">
        <f t="array" ref="O967">IFERROR(INDEX(CategoriesTable[Category type],MATCH(Table1[[#This Row],[Category]],CategoriesTable[Category name],0),0),"")</f>
        <v/>
      </c>
      <c r="P967" s="138">
        <v>21</v>
      </c>
      <c r="Q967" s="138">
        <f>MONTH(Table1[[#This Row],[Date]])</f>
        <v>5</v>
      </c>
      <c r="R967" s="138">
        <v>2021</v>
      </c>
      <c r="S967" s="139">
        <f>IF(ISBLANK(Table1[[#This Row],[Date]]),"",Table1[[#This Row],[Date]]-WEEKDAY(Table1[[#This Row],[Date]],2)+1)</f>
        <v>44333</v>
      </c>
      <c r="T967" s="140">
        <f>IF(ISBLANK(Table1[[#This Row],[Date]]),"",DATE(Table1[[#This Row],[Date_Year]],Table1[[#This Row],[Date_Month]],1))</f>
        <v>44317</v>
      </c>
    </row>
    <row r="968" spans="2:20" ht="15.75">
      <c r="B968" s="154">
        <v>44337</v>
      </c>
      <c r="C968" s="119" t="s">
        <v>737</v>
      </c>
      <c r="D968" s="119"/>
      <c r="E968" s="119"/>
      <c r="F968" s="155">
        <v>-120</v>
      </c>
      <c r="G968" s="133" t="str">
        <f>_xlfn.XLOOKUP(Table1[[#This Row],[Account_ID]], Accounts[ID], Accounts[Account nickname], "Unknown")</f>
        <v>WF</v>
      </c>
      <c r="H968" s="134" t="str">
        <f>_xlfn.XLOOKUP(Table1[[#This Row],[Account_ID]], Accounts[ID], Accounts[Account'#], "Unknown")</f>
        <v>4636</v>
      </c>
      <c r="I968" s="135" t="str">
        <f>_xlfn.XLOOKUP(_xlfn.XLOOKUP(Table1[[#This Row],[Account]],Accounts[Account nickname],Accounts[Institution ID]),Institutions[ID],Institutions[Institution nickname],"Unknown")</f>
        <v>Wells Fargo</v>
      </c>
      <c r="J968" s="136" t="s">
        <v>1122</v>
      </c>
      <c r="K968" s="137" t="s">
        <v>808</v>
      </c>
      <c r="L968" s="137" t="s">
        <v>807</v>
      </c>
      <c r="M96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6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68" s="138" t="str" cm="1">
        <f t="array" ref="O968">IFERROR(INDEX(CategoriesTable[Category type],MATCH(Table1[[#This Row],[Category]],CategoriesTable[Category name],0),0),"")</f>
        <v/>
      </c>
      <c r="P968" s="138">
        <v>21</v>
      </c>
      <c r="Q968" s="138">
        <f>MONTH(Table1[[#This Row],[Date]])</f>
        <v>5</v>
      </c>
      <c r="R968" s="138">
        <v>2021</v>
      </c>
      <c r="S968" s="139">
        <f>IF(ISBLANK(Table1[[#This Row],[Date]]),"",Table1[[#This Row],[Date]]-WEEKDAY(Table1[[#This Row],[Date]],2)+1)</f>
        <v>44333</v>
      </c>
      <c r="T968" s="140">
        <f>IF(ISBLANK(Table1[[#This Row],[Date]]),"",DATE(Table1[[#This Row],[Date_Year]],Table1[[#This Row],[Date_Month]],1))</f>
        <v>44317</v>
      </c>
    </row>
    <row r="969" spans="2:20" ht="15.75">
      <c r="B969" s="154">
        <v>44337</v>
      </c>
      <c r="C969" s="119" t="s">
        <v>1436</v>
      </c>
      <c r="D969" s="119"/>
      <c r="E969" s="119"/>
      <c r="F969" s="155">
        <v>-7.99</v>
      </c>
      <c r="G969" s="133" t="str">
        <f>_xlfn.XLOOKUP(Table1[[#This Row],[Account_ID]], Accounts[ID], Accounts[Account nickname], "Unknown")</f>
        <v>Discover</v>
      </c>
      <c r="H969" s="134" t="str">
        <f>_xlfn.XLOOKUP(Table1[[#This Row],[Account_ID]], Accounts[ID], Accounts[Account'#], "Unknown")</f>
        <v>4618</v>
      </c>
      <c r="I969" s="135" t="str">
        <f>_xlfn.XLOOKUP(_xlfn.XLOOKUP(Table1[[#This Row],[Account]],Accounts[Account nickname],Accounts[Institution ID]),Institutions[ID],Institutions[Institution nickname],"Unknown")</f>
        <v>Discover</v>
      </c>
      <c r="J969" s="136" t="s">
        <v>2332</v>
      </c>
      <c r="K969" s="137" t="s">
        <v>843</v>
      </c>
      <c r="L969" s="137" t="s">
        <v>841</v>
      </c>
      <c r="M96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6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69" s="138" t="str" cm="1">
        <f t="array" ref="O969">IFERROR(INDEX(CategoriesTable[Category type],MATCH(Table1[[#This Row],[Category]],CategoriesTable[Category name],0),0),"")</f>
        <v/>
      </c>
      <c r="P969" s="138">
        <v>21</v>
      </c>
      <c r="Q969" s="138">
        <f>MONTH(Table1[[#This Row],[Date]])</f>
        <v>5</v>
      </c>
      <c r="R969" s="138">
        <v>2021</v>
      </c>
      <c r="S969" s="139">
        <f>IF(ISBLANK(Table1[[#This Row],[Date]]),"",Table1[[#This Row],[Date]]-WEEKDAY(Table1[[#This Row],[Date]],2)+1)</f>
        <v>44333</v>
      </c>
      <c r="T969" s="140">
        <f>IF(ISBLANK(Table1[[#This Row],[Date]]),"",DATE(Table1[[#This Row],[Date_Year]],Table1[[#This Row],[Date_Month]],1))</f>
        <v>44317</v>
      </c>
    </row>
    <row r="970" spans="2:20" ht="15.75">
      <c r="B970" s="154">
        <v>44337</v>
      </c>
      <c r="C970" s="119" t="s">
        <v>678</v>
      </c>
      <c r="D970" s="119"/>
      <c r="E970" s="119"/>
      <c r="F970" s="155">
        <v>-340</v>
      </c>
      <c r="G970" s="133" t="str">
        <f>_xlfn.XLOOKUP(Table1[[#This Row],[Account_ID]], Accounts[ID], Accounts[Account nickname], "Unknown")</f>
        <v>WF</v>
      </c>
      <c r="H970" s="134" t="str">
        <f>_xlfn.XLOOKUP(Table1[[#This Row],[Account_ID]], Accounts[ID], Accounts[Account'#], "Unknown")</f>
        <v>4636</v>
      </c>
      <c r="I970" s="135" t="str">
        <f>_xlfn.XLOOKUP(_xlfn.XLOOKUP(Table1[[#This Row],[Account]],Accounts[Account nickname],Accounts[Institution ID]),Institutions[ID],Institutions[Institution nickname],"Unknown")</f>
        <v>Wells Fargo</v>
      </c>
      <c r="J970" s="136" t="s">
        <v>1125</v>
      </c>
      <c r="K970" s="137" t="s">
        <v>808</v>
      </c>
      <c r="L970" s="137" t="s">
        <v>807</v>
      </c>
      <c r="M97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7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70" s="138" t="str" cm="1">
        <f t="array" ref="O970">IFERROR(INDEX(CategoriesTable[Category type],MATCH(Table1[[#This Row],[Category]],CategoriesTable[Category name],0),0),"")</f>
        <v/>
      </c>
      <c r="P970" s="138">
        <v>21</v>
      </c>
      <c r="Q970" s="138">
        <f>MONTH(Table1[[#This Row],[Date]])</f>
        <v>5</v>
      </c>
      <c r="R970" s="138">
        <v>2021</v>
      </c>
      <c r="S970" s="139">
        <f>IF(ISBLANK(Table1[[#This Row],[Date]]),"",Table1[[#This Row],[Date]]-WEEKDAY(Table1[[#This Row],[Date]],2)+1)</f>
        <v>44333</v>
      </c>
      <c r="T970" s="140">
        <f>IF(ISBLANK(Table1[[#This Row],[Date]]),"",DATE(Table1[[#This Row],[Date_Year]],Table1[[#This Row],[Date_Month]],1))</f>
        <v>44317</v>
      </c>
    </row>
    <row r="971" spans="2:20" ht="15.75">
      <c r="B971" s="154">
        <v>44336</v>
      </c>
      <c r="C971" s="119" t="s">
        <v>678</v>
      </c>
      <c r="D971" s="119"/>
      <c r="E971" s="119"/>
      <c r="F971" s="155">
        <v>-85</v>
      </c>
      <c r="G971" s="133" t="str">
        <f>_xlfn.XLOOKUP(Table1[[#This Row],[Account_ID]], Accounts[ID], Accounts[Account nickname], "Unknown")</f>
        <v>WF</v>
      </c>
      <c r="H971" s="134" t="str">
        <f>_xlfn.XLOOKUP(Table1[[#This Row],[Account_ID]], Accounts[ID], Accounts[Account'#], "Unknown")</f>
        <v>4636</v>
      </c>
      <c r="I971" s="135" t="str">
        <f>_xlfn.XLOOKUP(_xlfn.XLOOKUP(Table1[[#This Row],[Account]],Accounts[Account nickname],Accounts[Institution ID]),Institutions[ID],Institutions[Institution nickname],"Unknown")</f>
        <v>Wells Fargo</v>
      </c>
      <c r="J971" s="136" t="s">
        <v>1126</v>
      </c>
      <c r="K971" s="137" t="s">
        <v>808</v>
      </c>
      <c r="L971" s="137" t="s">
        <v>807</v>
      </c>
      <c r="M97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7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71" s="138" t="str" cm="1">
        <f t="array" ref="O971">IFERROR(INDEX(CategoriesTable[Category type],MATCH(Table1[[#This Row],[Category]],CategoriesTable[Category name],0),0),"")</f>
        <v/>
      </c>
      <c r="P971" s="138">
        <v>20</v>
      </c>
      <c r="Q971" s="138">
        <f>MONTH(Table1[[#This Row],[Date]])</f>
        <v>5</v>
      </c>
      <c r="R971" s="138">
        <v>2021</v>
      </c>
      <c r="S971" s="139">
        <f>IF(ISBLANK(Table1[[#This Row],[Date]]),"",Table1[[#This Row],[Date]]-WEEKDAY(Table1[[#This Row],[Date]],2)+1)</f>
        <v>44333</v>
      </c>
      <c r="T971" s="140">
        <f>IF(ISBLANK(Table1[[#This Row],[Date]]),"",DATE(Table1[[#This Row],[Date_Year]],Table1[[#This Row],[Date_Month]],1))</f>
        <v>44317</v>
      </c>
    </row>
    <row r="972" spans="2:20" ht="15.75">
      <c r="B972" s="154">
        <v>44336</v>
      </c>
      <c r="C972" s="119" t="s">
        <v>2334</v>
      </c>
      <c r="D972" s="119"/>
      <c r="E972" s="119"/>
      <c r="F972" s="155">
        <v>-26.97</v>
      </c>
      <c r="G972" s="133" t="str">
        <f>_xlfn.XLOOKUP(Table1[[#This Row],[Account_ID]], Accounts[ID], Accounts[Account nickname], "Unknown")</f>
        <v>Discover</v>
      </c>
      <c r="H972" s="134" t="str">
        <f>_xlfn.XLOOKUP(Table1[[#This Row],[Account_ID]], Accounts[ID], Accounts[Account'#], "Unknown")</f>
        <v>4618</v>
      </c>
      <c r="I972" s="135" t="str">
        <f>_xlfn.XLOOKUP(_xlfn.XLOOKUP(Table1[[#This Row],[Account]],Accounts[Account nickname],Accounts[Institution ID]),Institutions[ID],Institutions[Institution nickname],"Unknown")</f>
        <v>Discover</v>
      </c>
      <c r="J972" s="136" t="s">
        <v>2335</v>
      </c>
      <c r="K972" s="137" t="s">
        <v>843</v>
      </c>
      <c r="L972" s="137" t="s">
        <v>841</v>
      </c>
      <c r="M97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7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72" s="138" t="str" cm="1">
        <f t="array" ref="O972">IFERROR(INDEX(CategoriesTable[Category type],MATCH(Table1[[#This Row],[Category]],CategoriesTable[Category name],0),0),"")</f>
        <v/>
      </c>
      <c r="P972" s="138">
        <v>20</v>
      </c>
      <c r="Q972" s="138">
        <f>MONTH(Table1[[#This Row],[Date]])</f>
        <v>5</v>
      </c>
      <c r="R972" s="138">
        <v>2021</v>
      </c>
      <c r="S972" s="139">
        <f>IF(ISBLANK(Table1[[#This Row],[Date]]),"",Table1[[#This Row],[Date]]-WEEKDAY(Table1[[#This Row],[Date]],2)+1)</f>
        <v>44333</v>
      </c>
      <c r="T972" s="140">
        <f>IF(ISBLANK(Table1[[#This Row],[Date]]),"",DATE(Table1[[#This Row],[Date_Year]],Table1[[#This Row],[Date_Month]],1))</f>
        <v>44317</v>
      </c>
    </row>
    <row r="973" spans="2:20" ht="15.75">
      <c r="B973" s="154">
        <v>44336</v>
      </c>
      <c r="C973" s="119" t="s">
        <v>708</v>
      </c>
      <c r="D973" s="119"/>
      <c r="E973" s="119"/>
      <c r="F973" s="155">
        <v>-17.87</v>
      </c>
      <c r="G973" s="133" t="str">
        <f>_xlfn.XLOOKUP(Table1[[#This Row],[Account_ID]], Accounts[ID], Accounts[Account nickname], "Unknown")</f>
        <v>Discover</v>
      </c>
      <c r="H973" s="134" t="str">
        <f>_xlfn.XLOOKUP(Table1[[#This Row],[Account_ID]], Accounts[ID], Accounts[Account'#], "Unknown")</f>
        <v>4618</v>
      </c>
      <c r="I973" s="135" t="str">
        <f>_xlfn.XLOOKUP(_xlfn.XLOOKUP(Table1[[#This Row],[Account]],Accounts[Account nickname],Accounts[Institution ID]),Institutions[ID],Institutions[Institution nickname],"Unknown")</f>
        <v>Discover</v>
      </c>
      <c r="J973" s="136" t="s">
        <v>2336</v>
      </c>
      <c r="K973" s="137" t="s">
        <v>843</v>
      </c>
      <c r="L973" s="137" t="s">
        <v>841</v>
      </c>
      <c r="M97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7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73" s="138" t="str" cm="1">
        <f t="array" ref="O973">IFERROR(INDEX(CategoriesTable[Category type],MATCH(Table1[[#This Row],[Category]],CategoriesTable[Category name],0),0),"")</f>
        <v/>
      </c>
      <c r="P973" s="138">
        <v>20</v>
      </c>
      <c r="Q973" s="138">
        <f>MONTH(Table1[[#This Row],[Date]])</f>
        <v>5</v>
      </c>
      <c r="R973" s="138">
        <v>2021</v>
      </c>
      <c r="S973" s="139">
        <f>IF(ISBLANK(Table1[[#This Row],[Date]]),"",Table1[[#This Row],[Date]]-WEEKDAY(Table1[[#This Row],[Date]],2)+1)</f>
        <v>44333</v>
      </c>
      <c r="T973" s="140">
        <f>IF(ISBLANK(Table1[[#This Row],[Date]]),"",DATE(Table1[[#This Row],[Date_Year]],Table1[[#This Row],[Date_Month]],1))</f>
        <v>44317</v>
      </c>
    </row>
    <row r="974" spans="2:20" ht="15.75">
      <c r="B974" s="154">
        <v>44335</v>
      </c>
      <c r="C974" s="119" t="s">
        <v>711</v>
      </c>
      <c r="D974" s="119"/>
      <c r="E974" s="119"/>
      <c r="F974" s="155">
        <v>-22.58</v>
      </c>
      <c r="G974" s="133" t="str">
        <f>_xlfn.XLOOKUP(Table1[[#This Row],[Account_ID]], Accounts[ID], Accounts[Account nickname], "Unknown")</f>
        <v>Discover</v>
      </c>
      <c r="H974" s="134" t="str">
        <f>_xlfn.XLOOKUP(Table1[[#This Row],[Account_ID]], Accounts[ID], Accounts[Account'#], "Unknown")</f>
        <v>4618</v>
      </c>
      <c r="I974" s="135" t="str">
        <f>_xlfn.XLOOKUP(_xlfn.XLOOKUP(Table1[[#This Row],[Account]],Accounts[Account nickname],Accounts[Institution ID]),Institutions[ID],Institutions[Institution nickname],"Unknown")</f>
        <v>Discover</v>
      </c>
      <c r="J974" s="136" t="s">
        <v>2338</v>
      </c>
      <c r="K974" s="137" t="s">
        <v>843</v>
      </c>
      <c r="L974" s="137" t="s">
        <v>841</v>
      </c>
      <c r="M97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7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74" s="138" t="str" cm="1">
        <f t="array" ref="O974">IFERROR(INDEX(CategoriesTable[Category type],MATCH(Table1[[#This Row],[Category]],CategoriesTable[Category name],0),0),"")</f>
        <v/>
      </c>
      <c r="P974" s="138">
        <v>19</v>
      </c>
      <c r="Q974" s="138">
        <f>MONTH(Table1[[#This Row],[Date]])</f>
        <v>5</v>
      </c>
      <c r="R974" s="138">
        <v>2021</v>
      </c>
      <c r="S974" s="139">
        <f>IF(ISBLANK(Table1[[#This Row],[Date]]),"",Table1[[#This Row],[Date]]-WEEKDAY(Table1[[#This Row],[Date]],2)+1)</f>
        <v>44333</v>
      </c>
      <c r="T974" s="140">
        <f>IF(ISBLANK(Table1[[#This Row],[Date]]),"",DATE(Table1[[#This Row],[Date_Year]],Table1[[#This Row],[Date_Month]],1))</f>
        <v>44317</v>
      </c>
    </row>
    <row r="975" spans="2:20" ht="15.75">
      <c r="B975" s="154">
        <v>44335</v>
      </c>
      <c r="C975" s="119" t="s">
        <v>701</v>
      </c>
      <c r="D975" s="119"/>
      <c r="E975" s="119"/>
      <c r="F975" s="155">
        <v>-91.85</v>
      </c>
      <c r="G975" s="133" t="str">
        <f>_xlfn.XLOOKUP(Table1[[#This Row],[Account_ID]], Accounts[ID], Accounts[Account nickname], "Unknown")</f>
        <v>Discover</v>
      </c>
      <c r="H975" s="134" t="str">
        <f>_xlfn.XLOOKUP(Table1[[#This Row],[Account_ID]], Accounts[ID], Accounts[Account'#], "Unknown")</f>
        <v>4618</v>
      </c>
      <c r="I975" s="135" t="str">
        <f>_xlfn.XLOOKUP(_xlfn.XLOOKUP(Table1[[#This Row],[Account]],Accounts[Account nickname],Accounts[Institution ID]),Institutions[ID],Institutions[Institution nickname],"Unknown")</f>
        <v>Discover</v>
      </c>
      <c r="J975" s="136" t="s">
        <v>2339</v>
      </c>
      <c r="K975" s="137" t="s">
        <v>843</v>
      </c>
      <c r="L975" s="137" t="s">
        <v>841</v>
      </c>
      <c r="M97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7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75" s="138" t="str" cm="1">
        <f t="array" ref="O975">IFERROR(INDEX(CategoriesTable[Category type],MATCH(Table1[[#This Row],[Category]],CategoriesTable[Category name],0),0),"")</f>
        <v/>
      </c>
      <c r="P975" s="138">
        <v>19</v>
      </c>
      <c r="Q975" s="138">
        <f>MONTH(Table1[[#This Row],[Date]])</f>
        <v>5</v>
      </c>
      <c r="R975" s="138">
        <v>2021</v>
      </c>
      <c r="S975" s="139">
        <f>IF(ISBLANK(Table1[[#This Row],[Date]]),"",Table1[[#This Row],[Date]]-WEEKDAY(Table1[[#This Row],[Date]],2)+1)</f>
        <v>44333</v>
      </c>
      <c r="T975" s="140">
        <f>IF(ISBLANK(Table1[[#This Row],[Date]]),"",DATE(Table1[[#This Row],[Date_Year]],Table1[[#This Row],[Date_Month]],1))</f>
        <v>44317</v>
      </c>
    </row>
    <row r="976" spans="2:20" ht="15.75">
      <c r="B976" s="154">
        <v>44335</v>
      </c>
      <c r="C976" s="119" t="s">
        <v>718</v>
      </c>
      <c r="D976" s="119"/>
      <c r="E976" s="119"/>
      <c r="F976" s="155">
        <v>-68.849999999999994</v>
      </c>
      <c r="G976" s="133" t="str">
        <f>_xlfn.XLOOKUP(Table1[[#This Row],[Account_ID]], Accounts[ID], Accounts[Account nickname], "Unknown")</f>
        <v>Discover</v>
      </c>
      <c r="H976" s="134" t="str">
        <f>_xlfn.XLOOKUP(Table1[[#This Row],[Account_ID]], Accounts[ID], Accounts[Account'#], "Unknown")</f>
        <v>4618</v>
      </c>
      <c r="I976" s="135" t="str">
        <f>_xlfn.XLOOKUP(_xlfn.XLOOKUP(Table1[[#This Row],[Account]],Accounts[Account nickname],Accounts[Institution ID]),Institutions[ID],Institutions[Institution nickname],"Unknown")</f>
        <v>Discover</v>
      </c>
      <c r="J976" s="136" t="s">
        <v>2340</v>
      </c>
      <c r="K976" s="137" t="s">
        <v>843</v>
      </c>
      <c r="L976" s="137" t="s">
        <v>841</v>
      </c>
      <c r="M97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7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76" s="138" t="str" cm="1">
        <f t="array" ref="O976">IFERROR(INDEX(CategoriesTable[Category type],MATCH(Table1[[#This Row],[Category]],CategoriesTable[Category name],0),0),"")</f>
        <v/>
      </c>
      <c r="P976" s="138">
        <v>19</v>
      </c>
      <c r="Q976" s="138">
        <f>MONTH(Table1[[#This Row],[Date]])</f>
        <v>5</v>
      </c>
      <c r="R976" s="138">
        <v>2021</v>
      </c>
      <c r="S976" s="139">
        <f>IF(ISBLANK(Table1[[#This Row],[Date]]),"",Table1[[#This Row],[Date]]-WEEKDAY(Table1[[#This Row],[Date]],2)+1)</f>
        <v>44333</v>
      </c>
      <c r="T976" s="140">
        <f>IF(ISBLANK(Table1[[#This Row],[Date]]),"",DATE(Table1[[#This Row],[Date_Year]],Table1[[#This Row],[Date_Month]],1))</f>
        <v>44317</v>
      </c>
    </row>
    <row r="977" spans="2:20" ht="15.75">
      <c r="B977" s="154">
        <v>44335</v>
      </c>
      <c r="C977" s="119" t="s">
        <v>2050</v>
      </c>
      <c r="D977" s="119"/>
      <c r="E977" s="119"/>
      <c r="F977" s="155">
        <v>-12.71</v>
      </c>
      <c r="G977" s="133" t="str">
        <f>_xlfn.XLOOKUP(Table1[[#This Row],[Account_ID]], Accounts[ID], Accounts[Account nickname], "Unknown")</f>
        <v>Discover</v>
      </c>
      <c r="H977" s="134" t="str">
        <f>_xlfn.XLOOKUP(Table1[[#This Row],[Account_ID]], Accounts[ID], Accounts[Account'#], "Unknown")</f>
        <v>4618</v>
      </c>
      <c r="I977" s="135" t="str">
        <f>_xlfn.XLOOKUP(_xlfn.XLOOKUP(Table1[[#This Row],[Account]],Accounts[Account nickname],Accounts[Institution ID]),Institutions[ID],Institutions[Institution nickname],"Unknown")</f>
        <v>Discover</v>
      </c>
      <c r="J977" s="136" t="s">
        <v>2337</v>
      </c>
      <c r="K977" s="137" t="s">
        <v>843</v>
      </c>
      <c r="L977" s="137" t="s">
        <v>841</v>
      </c>
      <c r="M97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7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77" s="138" t="str" cm="1">
        <f t="array" ref="O977">IFERROR(INDEX(CategoriesTable[Category type],MATCH(Table1[[#This Row],[Category]],CategoriesTable[Category name],0),0),"")</f>
        <v/>
      </c>
      <c r="P977" s="138">
        <v>19</v>
      </c>
      <c r="Q977" s="138">
        <f>MONTH(Table1[[#This Row],[Date]])</f>
        <v>5</v>
      </c>
      <c r="R977" s="138">
        <v>2021</v>
      </c>
      <c r="S977" s="139">
        <f>IF(ISBLANK(Table1[[#This Row],[Date]]),"",Table1[[#This Row],[Date]]-WEEKDAY(Table1[[#This Row],[Date]],2)+1)</f>
        <v>44333</v>
      </c>
      <c r="T977" s="140">
        <f>IF(ISBLANK(Table1[[#This Row],[Date]]),"",DATE(Table1[[#This Row],[Date_Year]],Table1[[#This Row],[Date_Month]],1))</f>
        <v>44317</v>
      </c>
    </row>
    <row r="978" spans="2:20" ht="15.75">
      <c r="B978" s="154">
        <v>44334</v>
      </c>
      <c r="C978" s="119" t="s">
        <v>700</v>
      </c>
      <c r="D978" s="119"/>
      <c r="E978" s="119"/>
      <c r="F978" s="155">
        <v>-86.25</v>
      </c>
      <c r="G978" s="133" t="str">
        <f>_xlfn.XLOOKUP(Table1[[#This Row],[Account_ID]], Accounts[ID], Accounts[Account nickname], "Unknown")</f>
        <v>Discover</v>
      </c>
      <c r="H978" s="134" t="str">
        <f>_xlfn.XLOOKUP(Table1[[#This Row],[Account_ID]], Accounts[ID], Accounts[Account'#], "Unknown")</f>
        <v>4618</v>
      </c>
      <c r="I978" s="135" t="str">
        <f>_xlfn.XLOOKUP(_xlfn.XLOOKUP(Table1[[#This Row],[Account]],Accounts[Account nickname],Accounts[Institution ID]),Institutions[ID],Institutions[Institution nickname],"Unknown")</f>
        <v>Discover</v>
      </c>
      <c r="J978" s="136" t="s">
        <v>2341</v>
      </c>
      <c r="K978" s="137" t="s">
        <v>843</v>
      </c>
      <c r="L978" s="137" t="s">
        <v>841</v>
      </c>
      <c r="M97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7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78" s="138" t="str" cm="1">
        <f t="array" ref="O978">IFERROR(INDEX(CategoriesTable[Category type],MATCH(Table1[[#This Row],[Category]],CategoriesTable[Category name],0),0),"")</f>
        <v/>
      </c>
      <c r="P978" s="138">
        <v>18</v>
      </c>
      <c r="Q978" s="138">
        <f>MONTH(Table1[[#This Row],[Date]])</f>
        <v>5</v>
      </c>
      <c r="R978" s="138">
        <v>2021</v>
      </c>
      <c r="S978" s="139">
        <f>IF(ISBLANK(Table1[[#This Row],[Date]]),"",Table1[[#This Row],[Date]]-WEEKDAY(Table1[[#This Row],[Date]],2)+1)</f>
        <v>44333</v>
      </c>
      <c r="T978" s="140">
        <f>IF(ISBLANK(Table1[[#This Row],[Date]]),"",DATE(Table1[[#This Row],[Date_Year]],Table1[[#This Row],[Date_Month]],1))</f>
        <v>44317</v>
      </c>
    </row>
    <row r="979" spans="2:20" ht="15.75">
      <c r="B979" s="154">
        <v>44333</v>
      </c>
      <c r="C979" s="119" t="s">
        <v>1611</v>
      </c>
      <c r="D979" s="119"/>
      <c r="E979" s="119"/>
      <c r="F979" s="155">
        <v>-31.79</v>
      </c>
      <c r="G979" s="133" t="str">
        <f>_xlfn.XLOOKUP(Table1[[#This Row],[Account_ID]], Accounts[ID], Accounts[Account nickname], "Unknown")</f>
        <v>Discover</v>
      </c>
      <c r="H979" s="134" t="str">
        <f>_xlfn.XLOOKUP(Table1[[#This Row],[Account_ID]], Accounts[ID], Accounts[Account'#], "Unknown")</f>
        <v>4618</v>
      </c>
      <c r="I979" s="135" t="str">
        <f>_xlfn.XLOOKUP(_xlfn.XLOOKUP(Table1[[#This Row],[Account]],Accounts[Account nickname],Accounts[Institution ID]),Institutions[ID],Institutions[Institution nickname],"Unknown")</f>
        <v>Discover</v>
      </c>
      <c r="J979" s="136" t="s">
        <v>2342</v>
      </c>
      <c r="K979" s="137" t="s">
        <v>843</v>
      </c>
      <c r="L979" s="137" t="s">
        <v>841</v>
      </c>
      <c r="M97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7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79" s="138" t="str" cm="1">
        <f t="array" ref="O979">IFERROR(INDEX(CategoriesTable[Category type],MATCH(Table1[[#This Row],[Category]],CategoriesTable[Category name],0),0),"")</f>
        <v/>
      </c>
      <c r="P979" s="138">
        <v>17</v>
      </c>
      <c r="Q979" s="138">
        <f>MONTH(Table1[[#This Row],[Date]])</f>
        <v>5</v>
      </c>
      <c r="R979" s="138">
        <v>2021</v>
      </c>
      <c r="S979" s="139">
        <f>IF(ISBLANK(Table1[[#This Row],[Date]]),"",Table1[[#This Row],[Date]]-WEEKDAY(Table1[[#This Row],[Date]],2)+1)</f>
        <v>44333</v>
      </c>
      <c r="T979" s="140">
        <f>IF(ISBLANK(Table1[[#This Row],[Date]]),"",DATE(Table1[[#This Row],[Date_Year]],Table1[[#This Row],[Date_Month]],1))</f>
        <v>44317</v>
      </c>
    </row>
    <row r="980" spans="2:20" ht="15.75">
      <c r="B980" s="154">
        <v>44333</v>
      </c>
      <c r="C980" s="119" t="s">
        <v>678</v>
      </c>
      <c r="D980" s="119"/>
      <c r="E980" s="119"/>
      <c r="F980" s="155">
        <v>-220</v>
      </c>
      <c r="G980" s="133" t="str">
        <f>_xlfn.XLOOKUP(Table1[[#This Row],[Account_ID]], Accounts[ID], Accounts[Account nickname], "Unknown")</f>
        <v>WF</v>
      </c>
      <c r="H980" s="134" t="str">
        <f>_xlfn.XLOOKUP(Table1[[#This Row],[Account_ID]], Accounts[ID], Accounts[Account'#], "Unknown")</f>
        <v>4636</v>
      </c>
      <c r="I980" s="135" t="str">
        <f>_xlfn.XLOOKUP(_xlfn.XLOOKUP(Table1[[#This Row],[Account]],Accounts[Account nickname],Accounts[Institution ID]),Institutions[ID],Institutions[Institution nickname],"Unknown")</f>
        <v>Wells Fargo</v>
      </c>
      <c r="J980" s="136" t="s">
        <v>1127</v>
      </c>
      <c r="K980" s="137" t="s">
        <v>808</v>
      </c>
      <c r="L980" s="137" t="s">
        <v>807</v>
      </c>
      <c r="M98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8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80" s="138" t="str" cm="1">
        <f t="array" ref="O980">IFERROR(INDEX(CategoriesTable[Category type],MATCH(Table1[[#This Row],[Category]],CategoriesTable[Category name],0),0),"")</f>
        <v/>
      </c>
      <c r="P980" s="138">
        <v>17</v>
      </c>
      <c r="Q980" s="138">
        <f>MONTH(Table1[[#This Row],[Date]])</f>
        <v>5</v>
      </c>
      <c r="R980" s="138">
        <v>2021</v>
      </c>
      <c r="S980" s="139">
        <f>IF(ISBLANK(Table1[[#This Row],[Date]]),"",Table1[[#This Row],[Date]]-WEEKDAY(Table1[[#This Row],[Date]],2)+1)</f>
        <v>44333</v>
      </c>
      <c r="T980" s="140">
        <f>IF(ISBLANK(Table1[[#This Row],[Date]]),"",DATE(Table1[[#This Row],[Date_Year]],Table1[[#This Row],[Date_Month]],1))</f>
        <v>44317</v>
      </c>
    </row>
    <row r="981" spans="2:20" ht="15.75">
      <c r="B981" s="154">
        <v>44333</v>
      </c>
      <c r="C981" s="119" t="s">
        <v>718</v>
      </c>
      <c r="D981" s="119"/>
      <c r="E981" s="119"/>
      <c r="F981" s="155">
        <v>-22.71</v>
      </c>
      <c r="G981" s="133" t="str">
        <f>_xlfn.XLOOKUP(Table1[[#This Row],[Account_ID]], Accounts[ID], Accounts[Account nickname], "Unknown")</f>
        <v>Discover</v>
      </c>
      <c r="H981" s="134" t="str">
        <f>_xlfn.XLOOKUP(Table1[[#This Row],[Account_ID]], Accounts[ID], Accounts[Account'#], "Unknown")</f>
        <v>4618</v>
      </c>
      <c r="I981" s="135" t="str">
        <f>_xlfn.XLOOKUP(_xlfn.XLOOKUP(Table1[[#This Row],[Account]],Accounts[Account nickname],Accounts[Institution ID]),Institutions[ID],Institutions[Institution nickname],"Unknown")</f>
        <v>Discover</v>
      </c>
      <c r="J981" s="136" t="s">
        <v>2343</v>
      </c>
      <c r="K981" s="137" t="s">
        <v>843</v>
      </c>
      <c r="L981" s="137" t="s">
        <v>841</v>
      </c>
      <c r="M98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8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81" s="138" t="str" cm="1">
        <f t="array" ref="O981">IFERROR(INDEX(CategoriesTable[Category type],MATCH(Table1[[#This Row],[Category]],CategoriesTable[Category name],0),0),"")</f>
        <v/>
      </c>
      <c r="P981" s="138">
        <v>17</v>
      </c>
      <c r="Q981" s="138">
        <f>MONTH(Table1[[#This Row],[Date]])</f>
        <v>5</v>
      </c>
      <c r="R981" s="138">
        <v>2021</v>
      </c>
      <c r="S981" s="139">
        <f>IF(ISBLANK(Table1[[#This Row],[Date]]),"",Table1[[#This Row],[Date]]-WEEKDAY(Table1[[#This Row],[Date]],2)+1)</f>
        <v>44333</v>
      </c>
      <c r="T981" s="140">
        <f>IF(ISBLANK(Table1[[#This Row],[Date]]),"",DATE(Table1[[#This Row],[Date_Year]],Table1[[#This Row],[Date_Month]],1))</f>
        <v>44317</v>
      </c>
    </row>
    <row r="982" spans="2:20" ht="15.75">
      <c r="B982" s="154">
        <v>44332</v>
      </c>
      <c r="C982" s="119" t="s">
        <v>910</v>
      </c>
      <c r="D982" s="119"/>
      <c r="E982" s="119"/>
      <c r="F982" s="155">
        <v>-31.79</v>
      </c>
      <c r="G982" s="133" t="str">
        <f>_xlfn.XLOOKUP(Table1[[#This Row],[Account_ID]], Accounts[ID], Accounts[Account nickname], "Unknown")</f>
        <v>Discover</v>
      </c>
      <c r="H982" s="134" t="str">
        <f>_xlfn.XLOOKUP(Table1[[#This Row],[Account_ID]], Accounts[ID], Accounts[Account'#], "Unknown")</f>
        <v>4618</v>
      </c>
      <c r="I982" s="135" t="str">
        <f>_xlfn.XLOOKUP(_xlfn.XLOOKUP(Table1[[#This Row],[Account]],Accounts[Account nickname],Accounts[Institution ID]),Institutions[ID],Institutions[Institution nickname],"Unknown")</f>
        <v>Discover</v>
      </c>
      <c r="J982" s="136" t="s">
        <v>2344</v>
      </c>
      <c r="K982" s="137" t="s">
        <v>843</v>
      </c>
      <c r="L982" s="137" t="s">
        <v>841</v>
      </c>
      <c r="M98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8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82" s="138" t="str" cm="1">
        <f t="array" ref="O982">IFERROR(INDEX(CategoriesTable[Category type],MATCH(Table1[[#This Row],[Category]],CategoriesTable[Category name],0),0),"")</f>
        <v/>
      </c>
      <c r="P982" s="138">
        <v>16</v>
      </c>
      <c r="Q982" s="138">
        <f>MONTH(Table1[[#This Row],[Date]])</f>
        <v>5</v>
      </c>
      <c r="R982" s="138">
        <v>2021</v>
      </c>
      <c r="S982" s="139">
        <f>IF(ISBLANK(Table1[[#This Row],[Date]]),"",Table1[[#This Row],[Date]]-WEEKDAY(Table1[[#This Row],[Date]],2)+1)</f>
        <v>44326</v>
      </c>
      <c r="T982" s="140">
        <f>IF(ISBLANK(Table1[[#This Row],[Date]]),"",DATE(Table1[[#This Row],[Date_Year]],Table1[[#This Row],[Date_Month]],1))</f>
        <v>44317</v>
      </c>
    </row>
    <row r="983" spans="2:20" ht="15.75">
      <c r="B983" s="154">
        <v>44332</v>
      </c>
      <c r="C983" s="119" t="s">
        <v>2345</v>
      </c>
      <c r="D983" s="119"/>
      <c r="E983" s="119"/>
      <c r="F983" s="155">
        <v>-8.27</v>
      </c>
      <c r="G983" s="133" t="str">
        <f>_xlfn.XLOOKUP(Table1[[#This Row],[Account_ID]], Accounts[ID], Accounts[Account nickname], "Unknown")</f>
        <v>Discover</v>
      </c>
      <c r="H983" s="134" t="str">
        <f>_xlfn.XLOOKUP(Table1[[#This Row],[Account_ID]], Accounts[ID], Accounts[Account'#], "Unknown")</f>
        <v>4618</v>
      </c>
      <c r="I983" s="135" t="str">
        <f>_xlfn.XLOOKUP(_xlfn.XLOOKUP(Table1[[#This Row],[Account]],Accounts[Account nickname],Accounts[Institution ID]),Institutions[ID],Institutions[Institution nickname],"Unknown")</f>
        <v>Discover</v>
      </c>
      <c r="J983" s="136" t="s">
        <v>2346</v>
      </c>
      <c r="K983" s="137" t="s">
        <v>843</v>
      </c>
      <c r="L983" s="137" t="s">
        <v>841</v>
      </c>
      <c r="M98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8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83" s="138" t="str" cm="1">
        <f t="array" ref="O983">IFERROR(INDEX(CategoriesTable[Category type],MATCH(Table1[[#This Row],[Category]],CategoriesTable[Category name],0),0),"")</f>
        <v/>
      </c>
      <c r="P983" s="138">
        <v>16</v>
      </c>
      <c r="Q983" s="138">
        <f>MONTH(Table1[[#This Row],[Date]])</f>
        <v>5</v>
      </c>
      <c r="R983" s="138">
        <v>2021</v>
      </c>
      <c r="S983" s="139">
        <f>IF(ISBLANK(Table1[[#This Row],[Date]]),"",Table1[[#This Row],[Date]]-WEEKDAY(Table1[[#This Row],[Date]],2)+1)</f>
        <v>44326</v>
      </c>
      <c r="T983" s="140">
        <f>IF(ISBLANK(Table1[[#This Row],[Date]]),"",DATE(Table1[[#This Row],[Date_Year]],Table1[[#This Row],[Date_Month]],1))</f>
        <v>44317</v>
      </c>
    </row>
    <row r="984" spans="2:20" ht="15.75">
      <c r="B984" s="154">
        <v>44331</v>
      </c>
      <c r="C984" s="119" t="s">
        <v>2347</v>
      </c>
      <c r="D984" s="119"/>
      <c r="E984" s="119"/>
      <c r="F984" s="155">
        <v>-12.64</v>
      </c>
      <c r="G984" s="133" t="str">
        <f>_xlfn.XLOOKUP(Table1[[#This Row],[Account_ID]], Accounts[ID], Accounts[Account nickname], "Unknown")</f>
        <v>Discover</v>
      </c>
      <c r="H984" s="134" t="str">
        <f>_xlfn.XLOOKUP(Table1[[#This Row],[Account_ID]], Accounts[ID], Accounts[Account'#], "Unknown")</f>
        <v>4618</v>
      </c>
      <c r="I984" s="135" t="str">
        <f>_xlfn.XLOOKUP(_xlfn.XLOOKUP(Table1[[#This Row],[Account]],Accounts[Account nickname],Accounts[Institution ID]),Institutions[ID],Institutions[Institution nickname],"Unknown")</f>
        <v>Discover</v>
      </c>
      <c r="J984" s="136" t="s">
        <v>2348</v>
      </c>
      <c r="K984" s="137" t="s">
        <v>843</v>
      </c>
      <c r="L984" s="137" t="s">
        <v>841</v>
      </c>
      <c r="M98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8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84" s="138" t="str" cm="1">
        <f t="array" ref="O984">IFERROR(INDEX(CategoriesTable[Category type],MATCH(Table1[[#This Row],[Category]],CategoriesTable[Category name],0),0),"")</f>
        <v/>
      </c>
      <c r="P984" s="138">
        <v>15</v>
      </c>
      <c r="Q984" s="138">
        <f>MONTH(Table1[[#This Row],[Date]])</f>
        <v>5</v>
      </c>
      <c r="R984" s="138">
        <v>2021</v>
      </c>
      <c r="S984" s="139">
        <f>IF(ISBLANK(Table1[[#This Row],[Date]]),"",Table1[[#This Row],[Date]]-WEEKDAY(Table1[[#This Row],[Date]],2)+1)</f>
        <v>44326</v>
      </c>
      <c r="T984" s="140">
        <f>IF(ISBLANK(Table1[[#This Row],[Date]]),"",DATE(Table1[[#This Row],[Date_Year]],Table1[[#This Row],[Date_Month]],1))</f>
        <v>44317</v>
      </c>
    </row>
    <row r="985" spans="2:20" ht="15.75">
      <c r="B985" s="154">
        <v>44330</v>
      </c>
      <c r="C985" s="119" t="s">
        <v>758</v>
      </c>
      <c r="D985" s="119"/>
      <c r="E985" s="119"/>
      <c r="F985" s="155">
        <v>-21.39</v>
      </c>
      <c r="G985" s="133" t="str">
        <f>_xlfn.XLOOKUP(Table1[[#This Row],[Account_ID]], Accounts[ID], Accounts[Account nickname], "Unknown")</f>
        <v>WF</v>
      </c>
      <c r="H985" s="134" t="str">
        <f>_xlfn.XLOOKUP(Table1[[#This Row],[Account_ID]], Accounts[ID], Accounts[Account'#], "Unknown")</f>
        <v>4636</v>
      </c>
      <c r="I985" s="135" t="str">
        <f>_xlfn.XLOOKUP(_xlfn.XLOOKUP(Table1[[#This Row],[Account]],Accounts[Account nickname],Accounts[Institution ID]),Institutions[ID],Institutions[Institution nickname],"Unknown")</f>
        <v>Wells Fargo</v>
      </c>
      <c r="J985" s="136" t="s">
        <v>1128</v>
      </c>
      <c r="K985" s="137" t="s">
        <v>808</v>
      </c>
      <c r="L985" s="137" t="s">
        <v>807</v>
      </c>
      <c r="M98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8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85" s="138" t="str" cm="1">
        <f t="array" ref="O985">IFERROR(INDEX(CategoriesTable[Category type],MATCH(Table1[[#This Row],[Category]],CategoriesTable[Category name],0),0),"")</f>
        <v/>
      </c>
      <c r="P985" s="138">
        <v>14</v>
      </c>
      <c r="Q985" s="138">
        <f>MONTH(Table1[[#This Row],[Date]])</f>
        <v>5</v>
      </c>
      <c r="R985" s="138">
        <v>2021</v>
      </c>
      <c r="S985" s="139">
        <f>IF(ISBLANK(Table1[[#This Row],[Date]]),"",Table1[[#This Row],[Date]]-WEEKDAY(Table1[[#This Row],[Date]],2)+1)</f>
        <v>44326</v>
      </c>
      <c r="T985" s="140">
        <f>IF(ISBLANK(Table1[[#This Row],[Date]]),"",DATE(Table1[[#This Row],[Date_Year]],Table1[[#This Row],[Date_Month]],1))</f>
        <v>44317</v>
      </c>
    </row>
    <row r="986" spans="2:20" ht="15.75">
      <c r="B986" s="154">
        <v>44330</v>
      </c>
      <c r="C986" s="119" t="s">
        <v>2351</v>
      </c>
      <c r="D986" s="119"/>
      <c r="E986" s="119"/>
      <c r="F986" s="155">
        <v>-19.73</v>
      </c>
      <c r="G986" s="133" t="str">
        <f>_xlfn.XLOOKUP(Table1[[#This Row],[Account_ID]], Accounts[ID], Accounts[Account nickname], "Unknown")</f>
        <v>Discover</v>
      </c>
      <c r="H986" s="134" t="str">
        <f>_xlfn.XLOOKUP(Table1[[#This Row],[Account_ID]], Accounts[ID], Accounts[Account'#], "Unknown")</f>
        <v>4618</v>
      </c>
      <c r="I986" s="135" t="str">
        <f>_xlfn.XLOOKUP(_xlfn.XLOOKUP(Table1[[#This Row],[Account]],Accounts[Account nickname],Accounts[Institution ID]),Institutions[ID],Institutions[Institution nickname],"Unknown")</f>
        <v>Discover</v>
      </c>
      <c r="J986" s="136" t="s">
        <v>2352</v>
      </c>
      <c r="K986" s="137" t="s">
        <v>843</v>
      </c>
      <c r="L986" s="137" t="s">
        <v>841</v>
      </c>
      <c r="M98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8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86" s="138" t="str" cm="1">
        <f t="array" ref="O986">IFERROR(INDEX(CategoriesTable[Category type],MATCH(Table1[[#This Row],[Category]],CategoriesTable[Category name],0),0),"")</f>
        <v/>
      </c>
      <c r="P986" s="138">
        <v>14</v>
      </c>
      <c r="Q986" s="138">
        <f>MONTH(Table1[[#This Row],[Date]])</f>
        <v>5</v>
      </c>
      <c r="R986" s="138">
        <v>2021</v>
      </c>
      <c r="S986" s="139">
        <f>IF(ISBLANK(Table1[[#This Row],[Date]]),"",Table1[[#This Row],[Date]]-WEEKDAY(Table1[[#This Row],[Date]],2)+1)</f>
        <v>44326</v>
      </c>
      <c r="T986" s="140">
        <f>IF(ISBLANK(Table1[[#This Row],[Date]]),"",DATE(Table1[[#This Row],[Date_Year]],Table1[[#This Row],[Date_Month]],1))</f>
        <v>44317</v>
      </c>
    </row>
    <row r="987" spans="2:20" ht="15.75">
      <c r="B987" s="154">
        <v>44330</v>
      </c>
      <c r="C987" s="119" t="s">
        <v>2353</v>
      </c>
      <c r="D987" s="119"/>
      <c r="E987" s="119"/>
      <c r="F987" s="155">
        <v>-7.61</v>
      </c>
      <c r="G987" s="133" t="str">
        <f>_xlfn.XLOOKUP(Table1[[#This Row],[Account_ID]], Accounts[ID], Accounts[Account nickname], "Unknown")</f>
        <v>Discover</v>
      </c>
      <c r="H987" s="134" t="str">
        <f>_xlfn.XLOOKUP(Table1[[#This Row],[Account_ID]], Accounts[ID], Accounts[Account'#], "Unknown")</f>
        <v>4618</v>
      </c>
      <c r="I987" s="135" t="str">
        <f>_xlfn.XLOOKUP(_xlfn.XLOOKUP(Table1[[#This Row],[Account]],Accounts[Account nickname],Accounts[Institution ID]),Institutions[ID],Institutions[Institution nickname],"Unknown")</f>
        <v>Discover</v>
      </c>
      <c r="J987" s="136" t="s">
        <v>2354</v>
      </c>
      <c r="K987" s="137" t="s">
        <v>843</v>
      </c>
      <c r="L987" s="137" t="s">
        <v>841</v>
      </c>
      <c r="M98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8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87" s="138" t="str" cm="1">
        <f t="array" ref="O987">IFERROR(INDEX(CategoriesTable[Category type],MATCH(Table1[[#This Row],[Category]],CategoriesTable[Category name],0),0),"")</f>
        <v/>
      </c>
      <c r="P987" s="138">
        <v>14</v>
      </c>
      <c r="Q987" s="138">
        <f>MONTH(Table1[[#This Row],[Date]])</f>
        <v>5</v>
      </c>
      <c r="R987" s="138">
        <v>2021</v>
      </c>
      <c r="S987" s="139">
        <f>IF(ISBLANK(Table1[[#This Row],[Date]]),"",Table1[[#This Row],[Date]]-WEEKDAY(Table1[[#This Row],[Date]],2)+1)</f>
        <v>44326</v>
      </c>
      <c r="T987" s="140">
        <f>IF(ISBLANK(Table1[[#This Row],[Date]]),"",DATE(Table1[[#This Row],[Date_Year]],Table1[[#This Row],[Date_Month]],1))</f>
        <v>44317</v>
      </c>
    </row>
    <row r="988" spans="2:20" ht="15.75">
      <c r="B988" s="154">
        <v>44330</v>
      </c>
      <c r="C988" s="119" t="s">
        <v>2349</v>
      </c>
      <c r="D988" s="119"/>
      <c r="E988" s="119"/>
      <c r="F988" s="155">
        <v>-90</v>
      </c>
      <c r="G988" s="133" t="str">
        <f>_xlfn.XLOOKUP(Table1[[#This Row],[Account_ID]], Accounts[ID], Accounts[Account nickname], "Unknown")</f>
        <v>Discover</v>
      </c>
      <c r="H988" s="134" t="str">
        <f>_xlfn.XLOOKUP(Table1[[#This Row],[Account_ID]], Accounts[ID], Accounts[Account'#], "Unknown")</f>
        <v>4618</v>
      </c>
      <c r="I988" s="135" t="str">
        <f>_xlfn.XLOOKUP(_xlfn.XLOOKUP(Table1[[#This Row],[Account]],Accounts[Account nickname],Accounts[Institution ID]),Institutions[ID],Institutions[Institution nickname],"Unknown")</f>
        <v>Discover</v>
      </c>
      <c r="J988" s="136" t="s">
        <v>2350</v>
      </c>
      <c r="K988" s="137" t="s">
        <v>843</v>
      </c>
      <c r="L988" s="137" t="s">
        <v>841</v>
      </c>
      <c r="M98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8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88" s="138" t="str" cm="1">
        <f t="array" ref="O988">IFERROR(INDEX(CategoriesTable[Category type],MATCH(Table1[[#This Row],[Category]],CategoriesTable[Category name],0),0),"")</f>
        <v/>
      </c>
      <c r="P988" s="138">
        <v>14</v>
      </c>
      <c r="Q988" s="138">
        <f>MONTH(Table1[[#This Row],[Date]])</f>
        <v>5</v>
      </c>
      <c r="R988" s="138">
        <v>2021</v>
      </c>
      <c r="S988" s="139">
        <f>IF(ISBLANK(Table1[[#This Row],[Date]]),"",Table1[[#This Row],[Date]]-WEEKDAY(Table1[[#This Row],[Date]],2)+1)</f>
        <v>44326</v>
      </c>
      <c r="T988" s="140">
        <f>IF(ISBLANK(Table1[[#This Row],[Date]]),"",DATE(Table1[[#This Row],[Date_Year]],Table1[[#This Row],[Date_Month]],1))</f>
        <v>44317</v>
      </c>
    </row>
    <row r="989" spans="2:20" ht="15.75">
      <c r="B989" s="154">
        <v>44330</v>
      </c>
      <c r="C989" s="119" t="s">
        <v>2355</v>
      </c>
      <c r="D989" s="119"/>
      <c r="E989" s="119"/>
      <c r="F989" s="155">
        <v>-16</v>
      </c>
      <c r="G989" s="133" t="str">
        <f>_xlfn.XLOOKUP(Table1[[#This Row],[Account_ID]], Accounts[ID], Accounts[Account nickname], "Unknown")</f>
        <v>Discover</v>
      </c>
      <c r="H989" s="134" t="str">
        <f>_xlfn.XLOOKUP(Table1[[#This Row],[Account_ID]], Accounts[ID], Accounts[Account'#], "Unknown")</f>
        <v>4618</v>
      </c>
      <c r="I989" s="135" t="str">
        <f>_xlfn.XLOOKUP(_xlfn.XLOOKUP(Table1[[#This Row],[Account]],Accounts[Account nickname],Accounts[Institution ID]),Institutions[ID],Institutions[Institution nickname],"Unknown")</f>
        <v>Discover</v>
      </c>
      <c r="J989" s="136" t="s">
        <v>2356</v>
      </c>
      <c r="K989" s="137" t="s">
        <v>843</v>
      </c>
      <c r="L989" s="137" t="s">
        <v>841</v>
      </c>
      <c r="M98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8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89" s="138" t="str" cm="1">
        <f t="array" ref="O989">IFERROR(INDEX(CategoriesTable[Category type],MATCH(Table1[[#This Row],[Category]],CategoriesTable[Category name],0),0),"")</f>
        <v/>
      </c>
      <c r="P989" s="138">
        <v>14</v>
      </c>
      <c r="Q989" s="138">
        <f>MONTH(Table1[[#This Row],[Date]])</f>
        <v>5</v>
      </c>
      <c r="R989" s="138">
        <v>2021</v>
      </c>
      <c r="S989" s="139">
        <f>IF(ISBLANK(Table1[[#This Row],[Date]]),"",Table1[[#This Row],[Date]]-WEEKDAY(Table1[[#This Row],[Date]],2)+1)</f>
        <v>44326</v>
      </c>
      <c r="T989" s="140">
        <f>IF(ISBLANK(Table1[[#This Row],[Date]]),"",DATE(Table1[[#This Row],[Date_Year]],Table1[[#This Row],[Date_Month]],1))</f>
        <v>44317</v>
      </c>
    </row>
    <row r="990" spans="2:20" ht="15.75">
      <c r="B990" s="154">
        <v>44330</v>
      </c>
      <c r="C990" s="119" t="s">
        <v>676</v>
      </c>
      <c r="D990" s="119"/>
      <c r="E990" s="119"/>
      <c r="F990" s="155">
        <v>136.13999999999999</v>
      </c>
      <c r="G990" s="133" t="str">
        <f>_xlfn.XLOOKUP(Table1[[#This Row],[Account_ID]], Accounts[ID], Accounts[Account nickname], "Unknown")</f>
        <v>WF</v>
      </c>
      <c r="H990" s="134" t="str">
        <f>_xlfn.XLOOKUP(Table1[[#This Row],[Account_ID]], Accounts[ID], Accounts[Account'#], "Unknown")</f>
        <v>4636</v>
      </c>
      <c r="I990" s="135" t="str">
        <f>_xlfn.XLOOKUP(_xlfn.XLOOKUP(Table1[[#This Row],[Account]],Accounts[Account nickname],Accounts[Institution ID]),Institutions[ID],Institutions[Institution nickname],"Unknown")</f>
        <v>Wells Fargo</v>
      </c>
      <c r="J990" s="136" t="s">
        <v>1129</v>
      </c>
      <c r="K990" s="137" t="s">
        <v>808</v>
      </c>
      <c r="L990" s="137" t="s">
        <v>807</v>
      </c>
      <c r="M99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9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90" s="138" t="str" cm="1">
        <f t="array" ref="O990">IFERROR(INDEX(CategoriesTable[Category type],MATCH(Table1[[#This Row],[Category]],CategoriesTable[Category name],0),0),"")</f>
        <v/>
      </c>
      <c r="P990" s="138">
        <v>14</v>
      </c>
      <c r="Q990" s="138">
        <f>MONTH(Table1[[#This Row],[Date]])</f>
        <v>5</v>
      </c>
      <c r="R990" s="138">
        <v>2021</v>
      </c>
      <c r="S990" s="139">
        <f>IF(ISBLANK(Table1[[#This Row],[Date]]),"",Table1[[#This Row],[Date]]-WEEKDAY(Table1[[#This Row],[Date]],2)+1)</f>
        <v>44326</v>
      </c>
      <c r="T990" s="140">
        <f>IF(ISBLANK(Table1[[#This Row],[Date]]),"",DATE(Table1[[#This Row],[Date_Year]],Table1[[#This Row],[Date_Month]],1))</f>
        <v>44317</v>
      </c>
    </row>
    <row r="991" spans="2:20" ht="15.75">
      <c r="B991" s="154">
        <v>44329</v>
      </c>
      <c r="C991" s="119" t="s">
        <v>718</v>
      </c>
      <c r="D991" s="119"/>
      <c r="E991" s="119"/>
      <c r="F991" s="155">
        <v>-30.28</v>
      </c>
      <c r="G991" s="133" t="str">
        <f>_xlfn.XLOOKUP(Table1[[#This Row],[Account_ID]], Accounts[ID], Accounts[Account nickname], "Unknown")</f>
        <v>Discover</v>
      </c>
      <c r="H991" s="134" t="str">
        <f>_xlfn.XLOOKUP(Table1[[#This Row],[Account_ID]], Accounts[ID], Accounts[Account'#], "Unknown")</f>
        <v>4618</v>
      </c>
      <c r="I991" s="135" t="str">
        <f>_xlfn.XLOOKUP(_xlfn.XLOOKUP(Table1[[#This Row],[Account]],Accounts[Account nickname],Accounts[Institution ID]),Institutions[ID],Institutions[Institution nickname],"Unknown")</f>
        <v>Discover</v>
      </c>
      <c r="J991" s="136" t="s">
        <v>2357</v>
      </c>
      <c r="K991" s="137" t="s">
        <v>843</v>
      </c>
      <c r="L991" s="137" t="s">
        <v>841</v>
      </c>
      <c r="M99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9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91" s="138" t="str" cm="1">
        <f t="array" ref="O991">IFERROR(INDEX(CategoriesTable[Category type],MATCH(Table1[[#This Row],[Category]],CategoriesTable[Category name],0),0),"")</f>
        <v/>
      </c>
      <c r="P991" s="138">
        <v>13</v>
      </c>
      <c r="Q991" s="138">
        <f>MONTH(Table1[[#This Row],[Date]])</f>
        <v>5</v>
      </c>
      <c r="R991" s="138">
        <v>2021</v>
      </c>
      <c r="S991" s="139">
        <f>IF(ISBLANK(Table1[[#This Row],[Date]]),"",Table1[[#This Row],[Date]]-WEEKDAY(Table1[[#This Row],[Date]],2)+1)</f>
        <v>44326</v>
      </c>
      <c r="T991" s="140">
        <f>IF(ISBLANK(Table1[[#This Row],[Date]]),"",DATE(Table1[[#This Row],[Date_Year]],Table1[[#This Row],[Date_Month]],1))</f>
        <v>44317</v>
      </c>
    </row>
    <row r="992" spans="2:20" ht="15.75">
      <c r="B992" s="154">
        <v>44328</v>
      </c>
      <c r="C992" s="119" t="s">
        <v>2321</v>
      </c>
      <c r="D992" s="119"/>
      <c r="E992" s="119"/>
      <c r="F992" s="155">
        <v>-2</v>
      </c>
      <c r="G992" s="133" t="str">
        <f>_xlfn.XLOOKUP(Table1[[#This Row],[Account_ID]], Accounts[ID], Accounts[Account nickname], "Unknown")</f>
        <v>Discover</v>
      </c>
      <c r="H992" s="134" t="str">
        <f>_xlfn.XLOOKUP(Table1[[#This Row],[Account_ID]], Accounts[ID], Accounts[Account'#], "Unknown")</f>
        <v>4618</v>
      </c>
      <c r="I992" s="135" t="str">
        <f>_xlfn.XLOOKUP(_xlfn.XLOOKUP(Table1[[#This Row],[Account]],Accounts[Account nickname],Accounts[Institution ID]),Institutions[ID],Institutions[Institution nickname],"Unknown")</f>
        <v>Discover</v>
      </c>
      <c r="J992" s="136" t="s">
        <v>2358</v>
      </c>
      <c r="K992" s="137" t="s">
        <v>843</v>
      </c>
      <c r="L992" s="137" t="s">
        <v>841</v>
      </c>
      <c r="M99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9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92" s="138" t="str" cm="1">
        <f t="array" ref="O992">IFERROR(INDEX(CategoriesTable[Category type],MATCH(Table1[[#This Row],[Category]],CategoriesTable[Category name],0),0),"")</f>
        <v/>
      </c>
      <c r="P992" s="138">
        <v>12</v>
      </c>
      <c r="Q992" s="138">
        <f>MONTH(Table1[[#This Row],[Date]])</f>
        <v>5</v>
      </c>
      <c r="R992" s="138">
        <v>2021</v>
      </c>
      <c r="S992" s="139">
        <f>IF(ISBLANK(Table1[[#This Row],[Date]]),"",Table1[[#This Row],[Date]]-WEEKDAY(Table1[[#This Row],[Date]],2)+1)</f>
        <v>44326</v>
      </c>
      <c r="T992" s="140">
        <f>IF(ISBLANK(Table1[[#This Row],[Date]]),"",DATE(Table1[[#This Row],[Date_Year]],Table1[[#This Row],[Date_Month]],1))</f>
        <v>44317</v>
      </c>
    </row>
    <row r="993" spans="2:20" ht="15.75">
      <c r="B993" s="154">
        <v>44328</v>
      </c>
      <c r="C993" s="119" t="s">
        <v>678</v>
      </c>
      <c r="D993" s="119"/>
      <c r="E993" s="119"/>
      <c r="F993" s="155">
        <v>150</v>
      </c>
      <c r="G993" s="133" t="str">
        <f>_xlfn.XLOOKUP(Table1[[#This Row],[Account_ID]], Accounts[ID], Accounts[Account nickname], "Unknown")</f>
        <v>WF</v>
      </c>
      <c r="H993" s="134" t="str">
        <f>_xlfn.XLOOKUP(Table1[[#This Row],[Account_ID]], Accounts[ID], Accounts[Account'#], "Unknown")</f>
        <v>4636</v>
      </c>
      <c r="I993" s="135" t="str">
        <f>_xlfn.XLOOKUP(_xlfn.XLOOKUP(Table1[[#This Row],[Account]],Accounts[Account nickname],Accounts[Institution ID]),Institutions[ID],Institutions[Institution nickname],"Unknown")</f>
        <v>Wells Fargo</v>
      </c>
      <c r="J993" s="136" t="s">
        <v>1130</v>
      </c>
      <c r="K993" s="137" t="s">
        <v>808</v>
      </c>
      <c r="L993" s="137" t="s">
        <v>807</v>
      </c>
      <c r="M99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9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93" s="138" t="str" cm="1">
        <f t="array" ref="O993">IFERROR(INDEX(CategoriesTable[Category type],MATCH(Table1[[#This Row],[Category]],CategoriesTable[Category name],0),0),"")</f>
        <v/>
      </c>
      <c r="P993" s="138">
        <v>12</v>
      </c>
      <c r="Q993" s="138">
        <f>MONTH(Table1[[#This Row],[Date]])</f>
        <v>5</v>
      </c>
      <c r="R993" s="138">
        <v>2021</v>
      </c>
      <c r="S993" s="139">
        <f>IF(ISBLANK(Table1[[#This Row],[Date]]),"",Table1[[#This Row],[Date]]-WEEKDAY(Table1[[#This Row],[Date]],2)+1)</f>
        <v>44326</v>
      </c>
      <c r="T993" s="140">
        <f>IF(ISBLANK(Table1[[#This Row],[Date]]),"",DATE(Table1[[#This Row],[Date_Year]],Table1[[#This Row],[Date_Month]],1))</f>
        <v>44317</v>
      </c>
    </row>
    <row r="994" spans="2:20" ht="15.75">
      <c r="B994" s="154">
        <v>44328</v>
      </c>
      <c r="C994" s="119" t="s">
        <v>1500</v>
      </c>
      <c r="D994" s="119"/>
      <c r="E994" s="119"/>
      <c r="F994" s="155">
        <v>-1.99</v>
      </c>
      <c r="G994" s="133" t="str">
        <f>_xlfn.XLOOKUP(Table1[[#This Row],[Account_ID]], Accounts[ID], Accounts[Account nickname], "Unknown")</f>
        <v>Discover</v>
      </c>
      <c r="H994" s="134" t="str">
        <f>_xlfn.XLOOKUP(Table1[[#This Row],[Account_ID]], Accounts[ID], Accounts[Account'#], "Unknown")</f>
        <v>4618</v>
      </c>
      <c r="I994" s="135" t="str">
        <f>_xlfn.XLOOKUP(_xlfn.XLOOKUP(Table1[[#This Row],[Account]],Accounts[Account nickname],Accounts[Institution ID]),Institutions[ID],Institutions[Institution nickname],"Unknown")</f>
        <v>Discover</v>
      </c>
      <c r="J994" s="136" t="s">
        <v>2359</v>
      </c>
      <c r="K994" s="137" t="s">
        <v>843</v>
      </c>
      <c r="L994" s="137" t="s">
        <v>841</v>
      </c>
      <c r="M99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9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94" s="138" t="str" cm="1">
        <f t="array" ref="O994">IFERROR(INDEX(CategoriesTable[Category type],MATCH(Table1[[#This Row],[Category]],CategoriesTable[Category name],0),0),"")</f>
        <v/>
      </c>
      <c r="P994" s="138">
        <v>12</v>
      </c>
      <c r="Q994" s="138">
        <f>MONTH(Table1[[#This Row],[Date]])</f>
        <v>5</v>
      </c>
      <c r="R994" s="138">
        <v>2021</v>
      </c>
      <c r="S994" s="139">
        <f>IF(ISBLANK(Table1[[#This Row],[Date]]),"",Table1[[#This Row],[Date]]-WEEKDAY(Table1[[#This Row],[Date]],2)+1)</f>
        <v>44326</v>
      </c>
      <c r="T994" s="140">
        <f>IF(ISBLANK(Table1[[#This Row],[Date]]),"",DATE(Table1[[#This Row],[Date_Year]],Table1[[#This Row],[Date_Month]],1))</f>
        <v>44317</v>
      </c>
    </row>
    <row r="995" spans="2:20" ht="15.75">
      <c r="B995" s="154">
        <v>44327</v>
      </c>
      <c r="C995" s="119" t="s">
        <v>758</v>
      </c>
      <c r="D995" s="119"/>
      <c r="E995" s="119"/>
      <c r="F995" s="155">
        <v>-28.93</v>
      </c>
      <c r="G995" s="133" t="str">
        <f>_xlfn.XLOOKUP(Table1[[#This Row],[Account_ID]], Accounts[ID], Accounts[Account nickname], "Unknown")</f>
        <v>WF</v>
      </c>
      <c r="H995" s="134" t="str">
        <f>_xlfn.XLOOKUP(Table1[[#This Row],[Account_ID]], Accounts[ID], Accounts[Account'#], "Unknown")</f>
        <v>4636</v>
      </c>
      <c r="I995" s="135" t="str">
        <f>_xlfn.XLOOKUP(_xlfn.XLOOKUP(Table1[[#This Row],[Account]],Accounts[Account nickname],Accounts[Institution ID]),Institutions[ID],Institutions[Institution nickname],"Unknown")</f>
        <v>Wells Fargo</v>
      </c>
      <c r="J995" s="136" t="s">
        <v>1131</v>
      </c>
      <c r="K995" s="137" t="s">
        <v>808</v>
      </c>
      <c r="L995" s="137" t="s">
        <v>807</v>
      </c>
      <c r="M99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9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95" s="138" t="str" cm="1">
        <f t="array" ref="O995">IFERROR(INDEX(CategoriesTable[Category type],MATCH(Table1[[#This Row],[Category]],CategoriesTable[Category name],0),0),"")</f>
        <v/>
      </c>
      <c r="P995" s="138">
        <v>11</v>
      </c>
      <c r="Q995" s="138">
        <f>MONTH(Table1[[#This Row],[Date]])</f>
        <v>5</v>
      </c>
      <c r="R995" s="138">
        <v>2021</v>
      </c>
      <c r="S995" s="139">
        <f>IF(ISBLANK(Table1[[#This Row],[Date]]),"",Table1[[#This Row],[Date]]-WEEKDAY(Table1[[#This Row],[Date]],2)+1)</f>
        <v>44326</v>
      </c>
      <c r="T995" s="140">
        <f>IF(ISBLANK(Table1[[#This Row],[Date]]),"",DATE(Table1[[#This Row],[Date_Year]],Table1[[#This Row],[Date_Month]],1))</f>
        <v>44317</v>
      </c>
    </row>
    <row r="996" spans="2:20" ht="15.75">
      <c r="B996" s="154">
        <v>44327</v>
      </c>
      <c r="C996" s="119" t="s">
        <v>2321</v>
      </c>
      <c r="D996" s="119"/>
      <c r="E996" s="119"/>
      <c r="F996" s="155">
        <v>-1.52</v>
      </c>
      <c r="G996" s="133" t="str">
        <f>_xlfn.XLOOKUP(Table1[[#This Row],[Account_ID]], Accounts[ID], Accounts[Account nickname], "Unknown")</f>
        <v>Discover</v>
      </c>
      <c r="H996" s="134" t="str">
        <f>_xlfn.XLOOKUP(Table1[[#This Row],[Account_ID]], Accounts[ID], Accounts[Account'#], "Unknown")</f>
        <v>4618</v>
      </c>
      <c r="I996" s="135" t="str">
        <f>_xlfn.XLOOKUP(_xlfn.XLOOKUP(Table1[[#This Row],[Account]],Accounts[Account nickname],Accounts[Institution ID]),Institutions[ID],Institutions[Institution nickname],"Unknown")</f>
        <v>Discover</v>
      </c>
      <c r="J996" s="136" t="s">
        <v>2360</v>
      </c>
      <c r="K996" s="137" t="s">
        <v>843</v>
      </c>
      <c r="L996" s="137" t="s">
        <v>841</v>
      </c>
      <c r="M99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9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96" s="138" t="str" cm="1">
        <f t="array" ref="O996">IFERROR(INDEX(CategoriesTable[Category type],MATCH(Table1[[#This Row],[Category]],CategoriesTable[Category name],0),0),"")</f>
        <v/>
      </c>
      <c r="P996" s="138">
        <v>11</v>
      </c>
      <c r="Q996" s="138">
        <f>MONTH(Table1[[#This Row],[Date]])</f>
        <v>5</v>
      </c>
      <c r="R996" s="138">
        <v>2021</v>
      </c>
      <c r="S996" s="139">
        <f>IF(ISBLANK(Table1[[#This Row],[Date]]),"",Table1[[#This Row],[Date]]-WEEKDAY(Table1[[#This Row],[Date]],2)+1)</f>
        <v>44326</v>
      </c>
      <c r="T996" s="140">
        <f>IF(ISBLANK(Table1[[#This Row],[Date]]),"",DATE(Table1[[#This Row],[Date_Year]],Table1[[#This Row],[Date_Month]],1))</f>
        <v>44317</v>
      </c>
    </row>
    <row r="997" spans="2:20" ht="15.75">
      <c r="B997" s="154">
        <v>44327</v>
      </c>
      <c r="C997" s="119" t="s">
        <v>718</v>
      </c>
      <c r="D997" s="119"/>
      <c r="E997" s="119"/>
      <c r="F997" s="155">
        <v>-13.86</v>
      </c>
      <c r="G997" s="133" t="str">
        <f>_xlfn.XLOOKUP(Table1[[#This Row],[Account_ID]], Accounts[ID], Accounts[Account nickname], "Unknown")</f>
        <v>Discover</v>
      </c>
      <c r="H997" s="134" t="str">
        <f>_xlfn.XLOOKUP(Table1[[#This Row],[Account_ID]], Accounts[ID], Accounts[Account'#], "Unknown")</f>
        <v>4618</v>
      </c>
      <c r="I997" s="135" t="str">
        <f>_xlfn.XLOOKUP(_xlfn.XLOOKUP(Table1[[#This Row],[Account]],Accounts[Account nickname],Accounts[Institution ID]),Institutions[ID],Institutions[Institution nickname],"Unknown")</f>
        <v>Discover</v>
      </c>
      <c r="J997" s="136" t="s">
        <v>2364</v>
      </c>
      <c r="K997" s="137" t="s">
        <v>843</v>
      </c>
      <c r="L997" s="137" t="s">
        <v>841</v>
      </c>
      <c r="M99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9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97" s="138" t="str" cm="1">
        <f t="array" ref="O997">IFERROR(INDEX(CategoriesTable[Category type],MATCH(Table1[[#This Row],[Category]],CategoriesTable[Category name],0),0),"")</f>
        <v/>
      </c>
      <c r="P997" s="138">
        <v>11</v>
      </c>
      <c r="Q997" s="138">
        <f>MONTH(Table1[[#This Row],[Date]])</f>
        <v>5</v>
      </c>
      <c r="R997" s="138">
        <v>2021</v>
      </c>
      <c r="S997" s="139">
        <f>IF(ISBLANK(Table1[[#This Row],[Date]]),"",Table1[[#This Row],[Date]]-WEEKDAY(Table1[[#This Row],[Date]],2)+1)</f>
        <v>44326</v>
      </c>
      <c r="T997" s="140">
        <f>IF(ISBLANK(Table1[[#This Row],[Date]]),"",DATE(Table1[[#This Row],[Date_Year]],Table1[[#This Row],[Date_Month]],1))</f>
        <v>44317</v>
      </c>
    </row>
    <row r="998" spans="2:20" ht="15.75">
      <c r="B998" s="154">
        <v>44327</v>
      </c>
      <c r="C998" s="119" t="s">
        <v>2361</v>
      </c>
      <c r="D998" s="119"/>
      <c r="E998" s="119"/>
      <c r="F998" s="155">
        <v>-86.17</v>
      </c>
      <c r="G998" s="133" t="str">
        <f>_xlfn.XLOOKUP(Table1[[#This Row],[Account_ID]], Accounts[ID], Accounts[Account nickname], "Unknown")</f>
        <v>Discover</v>
      </c>
      <c r="H998" s="134" t="str">
        <f>_xlfn.XLOOKUP(Table1[[#This Row],[Account_ID]], Accounts[ID], Accounts[Account'#], "Unknown")</f>
        <v>4618</v>
      </c>
      <c r="I998" s="135" t="str">
        <f>_xlfn.XLOOKUP(_xlfn.XLOOKUP(Table1[[#This Row],[Account]],Accounts[Account nickname],Accounts[Institution ID]),Institutions[ID],Institutions[Institution nickname],"Unknown")</f>
        <v>Discover</v>
      </c>
      <c r="J998" s="136" t="s">
        <v>2362</v>
      </c>
      <c r="K998" s="137" t="s">
        <v>843</v>
      </c>
      <c r="L998" s="137" t="s">
        <v>841</v>
      </c>
      <c r="M99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9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98" s="138" t="str" cm="1">
        <f t="array" ref="O998">IFERROR(INDEX(CategoriesTable[Category type],MATCH(Table1[[#This Row],[Category]],CategoriesTable[Category name],0),0),"")</f>
        <v/>
      </c>
      <c r="P998" s="138">
        <v>11</v>
      </c>
      <c r="Q998" s="138">
        <f>MONTH(Table1[[#This Row],[Date]])</f>
        <v>5</v>
      </c>
      <c r="R998" s="138">
        <v>2021</v>
      </c>
      <c r="S998" s="139">
        <f>IF(ISBLANK(Table1[[#This Row],[Date]]),"",Table1[[#This Row],[Date]]-WEEKDAY(Table1[[#This Row],[Date]],2)+1)</f>
        <v>44326</v>
      </c>
      <c r="T998" s="140">
        <f>IF(ISBLANK(Table1[[#This Row],[Date]]),"",DATE(Table1[[#This Row],[Date_Year]],Table1[[#This Row],[Date_Month]],1))</f>
        <v>44317</v>
      </c>
    </row>
    <row r="999" spans="2:20" ht="15.75">
      <c r="B999" s="154">
        <v>44327</v>
      </c>
      <c r="C999" s="119" t="s">
        <v>703</v>
      </c>
      <c r="D999" s="119"/>
      <c r="E999" s="119"/>
      <c r="F999" s="155">
        <v>-14.39</v>
      </c>
      <c r="G999" s="133" t="str">
        <f>_xlfn.XLOOKUP(Table1[[#This Row],[Account_ID]], Accounts[ID], Accounts[Account nickname], "Unknown")</f>
        <v>Discover</v>
      </c>
      <c r="H999" s="134" t="str">
        <f>_xlfn.XLOOKUP(Table1[[#This Row],[Account_ID]], Accounts[ID], Accounts[Account'#], "Unknown")</f>
        <v>4618</v>
      </c>
      <c r="I999" s="135" t="str">
        <f>_xlfn.XLOOKUP(_xlfn.XLOOKUP(Table1[[#This Row],[Account]],Accounts[Account nickname],Accounts[Institution ID]),Institutions[ID],Institutions[Institution nickname],"Unknown")</f>
        <v>Discover</v>
      </c>
      <c r="J999" s="136" t="s">
        <v>2363</v>
      </c>
      <c r="K999" s="137" t="s">
        <v>843</v>
      </c>
      <c r="L999" s="137" t="s">
        <v>841</v>
      </c>
      <c r="M99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99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999" s="138" t="str" cm="1">
        <f t="array" ref="O999">IFERROR(INDEX(CategoriesTable[Category type],MATCH(Table1[[#This Row],[Category]],CategoriesTable[Category name],0),0),"")</f>
        <v/>
      </c>
      <c r="P999" s="138">
        <v>11</v>
      </c>
      <c r="Q999" s="138">
        <f>MONTH(Table1[[#This Row],[Date]])</f>
        <v>5</v>
      </c>
      <c r="R999" s="138">
        <v>2021</v>
      </c>
      <c r="S999" s="139">
        <f>IF(ISBLANK(Table1[[#This Row],[Date]]),"",Table1[[#This Row],[Date]]-WEEKDAY(Table1[[#This Row],[Date]],2)+1)</f>
        <v>44326</v>
      </c>
      <c r="T999" s="140">
        <f>IF(ISBLANK(Table1[[#This Row],[Date]]),"",DATE(Table1[[#This Row],[Date_Year]],Table1[[#This Row],[Date_Month]],1))</f>
        <v>44317</v>
      </c>
    </row>
    <row r="1000" spans="2:20" ht="15.75">
      <c r="B1000" s="154">
        <v>44326</v>
      </c>
      <c r="C1000" s="119" t="s">
        <v>678</v>
      </c>
      <c r="D1000" s="119"/>
      <c r="E1000" s="119"/>
      <c r="F1000" s="155">
        <v>-150</v>
      </c>
      <c r="G1000" s="133" t="str">
        <f>_xlfn.XLOOKUP(Table1[[#This Row],[Account_ID]], Accounts[ID], Accounts[Account nickname], "Unknown")</f>
        <v>WF</v>
      </c>
      <c r="H1000" s="134" t="str">
        <f>_xlfn.XLOOKUP(Table1[[#This Row],[Account_ID]], Accounts[ID], Accounts[Account'#], "Unknown")</f>
        <v>4636</v>
      </c>
      <c r="I1000" s="135" t="str">
        <f>_xlfn.XLOOKUP(_xlfn.XLOOKUP(Table1[[#This Row],[Account]],Accounts[Account nickname],Accounts[Institution ID]),Institutions[ID],Institutions[Institution nickname],"Unknown")</f>
        <v>Wells Fargo</v>
      </c>
      <c r="J1000" s="136" t="s">
        <v>1133</v>
      </c>
      <c r="K1000" s="137" t="s">
        <v>808</v>
      </c>
      <c r="L1000" s="137" t="s">
        <v>807</v>
      </c>
      <c r="M100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0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00" s="138" t="str" cm="1">
        <f t="array" ref="O1000">IFERROR(INDEX(CategoriesTable[Category type],MATCH(Table1[[#This Row],[Category]],CategoriesTable[Category name],0),0),"")</f>
        <v/>
      </c>
      <c r="P1000" s="138">
        <v>10</v>
      </c>
      <c r="Q1000" s="138">
        <f>MONTH(Table1[[#This Row],[Date]])</f>
        <v>5</v>
      </c>
      <c r="R1000" s="138">
        <v>2021</v>
      </c>
      <c r="S1000" s="139">
        <f>IF(ISBLANK(Table1[[#This Row],[Date]]),"",Table1[[#This Row],[Date]]-WEEKDAY(Table1[[#This Row],[Date]],2)+1)</f>
        <v>44326</v>
      </c>
      <c r="T1000" s="140">
        <f>IF(ISBLANK(Table1[[#This Row],[Date]]),"",DATE(Table1[[#This Row],[Date_Year]],Table1[[#This Row],[Date_Month]],1))</f>
        <v>44317</v>
      </c>
    </row>
    <row r="1001" spans="2:20" ht="15.75">
      <c r="B1001" s="154">
        <v>44326</v>
      </c>
      <c r="C1001" s="119" t="s">
        <v>910</v>
      </c>
      <c r="D1001" s="119"/>
      <c r="E1001" s="119"/>
      <c r="F1001" s="155">
        <v>-15.89</v>
      </c>
      <c r="G1001" s="133" t="str">
        <f>_xlfn.XLOOKUP(Table1[[#This Row],[Account_ID]], Accounts[ID], Accounts[Account nickname], "Unknown")</f>
        <v>Discover</v>
      </c>
      <c r="H1001" s="134" t="str">
        <f>_xlfn.XLOOKUP(Table1[[#This Row],[Account_ID]], Accounts[ID], Accounts[Account'#], "Unknown")</f>
        <v>4618</v>
      </c>
      <c r="I1001" s="135" t="str">
        <f>_xlfn.XLOOKUP(_xlfn.XLOOKUP(Table1[[#This Row],[Account]],Accounts[Account nickname],Accounts[Institution ID]),Institutions[ID],Institutions[Institution nickname],"Unknown")</f>
        <v>Discover</v>
      </c>
      <c r="J1001" s="136" t="s">
        <v>2365</v>
      </c>
      <c r="K1001" s="137" t="s">
        <v>843</v>
      </c>
      <c r="L1001" s="137" t="s">
        <v>841</v>
      </c>
      <c r="M100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0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01" s="138" t="str" cm="1">
        <f t="array" ref="O1001">IFERROR(INDEX(CategoriesTable[Category type],MATCH(Table1[[#This Row],[Category]],CategoriesTable[Category name],0),0),"")</f>
        <v/>
      </c>
      <c r="P1001" s="138">
        <v>10</v>
      </c>
      <c r="Q1001" s="138">
        <f>MONTH(Table1[[#This Row],[Date]])</f>
        <v>5</v>
      </c>
      <c r="R1001" s="138">
        <v>2021</v>
      </c>
      <c r="S1001" s="139">
        <f>IF(ISBLANK(Table1[[#This Row],[Date]]),"",Table1[[#This Row],[Date]]-WEEKDAY(Table1[[#This Row],[Date]],2)+1)</f>
        <v>44326</v>
      </c>
      <c r="T1001" s="140">
        <f>IF(ISBLANK(Table1[[#This Row],[Date]]),"",DATE(Table1[[#This Row],[Date_Year]],Table1[[#This Row],[Date_Month]],1))</f>
        <v>44317</v>
      </c>
    </row>
    <row r="1002" spans="2:20" ht="15.75">
      <c r="B1002" s="154">
        <v>44326</v>
      </c>
      <c r="C1002" s="119" t="s">
        <v>678</v>
      </c>
      <c r="D1002" s="119"/>
      <c r="E1002" s="119"/>
      <c r="F1002" s="155">
        <v>-136.13999999999999</v>
      </c>
      <c r="G1002" s="133" t="str">
        <f>_xlfn.XLOOKUP(Table1[[#This Row],[Account_ID]], Accounts[ID], Accounts[Account nickname], "Unknown")</f>
        <v>WF</v>
      </c>
      <c r="H1002" s="134" t="str">
        <f>_xlfn.XLOOKUP(Table1[[#This Row],[Account_ID]], Accounts[ID], Accounts[Account'#], "Unknown")</f>
        <v>4636</v>
      </c>
      <c r="I1002" s="135" t="str">
        <f>_xlfn.XLOOKUP(_xlfn.XLOOKUP(Table1[[#This Row],[Account]],Accounts[Account nickname],Accounts[Institution ID]),Institutions[ID],Institutions[Institution nickname],"Unknown")</f>
        <v>Wells Fargo</v>
      </c>
      <c r="J1002" s="136" t="s">
        <v>1132</v>
      </c>
      <c r="K1002" s="137" t="s">
        <v>808</v>
      </c>
      <c r="L1002" s="137" t="s">
        <v>807</v>
      </c>
      <c r="M100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0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02" s="138" t="str" cm="1">
        <f t="array" ref="O1002">IFERROR(INDEX(CategoriesTable[Category type],MATCH(Table1[[#This Row],[Category]],CategoriesTable[Category name],0),0),"")</f>
        <v/>
      </c>
      <c r="P1002" s="138">
        <v>10</v>
      </c>
      <c r="Q1002" s="138">
        <f>MONTH(Table1[[#This Row],[Date]])</f>
        <v>5</v>
      </c>
      <c r="R1002" s="138">
        <v>2021</v>
      </c>
      <c r="S1002" s="139">
        <f>IF(ISBLANK(Table1[[#This Row],[Date]]),"",Table1[[#This Row],[Date]]-WEEKDAY(Table1[[#This Row],[Date]],2)+1)</f>
        <v>44326</v>
      </c>
      <c r="T1002" s="140">
        <f>IF(ISBLANK(Table1[[#This Row],[Date]]),"",DATE(Table1[[#This Row],[Date_Year]],Table1[[#This Row],[Date_Month]],1))</f>
        <v>44317</v>
      </c>
    </row>
    <row r="1003" spans="2:20" ht="15.75">
      <c r="B1003" s="154">
        <v>44326</v>
      </c>
      <c r="C1003" s="119" t="s">
        <v>2366</v>
      </c>
      <c r="D1003" s="119"/>
      <c r="E1003" s="119"/>
      <c r="F1003" s="155">
        <v>-77.94</v>
      </c>
      <c r="G1003" s="133" t="str">
        <f>_xlfn.XLOOKUP(Table1[[#This Row],[Account_ID]], Accounts[ID], Accounts[Account nickname], "Unknown")</f>
        <v>Discover</v>
      </c>
      <c r="H1003" s="134" t="str">
        <f>_xlfn.XLOOKUP(Table1[[#This Row],[Account_ID]], Accounts[ID], Accounts[Account'#], "Unknown")</f>
        <v>4618</v>
      </c>
      <c r="I1003" s="135" t="str">
        <f>_xlfn.XLOOKUP(_xlfn.XLOOKUP(Table1[[#This Row],[Account]],Accounts[Account nickname],Accounts[Institution ID]),Institutions[ID],Institutions[Institution nickname],"Unknown")</f>
        <v>Discover</v>
      </c>
      <c r="J1003" s="136" t="s">
        <v>2367</v>
      </c>
      <c r="K1003" s="137" t="s">
        <v>843</v>
      </c>
      <c r="L1003" s="137" t="s">
        <v>841</v>
      </c>
      <c r="M100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0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03" s="138" t="str" cm="1">
        <f t="array" ref="O1003">IFERROR(INDEX(CategoriesTable[Category type],MATCH(Table1[[#This Row],[Category]],CategoriesTable[Category name],0),0),"")</f>
        <v/>
      </c>
      <c r="P1003" s="138">
        <v>10</v>
      </c>
      <c r="Q1003" s="138">
        <f>MONTH(Table1[[#This Row],[Date]])</f>
        <v>5</v>
      </c>
      <c r="R1003" s="138">
        <v>2021</v>
      </c>
      <c r="S1003" s="139">
        <f>IF(ISBLANK(Table1[[#This Row],[Date]]),"",Table1[[#This Row],[Date]]-WEEKDAY(Table1[[#This Row],[Date]],2)+1)</f>
        <v>44326</v>
      </c>
      <c r="T1003" s="140">
        <f>IF(ISBLANK(Table1[[#This Row],[Date]]),"",DATE(Table1[[#This Row],[Date_Year]],Table1[[#This Row],[Date_Month]],1))</f>
        <v>44317</v>
      </c>
    </row>
    <row r="1004" spans="2:20" ht="15.75">
      <c r="B1004" s="154">
        <v>44323</v>
      </c>
      <c r="C1004" s="119" t="s">
        <v>751</v>
      </c>
      <c r="D1004" s="119"/>
      <c r="E1004" s="119"/>
      <c r="F1004" s="155">
        <v>1174.52</v>
      </c>
      <c r="G1004" s="133" t="str">
        <f>_xlfn.XLOOKUP(Table1[[#This Row],[Account_ID]], Accounts[ID], Accounts[Account nickname], "Unknown")</f>
        <v>WF</v>
      </c>
      <c r="H1004" s="134" t="str">
        <f>_xlfn.XLOOKUP(Table1[[#This Row],[Account_ID]], Accounts[ID], Accounts[Account'#], "Unknown")</f>
        <v>4636</v>
      </c>
      <c r="I1004" s="135" t="str">
        <f>_xlfn.XLOOKUP(_xlfn.XLOOKUP(Table1[[#This Row],[Account]],Accounts[Account nickname],Accounts[Institution ID]),Institutions[ID],Institutions[Institution nickname],"Unknown")</f>
        <v>Wells Fargo</v>
      </c>
      <c r="J1004" s="136" t="s">
        <v>1135</v>
      </c>
      <c r="K1004" s="137" t="s">
        <v>808</v>
      </c>
      <c r="L1004" s="137" t="s">
        <v>807</v>
      </c>
      <c r="M100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0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04" s="138" t="str" cm="1">
        <f t="array" ref="O1004">IFERROR(INDEX(CategoriesTable[Category type],MATCH(Table1[[#This Row],[Category]],CategoriesTable[Category name],0),0),"")</f>
        <v/>
      </c>
      <c r="P1004" s="138">
        <v>7</v>
      </c>
      <c r="Q1004" s="138">
        <f>MONTH(Table1[[#This Row],[Date]])</f>
        <v>5</v>
      </c>
      <c r="R1004" s="138">
        <v>2021</v>
      </c>
      <c r="S1004" s="139">
        <f>IF(ISBLANK(Table1[[#This Row],[Date]]),"",Table1[[#This Row],[Date]]-WEEKDAY(Table1[[#This Row],[Date]],2)+1)</f>
        <v>44319</v>
      </c>
      <c r="T1004" s="140">
        <f>IF(ISBLANK(Table1[[#This Row],[Date]]),"",DATE(Table1[[#This Row],[Date_Year]],Table1[[#This Row],[Date_Month]],1))</f>
        <v>44317</v>
      </c>
    </row>
    <row r="1005" spans="2:20" ht="15.75">
      <c r="B1005" s="154">
        <v>44323</v>
      </c>
      <c r="C1005" s="119" t="s">
        <v>2134</v>
      </c>
      <c r="D1005" s="119"/>
      <c r="E1005" s="119"/>
      <c r="F1005" s="155">
        <v>-94.95</v>
      </c>
      <c r="G1005" s="133" t="str">
        <f>_xlfn.XLOOKUP(Table1[[#This Row],[Account_ID]], Accounts[ID], Accounts[Account nickname], "Unknown")</f>
        <v>Discover</v>
      </c>
      <c r="H1005" s="134" t="str">
        <f>_xlfn.XLOOKUP(Table1[[#This Row],[Account_ID]], Accounts[ID], Accounts[Account'#], "Unknown")</f>
        <v>4618</v>
      </c>
      <c r="I1005" s="135" t="str">
        <f>_xlfn.XLOOKUP(_xlfn.XLOOKUP(Table1[[#This Row],[Account]],Accounts[Account nickname],Accounts[Institution ID]),Institutions[ID],Institutions[Institution nickname],"Unknown")</f>
        <v>Discover</v>
      </c>
      <c r="J1005" s="136" t="s">
        <v>2370</v>
      </c>
      <c r="K1005" s="137" t="s">
        <v>843</v>
      </c>
      <c r="L1005" s="137" t="s">
        <v>841</v>
      </c>
      <c r="M100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0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05" s="138" t="str" cm="1">
        <f t="array" ref="O1005">IFERROR(INDEX(CategoriesTable[Category type],MATCH(Table1[[#This Row],[Category]],CategoriesTable[Category name],0),0),"")</f>
        <v/>
      </c>
      <c r="P1005" s="138">
        <v>7</v>
      </c>
      <c r="Q1005" s="138">
        <f>MONTH(Table1[[#This Row],[Date]])</f>
        <v>5</v>
      </c>
      <c r="R1005" s="138">
        <v>2021</v>
      </c>
      <c r="S1005" s="139">
        <f>IF(ISBLANK(Table1[[#This Row],[Date]]),"",Table1[[#This Row],[Date]]-WEEKDAY(Table1[[#This Row],[Date]],2)+1)</f>
        <v>44319</v>
      </c>
      <c r="T1005" s="140">
        <f>IF(ISBLANK(Table1[[#This Row],[Date]]),"",DATE(Table1[[#This Row],[Date_Year]],Table1[[#This Row],[Date_Month]],1))</f>
        <v>44317</v>
      </c>
    </row>
    <row r="1006" spans="2:20" ht="15.75">
      <c r="B1006" s="154">
        <v>44323</v>
      </c>
      <c r="C1006" s="119" t="s">
        <v>753</v>
      </c>
      <c r="D1006" s="119"/>
      <c r="E1006" s="119"/>
      <c r="F1006" s="155">
        <v>803.91</v>
      </c>
      <c r="G1006" s="133" t="str">
        <f>_xlfn.XLOOKUP(Table1[[#This Row],[Account_ID]], Accounts[ID], Accounts[Account nickname], "Unknown")</f>
        <v>WF</v>
      </c>
      <c r="H1006" s="134" t="str">
        <f>_xlfn.XLOOKUP(Table1[[#This Row],[Account_ID]], Accounts[ID], Accounts[Account'#], "Unknown")</f>
        <v>4636</v>
      </c>
      <c r="I1006" s="135" t="str">
        <f>_xlfn.XLOOKUP(_xlfn.XLOOKUP(Table1[[#This Row],[Account]],Accounts[Account nickname],Accounts[Institution ID]),Institutions[ID],Institutions[Institution nickname],"Unknown")</f>
        <v>Wells Fargo</v>
      </c>
      <c r="J1006" s="136" t="s">
        <v>1134</v>
      </c>
      <c r="K1006" s="137" t="s">
        <v>808</v>
      </c>
      <c r="L1006" s="137" t="s">
        <v>807</v>
      </c>
      <c r="M100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0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06" s="138" t="str" cm="1">
        <f t="array" ref="O1006">IFERROR(INDEX(CategoriesTable[Category type],MATCH(Table1[[#This Row],[Category]],CategoriesTable[Category name],0),0),"")</f>
        <v/>
      </c>
      <c r="P1006" s="138">
        <v>7</v>
      </c>
      <c r="Q1006" s="138">
        <f>MONTH(Table1[[#This Row],[Date]])</f>
        <v>5</v>
      </c>
      <c r="R1006" s="138">
        <v>2021</v>
      </c>
      <c r="S1006" s="139">
        <f>IF(ISBLANK(Table1[[#This Row],[Date]]),"",Table1[[#This Row],[Date]]-WEEKDAY(Table1[[#This Row],[Date]],2)+1)</f>
        <v>44319</v>
      </c>
      <c r="T1006" s="140">
        <f>IF(ISBLANK(Table1[[#This Row],[Date]]),"",DATE(Table1[[#This Row],[Date_Year]],Table1[[#This Row],[Date_Month]],1))</f>
        <v>44317</v>
      </c>
    </row>
    <row r="1007" spans="2:20" ht="15.75">
      <c r="B1007" s="154">
        <v>44323</v>
      </c>
      <c r="C1007" s="119" t="s">
        <v>2368</v>
      </c>
      <c r="D1007" s="119"/>
      <c r="E1007" s="119"/>
      <c r="F1007" s="155">
        <v>-98.48</v>
      </c>
      <c r="G1007" s="133" t="str">
        <f>_xlfn.XLOOKUP(Table1[[#This Row],[Account_ID]], Accounts[ID], Accounts[Account nickname], "Unknown")</f>
        <v>Discover</v>
      </c>
      <c r="H1007" s="134" t="str">
        <f>_xlfn.XLOOKUP(Table1[[#This Row],[Account_ID]], Accounts[ID], Accounts[Account'#], "Unknown")</f>
        <v>4618</v>
      </c>
      <c r="I1007" s="135" t="str">
        <f>_xlfn.XLOOKUP(_xlfn.XLOOKUP(Table1[[#This Row],[Account]],Accounts[Account nickname],Accounts[Institution ID]),Institutions[ID],Institutions[Institution nickname],"Unknown")</f>
        <v>Discover</v>
      </c>
      <c r="J1007" s="136" t="s">
        <v>2369</v>
      </c>
      <c r="K1007" s="137" t="s">
        <v>843</v>
      </c>
      <c r="L1007" s="137" t="s">
        <v>841</v>
      </c>
      <c r="M100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0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07" s="138" t="str" cm="1">
        <f t="array" ref="O1007">IFERROR(INDEX(CategoriesTable[Category type],MATCH(Table1[[#This Row],[Category]],CategoriesTable[Category name],0),0),"")</f>
        <v/>
      </c>
      <c r="P1007" s="138">
        <v>7</v>
      </c>
      <c r="Q1007" s="138">
        <f>MONTH(Table1[[#This Row],[Date]])</f>
        <v>5</v>
      </c>
      <c r="R1007" s="138">
        <v>2021</v>
      </c>
      <c r="S1007" s="139">
        <f>IF(ISBLANK(Table1[[#This Row],[Date]]),"",Table1[[#This Row],[Date]]-WEEKDAY(Table1[[#This Row],[Date]],2)+1)</f>
        <v>44319</v>
      </c>
      <c r="T1007" s="140">
        <f>IF(ISBLANK(Table1[[#This Row],[Date]]),"",DATE(Table1[[#This Row],[Date_Year]],Table1[[#This Row],[Date_Month]],1))</f>
        <v>44317</v>
      </c>
    </row>
    <row r="1008" spans="2:20" ht="15.75">
      <c r="B1008" s="154">
        <v>44323</v>
      </c>
      <c r="C1008" s="119" t="s">
        <v>746</v>
      </c>
      <c r="D1008" s="119"/>
      <c r="E1008" s="119"/>
      <c r="F1008" s="155">
        <v>-10.48</v>
      </c>
      <c r="G1008" s="133" t="str">
        <f>_xlfn.XLOOKUP(Table1[[#This Row],[Account_ID]], Accounts[ID], Accounts[Account nickname], "Unknown")</f>
        <v>Discover</v>
      </c>
      <c r="H1008" s="134" t="str">
        <f>_xlfn.XLOOKUP(Table1[[#This Row],[Account_ID]], Accounts[ID], Accounts[Account'#], "Unknown")</f>
        <v>4618</v>
      </c>
      <c r="I1008" s="135" t="str">
        <f>_xlfn.XLOOKUP(_xlfn.XLOOKUP(Table1[[#This Row],[Account]],Accounts[Account nickname],Accounts[Institution ID]),Institutions[ID],Institutions[Institution nickname],"Unknown")</f>
        <v>Discover</v>
      </c>
      <c r="J1008" s="136" t="s">
        <v>2371</v>
      </c>
      <c r="K1008" s="137" t="s">
        <v>843</v>
      </c>
      <c r="L1008" s="137" t="s">
        <v>841</v>
      </c>
      <c r="M100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0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08" s="138" t="str" cm="1">
        <f t="array" ref="O1008">IFERROR(INDEX(CategoriesTable[Category type],MATCH(Table1[[#This Row],[Category]],CategoriesTable[Category name],0),0),"")</f>
        <v/>
      </c>
      <c r="P1008" s="138">
        <v>7</v>
      </c>
      <c r="Q1008" s="138">
        <f>MONTH(Table1[[#This Row],[Date]])</f>
        <v>5</v>
      </c>
      <c r="R1008" s="138">
        <v>2021</v>
      </c>
      <c r="S1008" s="139">
        <f>IF(ISBLANK(Table1[[#This Row],[Date]]),"",Table1[[#This Row],[Date]]-WEEKDAY(Table1[[#This Row],[Date]],2)+1)</f>
        <v>44319</v>
      </c>
      <c r="T1008" s="140">
        <f>IF(ISBLANK(Table1[[#This Row],[Date]]),"",DATE(Table1[[#This Row],[Date_Year]],Table1[[#This Row],[Date_Month]],1))</f>
        <v>44317</v>
      </c>
    </row>
    <row r="1009" spans="2:20" ht="15.75">
      <c r="B1009" s="154">
        <v>44322</v>
      </c>
      <c r="C1009" s="119" t="s">
        <v>735</v>
      </c>
      <c r="D1009" s="119"/>
      <c r="E1009" s="119"/>
      <c r="F1009" s="155">
        <v>-200</v>
      </c>
      <c r="G1009" s="133" t="str">
        <f>_xlfn.XLOOKUP(Table1[[#This Row],[Account_ID]], Accounts[ID], Accounts[Account nickname], "Unknown")</f>
        <v>WF</v>
      </c>
      <c r="H1009" s="134" t="str">
        <f>_xlfn.XLOOKUP(Table1[[#This Row],[Account_ID]], Accounts[ID], Accounts[Account'#], "Unknown")</f>
        <v>4636</v>
      </c>
      <c r="I1009" s="135" t="str">
        <f>_xlfn.XLOOKUP(_xlfn.XLOOKUP(Table1[[#This Row],[Account]],Accounts[Account nickname],Accounts[Institution ID]),Institutions[ID],Institutions[Institution nickname],"Unknown")</f>
        <v>Wells Fargo</v>
      </c>
      <c r="J1009" s="136" t="s">
        <v>1136</v>
      </c>
      <c r="K1009" s="137" t="s">
        <v>808</v>
      </c>
      <c r="L1009" s="137" t="s">
        <v>807</v>
      </c>
      <c r="M100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0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09" s="138" t="str" cm="1">
        <f t="array" ref="O1009">IFERROR(INDEX(CategoriesTable[Category type],MATCH(Table1[[#This Row],[Category]],CategoriesTable[Category name],0),0),"")</f>
        <v/>
      </c>
      <c r="P1009" s="138">
        <v>6</v>
      </c>
      <c r="Q1009" s="138">
        <f>MONTH(Table1[[#This Row],[Date]])</f>
        <v>5</v>
      </c>
      <c r="R1009" s="138">
        <v>2021</v>
      </c>
      <c r="S1009" s="139">
        <f>IF(ISBLANK(Table1[[#This Row],[Date]]),"",Table1[[#This Row],[Date]]-WEEKDAY(Table1[[#This Row],[Date]],2)+1)</f>
        <v>44319</v>
      </c>
      <c r="T1009" s="140">
        <f>IF(ISBLANK(Table1[[#This Row],[Date]]),"",DATE(Table1[[#This Row],[Date_Year]],Table1[[#This Row],[Date_Month]],1))</f>
        <v>44317</v>
      </c>
    </row>
    <row r="1010" spans="2:20" ht="15.75">
      <c r="B1010" s="154">
        <v>44322</v>
      </c>
      <c r="C1010" s="119" t="s">
        <v>735</v>
      </c>
      <c r="D1010" s="119"/>
      <c r="E1010" s="119"/>
      <c r="F1010" s="155">
        <v>-200</v>
      </c>
      <c r="G1010" s="133" t="str">
        <f>_xlfn.XLOOKUP(Table1[[#This Row],[Account_ID]], Accounts[ID], Accounts[Account nickname], "Unknown")</f>
        <v>WF</v>
      </c>
      <c r="H1010" s="134" t="str">
        <f>_xlfn.XLOOKUP(Table1[[#This Row],[Account_ID]], Accounts[ID], Accounts[Account'#], "Unknown")</f>
        <v>4636</v>
      </c>
      <c r="I1010" s="135" t="str">
        <f>_xlfn.XLOOKUP(_xlfn.XLOOKUP(Table1[[#This Row],[Account]],Accounts[Account nickname],Accounts[Institution ID]),Institutions[ID],Institutions[Institution nickname],"Unknown")</f>
        <v>Wells Fargo</v>
      </c>
      <c r="J1010" s="136" t="s">
        <v>1137</v>
      </c>
      <c r="K1010" s="137" t="s">
        <v>808</v>
      </c>
      <c r="L1010" s="137" t="s">
        <v>807</v>
      </c>
      <c r="M101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1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10" s="138" t="str" cm="1">
        <f t="array" ref="O1010">IFERROR(INDEX(CategoriesTable[Category type],MATCH(Table1[[#This Row],[Category]],CategoriesTable[Category name],0),0),"")</f>
        <v/>
      </c>
      <c r="P1010" s="138">
        <v>6</v>
      </c>
      <c r="Q1010" s="138">
        <f>MONTH(Table1[[#This Row],[Date]])</f>
        <v>5</v>
      </c>
      <c r="R1010" s="138">
        <v>2021</v>
      </c>
      <c r="S1010" s="139">
        <f>IF(ISBLANK(Table1[[#This Row],[Date]]),"",Table1[[#This Row],[Date]]-WEEKDAY(Table1[[#This Row],[Date]],2)+1)</f>
        <v>44319</v>
      </c>
      <c r="T1010" s="140">
        <f>IF(ISBLANK(Table1[[#This Row],[Date]]),"",DATE(Table1[[#This Row],[Date_Year]],Table1[[#This Row],[Date_Month]],1))</f>
        <v>44317</v>
      </c>
    </row>
    <row r="1011" spans="2:20" ht="15.75">
      <c r="B1011" s="154">
        <v>44321</v>
      </c>
      <c r="C1011" s="119" t="s">
        <v>686</v>
      </c>
      <c r="D1011" s="119"/>
      <c r="E1011" s="119"/>
      <c r="F1011" s="155">
        <v>-1404.1</v>
      </c>
      <c r="G1011" s="133" t="str">
        <f>_xlfn.XLOOKUP(Table1[[#This Row],[Account_ID]], Accounts[ID], Accounts[Account nickname], "Unknown")</f>
        <v>WF</v>
      </c>
      <c r="H1011" s="134" t="str">
        <f>_xlfn.XLOOKUP(Table1[[#This Row],[Account_ID]], Accounts[ID], Accounts[Account'#], "Unknown")</f>
        <v>4636</v>
      </c>
      <c r="I1011" s="135" t="str">
        <f>_xlfn.XLOOKUP(_xlfn.XLOOKUP(Table1[[#This Row],[Account]],Accounts[Account nickname],Accounts[Institution ID]),Institutions[ID],Institutions[Institution nickname],"Unknown")</f>
        <v>Wells Fargo</v>
      </c>
      <c r="J1011" s="136" t="s">
        <v>1138</v>
      </c>
      <c r="K1011" s="137" t="s">
        <v>808</v>
      </c>
      <c r="L1011" s="137" t="s">
        <v>807</v>
      </c>
      <c r="M101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1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11" s="138" t="str" cm="1">
        <f t="array" ref="O1011">IFERROR(INDEX(CategoriesTable[Category type],MATCH(Table1[[#This Row],[Category]],CategoriesTable[Category name],0),0),"")</f>
        <v/>
      </c>
      <c r="P1011" s="138">
        <v>5</v>
      </c>
      <c r="Q1011" s="138">
        <f>MONTH(Table1[[#This Row],[Date]])</f>
        <v>5</v>
      </c>
      <c r="R1011" s="138">
        <v>2021</v>
      </c>
      <c r="S1011" s="139">
        <f>IF(ISBLANK(Table1[[#This Row],[Date]]),"",Table1[[#This Row],[Date]]-WEEKDAY(Table1[[#This Row],[Date]],2)+1)</f>
        <v>44319</v>
      </c>
      <c r="T1011" s="140">
        <f>IF(ISBLANK(Table1[[#This Row],[Date]]),"",DATE(Table1[[#This Row],[Date_Year]],Table1[[#This Row],[Date_Month]],1))</f>
        <v>44317</v>
      </c>
    </row>
    <row r="1012" spans="2:20" ht="15.75">
      <c r="B1012" s="154">
        <v>44321</v>
      </c>
      <c r="C1012" s="119" t="s">
        <v>845</v>
      </c>
      <c r="D1012" s="119"/>
      <c r="E1012" s="119"/>
      <c r="F1012" s="155">
        <v>1404.1</v>
      </c>
      <c r="G1012" s="133" t="str">
        <f>_xlfn.XLOOKUP(Table1[[#This Row],[Account_ID]], Accounts[ID], Accounts[Account nickname], "Unknown")</f>
        <v>Discover</v>
      </c>
      <c r="H1012" s="134" t="str">
        <f>_xlfn.XLOOKUP(Table1[[#This Row],[Account_ID]], Accounts[ID], Accounts[Account'#], "Unknown")</f>
        <v>4618</v>
      </c>
      <c r="I1012" s="135" t="str">
        <f>_xlfn.XLOOKUP(_xlfn.XLOOKUP(Table1[[#This Row],[Account]],Accounts[Account nickname],Accounts[Institution ID]),Institutions[ID],Institutions[Institution nickname],"Unknown")</f>
        <v>Discover</v>
      </c>
      <c r="J1012" s="136" t="s">
        <v>2372</v>
      </c>
      <c r="K1012" s="137" t="s">
        <v>843</v>
      </c>
      <c r="L1012" s="137" t="s">
        <v>841</v>
      </c>
      <c r="M101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1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12" s="138" t="str" cm="1">
        <f t="array" ref="O1012">IFERROR(INDEX(CategoriesTable[Category type],MATCH(Table1[[#This Row],[Category]],CategoriesTable[Category name],0),0),"")</f>
        <v/>
      </c>
      <c r="P1012" s="138">
        <v>5</v>
      </c>
      <c r="Q1012" s="138">
        <f>MONTH(Table1[[#This Row],[Date]])</f>
        <v>5</v>
      </c>
      <c r="R1012" s="138">
        <v>2021</v>
      </c>
      <c r="S1012" s="139">
        <f>IF(ISBLANK(Table1[[#This Row],[Date]]),"",Table1[[#This Row],[Date]]-WEEKDAY(Table1[[#This Row],[Date]],2)+1)</f>
        <v>44319</v>
      </c>
      <c r="T1012" s="140">
        <f>IF(ISBLANK(Table1[[#This Row],[Date]]),"",DATE(Table1[[#This Row],[Date_Year]],Table1[[#This Row],[Date_Month]],1))</f>
        <v>44317</v>
      </c>
    </row>
    <row r="1013" spans="2:20" ht="15.75">
      <c r="B1013" s="154">
        <v>44320</v>
      </c>
      <c r="C1013" s="119" t="s">
        <v>1403</v>
      </c>
      <c r="D1013" s="119"/>
      <c r="E1013" s="119"/>
      <c r="F1013" s="155">
        <v>-91.78</v>
      </c>
      <c r="G1013" s="133" t="str">
        <f>_xlfn.XLOOKUP(Table1[[#This Row],[Account_ID]], Accounts[ID], Accounts[Account nickname], "Unknown")</f>
        <v>Discover</v>
      </c>
      <c r="H1013" s="134" t="str">
        <f>_xlfn.XLOOKUP(Table1[[#This Row],[Account_ID]], Accounts[ID], Accounts[Account'#], "Unknown")</f>
        <v>4618</v>
      </c>
      <c r="I1013" s="135" t="str">
        <f>_xlfn.XLOOKUP(_xlfn.XLOOKUP(Table1[[#This Row],[Account]],Accounts[Account nickname],Accounts[Institution ID]),Institutions[ID],Institutions[Institution nickname],"Unknown")</f>
        <v>Discover</v>
      </c>
      <c r="J1013" s="136" t="s">
        <v>2373</v>
      </c>
      <c r="K1013" s="137" t="s">
        <v>843</v>
      </c>
      <c r="L1013" s="137" t="s">
        <v>841</v>
      </c>
      <c r="M101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1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13" s="138" t="str" cm="1">
        <f t="array" ref="O1013">IFERROR(INDEX(CategoriesTable[Category type],MATCH(Table1[[#This Row],[Category]],CategoriesTable[Category name],0),0),"")</f>
        <v/>
      </c>
      <c r="P1013" s="138">
        <v>4</v>
      </c>
      <c r="Q1013" s="138">
        <f>MONTH(Table1[[#This Row],[Date]])</f>
        <v>5</v>
      </c>
      <c r="R1013" s="138">
        <v>2021</v>
      </c>
      <c r="S1013" s="139">
        <f>IF(ISBLANK(Table1[[#This Row],[Date]]),"",Table1[[#This Row],[Date]]-WEEKDAY(Table1[[#This Row],[Date]],2)+1)</f>
        <v>44319</v>
      </c>
      <c r="T1013" s="140">
        <f>IF(ISBLANK(Table1[[#This Row],[Date]]),"",DATE(Table1[[#This Row],[Date_Year]],Table1[[#This Row],[Date_Month]],1))</f>
        <v>44317</v>
      </c>
    </row>
    <row r="1014" spans="2:20" ht="15.75">
      <c r="B1014" s="154">
        <v>44319</v>
      </c>
      <c r="C1014" s="119" t="s">
        <v>708</v>
      </c>
      <c r="D1014" s="119"/>
      <c r="E1014" s="119"/>
      <c r="F1014" s="155">
        <v>-27.57</v>
      </c>
      <c r="G1014" s="133" t="str">
        <f>_xlfn.XLOOKUP(Table1[[#This Row],[Account_ID]], Accounts[ID], Accounts[Account nickname], "Unknown")</f>
        <v>Discover</v>
      </c>
      <c r="H1014" s="134" t="str">
        <f>_xlfn.XLOOKUP(Table1[[#This Row],[Account_ID]], Accounts[ID], Accounts[Account'#], "Unknown")</f>
        <v>4618</v>
      </c>
      <c r="I1014" s="135" t="str">
        <f>_xlfn.XLOOKUP(_xlfn.XLOOKUP(Table1[[#This Row],[Account]],Accounts[Account nickname],Accounts[Institution ID]),Institutions[ID],Institutions[Institution nickname],"Unknown")</f>
        <v>Discover</v>
      </c>
      <c r="J1014" s="136" t="s">
        <v>2378</v>
      </c>
      <c r="K1014" s="137" t="s">
        <v>843</v>
      </c>
      <c r="L1014" s="137" t="s">
        <v>841</v>
      </c>
      <c r="M101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1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14" s="138" t="str" cm="1">
        <f t="array" ref="O1014">IFERROR(INDEX(CategoriesTable[Category type],MATCH(Table1[[#This Row],[Category]],CategoriesTable[Category name],0),0),"")</f>
        <v/>
      </c>
      <c r="P1014" s="138">
        <v>3</v>
      </c>
      <c r="Q1014" s="138">
        <f>MONTH(Table1[[#This Row],[Date]])</f>
        <v>5</v>
      </c>
      <c r="R1014" s="138">
        <v>2021</v>
      </c>
      <c r="S1014" s="139">
        <f>IF(ISBLANK(Table1[[#This Row],[Date]]),"",Table1[[#This Row],[Date]]-WEEKDAY(Table1[[#This Row],[Date]],2)+1)</f>
        <v>44319</v>
      </c>
      <c r="T1014" s="140">
        <f>IF(ISBLANK(Table1[[#This Row],[Date]]),"",DATE(Table1[[#This Row],[Date_Year]],Table1[[#This Row],[Date_Month]],1))</f>
        <v>44317</v>
      </c>
    </row>
    <row r="1015" spans="2:20" ht="15.75">
      <c r="B1015" s="154">
        <v>44319</v>
      </c>
      <c r="C1015" s="119" t="s">
        <v>2374</v>
      </c>
      <c r="D1015" s="119"/>
      <c r="E1015" s="119"/>
      <c r="F1015" s="155">
        <v>-30.73</v>
      </c>
      <c r="G1015" s="133" t="str">
        <f>_xlfn.XLOOKUP(Table1[[#This Row],[Account_ID]], Accounts[ID], Accounts[Account nickname], "Unknown")</f>
        <v>Discover</v>
      </c>
      <c r="H1015" s="134" t="str">
        <f>_xlfn.XLOOKUP(Table1[[#This Row],[Account_ID]], Accounts[ID], Accounts[Account'#], "Unknown")</f>
        <v>4618</v>
      </c>
      <c r="I1015" s="135" t="str">
        <f>_xlfn.XLOOKUP(_xlfn.XLOOKUP(Table1[[#This Row],[Account]],Accounts[Account nickname],Accounts[Institution ID]),Institutions[ID],Institutions[Institution nickname],"Unknown")</f>
        <v>Discover</v>
      </c>
      <c r="J1015" s="136" t="s">
        <v>2375</v>
      </c>
      <c r="K1015" s="137" t="s">
        <v>843</v>
      </c>
      <c r="L1015" s="137" t="s">
        <v>841</v>
      </c>
      <c r="M101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1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15" s="138" t="str" cm="1">
        <f t="array" ref="O1015">IFERROR(INDEX(CategoriesTable[Category type],MATCH(Table1[[#This Row],[Category]],CategoriesTable[Category name],0),0),"")</f>
        <v/>
      </c>
      <c r="P1015" s="138">
        <v>3</v>
      </c>
      <c r="Q1015" s="138">
        <f>MONTH(Table1[[#This Row],[Date]])</f>
        <v>5</v>
      </c>
      <c r="R1015" s="138">
        <v>2021</v>
      </c>
      <c r="S1015" s="139">
        <f>IF(ISBLANK(Table1[[#This Row],[Date]]),"",Table1[[#This Row],[Date]]-WEEKDAY(Table1[[#This Row],[Date]],2)+1)</f>
        <v>44319</v>
      </c>
      <c r="T1015" s="140">
        <f>IF(ISBLANK(Table1[[#This Row],[Date]]),"",DATE(Table1[[#This Row],[Date_Year]],Table1[[#This Row],[Date_Month]],1))</f>
        <v>44317</v>
      </c>
    </row>
    <row r="1016" spans="2:20" ht="15.75">
      <c r="B1016" s="154">
        <v>44319</v>
      </c>
      <c r="C1016" s="119" t="s">
        <v>2376</v>
      </c>
      <c r="D1016" s="119"/>
      <c r="E1016" s="119"/>
      <c r="F1016" s="155">
        <v>-1.5</v>
      </c>
      <c r="G1016" s="133" t="str">
        <f>_xlfn.XLOOKUP(Table1[[#This Row],[Account_ID]], Accounts[ID], Accounts[Account nickname], "Unknown")</f>
        <v>Discover</v>
      </c>
      <c r="H1016" s="134" t="str">
        <f>_xlfn.XLOOKUP(Table1[[#This Row],[Account_ID]], Accounts[ID], Accounts[Account'#], "Unknown")</f>
        <v>4618</v>
      </c>
      <c r="I1016" s="135" t="str">
        <f>_xlfn.XLOOKUP(_xlfn.XLOOKUP(Table1[[#This Row],[Account]],Accounts[Account nickname],Accounts[Institution ID]),Institutions[ID],Institutions[Institution nickname],"Unknown")</f>
        <v>Discover</v>
      </c>
      <c r="J1016" s="136" t="s">
        <v>2377</v>
      </c>
      <c r="K1016" s="137" t="s">
        <v>843</v>
      </c>
      <c r="L1016" s="137" t="s">
        <v>841</v>
      </c>
      <c r="M101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1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16" s="138" t="str" cm="1">
        <f t="array" ref="O1016">IFERROR(INDEX(CategoriesTable[Category type],MATCH(Table1[[#This Row],[Category]],CategoriesTable[Category name],0),0),"")</f>
        <v/>
      </c>
      <c r="P1016" s="138">
        <v>3</v>
      </c>
      <c r="Q1016" s="138">
        <f>MONTH(Table1[[#This Row],[Date]])</f>
        <v>5</v>
      </c>
      <c r="R1016" s="138">
        <v>2021</v>
      </c>
      <c r="S1016" s="139">
        <f>IF(ISBLANK(Table1[[#This Row],[Date]]),"",Table1[[#This Row],[Date]]-WEEKDAY(Table1[[#This Row],[Date]],2)+1)</f>
        <v>44319</v>
      </c>
      <c r="T1016" s="140">
        <f>IF(ISBLANK(Table1[[#This Row],[Date]]),"",DATE(Table1[[#This Row],[Date_Year]],Table1[[#This Row],[Date_Month]],1))</f>
        <v>44317</v>
      </c>
    </row>
    <row r="1017" spans="2:20" ht="15.75">
      <c r="B1017" s="154">
        <v>44319</v>
      </c>
      <c r="C1017" s="119" t="s">
        <v>678</v>
      </c>
      <c r="D1017" s="119"/>
      <c r="E1017" s="119"/>
      <c r="F1017" s="155">
        <v>-50</v>
      </c>
      <c r="G1017" s="133" t="str">
        <f>_xlfn.XLOOKUP(Table1[[#This Row],[Account_ID]], Accounts[ID], Accounts[Account nickname], "Unknown")</f>
        <v>WF</v>
      </c>
      <c r="H1017" s="134" t="str">
        <f>_xlfn.XLOOKUP(Table1[[#This Row],[Account_ID]], Accounts[ID], Accounts[Account'#], "Unknown")</f>
        <v>4636</v>
      </c>
      <c r="I1017" s="135" t="str">
        <f>_xlfn.XLOOKUP(_xlfn.XLOOKUP(Table1[[#This Row],[Account]],Accounts[Account nickname],Accounts[Institution ID]),Institutions[ID],Institutions[Institution nickname],"Unknown")</f>
        <v>Wells Fargo</v>
      </c>
      <c r="J1017" s="136" t="s">
        <v>1139</v>
      </c>
      <c r="K1017" s="137" t="s">
        <v>808</v>
      </c>
      <c r="L1017" s="137" t="s">
        <v>807</v>
      </c>
      <c r="M101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1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17" s="138" t="str" cm="1">
        <f t="array" ref="O1017">IFERROR(INDEX(CategoriesTable[Category type],MATCH(Table1[[#This Row],[Category]],CategoriesTable[Category name],0),0),"")</f>
        <v/>
      </c>
      <c r="P1017" s="138">
        <v>3</v>
      </c>
      <c r="Q1017" s="138">
        <f>MONTH(Table1[[#This Row],[Date]])</f>
        <v>5</v>
      </c>
      <c r="R1017" s="138">
        <v>2021</v>
      </c>
      <c r="S1017" s="139">
        <f>IF(ISBLANK(Table1[[#This Row],[Date]]),"",Table1[[#This Row],[Date]]-WEEKDAY(Table1[[#This Row],[Date]],2)+1)</f>
        <v>44319</v>
      </c>
      <c r="T1017" s="140">
        <f>IF(ISBLANK(Table1[[#This Row],[Date]]),"",DATE(Table1[[#This Row],[Date_Year]],Table1[[#This Row],[Date_Month]],1))</f>
        <v>44317</v>
      </c>
    </row>
    <row r="1018" spans="2:20" ht="15.75">
      <c r="B1018" s="154">
        <v>44319</v>
      </c>
      <c r="C1018" s="119" t="s">
        <v>1529</v>
      </c>
      <c r="D1018" s="119"/>
      <c r="E1018" s="119"/>
      <c r="F1018" s="155">
        <v>-5.99</v>
      </c>
      <c r="G1018" s="133" t="str">
        <f>_xlfn.XLOOKUP(Table1[[#This Row],[Account_ID]], Accounts[ID], Accounts[Account nickname], "Unknown")</f>
        <v>Discover</v>
      </c>
      <c r="H1018" s="134" t="str">
        <f>_xlfn.XLOOKUP(Table1[[#This Row],[Account_ID]], Accounts[ID], Accounts[Account'#], "Unknown")</f>
        <v>4618</v>
      </c>
      <c r="I1018" s="135" t="str">
        <f>_xlfn.XLOOKUP(_xlfn.XLOOKUP(Table1[[#This Row],[Account]],Accounts[Account nickname],Accounts[Institution ID]),Institutions[ID],Institutions[Institution nickname],"Unknown")</f>
        <v>Discover</v>
      </c>
      <c r="J1018" s="136" t="s">
        <v>2379</v>
      </c>
      <c r="K1018" s="137" t="s">
        <v>843</v>
      </c>
      <c r="L1018" s="137" t="s">
        <v>841</v>
      </c>
      <c r="M101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1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18" s="138" t="str" cm="1">
        <f t="array" ref="O1018">IFERROR(INDEX(CategoriesTable[Category type],MATCH(Table1[[#This Row],[Category]],CategoriesTable[Category name],0),0),"")</f>
        <v/>
      </c>
      <c r="P1018" s="138">
        <v>3</v>
      </c>
      <c r="Q1018" s="138">
        <f>MONTH(Table1[[#This Row],[Date]])</f>
        <v>5</v>
      </c>
      <c r="R1018" s="138">
        <v>2021</v>
      </c>
      <c r="S1018" s="139">
        <f>IF(ISBLANK(Table1[[#This Row],[Date]]),"",Table1[[#This Row],[Date]]-WEEKDAY(Table1[[#This Row],[Date]],2)+1)</f>
        <v>44319</v>
      </c>
      <c r="T1018" s="140">
        <f>IF(ISBLANK(Table1[[#This Row],[Date]]),"",DATE(Table1[[#This Row],[Date_Year]],Table1[[#This Row],[Date_Month]],1))</f>
        <v>44317</v>
      </c>
    </row>
    <row r="1019" spans="2:20" ht="15.75">
      <c r="B1019" s="154">
        <v>44319</v>
      </c>
      <c r="C1019" s="119" t="s">
        <v>2279</v>
      </c>
      <c r="D1019" s="119"/>
      <c r="E1019" s="119"/>
      <c r="F1019" s="155">
        <v>-54.6</v>
      </c>
      <c r="G1019" s="133" t="str">
        <f>_xlfn.XLOOKUP(Table1[[#This Row],[Account_ID]], Accounts[ID], Accounts[Account nickname], "Unknown")</f>
        <v>Discover</v>
      </c>
      <c r="H1019" s="134" t="str">
        <f>_xlfn.XLOOKUP(Table1[[#This Row],[Account_ID]], Accounts[ID], Accounts[Account'#], "Unknown")</f>
        <v>4618</v>
      </c>
      <c r="I1019" s="135" t="str">
        <f>_xlfn.XLOOKUP(_xlfn.XLOOKUP(Table1[[#This Row],[Account]],Accounts[Account nickname],Accounts[Institution ID]),Institutions[ID],Institutions[Institution nickname],"Unknown")</f>
        <v>Discover</v>
      </c>
      <c r="J1019" s="152" t="s">
        <v>2380</v>
      </c>
      <c r="K1019" s="137" t="s">
        <v>843</v>
      </c>
      <c r="L1019" s="137" t="s">
        <v>841</v>
      </c>
      <c r="M101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1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19" s="138" t="str" cm="1">
        <f t="array" ref="O1019">IFERROR(INDEX(CategoriesTable[Category type],MATCH(Table1[[#This Row],[Category]],CategoriesTable[Category name],0),0),"")</f>
        <v/>
      </c>
      <c r="P1019" s="138">
        <v>3</v>
      </c>
      <c r="Q1019" s="138">
        <f>MONTH(Table1[[#This Row],[Date]])</f>
        <v>5</v>
      </c>
      <c r="R1019" s="138">
        <v>2021</v>
      </c>
      <c r="S1019" s="139">
        <f>IF(ISBLANK(Table1[[#This Row],[Date]]),"",Table1[[#This Row],[Date]]-WEEKDAY(Table1[[#This Row],[Date]],2)+1)</f>
        <v>44319</v>
      </c>
      <c r="T1019" s="140">
        <f>IF(ISBLANK(Table1[[#This Row],[Date]]),"",DATE(Table1[[#This Row],[Date_Year]],Table1[[#This Row],[Date_Month]],1))</f>
        <v>44317</v>
      </c>
    </row>
    <row r="1020" spans="2:20" ht="15.75">
      <c r="B1020" s="154">
        <v>44319</v>
      </c>
      <c r="C1020" s="119" t="s">
        <v>2381</v>
      </c>
      <c r="D1020" s="119"/>
      <c r="E1020" s="119"/>
      <c r="F1020" s="155">
        <v>-73.37</v>
      </c>
      <c r="G1020" s="133" t="str">
        <f>_xlfn.XLOOKUP(Table1[[#This Row],[Account_ID]], Accounts[ID], Accounts[Account nickname], "Unknown")</f>
        <v>Discover</v>
      </c>
      <c r="H1020" s="134" t="str">
        <f>_xlfn.XLOOKUP(Table1[[#This Row],[Account_ID]], Accounts[ID], Accounts[Account'#], "Unknown")</f>
        <v>4618</v>
      </c>
      <c r="I1020" s="135" t="str">
        <f>_xlfn.XLOOKUP(_xlfn.XLOOKUP(Table1[[#This Row],[Account]],Accounts[Account nickname],Accounts[Institution ID]),Institutions[ID],Institutions[Institution nickname],"Unknown")</f>
        <v>Discover</v>
      </c>
      <c r="J1020" s="136" t="s">
        <v>2382</v>
      </c>
      <c r="K1020" s="137" t="s">
        <v>843</v>
      </c>
      <c r="L1020" s="137" t="s">
        <v>841</v>
      </c>
      <c r="M102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2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20" s="138" t="str" cm="1">
        <f t="array" ref="O1020">IFERROR(INDEX(CategoriesTable[Category type],MATCH(Table1[[#This Row],[Category]],CategoriesTable[Category name],0),0),"")</f>
        <v/>
      </c>
      <c r="P1020" s="138">
        <v>3</v>
      </c>
      <c r="Q1020" s="138">
        <f>MONTH(Table1[[#This Row],[Date]])</f>
        <v>5</v>
      </c>
      <c r="R1020" s="138">
        <v>2021</v>
      </c>
      <c r="S1020" s="139">
        <f>IF(ISBLANK(Table1[[#This Row],[Date]]),"",Table1[[#This Row],[Date]]-WEEKDAY(Table1[[#This Row],[Date]],2)+1)</f>
        <v>44319</v>
      </c>
      <c r="T1020" s="140">
        <f>IF(ISBLANK(Table1[[#This Row],[Date]]),"",DATE(Table1[[#This Row],[Date_Year]],Table1[[#This Row],[Date_Month]],1))</f>
        <v>44317</v>
      </c>
    </row>
    <row r="1021" spans="2:20" ht="15.75">
      <c r="B1021" s="154">
        <v>44318</v>
      </c>
      <c r="C1021" s="119" t="s">
        <v>1810</v>
      </c>
      <c r="D1021" s="119"/>
      <c r="E1021" s="119"/>
      <c r="F1021" s="155">
        <v>38.74</v>
      </c>
      <c r="G1021" s="133" t="str">
        <f>_xlfn.XLOOKUP(Table1[[#This Row],[Account_ID]], Accounts[ID], Accounts[Account nickname], "Unknown")</f>
        <v>Discover</v>
      </c>
      <c r="H1021" s="134" t="str">
        <f>_xlfn.XLOOKUP(Table1[[#This Row],[Account_ID]], Accounts[ID], Accounts[Account'#], "Unknown")</f>
        <v>4618</v>
      </c>
      <c r="I1021" s="135" t="str">
        <f>_xlfn.XLOOKUP(_xlfn.XLOOKUP(Table1[[#This Row],[Account]],Accounts[Account nickname],Accounts[Institution ID]),Institutions[ID],Institutions[Institution nickname],"Unknown")</f>
        <v>Discover</v>
      </c>
      <c r="J1021" s="136" t="s">
        <v>2383</v>
      </c>
      <c r="K1021" s="137" t="s">
        <v>843</v>
      </c>
      <c r="L1021" s="137" t="s">
        <v>841</v>
      </c>
      <c r="M102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2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21" s="138" t="str" cm="1">
        <f t="array" ref="O1021">IFERROR(INDEX(CategoriesTable[Category type],MATCH(Table1[[#This Row],[Category]],CategoriesTable[Category name],0),0),"")</f>
        <v/>
      </c>
      <c r="P1021" s="138">
        <v>2</v>
      </c>
      <c r="Q1021" s="138">
        <f>MONTH(Table1[[#This Row],[Date]])</f>
        <v>5</v>
      </c>
      <c r="R1021" s="138">
        <v>2021</v>
      </c>
      <c r="S1021" s="139">
        <f>IF(ISBLANK(Table1[[#This Row],[Date]]),"",Table1[[#This Row],[Date]]-WEEKDAY(Table1[[#This Row],[Date]],2)+1)</f>
        <v>44312</v>
      </c>
      <c r="T1021" s="140">
        <f>IF(ISBLANK(Table1[[#This Row],[Date]]),"",DATE(Table1[[#This Row],[Date_Year]],Table1[[#This Row],[Date_Month]],1))</f>
        <v>44317</v>
      </c>
    </row>
    <row r="1022" spans="2:20" ht="15.75">
      <c r="B1022" s="154">
        <v>44318</v>
      </c>
      <c r="C1022" s="119" t="s">
        <v>1810</v>
      </c>
      <c r="D1022" s="119"/>
      <c r="E1022" s="119"/>
      <c r="F1022" s="155">
        <v>-38.74</v>
      </c>
      <c r="G1022" s="133" t="str">
        <f>_xlfn.XLOOKUP(Table1[[#This Row],[Account_ID]], Accounts[ID], Accounts[Account nickname], "Unknown")</f>
        <v>Discover</v>
      </c>
      <c r="H1022" s="134" t="str">
        <f>_xlfn.XLOOKUP(Table1[[#This Row],[Account_ID]], Accounts[ID], Accounts[Account'#], "Unknown")</f>
        <v>4618</v>
      </c>
      <c r="I1022" s="135" t="str">
        <f>_xlfn.XLOOKUP(_xlfn.XLOOKUP(Table1[[#This Row],[Account]],Accounts[Account nickname],Accounts[Institution ID]),Institutions[ID],Institutions[Institution nickname],"Unknown")</f>
        <v>Discover</v>
      </c>
      <c r="J1022" s="136" t="s">
        <v>2385</v>
      </c>
      <c r="K1022" s="137" t="s">
        <v>843</v>
      </c>
      <c r="L1022" s="137" t="s">
        <v>841</v>
      </c>
      <c r="M102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2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22" s="138" t="str" cm="1">
        <f t="array" ref="O1022">IFERROR(INDEX(CategoriesTable[Category type],MATCH(Table1[[#This Row],[Category]],CategoriesTable[Category name],0),0),"")</f>
        <v/>
      </c>
      <c r="P1022" s="138">
        <v>2</v>
      </c>
      <c r="Q1022" s="138">
        <f>MONTH(Table1[[#This Row],[Date]])</f>
        <v>5</v>
      </c>
      <c r="R1022" s="138">
        <v>2021</v>
      </c>
      <c r="S1022" s="139">
        <f>IF(ISBLANK(Table1[[#This Row],[Date]]),"",Table1[[#This Row],[Date]]-WEEKDAY(Table1[[#This Row],[Date]],2)+1)</f>
        <v>44312</v>
      </c>
      <c r="T1022" s="140">
        <f>IF(ISBLANK(Table1[[#This Row],[Date]]),"",DATE(Table1[[#This Row],[Date_Year]],Table1[[#This Row],[Date_Month]],1))</f>
        <v>44317</v>
      </c>
    </row>
    <row r="1023" spans="2:20" ht="15.75">
      <c r="B1023" s="154">
        <v>44318</v>
      </c>
      <c r="C1023" s="119" t="s">
        <v>1810</v>
      </c>
      <c r="D1023" s="119"/>
      <c r="E1023" s="119"/>
      <c r="F1023" s="155">
        <v>-18.96</v>
      </c>
      <c r="G1023" s="133" t="str">
        <f>_xlfn.XLOOKUP(Table1[[#This Row],[Account_ID]], Accounts[ID], Accounts[Account nickname], "Unknown")</f>
        <v>Discover</v>
      </c>
      <c r="H1023" s="134" t="str">
        <f>_xlfn.XLOOKUP(Table1[[#This Row],[Account_ID]], Accounts[ID], Accounts[Account'#], "Unknown")</f>
        <v>4618</v>
      </c>
      <c r="I1023" s="135" t="str">
        <f>_xlfn.XLOOKUP(_xlfn.XLOOKUP(Table1[[#This Row],[Account]],Accounts[Account nickname],Accounts[Institution ID]),Institutions[ID],Institutions[Institution nickname],"Unknown")</f>
        <v>Discover</v>
      </c>
      <c r="J1023" s="136" t="s">
        <v>2384</v>
      </c>
      <c r="K1023" s="137" t="s">
        <v>843</v>
      </c>
      <c r="L1023" s="137" t="s">
        <v>841</v>
      </c>
      <c r="M102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2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23" s="138" t="str" cm="1">
        <f t="array" ref="O1023">IFERROR(INDEX(CategoriesTable[Category type],MATCH(Table1[[#This Row],[Category]],CategoriesTable[Category name],0),0),"")</f>
        <v/>
      </c>
      <c r="P1023" s="138">
        <v>2</v>
      </c>
      <c r="Q1023" s="138">
        <f>MONTH(Table1[[#This Row],[Date]])</f>
        <v>5</v>
      </c>
      <c r="R1023" s="138">
        <v>2021</v>
      </c>
      <c r="S1023" s="139">
        <f>IF(ISBLANK(Table1[[#This Row],[Date]]),"",Table1[[#This Row],[Date]]-WEEKDAY(Table1[[#This Row],[Date]],2)+1)</f>
        <v>44312</v>
      </c>
      <c r="T1023" s="140">
        <f>IF(ISBLANK(Table1[[#This Row],[Date]]),"",DATE(Table1[[#This Row],[Date_Year]],Table1[[#This Row],[Date_Month]],1))</f>
        <v>44317</v>
      </c>
    </row>
    <row r="1024" spans="2:20" ht="15.75">
      <c r="B1024" s="154">
        <v>44318</v>
      </c>
      <c r="C1024" s="119" t="s">
        <v>2289</v>
      </c>
      <c r="D1024" s="119"/>
      <c r="E1024" s="119"/>
      <c r="F1024" s="155">
        <v>-1.99</v>
      </c>
      <c r="G1024" s="133" t="str">
        <f>_xlfn.XLOOKUP(Table1[[#This Row],[Account_ID]], Accounts[ID], Accounts[Account nickname], "Unknown")</f>
        <v>Discover</v>
      </c>
      <c r="H1024" s="134" t="str">
        <f>_xlfn.XLOOKUP(Table1[[#This Row],[Account_ID]], Accounts[ID], Accounts[Account'#], "Unknown")</f>
        <v>4618</v>
      </c>
      <c r="I1024" s="135" t="str">
        <f>_xlfn.XLOOKUP(_xlfn.XLOOKUP(Table1[[#This Row],[Account]],Accounts[Account nickname],Accounts[Institution ID]),Institutions[ID],Institutions[Institution nickname],"Unknown")</f>
        <v>Discover</v>
      </c>
      <c r="J1024" s="136" t="s">
        <v>2386</v>
      </c>
      <c r="K1024" s="137" t="s">
        <v>843</v>
      </c>
      <c r="L1024" s="137" t="s">
        <v>841</v>
      </c>
      <c r="M102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2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24" s="138" t="str" cm="1">
        <f t="array" ref="O1024">IFERROR(INDEX(CategoriesTable[Category type],MATCH(Table1[[#This Row],[Category]],CategoriesTable[Category name],0),0),"")</f>
        <v/>
      </c>
      <c r="P1024" s="138">
        <v>2</v>
      </c>
      <c r="Q1024" s="138">
        <f>MONTH(Table1[[#This Row],[Date]])</f>
        <v>5</v>
      </c>
      <c r="R1024" s="138">
        <v>2021</v>
      </c>
      <c r="S1024" s="139">
        <f>IF(ISBLANK(Table1[[#This Row],[Date]]),"",Table1[[#This Row],[Date]]-WEEKDAY(Table1[[#This Row],[Date]],2)+1)</f>
        <v>44312</v>
      </c>
      <c r="T1024" s="140">
        <f>IF(ISBLANK(Table1[[#This Row],[Date]]),"",DATE(Table1[[#This Row],[Date_Year]],Table1[[#This Row],[Date_Month]],1))</f>
        <v>44317</v>
      </c>
    </row>
    <row r="1025" spans="2:20" ht="15.75">
      <c r="B1025" s="154">
        <v>44317</v>
      </c>
      <c r="C1025" s="119" t="s">
        <v>2393</v>
      </c>
      <c r="D1025" s="119"/>
      <c r="E1025" s="119"/>
      <c r="F1025" s="155">
        <v>-69.52</v>
      </c>
      <c r="G1025" s="133" t="str">
        <f>_xlfn.XLOOKUP(Table1[[#This Row],[Account_ID]], Accounts[ID], Accounts[Account nickname], "Unknown")</f>
        <v>Discover</v>
      </c>
      <c r="H1025" s="134" t="str">
        <f>_xlfn.XLOOKUP(Table1[[#This Row],[Account_ID]], Accounts[ID], Accounts[Account'#], "Unknown")</f>
        <v>4618</v>
      </c>
      <c r="I1025" s="135" t="str">
        <f>_xlfn.XLOOKUP(_xlfn.XLOOKUP(Table1[[#This Row],[Account]],Accounts[Account nickname],Accounts[Institution ID]),Institutions[ID],Institutions[Institution nickname],"Unknown")</f>
        <v>Discover</v>
      </c>
      <c r="J1025" s="136" t="s">
        <v>2394</v>
      </c>
      <c r="K1025" s="137" t="s">
        <v>843</v>
      </c>
      <c r="L1025" s="137" t="s">
        <v>841</v>
      </c>
      <c r="M102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2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25" s="138" t="str" cm="1">
        <f t="array" ref="O1025">IFERROR(INDEX(CategoriesTable[Category type],MATCH(Table1[[#This Row],[Category]],CategoriesTable[Category name],0),0),"")</f>
        <v/>
      </c>
      <c r="P1025" s="138">
        <v>1</v>
      </c>
      <c r="Q1025" s="138">
        <f>MONTH(Table1[[#This Row],[Date]])</f>
        <v>5</v>
      </c>
      <c r="R1025" s="138">
        <v>2021</v>
      </c>
      <c r="S1025" s="139">
        <f>IF(ISBLANK(Table1[[#This Row],[Date]]),"",Table1[[#This Row],[Date]]-WEEKDAY(Table1[[#This Row],[Date]],2)+1)</f>
        <v>44312</v>
      </c>
      <c r="T1025" s="140">
        <f>IF(ISBLANK(Table1[[#This Row],[Date]]),"",DATE(Table1[[#This Row],[Date_Year]],Table1[[#This Row],[Date_Month]],1))</f>
        <v>44317</v>
      </c>
    </row>
    <row r="1026" spans="2:20" ht="15.75">
      <c r="B1026" s="154">
        <v>44317</v>
      </c>
      <c r="C1026" s="119" t="s">
        <v>697</v>
      </c>
      <c r="D1026" s="119"/>
      <c r="E1026" s="119"/>
      <c r="F1026" s="155">
        <v>-14.83</v>
      </c>
      <c r="G1026" s="133" t="str">
        <f>_xlfn.XLOOKUP(Table1[[#This Row],[Account_ID]], Accounts[ID], Accounts[Account nickname], "Unknown")</f>
        <v>Discover</v>
      </c>
      <c r="H1026" s="134" t="str">
        <f>_xlfn.XLOOKUP(Table1[[#This Row],[Account_ID]], Accounts[ID], Accounts[Account'#], "Unknown")</f>
        <v>4618</v>
      </c>
      <c r="I1026" s="135" t="str">
        <f>_xlfn.XLOOKUP(_xlfn.XLOOKUP(Table1[[#This Row],[Account]],Accounts[Account nickname],Accounts[Institution ID]),Institutions[ID],Institutions[Institution nickname],"Unknown")</f>
        <v>Discover</v>
      </c>
      <c r="J1026" s="136" t="s">
        <v>2391</v>
      </c>
      <c r="K1026" s="137" t="s">
        <v>843</v>
      </c>
      <c r="L1026" s="137" t="s">
        <v>841</v>
      </c>
      <c r="M102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2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26" s="138" t="str" cm="1">
        <f t="array" ref="O1026">IFERROR(INDEX(CategoriesTable[Category type],MATCH(Table1[[#This Row],[Category]],CategoriesTable[Category name],0),0),"")</f>
        <v/>
      </c>
      <c r="P1026" s="138">
        <v>1</v>
      </c>
      <c r="Q1026" s="138">
        <f>MONTH(Table1[[#This Row],[Date]])</f>
        <v>5</v>
      </c>
      <c r="R1026" s="138">
        <v>2021</v>
      </c>
      <c r="S1026" s="139">
        <f>IF(ISBLANK(Table1[[#This Row],[Date]]),"",Table1[[#This Row],[Date]]-WEEKDAY(Table1[[#This Row],[Date]],2)+1)</f>
        <v>44312</v>
      </c>
      <c r="T1026" s="140">
        <f>IF(ISBLANK(Table1[[#This Row],[Date]]),"",DATE(Table1[[#This Row],[Date_Year]],Table1[[#This Row],[Date_Month]],1))</f>
        <v>44317</v>
      </c>
    </row>
    <row r="1027" spans="2:20" ht="15.75">
      <c r="B1027" s="154">
        <v>44317</v>
      </c>
      <c r="C1027" s="119" t="s">
        <v>698</v>
      </c>
      <c r="D1027" s="119"/>
      <c r="E1027" s="119"/>
      <c r="F1027" s="155">
        <v>-9.99</v>
      </c>
      <c r="G1027" s="133" t="str">
        <f>_xlfn.XLOOKUP(Table1[[#This Row],[Account_ID]], Accounts[ID], Accounts[Account nickname], "Unknown")</f>
        <v>Discover</v>
      </c>
      <c r="H1027" s="134" t="str">
        <f>_xlfn.XLOOKUP(Table1[[#This Row],[Account_ID]], Accounts[ID], Accounts[Account'#], "Unknown")</f>
        <v>4618</v>
      </c>
      <c r="I1027" s="135" t="str">
        <f>_xlfn.XLOOKUP(_xlfn.XLOOKUP(Table1[[#This Row],[Account]],Accounts[Account nickname],Accounts[Institution ID]),Institutions[ID],Institutions[Institution nickname],"Unknown")</f>
        <v>Discover</v>
      </c>
      <c r="J1027" s="136" t="s">
        <v>2392</v>
      </c>
      <c r="K1027" s="137" t="s">
        <v>843</v>
      </c>
      <c r="L1027" s="137" t="s">
        <v>841</v>
      </c>
      <c r="M102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2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27" s="138" t="str" cm="1">
        <f t="array" ref="O1027">IFERROR(INDEX(CategoriesTable[Category type],MATCH(Table1[[#This Row],[Category]],CategoriesTable[Category name],0),0),"")</f>
        <v/>
      </c>
      <c r="P1027" s="138">
        <v>1</v>
      </c>
      <c r="Q1027" s="138">
        <f>MONTH(Table1[[#This Row],[Date]])</f>
        <v>5</v>
      </c>
      <c r="R1027" s="138">
        <v>2021</v>
      </c>
      <c r="S1027" s="139">
        <f>IF(ISBLANK(Table1[[#This Row],[Date]]),"",Table1[[#This Row],[Date]]-WEEKDAY(Table1[[#This Row],[Date]],2)+1)</f>
        <v>44312</v>
      </c>
      <c r="T1027" s="140">
        <f>IF(ISBLANK(Table1[[#This Row],[Date]]),"",DATE(Table1[[#This Row],[Date_Year]],Table1[[#This Row],[Date_Month]],1))</f>
        <v>44317</v>
      </c>
    </row>
    <row r="1028" spans="2:20" ht="15.75">
      <c r="B1028" s="154">
        <v>44317</v>
      </c>
      <c r="C1028" s="119" t="s">
        <v>2389</v>
      </c>
      <c r="D1028" s="119"/>
      <c r="E1028" s="119"/>
      <c r="F1028" s="155">
        <v>-18.399999999999999</v>
      </c>
      <c r="G1028" s="133" t="str">
        <f>_xlfn.XLOOKUP(Table1[[#This Row],[Account_ID]], Accounts[ID], Accounts[Account nickname], "Unknown")</f>
        <v>Discover</v>
      </c>
      <c r="H1028" s="134" t="str">
        <f>_xlfn.XLOOKUP(Table1[[#This Row],[Account_ID]], Accounts[ID], Accounts[Account'#], "Unknown")</f>
        <v>4618</v>
      </c>
      <c r="I1028" s="135" t="str">
        <f>_xlfn.XLOOKUP(_xlfn.XLOOKUP(Table1[[#This Row],[Account]],Accounts[Account nickname],Accounts[Institution ID]),Institutions[ID],Institutions[Institution nickname],"Unknown")</f>
        <v>Discover</v>
      </c>
      <c r="J1028" s="136" t="s">
        <v>2390</v>
      </c>
      <c r="K1028" s="137" t="s">
        <v>843</v>
      </c>
      <c r="L1028" s="137" t="s">
        <v>841</v>
      </c>
      <c r="M102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2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28" s="138" t="str" cm="1">
        <f t="array" ref="O1028">IFERROR(INDEX(CategoriesTable[Category type],MATCH(Table1[[#This Row],[Category]],CategoriesTable[Category name],0),0),"")</f>
        <v/>
      </c>
      <c r="P1028" s="138">
        <v>1</v>
      </c>
      <c r="Q1028" s="138">
        <f>MONTH(Table1[[#This Row],[Date]])</f>
        <v>5</v>
      </c>
      <c r="R1028" s="138">
        <v>2021</v>
      </c>
      <c r="S1028" s="139">
        <f>IF(ISBLANK(Table1[[#This Row],[Date]]),"",Table1[[#This Row],[Date]]-WEEKDAY(Table1[[#This Row],[Date]],2)+1)</f>
        <v>44312</v>
      </c>
      <c r="T1028" s="140">
        <f>IF(ISBLANK(Table1[[#This Row],[Date]]),"",DATE(Table1[[#This Row],[Date_Year]],Table1[[#This Row],[Date_Month]],1))</f>
        <v>44317</v>
      </c>
    </row>
    <row r="1029" spans="2:20" ht="15.75">
      <c r="B1029" s="154">
        <v>44317</v>
      </c>
      <c r="C1029" s="119" t="s">
        <v>746</v>
      </c>
      <c r="D1029" s="119"/>
      <c r="E1029" s="119"/>
      <c r="F1029" s="155">
        <v>-49.53</v>
      </c>
      <c r="G1029" s="133" t="str">
        <f>_xlfn.XLOOKUP(Table1[[#This Row],[Account_ID]], Accounts[ID], Accounts[Account nickname], "Unknown")</f>
        <v>Discover</v>
      </c>
      <c r="H1029" s="134" t="str">
        <f>_xlfn.XLOOKUP(Table1[[#This Row],[Account_ID]], Accounts[ID], Accounts[Account'#], "Unknown")</f>
        <v>4618</v>
      </c>
      <c r="I1029" s="135" t="str">
        <f>_xlfn.XLOOKUP(_xlfn.XLOOKUP(Table1[[#This Row],[Account]],Accounts[Account nickname],Accounts[Institution ID]),Institutions[ID],Institutions[Institution nickname],"Unknown")</f>
        <v>Discover</v>
      </c>
      <c r="J1029" s="136" t="s">
        <v>2387</v>
      </c>
      <c r="K1029" s="137" t="s">
        <v>843</v>
      </c>
      <c r="L1029" s="137" t="s">
        <v>841</v>
      </c>
      <c r="M102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2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29" s="138" t="str" cm="1">
        <f t="array" ref="O1029">IFERROR(INDEX(CategoriesTable[Category type],MATCH(Table1[[#This Row],[Category]],CategoriesTable[Category name],0),0),"")</f>
        <v/>
      </c>
      <c r="P1029" s="138">
        <v>1</v>
      </c>
      <c r="Q1029" s="138">
        <f>MONTH(Table1[[#This Row],[Date]])</f>
        <v>5</v>
      </c>
      <c r="R1029" s="138">
        <v>2021</v>
      </c>
      <c r="S1029" s="139">
        <f>IF(ISBLANK(Table1[[#This Row],[Date]]),"",Table1[[#This Row],[Date]]-WEEKDAY(Table1[[#This Row],[Date]],2)+1)</f>
        <v>44312</v>
      </c>
      <c r="T1029" s="140">
        <f>IF(ISBLANK(Table1[[#This Row],[Date]]),"",DATE(Table1[[#This Row],[Date_Year]],Table1[[#This Row],[Date_Month]],1))</f>
        <v>44317</v>
      </c>
    </row>
    <row r="1030" spans="2:20" ht="15.75">
      <c r="B1030" s="154">
        <v>44317</v>
      </c>
      <c r="C1030" s="119" t="s">
        <v>694</v>
      </c>
      <c r="D1030" s="119"/>
      <c r="E1030" s="119"/>
      <c r="F1030" s="155">
        <v>-7.54</v>
      </c>
      <c r="G1030" s="133" t="str">
        <f>_xlfn.XLOOKUP(Table1[[#This Row],[Account_ID]], Accounts[ID], Accounts[Account nickname], "Unknown")</f>
        <v>Discover</v>
      </c>
      <c r="H1030" s="134" t="str">
        <f>_xlfn.XLOOKUP(Table1[[#This Row],[Account_ID]], Accounts[ID], Accounts[Account'#], "Unknown")</f>
        <v>4618</v>
      </c>
      <c r="I1030" s="135" t="str">
        <f>_xlfn.XLOOKUP(_xlfn.XLOOKUP(Table1[[#This Row],[Account]],Accounts[Account nickname],Accounts[Institution ID]),Institutions[ID],Institutions[Institution nickname],"Unknown")</f>
        <v>Discover</v>
      </c>
      <c r="J1030" s="136" t="s">
        <v>2388</v>
      </c>
      <c r="K1030" s="137" t="s">
        <v>843</v>
      </c>
      <c r="L1030" s="137" t="s">
        <v>841</v>
      </c>
      <c r="M103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3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30" s="138" t="str" cm="1">
        <f t="array" ref="O1030">IFERROR(INDEX(CategoriesTable[Category type],MATCH(Table1[[#This Row],[Category]],CategoriesTable[Category name],0),0),"")</f>
        <v/>
      </c>
      <c r="P1030" s="138">
        <v>1</v>
      </c>
      <c r="Q1030" s="138">
        <f>MONTH(Table1[[#This Row],[Date]])</f>
        <v>5</v>
      </c>
      <c r="R1030" s="138">
        <v>2021</v>
      </c>
      <c r="S1030" s="139">
        <f>IF(ISBLANK(Table1[[#This Row],[Date]]),"",Table1[[#This Row],[Date]]-WEEKDAY(Table1[[#This Row],[Date]],2)+1)</f>
        <v>44312</v>
      </c>
      <c r="T1030" s="140">
        <f>IF(ISBLANK(Table1[[#This Row],[Date]]),"",DATE(Table1[[#This Row],[Date_Year]],Table1[[#This Row],[Date_Month]],1))</f>
        <v>44317</v>
      </c>
    </row>
    <row r="1031" spans="2:20" ht="15.75">
      <c r="B1031" s="154">
        <v>44317</v>
      </c>
      <c r="C1031" s="119" t="s">
        <v>2397</v>
      </c>
      <c r="D1031" s="119"/>
      <c r="E1031" s="119"/>
      <c r="F1031" s="155">
        <v>-44</v>
      </c>
      <c r="G1031" s="133" t="str">
        <f>_xlfn.XLOOKUP(Table1[[#This Row],[Account_ID]], Accounts[ID], Accounts[Account nickname], "Unknown")</f>
        <v>Discover</v>
      </c>
      <c r="H1031" s="134" t="str">
        <f>_xlfn.XLOOKUP(Table1[[#This Row],[Account_ID]], Accounts[ID], Accounts[Account'#], "Unknown")</f>
        <v>4618</v>
      </c>
      <c r="I1031" s="135" t="str">
        <f>_xlfn.XLOOKUP(_xlfn.XLOOKUP(Table1[[#This Row],[Account]],Accounts[Account nickname],Accounts[Institution ID]),Institutions[ID],Institutions[Institution nickname],"Unknown")</f>
        <v>Discover</v>
      </c>
      <c r="J1031" s="136" t="s">
        <v>2398</v>
      </c>
      <c r="K1031" s="137" t="s">
        <v>843</v>
      </c>
      <c r="L1031" s="137" t="s">
        <v>841</v>
      </c>
      <c r="M103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3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31" s="138" t="str" cm="1">
        <f t="array" ref="O1031">IFERROR(INDEX(CategoriesTable[Category type],MATCH(Table1[[#This Row],[Category]],CategoriesTable[Category name],0),0),"")</f>
        <v/>
      </c>
      <c r="P1031" s="138">
        <v>1</v>
      </c>
      <c r="Q1031" s="138">
        <f>MONTH(Table1[[#This Row],[Date]])</f>
        <v>5</v>
      </c>
      <c r="R1031" s="138">
        <v>2021</v>
      </c>
      <c r="S1031" s="139">
        <f>IF(ISBLANK(Table1[[#This Row],[Date]]),"",Table1[[#This Row],[Date]]-WEEKDAY(Table1[[#This Row],[Date]],2)+1)</f>
        <v>44312</v>
      </c>
      <c r="T1031" s="140">
        <f>IF(ISBLANK(Table1[[#This Row],[Date]]),"",DATE(Table1[[#This Row],[Date_Year]],Table1[[#This Row],[Date_Month]],1))</f>
        <v>44317</v>
      </c>
    </row>
    <row r="1032" spans="2:20" ht="15.75">
      <c r="B1032" s="154">
        <v>44317</v>
      </c>
      <c r="C1032" s="119" t="s">
        <v>718</v>
      </c>
      <c r="D1032" s="119"/>
      <c r="E1032" s="119"/>
      <c r="F1032" s="155">
        <v>-42.38</v>
      </c>
      <c r="G1032" s="133" t="str">
        <f>_xlfn.XLOOKUP(Table1[[#This Row],[Account_ID]], Accounts[ID], Accounts[Account nickname], "Unknown")</f>
        <v>Discover</v>
      </c>
      <c r="H1032" s="134" t="str">
        <f>_xlfn.XLOOKUP(Table1[[#This Row],[Account_ID]], Accounts[ID], Accounts[Account'#], "Unknown")</f>
        <v>4618</v>
      </c>
      <c r="I1032" s="135" t="str">
        <f>_xlfn.XLOOKUP(_xlfn.XLOOKUP(Table1[[#This Row],[Account]],Accounts[Account nickname],Accounts[Institution ID]),Institutions[ID],Institutions[Institution nickname],"Unknown")</f>
        <v>Discover</v>
      </c>
      <c r="J1032" s="136" t="s">
        <v>2396</v>
      </c>
      <c r="K1032" s="137" t="s">
        <v>843</v>
      </c>
      <c r="L1032" s="137" t="s">
        <v>841</v>
      </c>
      <c r="M103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3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32" s="138" t="str" cm="1">
        <f t="array" ref="O1032">IFERROR(INDEX(CategoriesTable[Category type],MATCH(Table1[[#This Row],[Category]],CategoriesTable[Category name],0),0),"")</f>
        <v/>
      </c>
      <c r="P1032" s="138">
        <v>1</v>
      </c>
      <c r="Q1032" s="138">
        <f>MONTH(Table1[[#This Row],[Date]])</f>
        <v>5</v>
      </c>
      <c r="R1032" s="138">
        <v>2021</v>
      </c>
      <c r="S1032" s="139">
        <f>IF(ISBLANK(Table1[[#This Row],[Date]]),"",Table1[[#This Row],[Date]]-WEEKDAY(Table1[[#This Row],[Date]],2)+1)</f>
        <v>44312</v>
      </c>
      <c r="T1032" s="140">
        <f>IF(ISBLANK(Table1[[#This Row],[Date]]),"",DATE(Table1[[#This Row],[Date_Year]],Table1[[#This Row],[Date_Month]],1))</f>
        <v>44317</v>
      </c>
    </row>
    <row r="1033" spans="2:20" ht="15.75">
      <c r="B1033" s="154">
        <v>44317</v>
      </c>
      <c r="C1033" s="119" t="s">
        <v>718</v>
      </c>
      <c r="D1033" s="119"/>
      <c r="E1033" s="119"/>
      <c r="F1033" s="155">
        <v>-25.42</v>
      </c>
      <c r="G1033" s="133" t="str">
        <f>_xlfn.XLOOKUP(Table1[[#This Row],[Account_ID]], Accounts[ID], Accounts[Account nickname], "Unknown")</f>
        <v>Discover</v>
      </c>
      <c r="H1033" s="134" t="str">
        <f>_xlfn.XLOOKUP(Table1[[#This Row],[Account_ID]], Accounts[ID], Accounts[Account'#], "Unknown")</f>
        <v>4618</v>
      </c>
      <c r="I1033" s="135" t="str">
        <f>_xlfn.XLOOKUP(_xlfn.XLOOKUP(Table1[[#This Row],[Account]],Accounts[Account nickname],Accounts[Institution ID]),Institutions[ID],Institutions[Institution nickname],"Unknown")</f>
        <v>Discover</v>
      </c>
      <c r="J1033" s="136" t="s">
        <v>2395</v>
      </c>
      <c r="K1033" s="137" t="s">
        <v>843</v>
      </c>
      <c r="L1033" s="137" t="s">
        <v>841</v>
      </c>
      <c r="M103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3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33" s="138" t="str" cm="1">
        <f t="array" ref="O1033">IFERROR(INDEX(CategoriesTable[Category type],MATCH(Table1[[#This Row],[Category]],CategoriesTable[Category name],0),0),"")</f>
        <v/>
      </c>
      <c r="P1033" s="138">
        <v>1</v>
      </c>
      <c r="Q1033" s="138">
        <f>MONTH(Table1[[#This Row],[Date]])</f>
        <v>5</v>
      </c>
      <c r="R1033" s="138">
        <v>2021</v>
      </c>
      <c r="S1033" s="139">
        <f>IF(ISBLANK(Table1[[#This Row],[Date]]),"",Table1[[#This Row],[Date]]-WEEKDAY(Table1[[#This Row],[Date]],2)+1)</f>
        <v>44312</v>
      </c>
      <c r="T1033" s="140">
        <f>IF(ISBLANK(Table1[[#This Row],[Date]]),"",DATE(Table1[[#This Row],[Date_Year]],Table1[[#This Row],[Date_Month]],1))</f>
        <v>44317</v>
      </c>
    </row>
    <row r="1034" spans="2:20" ht="15.75">
      <c r="B1034" s="154">
        <v>44316</v>
      </c>
      <c r="C1034" s="119" t="s">
        <v>746</v>
      </c>
      <c r="D1034" s="119"/>
      <c r="E1034" s="119"/>
      <c r="F1034" s="155">
        <v>-20.92</v>
      </c>
      <c r="G1034" s="133" t="str">
        <f>_xlfn.XLOOKUP(Table1[[#This Row],[Account_ID]], Accounts[ID], Accounts[Account nickname], "Unknown")</f>
        <v>Discover</v>
      </c>
      <c r="H1034" s="134" t="str">
        <f>_xlfn.XLOOKUP(Table1[[#This Row],[Account_ID]], Accounts[ID], Accounts[Account'#], "Unknown")</f>
        <v>4618</v>
      </c>
      <c r="I1034" s="135" t="str">
        <f>_xlfn.XLOOKUP(_xlfn.XLOOKUP(Table1[[#This Row],[Account]],Accounts[Account nickname],Accounts[Institution ID]),Institutions[ID],Institutions[Institution nickname],"Unknown")</f>
        <v>Discover</v>
      </c>
      <c r="J1034" s="136" t="s">
        <v>2400</v>
      </c>
      <c r="K1034" s="137" t="s">
        <v>843</v>
      </c>
      <c r="L1034" s="137" t="s">
        <v>841</v>
      </c>
      <c r="M103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3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34" s="138" t="str" cm="1">
        <f t="array" ref="O1034">IFERROR(INDEX(CategoriesTable[Category type],MATCH(Table1[[#This Row],[Category]],CategoriesTable[Category name],0),0),"")</f>
        <v/>
      </c>
      <c r="P1034" s="138">
        <v>30</v>
      </c>
      <c r="Q1034" s="138">
        <f>MONTH(Table1[[#This Row],[Date]])</f>
        <v>4</v>
      </c>
      <c r="R1034" s="138">
        <v>2021</v>
      </c>
      <c r="S1034" s="139">
        <f>IF(ISBLANK(Table1[[#This Row],[Date]]),"",Table1[[#This Row],[Date]]-WEEKDAY(Table1[[#This Row],[Date]],2)+1)</f>
        <v>44312</v>
      </c>
      <c r="T1034" s="140">
        <f>IF(ISBLANK(Table1[[#This Row],[Date]]),"",DATE(Table1[[#This Row],[Date_Year]],Table1[[#This Row],[Date_Month]],1))</f>
        <v>44287</v>
      </c>
    </row>
    <row r="1035" spans="2:20" ht="15.75">
      <c r="B1035" s="154">
        <v>44316</v>
      </c>
      <c r="C1035" s="119" t="s">
        <v>2321</v>
      </c>
      <c r="D1035" s="119"/>
      <c r="E1035" s="119"/>
      <c r="F1035" s="155">
        <v>-2.12</v>
      </c>
      <c r="G1035" s="133" t="str">
        <f>_xlfn.XLOOKUP(Table1[[#This Row],[Account_ID]], Accounts[ID], Accounts[Account nickname], "Unknown")</f>
        <v>Discover</v>
      </c>
      <c r="H1035" s="134" t="str">
        <f>_xlfn.XLOOKUP(Table1[[#This Row],[Account_ID]], Accounts[ID], Accounts[Account'#], "Unknown")</f>
        <v>4618</v>
      </c>
      <c r="I1035" s="135" t="str">
        <f>_xlfn.XLOOKUP(_xlfn.XLOOKUP(Table1[[#This Row],[Account]],Accounts[Account nickname],Accounts[Institution ID]),Institutions[ID],Institutions[Institution nickname],"Unknown")</f>
        <v>Discover</v>
      </c>
      <c r="J1035" s="136" t="s">
        <v>2399</v>
      </c>
      <c r="K1035" s="137" t="s">
        <v>843</v>
      </c>
      <c r="L1035" s="137" t="s">
        <v>841</v>
      </c>
      <c r="M103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3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35" s="138" t="str" cm="1">
        <f t="array" ref="O1035">IFERROR(INDEX(CategoriesTable[Category type],MATCH(Table1[[#This Row],[Category]],CategoriesTable[Category name],0),0),"")</f>
        <v/>
      </c>
      <c r="P1035" s="138">
        <v>30</v>
      </c>
      <c r="Q1035" s="138">
        <f>MONTH(Table1[[#This Row],[Date]])</f>
        <v>4</v>
      </c>
      <c r="R1035" s="138">
        <v>2021</v>
      </c>
      <c r="S1035" s="139">
        <f>IF(ISBLANK(Table1[[#This Row],[Date]]),"",Table1[[#This Row],[Date]]-WEEKDAY(Table1[[#This Row],[Date]],2)+1)</f>
        <v>44312</v>
      </c>
      <c r="T1035" s="140">
        <f>IF(ISBLANK(Table1[[#This Row],[Date]]),"",DATE(Table1[[#This Row],[Date_Year]],Table1[[#This Row],[Date_Month]],1))</f>
        <v>44287</v>
      </c>
    </row>
    <row r="1036" spans="2:20" ht="15.75">
      <c r="B1036" s="154">
        <v>44315</v>
      </c>
      <c r="C1036" s="119" t="s">
        <v>734</v>
      </c>
      <c r="D1036" s="119"/>
      <c r="E1036" s="119"/>
      <c r="F1036" s="155">
        <v>-50</v>
      </c>
      <c r="G1036" s="133" t="str">
        <f>_xlfn.XLOOKUP(Table1[[#This Row],[Account_ID]], Accounts[ID], Accounts[Account nickname], "Unknown")</f>
        <v>WF</v>
      </c>
      <c r="H1036" s="134" t="str">
        <f>_xlfn.XLOOKUP(Table1[[#This Row],[Account_ID]], Accounts[ID], Accounts[Account'#], "Unknown")</f>
        <v>4636</v>
      </c>
      <c r="I1036" s="135" t="str">
        <f>_xlfn.XLOOKUP(_xlfn.XLOOKUP(Table1[[#This Row],[Account]],Accounts[Account nickname],Accounts[Institution ID]),Institutions[ID],Institutions[Institution nickname],"Unknown")</f>
        <v>Wells Fargo</v>
      </c>
      <c r="J1036" s="136" t="s">
        <v>1140</v>
      </c>
      <c r="K1036" s="137" t="s">
        <v>808</v>
      </c>
      <c r="L1036" s="137" t="s">
        <v>807</v>
      </c>
      <c r="M103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3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36" s="138" t="str" cm="1">
        <f t="array" ref="O1036">IFERROR(INDEX(CategoriesTable[Category type],MATCH(Table1[[#This Row],[Category]],CategoriesTable[Category name],0),0),"")</f>
        <v/>
      </c>
      <c r="P1036" s="138">
        <v>29</v>
      </c>
      <c r="Q1036" s="138">
        <f>MONTH(Table1[[#This Row],[Date]])</f>
        <v>4</v>
      </c>
      <c r="R1036" s="138">
        <v>2021</v>
      </c>
      <c r="S1036" s="139">
        <f>IF(ISBLANK(Table1[[#This Row],[Date]]),"",Table1[[#This Row],[Date]]-WEEKDAY(Table1[[#This Row],[Date]],2)+1)</f>
        <v>44312</v>
      </c>
      <c r="T1036" s="140">
        <f>IF(ISBLANK(Table1[[#This Row],[Date]]),"",DATE(Table1[[#This Row],[Date_Year]],Table1[[#This Row],[Date_Month]],1))</f>
        <v>44287</v>
      </c>
    </row>
    <row r="1037" spans="2:20" ht="15.75">
      <c r="B1037" s="154">
        <v>44314</v>
      </c>
      <c r="C1037" s="119" t="s">
        <v>2404</v>
      </c>
      <c r="D1037" s="119"/>
      <c r="E1037" s="119"/>
      <c r="F1037" s="155">
        <v>-55.66</v>
      </c>
      <c r="G1037" s="133" t="str">
        <f>_xlfn.XLOOKUP(Table1[[#This Row],[Account_ID]], Accounts[ID], Accounts[Account nickname], "Unknown")</f>
        <v>Discover</v>
      </c>
      <c r="H1037" s="134" t="str">
        <f>_xlfn.XLOOKUP(Table1[[#This Row],[Account_ID]], Accounts[ID], Accounts[Account'#], "Unknown")</f>
        <v>4618</v>
      </c>
      <c r="I1037" s="135" t="str">
        <f>_xlfn.XLOOKUP(_xlfn.XLOOKUP(Table1[[#This Row],[Account]],Accounts[Account nickname],Accounts[Institution ID]),Institutions[ID],Institutions[Institution nickname],"Unknown")</f>
        <v>Discover</v>
      </c>
      <c r="J1037" s="136" t="s">
        <v>2405</v>
      </c>
      <c r="K1037" s="137" t="s">
        <v>843</v>
      </c>
      <c r="L1037" s="137" t="s">
        <v>841</v>
      </c>
      <c r="M103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3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37" s="138" t="str" cm="1">
        <f t="array" ref="O1037">IFERROR(INDEX(CategoriesTable[Category type],MATCH(Table1[[#This Row],[Category]],CategoriesTable[Category name],0),0),"")</f>
        <v/>
      </c>
      <c r="P1037" s="138">
        <v>28</v>
      </c>
      <c r="Q1037" s="138">
        <f>MONTH(Table1[[#This Row],[Date]])</f>
        <v>4</v>
      </c>
      <c r="R1037" s="138">
        <v>2021</v>
      </c>
      <c r="S1037" s="139">
        <f>IF(ISBLANK(Table1[[#This Row],[Date]]),"",Table1[[#This Row],[Date]]-WEEKDAY(Table1[[#This Row],[Date]],2)+1)</f>
        <v>44312</v>
      </c>
      <c r="T1037" s="140">
        <f>IF(ISBLANK(Table1[[#This Row],[Date]]),"",DATE(Table1[[#This Row],[Date_Year]],Table1[[#This Row],[Date_Month]],1))</f>
        <v>44287</v>
      </c>
    </row>
    <row r="1038" spans="2:20" ht="15.75">
      <c r="B1038" s="154">
        <v>44314</v>
      </c>
      <c r="C1038" s="119" t="s">
        <v>694</v>
      </c>
      <c r="D1038" s="119"/>
      <c r="E1038" s="119"/>
      <c r="F1038" s="155">
        <v>-23.95</v>
      </c>
      <c r="G1038" s="133" t="str">
        <f>_xlfn.XLOOKUP(Table1[[#This Row],[Account_ID]], Accounts[ID], Accounts[Account nickname], "Unknown")</f>
        <v>Discover</v>
      </c>
      <c r="H1038" s="134" t="str">
        <f>_xlfn.XLOOKUP(Table1[[#This Row],[Account_ID]], Accounts[ID], Accounts[Account'#], "Unknown")</f>
        <v>4618</v>
      </c>
      <c r="I1038" s="135" t="str">
        <f>_xlfn.XLOOKUP(_xlfn.XLOOKUP(Table1[[#This Row],[Account]],Accounts[Account nickname],Accounts[Institution ID]),Institutions[ID],Institutions[Institution nickname],"Unknown")</f>
        <v>Discover</v>
      </c>
      <c r="J1038" s="152" t="s">
        <v>2403</v>
      </c>
      <c r="K1038" s="137" t="s">
        <v>843</v>
      </c>
      <c r="L1038" s="137" t="s">
        <v>841</v>
      </c>
      <c r="M103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3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38" s="138" t="str" cm="1">
        <f t="array" ref="O1038">IFERROR(INDEX(CategoriesTable[Category type],MATCH(Table1[[#This Row],[Category]],CategoriesTable[Category name],0),0),"")</f>
        <v/>
      </c>
      <c r="P1038" s="138">
        <v>28</v>
      </c>
      <c r="Q1038" s="138">
        <f>MONTH(Table1[[#This Row],[Date]])</f>
        <v>4</v>
      </c>
      <c r="R1038" s="138">
        <v>2021</v>
      </c>
      <c r="S1038" s="139">
        <f>IF(ISBLANK(Table1[[#This Row],[Date]]),"",Table1[[#This Row],[Date]]-WEEKDAY(Table1[[#This Row],[Date]],2)+1)</f>
        <v>44312</v>
      </c>
      <c r="T1038" s="140">
        <f>IF(ISBLANK(Table1[[#This Row],[Date]]),"",DATE(Table1[[#This Row],[Date_Year]],Table1[[#This Row],[Date_Month]],1))</f>
        <v>44287</v>
      </c>
    </row>
    <row r="1039" spans="2:20" ht="15.75">
      <c r="B1039" s="154">
        <v>44314</v>
      </c>
      <c r="C1039" s="119" t="s">
        <v>704</v>
      </c>
      <c r="D1039" s="119"/>
      <c r="E1039" s="119"/>
      <c r="F1039" s="155">
        <v>-28.54</v>
      </c>
      <c r="G1039" s="133" t="str">
        <f>_xlfn.XLOOKUP(Table1[[#This Row],[Account_ID]], Accounts[ID], Accounts[Account nickname], "Unknown")</f>
        <v>Discover</v>
      </c>
      <c r="H1039" s="134" t="str">
        <f>_xlfn.XLOOKUP(Table1[[#This Row],[Account_ID]], Accounts[ID], Accounts[Account'#], "Unknown")</f>
        <v>4618</v>
      </c>
      <c r="I1039" s="135" t="str">
        <f>_xlfn.XLOOKUP(_xlfn.XLOOKUP(Table1[[#This Row],[Account]],Accounts[Account nickname],Accounts[Institution ID]),Institutions[ID],Institutions[Institution nickname],"Unknown")</f>
        <v>Discover</v>
      </c>
      <c r="J1039" s="136" t="s">
        <v>2402</v>
      </c>
      <c r="K1039" s="137" t="s">
        <v>843</v>
      </c>
      <c r="L1039" s="137" t="s">
        <v>841</v>
      </c>
      <c r="M103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3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39" s="138" t="str" cm="1">
        <f t="array" ref="O1039">IFERROR(INDEX(CategoriesTable[Category type],MATCH(Table1[[#This Row],[Category]],CategoriesTable[Category name],0),0),"")</f>
        <v/>
      </c>
      <c r="P1039" s="138">
        <v>28</v>
      </c>
      <c r="Q1039" s="138">
        <f>MONTH(Table1[[#This Row],[Date]])</f>
        <v>4</v>
      </c>
      <c r="R1039" s="138">
        <v>2021</v>
      </c>
      <c r="S1039" s="139">
        <f>IF(ISBLANK(Table1[[#This Row],[Date]]),"",Table1[[#This Row],[Date]]-WEEKDAY(Table1[[#This Row],[Date]],2)+1)</f>
        <v>44312</v>
      </c>
      <c r="T1039" s="140">
        <f>IF(ISBLANK(Table1[[#This Row],[Date]]),"",DATE(Table1[[#This Row],[Date_Year]],Table1[[#This Row],[Date_Month]],1))</f>
        <v>44287</v>
      </c>
    </row>
    <row r="1040" spans="2:20" ht="15.75">
      <c r="B1040" s="154">
        <v>44314</v>
      </c>
      <c r="C1040" s="119" t="s">
        <v>2134</v>
      </c>
      <c r="D1040" s="119"/>
      <c r="E1040" s="119"/>
      <c r="F1040" s="155">
        <v>-2.12</v>
      </c>
      <c r="G1040" s="133" t="str">
        <f>_xlfn.XLOOKUP(Table1[[#This Row],[Account_ID]], Accounts[ID], Accounts[Account nickname], "Unknown")</f>
        <v>Discover</v>
      </c>
      <c r="H1040" s="134" t="str">
        <f>_xlfn.XLOOKUP(Table1[[#This Row],[Account_ID]], Accounts[ID], Accounts[Account'#], "Unknown")</f>
        <v>4618</v>
      </c>
      <c r="I1040" s="135" t="str">
        <f>_xlfn.XLOOKUP(_xlfn.XLOOKUP(Table1[[#This Row],[Account]],Accounts[Account nickname],Accounts[Institution ID]),Institutions[ID],Institutions[Institution nickname],"Unknown")</f>
        <v>Discover</v>
      </c>
      <c r="J1040" s="152" t="s">
        <v>2401</v>
      </c>
      <c r="K1040" s="137" t="s">
        <v>843</v>
      </c>
      <c r="L1040" s="137" t="s">
        <v>841</v>
      </c>
      <c r="M104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4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40" s="138" t="str" cm="1">
        <f t="array" ref="O1040">IFERROR(INDEX(CategoriesTable[Category type],MATCH(Table1[[#This Row],[Category]],CategoriesTable[Category name],0),0),"")</f>
        <v/>
      </c>
      <c r="P1040" s="138">
        <v>28</v>
      </c>
      <c r="Q1040" s="138">
        <f>MONTH(Table1[[#This Row],[Date]])</f>
        <v>4</v>
      </c>
      <c r="R1040" s="138">
        <v>2021</v>
      </c>
      <c r="S1040" s="139">
        <f>IF(ISBLANK(Table1[[#This Row],[Date]]),"",Table1[[#This Row],[Date]]-WEEKDAY(Table1[[#This Row],[Date]],2)+1)</f>
        <v>44312</v>
      </c>
      <c r="T1040" s="140">
        <f>IF(ISBLANK(Table1[[#This Row],[Date]]),"",DATE(Table1[[#This Row],[Date_Year]],Table1[[#This Row],[Date_Month]],1))</f>
        <v>44287</v>
      </c>
    </row>
    <row r="1041" spans="2:20" ht="15.75">
      <c r="B1041" s="154">
        <v>44313</v>
      </c>
      <c r="C1041" s="119" t="s">
        <v>699</v>
      </c>
      <c r="D1041" s="119"/>
      <c r="E1041" s="119"/>
      <c r="F1041" s="155">
        <v>-26.97</v>
      </c>
      <c r="G1041" s="133" t="str">
        <f>_xlfn.XLOOKUP(Table1[[#This Row],[Account_ID]], Accounts[ID], Accounts[Account nickname], "Unknown")</f>
        <v>Discover</v>
      </c>
      <c r="H1041" s="134" t="str">
        <f>_xlfn.XLOOKUP(Table1[[#This Row],[Account_ID]], Accounts[ID], Accounts[Account'#], "Unknown")</f>
        <v>4618</v>
      </c>
      <c r="I1041" s="135" t="str">
        <f>_xlfn.XLOOKUP(_xlfn.XLOOKUP(Table1[[#This Row],[Account]],Accounts[Account nickname],Accounts[Institution ID]),Institutions[ID],Institutions[Institution nickname],"Unknown")</f>
        <v>Discover</v>
      </c>
      <c r="J1041" s="136" t="s">
        <v>2406</v>
      </c>
      <c r="K1041" s="137" t="s">
        <v>843</v>
      </c>
      <c r="L1041" s="137" t="s">
        <v>841</v>
      </c>
      <c r="M104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4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41" s="138" t="str" cm="1">
        <f t="array" ref="O1041">IFERROR(INDEX(CategoriesTable[Category type],MATCH(Table1[[#This Row],[Category]],CategoriesTable[Category name],0),0),"")</f>
        <v/>
      </c>
      <c r="P1041" s="138">
        <v>27</v>
      </c>
      <c r="Q1041" s="138">
        <f>MONTH(Table1[[#This Row],[Date]])</f>
        <v>4</v>
      </c>
      <c r="R1041" s="138">
        <v>2021</v>
      </c>
      <c r="S1041" s="139">
        <f>IF(ISBLANK(Table1[[#This Row],[Date]]),"",Table1[[#This Row],[Date]]-WEEKDAY(Table1[[#This Row],[Date]],2)+1)</f>
        <v>44312</v>
      </c>
      <c r="T1041" s="140">
        <f>IF(ISBLANK(Table1[[#This Row],[Date]]),"",DATE(Table1[[#This Row],[Date_Year]],Table1[[#This Row],[Date_Month]],1))</f>
        <v>44287</v>
      </c>
    </row>
    <row r="1042" spans="2:20" ht="15.75">
      <c r="B1042" s="154">
        <v>44313</v>
      </c>
      <c r="C1042" s="119" t="s">
        <v>1679</v>
      </c>
      <c r="D1042" s="119"/>
      <c r="E1042" s="119"/>
      <c r="F1042" s="155">
        <v>-9.99</v>
      </c>
      <c r="G1042" s="133" t="str">
        <f>_xlfn.XLOOKUP(Table1[[#This Row],[Account_ID]], Accounts[ID], Accounts[Account nickname], "Unknown")</f>
        <v>Discover</v>
      </c>
      <c r="H1042" s="134" t="str">
        <f>_xlfn.XLOOKUP(Table1[[#This Row],[Account_ID]], Accounts[ID], Accounts[Account'#], "Unknown")</f>
        <v>4618</v>
      </c>
      <c r="I1042" s="135" t="str">
        <f>_xlfn.XLOOKUP(_xlfn.XLOOKUP(Table1[[#This Row],[Account]],Accounts[Account nickname],Accounts[Institution ID]),Institutions[ID],Institutions[Institution nickname],"Unknown")</f>
        <v>Discover</v>
      </c>
      <c r="J1042" s="136" t="s">
        <v>2407</v>
      </c>
      <c r="K1042" s="137" t="s">
        <v>843</v>
      </c>
      <c r="L1042" s="137" t="s">
        <v>841</v>
      </c>
      <c r="M104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4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42" s="138" t="str" cm="1">
        <f t="array" ref="O1042">IFERROR(INDEX(CategoriesTable[Category type],MATCH(Table1[[#This Row],[Category]],CategoriesTable[Category name],0),0),"")</f>
        <v/>
      </c>
      <c r="P1042" s="138">
        <v>27</v>
      </c>
      <c r="Q1042" s="138">
        <f>MONTH(Table1[[#This Row],[Date]])</f>
        <v>4</v>
      </c>
      <c r="R1042" s="138">
        <v>2021</v>
      </c>
      <c r="S1042" s="139">
        <f>IF(ISBLANK(Table1[[#This Row],[Date]]),"",Table1[[#This Row],[Date]]-WEEKDAY(Table1[[#This Row],[Date]],2)+1)</f>
        <v>44312</v>
      </c>
      <c r="T1042" s="140">
        <f>IF(ISBLANK(Table1[[#This Row],[Date]]),"",DATE(Table1[[#This Row],[Date_Year]],Table1[[#This Row],[Date_Month]],1))</f>
        <v>44287</v>
      </c>
    </row>
    <row r="1043" spans="2:20" ht="15.75">
      <c r="B1043" s="154">
        <v>44313</v>
      </c>
      <c r="C1043" s="119" t="s">
        <v>704</v>
      </c>
      <c r="D1043" s="119"/>
      <c r="E1043" s="119"/>
      <c r="F1043" s="155">
        <v>-5</v>
      </c>
      <c r="G1043" s="133" t="str">
        <f>_xlfn.XLOOKUP(Table1[[#This Row],[Account_ID]], Accounts[ID], Accounts[Account nickname], "Unknown")</f>
        <v>Discover</v>
      </c>
      <c r="H1043" s="134" t="str">
        <f>_xlfn.XLOOKUP(Table1[[#This Row],[Account_ID]], Accounts[ID], Accounts[Account'#], "Unknown")</f>
        <v>4618</v>
      </c>
      <c r="I1043" s="135" t="str">
        <f>_xlfn.XLOOKUP(_xlfn.XLOOKUP(Table1[[#This Row],[Account]],Accounts[Account nickname],Accounts[Institution ID]),Institutions[ID],Institutions[Institution nickname],"Unknown")</f>
        <v>Discover</v>
      </c>
      <c r="J1043" s="136" t="s">
        <v>2408</v>
      </c>
      <c r="K1043" s="137" t="s">
        <v>843</v>
      </c>
      <c r="L1043" s="137" t="s">
        <v>841</v>
      </c>
      <c r="M104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4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43" s="138" t="str" cm="1">
        <f t="array" ref="O1043">IFERROR(INDEX(CategoriesTable[Category type],MATCH(Table1[[#This Row],[Category]],CategoriesTable[Category name],0),0),"")</f>
        <v/>
      </c>
      <c r="P1043" s="138">
        <v>27</v>
      </c>
      <c r="Q1043" s="138">
        <f>MONTH(Table1[[#This Row],[Date]])</f>
        <v>4</v>
      </c>
      <c r="R1043" s="138">
        <v>2021</v>
      </c>
      <c r="S1043" s="139">
        <f>IF(ISBLANK(Table1[[#This Row],[Date]]),"",Table1[[#This Row],[Date]]-WEEKDAY(Table1[[#This Row],[Date]],2)+1)</f>
        <v>44312</v>
      </c>
      <c r="T1043" s="140">
        <f>IF(ISBLANK(Table1[[#This Row],[Date]]),"",DATE(Table1[[#This Row],[Date_Year]],Table1[[#This Row],[Date_Month]],1))</f>
        <v>44287</v>
      </c>
    </row>
    <row r="1044" spans="2:20" ht="15.75">
      <c r="B1044" s="154">
        <v>44312</v>
      </c>
      <c r="C1044" s="119" t="s">
        <v>702</v>
      </c>
      <c r="D1044" s="119"/>
      <c r="E1044" s="119"/>
      <c r="F1044" s="155">
        <v>-13.27</v>
      </c>
      <c r="G1044" s="133" t="str">
        <f>_xlfn.XLOOKUP(Table1[[#This Row],[Account_ID]], Accounts[ID], Accounts[Account nickname], "Unknown")</f>
        <v>Discover</v>
      </c>
      <c r="H1044" s="134" t="str">
        <f>_xlfn.XLOOKUP(Table1[[#This Row],[Account_ID]], Accounts[ID], Accounts[Account'#], "Unknown")</f>
        <v>4618</v>
      </c>
      <c r="I1044" s="135" t="str">
        <f>_xlfn.XLOOKUP(_xlfn.XLOOKUP(Table1[[#This Row],[Account]],Accounts[Account nickname],Accounts[Institution ID]),Institutions[ID],Institutions[Institution nickname],"Unknown")</f>
        <v>Discover</v>
      </c>
      <c r="J1044" s="136" t="s">
        <v>2409</v>
      </c>
      <c r="K1044" s="137" t="s">
        <v>843</v>
      </c>
      <c r="L1044" s="137" t="s">
        <v>841</v>
      </c>
      <c r="M104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4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44" s="138" t="str" cm="1">
        <f t="array" ref="O1044">IFERROR(INDEX(CategoriesTable[Category type],MATCH(Table1[[#This Row],[Category]],CategoriesTable[Category name],0),0),"")</f>
        <v/>
      </c>
      <c r="P1044" s="138">
        <v>26</v>
      </c>
      <c r="Q1044" s="138">
        <f>MONTH(Table1[[#This Row],[Date]])</f>
        <v>4</v>
      </c>
      <c r="R1044" s="138">
        <v>2021</v>
      </c>
      <c r="S1044" s="139">
        <f>IF(ISBLANK(Table1[[#This Row],[Date]]),"",Table1[[#This Row],[Date]]-WEEKDAY(Table1[[#This Row],[Date]],2)+1)</f>
        <v>44312</v>
      </c>
      <c r="T1044" s="140">
        <f>IF(ISBLANK(Table1[[#This Row],[Date]]),"",DATE(Table1[[#This Row],[Date_Year]],Table1[[#This Row],[Date_Month]],1))</f>
        <v>44287</v>
      </c>
    </row>
    <row r="1045" spans="2:20" ht="15.75">
      <c r="B1045" s="154">
        <v>44310</v>
      </c>
      <c r="C1045" s="119" t="s">
        <v>1611</v>
      </c>
      <c r="D1045" s="119"/>
      <c r="E1045" s="119"/>
      <c r="F1045" s="155">
        <v>-84.67</v>
      </c>
      <c r="G1045" s="133" t="str">
        <f>_xlfn.XLOOKUP(Table1[[#This Row],[Account_ID]], Accounts[ID], Accounts[Account nickname], "Unknown")</f>
        <v>Discover</v>
      </c>
      <c r="H1045" s="134" t="str">
        <f>_xlfn.XLOOKUP(Table1[[#This Row],[Account_ID]], Accounts[ID], Accounts[Account'#], "Unknown")</f>
        <v>4618</v>
      </c>
      <c r="I1045" s="135" t="str">
        <f>_xlfn.XLOOKUP(_xlfn.XLOOKUP(Table1[[#This Row],[Account]],Accounts[Account nickname],Accounts[Institution ID]),Institutions[ID],Institutions[Institution nickname],"Unknown")</f>
        <v>Discover</v>
      </c>
      <c r="J1045" s="136" t="s">
        <v>2413</v>
      </c>
      <c r="K1045" s="137" t="s">
        <v>843</v>
      </c>
      <c r="L1045" s="137" t="s">
        <v>841</v>
      </c>
      <c r="M104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4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45" s="138" t="str" cm="1">
        <f t="array" ref="O1045">IFERROR(INDEX(CategoriesTable[Category type],MATCH(Table1[[#This Row],[Category]],CategoriesTable[Category name],0),0),"")</f>
        <v/>
      </c>
      <c r="P1045" s="138">
        <v>24</v>
      </c>
      <c r="Q1045" s="138">
        <f>MONTH(Table1[[#This Row],[Date]])</f>
        <v>4</v>
      </c>
      <c r="R1045" s="138">
        <v>2021</v>
      </c>
      <c r="S1045" s="139">
        <f>IF(ISBLANK(Table1[[#This Row],[Date]]),"",Table1[[#This Row],[Date]]-WEEKDAY(Table1[[#This Row],[Date]],2)+1)</f>
        <v>44305</v>
      </c>
      <c r="T1045" s="140">
        <f>IF(ISBLANK(Table1[[#This Row],[Date]]),"",DATE(Table1[[#This Row],[Date_Year]],Table1[[#This Row],[Date_Month]],1))</f>
        <v>44287</v>
      </c>
    </row>
    <row r="1046" spans="2:20" ht="15.75">
      <c r="B1046" s="154">
        <v>44310</v>
      </c>
      <c r="C1046" s="119" t="s">
        <v>2410</v>
      </c>
      <c r="D1046" s="119"/>
      <c r="E1046" s="119"/>
      <c r="F1046" s="155">
        <v>-5.78</v>
      </c>
      <c r="G1046" s="133" t="str">
        <f>_xlfn.XLOOKUP(Table1[[#This Row],[Account_ID]], Accounts[ID], Accounts[Account nickname], "Unknown")</f>
        <v>Discover</v>
      </c>
      <c r="H1046" s="134" t="str">
        <f>_xlfn.XLOOKUP(Table1[[#This Row],[Account_ID]], Accounts[ID], Accounts[Account'#], "Unknown")</f>
        <v>4618</v>
      </c>
      <c r="I1046" s="135" t="str">
        <f>_xlfn.XLOOKUP(_xlfn.XLOOKUP(Table1[[#This Row],[Account]],Accounts[Account nickname],Accounts[Institution ID]),Institutions[ID],Institutions[Institution nickname],"Unknown")</f>
        <v>Discover</v>
      </c>
      <c r="J1046" s="136" t="s">
        <v>2412</v>
      </c>
      <c r="K1046" s="137" t="s">
        <v>843</v>
      </c>
      <c r="L1046" s="137" t="s">
        <v>841</v>
      </c>
      <c r="M104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4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46" s="138" t="str" cm="1">
        <f t="array" ref="O1046">IFERROR(INDEX(CategoriesTable[Category type],MATCH(Table1[[#This Row],[Category]],CategoriesTable[Category name],0),0),"")</f>
        <v/>
      </c>
      <c r="P1046" s="138">
        <v>24</v>
      </c>
      <c r="Q1046" s="138">
        <f>MONTH(Table1[[#This Row],[Date]])</f>
        <v>4</v>
      </c>
      <c r="R1046" s="138">
        <v>2021</v>
      </c>
      <c r="S1046" s="139">
        <f>IF(ISBLANK(Table1[[#This Row],[Date]]),"",Table1[[#This Row],[Date]]-WEEKDAY(Table1[[#This Row],[Date]],2)+1)</f>
        <v>44305</v>
      </c>
      <c r="T1046" s="140">
        <f>IF(ISBLANK(Table1[[#This Row],[Date]]),"",DATE(Table1[[#This Row],[Date_Year]],Table1[[#This Row],[Date_Month]],1))</f>
        <v>44287</v>
      </c>
    </row>
    <row r="1047" spans="2:20" ht="15.75">
      <c r="B1047" s="154">
        <v>44310</v>
      </c>
      <c r="C1047" s="119" t="s">
        <v>2410</v>
      </c>
      <c r="D1047" s="119"/>
      <c r="E1047" s="119"/>
      <c r="F1047" s="155">
        <v>-12.24</v>
      </c>
      <c r="G1047" s="133" t="str">
        <f>_xlfn.XLOOKUP(Table1[[#This Row],[Account_ID]], Accounts[ID], Accounts[Account nickname], "Unknown")</f>
        <v>Discover</v>
      </c>
      <c r="H1047" s="134" t="str">
        <f>_xlfn.XLOOKUP(Table1[[#This Row],[Account_ID]], Accounts[ID], Accounts[Account'#], "Unknown")</f>
        <v>4618</v>
      </c>
      <c r="I1047" s="135" t="str">
        <f>_xlfn.XLOOKUP(_xlfn.XLOOKUP(Table1[[#This Row],[Account]],Accounts[Account nickname],Accounts[Institution ID]),Institutions[ID],Institutions[Institution nickname],"Unknown")</f>
        <v>Discover</v>
      </c>
      <c r="J1047" s="136" t="s">
        <v>2411</v>
      </c>
      <c r="K1047" s="137" t="s">
        <v>843</v>
      </c>
      <c r="L1047" s="137" t="s">
        <v>841</v>
      </c>
      <c r="M104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4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47" s="138" t="str" cm="1">
        <f t="array" ref="O1047">IFERROR(INDEX(CategoriesTable[Category type],MATCH(Table1[[#This Row],[Category]],CategoriesTable[Category name],0),0),"")</f>
        <v/>
      </c>
      <c r="P1047" s="138">
        <v>24</v>
      </c>
      <c r="Q1047" s="138">
        <f>MONTH(Table1[[#This Row],[Date]])</f>
        <v>4</v>
      </c>
      <c r="R1047" s="138">
        <v>2021</v>
      </c>
      <c r="S1047" s="139">
        <f>IF(ISBLANK(Table1[[#This Row],[Date]]),"",Table1[[#This Row],[Date]]-WEEKDAY(Table1[[#This Row],[Date]],2)+1)</f>
        <v>44305</v>
      </c>
      <c r="T1047" s="140">
        <f>IF(ISBLANK(Table1[[#This Row],[Date]]),"",DATE(Table1[[#This Row],[Date_Year]],Table1[[#This Row],[Date_Month]],1))</f>
        <v>44287</v>
      </c>
    </row>
    <row r="1048" spans="2:20" ht="15.75">
      <c r="B1048" s="154">
        <v>44309</v>
      </c>
      <c r="C1048" s="119" t="s">
        <v>678</v>
      </c>
      <c r="D1048" s="119"/>
      <c r="E1048" s="119"/>
      <c r="F1048" s="155">
        <v>-700</v>
      </c>
      <c r="G1048" s="133" t="str">
        <f>_xlfn.XLOOKUP(Table1[[#This Row],[Account_ID]], Accounts[ID], Accounts[Account nickname], "Unknown")</f>
        <v>WF</v>
      </c>
      <c r="H1048" s="134" t="str">
        <f>_xlfn.XLOOKUP(Table1[[#This Row],[Account_ID]], Accounts[ID], Accounts[Account'#], "Unknown")</f>
        <v>4636</v>
      </c>
      <c r="I1048" s="135" t="str">
        <f>_xlfn.XLOOKUP(_xlfn.XLOOKUP(Table1[[#This Row],[Account]],Accounts[Account nickname],Accounts[Institution ID]),Institutions[ID],Institutions[Institution nickname],"Unknown")</f>
        <v>Wells Fargo</v>
      </c>
      <c r="J1048" s="136" t="s">
        <v>1142</v>
      </c>
      <c r="K1048" s="137" t="s">
        <v>808</v>
      </c>
      <c r="L1048" s="137" t="s">
        <v>807</v>
      </c>
      <c r="M104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4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48" s="138" t="str" cm="1">
        <f t="array" ref="O1048">IFERROR(INDEX(CategoriesTable[Category type],MATCH(Table1[[#This Row],[Category]],CategoriesTable[Category name],0),0),"")</f>
        <v/>
      </c>
      <c r="P1048" s="138">
        <v>23</v>
      </c>
      <c r="Q1048" s="138">
        <f>MONTH(Table1[[#This Row],[Date]])</f>
        <v>4</v>
      </c>
      <c r="R1048" s="138">
        <v>2021</v>
      </c>
      <c r="S1048" s="139">
        <f>IF(ISBLANK(Table1[[#This Row],[Date]]),"",Table1[[#This Row],[Date]]-WEEKDAY(Table1[[#This Row],[Date]],2)+1)</f>
        <v>44305</v>
      </c>
      <c r="T1048" s="140">
        <f>IF(ISBLANK(Table1[[#This Row],[Date]]),"",DATE(Table1[[#This Row],[Date_Year]],Table1[[#This Row],[Date_Month]],1))</f>
        <v>44287</v>
      </c>
    </row>
    <row r="1049" spans="2:20" ht="15.75">
      <c r="B1049" s="154">
        <v>44309</v>
      </c>
      <c r="C1049" s="119" t="s">
        <v>751</v>
      </c>
      <c r="D1049" s="119"/>
      <c r="E1049" s="119"/>
      <c r="F1049" s="155">
        <v>1174.51</v>
      </c>
      <c r="G1049" s="133" t="str">
        <f>_xlfn.XLOOKUP(Table1[[#This Row],[Account_ID]], Accounts[ID], Accounts[Account nickname], "Unknown")</f>
        <v>WF</v>
      </c>
      <c r="H1049" s="134" t="str">
        <f>_xlfn.XLOOKUP(Table1[[#This Row],[Account_ID]], Accounts[ID], Accounts[Account'#], "Unknown")</f>
        <v>4636</v>
      </c>
      <c r="I1049" s="135" t="str">
        <f>_xlfn.XLOOKUP(_xlfn.XLOOKUP(Table1[[#This Row],[Account]],Accounts[Account nickname],Accounts[Institution ID]),Institutions[ID],Institutions[Institution nickname],"Unknown")</f>
        <v>Wells Fargo</v>
      </c>
      <c r="J1049" s="136" t="s">
        <v>1141</v>
      </c>
      <c r="K1049" s="137" t="s">
        <v>808</v>
      </c>
      <c r="L1049" s="137" t="s">
        <v>807</v>
      </c>
      <c r="M104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4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49" s="138" t="str" cm="1">
        <f t="array" ref="O1049">IFERROR(INDEX(CategoriesTable[Category type],MATCH(Table1[[#This Row],[Category]],CategoriesTable[Category name],0),0),"")</f>
        <v/>
      </c>
      <c r="P1049" s="138">
        <v>23</v>
      </c>
      <c r="Q1049" s="138">
        <f>MONTH(Table1[[#This Row],[Date]])</f>
        <v>4</v>
      </c>
      <c r="R1049" s="138">
        <v>2021</v>
      </c>
      <c r="S1049" s="139">
        <f>IF(ISBLANK(Table1[[#This Row],[Date]]),"",Table1[[#This Row],[Date]]-WEEKDAY(Table1[[#This Row],[Date]],2)+1)</f>
        <v>44305</v>
      </c>
      <c r="T1049" s="140">
        <f>IF(ISBLANK(Table1[[#This Row],[Date]]),"",DATE(Table1[[#This Row],[Date_Year]],Table1[[#This Row],[Date_Month]],1))</f>
        <v>44287</v>
      </c>
    </row>
    <row r="1050" spans="2:20" ht="15.75">
      <c r="B1050" s="154">
        <v>44309</v>
      </c>
      <c r="C1050" s="119" t="s">
        <v>2414</v>
      </c>
      <c r="D1050" s="119"/>
      <c r="E1050" s="119"/>
      <c r="F1050" s="155">
        <v>-47.61</v>
      </c>
      <c r="G1050" s="133" t="str">
        <f>_xlfn.XLOOKUP(Table1[[#This Row],[Account_ID]], Accounts[ID], Accounts[Account nickname], "Unknown")</f>
        <v>Discover</v>
      </c>
      <c r="H1050" s="134" t="str">
        <f>_xlfn.XLOOKUP(Table1[[#This Row],[Account_ID]], Accounts[ID], Accounts[Account'#], "Unknown")</f>
        <v>4618</v>
      </c>
      <c r="I1050" s="135" t="str">
        <f>_xlfn.XLOOKUP(_xlfn.XLOOKUP(Table1[[#This Row],[Account]],Accounts[Account nickname],Accounts[Institution ID]),Institutions[ID],Institutions[Institution nickname],"Unknown")</f>
        <v>Discover</v>
      </c>
      <c r="J1050" s="136" t="s">
        <v>2415</v>
      </c>
      <c r="K1050" s="137" t="s">
        <v>843</v>
      </c>
      <c r="L1050" s="137" t="s">
        <v>841</v>
      </c>
      <c r="M105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5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50" s="138" t="str" cm="1">
        <f t="array" ref="O1050">IFERROR(INDEX(CategoriesTable[Category type],MATCH(Table1[[#This Row],[Category]],CategoriesTable[Category name],0),0),"")</f>
        <v/>
      </c>
      <c r="P1050" s="138">
        <v>23</v>
      </c>
      <c r="Q1050" s="138">
        <f>MONTH(Table1[[#This Row],[Date]])</f>
        <v>4</v>
      </c>
      <c r="R1050" s="138">
        <v>2021</v>
      </c>
      <c r="S1050" s="139">
        <f>IF(ISBLANK(Table1[[#This Row],[Date]]),"",Table1[[#This Row],[Date]]-WEEKDAY(Table1[[#This Row],[Date]],2)+1)</f>
        <v>44305</v>
      </c>
      <c r="T1050" s="140">
        <f>IF(ISBLANK(Table1[[#This Row],[Date]]),"",DATE(Table1[[#This Row],[Date_Year]],Table1[[#This Row],[Date_Month]],1))</f>
        <v>44287</v>
      </c>
    </row>
    <row r="1051" spans="2:20" ht="15.75">
      <c r="B1051" s="154">
        <v>44308</v>
      </c>
      <c r="C1051" s="119" t="s">
        <v>759</v>
      </c>
      <c r="D1051" s="119"/>
      <c r="E1051" s="119"/>
      <c r="F1051" s="155">
        <v>-10.6</v>
      </c>
      <c r="G1051" s="133" t="str">
        <f>_xlfn.XLOOKUP(Table1[[#This Row],[Account_ID]], Accounts[ID], Accounts[Account nickname], "Unknown")</f>
        <v>WF</v>
      </c>
      <c r="H1051" s="134" t="str">
        <f>_xlfn.XLOOKUP(Table1[[#This Row],[Account_ID]], Accounts[ID], Accounts[Account'#], "Unknown")</f>
        <v>4636</v>
      </c>
      <c r="I1051" s="135" t="str">
        <f>_xlfn.XLOOKUP(_xlfn.XLOOKUP(Table1[[#This Row],[Account]],Accounts[Account nickname],Accounts[Institution ID]),Institutions[ID],Institutions[Institution nickname],"Unknown")</f>
        <v>Wells Fargo</v>
      </c>
      <c r="J1051" s="136" t="s">
        <v>1143</v>
      </c>
      <c r="K1051" s="137" t="s">
        <v>808</v>
      </c>
      <c r="L1051" s="137" t="s">
        <v>807</v>
      </c>
      <c r="M105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5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51" s="138" t="str" cm="1">
        <f t="array" ref="O1051">IFERROR(INDEX(CategoriesTable[Category type],MATCH(Table1[[#This Row],[Category]],CategoriesTable[Category name],0),0),"")</f>
        <v/>
      </c>
      <c r="P1051" s="138">
        <v>22</v>
      </c>
      <c r="Q1051" s="138">
        <f>MONTH(Table1[[#This Row],[Date]])</f>
        <v>4</v>
      </c>
      <c r="R1051" s="138">
        <v>2021</v>
      </c>
      <c r="S1051" s="139">
        <f>IF(ISBLANK(Table1[[#This Row],[Date]]),"",Table1[[#This Row],[Date]]-WEEKDAY(Table1[[#This Row],[Date]],2)+1)</f>
        <v>44305</v>
      </c>
      <c r="T1051" s="140">
        <f>IF(ISBLANK(Table1[[#This Row],[Date]]),"",DATE(Table1[[#This Row],[Date_Year]],Table1[[#This Row],[Date_Month]],1))</f>
        <v>44287</v>
      </c>
    </row>
    <row r="1052" spans="2:20" ht="15.75">
      <c r="B1052" s="154">
        <v>44307</v>
      </c>
      <c r="C1052" s="119" t="s">
        <v>2417</v>
      </c>
      <c r="D1052" s="119"/>
      <c r="E1052" s="119"/>
      <c r="F1052" s="155">
        <v>-9.9499999999999993</v>
      </c>
      <c r="G1052" s="133" t="str">
        <f>_xlfn.XLOOKUP(Table1[[#This Row],[Account_ID]], Accounts[ID], Accounts[Account nickname], "Unknown")</f>
        <v>Discover</v>
      </c>
      <c r="H1052" s="134" t="str">
        <f>_xlfn.XLOOKUP(Table1[[#This Row],[Account_ID]], Accounts[ID], Accounts[Account'#], "Unknown")</f>
        <v>4618</v>
      </c>
      <c r="I1052" s="135" t="str">
        <f>_xlfn.XLOOKUP(_xlfn.XLOOKUP(Table1[[#This Row],[Account]],Accounts[Account nickname],Accounts[Institution ID]),Institutions[ID],Institutions[Institution nickname],"Unknown")</f>
        <v>Discover</v>
      </c>
      <c r="J1052" s="136" t="s">
        <v>2418</v>
      </c>
      <c r="K1052" s="137" t="s">
        <v>843</v>
      </c>
      <c r="L1052" s="137" t="s">
        <v>841</v>
      </c>
      <c r="M105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5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52" s="138" t="str" cm="1">
        <f t="array" ref="O1052">IFERROR(INDEX(CategoriesTable[Category type],MATCH(Table1[[#This Row],[Category]],CategoriesTable[Category name],0),0),"")</f>
        <v/>
      </c>
      <c r="P1052" s="138">
        <v>21</v>
      </c>
      <c r="Q1052" s="138">
        <f>MONTH(Table1[[#This Row],[Date]])</f>
        <v>4</v>
      </c>
      <c r="R1052" s="138">
        <v>2021</v>
      </c>
      <c r="S1052" s="139">
        <f>IF(ISBLANK(Table1[[#This Row],[Date]]),"",Table1[[#This Row],[Date]]-WEEKDAY(Table1[[#This Row],[Date]],2)+1)</f>
        <v>44305</v>
      </c>
      <c r="T1052" s="140">
        <f>IF(ISBLANK(Table1[[#This Row],[Date]]),"",DATE(Table1[[#This Row],[Date_Year]],Table1[[#This Row],[Date_Month]],1))</f>
        <v>44287</v>
      </c>
    </row>
    <row r="1053" spans="2:20" ht="15.75">
      <c r="B1053" s="154">
        <v>44307</v>
      </c>
      <c r="C1053" s="119" t="s">
        <v>2321</v>
      </c>
      <c r="D1053" s="119"/>
      <c r="E1053" s="119"/>
      <c r="F1053" s="155">
        <v>-4.24</v>
      </c>
      <c r="G1053" s="133" t="str">
        <f>_xlfn.XLOOKUP(Table1[[#This Row],[Account_ID]], Accounts[ID], Accounts[Account nickname], "Unknown")</f>
        <v>Discover</v>
      </c>
      <c r="H1053" s="134" t="str">
        <f>_xlfn.XLOOKUP(Table1[[#This Row],[Account_ID]], Accounts[ID], Accounts[Account'#], "Unknown")</f>
        <v>4618</v>
      </c>
      <c r="I1053" s="135" t="str">
        <f>_xlfn.XLOOKUP(_xlfn.XLOOKUP(Table1[[#This Row],[Account]],Accounts[Account nickname],Accounts[Institution ID]),Institutions[ID],Institutions[Institution nickname],"Unknown")</f>
        <v>Discover</v>
      </c>
      <c r="J1053" s="136" t="s">
        <v>2416</v>
      </c>
      <c r="K1053" s="137" t="s">
        <v>843</v>
      </c>
      <c r="L1053" s="137" t="s">
        <v>841</v>
      </c>
      <c r="M105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5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53" s="138" t="str" cm="1">
        <f t="array" ref="O1053">IFERROR(INDEX(CategoriesTable[Category type],MATCH(Table1[[#This Row],[Category]],CategoriesTable[Category name],0),0),"")</f>
        <v/>
      </c>
      <c r="P1053" s="138">
        <v>21</v>
      </c>
      <c r="Q1053" s="138">
        <f>MONTH(Table1[[#This Row],[Date]])</f>
        <v>4</v>
      </c>
      <c r="R1053" s="138">
        <v>2021</v>
      </c>
      <c r="S1053" s="139">
        <f>IF(ISBLANK(Table1[[#This Row],[Date]]),"",Table1[[#This Row],[Date]]-WEEKDAY(Table1[[#This Row],[Date]],2)+1)</f>
        <v>44305</v>
      </c>
      <c r="T1053" s="140">
        <f>IF(ISBLANK(Table1[[#This Row],[Date]]),"",DATE(Table1[[#This Row],[Date_Year]],Table1[[#This Row],[Date_Month]],1))</f>
        <v>44287</v>
      </c>
    </row>
    <row r="1054" spans="2:20" ht="15.75">
      <c r="B1054" s="154">
        <v>44307</v>
      </c>
      <c r="C1054" s="119" t="s">
        <v>1436</v>
      </c>
      <c r="D1054" s="119"/>
      <c r="E1054" s="119"/>
      <c r="F1054" s="155">
        <v>-7.99</v>
      </c>
      <c r="G1054" s="133" t="str">
        <f>_xlfn.XLOOKUP(Table1[[#This Row],[Account_ID]], Accounts[ID], Accounts[Account nickname], "Unknown")</f>
        <v>Discover</v>
      </c>
      <c r="H1054" s="134" t="str">
        <f>_xlfn.XLOOKUP(Table1[[#This Row],[Account_ID]], Accounts[ID], Accounts[Account'#], "Unknown")</f>
        <v>4618</v>
      </c>
      <c r="I1054" s="135" t="str">
        <f>_xlfn.XLOOKUP(_xlfn.XLOOKUP(Table1[[#This Row],[Account]],Accounts[Account nickname],Accounts[Institution ID]),Institutions[ID],Institutions[Institution nickname],"Unknown")</f>
        <v>Discover</v>
      </c>
      <c r="J1054" s="136" t="s">
        <v>2419</v>
      </c>
      <c r="K1054" s="137" t="s">
        <v>843</v>
      </c>
      <c r="L1054" s="137" t="s">
        <v>841</v>
      </c>
      <c r="M105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5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54" s="138" t="str" cm="1">
        <f t="array" ref="O1054">IFERROR(INDEX(CategoriesTable[Category type],MATCH(Table1[[#This Row],[Category]],CategoriesTable[Category name],0),0),"")</f>
        <v/>
      </c>
      <c r="P1054" s="138">
        <v>21</v>
      </c>
      <c r="Q1054" s="138">
        <f>MONTH(Table1[[#This Row],[Date]])</f>
        <v>4</v>
      </c>
      <c r="R1054" s="138">
        <v>2021</v>
      </c>
      <c r="S1054" s="139">
        <f>IF(ISBLANK(Table1[[#This Row],[Date]]),"",Table1[[#This Row],[Date]]-WEEKDAY(Table1[[#This Row],[Date]],2)+1)</f>
        <v>44305</v>
      </c>
      <c r="T1054" s="140">
        <f>IF(ISBLANK(Table1[[#This Row],[Date]]),"",DATE(Table1[[#This Row],[Date_Year]],Table1[[#This Row],[Date_Month]],1))</f>
        <v>44287</v>
      </c>
    </row>
    <row r="1055" spans="2:20" ht="15.75">
      <c r="B1055" s="154">
        <v>44307</v>
      </c>
      <c r="C1055" s="119" t="s">
        <v>2308</v>
      </c>
      <c r="D1055" s="119"/>
      <c r="E1055" s="119"/>
      <c r="F1055" s="155">
        <v>-44.61</v>
      </c>
      <c r="G1055" s="133" t="str">
        <f>_xlfn.XLOOKUP(Table1[[#This Row],[Account_ID]], Accounts[ID], Accounts[Account nickname], "Unknown")</f>
        <v>Discover</v>
      </c>
      <c r="H1055" s="134" t="str">
        <f>_xlfn.XLOOKUP(Table1[[#This Row],[Account_ID]], Accounts[ID], Accounts[Account'#], "Unknown")</f>
        <v>4618</v>
      </c>
      <c r="I1055" s="135" t="str">
        <f>_xlfn.XLOOKUP(_xlfn.XLOOKUP(Table1[[#This Row],[Account]],Accounts[Account nickname],Accounts[Institution ID]),Institutions[ID],Institutions[Institution nickname],"Unknown")</f>
        <v>Discover</v>
      </c>
      <c r="J1055" s="136" t="s">
        <v>2420</v>
      </c>
      <c r="K1055" s="137" t="s">
        <v>843</v>
      </c>
      <c r="L1055" s="137" t="s">
        <v>841</v>
      </c>
      <c r="M105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5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55" s="138" t="str" cm="1">
        <f t="array" ref="O1055">IFERROR(INDEX(CategoriesTable[Category type],MATCH(Table1[[#This Row],[Category]],CategoriesTable[Category name],0),0),"")</f>
        <v/>
      </c>
      <c r="P1055" s="138">
        <v>21</v>
      </c>
      <c r="Q1055" s="138">
        <f>MONTH(Table1[[#This Row],[Date]])</f>
        <v>4</v>
      </c>
      <c r="R1055" s="138">
        <v>2021</v>
      </c>
      <c r="S1055" s="139">
        <f>IF(ISBLANK(Table1[[#This Row],[Date]]),"",Table1[[#This Row],[Date]]-WEEKDAY(Table1[[#This Row],[Date]],2)+1)</f>
        <v>44305</v>
      </c>
      <c r="T1055" s="140">
        <f>IF(ISBLANK(Table1[[#This Row],[Date]]),"",DATE(Table1[[#This Row],[Date_Year]],Table1[[#This Row],[Date_Month]],1))</f>
        <v>44287</v>
      </c>
    </row>
    <row r="1056" spans="2:20" ht="15.75">
      <c r="B1056" s="154">
        <v>44306</v>
      </c>
      <c r="C1056" s="119" t="s">
        <v>2422</v>
      </c>
      <c r="D1056" s="119"/>
      <c r="E1056" s="119"/>
      <c r="F1056" s="155">
        <v>-6.99</v>
      </c>
      <c r="G1056" s="133" t="str">
        <f>_xlfn.XLOOKUP(Table1[[#This Row],[Account_ID]], Accounts[ID], Accounts[Account nickname], "Unknown")</f>
        <v>Discover</v>
      </c>
      <c r="H1056" s="134" t="str">
        <f>_xlfn.XLOOKUP(Table1[[#This Row],[Account_ID]], Accounts[ID], Accounts[Account'#], "Unknown")</f>
        <v>4618</v>
      </c>
      <c r="I1056" s="135" t="str">
        <f>_xlfn.XLOOKUP(_xlfn.XLOOKUP(Table1[[#This Row],[Account]],Accounts[Account nickname],Accounts[Institution ID]),Institutions[ID],Institutions[Institution nickname],"Unknown")</f>
        <v>Discover</v>
      </c>
      <c r="J1056" s="136" t="s">
        <v>2423</v>
      </c>
      <c r="K1056" s="137" t="s">
        <v>843</v>
      </c>
      <c r="L1056" s="137" t="s">
        <v>841</v>
      </c>
      <c r="M105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5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56" s="138" t="str" cm="1">
        <f t="array" ref="O1056">IFERROR(INDEX(CategoriesTable[Category type],MATCH(Table1[[#This Row],[Category]],CategoriesTable[Category name],0),0),"")</f>
        <v/>
      </c>
      <c r="P1056" s="138">
        <v>20</v>
      </c>
      <c r="Q1056" s="138">
        <f>MONTH(Table1[[#This Row],[Date]])</f>
        <v>4</v>
      </c>
      <c r="R1056" s="138">
        <v>2021</v>
      </c>
      <c r="S1056" s="139">
        <f>IF(ISBLANK(Table1[[#This Row],[Date]]),"",Table1[[#This Row],[Date]]-WEEKDAY(Table1[[#This Row],[Date]],2)+1)</f>
        <v>44305</v>
      </c>
      <c r="T1056" s="140">
        <f>IF(ISBLANK(Table1[[#This Row],[Date]]),"",DATE(Table1[[#This Row],[Date_Year]],Table1[[#This Row],[Date_Month]],1))</f>
        <v>44287</v>
      </c>
    </row>
    <row r="1057" spans="2:20" ht="15.75">
      <c r="B1057" s="154">
        <v>44306</v>
      </c>
      <c r="C1057" s="119" t="s">
        <v>708</v>
      </c>
      <c r="D1057" s="119"/>
      <c r="E1057" s="119"/>
      <c r="F1057" s="155">
        <v>-26.08</v>
      </c>
      <c r="G1057" s="133" t="str">
        <f>_xlfn.XLOOKUP(Table1[[#This Row],[Account_ID]], Accounts[ID], Accounts[Account nickname], "Unknown")</f>
        <v>Discover</v>
      </c>
      <c r="H1057" s="134" t="str">
        <f>_xlfn.XLOOKUP(Table1[[#This Row],[Account_ID]], Accounts[ID], Accounts[Account'#], "Unknown")</f>
        <v>4618</v>
      </c>
      <c r="I1057" s="135" t="str">
        <f>_xlfn.XLOOKUP(_xlfn.XLOOKUP(Table1[[#This Row],[Account]],Accounts[Account nickname],Accounts[Institution ID]),Institutions[ID],Institutions[Institution nickname],"Unknown")</f>
        <v>Discover</v>
      </c>
      <c r="J1057" s="136" t="s">
        <v>2421</v>
      </c>
      <c r="K1057" s="137" t="s">
        <v>843</v>
      </c>
      <c r="L1057" s="137" t="s">
        <v>841</v>
      </c>
      <c r="M105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5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57" s="138" t="str" cm="1">
        <f t="array" ref="O1057">IFERROR(INDEX(CategoriesTable[Category type],MATCH(Table1[[#This Row],[Category]],CategoriesTable[Category name],0),0),"")</f>
        <v/>
      </c>
      <c r="P1057" s="138">
        <v>20</v>
      </c>
      <c r="Q1057" s="138">
        <f>MONTH(Table1[[#This Row],[Date]])</f>
        <v>4</v>
      </c>
      <c r="R1057" s="138">
        <v>2021</v>
      </c>
      <c r="S1057" s="139">
        <f>IF(ISBLANK(Table1[[#This Row],[Date]]),"",Table1[[#This Row],[Date]]-WEEKDAY(Table1[[#This Row],[Date]],2)+1)</f>
        <v>44305</v>
      </c>
      <c r="T1057" s="140">
        <f>IF(ISBLANK(Table1[[#This Row],[Date]]),"",DATE(Table1[[#This Row],[Date_Year]],Table1[[#This Row],[Date_Month]],1))</f>
        <v>44287</v>
      </c>
    </row>
    <row r="1058" spans="2:20" ht="15.75">
      <c r="B1058" s="154">
        <v>44306</v>
      </c>
      <c r="C1058" s="119" t="s">
        <v>676</v>
      </c>
      <c r="D1058" s="119"/>
      <c r="E1058" s="119"/>
      <c r="F1058" s="155">
        <v>189</v>
      </c>
      <c r="G1058" s="133" t="str">
        <f>_xlfn.XLOOKUP(Table1[[#This Row],[Account_ID]], Accounts[ID], Accounts[Account nickname], "Unknown")</f>
        <v>WF</v>
      </c>
      <c r="H1058" s="134" t="str">
        <f>_xlfn.XLOOKUP(Table1[[#This Row],[Account_ID]], Accounts[ID], Accounts[Account'#], "Unknown")</f>
        <v>4636</v>
      </c>
      <c r="I1058" s="135" t="str">
        <f>_xlfn.XLOOKUP(_xlfn.XLOOKUP(Table1[[#This Row],[Account]],Accounts[Account nickname],Accounts[Institution ID]),Institutions[ID],Institutions[Institution nickname],"Unknown")</f>
        <v>Wells Fargo</v>
      </c>
      <c r="J1058" s="152" t="s">
        <v>1144</v>
      </c>
      <c r="K1058" s="137" t="s">
        <v>808</v>
      </c>
      <c r="L1058" s="137" t="s">
        <v>807</v>
      </c>
      <c r="M105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5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58" s="138" t="str" cm="1">
        <f t="array" ref="O1058">IFERROR(INDEX(CategoriesTable[Category type],MATCH(Table1[[#This Row],[Category]],CategoriesTable[Category name],0),0),"")</f>
        <v/>
      </c>
      <c r="P1058" s="138">
        <v>20</v>
      </c>
      <c r="Q1058" s="138">
        <f>MONTH(Table1[[#This Row],[Date]])</f>
        <v>4</v>
      </c>
      <c r="R1058" s="138">
        <v>2021</v>
      </c>
      <c r="S1058" s="139">
        <f>IF(ISBLANK(Table1[[#This Row],[Date]]),"",Table1[[#This Row],[Date]]-WEEKDAY(Table1[[#This Row],[Date]],2)+1)</f>
        <v>44305</v>
      </c>
      <c r="T1058" s="140">
        <f>IF(ISBLANK(Table1[[#This Row],[Date]]),"",DATE(Table1[[#This Row],[Date_Year]],Table1[[#This Row],[Date_Month]],1))</f>
        <v>44287</v>
      </c>
    </row>
    <row r="1059" spans="2:20" ht="15.75">
      <c r="B1059" s="154">
        <v>44305</v>
      </c>
      <c r="C1059" s="119" t="s">
        <v>760</v>
      </c>
      <c r="D1059" s="119"/>
      <c r="E1059" s="119"/>
      <c r="F1059" s="155">
        <v>30</v>
      </c>
      <c r="G1059" s="133" t="str">
        <f>_xlfn.XLOOKUP(Table1[[#This Row],[Account_ID]], Accounts[ID], Accounts[Account nickname], "Unknown")</f>
        <v>WF</v>
      </c>
      <c r="H1059" s="134" t="str">
        <f>_xlfn.XLOOKUP(Table1[[#This Row],[Account_ID]], Accounts[ID], Accounts[Account'#], "Unknown")</f>
        <v>4636</v>
      </c>
      <c r="I1059" s="135" t="str">
        <f>_xlfn.XLOOKUP(_xlfn.XLOOKUP(Table1[[#This Row],[Account]],Accounts[Account nickname],Accounts[Institution ID]),Institutions[ID],Institutions[Institution nickname],"Unknown")</f>
        <v>Wells Fargo</v>
      </c>
      <c r="J1059" s="136" t="s">
        <v>1145</v>
      </c>
      <c r="K1059" s="137" t="s">
        <v>808</v>
      </c>
      <c r="L1059" s="137" t="s">
        <v>807</v>
      </c>
      <c r="M105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5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59" s="138" t="str" cm="1">
        <f t="array" ref="O1059">IFERROR(INDEX(CategoriesTable[Category type],MATCH(Table1[[#This Row],[Category]],CategoriesTable[Category name],0),0),"")</f>
        <v/>
      </c>
      <c r="P1059" s="138">
        <v>19</v>
      </c>
      <c r="Q1059" s="138">
        <f>MONTH(Table1[[#This Row],[Date]])</f>
        <v>4</v>
      </c>
      <c r="R1059" s="138">
        <v>2021</v>
      </c>
      <c r="S1059" s="139">
        <f>IF(ISBLANK(Table1[[#This Row],[Date]]),"",Table1[[#This Row],[Date]]-WEEKDAY(Table1[[#This Row],[Date]],2)+1)</f>
        <v>44305</v>
      </c>
      <c r="T1059" s="140">
        <f>IF(ISBLANK(Table1[[#This Row],[Date]]),"",DATE(Table1[[#This Row],[Date_Year]],Table1[[#This Row],[Date_Month]],1))</f>
        <v>44287</v>
      </c>
    </row>
    <row r="1060" spans="2:20" ht="15.75">
      <c r="B1060" s="154">
        <v>44305</v>
      </c>
      <c r="C1060" s="119" t="s">
        <v>2424</v>
      </c>
      <c r="D1060" s="119"/>
      <c r="E1060" s="119"/>
      <c r="F1060" s="155">
        <v>-159</v>
      </c>
      <c r="G1060" s="133" t="str">
        <f>_xlfn.XLOOKUP(Table1[[#This Row],[Account_ID]], Accounts[ID], Accounts[Account nickname], "Unknown")</f>
        <v>Discover</v>
      </c>
      <c r="H1060" s="134" t="str">
        <f>_xlfn.XLOOKUP(Table1[[#This Row],[Account_ID]], Accounts[ID], Accounts[Account'#], "Unknown")</f>
        <v>4618</v>
      </c>
      <c r="I1060" s="135" t="str">
        <f>_xlfn.XLOOKUP(_xlfn.XLOOKUP(Table1[[#This Row],[Account]],Accounts[Account nickname],Accounts[Institution ID]),Institutions[ID],Institutions[Institution nickname],"Unknown")</f>
        <v>Discover</v>
      </c>
      <c r="J1060" s="136" t="s">
        <v>2425</v>
      </c>
      <c r="K1060" s="137" t="s">
        <v>843</v>
      </c>
      <c r="L1060" s="137" t="s">
        <v>841</v>
      </c>
      <c r="M106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6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60" s="138" t="str" cm="1">
        <f t="array" ref="O1060">IFERROR(INDEX(CategoriesTable[Category type],MATCH(Table1[[#This Row],[Category]],CategoriesTable[Category name],0),0),"")</f>
        <v/>
      </c>
      <c r="P1060" s="138">
        <v>19</v>
      </c>
      <c r="Q1060" s="138">
        <f>MONTH(Table1[[#This Row],[Date]])</f>
        <v>4</v>
      </c>
      <c r="R1060" s="138">
        <v>2021</v>
      </c>
      <c r="S1060" s="139">
        <f>IF(ISBLANK(Table1[[#This Row],[Date]]),"",Table1[[#This Row],[Date]]-WEEKDAY(Table1[[#This Row],[Date]],2)+1)</f>
        <v>44305</v>
      </c>
      <c r="T1060" s="140">
        <f>IF(ISBLANK(Table1[[#This Row],[Date]]),"",DATE(Table1[[#This Row],[Date_Year]],Table1[[#This Row],[Date_Month]],1))</f>
        <v>44287</v>
      </c>
    </row>
    <row r="1061" spans="2:20" ht="15.75">
      <c r="B1061" s="154">
        <v>44305</v>
      </c>
      <c r="C1061" s="119" t="s">
        <v>678</v>
      </c>
      <c r="D1061" s="119"/>
      <c r="E1061" s="119"/>
      <c r="F1061" s="155">
        <v>50</v>
      </c>
      <c r="G1061" s="133" t="str">
        <f>_xlfn.XLOOKUP(Table1[[#This Row],[Account_ID]], Accounts[ID], Accounts[Account nickname], "Unknown")</f>
        <v>WF</v>
      </c>
      <c r="H1061" s="134" t="str">
        <f>_xlfn.XLOOKUP(Table1[[#This Row],[Account_ID]], Accounts[ID], Accounts[Account'#], "Unknown")</f>
        <v>4636</v>
      </c>
      <c r="I1061" s="135" t="str">
        <f>_xlfn.XLOOKUP(_xlfn.XLOOKUP(Table1[[#This Row],[Account]],Accounts[Account nickname],Accounts[Institution ID]),Institutions[ID],Institutions[Institution nickname],"Unknown")</f>
        <v>Wells Fargo</v>
      </c>
      <c r="J1061" s="136" t="s">
        <v>1146</v>
      </c>
      <c r="K1061" s="137" t="s">
        <v>808</v>
      </c>
      <c r="L1061" s="137" t="s">
        <v>807</v>
      </c>
      <c r="M106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6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61" s="138" t="str" cm="1">
        <f t="array" ref="O1061">IFERROR(INDEX(CategoriesTable[Category type],MATCH(Table1[[#This Row],[Category]],CategoriesTable[Category name],0),0),"")</f>
        <v/>
      </c>
      <c r="P1061" s="138">
        <v>19</v>
      </c>
      <c r="Q1061" s="138">
        <f>MONTH(Table1[[#This Row],[Date]])</f>
        <v>4</v>
      </c>
      <c r="R1061" s="138">
        <v>2021</v>
      </c>
      <c r="S1061" s="139">
        <f>IF(ISBLANK(Table1[[#This Row],[Date]]),"",Table1[[#This Row],[Date]]-WEEKDAY(Table1[[#This Row],[Date]],2)+1)</f>
        <v>44305</v>
      </c>
      <c r="T1061" s="140">
        <f>IF(ISBLANK(Table1[[#This Row],[Date]]),"",DATE(Table1[[#This Row],[Date_Year]],Table1[[#This Row],[Date_Month]],1))</f>
        <v>44287</v>
      </c>
    </row>
    <row r="1062" spans="2:20" ht="15.75">
      <c r="B1062" s="154">
        <v>44304</v>
      </c>
      <c r="C1062" s="119" t="s">
        <v>2426</v>
      </c>
      <c r="D1062" s="119"/>
      <c r="E1062" s="119"/>
      <c r="F1062" s="155">
        <v>-30</v>
      </c>
      <c r="G1062" s="133" t="str">
        <f>_xlfn.XLOOKUP(Table1[[#This Row],[Account_ID]], Accounts[ID], Accounts[Account nickname], "Unknown")</f>
        <v>Discover</v>
      </c>
      <c r="H1062" s="134" t="str">
        <f>_xlfn.XLOOKUP(Table1[[#This Row],[Account_ID]], Accounts[ID], Accounts[Account'#], "Unknown")</f>
        <v>4618</v>
      </c>
      <c r="I1062" s="135" t="str">
        <f>_xlfn.XLOOKUP(_xlfn.XLOOKUP(Table1[[#This Row],[Account]],Accounts[Account nickname],Accounts[Institution ID]),Institutions[ID],Institutions[Institution nickname],"Unknown")</f>
        <v>Discover</v>
      </c>
      <c r="J1062" s="136" t="s">
        <v>2427</v>
      </c>
      <c r="K1062" s="137" t="s">
        <v>843</v>
      </c>
      <c r="L1062" s="137" t="s">
        <v>841</v>
      </c>
      <c r="M106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6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62" s="138" t="str" cm="1">
        <f t="array" ref="O1062">IFERROR(INDEX(CategoriesTable[Category type],MATCH(Table1[[#This Row],[Category]],CategoriesTable[Category name],0),0),"")</f>
        <v/>
      </c>
      <c r="P1062" s="138">
        <v>18</v>
      </c>
      <c r="Q1062" s="138">
        <f>MONTH(Table1[[#This Row],[Date]])</f>
        <v>4</v>
      </c>
      <c r="R1062" s="138">
        <v>2021</v>
      </c>
      <c r="S1062" s="139">
        <f>IF(ISBLANK(Table1[[#This Row],[Date]]),"",Table1[[#This Row],[Date]]-WEEKDAY(Table1[[#This Row],[Date]],2)+1)</f>
        <v>44298</v>
      </c>
      <c r="T1062" s="140">
        <f>IF(ISBLANK(Table1[[#This Row],[Date]]),"",DATE(Table1[[#This Row],[Date_Year]],Table1[[#This Row],[Date_Month]],1))</f>
        <v>44287</v>
      </c>
    </row>
    <row r="1063" spans="2:20" ht="15.75">
      <c r="B1063" s="154">
        <v>44303</v>
      </c>
      <c r="C1063" s="119" t="s">
        <v>694</v>
      </c>
      <c r="D1063" s="119"/>
      <c r="E1063" s="119"/>
      <c r="F1063" s="155">
        <v>-17.14</v>
      </c>
      <c r="G1063" s="133" t="str">
        <f>_xlfn.XLOOKUP(Table1[[#This Row],[Account_ID]], Accounts[ID], Accounts[Account nickname], "Unknown")</f>
        <v>Discover</v>
      </c>
      <c r="H1063" s="134" t="str">
        <f>_xlfn.XLOOKUP(Table1[[#This Row],[Account_ID]], Accounts[ID], Accounts[Account'#], "Unknown")</f>
        <v>4618</v>
      </c>
      <c r="I1063" s="135" t="str">
        <f>_xlfn.XLOOKUP(_xlfn.XLOOKUP(Table1[[#This Row],[Account]],Accounts[Account nickname],Accounts[Institution ID]),Institutions[ID],Institutions[Institution nickname],"Unknown")</f>
        <v>Discover</v>
      </c>
      <c r="J1063" s="136" t="s">
        <v>2430</v>
      </c>
      <c r="K1063" s="137" t="s">
        <v>843</v>
      </c>
      <c r="L1063" s="137" t="s">
        <v>841</v>
      </c>
      <c r="M106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6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63" s="138" t="str" cm="1">
        <f t="array" ref="O1063">IFERROR(INDEX(CategoriesTable[Category type],MATCH(Table1[[#This Row],[Category]],CategoriesTable[Category name],0),0),"")</f>
        <v/>
      </c>
      <c r="P1063" s="138">
        <v>17</v>
      </c>
      <c r="Q1063" s="138">
        <f>MONTH(Table1[[#This Row],[Date]])</f>
        <v>4</v>
      </c>
      <c r="R1063" s="138">
        <v>2021</v>
      </c>
      <c r="S1063" s="139">
        <f>IF(ISBLANK(Table1[[#This Row],[Date]]),"",Table1[[#This Row],[Date]]-WEEKDAY(Table1[[#This Row],[Date]],2)+1)</f>
        <v>44298</v>
      </c>
      <c r="T1063" s="140">
        <f>IF(ISBLANK(Table1[[#This Row],[Date]]),"",DATE(Table1[[#This Row],[Date_Year]],Table1[[#This Row],[Date_Month]],1))</f>
        <v>44287</v>
      </c>
    </row>
    <row r="1064" spans="2:20" ht="15.75">
      <c r="B1064" s="154">
        <v>44303</v>
      </c>
      <c r="C1064" s="119" t="s">
        <v>2428</v>
      </c>
      <c r="D1064" s="119"/>
      <c r="E1064" s="119"/>
      <c r="F1064" s="155">
        <v>-3.63</v>
      </c>
      <c r="G1064" s="133" t="str">
        <f>_xlfn.XLOOKUP(Table1[[#This Row],[Account_ID]], Accounts[ID], Accounts[Account nickname], "Unknown")</f>
        <v>Discover</v>
      </c>
      <c r="H1064" s="134" t="str">
        <f>_xlfn.XLOOKUP(Table1[[#This Row],[Account_ID]], Accounts[ID], Accounts[Account'#], "Unknown")</f>
        <v>4618</v>
      </c>
      <c r="I1064" s="135" t="str">
        <f>_xlfn.XLOOKUP(_xlfn.XLOOKUP(Table1[[#This Row],[Account]],Accounts[Account nickname],Accounts[Institution ID]),Institutions[ID],Institutions[Institution nickname],"Unknown")</f>
        <v>Discover</v>
      </c>
      <c r="J1064" s="136" t="s">
        <v>2429</v>
      </c>
      <c r="K1064" s="137" t="s">
        <v>843</v>
      </c>
      <c r="L1064" s="137" t="s">
        <v>841</v>
      </c>
      <c r="M106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6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64" s="138" t="str" cm="1">
        <f t="array" ref="O1064">IFERROR(INDEX(CategoriesTable[Category type],MATCH(Table1[[#This Row],[Category]],CategoriesTable[Category name],0),0),"")</f>
        <v/>
      </c>
      <c r="P1064" s="138">
        <v>17</v>
      </c>
      <c r="Q1064" s="138">
        <f>MONTH(Table1[[#This Row],[Date]])</f>
        <v>4</v>
      </c>
      <c r="R1064" s="138">
        <v>2021</v>
      </c>
      <c r="S1064" s="139">
        <f>IF(ISBLANK(Table1[[#This Row],[Date]]),"",Table1[[#This Row],[Date]]-WEEKDAY(Table1[[#This Row],[Date]],2)+1)</f>
        <v>44298</v>
      </c>
      <c r="T1064" s="140">
        <f>IF(ISBLANK(Table1[[#This Row],[Date]]),"",DATE(Table1[[#This Row],[Date_Year]],Table1[[#This Row],[Date_Month]],1))</f>
        <v>44287</v>
      </c>
    </row>
    <row r="1065" spans="2:20" ht="15.75">
      <c r="B1065" s="154">
        <v>44303</v>
      </c>
      <c r="C1065" s="119" t="s">
        <v>2279</v>
      </c>
      <c r="D1065" s="119"/>
      <c r="E1065" s="119"/>
      <c r="F1065" s="155">
        <v>21.05</v>
      </c>
      <c r="G1065" s="133" t="str">
        <f>_xlfn.XLOOKUP(Table1[[#This Row],[Account_ID]], Accounts[ID], Accounts[Account nickname], "Unknown")</f>
        <v>Discover</v>
      </c>
      <c r="H1065" s="134" t="str">
        <f>_xlfn.XLOOKUP(Table1[[#This Row],[Account_ID]], Accounts[ID], Accounts[Account'#], "Unknown")</f>
        <v>4618</v>
      </c>
      <c r="I1065" s="135" t="str">
        <f>_xlfn.XLOOKUP(_xlfn.XLOOKUP(Table1[[#This Row],[Account]],Accounts[Account nickname],Accounts[Institution ID]),Institutions[ID],Institutions[Institution nickname],"Unknown")</f>
        <v>Discover</v>
      </c>
      <c r="J1065" s="136" t="s">
        <v>2431</v>
      </c>
      <c r="K1065" s="137" t="s">
        <v>843</v>
      </c>
      <c r="L1065" s="137" t="s">
        <v>841</v>
      </c>
      <c r="M106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6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65" s="138" t="str" cm="1">
        <f t="array" ref="O1065">IFERROR(INDEX(CategoriesTable[Category type],MATCH(Table1[[#This Row],[Category]],CategoriesTable[Category name],0),0),"")</f>
        <v/>
      </c>
      <c r="P1065" s="138">
        <v>17</v>
      </c>
      <c r="Q1065" s="138">
        <f>MONTH(Table1[[#This Row],[Date]])</f>
        <v>4</v>
      </c>
      <c r="R1065" s="138">
        <v>2021</v>
      </c>
      <c r="S1065" s="139">
        <f>IF(ISBLANK(Table1[[#This Row],[Date]]),"",Table1[[#This Row],[Date]]-WEEKDAY(Table1[[#This Row],[Date]],2)+1)</f>
        <v>44298</v>
      </c>
      <c r="T1065" s="140">
        <f>IF(ISBLANK(Table1[[#This Row],[Date]]),"",DATE(Table1[[#This Row],[Date_Year]],Table1[[#This Row],[Date_Month]],1))</f>
        <v>44287</v>
      </c>
    </row>
    <row r="1066" spans="2:20" ht="15.75">
      <c r="B1066" s="154">
        <v>44301</v>
      </c>
      <c r="C1066" s="119" t="s">
        <v>702</v>
      </c>
      <c r="D1066" s="119"/>
      <c r="E1066" s="119"/>
      <c r="F1066" s="155">
        <v>-25.51</v>
      </c>
      <c r="G1066" s="133" t="str">
        <f>_xlfn.XLOOKUP(Table1[[#This Row],[Account_ID]], Accounts[ID], Accounts[Account nickname], "Unknown")</f>
        <v>Discover</v>
      </c>
      <c r="H1066" s="134" t="str">
        <f>_xlfn.XLOOKUP(Table1[[#This Row],[Account_ID]], Accounts[ID], Accounts[Account'#], "Unknown")</f>
        <v>4618</v>
      </c>
      <c r="I1066" s="135" t="str">
        <f>_xlfn.XLOOKUP(_xlfn.XLOOKUP(Table1[[#This Row],[Account]],Accounts[Account nickname],Accounts[Institution ID]),Institutions[ID],Institutions[Institution nickname],"Unknown")</f>
        <v>Discover</v>
      </c>
      <c r="J1066" s="136" t="s">
        <v>2432</v>
      </c>
      <c r="K1066" s="137" t="s">
        <v>843</v>
      </c>
      <c r="L1066" s="137" t="s">
        <v>841</v>
      </c>
      <c r="M106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6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66" s="138" t="str" cm="1">
        <f t="array" ref="O1066">IFERROR(INDEX(CategoriesTable[Category type],MATCH(Table1[[#This Row],[Category]],CategoriesTable[Category name],0),0),"")</f>
        <v/>
      </c>
      <c r="P1066" s="138">
        <v>15</v>
      </c>
      <c r="Q1066" s="138">
        <f>MONTH(Table1[[#This Row],[Date]])</f>
        <v>4</v>
      </c>
      <c r="R1066" s="138">
        <v>2021</v>
      </c>
      <c r="S1066" s="139">
        <f>IF(ISBLANK(Table1[[#This Row],[Date]]),"",Table1[[#This Row],[Date]]-WEEKDAY(Table1[[#This Row],[Date]],2)+1)</f>
        <v>44298</v>
      </c>
      <c r="T1066" s="140">
        <f>IF(ISBLANK(Table1[[#This Row],[Date]]),"",DATE(Table1[[#This Row],[Date_Year]],Table1[[#This Row],[Date_Month]],1))</f>
        <v>44287</v>
      </c>
    </row>
    <row r="1067" spans="2:20" ht="15.75">
      <c r="B1067" s="154">
        <v>44301</v>
      </c>
      <c r="C1067" s="119" t="s">
        <v>1778</v>
      </c>
      <c r="D1067" s="119"/>
      <c r="E1067" s="119"/>
      <c r="F1067" s="155">
        <v>-26.4</v>
      </c>
      <c r="G1067" s="133" t="str">
        <f>_xlfn.XLOOKUP(Table1[[#This Row],[Account_ID]], Accounts[ID], Accounts[Account nickname], "Unknown")</f>
        <v>Discover</v>
      </c>
      <c r="H1067" s="134" t="str">
        <f>_xlfn.XLOOKUP(Table1[[#This Row],[Account_ID]], Accounts[ID], Accounts[Account'#], "Unknown")</f>
        <v>4618</v>
      </c>
      <c r="I1067" s="135" t="str">
        <f>_xlfn.XLOOKUP(_xlfn.XLOOKUP(Table1[[#This Row],[Account]],Accounts[Account nickname],Accounts[Institution ID]),Institutions[ID],Institutions[Institution nickname],"Unknown")</f>
        <v>Discover</v>
      </c>
      <c r="J1067" s="136" t="s">
        <v>2433</v>
      </c>
      <c r="K1067" s="137" t="s">
        <v>843</v>
      </c>
      <c r="L1067" s="137" t="s">
        <v>841</v>
      </c>
      <c r="M106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6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67" s="138" t="str" cm="1">
        <f t="array" ref="O1067">IFERROR(INDEX(CategoriesTable[Category type],MATCH(Table1[[#This Row],[Category]],CategoriesTable[Category name],0),0),"")</f>
        <v/>
      </c>
      <c r="P1067" s="138">
        <v>15</v>
      </c>
      <c r="Q1067" s="138">
        <f>MONTH(Table1[[#This Row],[Date]])</f>
        <v>4</v>
      </c>
      <c r="R1067" s="138">
        <v>2021</v>
      </c>
      <c r="S1067" s="139">
        <f>IF(ISBLANK(Table1[[#This Row],[Date]]),"",Table1[[#This Row],[Date]]-WEEKDAY(Table1[[#This Row],[Date]],2)+1)</f>
        <v>44298</v>
      </c>
      <c r="T1067" s="140">
        <f>IF(ISBLANK(Table1[[#This Row],[Date]]),"",DATE(Table1[[#This Row],[Date_Year]],Table1[[#This Row],[Date_Month]],1))</f>
        <v>44287</v>
      </c>
    </row>
    <row r="1068" spans="2:20" ht="15.75">
      <c r="B1068" s="154">
        <v>44300</v>
      </c>
      <c r="C1068" s="119" t="s">
        <v>2434</v>
      </c>
      <c r="D1068" s="119"/>
      <c r="E1068" s="119"/>
      <c r="F1068" s="155">
        <v>-7.67</v>
      </c>
      <c r="G1068" s="133" t="str">
        <f>_xlfn.XLOOKUP(Table1[[#This Row],[Account_ID]], Accounts[ID], Accounts[Account nickname], "Unknown")</f>
        <v>Discover</v>
      </c>
      <c r="H1068" s="134" t="str">
        <f>_xlfn.XLOOKUP(Table1[[#This Row],[Account_ID]], Accounts[ID], Accounts[Account'#], "Unknown")</f>
        <v>4618</v>
      </c>
      <c r="I1068" s="135" t="str">
        <f>_xlfn.XLOOKUP(_xlfn.XLOOKUP(Table1[[#This Row],[Account]],Accounts[Account nickname],Accounts[Institution ID]),Institutions[ID],Institutions[Institution nickname],"Unknown")</f>
        <v>Discover</v>
      </c>
      <c r="J1068" s="136" t="s">
        <v>2435</v>
      </c>
      <c r="K1068" s="137" t="s">
        <v>843</v>
      </c>
      <c r="L1068" s="137" t="s">
        <v>841</v>
      </c>
      <c r="M106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6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68" s="138" t="str" cm="1">
        <f t="array" ref="O1068">IFERROR(INDEX(CategoriesTable[Category type],MATCH(Table1[[#This Row],[Category]],CategoriesTable[Category name],0),0),"")</f>
        <v/>
      </c>
      <c r="P1068" s="138">
        <v>14</v>
      </c>
      <c r="Q1068" s="138">
        <f>MONTH(Table1[[#This Row],[Date]])</f>
        <v>4</v>
      </c>
      <c r="R1068" s="138">
        <v>2021</v>
      </c>
      <c r="S1068" s="139">
        <f>IF(ISBLANK(Table1[[#This Row],[Date]]),"",Table1[[#This Row],[Date]]-WEEKDAY(Table1[[#This Row],[Date]],2)+1)</f>
        <v>44298</v>
      </c>
      <c r="T1068" s="140">
        <f>IF(ISBLANK(Table1[[#This Row],[Date]]),"",DATE(Table1[[#This Row],[Date_Year]],Table1[[#This Row],[Date_Month]],1))</f>
        <v>44287</v>
      </c>
    </row>
    <row r="1069" spans="2:20" ht="15.75">
      <c r="B1069" s="154">
        <v>44300</v>
      </c>
      <c r="C1069" s="119" t="s">
        <v>910</v>
      </c>
      <c r="D1069" s="119"/>
      <c r="E1069" s="119"/>
      <c r="F1069" s="155">
        <v>-15.89</v>
      </c>
      <c r="G1069" s="133" t="str">
        <f>_xlfn.XLOOKUP(Table1[[#This Row],[Account_ID]], Accounts[ID], Accounts[Account nickname], "Unknown")</f>
        <v>Discover</v>
      </c>
      <c r="H1069" s="134" t="str">
        <f>_xlfn.XLOOKUP(Table1[[#This Row],[Account_ID]], Accounts[ID], Accounts[Account'#], "Unknown")</f>
        <v>4618</v>
      </c>
      <c r="I1069" s="135" t="str">
        <f>_xlfn.XLOOKUP(_xlfn.XLOOKUP(Table1[[#This Row],[Account]],Accounts[Account nickname],Accounts[Institution ID]),Institutions[ID],Institutions[Institution nickname],"Unknown")</f>
        <v>Discover</v>
      </c>
      <c r="J1069" s="136" t="s">
        <v>2436</v>
      </c>
      <c r="K1069" s="137" t="s">
        <v>843</v>
      </c>
      <c r="L1069" s="137" t="s">
        <v>841</v>
      </c>
      <c r="M106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6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69" s="138" t="str" cm="1">
        <f t="array" ref="O1069">IFERROR(INDEX(CategoriesTable[Category type],MATCH(Table1[[#This Row],[Category]],CategoriesTable[Category name],0),0),"")</f>
        <v/>
      </c>
      <c r="P1069" s="138">
        <v>14</v>
      </c>
      <c r="Q1069" s="138">
        <f>MONTH(Table1[[#This Row],[Date]])</f>
        <v>4</v>
      </c>
      <c r="R1069" s="138">
        <v>2021</v>
      </c>
      <c r="S1069" s="139">
        <f>IF(ISBLANK(Table1[[#This Row],[Date]]),"",Table1[[#This Row],[Date]]-WEEKDAY(Table1[[#This Row],[Date]],2)+1)</f>
        <v>44298</v>
      </c>
      <c r="T1069" s="140">
        <f>IF(ISBLANK(Table1[[#This Row],[Date]]),"",DATE(Table1[[#This Row],[Date_Year]],Table1[[#This Row],[Date_Month]],1))</f>
        <v>44287</v>
      </c>
    </row>
    <row r="1070" spans="2:20" ht="15.75">
      <c r="B1070" s="154">
        <v>44300</v>
      </c>
      <c r="C1070" s="119" t="s">
        <v>703</v>
      </c>
      <c r="D1070" s="119"/>
      <c r="E1070" s="119"/>
      <c r="F1070" s="155">
        <v>-26.47</v>
      </c>
      <c r="G1070" s="133" t="str">
        <f>_xlfn.XLOOKUP(Table1[[#This Row],[Account_ID]], Accounts[ID], Accounts[Account nickname], "Unknown")</f>
        <v>Discover</v>
      </c>
      <c r="H1070" s="134" t="str">
        <f>_xlfn.XLOOKUP(Table1[[#This Row],[Account_ID]], Accounts[ID], Accounts[Account'#], "Unknown")</f>
        <v>4618</v>
      </c>
      <c r="I1070" s="135" t="str">
        <f>_xlfn.XLOOKUP(_xlfn.XLOOKUP(Table1[[#This Row],[Account]],Accounts[Account nickname],Accounts[Institution ID]),Institutions[ID],Institutions[Institution nickname],"Unknown")</f>
        <v>Discover</v>
      </c>
      <c r="J1070" s="136" t="s">
        <v>2438</v>
      </c>
      <c r="K1070" s="137" t="s">
        <v>843</v>
      </c>
      <c r="L1070" s="137" t="s">
        <v>841</v>
      </c>
      <c r="M107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7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70" s="138" t="str" cm="1">
        <f t="array" ref="O1070">IFERROR(INDEX(CategoriesTable[Category type],MATCH(Table1[[#This Row],[Category]],CategoriesTable[Category name],0),0),"")</f>
        <v/>
      </c>
      <c r="P1070" s="138">
        <v>14</v>
      </c>
      <c r="Q1070" s="138">
        <f>MONTH(Table1[[#This Row],[Date]])</f>
        <v>4</v>
      </c>
      <c r="R1070" s="138">
        <v>2021</v>
      </c>
      <c r="S1070" s="139">
        <f>IF(ISBLANK(Table1[[#This Row],[Date]]),"",Table1[[#This Row],[Date]]-WEEKDAY(Table1[[#This Row],[Date]],2)+1)</f>
        <v>44298</v>
      </c>
      <c r="T1070" s="140">
        <f>IF(ISBLANK(Table1[[#This Row],[Date]]),"",DATE(Table1[[#This Row],[Date_Year]],Table1[[#This Row],[Date_Month]],1))</f>
        <v>44287</v>
      </c>
    </row>
    <row r="1071" spans="2:20" ht="15.75">
      <c r="B1071" s="154">
        <v>44300</v>
      </c>
      <c r="C1071" s="119" t="s">
        <v>745</v>
      </c>
      <c r="D1071" s="119"/>
      <c r="E1071" s="119"/>
      <c r="F1071" s="155">
        <v>-25.71</v>
      </c>
      <c r="G1071" s="133" t="str">
        <f>_xlfn.XLOOKUP(Table1[[#This Row],[Account_ID]], Accounts[ID], Accounts[Account nickname], "Unknown")</f>
        <v>Discover</v>
      </c>
      <c r="H1071" s="134" t="str">
        <f>_xlfn.XLOOKUP(Table1[[#This Row],[Account_ID]], Accounts[ID], Accounts[Account'#], "Unknown")</f>
        <v>4618</v>
      </c>
      <c r="I1071" s="135" t="str">
        <f>_xlfn.XLOOKUP(_xlfn.XLOOKUP(Table1[[#This Row],[Account]],Accounts[Account nickname],Accounts[Institution ID]),Institutions[ID],Institutions[Institution nickname],"Unknown")</f>
        <v>Discover</v>
      </c>
      <c r="J1071" s="136" t="s">
        <v>2437</v>
      </c>
      <c r="K1071" s="137" t="s">
        <v>843</v>
      </c>
      <c r="L1071" s="137" t="s">
        <v>841</v>
      </c>
      <c r="M107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7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71" s="138" t="str" cm="1">
        <f t="array" ref="O1071">IFERROR(INDEX(CategoriesTable[Category type],MATCH(Table1[[#This Row],[Category]],CategoriesTable[Category name],0),0),"")</f>
        <v/>
      </c>
      <c r="P1071" s="138">
        <v>14</v>
      </c>
      <c r="Q1071" s="138">
        <f>MONTH(Table1[[#This Row],[Date]])</f>
        <v>4</v>
      </c>
      <c r="R1071" s="138">
        <v>2021</v>
      </c>
      <c r="S1071" s="139">
        <f>IF(ISBLANK(Table1[[#This Row],[Date]]),"",Table1[[#This Row],[Date]]-WEEKDAY(Table1[[#This Row],[Date]],2)+1)</f>
        <v>44298</v>
      </c>
      <c r="T1071" s="140">
        <f>IF(ISBLANK(Table1[[#This Row],[Date]]),"",DATE(Table1[[#This Row],[Date_Year]],Table1[[#This Row],[Date_Month]],1))</f>
        <v>44287</v>
      </c>
    </row>
    <row r="1072" spans="2:20" ht="15.75">
      <c r="B1072" s="154">
        <v>44299</v>
      </c>
      <c r="C1072" s="119" t="s">
        <v>1917</v>
      </c>
      <c r="D1072" s="119"/>
      <c r="E1072" s="119"/>
      <c r="F1072" s="155">
        <v>-35</v>
      </c>
      <c r="G1072" s="133" t="str">
        <f>_xlfn.XLOOKUP(Table1[[#This Row],[Account_ID]], Accounts[ID], Accounts[Account nickname], "Unknown")</f>
        <v>Discover</v>
      </c>
      <c r="H1072" s="134" t="str">
        <f>_xlfn.XLOOKUP(Table1[[#This Row],[Account_ID]], Accounts[ID], Accounts[Account'#], "Unknown")</f>
        <v>4618</v>
      </c>
      <c r="I1072" s="135" t="str">
        <f>_xlfn.XLOOKUP(_xlfn.XLOOKUP(Table1[[#This Row],[Account]],Accounts[Account nickname],Accounts[Institution ID]),Institutions[ID],Institutions[Institution nickname],"Unknown")</f>
        <v>Discover</v>
      </c>
      <c r="J1072" s="136" t="s">
        <v>2439</v>
      </c>
      <c r="K1072" s="137" t="s">
        <v>843</v>
      </c>
      <c r="L1072" s="137" t="s">
        <v>841</v>
      </c>
      <c r="M107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7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72" s="138" t="str" cm="1">
        <f t="array" ref="O1072">IFERROR(INDEX(CategoriesTable[Category type],MATCH(Table1[[#This Row],[Category]],CategoriesTable[Category name],0),0),"")</f>
        <v/>
      </c>
      <c r="P1072" s="138">
        <v>13</v>
      </c>
      <c r="Q1072" s="138">
        <f>MONTH(Table1[[#This Row],[Date]])</f>
        <v>4</v>
      </c>
      <c r="R1072" s="138">
        <v>2021</v>
      </c>
      <c r="S1072" s="139">
        <f>IF(ISBLANK(Table1[[#This Row],[Date]]),"",Table1[[#This Row],[Date]]-WEEKDAY(Table1[[#This Row],[Date]],2)+1)</f>
        <v>44298</v>
      </c>
      <c r="T1072" s="140">
        <f>IF(ISBLANK(Table1[[#This Row],[Date]]),"",DATE(Table1[[#This Row],[Date_Year]],Table1[[#This Row],[Date_Month]],1))</f>
        <v>44287</v>
      </c>
    </row>
    <row r="1073" spans="2:20" ht="15.75">
      <c r="B1073" s="154">
        <v>44299</v>
      </c>
      <c r="C1073" s="119" t="s">
        <v>2440</v>
      </c>
      <c r="D1073" s="119"/>
      <c r="E1073" s="119"/>
      <c r="F1073" s="155">
        <v>-4.4000000000000004</v>
      </c>
      <c r="G1073" s="133" t="str">
        <f>_xlfn.XLOOKUP(Table1[[#This Row],[Account_ID]], Accounts[ID], Accounts[Account nickname], "Unknown")</f>
        <v>Discover</v>
      </c>
      <c r="H1073" s="134" t="str">
        <f>_xlfn.XLOOKUP(Table1[[#This Row],[Account_ID]], Accounts[ID], Accounts[Account'#], "Unknown")</f>
        <v>4618</v>
      </c>
      <c r="I1073" s="135" t="str">
        <f>_xlfn.XLOOKUP(_xlfn.XLOOKUP(Table1[[#This Row],[Account]],Accounts[Account nickname],Accounts[Institution ID]),Institutions[ID],Institutions[Institution nickname],"Unknown")</f>
        <v>Discover</v>
      </c>
      <c r="J1073" s="136" t="s">
        <v>2441</v>
      </c>
      <c r="K1073" s="137" t="s">
        <v>843</v>
      </c>
      <c r="L1073" s="137" t="s">
        <v>841</v>
      </c>
      <c r="M107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7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73" s="138" t="str" cm="1">
        <f t="array" ref="O1073">IFERROR(INDEX(CategoriesTable[Category type],MATCH(Table1[[#This Row],[Category]],CategoriesTable[Category name],0),0),"")</f>
        <v/>
      </c>
      <c r="P1073" s="138">
        <v>13</v>
      </c>
      <c r="Q1073" s="138">
        <f>MONTH(Table1[[#This Row],[Date]])</f>
        <v>4</v>
      </c>
      <c r="R1073" s="138">
        <v>2021</v>
      </c>
      <c r="S1073" s="139">
        <f>IF(ISBLANK(Table1[[#This Row],[Date]]),"",Table1[[#This Row],[Date]]-WEEKDAY(Table1[[#This Row],[Date]],2)+1)</f>
        <v>44298</v>
      </c>
      <c r="T1073" s="140">
        <f>IF(ISBLANK(Table1[[#This Row],[Date]]),"",DATE(Table1[[#This Row],[Date_Year]],Table1[[#This Row],[Date_Month]],1))</f>
        <v>44287</v>
      </c>
    </row>
    <row r="1074" spans="2:20" ht="15.75">
      <c r="B1074" s="154">
        <v>44298</v>
      </c>
      <c r="C1074" s="119" t="s">
        <v>2376</v>
      </c>
      <c r="D1074" s="119"/>
      <c r="E1074" s="119"/>
      <c r="F1074" s="155">
        <v>-3</v>
      </c>
      <c r="G1074" s="133" t="str">
        <f>_xlfn.XLOOKUP(Table1[[#This Row],[Account_ID]], Accounts[ID], Accounts[Account nickname], "Unknown")</f>
        <v>Discover</v>
      </c>
      <c r="H1074" s="134" t="str">
        <f>_xlfn.XLOOKUP(Table1[[#This Row],[Account_ID]], Accounts[ID], Accounts[Account'#], "Unknown")</f>
        <v>4618</v>
      </c>
      <c r="I1074" s="135" t="str">
        <f>_xlfn.XLOOKUP(_xlfn.XLOOKUP(Table1[[#This Row],[Account]],Accounts[Account nickname],Accounts[Institution ID]),Institutions[ID],Institutions[Institution nickname],"Unknown")</f>
        <v>Discover</v>
      </c>
      <c r="J1074" s="136" t="s">
        <v>2442</v>
      </c>
      <c r="K1074" s="137" t="s">
        <v>843</v>
      </c>
      <c r="L1074" s="137" t="s">
        <v>841</v>
      </c>
      <c r="M107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7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74" s="138" t="str" cm="1">
        <f t="array" ref="O1074">IFERROR(INDEX(CategoriesTable[Category type],MATCH(Table1[[#This Row],[Category]],CategoriesTable[Category name],0),0),"")</f>
        <v/>
      </c>
      <c r="P1074" s="138">
        <v>12</v>
      </c>
      <c r="Q1074" s="138">
        <f>MONTH(Table1[[#This Row],[Date]])</f>
        <v>4</v>
      </c>
      <c r="R1074" s="138">
        <v>2021</v>
      </c>
      <c r="S1074" s="139">
        <f>IF(ISBLANK(Table1[[#This Row],[Date]]),"",Table1[[#This Row],[Date]]-WEEKDAY(Table1[[#This Row],[Date]],2)+1)</f>
        <v>44298</v>
      </c>
      <c r="T1074" s="140">
        <f>IF(ISBLANK(Table1[[#This Row],[Date]]),"",DATE(Table1[[#This Row],[Date_Year]],Table1[[#This Row],[Date_Month]],1))</f>
        <v>44287</v>
      </c>
    </row>
    <row r="1075" spans="2:20" ht="15.75">
      <c r="B1075" s="154">
        <v>44298</v>
      </c>
      <c r="C1075" s="119" t="s">
        <v>1500</v>
      </c>
      <c r="D1075" s="119"/>
      <c r="E1075" s="119"/>
      <c r="F1075" s="155">
        <v>-1.99</v>
      </c>
      <c r="G1075" s="133" t="str">
        <f>_xlfn.XLOOKUP(Table1[[#This Row],[Account_ID]], Accounts[ID], Accounts[Account nickname], "Unknown")</f>
        <v>Discover</v>
      </c>
      <c r="H1075" s="134" t="str">
        <f>_xlfn.XLOOKUP(Table1[[#This Row],[Account_ID]], Accounts[ID], Accounts[Account'#], "Unknown")</f>
        <v>4618</v>
      </c>
      <c r="I1075" s="135" t="str">
        <f>_xlfn.XLOOKUP(_xlfn.XLOOKUP(Table1[[#This Row],[Account]],Accounts[Account nickname],Accounts[Institution ID]),Institutions[ID],Institutions[Institution nickname],"Unknown")</f>
        <v>Discover</v>
      </c>
      <c r="J1075" s="136" t="s">
        <v>2446</v>
      </c>
      <c r="K1075" s="137" t="s">
        <v>843</v>
      </c>
      <c r="L1075" s="137" t="s">
        <v>841</v>
      </c>
      <c r="M107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7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75" s="138" t="str" cm="1">
        <f t="array" ref="O1075">IFERROR(INDEX(CategoriesTable[Category type],MATCH(Table1[[#This Row],[Category]],CategoriesTable[Category name],0),0),"")</f>
        <v/>
      </c>
      <c r="P1075" s="138">
        <v>12</v>
      </c>
      <c r="Q1075" s="138">
        <f>MONTH(Table1[[#This Row],[Date]])</f>
        <v>4</v>
      </c>
      <c r="R1075" s="138">
        <v>2021</v>
      </c>
      <c r="S1075" s="139">
        <f>IF(ISBLANK(Table1[[#This Row],[Date]]),"",Table1[[#This Row],[Date]]-WEEKDAY(Table1[[#This Row],[Date]],2)+1)</f>
        <v>44298</v>
      </c>
      <c r="T1075" s="140">
        <f>IF(ISBLANK(Table1[[#This Row],[Date]]),"",DATE(Table1[[#This Row],[Date_Year]],Table1[[#This Row],[Date_Month]],1))</f>
        <v>44287</v>
      </c>
    </row>
    <row r="1076" spans="2:20" ht="15.75">
      <c r="B1076" s="154">
        <v>44298</v>
      </c>
      <c r="C1076" s="119" t="s">
        <v>694</v>
      </c>
      <c r="D1076" s="119"/>
      <c r="E1076" s="119"/>
      <c r="F1076" s="155">
        <v>-9.3000000000000007</v>
      </c>
      <c r="G1076" s="133" t="str">
        <f>_xlfn.XLOOKUP(Table1[[#This Row],[Account_ID]], Accounts[ID], Accounts[Account nickname], "Unknown")</f>
        <v>Discover</v>
      </c>
      <c r="H1076" s="134" t="str">
        <f>_xlfn.XLOOKUP(Table1[[#This Row],[Account_ID]], Accounts[ID], Accounts[Account'#], "Unknown")</f>
        <v>4618</v>
      </c>
      <c r="I1076" s="135" t="str">
        <f>_xlfn.XLOOKUP(_xlfn.XLOOKUP(Table1[[#This Row],[Account]],Accounts[Account nickname],Accounts[Institution ID]),Institutions[ID],Institutions[Institution nickname],"Unknown")</f>
        <v>Discover</v>
      </c>
      <c r="J1076" s="136" t="s">
        <v>2444</v>
      </c>
      <c r="K1076" s="137" t="s">
        <v>843</v>
      </c>
      <c r="L1076" s="137" t="s">
        <v>841</v>
      </c>
      <c r="M107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7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76" s="138" t="str" cm="1">
        <f t="array" ref="O1076">IFERROR(INDEX(CategoriesTable[Category type],MATCH(Table1[[#This Row],[Category]],CategoriesTable[Category name],0),0),"")</f>
        <v/>
      </c>
      <c r="P1076" s="138">
        <v>12</v>
      </c>
      <c r="Q1076" s="138">
        <f>MONTH(Table1[[#This Row],[Date]])</f>
        <v>4</v>
      </c>
      <c r="R1076" s="138">
        <v>2021</v>
      </c>
      <c r="S1076" s="139">
        <f>IF(ISBLANK(Table1[[#This Row],[Date]]),"",Table1[[#This Row],[Date]]-WEEKDAY(Table1[[#This Row],[Date]],2)+1)</f>
        <v>44298</v>
      </c>
      <c r="T1076" s="140">
        <f>IF(ISBLANK(Table1[[#This Row],[Date]]),"",DATE(Table1[[#This Row],[Date_Year]],Table1[[#This Row],[Date_Month]],1))</f>
        <v>44287</v>
      </c>
    </row>
    <row r="1077" spans="2:20" ht="15.75">
      <c r="B1077" s="154">
        <v>44298</v>
      </c>
      <c r="C1077" s="119" t="s">
        <v>678</v>
      </c>
      <c r="D1077" s="119"/>
      <c r="E1077" s="119"/>
      <c r="F1077" s="155">
        <v>-100</v>
      </c>
      <c r="G1077" s="133" t="str">
        <f>_xlfn.XLOOKUP(Table1[[#This Row],[Account_ID]], Accounts[ID], Accounts[Account nickname], "Unknown")</f>
        <v>WF</v>
      </c>
      <c r="H1077" s="134" t="str">
        <f>_xlfn.XLOOKUP(Table1[[#This Row],[Account_ID]], Accounts[ID], Accounts[Account'#], "Unknown")</f>
        <v>4636</v>
      </c>
      <c r="I1077" s="135" t="str">
        <f>_xlfn.XLOOKUP(_xlfn.XLOOKUP(Table1[[#This Row],[Account]],Accounts[Account nickname],Accounts[Institution ID]),Institutions[ID],Institutions[Institution nickname],"Unknown")</f>
        <v>Wells Fargo</v>
      </c>
      <c r="J1077" s="136" t="s">
        <v>1147</v>
      </c>
      <c r="K1077" s="137" t="s">
        <v>808</v>
      </c>
      <c r="L1077" s="137" t="s">
        <v>807</v>
      </c>
      <c r="M107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7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77" s="138" t="str" cm="1">
        <f t="array" ref="O1077">IFERROR(INDEX(CategoriesTable[Category type],MATCH(Table1[[#This Row],[Category]],CategoriesTable[Category name],0),0),"")</f>
        <v/>
      </c>
      <c r="P1077" s="138">
        <v>12</v>
      </c>
      <c r="Q1077" s="138">
        <f>MONTH(Table1[[#This Row],[Date]])</f>
        <v>4</v>
      </c>
      <c r="R1077" s="138">
        <v>2021</v>
      </c>
      <c r="S1077" s="139">
        <f>IF(ISBLANK(Table1[[#This Row],[Date]]),"",Table1[[#This Row],[Date]]-WEEKDAY(Table1[[#This Row],[Date]],2)+1)</f>
        <v>44298</v>
      </c>
      <c r="T1077" s="140">
        <f>IF(ISBLANK(Table1[[#This Row],[Date]]),"",DATE(Table1[[#This Row],[Date_Year]],Table1[[#This Row],[Date_Month]],1))</f>
        <v>44287</v>
      </c>
    </row>
    <row r="1078" spans="2:20" ht="15.75">
      <c r="B1078" s="154">
        <v>44298</v>
      </c>
      <c r="C1078" s="119" t="s">
        <v>2279</v>
      </c>
      <c r="D1078" s="119"/>
      <c r="E1078" s="119"/>
      <c r="F1078" s="155">
        <v>-61.05</v>
      </c>
      <c r="G1078" s="133" t="str">
        <f>_xlfn.XLOOKUP(Table1[[#This Row],[Account_ID]], Accounts[ID], Accounts[Account nickname], "Unknown")</f>
        <v>Discover</v>
      </c>
      <c r="H1078" s="134" t="str">
        <f>_xlfn.XLOOKUP(Table1[[#This Row],[Account_ID]], Accounts[ID], Accounts[Account'#], "Unknown")</f>
        <v>4618</v>
      </c>
      <c r="I1078" s="135" t="str">
        <f>_xlfn.XLOOKUP(_xlfn.XLOOKUP(Table1[[#This Row],[Account]],Accounts[Account nickname],Accounts[Institution ID]),Institutions[ID],Institutions[Institution nickname],"Unknown")</f>
        <v>Discover</v>
      </c>
      <c r="J1078" s="136" t="s">
        <v>2445</v>
      </c>
      <c r="K1078" s="137" t="s">
        <v>843</v>
      </c>
      <c r="L1078" s="137" t="s">
        <v>841</v>
      </c>
      <c r="M107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7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78" s="138" t="str" cm="1">
        <f t="array" ref="O1078">IFERROR(INDEX(CategoriesTable[Category type],MATCH(Table1[[#This Row],[Category]],CategoriesTable[Category name],0),0),"")</f>
        <v/>
      </c>
      <c r="P1078" s="138">
        <v>12</v>
      </c>
      <c r="Q1078" s="138">
        <f>MONTH(Table1[[#This Row],[Date]])</f>
        <v>4</v>
      </c>
      <c r="R1078" s="138">
        <v>2021</v>
      </c>
      <c r="S1078" s="139">
        <f>IF(ISBLANK(Table1[[#This Row],[Date]]),"",Table1[[#This Row],[Date]]-WEEKDAY(Table1[[#This Row],[Date]],2)+1)</f>
        <v>44298</v>
      </c>
      <c r="T1078" s="140">
        <f>IF(ISBLANK(Table1[[#This Row],[Date]]),"",DATE(Table1[[#This Row],[Date_Year]],Table1[[#This Row],[Date_Month]],1))</f>
        <v>44287</v>
      </c>
    </row>
    <row r="1079" spans="2:20" ht="15.75">
      <c r="B1079" s="154">
        <v>44298</v>
      </c>
      <c r="C1079" s="119" t="s">
        <v>678</v>
      </c>
      <c r="D1079" s="119"/>
      <c r="E1079" s="119"/>
      <c r="F1079" s="155">
        <v>-138.52000000000001</v>
      </c>
      <c r="G1079" s="133" t="str">
        <f>_xlfn.XLOOKUP(Table1[[#This Row],[Account_ID]], Accounts[ID], Accounts[Account nickname], "Unknown")</f>
        <v>WF</v>
      </c>
      <c r="H1079" s="134" t="str">
        <f>_xlfn.XLOOKUP(Table1[[#This Row],[Account_ID]], Accounts[ID], Accounts[Account'#], "Unknown")</f>
        <v>4636</v>
      </c>
      <c r="I1079" s="135" t="str">
        <f>_xlfn.XLOOKUP(_xlfn.XLOOKUP(Table1[[#This Row],[Account]],Accounts[Account nickname],Accounts[Institution ID]),Institutions[ID],Institutions[Institution nickname],"Unknown")</f>
        <v>Wells Fargo</v>
      </c>
      <c r="J1079" s="136" t="s">
        <v>1148</v>
      </c>
      <c r="K1079" s="137" t="s">
        <v>808</v>
      </c>
      <c r="L1079" s="137" t="s">
        <v>807</v>
      </c>
      <c r="M107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7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79" s="138" t="str" cm="1">
        <f t="array" ref="O1079">IFERROR(INDEX(CategoriesTable[Category type],MATCH(Table1[[#This Row],[Category]],CategoriesTable[Category name],0),0),"")</f>
        <v/>
      </c>
      <c r="P1079" s="138">
        <v>12</v>
      </c>
      <c r="Q1079" s="138">
        <f>MONTH(Table1[[#This Row],[Date]])</f>
        <v>4</v>
      </c>
      <c r="R1079" s="138">
        <v>2021</v>
      </c>
      <c r="S1079" s="139">
        <f>IF(ISBLANK(Table1[[#This Row],[Date]]),"",Table1[[#This Row],[Date]]-WEEKDAY(Table1[[#This Row],[Date]],2)+1)</f>
        <v>44298</v>
      </c>
      <c r="T1079" s="140">
        <f>IF(ISBLANK(Table1[[#This Row],[Date]]),"",DATE(Table1[[#This Row],[Date_Year]],Table1[[#This Row],[Date_Month]],1))</f>
        <v>44287</v>
      </c>
    </row>
    <row r="1080" spans="2:20" ht="15.75">
      <c r="B1080" s="154">
        <v>44298</v>
      </c>
      <c r="C1080" s="119" t="s">
        <v>711</v>
      </c>
      <c r="D1080" s="119"/>
      <c r="E1080" s="119"/>
      <c r="F1080" s="155">
        <v>-7.91</v>
      </c>
      <c r="G1080" s="133" t="str">
        <f>_xlfn.XLOOKUP(Table1[[#This Row],[Account_ID]], Accounts[ID], Accounts[Account nickname], "Unknown")</f>
        <v>Discover</v>
      </c>
      <c r="H1080" s="134" t="str">
        <f>_xlfn.XLOOKUP(Table1[[#This Row],[Account_ID]], Accounts[ID], Accounts[Account'#], "Unknown")</f>
        <v>4618</v>
      </c>
      <c r="I1080" s="135" t="str">
        <f>_xlfn.XLOOKUP(_xlfn.XLOOKUP(Table1[[#This Row],[Account]],Accounts[Account nickname],Accounts[Institution ID]),Institutions[ID],Institutions[Institution nickname],"Unknown")</f>
        <v>Discover</v>
      </c>
      <c r="J1080" s="136" t="s">
        <v>2443</v>
      </c>
      <c r="K1080" s="137" t="s">
        <v>843</v>
      </c>
      <c r="L1080" s="137" t="s">
        <v>841</v>
      </c>
      <c r="M108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8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80" s="138" t="str" cm="1">
        <f t="array" ref="O1080">IFERROR(INDEX(CategoriesTable[Category type],MATCH(Table1[[#This Row],[Category]],CategoriesTable[Category name],0),0),"")</f>
        <v/>
      </c>
      <c r="P1080" s="138">
        <v>12</v>
      </c>
      <c r="Q1080" s="138">
        <f>MONTH(Table1[[#This Row],[Date]])</f>
        <v>4</v>
      </c>
      <c r="R1080" s="138">
        <v>2021</v>
      </c>
      <c r="S1080" s="139">
        <f>IF(ISBLANK(Table1[[#This Row],[Date]]),"",Table1[[#This Row],[Date]]-WEEKDAY(Table1[[#This Row],[Date]],2)+1)</f>
        <v>44298</v>
      </c>
      <c r="T1080" s="140">
        <f>IF(ISBLANK(Table1[[#This Row],[Date]]),"",DATE(Table1[[#This Row],[Date_Year]],Table1[[#This Row],[Date_Month]],1))</f>
        <v>44287</v>
      </c>
    </row>
    <row r="1081" spans="2:20" ht="15.75">
      <c r="B1081" s="154">
        <v>44297</v>
      </c>
      <c r="C1081" s="119" t="s">
        <v>734</v>
      </c>
      <c r="D1081" s="119"/>
      <c r="E1081" s="119"/>
      <c r="F1081" s="155">
        <v>-250</v>
      </c>
      <c r="G1081" s="133" t="str">
        <f>_xlfn.XLOOKUP(Table1[[#This Row],[Account_ID]], Accounts[ID], Accounts[Account nickname], "Unknown")</f>
        <v>WF</v>
      </c>
      <c r="H1081" s="134" t="str">
        <f>_xlfn.XLOOKUP(Table1[[#This Row],[Account_ID]], Accounts[ID], Accounts[Account'#], "Unknown")</f>
        <v>4636</v>
      </c>
      <c r="I1081" s="135" t="str">
        <f>_xlfn.XLOOKUP(_xlfn.XLOOKUP(Table1[[#This Row],[Account]],Accounts[Account nickname],Accounts[Institution ID]),Institutions[ID],Institutions[Institution nickname],"Unknown")</f>
        <v>Wells Fargo</v>
      </c>
      <c r="J1081" s="136" t="s">
        <v>1149</v>
      </c>
      <c r="K1081" s="137" t="s">
        <v>808</v>
      </c>
      <c r="L1081" s="137" t="s">
        <v>807</v>
      </c>
      <c r="M108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8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81" s="138" t="str" cm="1">
        <f t="array" ref="O1081">IFERROR(INDEX(CategoriesTable[Category type],MATCH(Table1[[#This Row],[Category]],CategoriesTable[Category name],0),0),"")</f>
        <v/>
      </c>
      <c r="P1081" s="138">
        <v>11</v>
      </c>
      <c r="Q1081" s="138">
        <f>MONTH(Table1[[#This Row],[Date]])</f>
        <v>4</v>
      </c>
      <c r="R1081" s="138">
        <v>2021</v>
      </c>
      <c r="S1081" s="139">
        <f>IF(ISBLANK(Table1[[#This Row],[Date]]),"",Table1[[#This Row],[Date]]-WEEKDAY(Table1[[#This Row],[Date]],2)+1)</f>
        <v>44291</v>
      </c>
      <c r="T1081" s="140">
        <f>IF(ISBLANK(Table1[[#This Row],[Date]]),"",DATE(Table1[[#This Row],[Date_Year]],Table1[[#This Row],[Date_Month]],1))</f>
        <v>44287</v>
      </c>
    </row>
    <row r="1082" spans="2:20" ht="15.75">
      <c r="B1082" s="154">
        <v>44297</v>
      </c>
      <c r="C1082" s="119" t="s">
        <v>2447</v>
      </c>
      <c r="D1082" s="119"/>
      <c r="E1082" s="119"/>
      <c r="F1082" s="155">
        <v>-16.37</v>
      </c>
      <c r="G1082" s="133" t="str">
        <f>_xlfn.XLOOKUP(Table1[[#This Row],[Account_ID]], Accounts[ID], Accounts[Account nickname], "Unknown")</f>
        <v>Discover</v>
      </c>
      <c r="H1082" s="134" t="str">
        <f>_xlfn.XLOOKUP(Table1[[#This Row],[Account_ID]], Accounts[ID], Accounts[Account'#], "Unknown")</f>
        <v>4618</v>
      </c>
      <c r="I1082" s="135" t="str">
        <f>_xlfn.XLOOKUP(_xlfn.XLOOKUP(Table1[[#This Row],[Account]],Accounts[Account nickname],Accounts[Institution ID]),Institutions[ID],Institutions[Institution nickname],"Unknown")</f>
        <v>Discover</v>
      </c>
      <c r="J1082" s="136" t="s">
        <v>2448</v>
      </c>
      <c r="K1082" s="137" t="s">
        <v>843</v>
      </c>
      <c r="L1082" s="137" t="s">
        <v>841</v>
      </c>
      <c r="M108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8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82" s="138" t="str" cm="1">
        <f t="array" ref="O1082">IFERROR(INDEX(CategoriesTable[Category type],MATCH(Table1[[#This Row],[Category]],CategoriesTable[Category name],0),0),"")</f>
        <v/>
      </c>
      <c r="P1082" s="138">
        <v>11</v>
      </c>
      <c r="Q1082" s="138">
        <f>MONTH(Table1[[#This Row],[Date]])</f>
        <v>4</v>
      </c>
      <c r="R1082" s="138">
        <v>2021</v>
      </c>
      <c r="S1082" s="139">
        <f>IF(ISBLANK(Table1[[#This Row],[Date]]),"",Table1[[#This Row],[Date]]-WEEKDAY(Table1[[#This Row],[Date]],2)+1)</f>
        <v>44291</v>
      </c>
      <c r="T1082" s="140">
        <f>IF(ISBLANK(Table1[[#This Row],[Date]]),"",DATE(Table1[[#This Row],[Date_Year]],Table1[[#This Row],[Date_Month]],1))</f>
        <v>44287</v>
      </c>
    </row>
    <row r="1083" spans="2:20" ht="15.75">
      <c r="B1083" s="154">
        <v>44296</v>
      </c>
      <c r="C1083" s="119" t="s">
        <v>2449</v>
      </c>
      <c r="D1083" s="119"/>
      <c r="E1083" s="119"/>
      <c r="F1083" s="155">
        <v>-15</v>
      </c>
      <c r="G1083" s="133" t="str">
        <f>_xlfn.XLOOKUP(Table1[[#This Row],[Account_ID]], Accounts[ID], Accounts[Account nickname], "Unknown")</f>
        <v>Discover</v>
      </c>
      <c r="H1083" s="134" t="str">
        <f>_xlfn.XLOOKUP(Table1[[#This Row],[Account_ID]], Accounts[ID], Accounts[Account'#], "Unknown")</f>
        <v>4618</v>
      </c>
      <c r="I1083" s="135" t="str">
        <f>_xlfn.XLOOKUP(_xlfn.XLOOKUP(Table1[[#This Row],[Account]],Accounts[Account nickname],Accounts[Institution ID]),Institutions[ID],Institutions[Institution nickname],"Unknown")</f>
        <v>Discover</v>
      </c>
      <c r="J1083" s="136" t="s">
        <v>2450</v>
      </c>
      <c r="K1083" s="137" t="s">
        <v>843</v>
      </c>
      <c r="L1083" s="137" t="s">
        <v>841</v>
      </c>
      <c r="M108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8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83" s="138" t="str" cm="1">
        <f t="array" ref="O1083">IFERROR(INDEX(CategoriesTable[Category type],MATCH(Table1[[#This Row],[Category]],CategoriesTable[Category name],0),0),"")</f>
        <v/>
      </c>
      <c r="P1083" s="138">
        <v>10</v>
      </c>
      <c r="Q1083" s="138">
        <f>MONTH(Table1[[#This Row],[Date]])</f>
        <v>4</v>
      </c>
      <c r="R1083" s="138">
        <v>2021</v>
      </c>
      <c r="S1083" s="139">
        <f>IF(ISBLANK(Table1[[#This Row],[Date]]),"",Table1[[#This Row],[Date]]-WEEKDAY(Table1[[#This Row],[Date]],2)+1)</f>
        <v>44291</v>
      </c>
      <c r="T1083" s="140">
        <f>IF(ISBLANK(Table1[[#This Row],[Date]]),"",DATE(Table1[[#This Row],[Date_Year]],Table1[[#This Row],[Date_Month]],1))</f>
        <v>44287</v>
      </c>
    </row>
    <row r="1084" spans="2:20" ht="15.75">
      <c r="B1084" s="154">
        <v>44296</v>
      </c>
      <c r="C1084" s="119" t="s">
        <v>2044</v>
      </c>
      <c r="D1084" s="119"/>
      <c r="E1084" s="119"/>
      <c r="F1084" s="155">
        <v>-5.65</v>
      </c>
      <c r="G1084" s="133" t="str">
        <f>_xlfn.XLOOKUP(Table1[[#This Row],[Account_ID]], Accounts[ID], Accounts[Account nickname], "Unknown")</f>
        <v>Discover</v>
      </c>
      <c r="H1084" s="134" t="str">
        <f>_xlfn.XLOOKUP(Table1[[#This Row],[Account_ID]], Accounts[ID], Accounts[Account'#], "Unknown")</f>
        <v>4618</v>
      </c>
      <c r="I1084" s="135" t="str">
        <f>_xlfn.XLOOKUP(_xlfn.XLOOKUP(Table1[[#This Row],[Account]],Accounts[Account nickname],Accounts[Institution ID]),Institutions[ID],Institutions[Institution nickname],"Unknown")</f>
        <v>Discover</v>
      </c>
      <c r="J1084" s="136" t="s">
        <v>2451</v>
      </c>
      <c r="K1084" s="137" t="s">
        <v>843</v>
      </c>
      <c r="L1084" s="137" t="s">
        <v>841</v>
      </c>
      <c r="M108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8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84" s="138" t="str" cm="1">
        <f t="array" ref="O1084">IFERROR(INDEX(CategoriesTable[Category type],MATCH(Table1[[#This Row],[Category]],CategoriesTable[Category name],0),0),"")</f>
        <v/>
      </c>
      <c r="P1084" s="138">
        <v>10</v>
      </c>
      <c r="Q1084" s="138">
        <f>MONTH(Table1[[#This Row],[Date]])</f>
        <v>4</v>
      </c>
      <c r="R1084" s="138">
        <v>2021</v>
      </c>
      <c r="S1084" s="139">
        <f>IF(ISBLANK(Table1[[#This Row],[Date]]),"",Table1[[#This Row],[Date]]-WEEKDAY(Table1[[#This Row],[Date]],2)+1)</f>
        <v>44291</v>
      </c>
      <c r="T1084" s="140">
        <f>IF(ISBLANK(Table1[[#This Row],[Date]]),"",DATE(Table1[[#This Row],[Date_Year]],Table1[[#This Row],[Date_Month]],1))</f>
        <v>44287</v>
      </c>
    </row>
    <row r="1085" spans="2:20" ht="15.75">
      <c r="B1085" s="154">
        <v>44296</v>
      </c>
      <c r="C1085" s="119" t="s">
        <v>2296</v>
      </c>
      <c r="D1085" s="119"/>
      <c r="E1085" s="119"/>
      <c r="F1085" s="155">
        <v>-5.66</v>
      </c>
      <c r="G1085" s="133" t="str">
        <f>_xlfn.XLOOKUP(Table1[[#This Row],[Account_ID]], Accounts[ID], Accounts[Account nickname], "Unknown")</f>
        <v>Discover</v>
      </c>
      <c r="H1085" s="134" t="str">
        <f>_xlfn.XLOOKUP(Table1[[#This Row],[Account_ID]], Accounts[ID], Accounts[Account'#], "Unknown")</f>
        <v>4618</v>
      </c>
      <c r="I1085" s="135" t="str">
        <f>_xlfn.XLOOKUP(_xlfn.XLOOKUP(Table1[[#This Row],[Account]],Accounts[Account nickname],Accounts[Institution ID]),Institutions[ID],Institutions[Institution nickname],"Unknown")</f>
        <v>Discover</v>
      </c>
      <c r="J1085" s="136" t="s">
        <v>2453</v>
      </c>
      <c r="K1085" s="137" t="s">
        <v>843</v>
      </c>
      <c r="L1085" s="137" t="s">
        <v>841</v>
      </c>
      <c r="M108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8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85" s="138" t="str" cm="1">
        <f t="array" ref="O1085">IFERROR(INDEX(CategoriesTable[Category type],MATCH(Table1[[#This Row],[Category]],CategoriesTable[Category name],0),0),"")</f>
        <v/>
      </c>
      <c r="P1085" s="138">
        <v>10</v>
      </c>
      <c r="Q1085" s="138">
        <f>MONTH(Table1[[#This Row],[Date]])</f>
        <v>4</v>
      </c>
      <c r="R1085" s="138">
        <v>2021</v>
      </c>
      <c r="S1085" s="139">
        <f>IF(ISBLANK(Table1[[#This Row],[Date]]),"",Table1[[#This Row],[Date]]-WEEKDAY(Table1[[#This Row],[Date]],2)+1)</f>
        <v>44291</v>
      </c>
      <c r="T1085" s="140">
        <f>IF(ISBLANK(Table1[[#This Row],[Date]]),"",DATE(Table1[[#This Row],[Date_Year]],Table1[[#This Row],[Date_Month]],1))</f>
        <v>44287</v>
      </c>
    </row>
    <row r="1086" spans="2:20" ht="15.75">
      <c r="B1086" s="154">
        <v>44296</v>
      </c>
      <c r="C1086" s="119" t="s">
        <v>2296</v>
      </c>
      <c r="D1086" s="119"/>
      <c r="E1086" s="119"/>
      <c r="F1086" s="155">
        <v>-4.5</v>
      </c>
      <c r="G1086" s="133" t="str">
        <f>_xlfn.XLOOKUP(Table1[[#This Row],[Account_ID]], Accounts[ID], Accounts[Account nickname], "Unknown")</f>
        <v>Discover</v>
      </c>
      <c r="H1086" s="134" t="str">
        <f>_xlfn.XLOOKUP(Table1[[#This Row],[Account_ID]], Accounts[ID], Accounts[Account'#], "Unknown")</f>
        <v>4618</v>
      </c>
      <c r="I1086" s="135" t="str">
        <f>_xlfn.XLOOKUP(_xlfn.XLOOKUP(Table1[[#This Row],[Account]],Accounts[Account nickname],Accounts[Institution ID]),Institutions[ID],Institutions[Institution nickname],"Unknown")</f>
        <v>Discover</v>
      </c>
      <c r="J1086" s="136" t="s">
        <v>2452</v>
      </c>
      <c r="K1086" s="137" t="s">
        <v>843</v>
      </c>
      <c r="L1086" s="137" t="s">
        <v>841</v>
      </c>
      <c r="M108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8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86" s="138" t="str" cm="1">
        <f t="array" ref="O1086">IFERROR(INDEX(CategoriesTable[Category type],MATCH(Table1[[#This Row],[Category]],CategoriesTable[Category name],0),0),"")</f>
        <v/>
      </c>
      <c r="P1086" s="138">
        <v>10</v>
      </c>
      <c r="Q1086" s="138">
        <f>MONTH(Table1[[#This Row],[Date]])</f>
        <v>4</v>
      </c>
      <c r="R1086" s="138">
        <v>2021</v>
      </c>
      <c r="S1086" s="139">
        <f>IF(ISBLANK(Table1[[#This Row],[Date]]),"",Table1[[#This Row],[Date]]-WEEKDAY(Table1[[#This Row],[Date]],2)+1)</f>
        <v>44291</v>
      </c>
      <c r="T1086" s="140">
        <f>IF(ISBLANK(Table1[[#This Row],[Date]]),"",DATE(Table1[[#This Row],[Date_Year]],Table1[[#This Row],[Date_Month]],1))</f>
        <v>44287</v>
      </c>
    </row>
    <row r="1087" spans="2:20" ht="15.75">
      <c r="B1087" s="154">
        <v>44295</v>
      </c>
      <c r="C1087" s="119" t="s">
        <v>704</v>
      </c>
      <c r="D1087" s="119"/>
      <c r="E1087" s="119"/>
      <c r="F1087" s="155">
        <v>-117.8</v>
      </c>
      <c r="G1087" s="133" t="str">
        <f>_xlfn.XLOOKUP(Table1[[#This Row],[Account_ID]], Accounts[ID], Accounts[Account nickname], "Unknown")</f>
        <v>Discover</v>
      </c>
      <c r="H1087" s="134" t="str">
        <f>_xlfn.XLOOKUP(Table1[[#This Row],[Account_ID]], Accounts[ID], Accounts[Account'#], "Unknown")</f>
        <v>4618</v>
      </c>
      <c r="I1087" s="135" t="str">
        <f>_xlfn.XLOOKUP(_xlfn.XLOOKUP(Table1[[#This Row],[Account]],Accounts[Account nickname],Accounts[Institution ID]),Institutions[ID],Institutions[Institution nickname],"Unknown")</f>
        <v>Discover</v>
      </c>
      <c r="J1087" s="136" t="s">
        <v>2454</v>
      </c>
      <c r="K1087" s="137" t="s">
        <v>843</v>
      </c>
      <c r="L1087" s="137" t="s">
        <v>841</v>
      </c>
      <c r="M108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8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87" s="138" t="str" cm="1">
        <f t="array" ref="O1087">IFERROR(INDEX(CategoriesTable[Category type],MATCH(Table1[[#This Row],[Category]],CategoriesTable[Category name],0),0),"")</f>
        <v/>
      </c>
      <c r="P1087" s="138">
        <v>9</v>
      </c>
      <c r="Q1087" s="138">
        <f>MONTH(Table1[[#This Row],[Date]])</f>
        <v>4</v>
      </c>
      <c r="R1087" s="138">
        <v>2021</v>
      </c>
      <c r="S1087" s="139">
        <f>IF(ISBLANK(Table1[[#This Row],[Date]]),"",Table1[[#This Row],[Date]]-WEEKDAY(Table1[[#This Row],[Date]],2)+1)</f>
        <v>44291</v>
      </c>
      <c r="T1087" s="140">
        <f>IF(ISBLANK(Table1[[#This Row],[Date]]),"",DATE(Table1[[#This Row],[Date_Year]],Table1[[#This Row],[Date_Month]],1))</f>
        <v>44287</v>
      </c>
    </row>
    <row r="1088" spans="2:20" ht="15.75">
      <c r="B1088" s="154">
        <v>44295</v>
      </c>
      <c r="C1088" s="119" t="s">
        <v>845</v>
      </c>
      <c r="D1088" s="119"/>
      <c r="E1088" s="119"/>
      <c r="F1088" s="155">
        <v>450.02</v>
      </c>
      <c r="G1088" s="133" t="str">
        <f>_xlfn.XLOOKUP(Table1[[#This Row],[Account_ID]], Accounts[ID], Accounts[Account nickname], "Unknown")</f>
        <v>Discover</v>
      </c>
      <c r="H1088" s="134" t="str">
        <f>_xlfn.XLOOKUP(Table1[[#This Row],[Account_ID]], Accounts[ID], Accounts[Account'#], "Unknown")</f>
        <v>4618</v>
      </c>
      <c r="I1088" s="135" t="str">
        <f>_xlfn.XLOOKUP(_xlfn.XLOOKUP(Table1[[#This Row],[Account]],Accounts[Account nickname],Accounts[Institution ID]),Institutions[ID],Institutions[Institution nickname],"Unknown")</f>
        <v>Discover</v>
      </c>
      <c r="J1088" s="136" t="s">
        <v>2455</v>
      </c>
      <c r="K1088" s="137" t="s">
        <v>843</v>
      </c>
      <c r="L1088" s="137" t="s">
        <v>841</v>
      </c>
      <c r="M108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8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88" s="138" t="str" cm="1">
        <f t="array" ref="O1088">IFERROR(INDEX(CategoriesTable[Category type],MATCH(Table1[[#This Row],[Category]],CategoriesTable[Category name],0),0),"")</f>
        <v/>
      </c>
      <c r="P1088" s="138">
        <v>9</v>
      </c>
      <c r="Q1088" s="138">
        <f>MONTH(Table1[[#This Row],[Date]])</f>
        <v>4</v>
      </c>
      <c r="R1088" s="138">
        <v>2021</v>
      </c>
      <c r="S1088" s="139">
        <f>IF(ISBLANK(Table1[[#This Row],[Date]]),"",Table1[[#This Row],[Date]]-WEEKDAY(Table1[[#This Row],[Date]],2)+1)</f>
        <v>44291</v>
      </c>
      <c r="T1088" s="140">
        <f>IF(ISBLANK(Table1[[#This Row],[Date]]),"",DATE(Table1[[#This Row],[Date_Year]],Table1[[#This Row],[Date_Month]],1))</f>
        <v>44287</v>
      </c>
    </row>
    <row r="1089" spans="2:20" ht="15.75">
      <c r="B1089" s="154">
        <v>44295</v>
      </c>
      <c r="C1089" s="119" t="s">
        <v>686</v>
      </c>
      <c r="D1089" s="119"/>
      <c r="E1089" s="119"/>
      <c r="F1089" s="155">
        <v>-450.02</v>
      </c>
      <c r="G1089" s="133" t="str">
        <f>_xlfn.XLOOKUP(Table1[[#This Row],[Account_ID]], Accounts[ID], Accounts[Account nickname], "Unknown")</f>
        <v>WF</v>
      </c>
      <c r="H1089" s="134" t="str">
        <f>_xlfn.XLOOKUP(Table1[[#This Row],[Account_ID]], Accounts[ID], Accounts[Account'#], "Unknown")</f>
        <v>4636</v>
      </c>
      <c r="I1089" s="135" t="str">
        <f>_xlfn.XLOOKUP(_xlfn.XLOOKUP(Table1[[#This Row],[Account]],Accounts[Account nickname],Accounts[Institution ID]),Institutions[ID],Institutions[Institution nickname],"Unknown")</f>
        <v>Wells Fargo</v>
      </c>
      <c r="J1089" s="136" t="s">
        <v>1150</v>
      </c>
      <c r="K1089" s="137" t="s">
        <v>808</v>
      </c>
      <c r="L1089" s="137" t="s">
        <v>807</v>
      </c>
      <c r="M108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8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89" s="138" t="str" cm="1">
        <f t="array" ref="O1089">IFERROR(INDEX(CategoriesTable[Category type],MATCH(Table1[[#This Row],[Category]],CategoriesTable[Category name],0),0),"")</f>
        <v/>
      </c>
      <c r="P1089" s="138">
        <v>9</v>
      </c>
      <c r="Q1089" s="138">
        <f>MONTH(Table1[[#This Row],[Date]])</f>
        <v>4</v>
      </c>
      <c r="R1089" s="138">
        <v>2021</v>
      </c>
      <c r="S1089" s="139">
        <f>IF(ISBLANK(Table1[[#This Row],[Date]]),"",Table1[[#This Row],[Date]]-WEEKDAY(Table1[[#This Row],[Date]],2)+1)</f>
        <v>44291</v>
      </c>
      <c r="T1089" s="140">
        <f>IF(ISBLANK(Table1[[#This Row],[Date]]),"",DATE(Table1[[#This Row],[Date_Year]],Table1[[#This Row],[Date_Month]],1))</f>
        <v>44287</v>
      </c>
    </row>
    <row r="1090" spans="2:20" ht="15.75">
      <c r="B1090" s="154">
        <v>44294</v>
      </c>
      <c r="C1090" s="119" t="s">
        <v>2321</v>
      </c>
      <c r="D1090" s="119"/>
      <c r="E1090" s="119"/>
      <c r="F1090" s="155">
        <v>-4.24</v>
      </c>
      <c r="G1090" s="133" t="str">
        <f>_xlfn.XLOOKUP(Table1[[#This Row],[Account_ID]], Accounts[ID], Accounts[Account nickname], "Unknown")</f>
        <v>Discover</v>
      </c>
      <c r="H1090" s="134" t="str">
        <f>_xlfn.XLOOKUP(Table1[[#This Row],[Account_ID]], Accounts[ID], Accounts[Account'#], "Unknown")</f>
        <v>4618</v>
      </c>
      <c r="I1090" s="135" t="str">
        <f>_xlfn.XLOOKUP(_xlfn.XLOOKUP(Table1[[#This Row],[Account]],Accounts[Account nickname],Accounts[Institution ID]),Institutions[ID],Institutions[Institution nickname],"Unknown")</f>
        <v>Discover</v>
      </c>
      <c r="J1090" s="136" t="s">
        <v>2456</v>
      </c>
      <c r="K1090" s="137" t="s">
        <v>843</v>
      </c>
      <c r="L1090" s="137" t="s">
        <v>841</v>
      </c>
      <c r="M109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9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90" s="138" t="str" cm="1">
        <f t="array" ref="O1090">IFERROR(INDEX(CategoriesTable[Category type],MATCH(Table1[[#This Row],[Category]],CategoriesTable[Category name],0),0),"")</f>
        <v/>
      </c>
      <c r="P1090" s="138">
        <v>8</v>
      </c>
      <c r="Q1090" s="138">
        <f>MONTH(Table1[[#This Row],[Date]])</f>
        <v>4</v>
      </c>
      <c r="R1090" s="138">
        <v>2021</v>
      </c>
      <c r="S1090" s="139">
        <f>IF(ISBLANK(Table1[[#This Row],[Date]]),"",Table1[[#This Row],[Date]]-WEEKDAY(Table1[[#This Row],[Date]],2)+1)</f>
        <v>44291</v>
      </c>
      <c r="T1090" s="140">
        <f>IF(ISBLANK(Table1[[#This Row],[Date]]),"",DATE(Table1[[#This Row],[Date_Year]],Table1[[#This Row],[Date_Month]],1))</f>
        <v>44287</v>
      </c>
    </row>
    <row r="1091" spans="2:20" ht="15.75">
      <c r="B1091" s="154">
        <v>44293</v>
      </c>
      <c r="C1091" s="119" t="s">
        <v>694</v>
      </c>
      <c r="D1091" s="119"/>
      <c r="E1091" s="119"/>
      <c r="F1091" s="155">
        <v>-7.43</v>
      </c>
      <c r="G1091" s="133" t="str">
        <f>_xlfn.XLOOKUP(Table1[[#This Row],[Account_ID]], Accounts[ID], Accounts[Account nickname], "Unknown")</f>
        <v>Discover</v>
      </c>
      <c r="H1091" s="134" t="str">
        <f>_xlfn.XLOOKUP(Table1[[#This Row],[Account_ID]], Accounts[ID], Accounts[Account'#], "Unknown")</f>
        <v>4618</v>
      </c>
      <c r="I1091" s="135" t="str">
        <f>_xlfn.XLOOKUP(_xlfn.XLOOKUP(Table1[[#This Row],[Account]],Accounts[Account nickname],Accounts[Institution ID]),Institutions[ID],Institutions[Institution nickname],"Unknown")</f>
        <v>Discover</v>
      </c>
      <c r="J1091" s="136" t="s">
        <v>2459</v>
      </c>
      <c r="K1091" s="137" t="s">
        <v>843</v>
      </c>
      <c r="L1091" s="137" t="s">
        <v>841</v>
      </c>
      <c r="M109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9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91" s="138" t="str" cm="1">
        <f t="array" ref="O1091">IFERROR(INDEX(CategoriesTable[Category type],MATCH(Table1[[#This Row],[Category]],CategoriesTable[Category name],0),0),"")</f>
        <v/>
      </c>
      <c r="P1091" s="138">
        <v>7</v>
      </c>
      <c r="Q1091" s="138">
        <f>MONTH(Table1[[#This Row],[Date]])</f>
        <v>4</v>
      </c>
      <c r="R1091" s="138">
        <v>2021</v>
      </c>
      <c r="S1091" s="139">
        <f>IF(ISBLANK(Table1[[#This Row],[Date]]),"",Table1[[#This Row],[Date]]-WEEKDAY(Table1[[#This Row],[Date]],2)+1)</f>
        <v>44291</v>
      </c>
      <c r="T1091" s="140">
        <f>IF(ISBLANK(Table1[[#This Row],[Date]]),"",DATE(Table1[[#This Row],[Date_Year]],Table1[[#This Row],[Date_Month]],1))</f>
        <v>44287</v>
      </c>
    </row>
    <row r="1092" spans="2:20" ht="15.75">
      <c r="B1092" s="154">
        <v>44293</v>
      </c>
      <c r="C1092" s="119" t="s">
        <v>2134</v>
      </c>
      <c r="D1092" s="119"/>
      <c r="E1092" s="119"/>
      <c r="F1092" s="155">
        <v>-4.24</v>
      </c>
      <c r="G1092" s="133" t="str">
        <f>_xlfn.XLOOKUP(Table1[[#This Row],[Account_ID]], Accounts[ID], Accounts[Account nickname], "Unknown")</f>
        <v>Discover</v>
      </c>
      <c r="H1092" s="134" t="str">
        <f>_xlfn.XLOOKUP(Table1[[#This Row],[Account_ID]], Accounts[ID], Accounts[Account'#], "Unknown")</f>
        <v>4618</v>
      </c>
      <c r="I1092" s="135" t="str">
        <f>_xlfn.XLOOKUP(_xlfn.XLOOKUP(Table1[[#This Row],[Account]],Accounts[Account nickname],Accounts[Institution ID]),Institutions[ID],Institutions[Institution nickname],"Unknown")</f>
        <v>Discover</v>
      </c>
      <c r="J1092" s="136" t="s">
        <v>2457</v>
      </c>
      <c r="K1092" s="137" t="s">
        <v>843</v>
      </c>
      <c r="L1092" s="137" t="s">
        <v>841</v>
      </c>
      <c r="M109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9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92" s="138" t="str" cm="1">
        <f t="array" ref="O1092">IFERROR(INDEX(CategoriesTable[Category type],MATCH(Table1[[#This Row],[Category]],CategoriesTable[Category name],0),0),"")</f>
        <v/>
      </c>
      <c r="P1092" s="138">
        <v>7</v>
      </c>
      <c r="Q1092" s="138">
        <f>MONTH(Table1[[#This Row],[Date]])</f>
        <v>4</v>
      </c>
      <c r="R1092" s="138">
        <v>2021</v>
      </c>
      <c r="S1092" s="139">
        <f>IF(ISBLANK(Table1[[#This Row],[Date]]),"",Table1[[#This Row],[Date]]-WEEKDAY(Table1[[#This Row],[Date]],2)+1)</f>
        <v>44291</v>
      </c>
      <c r="T1092" s="140">
        <f>IF(ISBLANK(Table1[[#This Row],[Date]]),"",DATE(Table1[[#This Row],[Date_Year]],Table1[[#This Row],[Date_Month]],1))</f>
        <v>44287</v>
      </c>
    </row>
    <row r="1093" spans="2:20" ht="15.75">
      <c r="B1093" s="154">
        <v>44293</v>
      </c>
      <c r="C1093" s="119" t="s">
        <v>2134</v>
      </c>
      <c r="D1093" s="119"/>
      <c r="E1093" s="119"/>
      <c r="F1093" s="155">
        <v>-84.95</v>
      </c>
      <c r="G1093" s="133" t="str">
        <f>_xlfn.XLOOKUP(Table1[[#This Row],[Account_ID]], Accounts[ID], Accounts[Account nickname], "Unknown")</f>
        <v>Discover</v>
      </c>
      <c r="H1093" s="134" t="str">
        <f>_xlfn.XLOOKUP(Table1[[#This Row],[Account_ID]], Accounts[ID], Accounts[Account'#], "Unknown")</f>
        <v>4618</v>
      </c>
      <c r="I1093" s="135" t="str">
        <f>_xlfn.XLOOKUP(_xlfn.XLOOKUP(Table1[[#This Row],[Account]],Accounts[Account nickname],Accounts[Institution ID]),Institutions[ID],Institutions[Institution nickname],"Unknown")</f>
        <v>Discover</v>
      </c>
      <c r="J1093" s="136" t="s">
        <v>2458</v>
      </c>
      <c r="K1093" s="137" t="s">
        <v>843</v>
      </c>
      <c r="L1093" s="137" t="s">
        <v>841</v>
      </c>
      <c r="M109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9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93" s="138" t="str" cm="1">
        <f t="array" ref="O1093">IFERROR(INDEX(CategoriesTable[Category type],MATCH(Table1[[#This Row],[Category]],CategoriesTable[Category name],0),0),"")</f>
        <v/>
      </c>
      <c r="P1093" s="138">
        <v>7</v>
      </c>
      <c r="Q1093" s="138">
        <f>MONTH(Table1[[#This Row],[Date]])</f>
        <v>4</v>
      </c>
      <c r="R1093" s="138">
        <v>2021</v>
      </c>
      <c r="S1093" s="139">
        <f>IF(ISBLANK(Table1[[#This Row],[Date]]),"",Table1[[#This Row],[Date]]-WEEKDAY(Table1[[#This Row],[Date]],2)+1)</f>
        <v>44291</v>
      </c>
      <c r="T1093" s="140">
        <f>IF(ISBLANK(Table1[[#This Row],[Date]]),"",DATE(Table1[[#This Row],[Date_Year]],Table1[[#This Row],[Date_Month]],1))</f>
        <v>44287</v>
      </c>
    </row>
    <row r="1094" spans="2:20" ht="15.75">
      <c r="B1094" s="154">
        <v>44291</v>
      </c>
      <c r="C1094" s="119" t="s">
        <v>702</v>
      </c>
      <c r="D1094" s="119"/>
      <c r="E1094" s="119"/>
      <c r="F1094" s="155">
        <v>-10.88</v>
      </c>
      <c r="G1094" s="133" t="str">
        <f>_xlfn.XLOOKUP(Table1[[#This Row],[Account_ID]], Accounts[ID], Accounts[Account nickname], "Unknown")</f>
        <v>Discover</v>
      </c>
      <c r="H1094" s="134" t="str">
        <f>_xlfn.XLOOKUP(Table1[[#This Row],[Account_ID]], Accounts[ID], Accounts[Account'#], "Unknown")</f>
        <v>4618</v>
      </c>
      <c r="I1094" s="135" t="str">
        <f>_xlfn.XLOOKUP(_xlfn.XLOOKUP(Table1[[#This Row],[Account]],Accounts[Account nickname],Accounts[Institution ID]),Institutions[ID],Institutions[Institution nickname],"Unknown")</f>
        <v>Discover</v>
      </c>
      <c r="J1094" s="136" t="s">
        <v>2460</v>
      </c>
      <c r="K1094" s="137" t="s">
        <v>843</v>
      </c>
      <c r="L1094" s="137" t="s">
        <v>841</v>
      </c>
      <c r="M109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9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94" s="138" t="str" cm="1">
        <f t="array" ref="O1094">IFERROR(INDEX(CategoriesTable[Category type],MATCH(Table1[[#This Row],[Category]],CategoriesTable[Category name],0),0),"")</f>
        <v/>
      </c>
      <c r="P1094" s="138">
        <v>5</v>
      </c>
      <c r="Q1094" s="138">
        <f>MONTH(Table1[[#This Row],[Date]])</f>
        <v>4</v>
      </c>
      <c r="R1094" s="138">
        <v>2021</v>
      </c>
      <c r="S1094" s="139">
        <f>IF(ISBLANK(Table1[[#This Row],[Date]]),"",Table1[[#This Row],[Date]]-WEEKDAY(Table1[[#This Row],[Date]],2)+1)</f>
        <v>44291</v>
      </c>
      <c r="T1094" s="140">
        <f>IF(ISBLANK(Table1[[#This Row],[Date]]),"",DATE(Table1[[#This Row],[Date_Year]],Table1[[#This Row],[Date_Month]],1))</f>
        <v>44287</v>
      </c>
    </row>
    <row r="1095" spans="2:20" ht="15.75">
      <c r="B1095" s="154">
        <v>44290</v>
      </c>
      <c r="C1095" s="119" t="s">
        <v>1529</v>
      </c>
      <c r="D1095" s="119"/>
      <c r="E1095" s="119"/>
      <c r="F1095" s="155">
        <v>-0.99</v>
      </c>
      <c r="G1095" s="133" t="str">
        <f>_xlfn.XLOOKUP(Table1[[#This Row],[Account_ID]], Accounts[ID], Accounts[Account nickname], "Unknown")</f>
        <v>Discover</v>
      </c>
      <c r="H1095" s="134" t="str">
        <f>_xlfn.XLOOKUP(Table1[[#This Row],[Account_ID]], Accounts[ID], Accounts[Account'#], "Unknown")</f>
        <v>4618</v>
      </c>
      <c r="I1095" s="135" t="str">
        <f>_xlfn.XLOOKUP(_xlfn.XLOOKUP(Table1[[#This Row],[Account]],Accounts[Account nickname],Accounts[Institution ID]),Institutions[ID],Institutions[Institution nickname],"Unknown")</f>
        <v>Discover</v>
      </c>
      <c r="J1095" s="136" t="s">
        <v>2461</v>
      </c>
      <c r="K1095" s="137" t="s">
        <v>843</v>
      </c>
      <c r="L1095" s="137" t="s">
        <v>841</v>
      </c>
      <c r="M109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9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95" s="138" t="str" cm="1">
        <f t="array" ref="O1095">IFERROR(INDEX(CategoriesTable[Category type],MATCH(Table1[[#This Row],[Category]],CategoriesTable[Category name],0),0),"")</f>
        <v/>
      </c>
      <c r="P1095" s="138">
        <v>4</v>
      </c>
      <c r="Q1095" s="138">
        <f>MONTH(Table1[[#This Row],[Date]])</f>
        <v>4</v>
      </c>
      <c r="R1095" s="138">
        <v>2021</v>
      </c>
      <c r="S1095" s="139">
        <f>IF(ISBLANK(Table1[[#This Row],[Date]]),"",Table1[[#This Row],[Date]]-WEEKDAY(Table1[[#This Row],[Date]],2)+1)</f>
        <v>44284</v>
      </c>
      <c r="T1095" s="140">
        <f>IF(ISBLANK(Table1[[#This Row],[Date]]),"",DATE(Table1[[#This Row],[Date_Year]],Table1[[#This Row],[Date_Month]],1))</f>
        <v>44287</v>
      </c>
    </row>
    <row r="1096" spans="2:20" ht="15.75">
      <c r="B1096" s="154">
        <v>44290</v>
      </c>
      <c r="C1096" s="119" t="s">
        <v>2308</v>
      </c>
      <c r="D1096" s="119"/>
      <c r="E1096" s="119"/>
      <c r="F1096" s="155">
        <v>-169.85</v>
      </c>
      <c r="G1096" s="133" t="str">
        <f>_xlfn.XLOOKUP(Table1[[#This Row],[Account_ID]], Accounts[ID], Accounts[Account nickname], "Unknown")</f>
        <v>Discover</v>
      </c>
      <c r="H1096" s="134" t="str">
        <f>_xlfn.XLOOKUP(Table1[[#This Row],[Account_ID]], Accounts[ID], Accounts[Account'#], "Unknown")</f>
        <v>4618</v>
      </c>
      <c r="I1096" s="135" t="str">
        <f>_xlfn.XLOOKUP(_xlfn.XLOOKUP(Table1[[#This Row],[Account]],Accounts[Account nickname],Accounts[Institution ID]),Institutions[ID],Institutions[Institution nickname],"Unknown")</f>
        <v>Discover</v>
      </c>
      <c r="J1096" s="136" t="s">
        <v>2462</v>
      </c>
      <c r="K1096" s="137" t="s">
        <v>843</v>
      </c>
      <c r="L1096" s="137" t="s">
        <v>841</v>
      </c>
      <c r="M109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9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96" s="138" t="str" cm="1">
        <f t="array" ref="O1096">IFERROR(INDEX(CategoriesTable[Category type],MATCH(Table1[[#This Row],[Category]],CategoriesTable[Category name],0),0),"")</f>
        <v/>
      </c>
      <c r="P1096" s="138">
        <v>4</v>
      </c>
      <c r="Q1096" s="138">
        <f>MONTH(Table1[[#This Row],[Date]])</f>
        <v>4</v>
      </c>
      <c r="R1096" s="138">
        <v>2021</v>
      </c>
      <c r="S1096" s="139">
        <f>IF(ISBLANK(Table1[[#This Row],[Date]]),"",Table1[[#This Row],[Date]]-WEEKDAY(Table1[[#This Row],[Date]],2)+1)</f>
        <v>44284</v>
      </c>
      <c r="T1096" s="140">
        <f>IF(ISBLANK(Table1[[#This Row],[Date]]),"",DATE(Table1[[#This Row],[Date_Year]],Table1[[#This Row],[Date_Month]],1))</f>
        <v>44287</v>
      </c>
    </row>
    <row r="1097" spans="2:20" ht="15.75">
      <c r="B1097" s="154">
        <v>44289</v>
      </c>
      <c r="C1097" s="119" t="s">
        <v>1403</v>
      </c>
      <c r="D1097" s="119"/>
      <c r="E1097" s="119"/>
      <c r="F1097" s="155">
        <v>-91.78</v>
      </c>
      <c r="G1097" s="133" t="str">
        <f>_xlfn.XLOOKUP(Table1[[#This Row],[Account_ID]], Accounts[ID], Accounts[Account nickname], "Unknown")</f>
        <v>Discover</v>
      </c>
      <c r="H1097" s="134" t="str">
        <f>_xlfn.XLOOKUP(Table1[[#This Row],[Account_ID]], Accounts[ID], Accounts[Account'#], "Unknown")</f>
        <v>4618</v>
      </c>
      <c r="I1097" s="135" t="str">
        <f>_xlfn.XLOOKUP(_xlfn.XLOOKUP(Table1[[#This Row],[Account]],Accounts[Account nickname],Accounts[Institution ID]),Institutions[ID],Institutions[Institution nickname],"Unknown")</f>
        <v>Discover</v>
      </c>
      <c r="J1097" s="136" t="s">
        <v>2467</v>
      </c>
      <c r="K1097" s="137" t="s">
        <v>843</v>
      </c>
      <c r="L1097" s="137" t="s">
        <v>841</v>
      </c>
      <c r="M109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9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97" s="138" t="str" cm="1">
        <f t="array" ref="O1097">IFERROR(INDEX(CategoriesTable[Category type],MATCH(Table1[[#This Row],[Category]],CategoriesTable[Category name],0),0),"")</f>
        <v/>
      </c>
      <c r="P1097" s="138">
        <v>3</v>
      </c>
      <c r="Q1097" s="138">
        <f>MONTH(Table1[[#This Row],[Date]])</f>
        <v>4</v>
      </c>
      <c r="R1097" s="138">
        <v>2021</v>
      </c>
      <c r="S1097" s="139">
        <f>IF(ISBLANK(Table1[[#This Row],[Date]]),"",Table1[[#This Row],[Date]]-WEEKDAY(Table1[[#This Row],[Date]],2)+1)</f>
        <v>44284</v>
      </c>
      <c r="T1097" s="140">
        <f>IF(ISBLANK(Table1[[#This Row],[Date]]),"",DATE(Table1[[#This Row],[Date_Year]],Table1[[#This Row],[Date_Month]],1))</f>
        <v>44287</v>
      </c>
    </row>
    <row r="1098" spans="2:20" ht="15.75">
      <c r="B1098" s="154">
        <v>44289</v>
      </c>
      <c r="C1098" s="119" t="s">
        <v>2449</v>
      </c>
      <c r="D1098" s="119"/>
      <c r="E1098" s="119"/>
      <c r="F1098" s="155">
        <v>-15</v>
      </c>
      <c r="G1098" s="133" t="str">
        <f>_xlfn.XLOOKUP(Table1[[#This Row],[Account_ID]], Accounts[ID], Accounts[Account nickname], "Unknown")</f>
        <v>Discover</v>
      </c>
      <c r="H1098" s="134" t="str">
        <f>_xlfn.XLOOKUP(Table1[[#This Row],[Account_ID]], Accounts[ID], Accounts[Account'#], "Unknown")</f>
        <v>4618</v>
      </c>
      <c r="I1098" s="135" t="str">
        <f>_xlfn.XLOOKUP(_xlfn.XLOOKUP(Table1[[#This Row],[Account]],Accounts[Account nickname],Accounts[Institution ID]),Institutions[ID],Institutions[Institution nickname],"Unknown")</f>
        <v>Discover</v>
      </c>
      <c r="J1098" s="136" t="s">
        <v>2463</v>
      </c>
      <c r="K1098" s="137" t="s">
        <v>843</v>
      </c>
      <c r="L1098" s="137" t="s">
        <v>841</v>
      </c>
      <c r="M109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9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98" s="138" t="str" cm="1">
        <f t="array" ref="O1098">IFERROR(INDEX(CategoriesTable[Category type],MATCH(Table1[[#This Row],[Category]],CategoriesTable[Category name],0),0),"")</f>
        <v/>
      </c>
      <c r="P1098" s="138">
        <v>3</v>
      </c>
      <c r="Q1098" s="138">
        <f>MONTH(Table1[[#This Row],[Date]])</f>
        <v>4</v>
      </c>
      <c r="R1098" s="138">
        <v>2021</v>
      </c>
      <c r="S1098" s="139">
        <f>IF(ISBLANK(Table1[[#This Row],[Date]]),"",Table1[[#This Row],[Date]]-WEEKDAY(Table1[[#This Row],[Date]],2)+1)</f>
        <v>44284</v>
      </c>
      <c r="T1098" s="140">
        <f>IF(ISBLANK(Table1[[#This Row],[Date]]),"",DATE(Table1[[#This Row],[Date_Year]],Table1[[#This Row],[Date_Month]],1))</f>
        <v>44287</v>
      </c>
    </row>
    <row r="1099" spans="2:20" ht="15.75">
      <c r="B1099" s="154">
        <v>44289</v>
      </c>
      <c r="C1099" s="119" t="s">
        <v>702</v>
      </c>
      <c r="D1099" s="119"/>
      <c r="E1099" s="119"/>
      <c r="F1099" s="155">
        <v>-17.43</v>
      </c>
      <c r="G1099" s="133" t="str">
        <f>_xlfn.XLOOKUP(Table1[[#This Row],[Account_ID]], Accounts[ID], Accounts[Account nickname], "Unknown")</f>
        <v>Discover</v>
      </c>
      <c r="H1099" s="134" t="str">
        <f>_xlfn.XLOOKUP(Table1[[#This Row],[Account_ID]], Accounts[ID], Accounts[Account'#], "Unknown")</f>
        <v>4618</v>
      </c>
      <c r="I1099" s="135" t="str">
        <f>_xlfn.XLOOKUP(_xlfn.XLOOKUP(Table1[[#This Row],[Account]],Accounts[Account nickname],Accounts[Institution ID]),Institutions[ID],Institutions[Institution nickname],"Unknown")</f>
        <v>Discover</v>
      </c>
      <c r="J1099" s="136" t="s">
        <v>2466</v>
      </c>
      <c r="K1099" s="137" t="s">
        <v>843</v>
      </c>
      <c r="L1099" s="137" t="s">
        <v>841</v>
      </c>
      <c r="M109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09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099" s="138" t="str" cm="1">
        <f t="array" ref="O1099">IFERROR(INDEX(CategoriesTable[Category type],MATCH(Table1[[#This Row],[Category]],CategoriesTable[Category name],0),0),"")</f>
        <v/>
      </c>
      <c r="P1099" s="138">
        <v>3</v>
      </c>
      <c r="Q1099" s="138">
        <f>MONTH(Table1[[#This Row],[Date]])</f>
        <v>4</v>
      </c>
      <c r="R1099" s="138">
        <v>2021</v>
      </c>
      <c r="S1099" s="139">
        <f>IF(ISBLANK(Table1[[#This Row],[Date]]),"",Table1[[#This Row],[Date]]-WEEKDAY(Table1[[#This Row],[Date]],2)+1)</f>
        <v>44284</v>
      </c>
      <c r="T1099" s="140">
        <f>IF(ISBLANK(Table1[[#This Row],[Date]]),"",DATE(Table1[[#This Row],[Date_Year]],Table1[[#This Row],[Date_Month]],1))</f>
        <v>44287</v>
      </c>
    </row>
    <row r="1100" spans="2:20" ht="15.75">
      <c r="B1100" s="154">
        <v>44289</v>
      </c>
      <c r="C1100" s="119" t="s">
        <v>2464</v>
      </c>
      <c r="D1100" s="119"/>
      <c r="E1100" s="119"/>
      <c r="F1100" s="155">
        <v>-20.66</v>
      </c>
      <c r="G1100" s="133" t="str">
        <f>_xlfn.XLOOKUP(Table1[[#This Row],[Account_ID]], Accounts[ID], Accounts[Account nickname], "Unknown")</f>
        <v>Discover</v>
      </c>
      <c r="H1100" s="134" t="str">
        <f>_xlfn.XLOOKUP(Table1[[#This Row],[Account_ID]], Accounts[ID], Accounts[Account'#], "Unknown")</f>
        <v>4618</v>
      </c>
      <c r="I1100" s="135" t="str">
        <f>_xlfn.XLOOKUP(_xlfn.XLOOKUP(Table1[[#This Row],[Account]],Accounts[Account nickname],Accounts[Institution ID]),Institutions[ID],Institutions[Institution nickname],"Unknown")</f>
        <v>Discover</v>
      </c>
      <c r="J1100" s="136" t="s">
        <v>2465</v>
      </c>
      <c r="K1100" s="137" t="s">
        <v>843</v>
      </c>
      <c r="L1100" s="137" t="s">
        <v>841</v>
      </c>
      <c r="M110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0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00" s="138" t="str" cm="1">
        <f t="array" ref="O1100">IFERROR(INDEX(CategoriesTable[Category type],MATCH(Table1[[#This Row],[Category]],CategoriesTable[Category name],0),0),"")</f>
        <v/>
      </c>
      <c r="P1100" s="138">
        <v>3</v>
      </c>
      <c r="Q1100" s="138">
        <f>MONTH(Table1[[#This Row],[Date]])</f>
        <v>4</v>
      </c>
      <c r="R1100" s="138">
        <v>2021</v>
      </c>
      <c r="S1100" s="139">
        <f>IF(ISBLANK(Table1[[#This Row],[Date]]),"",Table1[[#This Row],[Date]]-WEEKDAY(Table1[[#This Row],[Date]],2)+1)</f>
        <v>44284</v>
      </c>
      <c r="T1100" s="140">
        <f>IF(ISBLANK(Table1[[#This Row],[Date]]),"",DATE(Table1[[#This Row],[Date_Year]],Table1[[#This Row],[Date_Month]],1))</f>
        <v>44287</v>
      </c>
    </row>
    <row r="1101" spans="2:20" ht="15.75">
      <c r="B1101" s="154">
        <v>44288</v>
      </c>
      <c r="C1101" s="119" t="s">
        <v>2289</v>
      </c>
      <c r="D1101" s="119"/>
      <c r="E1101" s="119"/>
      <c r="F1101" s="155">
        <v>-1.99</v>
      </c>
      <c r="G1101" s="133" t="str">
        <f>_xlfn.XLOOKUP(Table1[[#This Row],[Account_ID]], Accounts[ID], Accounts[Account nickname], "Unknown")</f>
        <v>Discover</v>
      </c>
      <c r="H1101" s="134" t="str">
        <f>_xlfn.XLOOKUP(Table1[[#This Row],[Account_ID]], Accounts[ID], Accounts[Account'#], "Unknown")</f>
        <v>4618</v>
      </c>
      <c r="I1101" s="135" t="str">
        <f>_xlfn.XLOOKUP(_xlfn.XLOOKUP(Table1[[#This Row],[Account]],Accounts[Account nickname],Accounts[Institution ID]),Institutions[ID],Institutions[Institution nickname],"Unknown")</f>
        <v>Discover</v>
      </c>
      <c r="J1101" s="136" t="s">
        <v>2468</v>
      </c>
      <c r="K1101" s="137" t="s">
        <v>843</v>
      </c>
      <c r="L1101" s="137" t="s">
        <v>841</v>
      </c>
      <c r="M110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0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01" s="138" t="str" cm="1">
        <f t="array" ref="O1101">IFERROR(INDEX(CategoriesTable[Category type],MATCH(Table1[[#This Row],[Category]],CategoriesTable[Category name],0),0),"")</f>
        <v/>
      </c>
      <c r="P1101" s="138">
        <v>2</v>
      </c>
      <c r="Q1101" s="138">
        <f>MONTH(Table1[[#This Row],[Date]])</f>
        <v>4</v>
      </c>
      <c r="R1101" s="138">
        <v>2021</v>
      </c>
      <c r="S1101" s="139">
        <f>IF(ISBLANK(Table1[[#This Row],[Date]]),"",Table1[[#This Row],[Date]]-WEEKDAY(Table1[[#This Row],[Date]],2)+1)</f>
        <v>44284</v>
      </c>
      <c r="T1101" s="140">
        <f>IF(ISBLANK(Table1[[#This Row],[Date]]),"",DATE(Table1[[#This Row],[Date_Year]],Table1[[#This Row],[Date_Month]],1))</f>
        <v>44287</v>
      </c>
    </row>
    <row r="1102" spans="2:20" ht="15.75">
      <c r="B1102" s="154">
        <v>44287</v>
      </c>
      <c r="C1102" s="119" t="s">
        <v>698</v>
      </c>
      <c r="D1102" s="119"/>
      <c r="E1102" s="119"/>
      <c r="F1102" s="155">
        <v>-9.99</v>
      </c>
      <c r="G1102" s="133" t="str">
        <f>_xlfn.XLOOKUP(Table1[[#This Row],[Account_ID]], Accounts[ID], Accounts[Account nickname], "Unknown")</f>
        <v>Discover</v>
      </c>
      <c r="H1102" s="134" t="str">
        <f>_xlfn.XLOOKUP(Table1[[#This Row],[Account_ID]], Accounts[ID], Accounts[Account'#], "Unknown")</f>
        <v>4618</v>
      </c>
      <c r="I1102" s="135" t="str">
        <f>_xlfn.XLOOKUP(_xlfn.XLOOKUP(Table1[[#This Row],[Account]],Accounts[Account nickname],Accounts[Institution ID]),Institutions[ID],Institutions[Institution nickname],"Unknown")</f>
        <v>Discover</v>
      </c>
      <c r="J1102" s="136" t="s">
        <v>2470</v>
      </c>
      <c r="K1102" s="137" t="s">
        <v>843</v>
      </c>
      <c r="L1102" s="137" t="s">
        <v>841</v>
      </c>
      <c r="M110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0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02" s="138" t="str" cm="1">
        <f t="array" ref="O1102">IFERROR(INDEX(CategoriesTable[Category type],MATCH(Table1[[#This Row],[Category]],CategoriesTable[Category name],0),0),"")</f>
        <v/>
      </c>
      <c r="P1102" s="138">
        <v>1</v>
      </c>
      <c r="Q1102" s="138">
        <f>MONTH(Table1[[#This Row],[Date]])</f>
        <v>4</v>
      </c>
      <c r="R1102" s="138">
        <v>2021</v>
      </c>
      <c r="S1102" s="139">
        <f>IF(ISBLANK(Table1[[#This Row],[Date]]),"",Table1[[#This Row],[Date]]-WEEKDAY(Table1[[#This Row],[Date]],2)+1)</f>
        <v>44284</v>
      </c>
      <c r="T1102" s="140">
        <f>IF(ISBLANK(Table1[[#This Row],[Date]]),"",DATE(Table1[[#This Row],[Date_Year]],Table1[[#This Row],[Date_Month]],1))</f>
        <v>44287</v>
      </c>
    </row>
    <row r="1103" spans="2:20" ht="15.75">
      <c r="B1103" s="154">
        <v>44287</v>
      </c>
      <c r="C1103" s="119" t="s">
        <v>697</v>
      </c>
      <c r="D1103" s="119"/>
      <c r="E1103" s="119"/>
      <c r="F1103" s="155">
        <v>-14.83</v>
      </c>
      <c r="G1103" s="133" t="str">
        <f>_xlfn.XLOOKUP(Table1[[#This Row],[Account_ID]], Accounts[ID], Accounts[Account nickname], "Unknown")</f>
        <v>Discover</v>
      </c>
      <c r="H1103" s="134" t="str">
        <f>_xlfn.XLOOKUP(Table1[[#This Row],[Account_ID]], Accounts[ID], Accounts[Account'#], "Unknown")</f>
        <v>4618</v>
      </c>
      <c r="I1103" s="135" t="str">
        <f>_xlfn.XLOOKUP(_xlfn.XLOOKUP(Table1[[#This Row],[Account]],Accounts[Account nickname],Accounts[Institution ID]),Institutions[ID],Institutions[Institution nickname],"Unknown")</f>
        <v>Discover</v>
      </c>
      <c r="J1103" s="136" t="s">
        <v>2469</v>
      </c>
      <c r="K1103" s="137" t="s">
        <v>843</v>
      </c>
      <c r="L1103" s="137" t="s">
        <v>841</v>
      </c>
      <c r="M110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0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03" s="138" t="str" cm="1">
        <f t="array" ref="O1103">IFERROR(INDEX(CategoriesTable[Category type],MATCH(Table1[[#This Row],[Category]],CategoriesTable[Category name],0),0),"")</f>
        <v/>
      </c>
      <c r="P1103" s="138">
        <v>1</v>
      </c>
      <c r="Q1103" s="138">
        <f>MONTH(Table1[[#This Row],[Date]])</f>
        <v>4</v>
      </c>
      <c r="R1103" s="138">
        <v>2021</v>
      </c>
      <c r="S1103" s="139">
        <f>IF(ISBLANK(Table1[[#This Row],[Date]]),"",Table1[[#This Row],[Date]]-WEEKDAY(Table1[[#This Row],[Date]],2)+1)</f>
        <v>44284</v>
      </c>
      <c r="T1103" s="140">
        <f>IF(ISBLANK(Table1[[#This Row],[Date]]),"",DATE(Table1[[#This Row],[Date_Year]],Table1[[#This Row],[Date_Month]],1))</f>
        <v>44287</v>
      </c>
    </row>
    <row r="1104" spans="2:20" ht="15.75">
      <c r="B1104" s="154">
        <v>44286</v>
      </c>
      <c r="C1104" s="119" t="s">
        <v>693</v>
      </c>
      <c r="D1104" s="119"/>
      <c r="E1104" s="119"/>
      <c r="F1104" s="155">
        <v>-400</v>
      </c>
      <c r="G1104" s="133" t="str">
        <f>_xlfn.XLOOKUP(Table1[[#This Row],[Account_ID]], Accounts[ID], Accounts[Account nickname], "Unknown")</f>
        <v>WF</v>
      </c>
      <c r="H1104" s="134" t="str">
        <f>_xlfn.XLOOKUP(Table1[[#This Row],[Account_ID]], Accounts[ID], Accounts[Account'#], "Unknown")</f>
        <v>4636</v>
      </c>
      <c r="I1104" s="135" t="str">
        <f>_xlfn.XLOOKUP(_xlfn.XLOOKUP(Table1[[#This Row],[Account]],Accounts[Account nickname],Accounts[Institution ID]),Institutions[ID],Institutions[Institution nickname],"Unknown")</f>
        <v>Wells Fargo</v>
      </c>
      <c r="J1104" s="136" t="s">
        <v>1151</v>
      </c>
      <c r="K1104" s="137" t="s">
        <v>808</v>
      </c>
      <c r="L1104" s="137" t="s">
        <v>807</v>
      </c>
      <c r="M110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0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04" s="138" t="str" cm="1">
        <f t="array" ref="O1104">IFERROR(INDEX(CategoriesTable[Category type],MATCH(Table1[[#This Row],[Category]],CategoriesTable[Category name],0),0),"")</f>
        <v/>
      </c>
      <c r="P1104" s="138">
        <v>31</v>
      </c>
      <c r="Q1104" s="138">
        <f>MONTH(Table1[[#This Row],[Date]])</f>
        <v>3</v>
      </c>
      <c r="R1104" s="138">
        <v>2021</v>
      </c>
      <c r="S1104" s="139">
        <f>IF(ISBLANK(Table1[[#This Row],[Date]]),"",Table1[[#This Row],[Date]]-WEEKDAY(Table1[[#This Row],[Date]],2)+1)</f>
        <v>44284</v>
      </c>
      <c r="T1104" s="140">
        <f>IF(ISBLANK(Table1[[#This Row],[Date]]),"",DATE(Table1[[#This Row],[Date_Year]],Table1[[#This Row],[Date_Month]],1))</f>
        <v>44256</v>
      </c>
    </row>
    <row r="1105" spans="2:20" ht="15.75">
      <c r="B1105" s="154">
        <v>44286</v>
      </c>
      <c r="C1105" s="119" t="s">
        <v>686</v>
      </c>
      <c r="D1105" s="119"/>
      <c r="E1105" s="119"/>
      <c r="F1105" s="155">
        <v>-465.03</v>
      </c>
      <c r="G1105" s="133" t="str">
        <f>_xlfn.XLOOKUP(Table1[[#This Row],[Account_ID]], Accounts[ID], Accounts[Account nickname], "Unknown")</f>
        <v>WF</v>
      </c>
      <c r="H1105" s="134" t="str">
        <f>_xlfn.XLOOKUP(Table1[[#This Row],[Account_ID]], Accounts[ID], Accounts[Account'#], "Unknown")</f>
        <v>4636</v>
      </c>
      <c r="I1105" s="135" t="str">
        <f>_xlfn.XLOOKUP(_xlfn.XLOOKUP(Table1[[#This Row],[Account]],Accounts[Account nickname],Accounts[Institution ID]),Institutions[ID],Institutions[Institution nickname],"Unknown")</f>
        <v>Wells Fargo</v>
      </c>
      <c r="J1105" s="136" t="s">
        <v>1152</v>
      </c>
      <c r="K1105" s="137" t="s">
        <v>808</v>
      </c>
      <c r="L1105" s="137" t="s">
        <v>807</v>
      </c>
      <c r="M110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0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05" s="138" t="str" cm="1">
        <f t="array" ref="O1105">IFERROR(INDEX(CategoriesTable[Category type],MATCH(Table1[[#This Row],[Category]],CategoriesTable[Category name],0),0),"")</f>
        <v/>
      </c>
      <c r="P1105" s="138">
        <v>31</v>
      </c>
      <c r="Q1105" s="138">
        <f>MONTH(Table1[[#This Row],[Date]])</f>
        <v>3</v>
      </c>
      <c r="R1105" s="138">
        <v>2021</v>
      </c>
      <c r="S1105" s="139">
        <f>IF(ISBLANK(Table1[[#This Row],[Date]]),"",Table1[[#This Row],[Date]]-WEEKDAY(Table1[[#This Row],[Date]],2)+1)</f>
        <v>44284</v>
      </c>
      <c r="T1105" s="140">
        <f>IF(ISBLANK(Table1[[#This Row],[Date]]),"",DATE(Table1[[#This Row],[Date_Year]],Table1[[#This Row],[Date_Month]],1))</f>
        <v>44256</v>
      </c>
    </row>
    <row r="1106" spans="2:20" ht="15.75">
      <c r="B1106" s="154">
        <v>44286</v>
      </c>
      <c r="C1106" s="119" t="s">
        <v>845</v>
      </c>
      <c r="D1106" s="119"/>
      <c r="E1106" s="119"/>
      <c r="F1106" s="155">
        <v>465.03</v>
      </c>
      <c r="G1106" s="133" t="str">
        <f>_xlfn.XLOOKUP(Table1[[#This Row],[Account_ID]], Accounts[ID], Accounts[Account nickname], "Unknown")</f>
        <v>Discover</v>
      </c>
      <c r="H1106" s="134" t="str">
        <f>_xlfn.XLOOKUP(Table1[[#This Row],[Account_ID]], Accounts[ID], Accounts[Account'#], "Unknown")</f>
        <v>4618</v>
      </c>
      <c r="I1106" s="135" t="str">
        <f>_xlfn.XLOOKUP(_xlfn.XLOOKUP(Table1[[#This Row],[Account]],Accounts[Account nickname],Accounts[Institution ID]),Institutions[ID],Institutions[Institution nickname],"Unknown")</f>
        <v>Discover</v>
      </c>
      <c r="J1106" s="136" t="s">
        <v>2471</v>
      </c>
      <c r="K1106" s="137" t="s">
        <v>843</v>
      </c>
      <c r="L1106" s="137" t="s">
        <v>841</v>
      </c>
      <c r="M110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0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06" s="138" t="str" cm="1">
        <f t="array" ref="O1106">IFERROR(INDEX(CategoriesTable[Category type],MATCH(Table1[[#This Row],[Category]],CategoriesTable[Category name],0),0),"")</f>
        <v/>
      </c>
      <c r="P1106" s="138">
        <v>31</v>
      </c>
      <c r="Q1106" s="138">
        <f>MONTH(Table1[[#This Row],[Date]])</f>
        <v>3</v>
      </c>
      <c r="R1106" s="138">
        <v>2021</v>
      </c>
      <c r="S1106" s="139">
        <f>IF(ISBLANK(Table1[[#This Row],[Date]]),"",Table1[[#This Row],[Date]]-WEEKDAY(Table1[[#This Row],[Date]],2)+1)</f>
        <v>44284</v>
      </c>
      <c r="T1106" s="140">
        <f>IF(ISBLANK(Table1[[#This Row],[Date]]),"",DATE(Table1[[#This Row],[Date_Year]],Table1[[#This Row],[Date_Month]],1))</f>
        <v>44256</v>
      </c>
    </row>
    <row r="1107" spans="2:20" ht="15.75">
      <c r="B1107" s="154">
        <v>44284</v>
      </c>
      <c r="C1107" s="119" t="s">
        <v>2472</v>
      </c>
      <c r="D1107" s="119"/>
      <c r="E1107" s="119"/>
      <c r="F1107" s="155">
        <v>-23.65</v>
      </c>
      <c r="G1107" s="133" t="str">
        <f>_xlfn.XLOOKUP(Table1[[#This Row],[Account_ID]], Accounts[ID], Accounts[Account nickname], "Unknown")</f>
        <v>Discover</v>
      </c>
      <c r="H1107" s="134" t="str">
        <f>_xlfn.XLOOKUP(Table1[[#This Row],[Account_ID]], Accounts[ID], Accounts[Account'#], "Unknown")</f>
        <v>4618</v>
      </c>
      <c r="I1107" s="135" t="str">
        <f>_xlfn.XLOOKUP(_xlfn.XLOOKUP(Table1[[#This Row],[Account]],Accounts[Account nickname],Accounts[Institution ID]),Institutions[ID],Institutions[Institution nickname],"Unknown")</f>
        <v>Discover</v>
      </c>
      <c r="J1107" s="136" t="s">
        <v>2473</v>
      </c>
      <c r="K1107" s="137" t="s">
        <v>843</v>
      </c>
      <c r="L1107" s="137" t="s">
        <v>841</v>
      </c>
      <c r="M110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0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07" s="138" t="str" cm="1">
        <f t="array" ref="O1107">IFERROR(INDEX(CategoriesTable[Category type],MATCH(Table1[[#This Row],[Category]],CategoriesTable[Category name],0),0),"")</f>
        <v/>
      </c>
      <c r="P1107" s="138">
        <v>29</v>
      </c>
      <c r="Q1107" s="138">
        <f>MONTH(Table1[[#This Row],[Date]])</f>
        <v>3</v>
      </c>
      <c r="R1107" s="138">
        <v>2021</v>
      </c>
      <c r="S1107" s="139">
        <f>IF(ISBLANK(Table1[[#This Row],[Date]]),"",Table1[[#This Row],[Date]]-WEEKDAY(Table1[[#This Row],[Date]],2)+1)</f>
        <v>44284</v>
      </c>
      <c r="T1107" s="140">
        <f>IF(ISBLANK(Table1[[#This Row],[Date]]),"",DATE(Table1[[#This Row],[Date_Year]],Table1[[#This Row],[Date_Month]],1))</f>
        <v>44256</v>
      </c>
    </row>
    <row r="1108" spans="2:20" ht="15.75">
      <c r="B1108" s="154">
        <v>44284</v>
      </c>
      <c r="C1108" s="119" t="s">
        <v>2472</v>
      </c>
      <c r="D1108" s="119"/>
      <c r="E1108" s="119"/>
      <c r="F1108" s="155">
        <v>-48.22</v>
      </c>
      <c r="G1108" s="133" t="str">
        <f>_xlfn.XLOOKUP(Table1[[#This Row],[Account_ID]], Accounts[ID], Accounts[Account nickname], "Unknown")</f>
        <v>Discover</v>
      </c>
      <c r="H1108" s="134" t="str">
        <f>_xlfn.XLOOKUP(Table1[[#This Row],[Account_ID]], Accounts[ID], Accounts[Account'#], "Unknown")</f>
        <v>4618</v>
      </c>
      <c r="I1108" s="135" t="str">
        <f>_xlfn.XLOOKUP(_xlfn.XLOOKUP(Table1[[#This Row],[Account]],Accounts[Account nickname],Accounts[Institution ID]),Institutions[ID],Institutions[Institution nickname],"Unknown")</f>
        <v>Discover</v>
      </c>
      <c r="J1108" s="136" t="s">
        <v>2474</v>
      </c>
      <c r="K1108" s="137" t="s">
        <v>843</v>
      </c>
      <c r="L1108" s="137" t="s">
        <v>841</v>
      </c>
      <c r="M110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0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08" s="138" t="str" cm="1">
        <f t="array" ref="O1108">IFERROR(INDEX(CategoriesTable[Category type],MATCH(Table1[[#This Row],[Category]],CategoriesTable[Category name],0),0),"")</f>
        <v/>
      </c>
      <c r="P1108" s="138">
        <v>29</v>
      </c>
      <c r="Q1108" s="138">
        <f>MONTH(Table1[[#This Row],[Date]])</f>
        <v>3</v>
      </c>
      <c r="R1108" s="138">
        <v>2021</v>
      </c>
      <c r="S1108" s="139">
        <f>IF(ISBLANK(Table1[[#This Row],[Date]]),"",Table1[[#This Row],[Date]]-WEEKDAY(Table1[[#This Row],[Date]],2)+1)</f>
        <v>44284</v>
      </c>
      <c r="T1108" s="140">
        <f>IF(ISBLANK(Table1[[#This Row],[Date]]),"",DATE(Table1[[#This Row],[Date_Year]],Table1[[#This Row],[Date_Month]],1))</f>
        <v>44256</v>
      </c>
    </row>
    <row r="1109" spans="2:20" ht="15.75">
      <c r="B1109" s="154">
        <v>44284</v>
      </c>
      <c r="C1109" s="119" t="s">
        <v>678</v>
      </c>
      <c r="D1109" s="119"/>
      <c r="E1109" s="119"/>
      <c r="F1109" s="155">
        <v>-20</v>
      </c>
      <c r="G1109" s="133" t="str">
        <f>_xlfn.XLOOKUP(Table1[[#This Row],[Account_ID]], Accounts[ID], Accounts[Account nickname], "Unknown")</f>
        <v>WF</v>
      </c>
      <c r="H1109" s="134" t="str">
        <f>_xlfn.XLOOKUP(Table1[[#This Row],[Account_ID]], Accounts[ID], Accounts[Account'#], "Unknown")</f>
        <v>4636</v>
      </c>
      <c r="I1109" s="135" t="str">
        <f>_xlfn.XLOOKUP(_xlfn.XLOOKUP(Table1[[#This Row],[Account]],Accounts[Account nickname],Accounts[Institution ID]),Institutions[ID],Institutions[Institution nickname],"Unknown")</f>
        <v>Wells Fargo</v>
      </c>
      <c r="J1109" s="136" t="s">
        <v>1153</v>
      </c>
      <c r="K1109" s="137" t="s">
        <v>808</v>
      </c>
      <c r="L1109" s="137" t="s">
        <v>807</v>
      </c>
      <c r="M110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0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09" s="138" t="str" cm="1">
        <f t="array" ref="O1109">IFERROR(INDEX(CategoriesTable[Category type],MATCH(Table1[[#This Row],[Category]],CategoriesTable[Category name],0),0),"")</f>
        <v/>
      </c>
      <c r="P1109" s="138">
        <v>29</v>
      </c>
      <c r="Q1109" s="138">
        <f>MONTH(Table1[[#This Row],[Date]])</f>
        <v>3</v>
      </c>
      <c r="R1109" s="138">
        <v>2021</v>
      </c>
      <c r="S1109" s="139">
        <f>IF(ISBLANK(Table1[[#This Row],[Date]]),"",Table1[[#This Row],[Date]]-WEEKDAY(Table1[[#This Row],[Date]],2)+1)</f>
        <v>44284</v>
      </c>
      <c r="T1109" s="140">
        <f>IF(ISBLANK(Table1[[#This Row],[Date]]),"",DATE(Table1[[#This Row],[Date_Year]],Table1[[#This Row],[Date_Month]],1))</f>
        <v>44256</v>
      </c>
    </row>
    <row r="1110" spans="2:20" ht="15.75">
      <c r="B1110" s="154">
        <v>44283</v>
      </c>
      <c r="C1110" s="119" t="s">
        <v>2477</v>
      </c>
      <c r="D1110" s="119"/>
      <c r="E1110" s="119"/>
      <c r="F1110" s="155">
        <v>-8.1300000000000008</v>
      </c>
      <c r="G1110" s="133" t="str">
        <f>_xlfn.XLOOKUP(Table1[[#This Row],[Account_ID]], Accounts[ID], Accounts[Account nickname], "Unknown")</f>
        <v>Discover</v>
      </c>
      <c r="H1110" s="134" t="str">
        <f>_xlfn.XLOOKUP(Table1[[#This Row],[Account_ID]], Accounts[ID], Accounts[Account'#], "Unknown")</f>
        <v>4618</v>
      </c>
      <c r="I1110" s="135" t="str">
        <f>_xlfn.XLOOKUP(_xlfn.XLOOKUP(Table1[[#This Row],[Account]],Accounts[Account nickname],Accounts[Institution ID]),Institutions[ID],Institutions[Institution nickname],"Unknown")</f>
        <v>Discover</v>
      </c>
      <c r="J1110" s="136" t="s">
        <v>2478</v>
      </c>
      <c r="K1110" s="137" t="s">
        <v>843</v>
      </c>
      <c r="L1110" s="137" t="s">
        <v>841</v>
      </c>
      <c r="M111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1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10" s="138" t="str" cm="1">
        <f t="array" ref="O1110">IFERROR(INDEX(CategoriesTable[Category type],MATCH(Table1[[#This Row],[Category]],CategoriesTable[Category name],0),0),"")</f>
        <v/>
      </c>
      <c r="P1110" s="138">
        <v>28</v>
      </c>
      <c r="Q1110" s="138">
        <f>MONTH(Table1[[#This Row],[Date]])</f>
        <v>3</v>
      </c>
      <c r="R1110" s="138">
        <v>2021</v>
      </c>
      <c r="S1110" s="139">
        <f>IF(ISBLANK(Table1[[#This Row],[Date]]),"",Table1[[#This Row],[Date]]-WEEKDAY(Table1[[#This Row],[Date]],2)+1)</f>
        <v>44277</v>
      </c>
      <c r="T1110" s="140">
        <f>IF(ISBLANK(Table1[[#This Row],[Date]]),"",DATE(Table1[[#This Row],[Date_Year]],Table1[[#This Row],[Date_Month]],1))</f>
        <v>44256</v>
      </c>
    </row>
    <row r="1111" spans="2:20" ht="15.75">
      <c r="B1111" s="154">
        <v>44283</v>
      </c>
      <c r="C1111" s="119" t="s">
        <v>2475</v>
      </c>
      <c r="D1111" s="119"/>
      <c r="E1111" s="119"/>
      <c r="F1111" s="155">
        <v>-9.9499999999999993</v>
      </c>
      <c r="G1111" s="133" t="str">
        <f>_xlfn.XLOOKUP(Table1[[#This Row],[Account_ID]], Accounts[ID], Accounts[Account nickname], "Unknown")</f>
        <v>Discover</v>
      </c>
      <c r="H1111" s="134" t="str">
        <f>_xlfn.XLOOKUP(Table1[[#This Row],[Account_ID]], Accounts[ID], Accounts[Account'#], "Unknown")</f>
        <v>4618</v>
      </c>
      <c r="I1111" s="135" t="str">
        <f>_xlfn.XLOOKUP(_xlfn.XLOOKUP(Table1[[#This Row],[Account]],Accounts[Account nickname],Accounts[Institution ID]),Institutions[ID],Institutions[Institution nickname],"Unknown")</f>
        <v>Discover</v>
      </c>
      <c r="J1111" s="136" t="s">
        <v>2476</v>
      </c>
      <c r="K1111" s="137" t="s">
        <v>843</v>
      </c>
      <c r="L1111" s="137" t="s">
        <v>841</v>
      </c>
      <c r="M111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1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11" s="138" t="str" cm="1">
        <f t="array" ref="O1111">IFERROR(INDEX(CategoriesTable[Category type],MATCH(Table1[[#This Row],[Category]],CategoriesTable[Category name],0),0),"")</f>
        <v/>
      </c>
      <c r="P1111" s="138">
        <v>28</v>
      </c>
      <c r="Q1111" s="138">
        <f>MONTH(Table1[[#This Row],[Date]])</f>
        <v>3</v>
      </c>
      <c r="R1111" s="138">
        <v>2021</v>
      </c>
      <c r="S1111" s="139">
        <f>IF(ISBLANK(Table1[[#This Row],[Date]]),"",Table1[[#This Row],[Date]]-WEEKDAY(Table1[[#This Row],[Date]],2)+1)</f>
        <v>44277</v>
      </c>
      <c r="T1111" s="140">
        <f>IF(ISBLANK(Table1[[#This Row],[Date]]),"",DATE(Table1[[#This Row],[Date_Year]],Table1[[#This Row],[Date_Month]],1))</f>
        <v>44256</v>
      </c>
    </row>
    <row r="1112" spans="2:20" ht="15.75">
      <c r="B1112" s="154">
        <v>44282</v>
      </c>
      <c r="C1112" s="119" t="s">
        <v>2152</v>
      </c>
      <c r="D1112" s="119"/>
      <c r="E1112" s="119"/>
      <c r="F1112" s="155">
        <v>-2.75</v>
      </c>
      <c r="G1112" s="133" t="str">
        <f>_xlfn.XLOOKUP(Table1[[#This Row],[Account_ID]], Accounts[ID], Accounts[Account nickname], "Unknown")</f>
        <v>Discover</v>
      </c>
      <c r="H1112" s="134" t="str">
        <f>_xlfn.XLOOKUP(Table1[[#This Row],[Account_ID]], Accounts[ID], Accounts[Account'#], "Unknown")</f>
        <v>4618</v>
      </c>
      <c r="I1112" s="135" t="str">
        <f>_xlfn.XLOOKUP(_xlfn.XLOOKUP(Table1[[#This Row],[Account]],Accounts[Account nickname],Accounts[Institution ID]),Institutions[ID],Institutions[Institution nickname],"Unknown")</f>
        <v>Discover</v>
      </c>
      <c r="J1112" s="136" t="s">
        <v>2482</v>
      </c>
      <c r="K1112" s="137" t="s">
        <v>843</v>
      </c>
      <c r="L1112" s="137" t="s">
        <v>841</v>
      </c>
      <c r="M111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1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12" s="138" t="str" cm="1">
        <f t="array" ref="O1112">IFERROR(INDEX(CategoriesTable[Category type],MATCH(Table1[[#This Row],[Category]],CategoriesTable[Category name],0),0),"")</f>
        <v/>
      </c>
      <c r="P1112" s="138">
        <v>27</v>
      </c>
      <c r="Q1112" s="138">
        <f>MONTH(Table1[[#This Row],[Date]])</f>
        <v>3</v>
      </c>
      <c r="R1112" s="138">
        <v>2021</v>
      </c>
      <c r="S1112" s="139">
        <f>IF(ISBLANK(Table1[[#This Row],[Date]]),"",Table1[[#This Row],[Date]]-WEEKDAY(Table1[[#This Row],[Date]],2)+1)</f>
        <v>44277</v>
      </c>
      <c r="T1112" s="140">
        <f>IF(ISBLANK(Table1[[#This Row],[Date]]),"",DATE(Table1[[#This Row],[Date_Year]],Table1[[#This Row],[Date_Month]],1))</f>
        <v>44256</v>
      </c>
    </row>
    <row r="1113" spans="2:20" ht="15.75">
      <c r="B1113" s="154">
        <v>44282</v>
      </c>
      <c r="C1113" s="119" t="s">
        <v>2152</v>
      </c>
      <c r="D1113" s="119"/>
      <c r="E1113" s="119"/>
      <c r="F1113" s="155">
        <v>-2.75</v>
      </c>
      <c r="G1113" s="133" t="str">
        <f>_xlfn.XLOOKUP(Table1[[#This Row],[Account_ID]], Accounts[ID], Accounts[Account nickname], "Unknown")</f>
        <v>Discover</v>
      </c>
      <c r="H1113" s="134" t="str">
        <f>_xlfn.XLOOKUP(Table1[[#This Row],[Account_ID]], Accounts[ID], Accounts[Account'#], "Unknown")</f>
        <v>4618</v>
      </c>
      <c r="I1113" s="135" t="str">
        <f>_xlfn.XLOOKUP(_xlfn.XLOOKUP(Table1[[#This Row],[Account]],Accounts[Account nickname],Accounts[Institution ID]),Institutions[ID],Institutions[Institution nickname],"Unknown")</f>
        <v>Discover</v>
      </c>
      <c r="J1113" s="136" t="s">
        <v>2483</v>
      </c>
      <c r="K1113" s="137" t="s">
        <v>843</v>
      </c>
      <c r="L1113" s="137" t="s">
        <v>841</v>
      </c>
      <c r="M111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1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13" s="138" t="str" cm="1">
        <f t="array" ref="O1113">IFERROR(INDEX(CategoriesTable[Category type],MATCH(Table1[[#This Row],[Category]],CategoriesTable[Category name],0),0),"")</f>
        <v/>
      </c>
      <c r="P1113" s="138">
        <v>27</v>
      </c>
      <c r="Q1113" s="138">
        <f>MONTH(Table1[[#This Row],[Date]])</f>
        <v>3</v>
      </c>
      <c r="R1113" s="138">
        <v>2021</v>
      </c>
      <c r="S1113" s="139">
        <f>IF(ISBLANK(Table1[[#This Row],[Date]]),"",Table1[[#This Row],[Date]]-WEEKDAY(Table1[[#This Row],[Date]],2)+1)</f>
        <v>44277</v>
      </c>
      <c r="T1113" s="140">
        <f>IF(ISBLANK(Table1[[#This Row],[Date]]),"",DATE(Table1[[#This Row],[Date_Year]],Table1[[#This Row],[Date_Month]],1))</f>
        <v>44256</v>
      </c>
    </row>
    <row r="1114" spans="2:20" ht="15.75">
      <c r="B1114" s="154">
        <v>44282</v>
      </c>
      <c r="C1114" s="119" t="s">
        <v>1679</v>
      </c>
      <c r="D1114" s="119"/>
      <c r="E1114" s="119"/>
      <c r="F1114" s="155">
        <v>-9.99</v>
      </c>
      <c r="G1114" s="133" t="str">
        <f>_xlfn.XLOOKUP(Table1[[#This Row],[Account_ID]], Accounts[ID], Accounts[Account nickname], "Unknown")</f>
        <v>Discover</v>
      </c>
      <c r="H1114" s="134" t="str">
        <f>_xlfn.XLOOKUP(Table1[[#This Row],[Account_ID]], Accounts[ID], Accounts[Account'#], "Unknown")</f>
        <v>4618</v>
      </c>
      <c r="I1114" s="135" t="str">
        <f>_xlfn.XLOOKUP(_xlfn.XLOOKUP(Table1[[#This Row],[Account]],Accounts[Account nickname],Accounts[Institution ID]),Institutions[ID],Institutions[Institution nickname],"Unknown")</f>
        <v>Discover</v>
      </c>
      <c r="J1114" s="136" t="s">
        <v>2479</v>
      </c>
      <c r="K1114" s="137" t="s">
        <v>843</v>
      </c>
      <c r="L1114" s="137" t="s">
        <v>841</v>
      </c>
      <c r="M111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1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14" s="138" t="str" cm="1">
        <f t="array" ref="O1114">IFERROR(INDEX(CategoriesTable[Category type],MATCH(Table1[[#This Row],[Category]],CategoriesTable[Category name],0),0),"")</f>
        <v/>
      </c>
      <c r="P1114" s="138">
        <v>27</v>
      </c>
      <c r="Q1114" s="138">
        <f>MONTH(Table1[[#This Row],[Date]])</f>
        <v>3</v>
      </c>
      <c r="R1114" s="138">
        <v>2021</v>
      </c>
      <c r="S1114" s="139">
        <f>IF(ISBLANK(Table1[[#This Row],[Date]]),"",Table1[[#This Row],[Date]]-WEEKDAY(Table1[[#This Row],[Date]],2)+1)</f>
        <v>44277</v>
      </c>
      <c r="T1114" s="140">
        <f>IF(ISBLANK(Table1[[#This Row],[Date]]),"",DATE(Table1[[#This Row],[Date_Year]],Table1[[#This Row],[Date_Month]],1))</f>
        <v>44256</v>
      </c>
    </row>
    <row r="1115" spans="2:20" ht="15.75">
      <c r="B1115" s="154">
        <v>44282</v>
      </c>
      <c r="C1115" s="119" t="s">
        <v>2484</v>
      </c>
      <c r="D1115" s="119"/>
      <c r="E1115" s="119"/>
      <c r="F1115" s="155">
        <v>-15.94</v>
      </c>
      <c r="G1115" s="133" t="str">
        <f>_xlfn.XLOOKUP(Table1[[#This Row],[Account_ID]], Accounts[ID], Accounts[Account nickname], "Unknown")</f>
        <v>Discover</v>
      </c>
      <c r="H1115" s="134" t="str">
        <f>_xlfn.XLOOKUP(Table1[[#This Row],[Account_ID]], Accounts[ID], Accounts[Account'#], "Unknown")</f>
        <v>4618</v>
      </c>
      <c r="I1115" s="135" t="str">
        <f>_xlfn.XLOOKUP(_xlfn.XLOOKUP(Table1[[#This Row],[Account]],Accounts[Account nickname],Accounts[Institution ID]),Institutions[ID],Institutions[Institution nickname],"Unknown")</f>
        <v>Discover</v>
      </c>
      <c r="J1115" s="136" t="s">
        <v>2485</v>
      </c>
      <c r="K1115" s="137" t="s">
        <v>843</v>
      </c>
      <c r="L1115" s="137" t="s">
        <v>841</v>
      </c>
      <c r="M111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1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15" s="138" t="str" cm="1">
        <f t="array" ref="O1115">IFERROR(INDEX(CategoriesTable[Category type],MATCH(Table1[[#This Row],[Category]],CategoriesTable[Category name],0),0),"")</f>
        <v/>
      </c>
      <c r="P1115" s="138">
        <v>27</v>
      </c>
      <c r="Q1115" s="138">
        <f>MONTH(Table1[[#This Row],[Date]])</f>
        <v>3</v>
      </c>
      <c r="R1115" s="138">
        <v>2021</v>
      </c>
      <c r="S1115" s="139">
        <f>IF(ISBLANK(Table1[[#This Row],[Date]]),"",Table1[[#This Row],[Date]]-WEEKDAY(Table1[[#This Row],[Date]],2)+1)</f>
        <v>44277</v>
      </c>
      <c r="T1115" s="140">
        <f>IF(ISBLANK(Table1[[#This Row],[Date]]),"",DATE(Table1[[#This Row],[Date_Year]],Table1[[#This Row],[Date_Month]],1))</f>
        <v>44256</v>
      </c>
    </row>
    <row r="1116" spans="2:20" ht="15.75">
      <c r="B1116" s="154">
        <v>44282</v>
      </c>
      <c r="C1116" s="119" t="s">
        <v>2480</v>
      </c>
      <c r="D1116" s="119"/>
      <c r="E1116" s="119"/>
      <c r="F1116" s="155">
        <v>-22.94</v>
      </c>
      <c r="G1116" s="133" t="str">
        <f>_xlfn.XLOOKUP(Table1[[#This Row],[Account_ID]], Accounts[ID], Accounts[Account nickname], "Unknown")</f>
        <v>Discover</v>
      </c>
      <c r="H1116" s="134" t="str">
        <f>_xlfn.XLOOKUP(Table1[[#This Row],[Account_ID]], Accounts[ID], Accounts[Account'#], "Unknown")</f>
        <v>4618</v>
      </c>
      <c r="I1116" s="135" t="str">
        <f>_xlfn.XLOOKUP(_xlfn.XLOOKUP(Table1[[#This Row],[Account]],Accounts[Account nickname],Accounts[Institution ID]),Institutions[ID],Institutions[Institution nickname],"Unknown")</f>
        <v>Discover</v>
      </c>
      <c r="J1116" s="136" t="s">
        <v>2481</v>
      </c>
      <c r="K1116" s="137" t="s">
        <v>843</v>
      </c>
      <c r="L1116" s="137" t="s">
        <v>841</v>
      </c>
      <c r="M111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1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16" s="138" t="str" cm="1">
        <f t="array" ref="O1116">IFERROR(INDEX(CategoriesTable[Category type],MATCH(Table1[[#This Row],[Category]],CategoriesTable[Category name],0),0),"")</f>
        <v/>
      </c>
      <c r="P1116" s="138">
        <v>27</v>
      </c>
      <c r="Q1116" s="138">
        <f>MONTH(Table1[[#This Row],[Date]])</f>
        <v>3</v>
      </c>
      <c r="R1116" s="138">
        <v>2021</v>
      </c>
      <c r="S1116" s="139">
        <f>IF(ISBLANK(Table1[[#This Row],[Date]]),"",Table1[[#This Row],[Date]]-WEEKDAY(Table1[[#This Row],[Date]],2)+1)</f>
        <v>44277</v>
      </c>
      <c r="T1116" s="140">
        <f>IF(ISBLANK(Table1[[#This Row],[Date]]),"",DATE(Table1[[#This Row],[Date_Year]],Table1[[#This Row],[Date_Month]],1))</f>
        <v>44256</v>
      </c>
    </row>
    <row r="1117" spans="2:20" ht="15.75">
      <c r="B1117" s="154">
        <v>44282</v>
      </c>
      <c r="C1117" s="119" t="s">
        <v>704</v>
      </c>
      <c r="D1117" s="119"/>
      <c r="E1117" s="119"/>
      <c r="F1117" s="155">
        <v>-5</v>
      </c>
      <c r="G1117" s="133" t="str">
        <f>_xlfn.XLOOKUP(Table1[[#This Row],[Account_ID]], Accounts[ID], Accounts[Account nickname], "Unknown")</f>
        <v>Discover</v>
      </c>
      <c r="H1117" s="134" t="str">
        <f>_xlfn.XLOOKUP(Table1[[#This Row],[Account_ID]], Accounts[ID], Accounts[Account'#], "Unknown")</f>
        <v>4618</v>
      </c>
      <c r="I1117" s="135" t="str">
        <f>_xlfn.XLOOKUP(_xlfn.XLOOKUP(Table1[[#This Row],[Account]],Accounts[Account nickname],Accounts[Institution ID]),Institutions[ID],Institutions[Institution nickname],"Unknown")</f>
        <v>Discover</v>
      </c>
      <c r="J1117" s="136" t="s">
        <v>2486</v>
      </c>
      <c r="K1117" s="137" t="s">
        <v>843</v>
      </c>
      <c r="L1117" s="137" t="s">
        <v>841</v>
      </c>
      <c r="M111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1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17" s="138" t="str" cm="1">
        <f t="array" ref="O1117">IFERROR(INDEX(CategoriesTable[Category type],MATCH(Table1[[#This Row],[Category]],CategoriesTable[Category name],0),0),"")</f>
        <v/>
      </c>
      <c r="P1117" s="138">
        <v>27</v>
      </c>
      <c r="Q1117" s="138">
        <f>MONTH(Table1[[#This Row],[Date]])</f>
        <v>3</v>
      </c>
      <c r="R1117" s="138">
        <v>2021</v>
      </c>
      <c r="S1117" s="139">
        <f>IF(ISBLANK(Table1[[#This Row],[Date]]),"",Table1[[#This Row],[Date]]-WEEKDAY(Table1[[#This Row],[Date]],2)+1)</f>
        <v>44277</v>
      </c>
      <c r="T1117" s="140">
        <f>IF(ISBLANK(Table1[[#This Row],[Date]]),"",DATE(Table1[[#This Row],[Date_Year]],Table1[[#This Row],[Date_Month]],1))</f>
        <v>44256</v>
      </c>
    </row>
    <row r="1118" spans="2:20" ht="15.75">
      <c r="B1118" s="154">
        <v>44281</v>
      </c>
      <c r="C1118" s="119" t="s">
        <v>910</v>
      </c>
      <c r="D1118" s="119"/>
      <c r="E1118" s="119"/>
      <c r="F1118" s="155">
        <v>-14.99</v>
      </c>
      <c r="G1118" s="133" t="str">
        <f>_xlfn.XLOOKUP(Table1[[#This Row],[Account_ID]], Accounts[ID], Accounts[Account nickname], "Unknown")</f>
        <v>Discover</v>
      </c>
      <c r="H1118" s="134" t="str">
        <f>_xlfn.XLOOKUP(Table1[[#This Row],[Account_ID]], Accounts[ID], Accounts[Account'#], "Unknown")</f>
        <v>4618</v>
      </c>
      <c r="I1118" s="135" t="str">
        <f>_xlfn.XLOOKUP(_xlfn.XLOOKUP(Table1[[#This Row],[Account]],Accounts[Account nickname],Accounts[Institution ID]),Institutions[ID],Institutions[Institution nickname],"Unknown")</f>
        <v>Discover</v>
      </c>
      <c r="J1118" s="136" t="s">
        <v>2487</v>
      </c>
      <c r="K1118" s="137" t="s">
        <v>843</v>
      </c>
      <c r="L1118" s="137" t="s">
        <v>841</v>
      </c>
      <c r="M111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1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18" s="138" t="str" cm="1">
        <f t="array" ref="O1118">IFERROR(INDEX(CategoriesTable[Category type],MATCH(Table1[[#This Row],[Category]],CategoriesTable[Category name],0),0),"")</f>
        <v/>
      </c>
      <c r="P1118" s="138">
        <v>26</v>
      </c>
      <c r="Q1118" s="138">
        <f>MONTH(Table1[[#This Row],[Date]])</f>
        <v>3</v>
      </c>
      <c r="R1118" s="138">
        <v>2021</v>
      </c>
      <c r="S1118" s="139">
        <f>IF(ISBLANK(Table1[[#This Row],[Date]]),"",Table1[[#This Row],[Date]]-WEEKDAY(Table1[[#This Row],[Date]],2)+1)</f>
        <v>44277</v>
      </c>
      <c r="T1118" s="140">
        <f>IF(ISBLANK(Table1[[#This Row],[Date]]),"",DATE(Table1[[#This Row],[Date_Year]],Table1[[#This Row],[Date_Month]],1))</f>
        <v>44256</v>
      </c>
    </row>
    <row r="1119" spans="2:20" ht="15.75">
      <c r="B1119" s="154">
        <v>44281</v>
      </c>
      <c r="C1119" s="119" t="s">
        <v>2488</v>
      </c>
      <c r="D1119" s="119"/>
      <c r="E1119" s="119"/>
      <c r="F1119" s="155">
        <v>-141.59</v>
      </c>
      <c r="G1119" s="133" t="str">
        <f>_xlfn.XLOOKUP(Table1[[#This Row],[Account_ID]], Accounts[ID], Accounts[Account nickname], "Unknown")</f>
        <v>Discover</v>
      </c>
      <c r="H1119" s="134" t="str">
        <f>_xlfn.XLOOKUP(Table1[[#This Row],[Account_ID]], Accounts[ID], Accounts[Account'#], "Unknown")</f>
        <v>4618</v>
      </c>
      <c r="I1119" s="135" t="str">
        <f>_xlfn.XLOOKUP(_xlfn.XLOOKUP(Table1[[#This Row],[Account]],Accounts[Account nickname],Accounts[Institution ID]),Institutions[ID],Institutions[Institution nickname],"Unknown")</f>
        <v>Discover</v>
      </c>
      <c r="J1119" s="136" t="s">
        <v>2489</v>
      </c>
      <c r="K1119" s="137" t="s">
        <v>843</v>
      </c>
      <c r="L1119" s="137" t="s">
        <v>841</v>
      </c>
      <c r="M111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1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19" s="138" t="str" cm="1">
        <f t="array" ref="O1119">IFERROR(INDEX(CategoriesTable[Category type],MATCH(Table1[[#This Row],[Category]],CategoriesTable[Category name],0),0),"")</f>
        <v/>
      </c>
      <c r="P1119" s="138">
        <v>26</v>
      </c>
      <c r="Q1119" s="138">
        <f>MONTH(Table1[[#This Row],[Date]])</f>
        <v>3</v>
      </c>
      <c r="R1119" s="138">
        <v>2021</v>
      </c>
      <c r="S1119" s="139">
        <f>IF(ISBLANK(Table1[[#This Row],[Date]]),"",Table1[[#This Row],[Date]]-WEEKDAY(Table1[[#This Row],[Date]],2)+1)</f>
        <v>44277</v>
      </c>
      <c r="T1119" s="140">
        <f>IF(ISBLANK(Table1[[#This Row],[Date]]),"",DATE(Table1[[#This Row],[Date_Year]],Table1[[#This Row],[Date_Month]],1))</f>
        <v>44256</v>
      </c>
    </row>
    <row r="1120" spans="2:20" ht="15.75">
      <c r="B1120" s="154">
        <v>44281</v>
      </c>
      <c r="C1120" s="119" t="s">
        <v>751</v>
      </c>
      <c r="D1120" s="119"/>
      <c r="E1120" s="119"/>
      <c r="F1120" s="155">
        <v>1457.82</v>
      </c>
      <c r="G1120" s="133" t="str">
        <f>_xlfn.XLOOKUP(Table1[[#This Row],[Account_ID]], Accounts[ID], Accounts[Account nickname], "Unknown")</f>
        <v>WF</v>
      </c>
      <c r="H1120" s="134" t="str">
        <f>_xlfn.XLOOKUP(Table1[[#This Row],[Account_ID]], Accounts[ID], Accounts[Account'#], "Unknown")</f>
        <v>4636</v>
      </c>
      <c r="I1120" s="135" t="str">
        <f>_xlfn.XLOOKUP(_xlfn.XLOOKUP(Table1[[#This Row],[Account]],Accounts[Account nickname],Accounts[Institution ID]),Institutions[ID],Institutions[Institution nickname],"Unknown")</f>
        <v>Wells Fargo</v>
      </c>
      <c r="J1120" s="136" t="s">
        <v>1155</v>
      </c>
      <c r="K1120" s="137" t="s">
        <v>808</v>
      </c>
      <c r="L1120" s="137" t="s">
        <v>807</v>
      </c>
      <c r="M112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2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20" s="138" t="str" cm="1">
        <f t="array" ref="O1120">IFERROR(INDEX(CategoriesTable[Category type],MATCH(Table1[[#This Row],[Category]],CategoriesTable[Category name],0),0),"")</f>
        <v/>
      </c>
      <c r="P1120" s="138">
        <v>26</v>
      </c>
      <c r="Q1120" s="138">
        <f>MONTH(Table1[[#This Row],[Date]])</f>
        <v>3</v>
      </c>
      <c r="R1120" s="138">
        <v>2021</v>
      </c>
      <c r="S1120" s="139">
        <f>IF(ISBLANK(Table1[[#This Row],[Date]]),"",Table1[[#This Row],[Date]]-WEEKDAY(Table1[[#This Row],[Date]],2)+1)</f>
        <v>44277</v>
      </c>
      <c r="T1120" s="140">
        <f>IF(ISBLANK(Table1[[#This Row],[Date]]),"",DATE(Table1[[#This Row],[Date_Year]],Table1[[#This Row],[Date_Month]],1))</f>
        <v>44256</v>
      </c>
    </row>
    <row r="1121" spans="2:20" ht="15.75">
      <c r="B1121" s="154">
        <v>44281</v>
      </c>
      <c r="C1121" s="119" t="s">
        <v>2152</v>
      </c>
      <c r="D1121" s="119"/>
      <c r="E1121" s="119"/>
      <c r="F1121" s="155">
        <v>-2.75</v>
      </c>
      <c r="G1121" s="133" t="str">
        <f>_xlfn.XLOOKUP(Table1[[#This Row],[Account_ID]], Accounts[ID], Accounts[Account nickname], "Unknown")</f>
        <v>Discover</v>
      </c>
      <c r="H1121" s="134" t="str">
        <f>_xlfn.XLOOKUP(Table1[[#This Row],[Account_ID]], Accounts[ID], Accounts[Account'#], "Unknown")</f>
        <v>4618</v>
      </c>
      <c r="I1121" s="135" t="str">
        <f>_xlfn.XLOOKUP(_xlfn.XLOOKUP(Table1[[#This Row],[Account]],Accounts[Account nickname],Accounts[Institution ID]),Institutions[ID],Institutions[Institution nickname],"Unknown")</f>
        <v>Discover</v>
      </c>
      <c r="J1121" s="136" t="s">
        <v>2491</v>
      </c>
      <c r="K1121" s="137" t="s">
        <v>843</v>
      </c>
      <c r="L1121" s="137" t="s">
        <v>841</v>
      </c>
      <c r="M112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2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21" s="138" t="str" cm="1">
        <f t="array" ref="O1121">IFERROR(INDEX(CategoriesTable[Category type],MATCH(Table1[[#This Row],[Category]],CategoriesTable[Category name],0),0),"")</f>
        <v/>
      </c>
      <c r="P1121" s="138">
        <v>26</v>
      </c>
      <c r="Q1121" s="138">
        <f>MONTH(Table1[[#This Row],[Date]])</f>
        <v>3</v>
      </c>
      <c r="R1121" s="138">
        <v>2021</v>
      </c>
      <c r="S1121" s="139">
        <f>IF(ISBLANK(Table1[[#This Row],[Date]]),"",Table1[[#This Row],[Date]]-WEEKDAY(Table1[[#This Row],[Date]],2)+1)</f>
        <v>44277</v>
      </c>
      <c r="T1121" s="140">
        <f>IF(ISBLANK(Table1[[#This Row],[Date]]),"",DATE(Table1[[#This Row],[Date_Year]],Table1[[#This Row],[Date_Month]],1))</f>
        <v>44256</v>
      </c>
    </row>
    <row r="1122" spans="2:20" ht="15.75">
      <c r="B1122" s="154">
        <v>44281</v>
      </c>
      <c r="C1122" s="119" t="s">
        <v>845</v>
      </c>
      <c r="D1122" s="119"/>
      <c r="E1122" s="119"/>
      <c r="F1122" s="155">
        <v>264.60000000000002</v>
      </c>
      <c r="G1122" s="133" t="str">
        <f>_xlfn.XLOOKUP(Table1[[#This Row],[Account_ID]], Accounts[ID], Accounts[Account nickname], "Unknown")</f>
        <v>Discover</v>
      </c>
      <c r="H1122" s="134" t="str">
        <f>_xlfn.XLOOKUP(Table1[[#This Row],[Account_ID]], Accounts[ID], Accounts[Account'#], "Unknown")</f>
        <v>4618</v>
      </c>
      <c r="I1122" s="135" t="str">
        <f>_xlfn.XLOOKUP(_xlfn.XLOOKUP(Table1[[#This Row],[Account]],Accounts[Account nickname],Accounts[Institution ID]),Institutions[ID],Institutions[Institution nickname],"Unknown")</f>
        <v>Discover</v>
      </c>
      <c r="J1122" s="136" t="s">
        <v>2490</v>
      </c>
      <c r="K1122" s="137" t="s">
        <v>843</v>
      </c>
      <c r="L1122" s="137" t="s">
        <v>841</v>
      </c>
      <c r="M112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2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22" s="138" t="str" cm="1">
        <f t="array" ref="O1122">IFERROR(INDEX(CategoriesTable[Category type],MATCH(Table1[[#This Row],[Category]],CategoriesTable[Category name],0),0),"")</f>
        <v/>
      </c>
      <c r="P1122" s="138">
        <v>26</v>
      </c>
      <c r="Q1122" s="138">
        <f>MONTH(Table1[[#This Row],[Date]])</f>
        <v>3</v>
      </c>
      <c r="R1122" s="138">
        <v>2021</v>
      </c>
      <c r="S1122" s="139">
        <f>IF(ISBLANK(Table1[[#This Row],[Date]]),"",Table1[[#This Row],[Date]]-WEEKDAY(Table1[[#This Row],[Date]],2)+1)</f>
        <v>44277</v>
      </c>
      <c r="T1122" s="140">
        <f>IF(ISBLANK(Table1[[#This Row],[Date]]),"",DATE(Table1[[#This Row],[Date_Year]],Table1[[#This Row],[Date_Month]],1))</f>
        <v>44256</v>
      </c>
    </row>
    <row r="1123" spans="2:20" ht="15.75">
      <c r="B1123" s="154">
        <v>44281</v>
      </c>
      <c r="C1123" s="119" t="s">
        <v>686</v>
      </c>
      <c r="D1123" s="119"/>
      <c r="E1123" s="119"/>
      <c r="F1123" s="155">
        <v>-264.60000000000002</v>
      </c>
      <c r="G1123" s="133" t="str">
        <f>_xlfn.XLOOKUP(Table1[[#This Row],[Account_ID]], Accounts[ID], Accounts[Account nickname], "Unknown")</f>
        <v>WF</v>
      </c>
      <c r="H1123" s="134" t="str">
        <f>_xlfn.XLOOKUP(Table1[[#This Row],[Account_ID]], Accounts[ID], Accounts[Account'#], "Unknown")</f>
        <v>4636</v>
      </c>
      <c r="I1123" s="135" t="str">
        <f>_xlfn.XLOOKUP(_xlfn.XLOOKUP(Table1[[#This Row],[Account]],Accounts[Account nickname],Accounts[Institution ID]),Institutions[ID],Institutions[Institution nickname],"Unknown")</f>
        <v>Wells Fargo</v>
      </c>
      <c r="J1123" s="136" t="s">
        <v>1154</v>
      </c>
      <c r="K1123" s="137" t="s">
        <v>808</v>
      </c>
      <c r="L1123" s="137" t="s">
        <v>807</v>
      </c>
      <c r="M112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2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23" s="138" t="str" cm="1">
        <f t="array" ref="O1123">IFERROR(INDEX(CategoriesTable[Category type],MATCH(Table1[[#This Row],[Category]],CategoriesTable[Category name],0),0),"")</f>
        <v/>
      </c>
      <c r="P1123" s="138">
        <v>26</v>
      </c>
      <c r="Q1123" s="138">
        <f>MONTH(Table1[[#This Row],[Date]])</f>
        <v>3</v>
      </c>
      <c r="R1123" s="138">
        <v>2021</v>
      </c>
      <c r="S1123" s="139">
        <f>IF(ISBLANK(Table1[[#This Row],[Date]]),"",Table1[[#This Row],[Date]]-WEEKDAY(Table1[[#This Row],[Date]],2)+1)</f>
        <v>44277</v>
      </c>
      <c r="T1123" s="140">
        <f>IF(ISBLANK(Table1[[#This Row],[Date]]),"",DATE(Table1[[#This Row],[Date_Year]],Table1[[#This Row],[Date_Month]],1))</f>
        <v>44256</v>
      </c>
    </row>
    <row r="1124" spans="2:20" ht="15.75">
      <c r="B1124" s="154">
        <v>44281</v>
      </c>
      <c r="C1124" s="119" t="s">
        <v>2152</v>
      </c>
      <c r="D1124" s="119"/>
      <c r="E1124" s="119"/>
      <c r="F1124" s="155">
        <v>-2.75</v>
      </c>
      <c r="G1124" s="133" t="str">
        <f>_xlfn.XLOOKUP(Table1[[#This Row],[Account_ID]], Accounts[ID], Accounts[Account nickname], "Unknown")</f>
        <v>Discover</v>
      </c>
      <c r="H1124" s="134" t="str">
        <f>_xlfn.XLOOKUP(Table1[[#This Row],[Account_ID]], Accounts[ID], Accounts[Account'#], "Unknown")</f>
        <v>4618</v>
      </c>
      <c r="I1124" s="135" t="str">
        <f>_xlfn.XLOOKUP(_xlfn.XLOOKUP(Table1[[#This Row],[Account]],Accounts[Account nickname],Accounts[Institution ID]),Institutions[ID],Institutions[Institution nickname],"Unknown")</f>
        <v>Discover</v>
      </c>
      <c r="J1124" s="136" t="s">
        <v>2492</v>
      </c>
      <c r="K1124" s="137" t="s">
        <v>843</v>
      </c>
      <c r="L1124" s="137" t="s">
        <v>841</v>
      </c>
      <c r="M112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2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24" s="138" t="str" cm="1">
        <f t="array" ref="O1124">IFERROR(INDEX(CategoriesTable[Category type],MATCH(Table1[[#This Row],[Category]],CategoriesTable[Category name],0),0),"")</f>
        <v/>
      </c>
      <c r="P1124" s="138">
        <v>26</v>
      </c>
      <c r="Q1124" s="138">
        <f>MONTH(Table1[[#This Row],[Date]])</f>
        <v>3</v>
      </c>
      <c r="R1124" s="138">
        <v>2021</v>
      </c>
      <c r="S1124" s="139">
        <f>IF(ISBLANK(Table1[[#This Row],[Date]]),"",Table1[[#This Row],[Date]]-WEEKDAY(Table1[[#This Row],[Date]],2)+1)</f>
        <v>44277</v>
      </c>
      <c r="T1124" s="140">
        <f>IF(ISBLANK(Table1[[#This Row],[Date]]),"",DATE(Table1[[#This Row],[Date_Year]],Table1[[#This Row],[Date_Month]],1))</f>
        <v>44256</v>
      </c>
    </row>
    <row r="1125" spans="2:20" ht="15.75">
      <c r="B1125" s="154">
        <v>44280</v>
      </c>
      <c r="C1125" s="119" t="s">
        <v>2480</v>
      </c>
      <c r="D1125" s="119"/>
      <c r="E1125" s="119"/>
      <c r="F1125" s="155">
        <v>-16.940000000000001</v>
      </c>
      <c r="G1125" s="133" t="str">
        <f>_xlfn.XLOOKUP(Table1[[#This Row],[Account_ID]], Accounts[ID], Accounts[Account nickname], "Unknown")</f>
        <v>Discover</v>
      </c>
      <c r="H1125" s="134" t="str">
        <f>_xlfn.XLOOKUP(Table1[[#This Row],[Account_ID]], Accounts[ID], Accounts[Account'#], "Unknown")</f>
        <v>4618</v>
      </c>
      <c r="I1125" s="135" t="str">
        <f>_xlfn.XLOOKUP(_xlfn.XLOOKUP(Table1[[#This Row],[Account]],Accounts[Account nickname],Accounts[Institution ID]),Institutions[ID],Institutions[Institution nickname],"Unknown")</f>
        <v>Discover</v>
      </c>
      <c r="J1125" s="136" t="s">
        <v>2493</v>
      </c>
      <c r="K1125" s="137" t="s">
        <v>843</v>
      </c>
      <c r="L1125" s="137" t="s">
        <v>841</v>
      </c>
      <c r="M112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2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25" s="138" t="str" cm="1">
        <f t="array" ref="O1125">IFERROR(INDEX(CategoriesTable[Category type],MATCH(Table1[[#This Row],[Category]],CategoriesTable[Category name],0),0),"")</f>
        <v/>
      </c>
      <c r="P1125" s="138">
        <v>25</v>
      </c>
      <c r="Q1125" s="138">
        <f>MONTH(Table1[[#This Row],[Date]])</f>
        <v>3</v>
      </c>
      <c r="R1125" s="138">
        <v>2021</v>
      </c>
      <c r="S1125" s="139">
        <f>IF(ISBLANK(Table1[[#This Row],[Date]]),"",Table1[[#This Row],[Date]]-WEEKDAY(Table1[[#This Row],[Date]],2)+1)</f>
        <v>44277</v>
      </c>
      <c r="T1125" s="140">
        <f>IF(ISBLANK(Table1[[#This Row],[Date]]),"",DATE(Table1[[#This Row],[Date_Year]],Table1[[#This Row],[Date_Month]],1))</f>
        <v>44256</v>
      </c>
    </row>
    <row r="1126" spans="2:20" ht="15.75">
      <c r="B1126" s="154">
        <v>44280</v>
      </c>
      <c r="C1126" s="119" t="s">
        <v>715</v>
      </c>
      <c r="D1126" s="119"/>
      <c r="E1126" s="119"/>
      <c r="F1126" s="155">
        <v>-16.690000000000001</v>
      </c>
      <c r="G1126" s="133" t="str">
        <f>_xlfn.XLOOKUP(Table1[[#This Row],[Account_ID]], Accounts[ID], Accounts[Account nickname], "Unknown")</f>
        <v>Discover</v>
      </c>
      <c r="H1126" s="134" t="str">
        <f>_xlfn.XLOOKUP(Table1[[#This Row],[Account_ID]], Accounts[ID], Accounts[Account'#], "Unknown")</f>
        <v>4618</v>
      </c>
      <c r="I1126" s="135" t="str">
        <f>_xlfn.XLOOKUP(_xlfn.XLOOKUP(Table1[[#This Row],[Account]],Accounts[Account nickname],Accounts[Institution ID]),Institutions[ID],Institutions[Institution nickname],"Unknown")</f>
        <v>Discover</v>
      </c>
      <c r="J1126" s="136" t="s">
        <v>2494</v>
      </c>
      <c r="K1126" s="137" t="s">
        <v>843</v>
      </c>
      <c r="L1126" s="137" t="s">
        <v>841</v>
      </c>
      <c r="M112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2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26" s="138" t="str" cm="1">
        <f t="array" ref="O1126">IFERROR(INDEX(CategoriesTable[Category type],MATCH(Table1[[#This Row],[Category]],CategoriesTable[Category name],0),0),"")</f>
        <v/>
      </c>
      <c r="P1126" s="138">
        <v>25</v>
      </c>
      <c r="Q1126" s="138">
        <f>MONTH(Table1[[#This Row],[Date]])</f>
        <v>3</v>
      </c>
      <c r="R1126" s="138">
        <v>2021</v>
      </c>
      <c r="S1126" s="139">
        <f>IF(ISBLANK(Table1[[#This Row],[Date]]),"",Table1[[#This Row],[Date]]-WEEKDAY(Table1[[#This Row],[Date]],2)+1)</f>
        <v>44277</v>
      </c>
      <c r="T1126" s="140">
        <f>IF(ISBLANK(Table1[[#This Row],[Date]]),"",DATE(Table1[[#This Row],[Date_Year]],Table1[[#This Row],[Date_Month]],1))</f>
        <v>44256</v>
      </c>
    </row>
    <row r="1127" spans="2:20" ht="15.75">
      <c r="B1127" s="154">
        <v>44280</v>
      </c>
      <c r="C1127" s="119" t="s">
        <v>2495</v>
      </c>
      <c r="D1127" s="119"/>
      <c r="E1127" s="119"/>
      <c r="F1127" s="155">
        <v>-120</v>
      </c>
      <c r="G1127" s="133" t="str">
        <f>_xlfn.XLOOKUP(Table1[[#This Row],[Account_ID]], Accounts[ID], Accounts[Account nickname], "Unknown")</f>
        <v>Discover</v>
      </c>
      <c r="H1127" s="134" t="str">
        <f>_xlfn.XLOOKUP(Table1[[#This Row],[Account_ID]], Accounts[ID], Accounts[Account'#], "Unknown")</f>
        <v>4618</v>
      </c>
      <c r="I1127" s="135" t="str">
        <f>_xlfn.XLOOKUP(_xlfn.XLOOKUP(Table1[[#This Row],[Account]],Accounts[Account nickname],Accounts[Institution ID]),Institutions[ID],Institutions[Institution nickname],"Unknown")</f>
        <v>Discover</v>
      </c>
      <c r="J1127" s="136" t="s">
        <v>2496</v>
      </c>
      <c r="K1127" s="137" t="s">
        <v>843</v>
      </c>
      <c r="L1127" s="137" t="s">
        <v>841</v>
      </c>
      <c r="M112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2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27" s="138" t="str" cm="1">
        <f t="array" ref="O1127">IFERROR(INDEX(CategoriesTable[Category type],MATCH(Table1[[#This Row],[Category]],CategoriesTable[Category name],0),0),"")</f>
        <v/>
      </c>
      <c r="P1127" s="138">
        <v>25</v>
      </c>
      <c r="Q1127" s="138">
        <f>MONTH(Table1[[#This Row],[Date]])</f>
        <v>3</v>
      </c>
      <c r="R1127" s="138">
        <v>2021</v>
      </c>
      <c r="S1127" s="139">
        <f>IF(ISBLANK(Table1[[#This Row],[Date]]),"",Table1[[#This Row],[Date]]-WEEKDAY(Table1[[#This Row],[Date]],2)+1)</f>
        <v>44277</v>
      </c>
      <c r="T1127" s="140">
        <f>IF(ISBLANK(Table1[[#This Row],[Date]]),"",DATE(Table1[[#This Row],[Date_Year]],Table1[[#This Row],[Date_Month]],1))</f>
        <v>44256</v>
      </c>
    </row>
    <row r="1128" spans="2:20" ht="15.75">
      <c r="B1128" s="154">
        <v>44278</v>
      </c>
      <c r="C1128" s="119" t="s">
        <v>678</v>
      </c>
      <c r="D1128" s="119"/>
      <c r="E1128" s="119"/>
      <c r="F1128" s="155">
        <v>-40</v>
      </c>
      <c r="G1128" s="133" t="str">
        <f>_xlfn.XLOOKUP(Table1[[#This Row],[Account_ID]], Accounts[ID], Accounts[Account nickname], "Unknown")</f>
        <v>WF</v>
      </c>
      <c r="H1128" s="134" t="str">
        <f>_xlfn.XLOOKUP(Table1[[#This Row],[Account_ID]], Accounts[ID], Accounts[Account'#], "Unknown")</f>
        <v>4636</v>
      </c>
      <c r="I1128" s="135" t="str">
        <f>_xlfn.XLOOKUP(_xlfn.XLOOKUP(Table1[[#This Row],[Account]],Accounts[Account nickname],Accounts[Institution ID]),Institutions[ID],Institutions[Institution nickname],"Unknown")</f>
        <v>Wells Fargo</v>
      </c>
      <c r="J1128" s="136" t="s">
        <v>1157</v>
      </c>
      <c r="K1128" s="137" t="s">
        <v>808</v>
      </c>
      <c r="L1128" s="137" t="s">
        <v>807</v>
      </c>
      <c r="M112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2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28" s="138" t="str" cm="1">
        <f t="array" ref="O1128">IFERROR(INDEX(CategoriesTable[Category type],MATCH(Table1[[#This Row],[Category]],CategoriesTable[Category name],0),0),"")</f>
        <v/>
      </c>
      <c r="P1128" s="138">
        <v>23</v>
      </c>
      <c r="Q1128" s="138">
        <f>MONTH(Table1[[#This Row],[Date]])</f>
        <v>3</v>
      </c>
      <c r="R1128" s="138">
        <v>2021</v>
      </c>
      <c r="S1128" s="139">
        <f>IF(ISBLANK(Table1[[#This Row],[Date]]),"",Table1[[#This Row],[Date]]-WEEKDAY(Table1[[#This Row],[Date]],2)+1)</f>
        <v>44277</v>
      </c>
      <c r="T1128" s="140">
        <f>IF(ISBLANK(Table1[[#This Row],[Date]]),"",DATE(Table1[[#This Row],[Date_Year]],Table1[[#This Row],[Date_Month]],1))</f>
        <v>44256</v>
      </c>
    </row>
    <row r="1129" spans="2:20" ht="15.75">
      <c r="B1129" s="154">
        <v>44278</v>
      </c>
      <c r="C1129" s="119" t="s">
        <v>2152</v>
      </c>
      <c r="D1129" s="119"/>
      <c r="E1129" s="119"/>
      <c r="F1129" s="155">
        <v>-2.75</v>
      </c>
      <c r="G1129" s="133" t="str">
        <f>_xlfn.XLOOKUP(Table1[[#This Row],[Account_ID]], Accounts[ID], Accounts[Account nickname], "Unknown")</f>
        <v>Discover</v>
      </c>
      <c r="H1129" s="134" t="str">
        <f>_xlfn.XLOOKUP(Table1[[#This Row],[Account_ID]], Accounts[ID], Accounts[Account'#], "Unknown")</f>
        <v>4618</v>
      </c>
      <c r="I1129" s="135" t="str">
        <f>_xlfn.XLOOKUP(_xlfn.XLOOKUP(Table1[[#This Row],[Account]],Accounts[Account nickname],Accounts[Institution ID]),Institutions[ID],Institutions[Institution nickname],"Unknown")</f>
        <v>Discover</v>
      </c>
      <c r="J1129" s="136" t="s">
        <v>2497</v>
      </c>
      <c r="K1129" s="137" t="s">
        <v>843</v>
      </c>
      <c r="L1129" s="137" t="s">
        <v>841</v>
      </c>
      <c r="M112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2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29" s="138" t="str" cm="1">
        <f t="array" ref="O1129">IFERROR(INDEX(CategoriesTable[Category type],MATCH(Table1[[#This Row],[Category]],CategoriesTable[Category name],0),0),"")</f>
        <v/>
      </c>
      <c r="P1129" s="138">
        <v>23</v>
      </c>
      <c r="Q1129" s="138">
        <f>MONTH(Table1[[#This Row],[Date]])</f>
        <v>3</v>
      </c>
      <c r="R1129" s="138">
        <v>2021</v>
      </c>
      <c r="S1129" s="139">
        <f>IF(ISBLANK(Table1[[#This Row],[Date]]),"",Table1[[#This Row],[Date]]-WEEKDAY(Table1[[#This Row],[Date]],2)+1)</f>
        <v>44277</v>
      </c>
      <c r="T1129" s="140">
        <f>IF(ISBLANK(Table1[[#This Row],[Date]]),"",DATE(Table1[[#This Row],[Date_Year]],Table1[[#This Row],[Date_Month]],1))</f>
        <v>44256</v>
      </c>
    </row>
    <row r="1130" spans="2:20" ht="15.75">
      <c r="B1130" s="154">
        <v>44278</v>
      </c>
      <c r="C1130" s="119" t="s">
        <v>2498</v>
      </c>
      <c r="D1130" s="119"/>
      <c r="E1130" s="119"/>
      <c r="F1130" s="155">
        <v>-14.1</v>
      </c>
      <c r="G1130" s="133" t="str">
        <f>_xlfn.XLOOKUP(Table1[[#This Row],[Account_ID]], Accounts[ID], Accounts[Account nickname], "Unknown")</f>
        <v>Discover</v>
      </c>
      <c r="H1130" s="134" t="str">
        <f>_xlfn.XLOOKUP(Table1[[#This Row],[Account_ID]], Accounts[ID], Accounts[Account'#], "Unknown")</f>
        <v>4618</v>
      </c>
      <c r="I1130" s="135" t="str">
        <f>_xlfn.XLOOKUP(_xlfn.XLOOKUP(Table1[[#This Row],[Account]],Accounts[Account nickname],Accounts[Institution ID]),Institutions[ID],Institutions[Institution nickname],"Unknown")</f>
        <v>Discover</v>
      </c>
      <c r="J1130" s="136" t="s">
        <v>2499</v>
      </c>
      <c r="K1130" s="137" t="s">
        <v>843</v>
      </c>
      <c r="L1130" s="137" t="s">
        <v>841</v>
      </c>
      <c r="M113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3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30" s="138" t="str" cm="1">
        <f t="array" ref="O1130">IFERROR(INDEX(CategoriesTable[Category type],MATCH(Table1[[#This Row],[Category]],CategoriesTable[Category name],0),0),"")</f>
        <v/>
      </c>
      <c r="P1130" s="138">
        <v>23</v>
      </c>
      <c r="Q1130" s="138">
        <f>MONTH(Table1[[#This Row],[Date]])</f>
        <v>3</v>
      </c>
      <c r="R1130" s="138">
        <v>2021</v>
      </c>
      <c r="S1130" s="139">
        <f>IF(ISBLANK(Table1[[#This Row],[Date]]),"",Table1[[#This Row],[Date]]-WEEKDAY(Table1[[#This Row],[Date]],2)+1)</f>
        <v>44277</v>
      </c>
      <c r="T1130" s="140">
        <f>IF(ISBLANK(Table1[[#This Row],[Date]]),"",DATE(Table1[[#This Row],[Date_Year]],Table1[[#This Row],[Date_Month]],1))</f>
        <v>44256</v>
      </c>
    </row>
    <row r="1131" spans="2:20" ht="15.75">
      <c r="B1131" s="154">
        <v>44278</v>
      </c>
      <c r="C1131" s="119" t="s">
        <v>678</v>
      </c>
      <c r="D1131" s="119"/>
      <c r="E1131" s="119"/>
      <c r="F1131" s="155">
        <v>-59</v>
      </c>
      <c r="G1131" s="133" t="str">
        <f>_xlfn.XLOOKUP(Table1[[#This Row],[Account_ID]], Accounts[ID], Accounts[Account nickname], "Unknown")</f>
        <v>WF</v>
      </c>
      <c r="H1131" s="134" t="str">
        <f>_xlfn.XLOOKUP(Table1[[#This Row],[Account_ID]], Accounts[ID], Accounts[Account'#], "Unknown")</f>
        <v>4636</v>
      </c>
      <c r="I1131" s="135" t="str">
        <f>_xlfn.XLOOKUP(_xlfn.XLOOKUP(Table1[[#This Row],[Account]],Accounts[Account nickname],Accounts[Institution ID]),Institutions[ID],Institutions[Institution nickname],"Unknown")</f>
        <v>Wells Fargo</v>
      </c>
      <c r="J1131" s="136" t="s">
        <v>1158</v>
      </c>
      <c r="K1131" s="137" t="s">
        <v>808</v>
      </c>
      <c r="L1131" s="137" t="s">
        <v>807</v>
      </c>
      <c r="M113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3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31" s="138" t="str" cm="1">
        <f t="array" ref="O1131">IFERROR(INDEX(CategoriesTable[Category type],MATCH(Table1[[#This Row],[Category]],CategoriesTable[Category name],0),0),"")</f>
        <v/>
      </c>
      <c r="P1131" s="138">
        <v>23</v>
      </c>
      <c r="Q1131" s="138">
        <f>MONTH(Table1[[#This Row],[Date]])</f>
        <v>3</v>
      </c>
      <c r="R1131" s="138">
        <v>2021</v>
      </c>
      <c r="S1131" s="139">
        <f>IF(ISBLANK(Table1[[#This Row],[Date]]),"",Table1[[#This Row],[Date]]-WEEKDAY(Table1[[#This Row],[Date]],2)+1)</f>
        <v>44277</v>
      </c>
      <c r="T1131" s="140">
        <f>IF(ISBLANK(Table1[[#This Row],[Date]]),"",DATE(Table1[[#This Row],[Date_Year]],Table1[[#This Row],[Date_Month]],1))</f>
        <v>44256</v>
      </c>
    </row>
    <row r="1132" spans="2:20" ht="15.75">
      <c r="B1132" s="154">
        <v>44278</v>
      </c>
      <c r="C1132" s="119" t="s">
        <v>678</v>
      </c>
      <c r="D1132" s="119"/>
      <c r="E1132" s="119"/>
      <c r="F1132" s="155">
        <v>-8.33</v>
      </c>
      <c r="G1132" s="133" t="str">
        <f>_xlfn.XLOOKUP(Table1[[#This Row],[Account_ID]], Accounts[ID], Accounts[Account nickname], "Unknown")</f>
        <v>WF</v>
      </c>
      <c r="H1132" s="134" t="str">
        <f>_xlfn.XLOOKUP(Table1[[#This Row],[Account_ID]], Accounts[ID], Accounts[Account'#], "Unknown")</f>
        <v>4636</v>
      </c>
      <c r="I1132" s="135" t="str">
        <f>_xlfn.XLOOKUP(_xlfn.XLOOKUP(Table1[[#This Row],[Account]],Accounts[Account nickname],Accounts[Institution ID]),Institutions[ID],Institutions[Institution nickname],"Unknown")</f>
        <v>Wells Fargo</v>
      </c>
      <c r="J1132" s="136" t="s">
        <v>1156</v>
      </c>
      <c r="K1132" s="137" t="s">
        <v>808</v>
      </c>
      <c r="L1132" s="137" t="s">
        <v>807</v>
      </c>
      <c r="M113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3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32" s="138" t="str" cm="1">
        <f t="array" ref="O1132">IFERROR(INDEX(CategoriesTable[Category type],MATCH(Table1[[#This Row],[Category]],CategoriesTable[Category name],0),0),"")</f>
        <v/>
      </c>
      <c r="P1132" s="138">
        <v>23</v>
      </c>
      <c r="Q1132" s="138">
        <f>MONTH(Table1[[#This Row],[Date]])</f>
        <v>3</v>
      </c>
      <c r="R1132" s="138">
        <v>2021</v>
      </c>
      <c r="S1132" s="139">
        <f>IF(ISBLANK(Table1[[#This Row],[Date]]),"",Table1[[#This Row],[Date]]-WEEKDAY(Table1[[#This Row],[Date]],2)+1)</f>
        <v>44277</v>
      </c>
      <c r="T1132" s="140">
        <f>IF(ISBLANK(Table1[[#This Row],[Date]]),"",DATE(Table1[[#This Row],[Date_Year]],Table1[[#This Row],[Date_Month]],1))</f>
        <v>44256</v>
      </c>
    </row>
    <row r="1133" spans="2:20" ht="15.75">
      <c r="B1133" s="154">
        <v>44276</v>
      </c>
      <c r="C1133" s="119" t="s">
        <v>1436</v>
      </c>
      <c r="D1133" s="119"/>
      <c r="E1133" s="119"/>
      <c r="F1133" s="155">
        <v>-7.99</v>
      </c>
      <c r="G1133" s="133" t="str">
        <f>_xlfn.XLOOKUP(Table1[[#This Row],[Account_ID]], Accounts[ID], Accounts[Account nickname], "Unknown")</f>
        <v>Discover</v>
      </c>
      <c r="H1133" s="134" t="str">
        <f>_xlfn.XLOOKUP(Table1[[#This Row],[Account_ID]], Accounts[ID], Accounts[Account'#], "Unknown")</f>
        <v>4618</v>
      </c>
      <c r="I1133" s="135" t="str">
        <f>_xlfn.XLOOKUP(_xlfn.XLOOKUP(Table1[[#This Row],[Account]],Accounts[Account nickname],Accounts[Institution ID]),Institutions[ID],Institutions[Institution nickname],"Unknown")</f>
        <v>Discover</v>
      </c>
      <c r="J1133" s="136" t="s">
        <v>2504</v>
      </c>
      <c r="K1133" s="137" t="s">
        <v>843</v>
      </c>
      <c r="L1133" s="137" t="s">
        <v>841</v>
      </c>
      <c r="M113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3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33" s="138" t="str" cm="1">
        <f t="array" ref="O1133">IFERROR(INDEX(CategoriesTable[Category type],MATCH(Table1[[#This Row],[Category]],CategoriesTable[Category name],0),0),"")</f>
        <v/>
      </c>
      <c r="P1133" s="138">
        <v>21</v>
      </c>
      <c r="Q1133" s="138">
        <f>MONTH(Table1[[#This Row],[Date]])</f>
        <v>3</v>
      </c>
      <c r="R1133" s="138">
        <v>2021</v>
      </c>
      <c r="S1133" s="139">
        <f>IF(ISBLANK(Table1[[#This Row],[Date]]),"",Table1[[#This Row],[Date]]-WEEKDAY(Table1[[#This Row],[Date]],2)+1)</f>
        <v>44270</v>
      </c>
      <c r="T1133" s="140">
        <f>IF(ISBLANK(Table1[[#This Row],[Date]]),"",DATE(Table1[[#This Row],[Date_Year]],Table1[[#This Row],[Date_Month]],1))</f>
        <v>44256</v>
      </c>
    </row>
    <row r="1134" spans="2:20" ht="15.75">
      <c r="B1134" s="154">
        <v>44276</v>
      </c>
      <c r="C1134" s="119" t="s">
        <v>2480</v>
      </c>
      <c r="D1134" s="119"/>
      <c r="E1134" s="119"/>
      <c r="F1134" s="155">
        <v>-27.76</v>
      </c>
      <c r="G1134" s="133" t="str">
        <f>_xlfn.XLOOKUP(Table1[[#This Row],[Account_ID]], Accounts[ID], Accounts[Account nickname], "Unknown")</f>
        <v>Discover</v>
      </c>
      <c r="H1134" s="134" t="str">
        <f>_xlfn.XLOOKUP(Table1[[#This Row],[Account_ID]], Accounts[ID], Accounts[Account'#], "Unknown")</f>
        <v>4618</v>
      </c>
      <c r="I1134" s="135" t="str">
        <f>_xlfn.XLOOKUP(_xlfn.XLOOKUP(Table1[[#This Row],[Account]],Accounts[Account nickname],Accounts[Institution ID]),Institutions[ID],Institutions[Institution nickname],"Unknown")</f>
        <v>Discover</v>
      </c>
      <c r="J1134" s="136" t="s">
        <v>2500</v>
      </c>
      <c r="K1134" s="137" t="s">
        <v>843</v>
      </c>
      <c r="L1134" s="137" t="s">
        <v>841</v>
      </c>
      <c r="M113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3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34" s="138" t="str" cm="1">
        <f t="array" ref="O1134">IFERROR(INDEX(CategoriesTable[Category type],MATCH(Table1[[#This Row],[Category]],CategoriesTable[Category name],0),0),"")</f>
        <v/>
      </c>
      <c r="P1134" s="138">
        <v>21</v>
      </c>
      <c r="Q1134" s="138">
        <f>MONTH(Table1[[#This Row],[Date]])</f>
        <v>3</v>
      </c>
      <c r="R1134" s="138">
        <v>2021</v>
      </c>
      <c r="S1134" s="139">
        <f>IF(ISBLANK(Table1[[#This Row],[Date]]),"",Table1[[#This Row],[Date]]-WEEKDAY(Table1[[#This Row],[Date]],2)+1)</f>
        <v>44270</v>
      </c>
      <c r="T1134" s="140">
        <f>IF(ISBLANK(Table1[[#This Row],[Date]]),"",DATE(Table1[[#This Row],[Date_Year]],Table1[[#This Row],[Date_Month]],1))</f>
        <v>44256</v>
      </c>
    </row>
    <row r="1135" spans="2:20" ht="15.75">
      <c r="B1135" s="154">
        <v>44276</v>
      </c>
      <c r="C1135" s="119" t="s">
        <v>2417</v>
      </c>
      <c r="D1135" s="119"/>
      <c r="E1135" s="119"/>
      <c r="F1135" s="155">
        <v>-9.9499999999999993</v>
      </c>
      <c r="G1135" s="133" t="str">
        <f>_xlfn.XLOOKUP(Table1[[#This Row],[Account_ID]], Accounts[ID], Accounts[Account nickname], "Unknown")</f>
        <v>Discover</v>
      </c>
      <c r="H1135" s="134" t="str">
        <f>_xlfn.XLOOKUP(Table1[[#This Row],[Account_ID]], Accounts[ID], Accounts[Account'#], "Unknown")</f>
        <v>4618</v>
      </c>
      <c r="I1135" s="135" t="str">
        <f>_xlfn.XLOOKUP(_xlfn.XLOOKUP(Table1[[#This Row],[Account]],Accounts[Account nickname],Accounts[Institution ID]),Institutions[ID],Institutions[Institution nickname],"Unknown")</f>
        <v>Discover</v>
      </c>
      <c r="J1135" s="152" t="s">
        <v>2503</v>
      </c>
      <c r="K1135" s="137" t="s">
        <v>843</v>
      </c>
      <c r="L1135" s="137" t="s">
        <v>841</v>
      </c>
      <c r="M113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3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35" s="138" t="str" cm="1">
        <f t="array" ref="O1135">IFERROR(INDEX(CategoriesTable[Category type],MATCH(Table1[[#This Row],[Category]],CategoriesTable[Category name],0),0),"")</f>
        <v/>
      </c>
      <c r="P1135" s="138">
        <v>21</v>
      </c>
      <c r="Q1135" s="138">
        <f>MONTH(Table1[[#This Row],[Date]])</f>
        <v>3</v>
      </c>
      <c r="R1135" s="138">
        <v>2021</v>
      </c>
      <c r="S1135" s="139">
        <f>IF(ISBLANK(Table1[[#This Row],[Date]]),"",Table1[[#This Row],[Date]]-WEEKDAY(Table1[[#This Row],[Date]],2)+1)</f>
        <v>44270</v>
      </c>
      <c r="T1135" s="140">
        <f>IF(ISBLANK(Table1[[#This Row],[Date]]),"",DATE(Table1[[#This Row],[Date_Year]],Table1[[#This Row],[Date_Month]],1))</f>
        <v>44256</v>
      </c>
    </row>
    <row r="1136" spans="2:20" ht="15.75">
      <c r="B1136" s="154">
        <v>44276</v>
      </c>
      <c r="C1136" s="119" t="s">
        <v>2501</v>
      </c>
      <c r="D1136" s="119"/>
      <c r="E1136" s="119"/>
      <c r="F1136" s="155">
        <v>-64.989999999999995</v>
      </c>
      <c r="G1136" s="133" t="str">
        <f>_xlfn.XLOOKUP(Table1[[#This Row],[Account_ID]], Accounts[ID], Accounts[Account nickname], "Unknown")</f>
        <v>Discover</v>
      </c>
      <c r="H1136" s="134" t="str">
        <f>_xlfn.XLOOKUP(Table1[[#This Row],[Account_ID]], Accounts[ID], Accounts[Account'#], "Unknown")</f>
        <v>4618</v>
      </c>
      <c r="I1136" s="135" t="str">
        <f>_xlfn.XLOOKUP(_xlfn.XLOOKUP(Table1[[#This Row],[Account]],Accounts[Account nickname],Accounts[Institution ID]),Institutions[ID],Institutions[Institution nickname],"Unknown")</f>
        <v>Discover</v>
      </c>
      <c r="J1136" s="136" t="s">
        <v>2502</v>
      </c>
      <c r="K1136" s="137" t="s">
        <v>843</v>
      </c>
      <c r="L1136" s="137" t="s">
        <v>841</v>
      </c>
      <c r="M113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3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36" s="138" t="str" cm="1">
        <f t="array" ref="O1136">IFERROR(INDEX(CategoriesTable[Category type],MATCH(Table1[[#This Row],[Category]],CategoriesTable[Category name],0),0),"")</f>
        <v/>
      </c>
      <c r="P1136" s="138">
        <v>21</v>
      </c>
      <c r="Q1136" s="138">
        <f>MONTH(Table1[[#This Row],[Date]])</f>
        <v>3</v>
      </c>
      <c r="R1136" s="138">
        <v>2021</v>
      </c>
      <c r="S1136" s="139">
        <f>IF(ISBLANK(Table1[[#This Row],[Date]]),"",Table1[[#This Row],[Date]]-WEEKDAY(Table1[[#This Row],[Date]],2)+1)</f>
        <v>44270</v>
      </c>
      <c r="T1136" s="140">
        <f>IF(ISBLANK(Table1[[#This Row],[Date]]),"",DATE(Table1[[#This Row],[Date_Year]],Table1[[#This Row],[Date_Month]],1))</f>
        <v>44256</v>
      </c>
    </row>
    <row r="1137" spans="2:20" ht="15.75">
      <c r="B1137" s="154">
        <v>44275</v>
      </c>
      <c r="C1137" s="119" t="s">
        <v>2152</v>
      </c>
      <c r="D1137" s="119"/>
      <c r="E1137" s="119"/>
      <c r="F1137" s="155">
        <v>-2.75</v>
      </c>
      <c r="G1137" s="133" t="str">
        <f>_xlfn.XLOOKUP(Table1[[#This Row],[Account_ID]], Accounts[ID], Accounts[Account nickname], "Unknown")</f>
        <v>Discover</v>
      </c>
      <c r="H1137" s="134" t="str">
        <f>_xlfn.XLOOKUP(Table1[[#This Row],[Account_ID]], Accounts[ID], Accounts[Account'#], "Unknown")</f>
        <v>4618</v>
      </c>
      <c r="I1137" s="135" t="str">
        <f>_xlfn.XLOOKUP(_xlfn.XLOOKUP(Table1[[#This Row],[Account]],Accounts[Account nickname],Accounts[Institution ID]),Institutions[ID],Institutions[Institution nickname],"Unknown")</f>
        <v>Discover</v>
      </c>
      <c r="J1137" s="136" t="s">
        <v>2506</v>
      </c>
      <c r="K1137" s="137" t="s">
        <v>843</v>
      </c>
      <c r="L1137" s="137" t="s">
        <v>841</v>
      </c>
      <c r="M113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3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37" s="138" t="str" cm="1">
        <f t="array" ref="O1137">IFERROR(INDEX(CategoriesTable[Category type],MATCH(Table1[[#This Row],[Category]],CategoriesTable[Category name],0),0),"")</f>
        <v/>
      </c>
      <c r="P1137" s="138">
        <v>20</v>
      </c>
      <c r="Q1137" s="138">
        <f>MONTH(Table1[[#This Row],[Date]])</f>
        <v>3</v>
      </c>
      <c r="R1137" s="138">
        <v>2021</v>
      </c>
      <c r="S1137" s="139">
        <f>IF(ISBLANK(Table1[[#This Row],[Date]]),"",Table1[[#This Row],[Date]]-WEEKDAY(Table1[[#This Row],[Date]],2)+1)</f>
        <v>44270</v>
      </c>
      <c r="T1137" s="140">
        <f>IF(ISBLANK(Table1[[#This Row],[Date]]),"",DATE(Table1[[#This Row],[Date_Year]],Table1[[#This Row],[Date_Month]],1))</f>
        <v>44256</v>
      </c>
    </row>
    <row r="1138" spans="2:20" ht="15.75">
      <c r="B1138" s="154">
        <v>44275</v>
      </c>
      <c r="C1138" s="119" t="s">
        <v>2152</v>
      </c>
      <c r="D1138" s="119"/>
      <c r="E1138" s="119"/>
      <c r="F1138" s="155">
        <v>-2.75</v>
      </c>
      <c r="G1138" s="133" t="str">
        <f>_xlfn.XLOOKUP(Table1[[#This Row],[Account_ID]], Accounts[ID], Accounts[Account nickname], "Unknown")</f>
        <v>Discover</v>
      </c>
      <c r="H1138" s="134" t="str">
        <f>_xlfn.XLOOKUP(Table1[[#This Row],[Account_ID]], Accounts[ID], Accounts[Account'#], "Unknown")</f>
        <v>4618</v>
      </c>
      <c r="I1138" s="135" t="str">
        <f>_xlfn.XLOOKUP(_xlfn.XLOOKUP(Table1[[#This Row],[Account]],Accounts[Account nickname],Accounts[Institution ID]),Institutions[ID],Institutions[Institution nickname],"Unknown")</f>
        <v>Discover</v>
      </c>
      <c r="J1138" s="136" t="s">
        <v>2507</v>
      </c>
      <c r="K1138" s="137" t="s">
        <v>843</v>
      </c>
      <c r="L1138" s="137" t="s">
        <v>841</v>
      </c>
      <c r="M113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3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38" s="138" t="str" cm="1">
        <f t="array" ref="O1138">IFERROR(INDEX(CategoriesTable[Category type],MATCH(Table1[[#This Row],[Category]],CategoriesTable[Category name],0),0),"")</f>
        <v/>
      </c>
      <c r="P1138" s="138">
        <v>20</v>
      </c>
      <c r="Q1138" s="138">
        <f>MONTH(Table1[[#This Row],[Date]])</f>
        <v>3</v>
      </c>
      <c r="R1138" s="138">
        <v>2021</v>
      </c>
      <c r="S1138" s="139">
        <f>IF(ISBLANK(Table1[[#This Row],[Date]]),"",Table1[[#This Row],[Date]]-WEEKDAY(Table1[[#This Row],[Date]],2)+1)</f>
        <v>44270</v>
      </c>
      <c r="T1138" s="140">
        <f>IF(ISBLANK(Table1[[#This Row],[Date]]),"",DATE(Table1[[#This Row],[Date_Year]],Table1[[#This Row],[Date_Month]],1))</f>
        <v>44256</v>
      </c>
    </row>
    <row r="1139" spans="2:20" ht="15.75">
      <c r="B1139" s="154">
        <v>44275</v>
      </c>
      <c r="C1139" s="119" t="s">
        <v>2422</v>
      </c>
      <c r="D1139" s="119"/>
      <c r="E1139" s="119"/>
      <c r="F1139" s="155">
        <v>-6.99</v>
      </c>
      <c r="G1139" s="133" t="str">
        <f>_xlfn.XLOOKUP(Table1[[#This Row],[Account_ID]], Accounts[ID], Accounts[Account nickname], "Unknown")</f>
        <v>Discover</v>
      </c>
      <c r="H1139" s="134" t="str">
        <f>_xlfn.XLOOKUP(Table1[[#This Row],[Account_ID]], Accounts[ID], Accounts[Account'#], "Unknown")</f>
        <v>4618</v>
      </c>
      <c r="I1139" s="135" t="str">
        <f>_xlfn.XLOOKUP(_xlfn.XLOOKUP(Table1[[#This Row],[Account]],Accounts[Account nickname],Accounts[Institution ID]),Institutions[ID],Institutions[Institution nickname],"Unknown")</f>
        <v>Discover</v>
      </c>
      <c r="J1139" s="136" t="s">
        <v>2509</v>
      </c>
      <c r="K1139" s="137" t="s">
        <v>843</v>
      </c>
      <c r="L1139" s="137" t="s">
        <v>841</v>
      </c>
      <c r="M113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3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39" s="138" t="str" cm="1">
        <f t="array" ref="O1139">IFERROR(INDEX(CategoriesTable[Category type],MATCH(Table1[[#This Row],[Category]],CategoriesTable[Category name],0),0),"")</f>
        <v/>
      </c>
      <c r="P1139" s="138">
        <v>20</v>
      </c>
      <c r="Q1139" s="138">
        <f>MONTH(Table1[[#This Row],[Date]])</f>
        <v>3</v>
      </c>
      <c r="R1139" s="138">
        <v>2021</v>
      </c>
      <c r="S1139" s="139">
        <f>IF(ISBLANK(Table1[[#This Row],[Date]]),"",Table1[[#This Row],[Date]]-WEEKDAY(Table1[[#This Row],[Date]],2)+1)</f>
        <v>44270</v>
      </c>
      <c r="T1139" s="140">
        <f>IF(ISBLANK(Table1[[#This Row],[Date]]),"",DATE(Table1[[#This Row],[Date_Year]],Table1[[#This Row],[Date_Month]],1))</f>
        <v>44256</v>
      </c>
    </row>
    <row r="1140" spans="2:20" ht="15.75">
      <c r="B1140" s="154">
        <v>44275</v>
      </c>
      <c r="C1140" s="119" t="s">
        <v>2152</v>
      </c>
      <c r="D1140" s="119"/>
      <c r="E1140" s="119"/>
      <c r="F1140" s="155">
        <v>-2.75</v>
      </c>
      <c r="G1140" s="133" t="str">
        <f>_xlfn.XLOOKUP(Table1[[#This Row],[Account_ID]], Accounts[ID], Accounts[Account nickname], "Unknown")</f>
        <v>Discover</v>
      </c>
      <c r="H1140" s="134" t="str">
        <f>_xlfn.XLOOKUP(Table1[[#This Row],[Account_ID]], Accounts[ID], Accounts[Account'#], "Unknown")</f>
        <v>4618</v>
      </c>
      <c r="I1140" s="135" t="str">
        <f>_xlfn.XLOOKUP(_xlfn.XLOOKUP(Table1[[#This Row],[Account]],Accounts[Account nickname],Accounts[Institution ID]),Institutions[ID],Institutions[Institution nickname],"Unknown")</f>
        <v>Discover</v>
      </c>
      <c r="J1140" s="136" t="s">
        <v>2508</v>
      </c>
      <c r="K1140" s="137" t="s">
        <v>843</v>
      </c>
      <c r="L1140" s="137" t="s">
        <v>841</v>
      </c>
      <c r="M114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4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40" s="138" t="str" cm="1">
        <f t="array" ref="O1140">IFERROR(INDEX(CategoriesTable[Category type],MATCH(Table1[[#This Row],[Category]],CategoriesTable[Category name],0),0),"")</f>
        <v/>
      </c>
      <c r="P1140" s="138">
        <v>20</v>
      </c>
      <c r="Q1140" s="138">
        <f>MONTH(Table1[[#This Row],[Date]])</f>
        <v>3</v>
      </c>
      <c r="R1140" s="138">
        <v>2021</v>
      </c>
      <c r="S1140" s="139">
        <f>IF(ISBLANK(Table1[[#This Row],[Date]]),"",Table1[[#This Row],[Date]]-WEEKDAY(Table1[[#This Row],[Date]],2)+1)</f>
        <v>44270</v>
      </c>
      <c r="T1140" s="140">
        <f>IF(ISBLANK(Table1[[#This Row],[Date]]),"",DATE(Table1[[#This Row],[Date_Year]],Table1[[#This Row],[Date_Month]],1))</f>
        <v>44256</v>
      </c>
    </row>
    <row r="1141" spans="2:20" ht="15.75">
      <c r="B1141" s="154">
        <v>44275</v>
      </c>
      <c r="C1141" s="119" t="s">
        <v>783</v>
      </c>
      <c r="D1141" s="119"/>
      <c r="E1141" s="119"/>
      <c r="F1141" s="155">
        <v>-10.5</v>
      </c>
      <c r="G1141" s="133" t="str">
        <f>_xlfn.XLOOKUP(Table1[[#This Row],[Account_ID]], Accounts[ID], Accounts[Account nickname], "Unknown")</f>
        <v>Discover</v>
      </c>
      <c r="H1141" s="134" t="str">
        <f>_xlfn.XLOOKUP(Table1[[#This Row],[Account_ID]], Accounts[ID], Accounts[Account'#], "Unknown")</f>
        <v>4618</v>
      </c>
      <c r="I1141" s="135" t="str">
        <f>_xlfn.XLOOKUP(_xlfn.XLOOKUP(Table1[[#This Row],[Account]],Accounts[Account nickname],Accounts[Institution ID]),Institutions[ID],Institutions[Institution nickname],"Unknown")</f>
        <v>Discover</v>
      </c>
      <c r="J1141" s="136" t="s">
        <v>2505</v>
      </c>
      <c r="K1141" s="137" t="s">
        <v>843</v>
      </c>
      <c r="L1141" s="137" t="s">
        <v>841</v>
      </c>
      <c r="M114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4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41" s="138" t="str" cm="1">
        <f t="array" ref="O1141">IFERROR(INDEX(CategoriesTable[Category type],MATCH(Table1[[#This Row],[Category]],CategoriesTable[Category name],0),0),"")</f>
        <v/>
      </c>
      <c r="P1141" s="138">
        <v>20</v>
      </c>
      <c r="Q1141" s="138">
        <f>MONTH(Table1[[#This Row],[Date]])</f>
        <v>3</v>
      </c>
      <c r="R1141" s="138">
        <v>2021</v>
      </c>
      <c r="S1141" s="139">
        <f>IF(ISBLANK(Table1[[#This Row],[Date]]),"",Table1[[#This Row],[Date]]-WEEKDAY(Table1[[#This Row],[Date]],2)+1)</f>
        <v>44270</v>
      </c>
      <c r="T1141" s="140">
        <f>IF(ISBLANK(Table1[[#This Row],[Date]]),"",DATE(Table1[[#This Row],[Date_Year]],Table1[[#This Row],[Date_Month]],1))</f>
        <v>44256</v>
      </c>
    </row>
    <row r="1142" spans="2:20" ht="15.75">
      <c r="B1142" s="154">
        <v>44274</v>
      </c>
      <c r="C1142" s="119" t="s">
        <v>845</v>
      </c>
      <c r="D1142" s="119"/>
      <c r="E1142" s="119"/>
      <c r="F1142" s="155">
        <v>50.34</v>
      </c>
      <c r="G1142" s="133" t="str">
        <f>_xlfn.XLOOKUP(Table1[[#This Row],[Account_ID]], Accounts[ID], Accounts[Account nickname], "Unknown")</f>
        <v>Discover</v>
      </c>
      <c r="H1142" s="134" t="str">
        <f>_xlfn.XLOOKUP(Table1[[#This Row],[Account_ID]], Accounts[ID], Accounts[Account'#], "Unknown")</f>
        <v>4618</v>
      </c>
      <c r="I1142" s="135" t="str">
        <f>_xlfn.XLOOKUP(_xlfn.XLOOKUP(Table1[[#This Row],[Account]],Accounts[Account nickname],Accounts[Institution ID]),Institutions[ID],Institutions[Institution nickname],"Unknown")</f>
        <v>Discover</v>
      </c>
      <c r="J1142" s="136" t="s">
        <v>2510</v>
      </c>
      <c r="K1142" s="137" t="s">
        <v>843</v>
      </c>
      <c r="L1142" s="137" t="s">
        <v>841</v>
      </c>
      <c r="M114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4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42" s="138" t="str" cm="1">
        <f t="array" ref="O1142">IFERROR(INDEX(CategoriesTable[Category type],MATCH(Table1[[#This Row],[Category]],CategoriesTable[Category name],0),0),"")</f>
        <v/>
      </c>
      <c r="P1142" s="138">
        <v>19</v>
      </c>
      <c r="Q1142" s="138">
        <f>MONTH(Table1[[#This Row],[Date]])</f>
        <v>3</v>
      </c>
      <c r="R1142" s="138">
        <v>2021</v>
      </c>
      <c r="S1142" s="139">
        <f>IF(ISBLANK(Table1[[#This Row],[Date]]),"",Table1[[#This Row],[Date]]-WEEKDAY(Table1[[#This Row],[Date]],2)+1)</f>
        <v>44270</v>
      </c>
      <c r="T1142" s="140">
        <f>IF(ISBLANK(Table1[[#This Row],[Date]]),"",DATE(Table1[[#This Row],[Date_Year]],Table1[[#This Row],[Date_Month]],1))</f>
        <v>44256</v>
      </c>
    </row>
    <row r="1143" spans="2:20" ht="15.75">
      <c r="B1143" s="154">
        <v>44274</v>
      </c>
      <c r="C1143" s="119" t="s">
        <v>686</v>
      </c>
      <c r="D1143" s="119"/>
      <c r="E1143" s="119"/>
      <c r="F1143" s="155">
        <v>-50.34</v>
      </c>
      <c r="G1143" s="133" t="str">
        <f>_xlfn.XLOOKUP(Table1[[#This Row],[Account_ID]], Accounts[ID], Accounts[Account nickname], "Unknown")</f>
        <v>WF</v>
      </c>
      <c r="H1143" s="134" t="str">
        <f>_xlfn.XLOOKUP(Table1[[#This Row],[Account_ID]], Accounts[ID], Accounts[Account'#], "Unknown")</f>
        <v>4636</v>
      </c>
      <c r="I1143" s="135" t="str">
        <f>_xlfn.XLOOKUP(_xlfn.XLOOKUP(Table1[[#This Row],[Account]],Accounts[Account nickname],Accounts[Institution ID]),Institutions[ID],Institutions[Institution nickname],"Unknown")</f>
        <v>Wells Fargo</v>
      </c>
      <c r="J1143" s="136" t="s">
        <v>1159</v>
      </c>
      <c r="K1143" s="137" t="s">
        <v>808</v>
      </c>
      <c r="L1143" s="137" t="s">
        <v>807</v>
      </c>
      <c r="M114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4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43" s="138" t="str" cm="1">
        <f t="array" ref="O1143">IFERROR(INDEX(CategoriesTable[Category type],MATCH(Table1[[#This Row],[Category]],CategoriesTable[Category name],0),0),"")</f>
        <v/>
      </c>
      <c r="P1143" s="138">
        <v>19</v>
      </c>
      <c r="Q1143" s="138">
        <f>MONTH(Table1[[#This Row],[Date]])</f>
        <v>3</v>
      </c>
      <c r="R1143" s="138">
        <v>2021</v>
      </c>
      <c r="S1143" s="139">
        <f>IF(ISBLANK(Table1[[#This Row],[Date]]),"",Table1[[#This Row],[Date]]-WEEKDAY(Table1[[#This Row],[Date]],2)+1)</f>
        <v>44270</v>
      </c>
      <c r="T1143" s="140">
        <f>IF(ISBLANK(Table1[[#This Row],[Date]]),"",DATE(Table1[[#This Row],[Date_Year]],Table1[[#This Row],[Date_Month]],1))</f>
        <v>44256</v>
      </c>
    </row>
    <row r="1144" spans="2:20" ht="15.75">
      <c r="B1144" s="154">
        <v>44274</v>
      </c>
      <c r="C1144" s="119" t="s">
        <v>2511</v>
      </c>
      <c r="D1144" s="119"/>
      <c r="E1144" s="119"/>
      <c r="F1144" s="155">
        <v>-24.75</v>
      </c>
      <c r="G1144" s="133" t="str">
        <f>_xlfn.XLOOKUP(Table1[[#This Row],[Account_ID]], Accounts[ID], Accounts[Account nickname], "Unknown")</f>
        <v>Discover</v>
      </c>
      <c r="H1144" s="134" t="str">
        <f>_xlfn.XLOOKUP(Table1[[#This Row],[Account_ID]], Accounts[ID], Accounts[Account'#], "Unknown")</f>
        <v>4618</v>
      </c>
      <c r="I1144" s="135" t="str">
        <f>_xlfn.XLOOKUP(_xlfn.XLOOKUP(Table1[[#This Row],[Account]],Accounts[Account nickname],Accounts[Institution ID]),Institutions[ID],Institutions[Institution nickname],"Unknown")</f>
        <v>Discover</v>
      </c>
      <c r="J1144" s="136" t="s">
        <v>2512</v>
      </c>
      <c r="K1144" s="137" t="s">
        <v>843</v>
      </c>
      <c r="L1144" s="137" t="s">
        <v>841</v>
      </c>
      <c r="M114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4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44" s="138" t="str" cm="1">
        <f t="array" ref="O1144">IFERROR(INDEX(CategoriesTable[Category type],MATCH(Table1[[#This Row],[Category]],CategoriesTable[Category name],0),0),"")</f>
        <v/>
      </c>
      <c r="P1144" s="138">
        <v>19</v>
      </c>
      <c r="Q1144" s="138">
        <f>MONTH(Table1[[#This Row],[Date]])</f>
        <v>3</v>
      </c>
      <c r="R1144" s="138">
        <v>2021</v>
      </c>
      <c r="S1144" s="139">
        <f>IF(ISBLANK(Table1[[#This Row],[Date]]),"",Table1[[#This Row],[Date]]-WEEKDAY(Table1[[#This Row],[Date]],2)+1)</f>
        <v>44270</v>
      </c>
      <c r="T1144" s="140">
        <f>IF(ISBLANK(Table1[[#This Row],[Date]]),"",DATE(Table1[[#This Row],[Date_Year]],Table1[[#This Row],[Date_Month]],1))</f>
        <v>44256</v>
      </c>
    </row>
    <row r="1145" spans="2:20" ht="15.75">
      <c r="B1145" s="154">
        <v>44274</v>
      </c>
      <c r="C1145" s="119" t="s">
        <v>2381</v>
      </c>
      <c r="D1145" s="119"/>
      <c r="E1145" s="119"/>
      <c r="F1145" s="155">
        <v>-86.57</v>
      </c>
      <c r="G1145" s="133" t="str">
        <f>_xlfn.XLOOKUP(Table1[[#This Row],[Account_ID]], Accounts[ID], Accounts[Account nickname], "Unknown")</f>
        <v>Discover</v>
      </c>
      <c r="H1145" s="134" t="str">
        <f>_xlfn.XLOOKUP(Table1[[#This Row],[Account_ID]], Accounts[ID], Accounts[Account'#], "Unknown")</f>
        <v>4618</v>
      </c>
      <c r="I1145" s="135" t="str">
        <f>_xlfn.XLOOKUP(_xlfn.XLOOKUP(Table1[[#This Row],[Account]],Accounts[Account nickname],Accounts[Institution ID]),Institutions[ID],Institutions[Institution nickname],"Unknown")</f>
        <v>Discover</v>
      </c>
      <c r="J1145" s="136" t="s">
        <v>2513</v>
      </c>
      <c r="K1145" s="137" t="s">
        <v>843</v>
      </c>
      <c r="L1145" s="137" t="s">
        <v>841</v>
      </c>
      <c r="M114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4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45" s="138" t="str" cm="1">
        <f t="array" ref="O1145">IFERROR(INDEX(CategoriesTable[Category type],MATCH(Table1[[#This Row],[Category]],CategoriesTable[Category name],0),0),"")</f>
        <v/>
      </c>
      <c r="P1145" s="138">
        <v>19</v>
      </c>
      <c r="Q1145" s="138">
        <f>MONTH(Table1[[#This Row],[Date]])</f>
        <v>3</v>
      </c>
      <c r="R1145" s="138">
        <v>2021</v>
      </c>
      <c r="S1145" s="139">
        <f>IF(ISBLANK(Table1[[#This Row],[Date]]),"",Table1[[#This Row],[Date]]-WEEKDAY(Table1[[#This Row],[Date]],2)+1)</f>
        <v>44270</v>
      </c>
      <c r="T1145" s="140">
        <f>IF(ISBLANK(Table1[[#This Row],[Date]]),"",DATE(Table1[[#This Row],[Date_Year]],Table1[[#This Row],[Date_Month]],1))</f>
        <v>44256</v>
      </c>
    </row>
    <row r="1146" spans="2:20" ht="15.75">
      <c r="B1146" s="154">
        <v>44272</v>
      </c>
      <c r="C1146" s="119" t="s">
        <v>961</v>
      </c>
      <c r="D1146" s="119"/>
      <c r="E1146" s="119"/>
      <c r="F1146" s="155">
        <v>14.05</v>
      </c>
      <c r="G1146" s="133" t="str">
        <f>_xlfn.XLOOKUP(Table1[[#This Row],[Account_ID]], Accounts[ID], Accounts[Account nickname], "Unknown")</f>
        <v>Discover</v>
      </c>
      <c r="H1146" s="134" t="str">
        <f>_xlfn.XLOOKUP(Table1[[#This Row],[Account_ID]], Accounts[ID], Accounts[Account'#], "Unknown")</f>
        <v>4618</v>
      </c>
      <c r="I1146" s="135" t="str">
        <f>_xlfn.XLOOKUP(_xlfn.XLOOKUP(Table1[[#This Row],[Account]],Accounts[Account nickname],Accounts[Institution ID]),Institutions[ID],Institutions[Institution nickname],"Unknown")</f>
        <v>Discover</v>
      </c>
      <c r="J1146" s="136" t="s">
        <v>2514</v>
      </c>
      <c r="K1146" s="137" t="s">
        <v>843</v>
      </c>
      <c r="L1146" s="137" t="s">
        <v>841</v>
      </c>
      <c r="M114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4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46" s="138" t="str" cm="1">
        <f t="array" ref="O1146">IFERROR(INDEX(CategoriesTable[Category type],MATCH(Table1[[#This Row],[Category]],CategoriesTable[Category name],0),0),"")</f>
        <v/>
      </c>
      <c r="P1146" s="138">
        <v>17</v>
      </c>
      <c r="Q1146" s="138">
        <f>MONTH(Table1[[#This Row],[Date]])</f>
        <v>3</v>
      </c>
      <c r="R1146" s="138">
        <v>2021</v>
      </c>
      <c r="S1146" s="139">
        <f>IF(ISBLANK(Table1[[#This Row],[Date]]),"",Table1[[#This Row],[Date]]-WEEKDAY(Table1[[#This Row],[Date]],2)+1)</f>
        <v>44270</v>
      </c>
      <c r="T1146" s="140">
        <f>IF(ISBLANK(Table1[[#This Row],[Date]]),"",DATE(Table1[[#This Row],[Date_Year]],Table1[[#This Row],[Date_Month]],1))</f>
        <v>44256</v>
      </c>
    </row>
    <row r="1147" spans="2:20" ht="15.75">
      <c r="B1147" s="154">
        <v>44272</v>
      </c>
      <c r="C1147" s="119" t="s">
        <v>722</v>
      </c>
      <c r="D1147" s="119"/>
      <c r="E1147" s="119"/>
      <c r="F1147" s="155">
        <v>1000</v>
      </c>
      <c r="G1147" s="133" t="str">
        <f>_xlfn.XLOOKUP(Table1[[#This Row],[Account_ID]], Accounts[ID], Accounts[Account nickname], "Unknown")</f>
        <v>WF</v>
      </c>
      <c r="H1147" s="134" t="str">
        <f>_xlfn.XLOOKUP(Table1[[#This Row],[Account_ID]], Accounts[ID], Accounts[Account'#], "Unknown")</f>
        <v>4636</v>
      </c>
      <c r="I1147" s="135" t="str">
        <f>_xlfn.XLOOKUP(_xlfn.XLOOKUP(Table1[[#This Row],[Account]],Accounts[Account nickname],Accounts[Institution ID]),Institutions[ID],Institutions[Institution nickname],"Unknown")</f>
        <v>Wells Fargo</v>
      </c>
      <c r="J1147" s="136" t="s">
        <v>1162</v>
      </c>
      <c r="K1147" s="137" t="s">
        <v>808</v>
      </c>
      <c r="L1147" s="137" t="s">
        <v>807</v>
      </c>
      <c r="M114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4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47" s="138" t="str" cm="1">
        <f t="array" ref="O1147">IFERROR(INDEX(CategoriesTable[Category type],MATCH(Table1[[#This Row],[Category]],CategoriesTable[Category name],0),0),"")</f>
        <v/>
      </c>
      <c r="P1147" s="138">
        <v>17</v>
      </c>
      <c r="Q1147" s="138">
        <f>MONTH(Table1[[#This Row],[Date]])</f>
        <v>3</v>
      </c>
      <c r="R1147" s="138">
        <v>2021</v>
      </c>
      <c r="S1147" s="139">
        <f>IF(ISBLANK(Table1[[#This Row],[Date]]),"",Table1[[#This Row],[Date]]-WEEKDAY(Table1[[#This Row],[Date]],2)+1)</f>
        <v>44270</v>
      </c>
      <c r="T1147" s="140">
        <f>IF(ISBLANK(Table1[[#This Row],[Date]]),"",DATE(Table1[[#This Row],[Date_Year]],Table1[[#This Row],[Date_Month]],1))</f>
        <v>44256</v>
      </c>
    </row>
    <row r="1148" spans="2:20" ht="15.75">
      <c r="B1148" s="154">
        <v>44272</v>
      </c>
      <c r="C1148" s="119" t="s">
        <v>678</v>
      </c>
      <c r="D1148" s="119"/>
      <c r="E1148" s="119"/>
      <c r="F1148" s="155">
        <v>-700</v>
      </c>
      <c r="G1148" s="133" t="str">
        <f>_xlfn.XLOOKUP(Table1[[#This Row],[Account_ID]], Accounts[ID], Accounts[Account nickname], "Unknown")</f>
        <v>WF</v>
      </c>
      <c r="H1148" s="134" t="str">
        <f>_xlfn.XLOOKUP(Table1[[#This Row],[Account_ID]], Accounts[ID], Accounts[Account'#], "Unknown")</f>
        <v>4636</v>
      </c>
      <c r="I1148" s="135" t="str">
        <f>_xlfn.XLOOKUP(_xlfn.XLOOKUP(Table1[[#This Row],[Account]],Accounts[Account nickname],Accounts[Institution ID]),Institutions[ID],Institutions[Institution nickname],"Unknown")</f>
        <v>Wells Fargo</v>
      </c>
      <c r="J1148" s="136" t="s">
        <v>1165</v>
      </c>
      <c r="K1148" s="137" t="s">
        <v>808</v>
      </c>
      <c r="L1148" s="137" t="s">
        <v>807</v>
      </c>
      <c r="M114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4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48" s="138" t="str" cm="1">
        <f t="array" ref="O1148">IFERROR(INDEX(CategoriesTable[Category type],MATCH(Table1[[#This Row],[Category]],CategoriesTable[Category name],0),0),"")</f>
        <v/>
      </c>
      <c r="P1148" s="138">
        <v>17</v>
      </c>
      <c r="Q1148" s="138">
        <f>MONTH(Table1[[#This Row],[Date]])</f>
        <v>3</v>
      </c>
      <c r="R1148" s="138">
        <v>2021</v>
      </c>
      <c r="S1148" s="139">
        <f>IF(ISBLANK(Table1[[#This Row],[Date]]),"",Table1[[#This Row],[Date]]-WEEKDAY(Table1[[#This Row],[Date]],2)+1)</f>
        <v>44270</v>
      </c>
      <c r="T1148" s="140">
        <f>IF(ISBLANK(Table1[[#This Row],[Date]]),"",DATE(Table1[[#This Row],[Date_Year]],Table1[[#This Row],[Date_Month]],1))</f>
        <v>44256</v>
      </c>
    </row>
    <row r="1149" spans="2:20" ht="15.75">
      <c r="B1149" s="154">
        <v>44272</v>
      </c>
      <c r="C1149" s="119" t="s">
        <v>761</v>
      </c>
      <c r="D1149" s="119"/>
      <c r="E1149" s="119"/>
      <c r="F1149" s="155">
        <v>2800</v>
      </c>
      <c r="G1149" s="133" t="str">
        <f>_xlfn.XLOOKUP(Table1[[#This Row],[Account_ID]], Accounts[ID], Accounts[Account nickname], "Unknown")</f>
        <v>WF</v>
      </c>
      <c r="H1149" s="134" t="str">
        <f>_xlfn.XLOOKUP(Table1[[#This Row],[Account_ID]], Accounts[ID], Accounts[Account'#], "Unknown")</f>
        <v>4636</v>
      </c>
      <c r="I1149" s="135" t="str">
        <f>_xlfn.XLOOKUP(_xlfn.XLOOKUP(Table1[[#This Row],[Account]],Accounts[Account nickname],Accounts[Institution ID]),Institutions[ID],Institutions[Institution nickname],"Unknown")</f>
        <v>Wells Fargo</v>
      </c>
      <c r="J1149" s="136" t="s">
        <v>1161</v>
      </c>
      <c r="K1149" s="137" t="s">
        <v>808</v>
      </c>
      <c r="L1149" s="137" t="s">
        <v>807</v>
      </c>
      <c r="M114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4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49" s="138" t="str" cm="1">
        <f t="array" ref="O1149">IFERROR(INDEX(CategoriesTable[Category type],MATCH(Table1[[#This Row],[Category]],CategoriesTable[Category name],0),0),"")</f>
        <v/>
      </c>
      <c r="P1149" s="138">
        <v>17</v>
      </c>
      <c r="Q1149" s="138">
        <f>MONTH(Table1[[#This Row],[Date]])</f>
        <v>3</v>
      </c>
      <c r="R1149" s="138">
        <v>2021</v>
      </c>
      <c r="S1149" s="139">
        <f>IF(ISBLANK(Table1[[#This Row],[Date]]),"",Table1[[#This Row],[Date]]-WEEKDAY(Table1[[#This Row],[Date]],2)+1)</f>
        <v>44270</v>
      </c>
      <c r="T1149" s="140">
        <f>IF(ISBLANK(Table1[[#This Row],[Date]]),"",DATE(Table1[[#This Row],[Date_Year]],Table1[[#This Row],[Date_Month]],1))</f>
        <v>44256</v>
      </c>
    </row>
    <row r="1150" spans="2:20" ht="15.75">
      <c r="B1150" s="154">
        <v>44272</v>
      </c>
      <c r="C1150" s="119" t="s">
        <v>678</v>
      </c>
      <c r="D1150" s="119"/>
      <c r="E1150" s="119"/>
      <c r="F1150" s="155">
        <v>-39.700000000000003</v>
      </c>
      <c r="G1150" s="133" t="str">
        <f>_xlfn.XLOOKUP(Table1[[#This Row],[Account_ID]], Accounts[ID], Accounts[Account nickname], "Unknown")</f>
        <v>WF</v>
      </c>
      <c r="H1150" s="134" t="str">
        <f>_xlfn.XLOOKUP(Table1[[#This Row],[Account_ID]], Accounts[ID], Accounts[Account'#], "Unknown")</f>
        <v>4636</v>
      </c>
      <c r="I1150" s="135" t="str">
        <f>_xlfn.XLOOKUP(_xlfn.XLOOKUP(Table1[[#This Row],[Account]],Accounts[Account nickname],Accounts[Institution ID]),Institutions[ID],Institutions[Institution nickname],"Unknown")</f>
        <v>Wells Fargo</v>
      </c>
      <c r="J1150" s="136" t="s">
        <v>1164</v>
      </c>
      <c r="K1150" s="137" t="s">
        <v>808</v>
      </c>
      <c r="L1150" s="137" t="s">
        <v>807</v>
      </c>
      <c r="M115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5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50" s="138" t="str" cm="1">
        <f t="array" ref="O1150">IFERROR(INDEX(CategoriesTable[Category type],MATCH(Table1[[#This Row],[Category]],CategoriesTable[Category name],0),0),"")</f>
        <v/>
      </c>
      <c r="P1150" s="138">
        <v>17</v>
      </c>
      <c r="Q1150" s="138">
        <f>MONTH(Table1[[#This Row],[Date]])</f>
        <v>3</v>
      </c>
      <c r="R1150" s="138">
        <v>2021</v>
      </c>
      <c r="S1150" s="139">
        <f>IF(ISBLANK(Table1[[#This Row],[Date]]),"",Table1[[#This Row],[Date]]-WEEKDAY(Table1[[#This Row],[Date]],2)+1)</f>
        <v>44270</v>
      </c>
      <c r="T1150" s="140">
        <f>IF(ISBLANK(Table1[[#This Row],[Date]]),"",DATE(Table1[[#This Row],[Date_Year]],Table1[[#This Row],[Date_Month]],1))</f>
        <v>44256</v>
      </c>
    </row>
    <row r="1151" spans="2:20" ht="15.75">
      <c r="B1151" s="154">
        <v>44272</v>
      </c>
      <c r="C1151" s="119" t="s">
        <v>686</v>
      </c>
      <c r="D1151" s="119"/>
      <c r="E1151" s="119"/>
      <c r="F1151" s="155">
        <v>-471.27</v>
      </c>
      <c r="G1151" s="133" t="str">
        <f>_xlfn.XLOOKUP(Table1[[#This Row],[Account_ID]], Accounts[ID], Accounts[Account nickname], "Unknown")</f>
        <v>WF</v>
      </c>
      <c r="H1151" s="134" t="str">
        <f>_xlfn.XLOOKUP(Table1[[#This Row],[Account_ID]], Accounts[ID], Accounts[Account'#], "Unknown")</f>
        <v>4636</v>
      </c>
      <c r="I1151" s="135" t="str">
        <f>_xlfn.XLOOKUP(_xlfn.XLOOKUP(Table1[[#This Row],[Account]],Accounts[Account nickname],Accounts[Institution ID]),Institutions[ID],Institutions[Institution nickname],"Unknown")</f>
        <v>Wells Fargo</v>
      </c>
      <c r="J1151" s="136" t="s">
        <v>1160</v>
      </c>
      <c r="K1151" s="137" t="s">
        <v>808</v>
      </c>
      <c r="L1151" s="137" t="s">
        <v>807</v>
      </c>
      <c r="M115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5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51" s="138" t="str" cm="1">
        <f t="array" ref="O1151">IFERROR(INDEX(CategoriesTable[Category type],MATCH(Table1[[#This Row],[Category]],CategoriesTable[Category name],0),0),"")</f>
        <v/>
      </c>
      <c r="P1151" s="138">
        <v>17</v>
      </c>
      <c r="Q1151" s="138">
        <f>MONTH(Table1[[#This Row],[Date]])</f>
        <v>3</v>
      </c>
      <c r="R1151" s="138">
        <v>2021</v>
      </c>
      <c r="S1151" s="139">
        <f>IF(ISBLANK(Table1[[#This Row],[Date]]),"",Table1[[#This Row],[Date]]-WEEKDAY(Table1[[#This Row],[Date]],2)+1)</f>
        <v>44270</v>
      </c>
      <c r="T1151" s="140">
        <f>IF(ISBLANK(Table1[[#This Row],[Date]]),"",DATE(Table1[[#This Row],[Date_Year]],Table1[[#This Row],[Date_Month]],1))</f>
        <v>44256</v>
      </c>
    </row>
    <row r="1152" spans="2:20" ht="15.75">
      <c r="B1152" s="154">
        <v>44272</v>
      </c>
      <c r="C1152" s="119" t="s">
        <v>729</v>
      </c>
      <c r="D1152" s="119"/>
      <c r="E1152" s="119"/>
      <c r="F1152" s="155">
        <v>-1000</v>
      </c>
      <c r="G1152" s="133" t="str">
        <f>_xlfn.XLOOKUP(Table1[[#This Row],[Account_ID]], Accounts[ID], Accounts[Account nickname], "Unknown")</f>
        <v>WF</v>
      </c>
      <c r="H1152" s="134" t="str">
        <f>_xlfn.XLOOKUP(Table1[[#This Row],[Account_ID]], Accounts[ID], Accounts[Account'#], "Unknown")</f>
        <v>4636</v>
      </c>
      <c r="I1152" s="135" t="str">
        <f>_xlfn.XLOOKUP(_xlfn.XLOOKUP(Table1[[#This Row],[Account]],Accounts[Account nickname],Accounts[Institution ID]),Institutions[ID],Institutions[Institution nickname],"Unknown")</f>
        <v>Wells Fargo</v>
      </c>
      <c r="J1152" s="136" t="s">
        <v>1163</v>
      </c>
      <c r="K1152" s="137" t="s">
        <v>808</v>
      </c>
      <c r="L1152" s="137" t="s">
        <v>807</v>
      </c>
      <c r="M115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5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52" s="138" t="str" cm="1">
        <f t="array" ref="O1152">IFERROR(INDEX(CategoriesTable[Category type],MATCH(Table1[[#This Row],[Category]],CategoriesTable[Category name],0),0),"")</f>
        <v/>
      </c>
      <c r="P1152" s="138">
        <v>17</v>
      </c>
      <c r="Q1152" s="138">
        <f>MONTH(Table1[[#This Row],[Date]])</f>
        <v>3</v>
      </c>
      <c r="R1152" s="138">
        <v>2021</v>
      </c>
      <c r="S1152" s="139">
        <f>IF(ISBLANK(Table1[[#This Row],[Date]]),"",Table1[[#This Row],[Date]]-WEEKDAY(Table1[[#This Row],[Date]],2)+1)</f>
        <v>44270</v>
      </c>
      <c r="T1152" s="140">
        <f>IF(ISBLANK(Table1[[#This Row],[Date]]),"",DATE(Table1[[#This Row],[Date_Year]],Table1[[#This Row],[Date_Month]],1))</f>
        <v>44256</v>
      </c>
    </row>
    <row r="1153" spans="2:20" ht="15.75">
      <c r="B1153" s="154">
        <v>44272</v>
      </c>
      <c r="C1153" s="119" t="s">
        <v>845</v>
      </c>
      <c r="D1153" s="119"/>
      <c r="E1153" s="119"/>
      <c r="F1153" s="155">
        <v>471.27</v>
      </c>
      <c r="G1153" s="133" t="str">
        <f>_xlfn.XLOOKUP(Table1[[#This Row],[Account_ID]], Accounts[ID], Accounts[Account nickname], "Unknown")</f>
        <v>Discover</v>
      </c>
      <c r="H1153" s="134" t="str">
        <f>_xlfn.XLOOKUP(Table1[[#This Row],[Account_ID]], Accounts[ID], Accounts[Account'#], "Unknown")</f>
        <v>4618</v>
      </c>
      <c r="I1153" s="135" t="str">
        <f>_xlfn.XLOOKUP(_xlfn.XLOOKUP(Table1[[#This Row],[Account]],Accounts[Account nickname],Accounts[Institution ID]),Institutions[ID],Institutions[Institution nickname],"Unknown")</f>
        <v>Discover</v>
      </c>
      <c r="J1153" s="136" t="s">
        <v>2515</v>
      </c>
      <c r="K1153" s="137" t="s">
        <v>843</v>
      </c>
      <c r="L1153" s="137" t="s">
        <v>841</v>
      </c>
      <c r="M115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5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53" s="138" t="str" cm="1">
        <f t="array" ref="O1153">IFERROR(INDEX(CategoriesTable[Category type],MATCH(Table1[[#This Row],[Category]],CategoriesTable[Category name],0),0),"")</f>
        <v/>
      </c>
      <c r="P1153" s="138">
        <v>17</v>
      </c>
      <c r="Q1153" s="138">
        <f>MONTH(Table1[[#This Row],[Date]])</f>
        <v>3</v>
      </c>
      <c r="R1153" s="138">
        <v>2021</v>
      </c>
      <c r="S1153" s="139">
        <f>IF(ISBLANK(Table1[[#This Row],[Date]]),"",Table1[[#This Row],[Date]]-WEEKDAY(Table1[[#This Row],[Date]],2)+1)</f>
        <v>44270</v>
      </c>
      <c r="T1153" s="140">
        <f>IF(ISBLANK(Table1[[#This Row],[Date]]),"",DATE(Table1[[#This Row],[Date_Year]],Table1[[#This Row],[Date_Month]],1))</f>
        <v>44256</v>
      </c>
    </row>
    <row r="1154" spans="2:20" ht="15.75">
      <c r="B1154" s="154">
        <v>44271</v>
      </c>
      <c r="C1154" s="119" t="s">
        <v>695</v>
      </c>
      <c r="D1154" s="119"/>
      <c r="E1154" s="119"/>
      <c r="F1154" s="155">
        <v>-25.57</v>
      </c>
      <c r="G1154" s="133" t="str">
        <f>_xlfn.XLOOKUP(Table1[[#This Row],[Account_ID]], Accounts[ID], Accounts[Account nickname], "Unknown")</f>
        <v>WF</v>
      </c>
      <c r="H1154" s="134" t="str">
        <f>_xlfn.XLOOKUP(Table1[[#This Row],[Account_ID]], Accounts[ID], Accounts[Account'#], "Unknown")</f>
        <v>4636</v>
      </c>
      <c r="I1154" s="135" t="str">
        <f>_xlfn.XLOOKUP(_xlfn.XLOOKUP(Table1[[#This Row],[Account]],Accounts[Account nickname],Accounts[Institution ID]),Institutions[ID],Institutions[Institution nickname],"Unknown")</f>
        <v>Wells Fargo</v>
      </c>
      <c r="J1154" s="136" t="s">
        <v>1166</v>
      </c>
      <c r="K1154" s="137" t="s">
        <v>808</v>
      </c>
      <c r="L1154" s="137" t="s">
        <v>807</v>
      </c>
      <c r="M115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5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54" s="138" t="str" cm="1">
        <f t="array" ref="O1154">IFERROR(INDEX(CategoriesTable[Category type],MATCH(Table1[[#This Row],[Category]],CategoriesTable[Category name],0),0),"")</f>
        <v/>
      </c>
      <c r="P1154" s="138">
        <v>16</v>
      </c>
      <c r="Q1154" s="138">
        <f>MONTH(Table1[[#This Row],[Date]])</f>
        <v>3</v>
      </c>
      <c r="R1154" s="138">
        <v>2021</v>
      </c>
      <c r="S1154" s="139">
        <f>IF(ISBLANK(Table1[[#This Row],[Date]]),"",Table1[[#This Row],[Date]]-WEEKDAY(Table1[[#This Row],[Date]],2)+1)</f>
        <v>44270</v>
      </c>
      <c r="T1154" s="140">
        <f>IF(ISBLANK(Table1[[#This Row],[Date]]),"",DATE(Table1[[#This Row],[Date_Year]],Table1[[#This Row],[Date_Month]],1))</f>
        <v>44256</v>
      </c>
    </row>
    <row r="1155" spans="2:20" ht="15.75">
      <c r="B1155" s="154">
        <v>44271</v>
      </c>
      <c r="C1155" s="119" t="s">
        <v>746</v>
      </c>
      <c r="D1155" s="119"/>
      <c r="E1155" s="119"/>
      <c r="F1155" s="155">
        <v>-30.34</v>
      </c>
      <c r="G1155" s="133" t="str">
        <f>_xlfn.XLOOKUP(Table1[[#This Row],[Account_ID]], Accounts[ID], Accounts[Account nickname], "Unknown")</f>
        <v>Discover</v>
      </c>
      <c r="H1155" s="134" t="str">
        <f>_xlfn.XLOOKUP(Table1[[#This Row],[Account_ID]], Accounts[ID], Accounts[Account'#], "Unknown")</f>
        <v>4618</v>
      </c>
      <c r="I1155" s="135" t="str">
        <f>_xlfn.XLOOKUP(_xlfn.XLOOKUP(Table1[[#This Row],[Account]],Accounts[Account nickname],Accounts[Institution ID]),Institutions[ID],Institutions[Institution nickname],"Unknown")</f>
        <v>Discover</v>
      </c>
      <c r="J1155" s="136" t="s">
        <v>2516</v>
      </c>
      <c r="K1155" s="137" t="s">
        <v>843</v>
      </c>
      <c r="L1155" s="137" t="s">
        <v>841</v>
      </c>
      <c r="M115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5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55" s="138" t="str" cm="1">
        <f t="array" ref="O1155">IFERROR(INDEX(CategoriesTable[Category type],MATCH(Table1[[#This Row],[Category]],CategoriesTable[Category name],0),0),"")</f>
        <v/>
      </c>
      <c r="P1155" s="138">
        <v>16</v>
      </c>
      <c r="Q1155" s="138">
        <f>MONTH(Table1[[#This Row],[Date]])</f>
        <v>3</v>
      </c>
      <c r="R1155" s="138">
        <v>2021</v>
      </c>
      <c r="S1155" s="139">
        <f>IF(ISBLANK(Table1[[#This Row],[Date]]),"",Table1[[#This Row],[Date]]-WEEKDAY(Table1[[#This Row],[Date]],2)+1)</f>
        <v>44270</v>
      </c>
      <c r="T1155" s="140">
        <f>IF(ISBLANK(Table1[[#This Row],[Date]]),"",DATE(Table1[[#This Row],[Date_Year]],Table1[[#This Row],[Date_Month]],1))</f>
        <v>44256</v>
      </c>
    </row>
    <row r="1156" spans="2:20" ht="15.75">
      <c r="B1156" s="154">
        <v>44270</v>
      </c>
      <c r="C1156" s="119" t="s">
        <v>2517</v>
      </c>
      <c r="D1156" s="119"/>
      <c r="E1156" s="119"/>
      <c r="F1156" s="155">
        <v>-20</v>
      </c>
      <c r="G1156" s="133" t="str">
        <f>_xlfn.XLOOKUP(Table1[[#This Row],[Account_ID]], Accounts[ID], Accounts[Account nickname], "Unknown")</f>
        <v>Discover</v>
      </c>
      <c r="H1156" s="134" t="str">
        <f>_xlfn.XLOOKUP(Table1[[#This Row],[Account_ID]], Accounts[ID], Accounts[Account'#], "Unknown")</f>
        <v>4618</v>
      </c>
      <c r="I1156" s="135" t="str">
        <f>_xlfn.XLOOKUP(_xlfn.XLOOKUP(Table1[[#This Row],[Account]],Accounts[Account nickname],Accounts[Institution ID]),Institutions[ID],Institutions[Institution nickname],"Unknown")</f>
        <v>Discover</v>
      </c>
      <c r="J1156" s="136" t="s">
        <v>2518</v>
      </c>
      <c r="K1156" s="137" t="s">
        <v>843</v>
      </c>
      <c r="L1156" s="137" t="s">
        <v>841</v>
      </c>
      <c r="M115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5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56" s="138" t="str" cm="1">
        <f t="array" ref="O1156">IFERROR(INDEX(CategoriesTable[Category type],MATCH(Table1[[#This Row],[Category]],CategoriesTable[Category name],0),0),"")</f>
        <v/>
      </c>
      <c r="P1156" s="138">
        <v>15</v>
      </c>
      <c r="Q1156" s="138">
        <f>MONTH(Table1[[#This Row],[Date]])</f>
        <v>3</v>
      </c>
      <c r="R1156" s="138">
        <v>2021</v>
      </c>
      <c r="S1156" s="139">
        <f>IF(ISBLANK(Table1[[#This Row],[Date]]),"",Table1[[#This Row],[Date]]-WEEKDAY(Table1[[#This Row],[Date]],2)+1)</f>
        <v>44270</v>
      </c>
      <c r="T1156" s="140">
        <f>IF(ISBLANK(Table1[[#This Row],[Date]]),"",DATE(Table1[[#This Row],[Date_Year]],Table1[[#This Row],[Date_Month]],1))</f>
        <v>44256</v>
      </c>
    </row>
    <row r="1157" spans="2:20" ht="15.75">
      <c r="B1157" s="154">
        <v>44269</v>
      </c>
      <c r="C1157" s="119" t="s">
        <v>910</v>
      </c>
      <c r="D1157" s="119"/>
      <c r="E1157" s="119"/>
      <c r="F1157" s="155">
        <v>-79.989999999999995</v>
      </c>
      <c r="G1157" s="133" t="str">
        <f>_xlfn.XLOOKUP(Table1[[#This Row],[Account_ID]], Accounts[ID], Accounts[Account nickname], "Unknown")</f>
        <v>Discover</v>
      </c>
      <c r="H1157" s="134" t="str">
        <f>_xlfn.XLOOKUP(Table1[[#This Row],[Account_ID]], Accounts[ID], Accounts[Account'#], "Unknown")</f>
        <v>4618</v>
      </c>
      <c r="I1157" s="135" t="str">
        <f>_xlfn.XLOOKUP(_xlfn.XLOOKUP(Table1[[#This Row],[Account]],Accounts[Account nickname],Accounts[Institution ID]),Institutions[ID],Institutions[Institution nickname],"Unknown")</f>
        <v>Discover</v>
      </c>
      <c r="J1157" s="136" t="s">
        <v>2519</v>
      </c>
      <c r="K1157" s="137" t="s">
        <v>843</v>
      </c>
      <c r="L1157" s="137" t="s">
        <v>841</v>
      </c>
      <c r="M115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5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57" s="138" t="str" cm="1">
        <f t="array" ref="O1157">IFERROR(INDEX(CategoriesTable[Category type],MATCH(Table1[[#This Row],[Category]],CategoriesTable[Category name],0),0),"")</f>
        <v/>
      </c>
      <c r="P1157" s="138">
        <v>14</v>
      </c>
      <c r="Q1157" s="138">
        <f>MONTH(Table1[[#This Row],[Date]])</f>
        <v>3</v>
      </c>
      <c r="R1157" s="138">
        <v>2021</v>
      </c>
      <c r="S1157" s="139">
        <f>IF(ISBLANK(Table1[[#This Row],[Date]]),"",Table1[[#This Row],[Date]]-WEEKDAY(Table1[[#This Row],[Date]],2)+1)</f>
        <v>44263</v>
      </c>
      <c r="T1157" s="140">
        <f>IF(ISBLANK(Table1[[#This Row],[Date]]),"",DATE(Table1[[#This Row],[Date_Year]],Table1[[#This Row],[Date_Month]],1))</f>
        <v>44256</v>
      </c>
    </row>
    <row r="1158" spans="2:20" ht="15.75">
      <c r="B1158" s="154">
        <v>44269</v>
      </c>
      <c r="C1158" s="119" t="s">
        <v>700</v>
      </c>
      <c r="D1158" s="119"/>
      <c r="E1158" s="119"/>
      <c r="F1158" s="155">
        <v>-86.25</v>
      </c>
      <c r="G1158" s="133" t="str">
        <f>_xlfn.XLOOKUP(Table1[[#This Row],[Account_ID]], Accounts[ID], Accounts[Account nickname], "Unknown")</f>
        <v>Discover</v>
      </c>
      <c r="H1158" s="134" t="str">
        <f>_xlfn.XLOOKUP(Table1[[#This Row],[Account_ID]], Accounts[ID], Accounts[Account'#], "Unknown")</f>
        <v>4618</v>
      </c>
      <c r="I1158" s="135" t="str">
        <f>_xlfn.XLOOKUP(_xlfn.XLOOKUP(Table1[[#This Row],[Account]],Accounts[Account nickname],Accounts[Institution ID]),Institutions[ID],Institutions[Institution nickname],"Unknown")</f>
        <v>Discover</v>
      </c>
      <c r="J1158" s="136" t="s">
        <v>2524</v>
      </c>
      <c r="K1158" s="137" t="s">
        <v>843</v>
      </c>
      <c r="L1158" s="137" t="s">
        <v>841</v>
      </c>
      <c r="M115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5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58" s="138" t="str" cm="1">
        <f t="array" ref="O1158">IFERROR(INDEX(CategoriesTable[Category type],MATCH(Table1[[#This Row],[Category]],CategoriesTable[Category name],0),0),"")</f>
        <v/>
      </c>
      <c r="P1158" s="138">
        <v>14</v>
      </c>
      <c r="Q1158" s="138">
        <f>MONTH(Table1[[#This Row],[Date]])</f>
        <v>3</v>
      </c>
      <c r="R1158" s="138">
        <v>2021</v>
      </c>
      <c r="S1158" s="139">
        <f>IF(ISBLANK(Table1[[#This Row],[Date]]),"",Table1[[#This Row],[Date]]-WEEKDAY(Table1[[#This Row],[Date]],2)+1)</f>
        <v>44263</v>
      </c>
      <c r="T1158" s="140">
        <f>IF(ISBLANK(Table1[[#This Row],[Date]]),"",DATE(Table1[[#This Row],[Date_Year]],Table1[[#This Row],[Date_Month]],1))</f>
        <v>44256</v>
      </c>
    </row>
    <row r="1159" spans="2:20" ht="15.75">
      <c r="B1159" s="154">
        <v>44269</v>
      </c>
      <c r="C1159" s="119" t="s">
        <v>708</v>
      </c>
      <c r="D1159" s="119"/>
      <c r="E1159" s="119"/>
      <c r="F1159" s="155">
        <v>-7.54</v>
      </c>
      <c r="G1159" s="133" t="str">
        <f>_xlfn.XLOOKUP(Table1[[#This Row],[Account_ID]], Accounts[ID], Accounts[Account nickname], "Unknown")</f>
        <v>Discover</v>
      </c>
      <c r="H1159" s="134" t="str">
        <f>_xlfn.XLOOKUP(Table1[[#This Row],[Account_ID]], Accounts[ID], Accounts[Account'#], "Unknown")</f>
        <v>4618</v>
      </c>
      <c r="I1159" s="135" t="str">
        <f>_xlfn.XLOOKUP(_xlfn.XLOOKUP(Table1[[#This Row],[Account]],Accounts[Account nickname],Accounts[Institution ID]),Institutions[ID],Institutions[Institution nickname],"Unknown")</f>
        <v>Discover</v>
      </c>
      <c r="J1159" s="136" t="s">
        <v>2520</v>
      </c>
      <c r="K1159" s="137" t="s">
        <v>843</v>
      </c>
      <c r="L1159" s="137" t="s">
        <v>841</v>
      </c>
      <c r="M115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5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59" s="138" t="str" cm="1">
        <f t="array" ref="O1159">IFERROR(INDEX(CategoriesTable[Category type],MATCH(Table1[[#This Row],[Category]],CategoriesTable[Category name],0),0),"")</f>
        <v/>
      </c>
      <c r="P1159" s="138">
        <v>14</v>
      </c>
      <c r="Q1159" s="138">
        <f>MONTH(Table1[[#This Row],[Date]])</f>
        <v>3</v>
      </c>
      <c r="R1159" s="138">
        <v>2021</v>
      </c>
      <c r="S1159" s="139">
        <f>IF(ISBLANK(Table1[[#This Row],[Date]]),"",Table1[[#This Row],[Date]]-WEEKDAY(Table1[[#This Row],[Date]],2)+1)</f>
        <v>44263</v>
      </c>
      <c r="T1159" s="140">
        <f>IF(ISBLANK(Table1[[#This Row],[Date]]),"",DATE(Table1[[#This Row],[Date_Year]],Table1[[#This Row],[Date_Month]],1))</f>
        <v>44256</v>
      </c>
    </row>
    <row r="1160" spans="2:20" ht="15.75">
      <c r="B1160" s="154">
        <v>44269</v>
      </c>
      <c r="C1160" s="119" t="s">
        <v>708</v>
      </c>
      <c r="D1160" s="119"/>
      <c r="E1160" s="119"/>
      <c r="F1160" s="155">
        <v>-26.08</v>
      </c>
      <c r="G1160" s="133" t="str">
        <f>_xlfn.XLOOKUP(Table1[[#This Row],[Account_ID]], Accounts[ID], Accounts[Account nickname], "Unknown")</f>
        <v>Discover</v>
      </c>
      <c r="H1160" s="134" t="str">
        <f>_xlfn.XLOOKUP(Table1[[#This Row],[Account_ID]], Accounts[ID], Accounts[Account'#], "Unknown")</f>
        <v>4618</v>
      </c>
      <c r="I1160" s="135" t="str">
        <f>_xlfn.XLOOKUP(_xlfn.XLOOKUP(Table1[[#This Row],[Account]],Accounts[Account nickname],Accounts[Institution ID]),Institutions[ID],Institutions[Institution nickname],"Unknown")</f>
        <v>Discover</v>
      </c>
      <c r="J1160" s="136" t="s">
        <v>2521</v>
      </c>
      <c r="K1160" s="137" t="s">
        <v>843</v>
      </c>
      <c r="L1160" s="137" t="s">
        <v>841</v>
      </c>
      <c r="M116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6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60" s="138" t="str" cm="1">
        <f t="array" ref="O1160">IFERROR(INDEX(CategoriesTable[Category type],MATCH(Table1[[#This Row],[Category]],CategoriesTable[Category name],0),0),"")</f>
        <v/>
      </c>
      <c r="P1160" s="138">
        <v>14</v>
      </c>
      <c r="Q1160" s="138">
        <f>MONTH(Table1[[#This Row],[Date]])</f>
        <v>3</v>
      </c>
      <c r="R1160" s="138">
        <v>2021</v>
      </c>
      <c r="S1160" s="139">
        <f>IF(ISBLANK(Table1[[#This Row],[Date]]),"",Table1[[#This Row],[Date]]-WEEKDAY(Table1[[#This Row],[Date]],2)+1)</f>
        <v>44263</v>
      </c>
      <c r="T1160" s="140">
        <f>IF(ISBLANK(Table1[[#This Row],[Date]]),"",DATE(Table1[[#This Row],[Date_Year]],Table1[[#This Row],[Date_Month]],1))</f>
        <v>44256</v>
      </c>
    </row>
    <row r="1161" spans="2:20" ht="15.75">
      <c r="B1161" s="154">
        <v>44269</v>
      </c>
      <c r="C1161" s="119" t="s">
        <v>2522</v>
      </c>
      <c r="D1161" s="119"/>
      <c r="E1161" s="119"/>
      <c r="F1161" s="155">
        <v>-75.98</v>
      </c>
      <c r="G1161" s="133" t="str">
        <f>_xlfn.XLOOKUP(Table1[[#This Row],[Account_ID]], Accounts[ID], Accounts[Account nickname], "Unknown")</f>
        <v>Discover</v>
      </c>
      <c r="H1161" s="134" t="str">
        <f>_xlfn.XLOOKUP(Table1[[#This Row],[Account_ID]], Accounts[ID], Accounts[Account'#], "Unknown")</f>
        <v>4618</v>
      </c>
      <c r="I1161" s="135" t="str">
        <f>_xlfn.XLOOKUP(_xlfn.XLOOKUP(Table1[[#This Row],[Account]],Accounts[Account nickname],Accounts[Institution ID]),Institutions[ID],Institutions[Institution nickname],"Unknown")</f>
        <v>Discover</v>
      </c>
      <c r="J1161" s="136" t="s">
        <v>2523</v>
      </c>
      <c r="K1161" s="137" t="s">
        <v>843</v>
      </c>
      <c r="L1161" s="137" t="s">
        <v>841</v>
      </c>
      <c r="M116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6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61" s="138" t="str" cm="1">
        <f t="array" ref="O1161">IFERROR(INDEX(CategoriesTable[Category type],MATCH(Table1[[#This Row],[Category]],CategoriesTable[Category name],0),0),"")</f>
        <v/>
      </c>
      <c r="P1161" s="138">
        <v>14</v>
      </c>
      <c r="Q1161" s="138">
        <f>MONTH(Table1[[#This Row],[Date]])</f>
        <v>3</v>
      </c>
      <c r="R1161" s="138">
        <v>2021</v>
      </c>
      <c r="S1161" s="139">
        <f>IF(ISBLANK(Table1[[#This Row],[Date]]),"",Table1[[#This Row],[Date]]-WEEKDAY(Table1[[#This Row],[Date]],2)+1)</f>
        <v>44263</v>
      </c>
      <c r="T1161" s="140">
        <f>IF(ISBLANK(Table1[[#This Row],[Date]]),"",DATE(Table1[[#This Row],[Date_Year]],Table1[[#This Row],[Date_Month]],1))</f>
        <v>44256</v>
      </c>
    </row>
    <row r="1162" spans="2:20" ht="15.75">
      <c r="B1162" s="154">
        <v>44268</v>
      </c>
      <c r="C1162" s="119" t="s">
        <v>783</v>
      </c>
      <c r="D1162" s="119"/>
      <c r="E1162" s="119"/>
      <c r="F1162" s="155">
        <v>-17</v>
      </c>
      <c r="G1162" s="133" t="str">
        <f>_xlfn.XLOOKUP(Table1[[#This Row],[Account_ID]], Accounts[ID], Accounts[Account nickname], "Unknown")</f>
        <v>Discover</v>
      </c>
      <c r="H1162" s="134" t="str">
        <f>_xlfn.XLOOKUP(Table1[[#This Row],[Account_ID]], Accounts[ID], Accounts[Account'#], "Unknown")</f>
        <v>4618</v>
      </c>
      <c r="I1162" s="135" t="str">
        <f>_xlfn.XLOOKUP(_xlfn.XLOOKUP(Table1[[#This Row],[Account]],Accounts[Account nickname],Accounts[Institution ID]),Institutions[ID],Institutions[Institution nickname],"Unknown")</f>
        <v>Discover</v>
      </c>
      <c r="J1162" s="136" t="s">
        <v>2525</v>
      </c>
      <c r="K1162" s="137" t="s">
        <v>843</v>
      </c>
      <c r="L1162" s="137" t="s">
        <v>841</v>
      </c>
      <c r="M116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6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62" s="138" t="str" cm="1">
        <f t="array" ref="O1162">IFERROR(INDEX(CategoriesTable[Category type],MATCH(Table1[[#This Row],[Category]],CategoriesTable[Category name],0),0),"")</f>
        <v/>
      </c>
      <c r="P1162" s="138">
        <v>13</v>
      </c>
      <c r="Q1162" s="138">
        <f>MONTH(Table1[[#This Row],[Date]])</f>
        <v>3</v>
      </c>
      <c r="R1162" s="138">
        <v>2021</v>
      </c>
      <c r="S1162" s="139">
        <f>IF(ISBLANK(Table1[[#This Row],[Date]]),"",Table1[[#This Row],[Date]]-WEEKDAY(Table1[[#This Row],[Date]],2)+1)</f>
        <v>44263</v>
      </c>
      <c r="T1162" s="140">
        <f>IF(ISBLANK(Table1[[#This Row],[Date]]),"",DATE(Table1[[#This Row],[Date_Year]],Table1[[#This Row],[Date_Month]],1))</f>
        <v>44256</v>
      </c>
    </row>
    <row r="1163" spans="2:20" ht="15.75">
      <c r="B1163" s="154">
        <v>44268</v>
      </c>
      <c r="C1163" s="119" t="s">
        <v>707</v>
      </c>
      <c r="D1163" s="119"/>
      <c r="E1163" s="119"/>
      <c r="F1163" s="155">
        <v>-5</v>
      </c>
      <c r="G1163" s="133" t="str">
        <f>_xlfn.XLOOKUP(Table1[[#This Row],[Account_ID]], Accounts[ID], Accounts[Account nickname], "Unknown")</f>
        <v>Discover</v>
      </c>
      <c r="H1163" s="134" t="str">
        <f>_xlfn.XLOOKUP(Table1[[#This Row],[Account_ID]], Accounts[ID], Accounts[Account'#], "Unknown")</f>
        <v>4618</v>
      </c>
      <c r="I1163" s="135" t="str">
        <f>_xlfn.XLOOKUP(_xlfn.XLOOKUP(Table1[[#This Row],[Account]],Accounts[Account nickname],Accounts[Institution ID]),Institutions[ID],Institutions[Institution nickname],"Unknown")</f>
        <v>Discover</v>
      </c>
      <c r="J1163" s="136" t="s">
        <v>2528</v>
      </c>
      <c r="K1163" s="137" t="s">
        <v>843</v>
      </c>
      <c r="L1163" s="137" t="s">
        <v>841</v>
      </c>
      <c r="M116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6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63" s="138" t="str" cm="1">
        <f t="array" ref="O1163">IFERROR(INDEX(CategoriesTable[Category type],MATCH(Table1[[#This Row],[Category]],CategoriesTable[Category name],0),0),"")</f>
        <v/>
      </c>
      <c r="P1163" s="138">
        <v>13</v>
      </c>
      <c r="Q1163" s="138">
        <f>MONTH(Table1[[#This Row],[Date]])</f>
        <v>3</v>
      </c>
      <c r="R1163" s="138">
        <v>2021</v>
      </c>
      <c r="S1163" s="139">
        <f>IF(ISBLANK(Table1[[#This Row],[Date]]),"",Table1[[#This Row],[Date]]-WEEKDAY(Table1[[#This Row],[Date]],2)+1)</f>
        <v>44263</v>
      </c>
      <c r="T1163" s="140">
        <f>IF(ISBLANK(Table1[[#This Row],[Date]]),"",DATE(Table1[[#This Row],[Date_Year]],Table1[[#This Row],[Date_Month]],1))</f>
        <v>44256</v>
      </c>
    </row>
    <row r="1164" spans="2:20" ht="15.75">
      <c r="B1164" s="154">
        <v>44268</v>
      </c>
      <c r="C1164" s="119" t="s">
        <v>2526</v>
      </c>
      <c r="D1164" s="119"/>
      <c r="E1164" s="119"/>
      <c r="F1164" s="155">
        <v>-10.17</v>
      </c>
      <c r="G1164" s="133" t="str">
        <f>_xlfn.XLOOKUP(Table1[[#This Row],[Account_ID]], Accounts[ID], Accounts[Account nickname], "Unknown")</f>
        <v>Discover</v>
      </c>
      <c r="H1164" s="134" t="str">
        <f>_xlfn.XLOOKUP(Table1[[#This Row],[Account_ID]], Accounts[ID], Accounts[Account'#], "Unknown")</f>
        <v>4618</v>
      </c>
      <c r="I1164" s="135" t="str">
        <f>_xlfn.XLOOKUP(_xlfn.XLOOKUP(Table1[[#This Row],[Account]],Accounts[Account nickname],Accounts[Institution ID]),Institutions[ID],Institutions[Institution nickname],"Unknown")</f>
        <v>Discover</v>
      </c>
      <c r="J1164" s="136" t="s">
        <v>2527</v>
      </c>
      <c r="K1164" s="137" t="s">
        <v>843</v>
      </c>
      <c r="L1164" s="137" t="s">
        <v>841</v>
      </c>
      <c r="M116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6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64" s="138" t="str" cm="1">
        <f t="array" ref="O1164">IFERROR(INDEX(CategoriesTable[Category type],MATCH(Table1[[#This Row],[Category]],CategoriesTable[Category name],0),0),"")</f>
        <v/>
      </c>
      <c r="P1164" s="138">
        <v>13</v>
      </c>
      <c r="Q1164" s="138">
        <f>MONTH(Table1[[#This Row],[Date]])</f>
        <v>3</v>
      </c>
      <c r="R1164" s="138">
        <v>2021</v>
      </c>
      <c r="S1164" s="139">
        <f>IF(ISBLANK(Table1[[#This Row],[Date]]),"",Table1[[#This Row],[Date]]-WEEKDAY(Table1[[#This Row],[Date]],2)+1)</f>
        <v>44263</v>
      </c>
      <c r="T1164" s="140">
        <f>IF(ISBLANK(Table1[[#This Row],[Date]]),"",DATE(Table1[[#This Row],[Date_Year]],Table1[[#This Row],[Date_Month]],1))</f>
        <v>44256</v>
      </c>
    </row>
    <row r="1165" spans="2:20" ht="15.75">
      <c r="B1165" s="154">
        <v>44267</v>
      </c>
      <c r="C1165" s="119" t="s">
        <v>857</v>
      </c>
      <c r="D1165" s="119"/>
      <c r="E1165" s="119"/>
      <c r="F1165" s="155">
        <v>-11</v>
      </c>
      <c r="G1165" s="133" t="str">
        <f>_xlfn.XLOOKUP(Table1[[#This Row],[Account_ID]], Accounts[ID], Accounts[Account nickname], "Unknown")</f>
        <v>Discover</v>
      </c>
      <c r="H1165" s="134" t="str">
        <f>_xlfn.XLOOKUP(Table1[[#This Row],[Account_ID]], Accounts[ID], Accounts[Account'#], "Unknown")</f>
        <v>4618</v>
      </c>
      <c r="I1165" s="135" t="str">
        <f>_xlfn.XLOOKUP(_xlfn.XLOOKUP(Table1[[#This Row],[Account]],Accounts[Account nickname],Accounts[Institution ID]),Institutions[ID],Institutions[Institution nickname],"Unknown")</f>
        <v>Discover</v>
      </c>
      <c r="J1165" s="136" t="s">
        <v>2531</v>
      </c>
      <c r="K1165" s="137" t="s">
        <v>843</v>
      </c>
      <c r="L1165" s="137" t="s">
        <v>841</v>
      </c>
      <c r="M116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6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65" s="138" t="str" cm="1">
        <f t="array" ref="O1165">IFERROR(INDEX(CategoriesTable[Category type],MATCH(Table1[[#This Row],[Category]],CategoriesTable[Category name],0),0),"")</f>
        <v/>
      </c>
      <c r="P1165" s="138">
        <v>12</v>
      </c>
      <c r="Q1165" s="138">
        <f>MONTH(Table1[[#This Row],[Date]])</f>
        <v>3</v>
      </c>
      <c r="R1165" s="138">
        <v>2021</v>
      </c>
      <c r="S1165" s="139">
        <f>IF(ISBLANK(Table1[[#This Row],[Date]]),"",Table1[[#This Row],[Date]]-WEEKDAY(Table1[[#This Row],[Date]],2)+1)</f>
        <v>44263</v>
      </c>
      <c r="T1165" s="140">
        <f>IF(ISBLANK(Table1[[#This Row],[Date]]),"",DATE(Table1[[#This Row],[Date_Year]],Table1[[#This Row],[Date_Month]],1))</f>
        <v>44256</v>
      </c>
    </row>
    <row r="1166" spans="2:20" ht="15.75">
      <c r="B1166" s="154">
        <v>44267</v>
      </c>
      <c r="C1166" s="119" t="s">
        <v>751</v>
      </c>
      <c r="D1166" s="119"/>
      <c r="E1166" s="119"/>
      <c r="F1166" s="155">
        <v>1459.64</v>
      </c>
      <c r="G1166" s="133" t="str">
        <f>_xlfn.XLOOKUP(Table1[[#This Row],[Account_ID]], Accounts[ID], Accounts[Account nickname], "Unknown")</f>
        <v>WF</v>
      </c>
      <c r="H1166" s="134" t="str">
        <f>_xlfn.XLOOKUP(Table1[[#This Row],[Account_ID]], Accounts[ID], Accounts[Account'#], "Unknown")</f>
        <v>4636</v>
      </c>
      <c r="I1166" s="135" t="str">
        <f>_xlfn.XLOOKUP(_xlfn.XLOOKUP(Table1[[#This Row],[Account]],Accounts[Account nickname],Accounts[Institution ID]),Institutions[ID],Institutions[Institution nickname],"Unknown")</f>
        <v>Wells Fargo</v>
      </c>
      <c r="J1166" s="136" t="s">
        <v>1168</v>
      </c>
      <c r="K1166" s="137" t="s">
        <v>808</v>
      </c>
      <c r="L1166" s="137" t="s">
        <v>807</v>
      </c>
      <c r="M116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6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66" s="138" t="str" cm="1">
        <f t="array" ref="O1166">IFERROR(INDEX(CategoriesTable[Category type],MATCH(Table1[[#This Row],[Category]],CategoriesTable[Category name],0),0),"")</f>
        <v/>
      </c>
      <c r="P1166" s="138">
        <v>12</v>
      </c>
      <c r="Q1166" s="138">
        <f>MONTH(Table1[[#This Row],[Date]])</f>
        <v>3</v>
      </c>
      <c r="R1166" s="138">
        <v>2021</v>
      </c>
      <c r="S1166" s="139">
        <f>IF(ISBLANK(Table1[[#This Row],[Date]]),"",Table1[[#This Row],[Date]]-WEEKDAY(Table1[[#This Row],[Date]],2)+1)</f>
        <v>44263</v>
      </c>
      <c r="T1166" s="140">
        <f>IF(ISBLANK(Table1[[#This Row],[Date]]),"",DATE(Table1[[#This Row],[Date_Year]],Table1[[#This Row],[Date_Month]],1))</f>
        <v>44256</v>
      </c>
    </row>
    <row r="1167" spans="2:20" ht="15.75">
      <c r="B1167" s="154">
        <v>44267</v>
      </c>
      <c r="C1167" s="119" t="s">
        <v>1500</v>
      </c>
      <c r="D1167" s="119"/>
      <c r="E1167" s="119"/>
      <c r="F1167" s="155">
        <v>-1.99</v>
      </c>
      <c r="G1167" s="133" t="str">
        <f>_xlfn.XLOOKUP(Table1[[#This Row],[Account_ID]], Accounts[ID], Accounts[Account nickname], "Unknown")</f>
        <v>Discover</v>
      </c>
      <c r="H1167" s="134" t="str">
        <f>_xlfn.XLOOKUP(Table1[[#This Row],[Account_ID]], Accounts[ID], Accounts[Account'#], "Unknown")</f>
        <v>4618</v>
      </c>
      <c r="I1167" s="135" t="str">
        <f>_xlfn.XLOOKUP(_xlfn.XLOOKUP(Table1[[#This Row],[Account]],Accounts[Account nickname],Accounts[Institution ID]),Institutions[ID],Institutions[Institution nickname],"Unknown")</f>
        <v>Discover</v>
      </c>
      <c r="J1167" s="136" t="s">
        <v>2533</v>
      </c>
      <c r="K1167" s="137" t="s">
        <v>843</v>
      </c>
      <c r="L1167" s="137" t="s">
        <v>841</v>
      </c>
      <c r="M116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6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67" s="138" t="str" cm="1">
        <f t="array" ref="O1167">IFERROR(INDEX(CategoriesTable[Category type],MATCH(Table1[[#This Row],[Category]],CategoriesTable[Category name],0),0),"")</f>
        <v/>
      </c>
      <c r="P1167" s="138">
        <v>12</v>
      </c>
      <c r="Q1167" s="138">
        <f>MONTH(Table1[[#This Row],[Date]])</f>
        <v>3</v>
      </c>
      <c r="R1167" s="138">
        <v>2021</v>
      </c>
      <c r="S1167" s="139">
        <f>IF(ISBLANK(Table1[[#This Row],[Date]]),"",Table1[[#This Row],[Date]]-WEEKDAY(Table1[[#This Row],[Date]],2)+1)</f>
        <v>44263</v>
      </c>
      <c r="T1167" s="140">
        <f>IF(ISBLANK(Table1[[#This Row],[Date]]),"",DATE(Table1[[#This Row],[Date_Year]],Table1[[#This Row],[Date_Month]],1))</f>
        <v>44256</v>
      </c>
    </row>
    <row r="1168" spans="2:20" ht="15.75">
      <c r="B1168" s="154">
        <v>44267</v>
      </c>
      <c r="C1168" s="119" t="s">
        <v>686</v>
      </c>
      <c r="D1168" s="119"/>
      <c r="E1168" s="119"/>
      <c r="F1168" s="155">
        <v>-1160.3800000000001</v>
      </c>
      <c r="G1168" s="133" t="str">
        <f>_xlfn.XLOOKUP(Table1[[#This Row],[Account_ID]], Accounts[ID], Accounts[Account nickname], "Unknown")</f>
        <v>WF</v>
      </c>
      <c r="H1168" s="134" t="str">
        <f>_xlfn.XLOOKUP(Table1[[#This Row],[Account_ID]], Accounts[ID], Accounts[Account'#], "Unknown")</f>
        <v>4636</v>
      </c>
      <c r="I1168" s="135" t="str">
        <f>_xlfn.XLOOKUP(_xlfn.XLOOKUP(Table1[[#This Row],[Account]],Accounts[Account nickname],Accounts[Institution ID]),Institutions[ID],Institutions[Institution nickname],"Unknown")</f>
        <v>Wells Fargo</v>
      </c>
      <c r="J1168" s="136" t="s">
        <v>1167</v>
      </c>
      <c r="K1168" s="137" t="s">
        <v>808</v>
      </c>
      <c r="L1168" s="137" t="s">
        <v>807</v>
      </c>
      <c r="M116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6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68" s="138" t="str" cm="1">
        <f t="array" ref="O1168">IFERROR(INDEX(CategoriesTable[Category type],MATCH(Table1[[#This Row],[Category]],CategoriesTable[Category name],0),0),"")</f>
        <v/>
      </c>
      <c r="P1168" s="138">
        <v>12</v>
      </c>
      <c r="Q1168" s="138">
        <f>MONTH(Table1[[#This Row],[Date]])</f>
        <v>3</v>
      </c>
      <c r="R1168" s="138">
        <v>2021</v>
      </c>
      <c r="S1168" s="139">
        <f>IF(ISBLANK(Table1[[#This Row],[Date]]),"",Table1[[#This Row],[Date]]-WEEKDAY(Table1[[#This Row],[Date]],2)+1)</f>
        <v>44263</v>
      </c>
      <c r="T1168" s="140">
        <f>IF(ISBLANK(Table1[[#This Row],[Date]]),"",DATE(Table1[[#This Row],[Date_Year]],Table1[[#This Row],[Date_Month]],1))</f>
        <v>44256</v>
      </c>
    </row>
    <row r="1169" spans="2:20" ht="15.75">
      <c r="B1169" s="154">
        <v>44267</v>
      </c>
      <c r="C1169" s="119" t="s">
        <v>845</v>
      </c>
      <c r="D1169" s="119"/>
      <c r="E1169" s="119"/>
      <c r="F1169" s="155">
        <v>1160.3800000000001</v>
      </c>
      <c r="G1169" s="133" t="str">
        <f>_xlfn.XLOOKUP(Table1[[#This Row],[Account_ID]], Accounts[ID], Accounts[Account nickname], "Unknown")</f>
        <v>Discover</v>
      </c>
      <c r="H1169" s="134" t="str">
        <f>_xlfn.XLOOKUP(Table1[[#This Row],[Account_ID]], Accounts[ID], Accounts[Account'#], "Unknown")</f>
        <v>4618</v>
      </c>
      <c r="I1169" s="135" t="str">
        <f>_xlfn.XLOOKUP(_xlfn.XLOOKUP(Table1[[#This Row],[Account]],Accounts[Account nickname],Accounts[Institution ID]),Institutions[ID],Institutions[Institution nickname],"Unknown")</f>
        <v>Discover</v>
      </c>
      <c r="J1169" s="136" t="s">
        <v>2530</v>
      </c>
      <c r="K1169" s="137" t="s">
        <v>843</v>
      </c>
      <c r="L1169" s="137" t="s">
        <v>841</v>
      </c>
      <c r="M116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6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69" s="138" t="str" cm="1">
        <f t="array" ref="O1169">IFERROR(INDEX(CategoriesTable[Category type],MATCH(Table1[[#This Row],[Category]],CategoriesTable[Category name],0),0),"")</f>
        <v/>
      </c>
      <c r="P1169" s="138">
        <v>12</v>
      </c>
      <c r="Q1169" s="138">
        <f>MONTH(Table1[[#This Row],[Date]])</f>
        <v>3</v>
      </c>
      <c r="R1169" s="138">
        <v>2021</v>
      </c>
      <c r="S1169" s="139">
        <f>IF(ISBLANK(Table1[[#This Row],[Date]]),"",Table1[[#This Row],[Date]]-WEEKDAY(Table1[[#This Row],[Date]],2)+1)</f>
        <v>44263</v>
      </c>
      <c r="T1169" s="140">
        <f>IF(ISBLANK(Table1[[#This Row],[Date]]),"",DATE(Table1[[#This Row],[Date_Year]],Table1[[#This Row],[Date_Month]],1))</f>
        <v>44256</v>
      </c>
    </row>
    <row r="1170" spans="2:20" ht="15.75">
      <c r="B1170" s="154">
        <v>44267</v>
      </c>
      <c r="C1170" s="119" t="s">
        <v>910</v>
      </c>
      <c r="D1170" s="119"/>
      <c r="E1170" s="119"/>
      <c r="F1170" s="155">
        <v>-14.99</v>
      </c>
      <c r="G1170" s="133" t="str">
        <f>_xlfn.XLOOKUP(Table1[[#This Row],[Account_ID]], Accounts[ID], Accounts[Account nickname], "Unknown")</f>
        <v>Discover</v>
      </c>
      <c r="H1170" s="134" t="str">
        <f>_xlfn.XLOOKUP(Table1[[#This Row],[Account_ID]], Accounts[ID], Accounts[Account'#], "Unknown")</f>
        <v>4618</v>
      </c>
      <c r="I1170" s="135" t="str">
        <f>_xlfn.XLOOKUP(_xlfn.XLOOKUP(Table1[[#This Row],[Account]],Accounts[Account nickname],Accounts[Institution ID]),Institutions[ID],Institutions[Institution nickname],"Unknown")</f>
        <v>Discover</v>
      </c>
      <c r="J1170" s="136" t="s">
        <v>2529</v>
      </c>
      <c r="K1170" s="137" t="s">
        <v>843</v>
      </c>
      <c r="L1170" s="137" t="s">
        <v>841</v>
      </c>
      <c r="M117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7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70" s="138" t="str" cm="1">
        <f t="array" ref="O1170">IFERROR(INDEX(CategoriesTable[Category type],MATCH(Table1[[#This Row],[Category]],CategoriesTable[Category name],0),0),"")</f>
        <v/>
      </c>
      <c r="P1170" s="138">
        <v>12</v>
      </c>
      <c r="Q1170" s="138">
        <f>MONTH(Table1[[#This Row],[Date]])</f>
        <v>3</v>
      </c>
      <c r="R1170" s="138">
        <v>2021</v>
      </c>
      <c r="S1170" s="139">
        <f>IF(ISBLANK(Table1[[#This Row],[Date]]),"",Table1[[#This Row],[Date]]-WEEKDAY(Table1[[#This Row],[Date]],2)+1)</f>
        <v>44263</v>
      </c>
      <c r="T1170" s="140">
        <f>IF(ISBLANK(Table1[[#This Row],[Date]]),"",DATE(Table1[[#This Row],[Date_Year]],Table1[[#This Row],[Date_Month]],1))</f>
        <v>44256</v>
      </c>
    </row>
    <row r="1171" spans="2:20" ht="15.75">
      <c r="B1171" s="154">
        <v>44267</v>
      </c>
      <c r="C1171" s="119" t="s">
        <v>2296</v>
      </c>
      <c r="D1171" s="119"/>
      <c r="E1171" s="119"/>
      <c r="F1171" s="155">
        <v>-19.989999999999998</v>
      </c>
      <c r="G1171" s="133" t="str">
        <f>_xlfn.XLOOKUP(Table1[[#This Row],[Account_ID]], Accounts[ID], Accounts[Account nickname], "Unknown")</f>
        <v>Discover</v>
      </c>
      <c r="H1171" s="134" t="str">
        <f>_xlfn.XLOOKUP(Table1[[#This Row],[Account_ID]], Accounts[ID], Accounts[Account'#], "Unknown")</f>
        <v>4618</v>
      </c>
      <c r="I1171" s="135" t="str">
        <f>_xlfn.XLOOKUP(_xlfn.XLOOKUP(Table1[[#This Row],[Account]],Accounts[Account nickname],Accounts[Institution ID]),Institutions[ID],Institutions[Institution nickname],"Unknown")</f>
        <v>Discover</v>
      </c>
      <c r="J1171" s="136" t="s">
        <v>2532</v>
      </c>
      <c r="K1171" s="137" t="s">
        <v>843</v>
      </c>
      <c r="L1171" s="137" t="s">
        <v>841</v>
      </c>
      <c r="M117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7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71" s="138" t="str" cm="1">
        <f t="array" ref="O1171">IFERROR(INDEX(CategoriesTable[Category type],MATCH(Table1[[#This Row],[Category]],CategoriesTable[Category name],0),0),"")</f>
        <v/>
      </c>
      <c r="P1171" s="138">
        <v>12</v>
      </c>
      <c r="Q1171" s="138">
        <f>MONTH(Table1[[#This Row],[Date]])</f>
        <v>3</v>
      </c>
      <c r="R1171" s="138">
        <v>2021</v>
      </c>
      <c r="S1171" s="139">
        <f>IF(ISBLANK(Table1[[#This Row],[Date]]),"",Table1[[#This Row],[Date]]-WEEKDAY(Table1[[#This Row],[Date]],2)+1)</f>
        <v>44263</v>
      </c>
      <c r="T1171" s="140">
        <f>IF(ISBLANK(Table1[[#This Row],[Date]]),"",DATE(Table1[[#This Row],[Date_Year]],Table1[[#This Row],[Date_Month]],1))</f>
        <v>44256</v>
      </c>
    </row>
    <row r="1172" spans="2:20" ht="15.75">
      <c r="B1172" s="154">
        <v>44266</v>
      </c>
      <c r="C1172" s="119" t="s">
        <v>724</v>
      </c>
      <c r="D1172" s="119"/>
      <c r="E1172" s="119"/>
      <c r="F1172" s="155">
        <v>-15.66</v>
      </c>
      <c r="G1172" s="133" t="str">
        <f>_xlfn.XLOOKUP(Table1[[#This Row],[Account_ID]], Accounts[ID], Accounts[Account nickname], "Unknown")</f>
        <v>Discover</v>
      </c>
      <c r="H1172" s="134" t="str">
        <f>_xlfn.XLOOKUP(Table1[[#This Row],[Account_ID]], Accounts[ID], Accounts[Account'#], "Unknown")</f>
        <v>4618</v>
      </c>
      <c r="I1172" s="135" t="str">
        <f>_xlfn.XLOOKUP(_xlfn.XLOOKUP(Table1[[#This Row],[Account]],Accounts[Account nickname],Accounts[Institution ID]),Institutions[ID],Institutions[Institution nickname],"Unknown")</f>
        <v>Discover</v>
      </c>
      <c r="J1172" s="136" t="s">
        <v>2535</v>
      </c>
      <c r="K1172" s="137" t="s">
        <v>843</v>
      </c>
      <c r="L1172" s="137" t="s">
        <v>841</v>
      </c>
      <c r="M117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7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72" s="138" t="str" cm="1">
        <f t="array" ref="O1172">IFERROR(INDEX(CategoriesTable[Category type],MATCH(Table1[[#This Row],[Category]],CategoriesTable[Category name],0),0),"")</f>
        <v/>
      </c>
      <c r="P1172" s="138">
        <v>11</v>
      </c>
      <c r="Q1172" s="138">
        <f>MONTH(Table1[[#This Row],[Date]])</f>
        <v>3</v>
      </c>
      <c r="R1172" s="138">
        <v>2021</v>
      </c>
      <c r="S1172" s="139">
        <f>IF(ISBLANK(Table1[[#This Row],[Date]]),"",Table1[[#This Row],[Date]]-WEEKDAY(Table1[[#This Row],[Date]],2)+1)</f>
        <v>44263</v>
      </c>
      <c r="T1172" s="140">
        <f>IF(ISBLANK(Table1[[#This Row],[Date]]),"",DATE(Table1[[#This Row],[Date_Year]],Table1[[#This Row],[Date_Month]],1))</f>
        <v>44256</v>
      </c>
    </row>
    <row r="1173" spans="2:20" ht="15.75">
      <c r="B1173" s="154">
        <v>44266</v>
      </c>
      <c r="C1173" s="119" t="s">
        <v>708</v>
      </c>
      <c r="D1173" s="119"/>
      <c r="E1173" s="119"/>
      <c r="F1173" s="155">
        <v>-26.45</v>
      </c>
      <c r="G1173" s="133" t="str">
        <f>_xlfn.XLOOKUP(Table1[[#This Row],[Account_ID]], Accounts[ID], Accounts[Account nickname], "Unknown")</f>
        <v>Discover</v>
      </c>
      <c r="H1173" s="134" t="str">
        <f>_xlfn.XLOOKUP(Table1[[#This Row],[Account_ID]], Accounts[ID], Accounts[Account'#], "Unknown")</f>
        <v>4618</v>
      </c>
      <c r="I1173" s="135" t="str">
        <f>_xlfn.XLOOKUP(_xlfn.XLOOKUP(Table1[[#This Row],[Account]],Accounts[Account nickname],Accounts[Institution ID]),Institutions[ID],Institutions[Institution nickname],"Unknown")</f>
        <v>Discover</v>
      </c>
      <c r="J1173" s="136" t="s">
        <v>2534</v>
      </c>
      <c r="K1173" s="137" t="s">
        <v>843</v>
      </c>
      <c r="L1173" s="137" t="s">
        <v>841</v>
      </c>
      <c r="M117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7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73" s="138" t="str" cm="1">
        <f t="array" ref="O1173">IFERROR(INDEX(CategoriesTable[Category type],MATCH(Table1[[#This Row],[Category]],CategoriesTable[Category name],0),0),"")</f>
        <v/>
      </c>
      <c r="P1173" s="138">
        <v>11</v>
      </c>
      <c r="Q1173" s="138">
        <f>MONTH(Table1[[#This Row],[Date]])</f>
        <v>3</v>
      </c>
      <c r="R1173" s="138">
        <v>2021</v>
      </c>
      <c r="S1173" s="139">
        <f>IF(ISBLANK(Table1[[#This Row],[Date]]),"",Table1[[#This Row],[Date]]-WEEKDAY(Table1[[#This Row],[Date]],2)+1)</f>
        <v>44263</v>
      </c>
      <c r="T1173" s="140">
        <f>IF(ISBLANK(Table1[[#This Row],[Date]]),"",DATE(Table1[[#This Row],[Date_Year]],Table1[[#This Row],[Date_Month]],1))</f>
        <v>44256</v>
      </c>
    </row>
    <row r="1174" spans="2:20" ht="15.75">
      <c r="B1174" s="154">
        <v>44265</v>
      </c>
      <c r="C1174" s="119" t="s">
        <v>752</v>
      </c>
      <c r="D1174" s="119"/>
      <c r="E1174" s="119"/>
      <c r="F1174" s="155">
        <v>-200</v>
      </c>
      <c r="G1174" s="133" t="str">
        <f>_xlfn.XLOOKUP(Table1[[#This Row],[Account_ID]], Accounts[ID], Accounts[Account nickname], "Unknown")</f>
        <v>WF</v>
      </c>
      <c r="H1174" s="134" t="str">
        <f>_xlfn.XLOOKUP(Table1[[#This Row],[Account_ID]], Accounts[ID], Accounts[Account'#], "Unknown")</f>
        <v>4636</v>
      </c>
      <c r="I1174" s="135" t="str">
        <f>_xlfn.XLOOKUP(_xlfn.XLOOKUP(Table1[[#This Row],[Account]],Accounts[Account nickname],Accounts[Institution ID]),Institutions[ID],Institutions[Institution nickname],"Unknown")</f>
        <v>Wells Fargo</v>
      </c>
      <c r="J1174" s="136" t="s">
        <v>1170</v>
      </c>
      <c r="K1174" s="137" t="s">
        <v>808</v>
      </c>
      <c r="L1174" s="137" t="s">
        <v>807</v>
      </c>
      <c r="M117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7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74" s="138" t="str" cm="1">
        <f t="array" ref="O1174">IFERROR(INDEX(CategoriesTable[Category type],MATCH(Table1[[#This Row],[Category]],CategoriesTable[Category name],0),0),"")</f>
        <v/>
      </c>
      <c r="P1174" s="138">
        <v>10</v>
      </c>
      <c r="Q1174" s="138">
        <f>MONTH(Table1[[#This Row],[Date]])</f>
        <v>3</v>
      </c>
      <c r="R1174" s="138">
        <v>2021</v>
      </c>
      <c r="S1174" s="139">
        <f>IF(ISBLANK(Table1[[#This Row],[Date]]),"",Table1[[#This Row],[Date]]-WEEKDAY(Table1[[#This Row],[Date]],2)+1)</f>
        <v>44263</v>
      </c>
      <c r="T1174" s="140">
        <f>IF(ISBLANK(Table1[[#This Row],[Date]]),"",DATE(Table1[[#This Row],[Date_Year]],Table1[[#This Row],[Date_Month]],1))</f>
        <v>44256</v>
      </c>
    </row>
    <row r="1175" spans="2:20" ht="15.75">
      <c r="B1175" s="154">
        <v>44265</v>
      </c>
      <c r="C1175" s="119" t="s">
        <v>2141</v>
      </c>
      <c r="D1175" s="119"/>
      <c r="E1175" s="119"/>
      <c r="F1175" s="155">
        <v>-37.07</v>
      </c>
      <c r="G1175" s="133" t="str">
        <f>_xlfn.XLOOKUP(Table1[[#This Row],[Account_ID]], Accounts[ID], Accounts[Account nickname], "Unknown")</f>
        <v>Discover</v>
      </c>
      <c r="H1175" s="134" t="str">
        <f>_xlfn.XLOOKUP(Table1[[#This Row],[Account_ID]], Accounts[ID], Accounts[Account'#], "Unknown")</f>
        <v>4618</v>
      </c>
      <c r="I1175" s="135" t="str">
        <f>_xlfn.XLOOKUP(_xlfn.XLOOKUP(Table1[[#This Row],[Account]],Accounts[Account nickname],Accounts[Institution ID]),Institutions[ID],Institutions[Institution nickname],"Unknown")</f>
        <v>Discover</v>
      </c>
      <c r="J1175" s="136" t="s">
        <v>2540</v>
      </c>
      <c r="K1175" s="137" t="s">
        <v>843</v>
      </c>
      <c r="L1175" s="137" t="s">
        <v>841</v>
      </c>
      <c r="M117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7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75" s="138" t="str" cm="1">
        <f t="array" ref="O1175">IFERROR(INDEX(CategoriesTable[Category type],MATCH(Table1[[#This Row],[Category]],CategoriesTable[Category name],0),0),"")</f>
        <v/>
      </c>
      <c r="P1175" s="138">
        <v>10</v>
      </c>
      <c r="Q1175" s="138">
        <f>MONTH(Table1[[#This Row],[Date]])</f>
        <v>3</v>
      </c>
      <c r="R1175" s="138">
        <v>2021</v>
      </c>
      <c r="S1175" s="139">
        <f>IF(ISBLANK(Table1[[#This Row],[Date]]),"",Table1[[#This Row],[Date]]-WEEKDAY(Table1[[#This Row],[Date]],2)+1)</f>
        <v>44263</v>
      </c>
      <c r="T1175" s="140">
        <f>IF(ISBLANK(Table1[[#This Row],[Date]]),"",DATE(Table1[[#This Row],[Date_Year]],Table1[[#This Row],[Date_Month]],1))</f>
        <v>44256</v>
      </c>
    </row>
    <row r="1176" spans="2:20" ht="15.75">
      <c r="B1176" s="154">
        <v>44265</v>
      </c>
      <c r="C1176" s="119" t="s">
        <v>1726</v>
      </c>
      <c r="D1176" s="119"/>
      <c r="E1176" s="119"/>
      <c r="F1176" s="155">
        <v>-33.74</v>
      </c>
      <c r="G1176" s="133" t="str">
        <f>_xlfn.XLOOKUP(Table1[[#This Row],[Account_ID]], Accounts[ID], Accounts[Account nickname], "Unknown")</f>
        <v>Discover</v>
      </c>
      <c r="H1176" s="134" t="str">
        <f>_xlfn.XLOOKUP(Table1[[#This Row],[Account_ID]], Accounts[ID], Accounts[Account'#], "Unknown")</f>
        <v>4618</v>
      </c>
      <c r="I1176" s="135" t="str">
        <f>_xlfn.XLOOKUP(_xlfn.XLOOKUP(Table1[[#This Row],[Account]],Accounts[Account nickname],Accounts[Institution ID]),Institutions[ID],Institutions[Institution nickname],"Unknown")</f>
        <v>Discover</v>
      </c>
      <c r="J1176" s="136" t="s">
        <v>2539</v>
      </c>
      <c r="K1176" s="137" t="s">
        <v>843</v>
      </c>
      <c r="L1176" s="137" t="s">
        <v>841</v>
      </c>
      <c r="M117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7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76" s="138" t="str" cm="1">
        <f t="array" ref="O1176">IFERROR(INDEX(CategoriesTable[Category type],MATCH(Table1[[#This Row],[Category]],CategoriesTable[Category name],0),0),"")</f>
        <v/>
      </c>
      <c r="P1176" s="138">
        <v>10</v>
      </c>
      <c r="Q1176" s="138">
        <f>MONTH(Table1[[#This Row],[Date]])</f>
        <v>3</v>
      </c>
      <c r="R1176" s="138">
        <v>2021</v>
      </c>
      <c r="S1176" s="139">
        <f>IF(ISBLANK(Table1[[#This Row],[Date]]),"",Table1[[#This Row],[Date]]-WEEKDAY(Table1[[#This Row],[Date]],2)+1)</f>
        <v>44263</v>
      </c>
      <c r="T1176" s="140">
        <f>IF(ISBLANK(Table1[[#This Row],[Date]]),"",DATE(Table1[[#This Row],[Date_Year]],Table1[[#This Row],[Date_Month]],1))</f>
        <v>44256</v>
      </c>
    </row>
    <row r="1177" spans="2:20" ht="15.75">
      <c r="B1177" s="154">
        <v>44265</v>
      </c>
      <c r="C1177" s="119" t="s">
        <v>1726</v>
      </c>
      <c r="D1177" s="119"/>
      <c r="E1177" s="119"/>
      <c r="F1177" s="155">
        <v>-28.3</v>
      </c>
      <c r="G1177" s="133" t="str">
        <f>_xlfn.XLOOKUP(Table1[[#This Row],[Account_ID]], Accounts[ID], Accounts[Account nickname], "Unknown")</f>
        <v>Discover</v>
      </c>
      <c r="H1177" s="134" t="str">
        <f>_xlfn.XLOOKUP(Table1[[#This Row],[Account_ID]], Accounts[ID], Accounts[Account'#], "Unknown")</f>
        <v>4618</v>
      </c>
      <c r="I1177" s="135" t="str">
        <f>_xlfn.XLOOKUP(_xlfn.XLOOKUP(Table1[[#This Row],[Account]],Accounts[Account nickname],Accounts[Institution ID]),Institutions[ID],Institutions[Institution nickname],"Unknown")</f>
        <v>Discover</v>
      </c>
      <c r="J1177" s="136" t="s">
        <v>2538</v>
      </c>
      <c r="K1177" s="137" t="s">
        <v>843</v>
      </c>
      <c r="L1177" s="137" t="s">
        <v>841</v>
      </c>
      <c r="M117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7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77" s="138" t="str" cm="1">
        <f t="array" ref="O1177">IFERROR(INDEX(CategoriesTable[Category type],MATCH(Table1[[#This Row],[Category]],CategoriesTable[Category name],0),0),"")</f>
        <v/>
      </c>
      <c r="P1177" s="138">
        <v>10</v>
      </c>
      <c r="Q1177" s="138">
        <f>MONTH(Table1[[#This Row],[Date]])</f>
        <v>3</v>
      </c>
      <c r="R1177" s="138">
        <v>2021</v>
      </c>
      <c r="S1177" s="139">
        <f>IF(ISBLANK(Table1[[#This Row],[Date]]),"",Table1[[#This Row],[Date]]-WEEKDAY(Table1[[#This Row],[Date]],2)+1)</f>
        <v>44263</v>
      </c>
      <c r="T1177" s="140">
        <f>IF(ISBLANK(Table1[[#This Row],[Date]]),"",DATE(Table1[[#This Row],[Date_Year]],Table1[[#This Row],[Date_Month]],1))</f>
        <v>44256</v>
      </c>
    </row>
    <row r="1178" spans="2:20" ht="15.75">
      <c r="B1178" s="154">
        <v>44265</v>
      </c>
      <c r="C1178" s="119" t="s">
        <v>707</v>
      </c>
      <c r="D1178" s="119"/>
      <c r="E1178" s="119"/>
      <c r="F1178" s="155">
        <v>-19.79</v>
      </c>
      <c r="G1178" s="133" t="str">
        <f>_xlfn.XLOOKUP(Table1[[#This Row],[Account_ID]], Accounts[ID], Accounts[Account nickname], "Unknown")</f>
        <v>Discover</v>
      </c>
      <c r="H1178" s="134" t="str">
        <f>_xlfn.XLOOKUP(Table1[[#This Row],[Account_ID]], Accounts[ID], Accounts[Account'#], "Unknown")</f>
        <v>4618</v>
      </c>
      <c r="I1178" s="135" t="str">
        <f>_xlfn.XLOOKUP(_xlfn.XLOOKUP(Table1[[#This Row],[Account]],Accounts[Account nickname],Accounts[Institution ID]),Institutions[ID],Institutions[Institution nickname],"Unknown")</f>
        <v>Discover</v>
      </c>
      <c r="J1178" s="136" t="s">
        <v>2542</v>
      </c>
      <c r="K1178" s="137" t="s">
        <v>843</v>
      </c>
      <c r="L1178" s="137" t="s">
        <v>841</v>
      </c>
      <c r="M117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7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78" s="138" t="str" cm="1">
        <f t="array" ref="O1178">IFERROR(INDEX(CategoriesTable[Category type],MATCH(Table1[[#This Row],[Category]],CategoriesTable[Category name],0),0),"")</f>
        <v/>
      </c>
      <c r="P1178" s="138">
        <v>10</v>
      </c>
      <c r="Q1178" s="138">
        <f>MONTH(Table1[[#This Row],[Date]])</f>
        <v>3</v>
      </c>
      <c r="R1178" s="138">
        <v>2021</v>
      </c>
      <c r="S1178" s="139">
        <f>IF(ISBLANK(Table1[[#This Row],[Date]]),"",Table1[[#This Row],[Date]]-WEEKDAY(Table1[[#This Row],[Date]],2)+1)</f>
        <v>44263</v>
      </c>
      <c r="T1178" s="140">
        <f>IF(ISBLANK(Table1[[#This Row],[Date]]),"",DATE(Table1[[#This Row],[Date_Year]],Table1[[#This Row],[Date_Month]],1))</f>
        <v>44256</v>
      </c>
    </row>
    <row r="1179" spans="2:20" ht="15.75">
      <c r="B1179" s="154">
        <v>44265</v>
      </c>
      <c r="C1179" s="119" t="s">
        <v>676</v>
      </c>
      <c r="D1179" s="119"/>
      <c r="E1179" s="119"/>
      <c r="F1179" s="155">
        <v>227.35</v>
      </c>
      <c r="G1179" s="133" t="str">
        <f>_xlfn.XLOOKUP(Table1[[#This Row],[Account_ID]], Accounts[ID], Accounts[Account nickname], "Unknown")</f>
        <v>WF</v>
      </c>
      <c r="H1179" s="134" t="str">
        <f>_xlfn.XLOOKUP(Table1[[#This Row],[Account_ID]], Accounts[ID], Accounts[Account'#], "Unknown")</f>
        <v>4636</v>
      </c>
      <c r="I1179" s="135" t="str">
        <f>_xlfn.XLOOKUP(_xlfn.XLOOKUP(Table1[[#This Row],[Account]],Accounts[Account nickname],Accounts[Institution ID]),Institutions[ID],Institutions[Institution nickname],"Unknown")</f>
        <v>Wells Fargo</v>
      </c>
      <c r="J1179" s="136" t="s">
        <v>1169</v>
      </c>
      <c r="K1179" s="137" t="s">
        <v>808</v>
      </c>
      <c r="L1179" s="137" t="s">
        <v>807</v>
      </c>
      <c r="M117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7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79" s="138" t="str" cm="1">
        <f t="array" ref="O1179">IFERROR(INDEX(CategoriesTable[Category type],MATCH(Table1[[#This Row],[Category]],CategoriesTable[Category name],0),0),"")</f>
        <v/>
      </c>
      <c r="P1179" s="138">
        <v>10</v>
      </c>
      <c r="Q1179" s="138">
        <f>MONTH(Table1[[#This Row],[Date]])</f>
        <v>3</v>
      </c>
      <c r="R1179" s="138">
        <v>2021</v>
      </c>
      <c r="S1179" s="139">
        <f>IF(ISBLANK(Table1[[#This Row],[Date]]),"",Table1[[#This Row],[Date]]-WEEKDAY(Table1[[#This Row],[Date]],2)+1)</f>
        <v>44263</v>
      </c>
      <c r="T1179" s="140">
        <f>IF(ISBLANK(Table1[[#This Row],[Date]]),"",DATE(Table1[[#This Row],[Date_Year]],Table1[[#This Row],[Date_Month]],1))</f>
        <v>44256</v>
      </c>
    </row>
    <row r="1180" spans="2:20" ht="15.75">
      <c r="B1180" s="154">
        <v>44265</v>
      </c>
      <c r="C1180" s="119" t="s">
        <v>2536</v>
      </c>
      <c r="D1180" s="119"/>
      <c r="E1180" s="119"/>
      <c r="F1180" s="155">
        <v>-13.45</v>
      </c>
      <c r="G1180" s="133" t="str">
        <f>_xlfn.XLOOKUP(Table1[[#This Row],[Account_ID]], Accounts[ID], Accounts[Account nickname], "Unknown")</f>
        <v>Discover</v>
      </c>
      <c r="H1180" s="134" t="str">
        <f>_xlfn.XLOOKUP(Table1[[#This Row],[Account_ID]], Accounts[ID], Accounts[Account'#], "Unknown")</f>
        <v>4618</v>
      </c>
      <c r="I1180" s="135" t="str">
        <f>_xlfn.XLOOKUP(_xlfn.XLOOKUP(Table1[[#This Row],[Account]],Accounts[Account nickname],Accounts[Institution ID]),Institutions[ID],Institutions[Institution nickname],"Unknown")</f>
        <v>Discover</v>
      </c>
      <c r="J1180" s="136" t="s">
        <v>2537</v>
      </c>
      <c r="K1180" s="137" t="s">
        <v>843</v>
      </c>
      <c r="L1180" s="137" t="s">
        <v>841</v>
      </c>
      <c r="M118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8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80" s="138" t="str" cm="1">
        <f t="array" ref="O1180">IFERROR(INDEX(CategoriesTable[Category type],MATCH(Table1[[#This Row],[Category]],CategoriesTable[Category name],0),0),"")</f>
        <v/>
      </c>
      <c r="P1180" s="138">
        <v>10</v>
      </c>
      <c r="Q1180" s="138">
        <f>MONTH(Table1[[#This Row],[Date]])</f>
        <v>3</v>
      </c>
      <c r="R1180" s="138">
        <v>2021</v>
      </c>
      <c r="S1180" s="139">
        <f>IF(ISBLANK(Table1[[#This Row],[Date]]),"",Table1[[#This Row],[Date]]-WEEKDAY(Table1[[#This Row],[Date]],2)+1)</f>
        <v>44263</v>
      </c>
      <c r="T1180" s="140">
        <f>IF(ISBLANK(Table1[[#This Row],[Date]]),"",DATE(Table1[[#This Row],[Date_Year]],Table1[[#This Row],[Date_Month]],1))</f>
        <v>44256</v>
      </c>
    </row>
    <row r="1181" spans="2:20" ht="15.75">
      <c r="B1181" s="154">
        <v>44265</v>
      </c>
      <c r="C1181" s="119" t="s">
        <v>702</v>
      </c>
      <c r="D1181" s="119"/>
      <c r="E1181" s="119"/>
      <c r="F1181" s="155">
        <v>-9.19</v>
      </c>
      <c r="G1181" s="133" t="str">
        <f>_xlfn.XLOOKUP(Table1[[#This Row],[Account_ID]], Accounts[ID], Accounts[Account nickname], "Unknown")</f>
        <v>Discover</v>
      </c>
      <c r="H1181" s="134" t="str">
        <f>_xlfn.XLOOKUP(Table1[[#This Row],[Account_ID]], Accounts[ID], Accounts[Account'#], "Unknown")</f>
        <v>4618</v>
      </c>
      <c r="I1181" s="135" t="str">
        <f>_xlfn.XLOOKUP(_xlfn.XLOOKUP(Table1[[#This Row],[Account]],Accounts[Account nickname],Accounts[Institution ID]),Institutions[ID],Institutions[Institution nickname],"Unknown")</f>
        <v>Discover</v>
      </c>
      <c r="J1181" s="136" t="s">
        <v>2541</v>
      </c>
      <c r="K1181" s="137" t="s">
        <v>843</v>
      </c>
      <c r="L1181" s="137" t="s">
        <v>841</v>
      </c>
      <c r="M118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8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81" s="138" t="str" cm="1">
        <f t="array" ref="O1181">IFERROR(INDEX(CategoriesTable[Category type],MATCH(Table1[[#This Row],[Category]],CategoriesTable[Category name],0),0),"")</f>
        <v/>
      </c>
      <c r="P1181" s="138">
        <v>10</v>
      </c>
      <c r="Q1181" s="138">
        <f>MONTH(Table1[[#This Row],[Date]])</f>
        <v>3</v>
      </c>
      <c r="R1181" s="138">
        <v>2021</v>
      </c>
      <c r="S1181" s="139">
        <f>IF(ISBLANK(Table1[[#This Row],[Date]]),"",Table1[[#This Row],[Date]]-WEEKDAY(Table1[[#This Row],[Date]],2)+1)</f>
        <v>44263</v>
      </c>
      <c r="T1181" s="140">
        <f>IF(ISBLANK(Table1[[#This Row],[Date]]),"",DATE(Table1[[#This Row],[Date_Year]],Table1[[#This Row],[Date_Month]],1))</f>
        <v>44256</v>
      </c>
    </row>
    <row r="1182" spans="2:20" ht="15.75">
      <c r="B1182" s="154">
        <v>44264</v>
      </c>
      <c r="C1182" s="119" t="s">
        <v>2361</v>
      </c>
      <c r="D1182" s="119"/>
      <c r="E1182" s="119"/>
      <c r="F1182" s="155">
        <v>-86.17</v>
      </c>
      <c r="G1182" s="133" t="str">
        <f>_xlfn.XLOOKUP(Table1[[#This Row],[Account_ID]], Accounts[ID], Accounts[Account nickname], "Unknown")</f>
        <v>Discover</v>
      </c>
      <c r="H1182" s="134" t="str">
        <f>_xlfn.XLOOKUP(Table1[[#This Row],[Account_ID]], Accounts[ID], Accounts[Account'#], "Unknown")</f>
        <v>4618</v>
      </c>
      <c r="I1182" s="135" t="str">
        <f>_xlfn.XLOOKUP(_xlfn.XLOOKUP(Table1[[#This Row],[Account]],Accounts[Account nickname],Accounts[Institution ID]),Institutions[ID],Institutions[Institution nickname],"Unknown")</f>
        <v>Discover</v>
      </c>
      <c r="J1182" s="136" t="s">
        <v>2543</v>
      </c>
      <c r="K1182" s="137" t="s">
        <v>843</v>
      </c>
      <c r="L1182" s="137" t="s">
        <v>841</v>
      </c>
      <c r="M118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8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82" s="138" t="str" cm="1">
        <f t="array" ref="O1182">IFERROR(INDEX(CategoriesTable[Category type],MATCH(Table1[[#This Row],[Category]],CategoriesTable[Category name],0),0),"")</f>
        <v/>
      </c>
      <c r="P1182" s="138">
        <v>9</v>
      </c>
      <c r="Q1182" s="138">
        <f>MONTH(Table1[[#This Row],[Date]])</f>
        <v>3</v>
      </c>
      <c r="R1182" s="138">
        <v>2021</v>
      </c>
      <c r="S1182" s="139">
        <f>IF(ISBLANK(Table1[[#This Row],[Date]]),"",Table1[[#This Row],[Date]]-WEEKDAY(Table1[[#This Row],[Date]],2)+1)</f>
        <v>44263</v>
      </c>
      <c r="T1182" s="140">
        <f>IF(ISBLANK(Table1[[#This Row],[Date]]),"",DATE(Table1[[#This Row],[Date_Year]],Table1[[#This Row],[Date_Month]],1))</f>
        <v>44256</v>
      </c>
    </row>
    <row r="1183" spans="2:20" ht="15.75">
      <c r="B1183" s="154">
        <v>44264</v>
      </c>
      <c r="C1183" s="119" t="s">
        <v>724</v>
      </c>
      <c r="D1183" s="119"/>
      <c r="E1183" s="119"/>
      <c r="F1183" s="155">
        <v>-3.99</v>
      </c>
      <c r="G1183" s="133" t="str">
        <f>_xlfn.XLOOKUP(Table1[[#This Row],[Account_ID]], Accounts[ID], Accounts[Account nickname], "Unknown")</f>
        <v>Discover</v>
      </c>
      <c r="H1183" s="134" t="str">
        <f>_xlfn.XLOOKUP(Table1[[#This Row],[Account_ID]], Accounts[ID], Accounts[Account'#], "Unknown")</f>
        <v>4618</v>
      </c>
      <c r="I1183" s="135" t="str">
        <f>_xlfn.XLOOKUP(_xlfn.XLOOKUP(Table1[[#This Row],[Account]],Accounts[Account nickname],Accounts[Institution ID]),Institutions[ID],Institutions[Institution nickname],"Unknown")</f>
        <v>Discover</v>
      </c>
      <c r="J1183" s="136" t="s">
        <v>2544</v>
      </c>
      <c r="K1183" s="137" t="s">
        <v>843</v>
      </c>
      <c r="L1183" s="137" t="s">
        <v>841</v>
      </c>
      <c r="M118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8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83" s="138" t="str" cm="1">
        <f t="array" ref="O1183">IFERROR(INDEX(CategoriesTable[Category type],MATCH(Table1[[#This Row],[Category]],CategoriesTable[Category name],0),0),"")</f>
        <v/>
      </c>
      <c r="P1183" s="138">
        <v>9</v>
      </c>
      <c r="Q1183" s="138">
        <f>MONTH(Table1[[#This Row],[Date]])</f>
        <v>3</v>
      </c>
      <c r="R1183" s="138">
        <v>2021</v>
      </c>
      <c r="S1183" s="139">
        <f>IF(ISBLANK(Table1[[#This Row],[Date]]),"",Table1[[#This Row],[Date]]-WEEKDAY(Table1[[#This Row],[Date]],2)+1)</f>
        <v>44263</v>
      </c>
      <c r="T1183" s="140">
        <f>IF(ISBLANK(Table1[[#This Row],[Date]]),"",DATE(Table1[[#This Row],[Date_Year]],Table1[[#This Row],[Date_Month]],1))</f>
        <v>44256</v>
      </c>
    </row>
    <row r="1184" spans="2:20" ht="15.75">
      <c r="B1184" s="154">
        <v>44264</v>
      </c>
      <c r="C1184" s="119" t="s">
        <v>762</v>
      </c>
      <c r="D1184" s="119"/>
      <c r="E1184" s="119"/>
      <c r="F1184" s="155">
        <v>55</v>
      </c>
      <c r="G1184" s="133" t="str">
        <f>_xlfn.XLOOKUP(Table1[[#This Row],[Account_ID]], Accounts[ID], Accounts[Account nickname], "Unknown")</f>
        <v>WF</v>
      </c>
      <c r="H1184" s="134" t="str">
        <f>_xlfn.XLOOKUP(Table1[[#This Row],[Account_ID]], Accounts[ID], Accounts[Account'#], "Unknown")</f>
        <v>4636</v>
      </c>
      <c r="I1184" s="135" t="str">
        <f>_xlfn.XLOOKUP(_xlfn.XLOOKUP(Table1[[#This Row],[Account]],Accounts[Account nickname],Accounts[Institution ID]),Institutions[ID],Institutions[Institution nickname],"Unknown")</f>
        <v>Wells Fargo</v>
      </c>
      <c r="J1184" s="136" t="s">
        <v>1171</v>
      </c>
      <c r="K1184" s="137" t="s">
        <v>808</v>
      </c>
      <c r="L1184" s="137" t="s">
        <v>807</v>
      </c>
      <c r="M118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8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84" s="138" t="str" cm="1">
        <f t="array" ref="O1184">IFERROR(INDEX(CategoriesTable[Category type],MATCH(Table1[[#This Row],[Category]],CategoriesTable[Category name],0),0),"")</f>
        <v/>
      </c>
      <c r="P1184" s="138">
        <v>9</v>
      </c>
      <c r="Q1184" s="138">
        <f>MONTH(Table1[[#This Row],[Date]])</f>
        <v>3</v>
      </c>
      <c r="R1184" s="138">
        <v>2021</v>
      </c>
      <c r="S1184" s="139">
        <f>IF(ISBLANK(Table1[[#This Row],[Date]]),"",Table1[[#This Row],[Date]]-WEEKDAY(Table1[[#This Row],[Date]],2)+1)</f>
        <v>44263</v>
      </c>
      <c r="T1184" s="140">
        <f>IF(ISBLANK(Table1[[#This Row],[Date]]),"",DATE(Table1[[#This Row],[Date_Year]],Table1[[#This Row],[Date_Month]],1))</f>
        <v>44256</v>
      </c>
    </row>
    <row r="1185" spans="2:20" ht="15.75">
      <c r="B1185" s="154">
        <v>44264</v>
      </c>
      <c r="C1185" s="119" t="s">
        <v>724</v>
      </c>
      <c r="D1185" s="119"/>
      <c r="E1185" s="119"/>
      <c r="F1185" s="155">
        <v>-18.34</v>
      </c>
      <c r="G1185" s="133" t="str">
        <f>_xlfn.XLOOKUP(Table1[[#This Row],[Account_ID]], Accounts[ID], Accounts[Account nickname], "Unknown")</f>
        <v>Discover</v>
      </c>
      <c r="H1185" s="134" t="str">
        <f>_xlfn.XLOOKUP(Table1[[#This Row],[Account_ID]], Accounts[ID], Accounts[Account'#], "Unknown")</f>
        <v>4618</v>
      </c>
      <c r="I1185" s="135" t="str">
        <f>_xlfn.XLOOKUP(_xlfn.XLOOKUP(Table1[[#This Row],[Account]],Accounts[Account nickname],Accounts[Institution ID]),Institutions[ID],Institutions[Institution nickname],"Unknown")</f>
        <v>Discover</v>
      </c>
      <c r="J1185" s="136" t="s">
        <v>2545</v>
      </c>
      <c r="K1185" s="137" t="s">
        <v>843</v>
      </c>
      <c r="L1185" s="137" t="s">
        <v>841</v>
      </c>
      <c r="M118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8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85" s="138" t="str" cm="1">
        <f t="array" ref="O1185">IFERROR(INDEX(CategoriesTable[Category type],MATCH(Table1[[#This Row],[Category]],CategoriesTable[Category name],0),0),"")</f>
        <v/>
      </c>
      <c r="P1185" s="138">
        <v>9</v>
      </c>
      <c r="Q1185" s="138">
        <f>MONTH(Table1[[#This Row],[Date]])</f>
        <v>3</v>
      </c>
      <c r="R1185" s="138">
        <v>2021</v>
      </c>
      <c r="S1185" s="139">
        <f>IF(ISBLANK(Table1[[#This Row],[Date]]),"",Table1[[#This Row],[Date]]-WEEKDAY(Table1[[#This Row],[Date]],2)+1)</f>
        <v>44263</v>
      </c>
      <c r="T1185" s="140">
        <f>IF(ISBLANK(Table1[[#This Row],[Date]]),"",DATE(Table1[[#This Row],[Date_Year]],Table1[[#This Row],[Date_Month]],1))</f>
        <v>44256</v>
      </c>
    </row>
    <row r="1186" spans="2:20" ht="15.75">
      <c r="B1186" s="154">
        <v>44264</v>
      </c>
      <c r="C1186" s="119" t="s">
        <v>678</v>
      </c>
      <c r="D1186" s="119"/>
      <c r="E1186" s="119"/>
      <c r="F1186" s="155">
        <v>-150</v>
      </c>
      <c r="G1186" s="133" t="str">
        <f>_xlfn.XLOOKUP(Table1[[#This Row],[Account_ID]], Accounts[ID], Accounts[Account nickname], "Unknown")</f>
        <v>WF</v>
      </c>
      <c r="H1186" s="134" t="str">
        <f>_xlfn.XLOOKUP(Table1[[#This Row],[Account_ID]], Accounts[ID], Accounts[Account'#], "Unknown")</f>
        <v>4636</v>
      </c>
      <c r="I1186" s="135" t="str">
        <f>_xlfn.XLOOKUP(_xlfn.XLOOKUP(Table1[[#This Row],[Account]],Accounts[Account nickname],Accounts[Institution ID]),Institutions[ID],Institutions[Institution nickname],"Unknown")</f>
        <v>Wells Fargo</v>
      </c>
      <c r="J1186" s="136" t="s">
        <v>1172</v>
      </c>
      <c r="K1186" s="137" t="s">
        <v>808</v>
      </c>
      <c r="L1186" s="137" t="s">
        <v>807</v>
      </c>
      <c r="M118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8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86" s="138" t="str" cm="1">
        <f t="array" ref="O1186">IFERROR(INDEX(CategoriesTable[Category type],MATCH(Table1[[#This Row],[Category]],CategoriesTable[Category name],0),0),"")</f>
        <v/>
      </c>
      <c r="P1186" s="138">
        <v>9</v>
      </c>
      <c r="Q1186" s="138">
        <f>MONTH(Table1[[#This Row],[Date]])</f>
        <v>3</v>
      </c>
      <c r="R1186" s="138">
        <v>2021</v>
      </c>
      <c r="S1186" s="139">
        <f>IF(ISBLANK(Table1[[#This Row],[Date]]),"",Table1[[#This Row],[Date]]-WEEKDAY(Table1[[#This Row],[Date]],2)+1)</f>
        <v>44263</v>
      </c>
      <c r="T1186" s="140">
        <f>IF(ISBLANK(Table1[[#This Row],[Date]]),"",DATE(Table1[[#This Row],[Date_Year]],Table1[[#This Row],[Date_Month]],1))</f>
        <v>44256</v>
      </c>
    </row>
    <row r="1187" spans="2:20" ht="15.75">
      <c r="B1187" s="154">
        <v>44263</v>
      </c>
      <c r="C1187" s="119" t="s">
        <v>2300</v>
      </c>
      <c r="D1187" s="119"/>
      <c r="E1187" s="119"/>
      <c r="F1187" s="155">
        <v>-55</v>
      </c>
      <c r="G1187" s="133" t="str">
        <f>_xlfn.XLOOKUP(Table1[[#This Row],[Account_ID]], Accounts[ID], Accounts[Account nickname], "Unknown")</f>
        <v>Discover</v>
      </c>
      <c r="H1187" s="134" t="str">
        <f>_xlfn.XLOOKUP(Table1[[#This Row],[Account_ID]], Accounts[ID], Accounts[Account'#], "Unknown")</f>
        <v>4618</v>
      </c>
      <c r="I1187" s="135" t="str">
        <f>_xlfn.XLOOKUP(_xlfn.XLOOKUP(Table1[[#This Row],[Account]],Accounts[Account nickname],Accounts[Institution ID]),Institutions[ID],Institutions[Institution nickname],"Unknown")</f>
        <v>Discover</v>
      </c>
      <c r="J1187" s="136" t="s">
        <v>2546</v>
      </c>
      <c r="K1187" s="137" t="s">
        <v>843</v>
      </c>
      <c r="L1187" s="137" t="s">
        <v>841</v>
      </c>
      <c r="M118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8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87" s="138" t="str" cm="1">
        <f t="array" ref="O1187">IFERROR(INDEX(CategoriesTable[Category type],MATCH(Table1[[#This Row],[Category]],CategoriesTable[Category name],0),0),"")</f>
        <v/>
      </c>
      <c r="P1187" s="138">
        <v>8</v>
      </c>
      <c r="Q1187" s="138">
        <f>MONTH(Table1[[#This Row],[Date]])</f>
        <v>3</v>
      </c>
      <c r="R1187" s="138">
        <v>2021</v>
      </c>
      <c r="S1187" s="139">
        <f>IF(ISBLANK(Table1[[#This Row],[Date]]),"",Table1[[#This Row],[Date]]-WEEKDAY(Table1[[#This Row],[Date]],2)+1)</f>
        <v>44263</v>
      </c>
      <c r="T1187" s="140">
        <f>IF(ISBLANK(Table1[[#This Row],[Date]]),"",DATE(Table1[[#This Row],[Date_Year]],Table1[[#This Row],[Date_Month]],1))</f>
        <v>44256</v>
      </c>
    </row>
    <row r="1188" spans="2:20" ht="15.75">
      <c r="B1188" s="154">
        <v>44262</v>
      </c>
      <c r="C1188" s="119" t="s">
        <v>2549</v>
      </c>
      <c r="D1188" s="119"/>
      <c r="E1188" s="119"/>
      <c r="F1188" s="155">
        <v>-1</v>
      </c>
      <c r="G1188" s="133" t="str">
        <f>_xlfn.XLOOKUP(Table1[[#This Row],[Account_ID]], Accounts[ID], Accounts[Account nickname], "Unknown")</f>
        <v>Discover</v>
      </c>
      <c r="H1188" s="134" t="str">
        <f>_xlfn.XLOOKUP(Table1[[#This Row],[Account_ID]], Accounts[ID], Accounts[Account'#], "Unknown")</f>
        <v>4618</v>
      </c>
      <c r="I1188" s="135" t="str">
        <f>_xlfn.XLOOKUP(_xlfn.XLOOKUP(Table1[[#This Row],[Account]],Accounts[Account nickname],Accounts[Institution ID]),Institutions[ID],Institutions[Institution nickname],"Unknown")</f>
        <v>Discover</v>
      </c>
      <c r="J1188" s="136" t="s">
        <v>2550</v>
      </c>
      <c r="K1188" s="137" t="s">
        <v>843</v>
      </c>
      <c r="L1188" s="137" t="s">
        <v>841</v>
      </c>
      <c r="M118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8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88" s="138" t="str" cm="1">
        <f t="array" ref="O1188">IFERROR(INDEX(CategoriesTable[Category type],MATCH(Table1[[#This Row],[Category]],CategoriesTable[Category name],0),0),"")</f>
        <v/>
      </c>
      <c r="P1188" s="138">
        <v>7</v>
      </c>
      <c r="Q1188" s="138">
        <f>MONTH(Table1[[#This Row],[Date]])</f>
        <v>3</v>
      </c>
      <c r="R1188" s="138">
        <v>2021</v>
      </c>
      <c r="S1188" s="139">
        <f>IF(ISBLANK(Table1[[#This Row],[Date]]),"",Table1[[#This Row],[Date]]-WEEKDAY(Table1[[#This Row],[Date]],2)+1)</f>
        <v>44256</v>
      </c>
      <c r="T1188" s="140">
        <f>IF(ISBLANK(Table1[[#This Row],[Date]]),"",DATE(Table1[[#This Row],[Date_Year]],Table1[[#This Row],[Date_Month]],1))</f>
        <v>44256</v>
      </c>
    </row>
    <row r="1189" spans="2:20" ht="15.75">
      <c r="B1189" s="154">
        <v>44262</v>
      </c>
      <c r="C1189" s="119" t="s">
        <v>2549</v>
      </c>
      <c r="D1189" s="119"/>
      <c r="E1189" s="119"/>
      <c r="F1189" s="155">
        <v>1</v>
      </c>
      <c r="G1189" s="133" t="str">
        <f>_xlfn.XLOOKUP(Table1[[#This Row],[Account_ID]], Accounts[ID], Accounts[Account nickname], "Unknown")</f>
        <v>Discover</v>
      </c>
      <c r="H1189" s="134" t="str">
        <f>_xlfn.XLOOKUP(Table1[[#This Row],[Account_ID]], Accounts[ID], Accounts[Account'#], "Unknown")</f>
        <v>4618</v>
      </c>
      <c r="I1189" s="135" t="str">
        <f>_xlfn.XLOOKUP(_xlfn.XLOOKUP(Table1[[#This Row],[Account]],Accounts[Account nickname],Accounts[Institution ID]),Institutions[ID],Institutions[Institution nickname],"Unknown")</f>
        <v>Discover</v>
      </c>
      <c r="J1189" s="136" t="s">
        <v>2551</v>
      </c>
      <c r="K1189" s="137" t="s">
        <v>843</v>
      </c>
      <c r="L1189" s="137" t="s">
        <v>841</v>
      </c>
      <c r="M118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8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89" s="138" t="str" cm="1">
        <f t="array" ref="O1189">IFERROR(INDEX(CategoriesTable[Category type],MATCH(Table1[[#This Row],[Category]],CategoriesTable[Category name],0),0),"")</f>
        <v/>
      </c>
      <c r="P1189" s="138">
        <v>7</v>
      </c>
      <c r="Q1189" s="138">
        <f>MONTH(Table1[[#This Row],[Date]])</f>
        <v>3</v>
      </c>
      <c r="R1189" s="138">
        <v>2021</v>
      </c>
      <c r="S1189" s="139">
        <f>IF(ISBLANK(Table1[[#This Row],[Date]]),"",Table1[[#This Row],[Date]]-WEEKDAY(Table1[[#This Row],[Date]],2)+1)</f>
        <v>44256</v>
      </c>
      <c r="T1189" s="140">
        <f>IF(ISBLANK(Table1[[#This Row],[Date]]),"",DATE(Table1[[#This Row],[Date_Year]],Table1[[#This Row],[Date_Month]],1))</f>
        <v>44256</v>
      </c>
    </row>
    <row r="1190" spans="2:20" ht="15.75">
      <c r="B1190" s="154">
        <v>44262</v>
      </c>
      <c r="C1190" s="119" t="s">
        <v>2501</v>
      </c>
      <c r="D1190" s="119"/>
      <c r="E1190" s="119"/>
      <c r="F1190" s="155">
        <v>-1</v>
      </c>
      <c r="G1190" s="133" t="str">
        <f>_xlfn.XLOOKUP(Table1[[#This Row],[Account_ID]], Accounts[ID], Accounts[Account nickname], "Unknown")</f>
        <v>Discover</v>
      </c>
      <c r="H1190" s="134" t="str">
        <f>_xlfn.XLOOKUP(Table1[[#This Row],[Account_ID]], Accounts[ID], Accounts[Account'#], "Unknown")</f>
        <v>4618</v>
      </c>
      <c r="I1190" s="135" t="str">
        <f>_xlfn.XLOOKUP(_xlfn.XLOOKUP(Table1[[#This Row],[Account]],Accounts[Account nickname],Accounts[Institution ID]),Institutions[ID],Institutions[Institution nickname],"Unknown")</f>
        <v>Discover</v>
      </c>
      <c r="J1190" s="136" t="s">
        <v>2547</v>
      </c>
      <c r="K1190" s="137" t="s">
        <v>843</v>
      </c>
      <c r="L1190" s="137" t="s">
        <v>841</v>
      </c>
      <c r="M119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9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90" s="138" t="str" cm="1">
        <f t="array" ref="O1190">IFERROR(INDEX(CategoriesTable[Category type],MATCH(Table1[[#This Row],[Category]],CategoriesTable[Category name],0),0),"")</f>
        <v/>
      </c>
      <c r="P1190" s="138">
        <v>7</v>
      </c>
      <c r="Q1190" s="138">
        <f>MONTH(Table1[[#This Row],[Date]])</f>
        <v>3</v>
      </c>
      <c r="R1190" s="138">
        <v>2021</v>
      </c>
      <c r="S1190" s="139">
        <f>IF(ISBLANK(Table1[[#This Row],[Date]]),"",Table1[[#This Row],[Date]]-WEEKDAY(Table1[[#This Row],[Date]],2)+1)</f>
        <v>44256</v>
      </c>
      <c r="T1190" s="140">
        <f>IF(ISBLANK(Table1[[#This Row],[Date]]),"",DATE(Table1[[#This Row],[Date_Year]],Table1[[#This Row],[Date_Month]],1))</f>
        <v>44256</v>
      </c>
    </row>
    <row r="1191" spans="2:20" ht="15.75">
      <c r="B1191" s="154">
        <v>44262</v>
      </c>
      <c r="C1191" s="119" t="s">
        <v>2501</v>
      </c>
      <c r="D1191" s="119"/>
      <c r="E1191" s="119"/>
      <c r="F1191" s="155">
        <v>1</v>
      </c>
      <c r="G1191" s="133" t="str">
        <f>_xlfn.XLOOKUP(Table1[[#This Row],[Account_ID]], Accounts[ID], Accounts[Account nickname], "Unknown")</f>
        <v>Discover</v>
      </c>
      <c r="H1191" s="134" t="str">
        <f>_xlfn.XLOOKUP(Table1[[#This Row],[Account_ID]], Accounts[ID], Accounts[Account'#], "Unknown")</f>
        <v>4618</v>
      </c>
      <c r="I1191" s="135" t="str">
        <f>_xlfn.XLOOKUP(_xlfn.XLOOKUP(Table1[[#This Row],[Account]],Accounts[Account nickname],Accounts[Institution ID]),Institutions[ID],Institutions[Institution nickname],"Unknown")</f>
        <v>Discover</v>
      </c>
      <c r="J1191" s="136" t="s">
        <v>2548</v>
      </c>
      <c r="K1191" s="137" t="s">
        <v>843</v>
      </c>
      <c r="L1191" s="137" t="s">
        <v>841</v>
      </c>
      <c r="M119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9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91" s="138" t="str" cm="1">
        <f t="array" ref="O1191">IFERROR(INDEX(CategoriesTable[Category type],MATCH(Table1[[#This Row],[Category]],CategoriesTable[Category name],0),0),"")</f>
        <v/>
      </c>
      <c r="P1191" s="138">
        <v>7</v>
      </c>
      <c r="Q1191" s="138">
        <f>MONTH(Table1[[#This Row],[Date]])</f>
        <v>3</v>
      </c>
      <c r="R1191" s="138">
        <v>2021</v>
      </c>
      <c r="S1191" s="139">
        <f>IF(ISBLANK(Table1[[#This Row],[Date]]),"",Table1[[#This Row],[Date]]-WEEKDAY(Table1[[#This Row],[Date]],2)+1)</f>
        <v>44256</v>
      </c>
      <c r="T1191" s="140">
        <f>IF(ISBLANK(Table1[[#This Row],[Date]]),"",DATE(Table1[[#This Row],[Date_Year]],Table1[[#This Row],[Date_Month]],1))</f>
        <v>44256</v>
      </c>
    </row>
    <row r="1192" spans="2:20" ht="15.75">
      <c r="B1192" s="154">
        <v>44262</v>
      </c>
      <c r="C1192" s="119" t="s">
        <v>724</v>
      </c>
      <c r="D1192" s="119"/>
      <c r="E1192" s="119"/>
      <c r="F1192" s="155">
        <v>-90.38</v>
      </c>
      <c r="G1192" s="133" t="str">
        <f>_xlfn.XLOOKUP(Table1[[#This Row],[Account_ID]], Accounts[ID], Accounts[Account nickname], "Unknown")</f>
        <v>Discover</v>
      </c>
      <c r="H1192" s="134" t="str">
        <f>_xlfn.XLOOKUP(Table1[[#This Row],[Account_ID]], Accounts[ID], Accounts[Account'#], "Unknown")</f>
        <v>4618</v>
      </c>
      <c r="I1192" s="135" t="str">
        <f>_xlfn.XLOOKUP(_xlfn.XLOOKUP(Table1[[#This Row],[Account]],Accounts[Account nickname],Accounts[Institution ID]),Institutions[ID],Institutions[Institution nickname],"Unknown")</f>
        <v>Discover</v>
      </c>
      <c r="J1192" s="136" t="s">
        <v>2552</v>
      </c>
      <c r="K1192" s="137" t="s">
        <v>843</v>
      </c>
      <c r="L1192" s="137" t="s">
        <v>841</v>
      </c>
      <c r="M119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9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92" s="138" t="str" cm="1">
        <f t="array" ref="O1192">IFERROR(INDEX(CategoriesTable[Category type],MATCH(Table1[[#This Row],[Category]],CategoriesTable[Category name],0),0),"")</f>
        <v/>
      </c>
      <c r="P1192" s="138">
        <v>7</v>
      </c>
      <c r="Q1192" s="138">
        <f>MONTH(Table1[[#This Row],[Date]])</f>
        <v>3</v>
      </c>
      <c r="R1192" s="138">
        <v>2021</v>
      </c>
      <c r="S1192" s="139">
        <f>IF(ISBLANK(Table1[[#This Row],[Date]]),"",Table1[[#This Row],[Date]]-WEEKDAY(Table1[[#This Row],[Date]],2)+1)</f>
        <v>44256</v>
      </c>
      <c r="T1192" s="140">
        <f>IF(ISBLANK(Table1[[#This Row],[Date]]),"",DATE(Table1[[#This Row],[Date_Year]],Table1[[#This Row],[Date_Month]],1))</f>
        <v>44256</v>
      </c>
    </row>
    <row r="1193" spans="2:20" ht="15.75">
      <c r="B1193" s="154">
        <v>44261</v>
      </c>
      <c r="C1193" s="119" t="s">
        <v>2553</v>
      </c>
      <c r="D1193" s="119"/>
      <c r="E1193" s="119"/>
      <c r="F1193" s="155">
        <v>-70</v>
      </c>
      <c r="G1193" s="133" t="str">
        <f>_xlfn.XLOOKUP(Table1[[#This Row],[Account_ID]], Accounts[ID], Accounts[Account nickname], "Unknown")</f>
        <v>Discover</v>
      </c>
      <c r="H1193" s="134" t="str">
        <f>_xlfn.XLOOKUP(Table1[[#This Row],[Account_ID]], Accounts[ID], Accounts[Account'#], "Unknown")</f>
        <v>4618</v>
      </c>
      <c r="I1193" s="135" t="str">
        <f>_xlfn.XLOOKUP(_xlfn.XLOOKUP(Table1[[#This Row],[Account]],Accounts[Account nickname],Accounts[Institution ID]),Institutions[ID],Institutions[Institution nickname],"Unknown")</f>
        <v>Discover</v>
      </c>
      <c r="J1193" s="136" t="s">
        <v>2554</v>
      </c>
      <c r="K1193" s="137" t="s">
        <v>843</v>
      </c>
      <c r="L1193" s="137" t="s">
        <v>841</v>
      </c>
      <c r="M119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9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93" s="138" t="str" cm="1">
        <f t="array" ref="O1193">IFERROR(INDEX(CategoriesTable[Category type],MATCH(Table1[[#This Row],[Category]],CategoriesTable[Category name],0),0),"")</f>
        <v/>
      </c>
      <c r="P1193" s="138">
        <v>6</v>
      </c>
      <c r="Q1193" s="138">
        <f>MONTH(Table1[[#This Row],[Date]])</f>
        <v>3</v>
      </c>
      <c r="R1193" s="138">
        <v>2021</v>
      </c>
      <c r="S1193" s="139">
        <f>IF(ISBLANK(Table1[[#This Row],[Date]]),"",Table1[[#This Row],[Date]]-WEEKDAY(Table1[[#This Row],[Date]],2)+1)</f>
        <v>44256</v>
      </c>
      <c r="T1193" s="140">
        <f>IF(ISBLANK(Table1[[#This Row],[Date]]),"",DATE(Table1[[#This Row],[Date_Year]],Table1[[#This Row],[Date_Month]],1))</f>
        <v>44256</v>
      </c>
    </row>
    <row r="1194" spans="2:20" ht="15.75">
      <c r="B1194" s="154">
        <v>44260</v>
      </c>
      <c r="C1194" s="119" t="s">
        <v>2555</v>
      </c>
      <c r="D1194" s="119"/>
      <c r="E1194" s="119"/>
      <c r="F1194" s="155">
        <v>-350</v>
      </c>
      <c r="G1194" s="133" t="str">
        <f>_xlfn.XLOOKUP(Table1[[#This Row],[Account_ID]], Accounts[ID], Accounts[Account nickname], "Unknown")</f>
        <v>Discover</v>
      </c>
      <c r="H1194" s="134" t="str">
        <f>_xlfn.XLOOKUP(Table1[[#This Row],[Account_ID]], Accounts[ID], Accounts[Account'#], "Unknown")</f>
        <v>4618</v>
      </c>
      <c r="I1194" s="135" t="str">
        <f>_xlfn.XLOOKUP(_xlfn.XLOOKUP(Table1[[#This Row],[Account]],Accounts[Account nickname],Accounts[Institution ID]),Institutions[ID],Institutions[Institution nickname],"Unknown")</f>
        <v>Discover</v>
      </c>
      <c r="J1194" s="136" t="s">
        <v>2556</v>
      </c>
      <c r="K1194" s="137" t="s">
        <v>843</v>
      </c>
      <c r="L1194" s="137" t="s">
        <v>841</v>
      </c>
      <c r="M119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9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94" s="138" t="str" cm="1">
        <f t="array" ref="O1194">IFERROR(INDEX(CategoriesTable[Category type],MATCH(Table1[[#This Row],[Category]],CategoriesTable[Category name],0),0),"")</f>
        <v/>
      </c>
      <c r="P1194" s="138">
        <v>5</v>
      </c>
      <c r="Q1194" s="138">
        <f>MONTH(Table1[[#This Row],[Date]])</f>
        <v>3</v>
      </c>
      <c r="R1194" s="138">
        <v>2021</v>
      </c>
      <c r="S1194" s="139">
        <f>IF(ISBLANK(Table1[[#This Row],[Date]]),"",Table1[[#This Row],[Date]]-WEEKDAY(Table1[[#This Row],[Date]],2)+1)</f>
        <v>44256</v>
      </c>
      <c r="T1194" s="140">
        <f>IF(ISBLANK(Table1[[#This Row],[Date]]),"",DATE(Table1[[#This Row],[Date_Year]],Table1[[#This Row],[Date_Month]],1))</f>
        <v>44256</v>
      </c>
    </row>
    <row r="1195" spans="2:20" ht="15.75">
      <c r="B1195" s="154">
        <v>44259</v>
      </c>
      <c r="C1195" s="119" t="s">
        <v>753</v>
      </c>
      <c r="D1195" s="119"/>
      <c r="E1195" s="119"/>
      <c r="F1195" s="155">
        <v>138.47</v>
      </c>
      <c r="G1195" s="133" t="str">
        <f>_xlfn.XLOOKUP(Table1[[#This Row],[Account_ID]], Accounts[ID], Accounts[Account nickname], "Unknown")</f>
        <v>WF</v>
      </c>
      <c r="H1195" s="134" t="str">
        <f>_xlfn.XLOOKUP(Table1[[#This Row],[Account_ID]], Accounts[ID], Accounts[Account'#], "Unknown")</f>
        <v>4636</v>
      </c>
      <c r="I1195" s="135" t="str">
        <f>_xlfn.XLOOKUP(_xlfn.XLOOKUP(Table1[[#This Row],[Account]],Accounts[Account nickname],Accounts[Institution ID]),Institutions[ID],Institutions[Institution nickname],"Unknown")</f>
        <v>Wells Fargo</v>
      </c>
      <c r="J1195" s="136" t="s">
        <v>1173</v>
      </c>
      <c r="K1195" s="137" t="s">
        <v>808</v>
      </c>
      <c r="L1195" s="137" t="s">
        <v>807</v>
      </c>
      <c r="M119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9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95" s="138" t="str" cm="1">
        <f t="array" ref="O1195">IFERROR(INDEX(CategoriesTable[Category type],MATCH(Table1[[#This Row],[Category]],CategoriesTable[Category name],0),0),"")</f>
        <v/>
      </c>
      <c r="P1195" s="138">
        <v>4</v>
      </c>
      <c r="Q1195" s="138">
        <f>MONTH(Table1[[#This Row],[Date]])</f>
        <v>3</v>
      </c>
      <c r="R1195" s="138">
        <v>2021</v>
      </c>
      <c r="S1195" s="139">
        <f>IF(ISBLANK(Table1[[#This Row],[Date]]),"",Table1[[#This Row],[Date]]-WEEKDAY(Table1[[#This Row],[Date]],2)+1)</f>
        <v>44256</v>
      </c>
      <c r="T1195" s="140">
        <f>IF(ISBLANK(Table1[[#This Row],[Date]]),"",DATE(Table1[[#This Row],[Date_Year]],Table1[[#This Row],[Date_Month]],1))</f>
        <v>44256</v>
      </c>
    </row>
    <row r="1196" spans="2:20" ht="15.75">
      <c r="B1196" s="154">
        <v>44259</v>
      </c>
      <c r="C1196" s="119" t="s">
        <v>1403</v>
      </c>
      <c r="D1196" s="119"/>
      <c r="E1196" s="119"/>
      <c r="F1196" s="155">
        <v>-91.78</v>
      </c>
      <c r="G1196" s="133" t="str">
        <f>_xlfn.XLOOKUP(Table1[[#This Row],[Account_ID]], Accounts[ID], Accounts[Account nickname], "Unknown")</f>
        <v>Discover</v>
      </c>
      <c r="H1196" s="134" t="str">
        <f>_xlfn.XLOOKUP(Table1[[#This Row],[Account_ID]], Accounts[ID], Accounts[Account'#], "Unknown")</f>
        <v>4618</v>
      </c>
      <c r="I1196" s="135" t="str">
        <f>_xlfn.XLOOKUP(_xlfn.XLOOKUP(Table1[[#This Row],[Account]],Accounts[Account nickname],Accounts[Institution ID]),Institutions[ID],Institutions[Institution nickname],"Unknown")</f>
        <v>Discover</v>
      </c>
      <c r="J1196" s="136" t="s">
        <v>2557</v>
      </c>
      <c r="K1196" s="137" t="s">
        <v>843</v>
      </c>
      <c r="L1196" s="137" t="s">
        <v>841</v>
      </c>
      <c r="M119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9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96" s="138" t="str" cm="1">
        <f t="array" ref="O1196">IFERROR(INDEX(CategoriesTable[Category type],MATCH(Table1[[#This Row],[Category]],CategoriesTable[Category name],0),0),"")</f>
        <v/>
      </c>
      <c r="P1196" s="138">
        <v>4</v>
      </c>
      <c r="Q1196" s="138">
        <f>MONTH(Table1[[#This Row],[Date]])</f>
        <v>3</v>
      </c>
      <c r="R1196" s="138">
        <v>2021</v>
      </c>
      <c r="S1196" s="139">
        <f>IF(ISBLANK(Table1[[#This Row],[Date]]),"",Table1[[#This Row],[Date]]-WEEKDAY(Table1[[#This Row],[Date]],2)+1)</f>
        <v>44256</v>
      </c>
      <c r="T1196" s="140">
        <f>IF(ISBLANK(Table1[[#This Row],[Date]]),"",DATE(Table1[[#This Row],[Date_Year]],Table1[[#This Row],[Date_Month]],1))</f>
        <v>44256</v>
      </c>
    </row>
    <row r="1197" spans="2:20" ht="15.75">
      <c r="B1197" s="154">
        <v>44257</v>
      </c>
      <c r="C1197" s="119" t="s">
        <v>752</v>
      </c>
      <c r="D1197" s="119"/>
      <c r="E1197" s="119"/>
      <c r="F1197" s="155">
        <v>-500</v>
      </c>
      <c r="G1197" s="133" t="str">
        <f>_xlfn.XLOOKUP(Table1[[#This Row],[Account_ID]], Accounts[ID], Accounts[Account nickname], "Unknown")</f>
        <v>WF</v>
      </c>
      <c r="H1197" s="134" t="str">
        <f>_xlfn.XLOOKUP(Table1[[#This Row],[Account_ID]], Accounts[ID], Accounts[Account'#], "Unknown")</f>
        <v>4636</v>
      </c>
      <c r="I1197" s="135" t="str">
        <f>_xlfn.XLOOKUP(_xlfn.XLOOKUP(Table1[[#This Row],[Account]],Accounts[Account nickname],Accounts[Institution ID]),Institutions[ID],Institutions[Institution nickname],"Unknown")</f>
        <v>Wells Fargo</v>
      </c>
      <c r="J1197" s="136" t="s">
        <v>1174</v>
      </c>
      <c r="K1197" s="137" t="s">
        <v>808</v>
      </c>
      <c r="L1197" s="137" t="s">
        <v>807</v>
      </c>
      <c r="M119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9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97" s="138" t="str" cm="1">
        <f t="array" ref="O1197">IFERROR(INDEX(CategoriesTable[Category type],MATCH(Table1[[#This Row],[Category]],CategoriesTable[Category name],0),0),"")</f>
        <v/>
      </c>
      <c r="P1197" s="138">
        <v>2</v>
      </c>
      <c r="Q1197" s="138">
        <f>MONTH(Table1[[#This Row],[Date]])</f>
        <v>3</v>
      </c>
      <c r="R1197" s="138">
        <v>2021</v>
      </c>
      <c r="S1197" s="139">
        <f>IF(ISBLANK(Table1[[#This Row],[Date]]),"",Table1[[#This Row],[Date]]-WEEKDAY(Table1[[#This Row],[Date]],2)+1)</f>
        <v>44256</v>
      </c>
      <c r="T1197" s="140">
        <f>IF(ISBLANK(Table1[[#This Row],[Date]]),"",DATE(Table1[[#This Row],[Date_Year]],Table1[[#This Row],[Date_Month]],1))</f>
        <v>44256</v>
      </c>
    </row>
    <row r="1198" spans="2:20" ht="15.75">
      <c r="B1198" s="154">
        <v>44257</v>
      </c>
      <c r="C1198" s="119" t="s">
        <v>698</v>
      </c>
      <c r="D1198" s="119"/>
      <c r="E1198" s="119"/>
      <c r="F1198" s="155">
        <v>-9.99</v>
      </c>
      <c r="G1198" s="133" t="str">
        <f>_xlfn.XLOOKUP(Table1[[#This Row],[Account_ID]], Accounts[ID], Accounts[Account nickname], "Unknown")</f>
        <v>Discover</v>
      </c>
      <c r="H1198" s="134" t="str">
        <f>_xlfn.XLOOKUP(Table1[[#This Row],[Account_ID]], Accounts[ID], Accounts[Account'#], "Unknown")</f>
        <v>4618</v>
      </c>
      <c r="I1198" s="135" t="str">
        <f>_xlfn.XLOOKUP(_xlfn.XLOOKUP(Table1[[#This Row],[Account]],Accounts[Account nickname],Accounts[Institution ID]),Institutions[ID],Institutions[Institution nickname],"Unknown")</f>
        <v>Discover</v>
      </c>
      <c r="J1198" s="136" t="s">
        <v>2558</v>
      </c>
      <c r="K1198" s="137" t="s">
        <v>843</v>
      </c>
      <c r="L1198" s="137" t="s">
        <v>841</v>
      </c>
      <c r="M119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9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98" s="138" t="str" cm="1">
        <f t="array" ref="O1198">IFERROR(INDEX(CategoriesTable[Category type],MATCH(Table1[[#This Row],[Category]],CategoriesTable[Category name],0),0),"")</f>
        <v/>
      </c>
      <c r="P1198" s="138">
        <v>2</v>
      </c>
      <c r="Q1198" s="138">
        <f>MONTH(Table1[[#This Row],[Date]])</f>
        <v>3</v>
      </c>
      <c r="R1198" s="138">
        <v>2021</v>
      </c>
      <c r="S1198" s="139">
        <f>IF(ISBLANK(Table1[[#This Row],[Date]]),"",Table1[[#This Row],[Date]]-WEEKDAY(Table1[[#This Row],[Date]],2)+1)</f>
        <v>44256</v>
      </c>
      <c r="T1198" s="140">
        <f>IF(ISBLANK(Table1[[#This Row],[Date]]),"",DATE(Table1[[#This Row],[Date_Year]],Table1[[#This Row],[Date_Month]],1))</f>
        <v>44256</v>
      </c>
    </row>
    <row r="1199" spans="2:20" ht="15.75">
      <c r="B1199" s="154">
        <v>44257</v>
      </c>
      <c r="C1199" s="119" t="s">
        <v>752</v>
      </c>
      <c r="D1199" s="119"/>
      <c r="E1199" s="119"/>
      <c r="F1199" s="155">
        <v>-1000</v>
      </c>
      <c r="G1199" s="133" t="str">
        <f>_xlfn.XLOOKUP(Table1[[#This Row],[Account_ID]], Accounts[ID], Accounts[Account nickname], "Unknown")</f>
        <v>WF</v>
      </c>
      <c r="H1199" s="134" t="str">
        <f>_xlfn.XLOOKUP(Table1[[#This Row],[Account_ID]], Accounts[ID], Accounts[Account'#], "Unknown")</f>
        <v>4636</v>
      </c>
      <c r="I1199" s="135" t="str">
        <f>_xlfn.XLOOKUP(_xlfn.XLOOKUP(Table1[[#This Row],[Account]],Accounts[Account nickname],Accounts[Institution ID]),Institutions[ID],Institutions[Institution nickname],"Unknown")</f>
        <v>Wells Fargo</v>
      </c>
      <c r="J1199" s="136" t="s">
        <v>1175</v>
      </c>
      <c r="K1199" s="137" t="s">
        <v>808</v>
      </c>
      <c r="L1199" s="137" t="s">
        <v>807</v>
      </c>
      <c r="M119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19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199" s="138" t="str" cm="1">
        <f t="array" ref="O1199">IFERROR(INDEX(CategoriesTable[Category type],MATCH(Table1[[#This Row],[Category]],CategoriesTable[Category name],0),0),"")</f>
        <v/>
      </c>
      <c r="P1199" s="138">
        <v>2</v>
      </c>
      <c r="Q1199" s="138">
        <f>MONTH(Table1[[#This Row],[Date]])</f>
        <v>3</v>
      </c>
      <c r="R1199" s="138">
        <v>2021</v>
      </c>
      <c r="S1199" s="139">
        <f>IF(ISBLANK(Table1[[#This Row],[Date]]),"",Table1[[#This Row],[Date]]-WEEKDAY(Table1[[#This Row],[Date]],2)+1)</f>
        <v>44256</v>
      </c>
      <c r="T1199" s="140">
        <f>IF(ISBLANK(Table1[[#This Row],[Date]]),"",DATE(Table1[[#This Row],[Date_Year]],Table1[[#This Row],[Date_Month]],1))</f>
        <v>44256</v>
      </c>
    </row>
    <row r="1200" spans="2:20" ht="15.75">
      <c r="B1200" s="154">
        <v>44256</v>
      </c>
      <c r="C1200" s="119" t="s">
        <v>2559</v>
      </c>
      <c r="D1200" s="119"/>
      <c r="E1200" s="119"/>
      <c r="F1200" s="155">
        <v>-69.989999999999995</v>
      </c>
      <c r="G1200" s="133" t="str">
        <f>_xlfn.XLOOKUP(Table1[[#This Row],[Account_ID]], Accounts[ID], Accounts[Account nickname], "Unknown")</f>
        <v>Discover</v>
      </c>
      <c r="H1200" s="134" t="str">
        <f>_xlfn.XLOOKUP(Table1[[#This Row],[Account_ID]], Accounts[ID], Accounts[Account'#], "Unknown")</f>
        <v>4618</v>
      </c>
      <c r="I1200" s="135" t="str">
        <f>_xlfn.XLOOKUP(_xlfn.XLOOKUP(Table1[[#This Row],[Account]],Accounts[Account nickname],Accounts[Institution ID]),Institutions[ID],Institutions[Institution nickname],"Unknown")</f>
        <v>Discover</v>
      </c>
      <c r="J1200" s="136" t="s">
        <v>2560</v>
      </c>
      <c r="K1200" s="137" t="s">
        <v>843</v>
      </c>
      <c r="L1200" s="137" t="s">
        <v>841</v>
      </c>
      <c r="M120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0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00" s="138" t="str" cm="1">
        <f t="array" ref="O1200">IFERROR(INDEX(CategoriesTable[Category type],MATCH(Table1[[#This Row],[Category]],CategoriesTable[Category name],0),0),"")</f>
        <v/>
      </c>
      <c r="P1200" s="138">
        <v>1</v>
      </c>
      <c r="Q1200" s="138">
        <f>MONTH(Table1[[#This Row],[Date]])</f>
        <v>3</v>
      </c>
      <c r="R1200" s="138">
        <v>2021</v>
      </c>
      <c r="S1200" s="139">
        <f>IF(ISBLANK(Table1[[#This Row],[Date]]),"",Table1[[#This Row],[Date]]-WEEKDAY(Table1[[#This Row],[Date]],2)+1)</f>
        <v>44256</v>
      </c>
      <c r="T1200" s="140">
        <f>IF(ISBLANK(Table1[[#This Row],[Date]]),"",DATE(Table1[[#This Row],[Date_Year]],Table1[[#This Row],[Date_Month]],1))</f>
        <v>44256</v>
      </c>
    </row>
    <row r="1201" spans="2:20" ht="15.75">
      <c r="B1201" s="154">
        <v>44256</v>
      </c>
      <c r="C1201" s="119" t="s">
        <v>752</v>
      </c>
      <c r="D1201" s="119"/>
      <c r="E1201" s="119"/>
      <c r="F1201" s="155">
        <v>-200</v>
      </c>
      <c r="G1201" s="133" t="str">
        <f>_xlfn.XLOOKUP(Table1[[#This Row],[Account_ID]], Accounts[ID], Accounts[Account nickname], "Unknown")</f>
        <v>WF</v>
      </c>
      <c r="H1201" s="134" t="str">
        <f>_xlfn.XLOOKUP(Table1[[#This Row],[Account_ID]], Accounts[ID], Accounts[Account'#], "Unknown")</f>
        <v>4636</v>
      </c>
      <c r="I1201" s="135" t="str">
        <f>_xlfn.XLOOKUP(_xlfn.XLOOKUP(Table1[[#This Row],[Account]],Accounts[Account nickname],Accounts[Institution ID]),Institutions[ID],Institutions[Institution nickname],"Unknown")</f>
        <v>Wells Fargo</v>
      </c>
      <c r="J1201" s="136" t="s">
        <v>1177</v>
      </c>
      <c r="K1201" s="137" t="s">
        <v>808</v>
      </c>
      <c r="L1201" s="137" t="s">
        <v>807</v>
      </c>
      <c r="M120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0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01" s="138" t="str" cm="1">
        <f t="array" ref="O1201">IFERROR(INDEX(CategoriesTable[Category type],MATCH(Table1[[#This Row],[Category]],CategoriesTable[Category name],0),0),"")</f>
        <v/>
      </c>
      <c r="P1201" s="138">
        <v>1</v>
      </c>
      <c r="Q1201" s="138">
        <f>MONTH(Table1[[#This Row],[Date]])</f>
        <v>3</v>
      </c>
      <c r="R1201" s="138">
        <v>2021</v>
      </c>
      <c r="S1201" s="139">
        <f>IF(ISBLANK(Table1[[#This Row],[Date]]),"",Table1[[#This Row],[Date]]-WEEKDAY(Table1[[#This Row],[Date]],2)+1)</f>
        <v>44256</v>
      </c>
      <c r="T1201" s="140">
        <f>IF(ISBLANK(Table1[[#This Row],[Date]]),"",DATE(Table1[[#This Row],[Date_Year]],Table1[[#This Row],[Date_Month]],1))</f>
        <v>44256</v>
      </c>
    </row>
    <row r="1202" spans="2:20" ht="15.75">
      <c r="B1202" s="154">
        <v>44256</v>
      </c>
      <c r="C1202" s="119" t="s">
        <v>697</v>
      </c>
      <c r="D1202" s="119"/>
      <c r="E1202" s="119"/>
      <c r="F1202" s="155">
        <v>-13.99</v>
      </c>
      <c r="G1202" s="133" t="str">
        <f>_xlfn.XLOOKUP(Table1[[#This Row],[Account_ID]], Accounts[ID], Accounts[Account nickname], "Unknown")</f>
        <v>Discover</v>
      </c>
      <c r="H1202" s="134" t="str">
        <f>_xlfn.XLOOKUP(Table1[[#This Row],[Account_ID]], Accounts[ID], Accounts[Account'#], "Unknown")</f>
        <v>4618</v>
      </c>
      <c r="I1202" s="135" t="str">
        <f>_xlfn.XLOOKUP(_xlfn.XLOOKUP(Table1[[#This Row],[Account]],Accounts[Account nickname],Accounts[Institution ID]),Institutions[ID],Institutions[Institution nickname],"Unknown")</f>
        <v>Discover</v>
      </c>
      <c r="J1202" s="136" t="s">
        <v>2561</v>
      </c>
      <c r="K1202" s="137" t="s">
        <v>843</v>
      </c>
      <c r="L1202" s="137" t="s">
        <v>841</v>
      </c>
      <c r="M120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0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02" s="138" t="str" cm="1">
        <f t="array" ref="O1202">IFERROR(INDEX(CategoriesTable[Category type],MATCH(Table1[[#This Row],[Category]],CategoriesTable[Category name],0),0),"")</f>
        <v/>
      </c>
      <c r="P1202" s="138">
        <v>1</v>
      </c>
      <c r="Q1202" s="138">
        <f>MONTH(Table1[[#This Row],[Date]])</f>
        <v>3</v>
      </c>
      <c r="R1202" s="138">
        <v>2021</v>
      </c>
      <c r="S1202" s="139">
        <f>IF(ISBLANK(Table1[[#This Row],[Date]]),"",Table1[[#This Row],[Date]]-WEEKDAY(Table1[[#This Row],[Date]],2)+1)</f>
        <v>44256</v>
      </c>
      <c r="T1202" s="140">
        <f>IF(ISBLANK(Table1[[#This Row],[Date]]),"",DATE(Table1[[#This Row],[Date_Year]],Table1[[#This Row],[Date_Month]],1))</f>
        <v>44256</v>
      </c>
    </row>
    <row r="1203" spans="2:20" ht="15.75">
      <c r="B1203" s="154">
        <v>44256</v>
      </c>
      <c r="C1203" s="119" t="s">
        <v>752</v>
      </c>
      <c r="D1203" s="119"/>
      <c r="E1203" s="119"/>
      <c r="F1203" s="155">
        <v>-200</v>
      </c>
      <c r="G1203" s="133" t="str">
        <f>_xlfn.XLOOKUP(Table1[[#This Row],[Account_ID]], Accounts[ID], Accounts[Account nickname], "Unknown")</f>
        <v>WF</v>
      </c>
      <c r="H1203" s="134" t="str">
        <f>_xlfn.XLOOKUP(Table1[[#This Row],[Account_ID]], Accounts[ID], Accounts[Account'#], "Unknown")</f>
        <v>4636</v>
      </c>
      <c r="I1203" s="135" t="str">
        <f>_xlfn.XLOOKUP(_xlfn.XLOOKUP(Table1[[#This Row],[Account]],Accounts[Account nickname],Accounts[Institution ID]),Institutions[ID],Institutions[Institution nickname],"Unknown")</f>
        <v>Wells Fargo</v>
      </c>
      <c r="J1203" s="136" t="s">
        <v>1176</v>
      </c>
      <c r="K1203" s="137" t="s">
        <v>808</v>
      </c>
      <c r="L1203" s="137" t="s">
        <v>807</v>
      </c>
      <c r="M120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0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03" s="138" t="str" cm="1">
        <f t="array" ref="O1203">IFERROR(INDEX(CategoriesTable[Category type],MATCH(Table1[[#This Row],[Category]],CategoriesTable[Category name],0),0),"")</f>
        <v/>
      </c>
      <c r="P1203" s="138">
        <v>1</v>
      </c>
      <c r="Q1203" s="138">
        <f>MONTH(Table1[[#This Row],[Date]])</f>
        <v>3</v>
      </c>
      <c r="R1203" s="138">
        <v>2021</v>
      </c>
      <c r="S1203" s="139">
        <f>IF(ISBLANK(Table1[[#This Row],[Date]]),"",Table1[[#This Row],[Date]]-WEEKDAY(Table1[[#This Row],[Date]],2)+1)</f>
        <v>44256</v>
      </c>
      <c r="T1203" s="140">
        <f>IF(ISBLANK(Table1[[#This Row],[Date]]),"",DATE(Table1[[#This Row],[Date_Year]],Table1[[#This Row],[Date_Month]],1))</f>
        <v>44256</v>
      </c>
    </row>
    <row r="1204" spans="2:20" ht="15.75">
      <c r="B1204" s="154">
        <v>44255</v>
      </c>
      <c r="C1204" s="119" t="s">
        <v>2565</v>
      </c>
      <c r="D1204" s="119"/>
      <c r="E1204" s="119"/>
      <c r="F1204" s="155">
        <v>-78.69</v>
      </c>
      <c r="G1204" s="133" t="str">
        <f>_xlfn.XLOOKUP(Table1[[#This Row],[Account_ID]], Accounts[ID], Accounts[Account nickname], "Unknown")</f>
        <v>Discover</v>
      </c>
      <c r="H1204" s="134" t="str">
        <f>_xlfn.XLOOKUP(Table1[[#This Row],[Account_ID]], Accounts[ID], Accounts[Account'#], "Unknown")</f>
        <v>4618</v>
      </c>
      <c r="I1204" s="135" t="str">
        <f>_xlfn.XLOOKUP(_xlfn.XLOOKUP(Table1[[#This Row],[Account]],Accounts[Account nickname],Accounts[Institution ID]),Institutions[ID],Institutions[Institution nickname],"Unknown")</f>
        <v>Discover</v>
      </c>
      <c r="J1204" s="136" t="s">
        <v>2566</v>
      </c>
      <c r="K1204" s="137" t="s">
        <v>843</v>
      </c>
      <c r="L1204" s="137" t="s">
        <v>841</v>
      </c>
      <c r="M120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0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04" s="138" t="str" cm="1">
        <f t="array" ref="O1204">IFERROR(INDEX(CategoriesTable[Category type],MATCH(Table1[[#This Row],[Category]],CategoriesTable[Category name],0),0),"")</f>
        <v/>
      </c>
      <c r="P1204" s="138">
        <v>28</v>
      </c>
      <c r="Q1204" s="138">
        <f>MONTH(Table1[[#This Row],[Date]])</f>
        <v>2</v>
      </c>
      <c r="R1204" s="138">
        <v>2021</v>
      </c>
      <c r="S1204" s="139">
        <f>IF(ISBLANK(Table1[[#This Row],[Date]]),"",Table1[[#This Row],[Date]]-WEEKDAY(Table1[[#This Row],[Date]],2)+1)</f>
        <v>44249</v>
      </c>
      <c r="T1204" s="140">
        <f>IF(ISBLANK(Table1[[#This Row],[Date]]),"",DATE(Table1[[#This Row],[Date_Year]],Table1[[#This Row],[Date_Month]],1))</f>
        <v>44228</v>
      </c>
    </row>
    <row r="1205" spans="2:20" ht="15.75">
      <c r="B1205" s="154">
        <v>44255</v>
      </c>
      <c r="C1205" s="119" t="s">
        <v>2567</v>
      </c>
      <c r="D1205" s="119"/>
      <c r="E1205" s="119"/>
      <c r="F1205" s="155">
        <v>-40.15</v>
      </c>
      <c r="G1205" s="133" t="str">
        <f>_xlfn.XLOOKUP(Table1[[#This Row],[Account_ID]], Accounts[ID], Accounts[Account nickname], "Unknown")</f>
        <v>Discover</v>
      </c>
      <c r="H1205" s="134" t="str">
        <f>_xlfn.XLOOKUP(Table1[[#This Row],[Account_ID]], Accounts[ID], Accounts[Account'#], "Unknown")</f>
        <v>4618</v>
      </c>
      <c r="I1205" s="135" t="str">
        <f>_xlfn.XLOOKUP(_xlfn.XLOOKUP(Table1[[#This Row],[Account]],Accounts[Account nickname],Accounts[Institution ID]),Institutions[ID],Institutions[Institution nickname],"Unknown")</f>
        <v>Discover</v>
      </c>
      <c r="J1205" s="136" t="s">
        <v>2568</v>
      </c>
      <c r="K1205" s="137" t="s">
        <v>843</v>
      </c>
      <c r="L1205" s="137" t="s">
        <v>841</v>
      </c>
      <c r="M120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0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05" s="138" t="str" cm="1">
        <f t="array" ref="O1205">IFERROR(INDEX(CategoriesTable[Category type],MATCH(Table1[[#This Row],[Category]],CategoriesTable[Category name],0),0),"")</f>
        <v/>
      </c>
      <c r="P1205" s="138">
        <v>28</v>
      </c>
      <c r="Q1205" s="138">
        <f>MONTH(Table1[[#This Row],[Date]])</f>
        <v>2</v>
      </c>
      <c r="R1205" s="138">
        <v>2021</v>
      </c>
      <c r="S1205" s="139">
        <f>IF(ISBLANK(Table1[[#This Row],[Date]]),"",Table1[[#This Row],[Date]]-WEEKDAY(Table1[[#This Row],[Date]],2)+1)</f>
        <v>44249</v>
      </c>
      <c r="T1205" s="140">
        <f>IF(ISBLANK(Table1[[#This Row],[Date]]),"",DATE(Table1[[#This Row],[Date_Year]],Table1[[#This Row],[Date_Month]],1))</f>
        <v>44228</v>
      </c>
    </row>
    <row r="1206" spans="2:20" ht="15.75">
      <c r="B1206" s="154">
        <v>44255</v>
      </c>
      <c r="C1206" s="119" t="s">
        <v>724</v>
      </c>
      <c r="D1206" s="119"/>
      <c r="E1206" s="119"/>
      <c r="F1206" s="155">
        <v>-5.17</v>
      </c>
      <c r="G1206" s="133" t="str">
        <f>_xlfn.XLOOKUP(Table1[[#This Row],[Account_ID]], Accounts[ID], Accounts[Account nickname], "Unknown")</f>
        <v>Discover</v>
      </c>
      <c r="H1206" s="134" t="str">
        <f>_xlfn.XLOOKUP(Table1[[#This Row],[Account_ID]], Accounts[ID], Accounts[Account'#], "Unknown")</f>
        <v>4618</v>
      </c>
      <c r="I1206" s="135" t="str">
        <f>_xlfn.XLOOKUP(_xlfn.XLOOKUP(Table1[[#This Row],[Account]],Accounts[Account nickname],Accounts[Institution ID]),Institutions[ID],Institutions[Institution nickname],"Unknown")</f>
        <v>Discover</v>
      </c>
      <c r="J1206" s="136" t="s">
        <v>2569</v>
      </c>
      <c r="K1206" s="137" t="s">
        <v>843</v>
      </c>
      <c r="L1206" s="137" t="s">
        <v>841</v>
      </c>
      <c r="M120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0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06" s="138" t="str" cm="1">
        <f t="array" ref="O1206">IFERROR(INDEX(CategoriesTable[Category type],MATCH(Table1[[#This Row],[Category]],CategoriesTable[Category name],0),0),"")</f>
        <v/>
      </c>
      <c r="P1206" s="138">
        <v>28</v>
      </c>
      <c r="Q1206" s="138">
        <f>MONTH(Table1[[#This Row],[Date]])</f>
        <v>2</v>
      </c>
      <c r="R1206" s="138">
        <v>2021</v>
      </c>
      <c r="S1206" s="139">
        <f>IF(ISBLANK(Table1[[#This Row],[Date]]),"",Table1[[#This Row],[Date]]-WEEKDAY(Table1[[#This Row],[Date]],2)+1)</f>
        <v>44249</v>
      </c>
      <c r="T1206" s="140">
        <f>IF(ISBLANK(Table1[[#This Row],[Date]]),"",DATE(Table1[[#This Row],[Date_Year]],Table1[[#This Row],[Date_Month]],1))</f>
        <v>44228</v>
      </c>
    </row>
    <row r="1207" spans="2:20" ht="15.75">
      <c r="B1207" s="154">
        <v>44255</v>
      </c>
      <c r="C1207" s="119" t="s">
        <v>2475</v>
      </c>
      <c r="D1207" s="119"/>
      <c r="E1207" s="119"/>
      <c r="F1207" s="155">
        <v>-9.9499999999999993</v>
      </c>
      <c r="G1207" s="133" t="str">
        <f>_xlfn.XLOOKUP(Table1[[#This Row],[Account_ID]], Accounts[ID], Accounts[Account nickname], "Unknown")</f>
        <v>Discover</v>
      </c>
      <c r="H1207" s="134" t="str">
        <f>_xlfn.XLOOKUP(Table1[[#This Row],[Account_ID]], Accounts[ID], Accounts[Account'#], "Unknown")</f>
        <v>4618</v>
      </c>
      <c r="I1207" s="135" t="str">
        <f>_xlfn.XLOOKUP(_xlfn.XLOOKUP(Table1[[#This Row],[Account]],Accounts[Account nickname],Accounts[Institution ID]),Institutions[ID],Institutions[Institution nickname],"Unknown")</f>
        <v>Discover</v>
      </c>
      <c r="J1207" s="136" t="s">
        <v>2562</v>
      </c>
      <c r="K1207" s="137" t="s">
        <v>843</v>
      </c>
      <c r="L1207" s="137" t="s">
        <v>841</v>
      </c>
      <c r="M120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0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07" s="138" t="str" cm="1">
        <f t="array" ref="O1207">IFERROR(INDEX(CategoriesTable[Category type],MATCH(Table1[[#This Row],[Category]],CategoriesTable[Category name],0),0),"")</f>
        <v/>
      </c>
      <c r="P1207" s="138">
        <v>28</v>
      </c>
      <c r="Q1207" s="138">
        <f>MONTH(Table1[[#This Row],[Date]])</f>
        <v>2</v>
      </c>
      <c r="R1207" s="138">
        <v>2021</v>
      </c>
      <c r="S1207" s="139">
        <f>IF(ISBLANK(Table1[[#This Row],[Date]]),"",Table1[[#This Row],[Date]]-WEEKDAY(Table1[[#This Row],[Date]],2)+1)</f>
        <v>44249</v>
      </c>
      <c r="T1207" s="140">
        <f>IF(ISBLANK(Table1[[#This Row],[Date]]),"",DATE(Table1[[#This Row],[Date_Year]],Table1[[#This Row],[Date_Month]],1))</f>
        <v>44228</v>
      </c>
    </row>
    <row r="1208" spans="2:20" ht="15.75">
      <c r="B1208" s="154">
        <v>44255</v>
      </c>
      <c r="C1208" s="119" t="s">
        <v>2563</v>
      </c>
      <c r="D1208" s="119"/>
      <c r="E1208" s="119"/>
      <c r="F1208" s="155">
        <v>-25.88</v>
      </c>
      <c r="G1208" s="133" t="str">
        <f>_xlfn.XLOOKUP(Table1[[#This Row],[Account_ID]], Accounts[ID], Accounts[Account nickname], "Unknown")</f>
        <v>Discover</v>
      </c>
      <c r="H1208" s="134" t="str">
        <f>_xlfn.XLOOKUP(Table1[[#This Row],[Account_ID]], Accounts[ID], Accounts[Account'#], "Unknown")</f>
        <v>4618</v>
      </c>
      <c r="I1208" s="135" t="str">
        <f>_xlfn.XLOOKUP(_xlfn.XLOOKUP(Table1[[#This Row],[Account]],Accounts[Account nickname],Accounts[Institution ID]),Institutions[ID],Institutions[Institution nickname],"Unknown")</f>
        <v>Discover</v>
      </c>
      <c r="J1208" s="136" t="s">
        <v>2564</v>
      </c>
      <c r="K1208" s="137" t="s">
        <v>843</v>
      </c>
      <c r="L1208" s="137" t="s">
        <v>841</v>
      </c>
      <c r="M120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0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08" s="138" t="str" cm="1">
        <f t="array" ref="O1208">IFERROR(INDEX(CategoriesTable[Category type],MATCH(Table1[[#This Row],[Category]],CategoriesTable[Category name],0),0),"")</f>
        <v/>
      </c>
      <c r="P1208" s="138">
        <v>28</v>
      </c>
      <c r="Q1208" s="138">
        <f>MONTH(Table1[[#This Row],[Date]])</f>
        <v>2</v>
      </c>
      <c r="R1208" s="138">
        <v>2021</v>
      </c>
      <c r="S1208" s="139">
        <f>IF(ISBLANK(Table1[[#This Row],[Date]]),"",Table1[[#This Row],[Date]]-WEEKDAY(Table1[[#This Row],[Date]],2)+1)</f>
        <v>44249</v>
      </c>
      <c r="T1208" s="140">
        <f>IF(ISBLANK(Table1[[#This Row],[Date]]),"",DATE(Table1[[#This Row],[Date_Year]],Table1[[#This Row],[Date_Month]],1))</f>
        <v>44228</v>
      </c>
    </row>
    <row r="1209" spans="2:20" ht="15.75">
      <c r="B1209" s="154">
        <v>44254</v>
      </c>
      <c r="C1209" s="119" t="s">
        <v>910</v>
      </c>
      <c r="D1209" s="119"/>
      <c r="E1209" s="119"/>
      <c r="F1209" s="155">
        <v>-1.99</v>
      </c>
      <c r="G1209" s="133" t="str">
        <f>_xlfn.XLOOKUP(Table1[[#This Row],[Account_ID]], Accounts[ID], Accounts[Account nickname], "Unknown")</f>
        <v>Discover</v>
      </c>
      <c r="H1209" s="134" t="str">
        <f>_xlfn.XLOOKUP(Table1[[#This Row],[Account_ID]], Accounts[ID], Accounts[Account'#], "Unknown")</f>
        <v>4618</v>
      </c>
      <c r="I1209" s="135" t="str">
        <f>_xlfn.XLOOKUP(_xlfn.XLOOKUP(Table1[[#This Row],[Account]],Accounts[Account nickname],Accounts[Institution ID]),Institutions[ID],Institutions[Institution nickname],"Unknown")</f>
        <v>Discover</v>
      </c>
      <c r="J1209" s="136" t="s">
        <v>2570</v>
      </c>
      <c r="K1209" s="137" t="s">
        <v>843</v>
      </c>
      <c r="L1209" s="137" t="s">
        <v>841</v>
      </c>
      <c r="M120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0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09" s="138" t="str" cm="1">
        <f t="array" ref="O1209">IFERROR(INDEX(CategoriesTable[Category type],MATCH(Table1[[#This Row],[Category]],CategoriesTable[Category name],0),0),"")</f>
        <v/>
      </c>
      <c r="P1209" s="138">
        <v>27</v>
      </c>
      <c r="Q1209" s="138">
        <f>MONTH(Table1[[#This Row],[Date]])</f>
        <v>2</v>
      </c>
      <c r="R1209" s="138">
        <v>2021</v>
      </c>
      <c r="S1209" s="139">
        <f>IF(ISBLANK(Table1[[#This Row],[Date]]),"",Table1[[#This Row],[Date]]-WEEKDAY(Table1[[#This Row],[Date]],2)+1)</f>
        <v>44249</v>
      </c>
      <c r="T1209" s="140">
        <f>IF(ISBLANK(Table1[[#This Row],[Date]]),"",DATE(Table1[[#This Row],[Date_Year]],Table1[[#This Row],[Date_Month]],1))</f>
        <v>44228</v>
      </c>
    </row>
    <row r="1210" spans="2:20" ht="15.75">
      <c r="B1210" s="154">
        <v>44254</v>
      </c>
      <c r="C1210" s="119" t="s">
        <v>704</v>
      </c>
      <c r="D1210" s="119"/>
      <c r="E1210" s="119"/>
      <c r="F1210" s="155">
        <v>-5</v>
      </c>
      <c r="G1210" s="133" t="str">
        <f>_xlfn.XLOOKUP(Table1[[#This Row],[Account_ID]], Accounts[ID], Accounts[Account nickname], "Unknown")</f>
        <v>Discover</v>
      </c>
      <c r="H1210" s="134" t="str">
        <f>_xlfn.XLOOKUP(Table1[[#This Row],[Account_ID]], Accounts[ID], Accounts[Account'#], "Unknown")</f>
        <v>4618</v>
      </c>
      <c r="I1210" s="135" t="str">
        <f>_xlfn.XLOOKUP(_xlfn.XLOOKUP(Table1[[#This Row],[Account]],Accounts[Account nickname],Accounts[Institution ID]),Institutions[ID],Institutions[Institution nickname],"Unknown")</f>
        <v>Discover</v>
      </c>
      <c r="J1210" s="136" t="s">
        <v>2574</v>
      </c>
      <c r="K1210" s="137" t="s">
        <v>843</v>
      </c>
      <c r="L1210" s="137" t="s">
        <v>841</v>
      </c>
      <c r="M121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1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10" s="138" t="str" cm="1">
        <f t="array" ref="O1210">IFERROR(INDEX(CategoriesTable[Category type],MATCH(Table1[[#This Row],[Category]],CategoriesTable[Category name],0),0),"")</f>
        <v/>
      </c>
      <c r="P1210" s="138">
        <v>27</v>
      </c>
      <c r="Q1210" s="138">
        <f>MONTH(Table1[[#This Row],[Date]])</f>
        <v>2</v>
      </c>
      <c r="R1210" s="138">
        <v>2021</v>
      </c>
      <c r="S1210" s="139">
        <f>IF(ISBLANK(Table1[[#This Row],[Date]]),"",Table1[[#This Row],[Date]]-WEEKDAY(Table1[[#This Row],[Date]],2)+1)</f>
        <v>44249</v>
      </c>
      <c r="T1210" s="140">
        <f>IF(ISBLANK(Table1[[#This Row],[Date]]),"",DATE(Table1[[#This Row],[Date_Year]],Table1[[#This Row],[Date_Month]],1))</f>
        <v>44228</v>
      </c>
    </row>
    <row r="1211" spans="2:20" ht="15.75">
      <c r="B1211" s="154">
        <v>44254</v>
      </c>
      <c r="C1211" s="119" t="s">
        <v>1679</v>
      </c>
      <c r="D1211" s="119"/>
      <c r="E1211" s="119"/>
      <c r="F1211" s="155">
        <v>-9.99</v>
      </c>
      <c r="G1211" s="133" t="str">
        <f>_xlfn.XLOOKUP(Table1[[#This Row],[Account_ID]], Accounts[ID], Accounts[Account nickname], "Unknown")</f>
        <v>Discover</v>
      </c>
      <c r="H1211" s="134" t="str">
        <f>_xlfn.XLOOKUP(Table1[[#This Row],[Account_ID]], Accounts[ID], Accounts[Account'#], "Unknown")</f>
        <v>4618</v>
      </c>
      <c r="I1211" s="135" t="str">
        <f>_xlfn.XLOOKUP(_xlfn.XLOOKUP(Table1[[#This Row],[Account]],Accounts[Account nickname],Accounts[Institution ID]),Institutions[ID],Institutions[Institution nickname],"Unknown")</f>
        <v>Discover</v>
      </c>
      <c r="J1211" s="136" t="s">
        <v>2571</v>
      </c>
      <c r="K1211" s="137" t="s">
        <v>843</v>
      </c>
      <c r="L1211" s="137" t="s">
        <v>841</v>
      </c>
      <c r="M121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1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11" s="138" t="str" cm="1">
        <f t="array" ref="O1211">IFERROR(INDEX(CategoriesTable[Category type],MATCH(Table1[[#This Row],[Category]],CategoriesTable[Category name],0),0),"")</f>
        <v/>
      </c>
      <c r="P1211" s="138">
        <v>27</v>
      </c>
      <c r="Q1211" s="138">
        <f>MONTH(Table1[[#This Row],[Date]])</f>
        <v>2</v>
      </c>
      <c r="R1211" s="138">
        <v>2021</v>
      </c>
      <c r="S1211" s="139">
        <f>IF(ISBLANK(Table1[[#This Row],[Date]]),"",Table1[[#This Row],[Date]]-WEEKDAY(Table1[[#This Row],[Date]],2)+1)</f>
        <v>44249</v>
      </c>
      <c r="T1211" s="140">
        <f>IF(ISBLANK(Table1[[#This Row],[Date]]),"",DATE(Table1[[#This Row],[Date_Year]],Table1[[#This Row],[Date_Month]],1))</f>
        <v>44228</v>
      </c>
    </row>
    <row r="1212" spans="2:20" ht="15.75">
      <c r="B1212" s="154">
        <v>44254</v>
      </c>
      <c r="C1212" s="119" t="s">
        <v>703</v>
      </c>
      <c r="D1212" s="119"/>
      <c r="E1212" s="119"/>
      <c r="F1212" s="155">
        <v>-11.54</v>
      </c>
      <c r="G1212" s="133" t="str">
        <f>_xlfn.XLOOKUP(Table1[[#This Row],[Account_ID]], Accounts[ID], Accounts[Account nickname], "Unknown")</f>
        <v>Discover</v>
      </c>
      <c r="H1212" s="134" t="str">
        <f>_xlfn.XLOOKUP(Table1[[#This Row],[Account_ID]], Accounts[ID], Accounts[Account'#], "Unknown")</f>
        <v>4618</v>
      </c>
      <c r="I1212" s="135" t="str">
        <f>_xlfn.XLOOKUP(_xlfn.XLOOKUP(Table1[[#This Row],[Account]],Accounts[Account nickname],Accounts[Institution ID]),Institutions[ID],Institutions[Institution nickname],"Unknown")</f>
        <v>Discover</v>
      </c>
      <c r="J1212" s="136" t="s">
        <v>2573</v>
      </c>
      <c r="K1212" s="137" t="s">
        <v>843</v>
      </c>
      <c r="L1212" s="137" t="s">
        <v>841</v>
      </c>
      <c r="M121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1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12" s="138" t="str" cm="1">
        <f t="array" ref="O1212">IFERROR(INDEX(CategoriesTable[Category type],MATCH(Table1[[#This Row],[Category]],CategoriesTable[Category name],0),0),"")</f>
        <v/>
      </c>
      <c r="P1212" s="138">
        <v>27</v>
      </c>
      <c r="Q1212" s="138">
        <f>MONTH(Table1[[#This Row],[Date]])</f>
        <v>2</v>
      </c>
      <c r="R1212" s="138">
        <v>2021</v>
      </c>
      <c r="S1212" s="139">
        <f>IF(ISBLANK(Table1[[#This Row],[Date]]),"",Table1[[#This Row],[Date]]-WEEKDAY(Table1[[#This Row],[Date]],2)+1)</f>
        <v>44249</v>
      </c>
      <c r="T1212" s="140">
        <f>IF(ISBLANK(Table1[[#This Row],[Date]]),"",DATE(Table1[[#This Row],[Date_Year]],Table1[[#This Row],[Date_Month]],1))</f>
        <v>44228</v>
      </c>
    </row>
    <row r="1213" spans="2:20" ht="15.75">
      <c r="B1213" s="154">
        <v>44254</v>
      </c>
      <c r="C1213" s="119" t="s">
        <v>763</v>
      </c>
      <c r="D1213" s="119"/>
      <c r="E1213" s="119"/>
      <c r="F1213" s="155">
        <v>-500</v>
      </c>
      <c r="G1213" s="133" t="str">
        <f>_xlfn.XLOOKUP(Table1[[#This Row],[Account_ID]], Accounts[ID], Accounts[Account nickname], "Unknown")</f>
        <v>WF</v>
      </c>
      <c r="H1213" s="134" t="str">
        <f>_xlfn.XLOOKUP(Table1[[#This Row],[Account_ID]], Accounts[ID], Accounts[Account'#], "Unknown")</f>
        <v>4636</v>
      </c>
      <c r="I1213" s="135" t="str">
        <f>_xlfn.XLOOKUP(_xlfn.XLOOKUP(Table1[[#This Row],[Account]],Accounts[Account nickname],Accounts[Institution ID]),Institutions[ID],Institutions[Institution nickname],"Unknown")</f>
        <v>Wells Fargo</v>
      </c>
      <c r="J1213" s="136" t="s">
        <v>1178</v>
      </c>
      <c r="K1213" s="137" t="s">
        <v>808</v>
      </c>
      <c r="L1213" s="137" t="s">
        <v>807</v>
      </c>
      <c r="M121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1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13" s="138" t="str" cm="1">
        <f t="array" ref="O1213">IFERROR(INDEX(CategoriesTable[Category type],MATCH(Table1[[#This Row],[Category]],CategoriesTable[Category name],0),0),"")</f>
        <v/>
      </c>
      <c r="P1213" s="138">
        <v>27</v>
      </c>
      <c r="Q1213" s="138">
        <f>MONTH(Table1[[#This Row],[Date]])</f>
        <v>2</v>
      </c>
      <c r="R1213" s="138">
        <v>2021</v>
      </c>
      <c r="S1213" s="139">
        <f>IF(ISBLANK(Table1[[#This Row],[Date]]),"",Table1[[#This Row],[Date]]-WEEKDAY(Table1[[#This Row],[Date]],2)+1)</f>
        <v>44249</v>
      </c>
      <c r="T1213" s="140">
        <f>IF(ISBLANK(Table1[[#This Row],[Date]]),"",DATE(Table1[[#This Row],[Date_Year]],Table1[[#This Row],[Date_Month]],1))</f>
        <v>44228</v>
      </c>
    </row>
    <row r="1214" spans="2:20" ht="15.75">
      <c r="B1214" s="154">
        <v>44254</v>
      </c>
      <c r="C1214" s="119" t="s">
        <v>2296</v>
      </c>
      <c r="D1214" s="119"/>
      <c r="E1214" s="119"/>
      <c r="F1214" s="155">
        <v>-16.239999999999998</v>
      </c>
      <c r="G1214" s="133" t="str">
        <f>_xlfn.XLOOKUP(Table1[[#This Row],[Account_ID]], Accounts[ID], Accounts[Account nickname], "Unknown")</f>
        <v>Discover</v>
      </c>
      <c r="H1214" s="134" t="str">
        <f>_xlfn.XLOOKUP(Table1[[#This Row],[Account_ID]], Accounts[ID], Accounts[Account'#], "Unknown")</f>
        <v>4618</v>
      </c>
      <c r="I1214" s="135" t="str">
        <f>_xlfn.XLOOKUP(_xlfn.XLOOKUP(Table1[[#This Row],[Account]],Accounts[Account nickname],Accounts[Institution ID]),Institutions[ID],Institutions[Institution nickname],"Unknown")</f>
        <v>Discover</v>
      </c>
      <c r="J1214" s="136" t="s">
        <v>2572</v>
      </c>
      <c r="K1214" s="137" t="s">
        <v>843</v>
      </c>
      <c r="L1214" s="137" t="s">
        <v>841</v>
      </c>
      <c r="M121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1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14" s="138" t="str" cm="1">
        <f t="array" ref="O1214">IFERROR(INDEX(CategoriesTable[Category type],MATCH(Table1[[#This Row],[Category]],CategoriesTable[Category name],0),0),"")</f>
        <v/>
      </c>
      <c r="P1214" s="138">
        <v>27</v>
      </c>
      <c r="Q1214" s="138">
        <f>MONTH(Table1[[#This Row],[Date]])</f>
        <v>2</v>
      </c>
      <c r="R1214" s="138">
        <v>2021</v>
      </c>
      <c r="S1214" s="139">
        <f>IF(ISBLANK(Table1[[#This Row],[Date]]),"",Table1[[#This Row],[Date]]-WEEKDAY(Table1[[#This Row],[Date]],2)+1)</f>
        <v>44249</v>
      </c>
      <c r="T1214" s="140">
        <f>IF(ISBLANK(Table1[[#This Row],[Date]]),"",DATE(Table1[[#This Row],[Date_Year]],Table1[[#This Row],[Date_Month]],1))</f>
        <v>44228</v>
      </c>
    </row>
    <row r="1215" spans="2:20" ht="15.75">
      <c r="B1215" s="154">
        <v>44253</v>
      </c>
      <c r="C1215" s="119" t="s">
        <v>2559</v>
      </c>
      <c r="D1215" s="119"/>
      <c r="E1215" s="119"/>
      <c r="F1215" s="155">
        <v>-6.99</v>
      </c>
      <c r="G1215" s="133" t="str">
        <f>_xlfn.XLOOKUP(Table1[[#This Row],[Account_ID]], Accounts[ID], Accounts[Account nickname], "Unknown")</f>
        <v>Discover</v>
      </c>
      <c r="H1215" s="134" t="str">
        <f>_xlfn.XLOOKUP(Table1[[#This Row],[Account_ID]], Accounts[ID], Accounts[Account'#], "Unknown")</f>
        <v>4618</v>
      </c>
      <c r="I1215" s="135" t="str">
        <f>_xlfn.XLOOKUP(_xlfn.XLOOKUP(Table1[[#This Row],[Account]],Accounts[Account nickname],Accounts[Institution ID]),Institutions[ID],Institutions[Institution nickname],"Unknown")</f>
        <v>Discover</v>
      </c>
      <c r="J1215" s="136" t="s">
        <v>2575</v>
      </c>
      <c r="K1215" s="137" t="s">
        <v>843</v>
      </c>
      <c r="L1215" s="137" t="s">
        <v>841</v>
      </c>
      <c r="M121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1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15" s="138" t="str" cm="1">
        <f t="array" ref="O1215">IFERROR(INDEX(CategoriesTable[Category type],MATCH(Table1[[#This Row],[Category]],CategoriesTable[Category name],0),0),"")</f>
        <v/>
      </c>
      <c r="P1215" s="138">
        <v>26</v>
      </c>
      <c r="Q1215" s="138">
        <f>MONTH(Table1[[#This Row],[Date]])</f>
        <v>2</v>
      </c>
      <c r="R1215" s="138">
        <v>2021</v>
      </c>
      <c r="S1215" s="139">
        <f>IF(ISBLANK(Table1[[#This Row],[Date]]),"",Table1[[#This Row],[Date]]-WEEKDAY(Table1[[#This Row],[Date]],2)+1)</f>
        <v>44249</v>
      </c>
      <c r="T1215" s="140">
        <f>IF(ISBLANK(Table1[[#This Row],[Date]]),"",DATE(Table1[[#This Row],[Date_Year]],Table1[[#This Row],[Date_Month]],1))</f>
        <v>44228</v>
      </c>
    </row>
    <row r="1216" spans="2:20" ht="15.75">
      <c r="B1216" s="154">
        <v>44253</v>
      </c>
      <c r="C1216" s="119" t="s">
        <v>686</v>
      </c>
      <c r="D1216" s="119"/>
      <c r="E1216" s="119"/>
      <c r="F1216" s="155">
        <v>-770.55</v>
      </c>
      <c r="G1216" s="133" t="str">
        <f>_xlfn.XLOOKUP(Table1[[#This Row],[Account_ID]], Accounts[ID], Accounts[Account nickname], "Unknown")</f>
        <v>WF</v>
      </c>
      <c r="H1216" s="134" t="str">
        <f>_xlfn.XLOOKUP(Table1[[#This Row],[Account_ID]], Accounts[ID], Accounts[Account'#], "Unknown")</f>
        <v>4636</v>
      </c>
      <c r="I1216" s="135" t="str">
        <f>_xlfn.XLOOKUP(_xlfn.XLOOKUP(Table1[[#This Row],[Account]],Accounts[Account nickname],Accounts[Institution ID]),Institutions[ID],Institutions[Institution nickname],"Unknown")</f>
        <v>Wells Fargo</v>
      </c>
      <c r="J1216" s="136" t="s">
        <v>1179</v>
      </c>
      <c r="K1216" s="137" t="s">
        <v>808</v>
      </c>
      <c r="L1216" s="137" t="s">
        <v>807</v>
      </c>
      <c r="M121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1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16" s="138" t="str" cm="1">
        <f t="array" ref="O1216">IFERROR(INDEX(CategoriesTable[Category type],MATCH(Table1[[#This Row],[Category]],CategoriesTable[Category name],0),0),"")</f>
        <v/>
      </c>
      <c r="P1216" s="138">
        <v>26</v>
      </c>
      <c r="Q1216" s="138">
        <f>MONTH(Table1[[#This Row],[Date]])</f>
        <v>2</v>
      </c>
      <c r="R1216" s="138">
        <v>2021</v>
      </c>
      <c r="S1216" s="139">
        <f>IF(ISBLANK(Table1[[#This Row],[Date]]),"",Table1[[#This Row],[Date]]-WEEKDAY(Table1[[#This Row],[Date]],2)+1)</f>
        <v>44249</v>
      </c>
      <c r="T1216" s="140">
        <f>IF(ISBLANK(Table1[[#This Row],[Date]]),"",DATE(Table1[[#This Row],[Date_Year]],Table1[[#This Row],[Date_Month]],1))</f>
        <v>44228</v>
      </c>
    </row>
    <row r="1217" spans="2:20" ht="15.75">
      <c r="B1217" s="154">
        <v>44253</v>
      </c>
      <c r="C1217" s="119" t="s">
        <v>724</v>
      </c>
      <c r="D1217" s="119"/>
      <c r="E1217" s="119"/>
      <c r="F1217" s="155">
        <v>-13.67</v>
      </c>
      <c r="G1217" s="133" t="str">
        <f>_xlfn.XLOOKUP(Table1[[#This Row],[Account_ID]], Accounts[ID], Accounts[Account nickname], "Unknown")</f>
        <v>Discover</v>
      </c>
      <c r="H1217" s="134" t="str">
        <f>_xlfn.XLOOKUP(Table1[[#This Row],[Account_ID]], Accounts[ID], Accounts[Account'#], "Unknown")</f>
        <v>4618</v>
      </c>
      <c r="I1217" s="135" t="str">
        <f>_xlfn.XLOOKUP(_xlfn.XLOOKUP(Table1[[#This Row],[Account]],Accounts[Account nickname],Accounts[Institution ID]),Institutions[ID],Institutions[Institution nickname],"Unknown")</f>
        <v>Discover</v>
      </c>
      <c r="J1217" s="136" t="s">
        <v>2577</v>
      </c>
      <c r="K1217" s="137" t="s">
        <v>843</v>
      </c>
      <c r="L1217" s="137" t="s">
        <v>841</v>
      </c>
      <c r="M121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1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17" s="138" t="str" cm="1">
        <f t="array" ref="O1217">IFERROR(INDEX(CategoriesTable[Category type],MATCH(Table1[[#This Row],[Category]],CategoriesTable[Category name],0),0),"")</f>
        <v/>
      </c>
      <c r="P1217" s="138">
        <v>26</v>
      </c>
      <c r="Q1217" s="138">
        <f>MONTH(Table1[[#This Row],[Date]])</f>
        <v>2</v>
      </c>
      <c r="R1217" s="138">
        <v>2021</v>
      </c>
      <c r="S1217" s="139">
        <f>IF(ISBLANK(Table1[[#This Row],[Date]]),"",Table1[[#This Row],[Date]]-WEEKDAY(Table1[[#This Row],[Date]],2)+1)</f>
        <v>44249</v>
      </c>
      <c r="T1217" s="140">
        <f>IF(ISBLANK(Table1[[#This Row],[Date]]),"",DATE(Table1[[#This Row],[Date_Year]],Table1[[#This Row],[Date_Month]],1))</f>
        <v>44228</v>
      </c>
    </row>
    <row r="1218" spans="2:20" ht="15.75">
      <c r="B1218" s="154">
        <v>44253</v>
      </c>
      <c r="C1218" s="119" t="s">
        <v>764</v>
      </c>
      <c r="D1218" s="119"/>
      <c r="E1218" s="119"/>
      <c r="F1218" s="155">
        <v>2420</v>
      </c>
      <c r="G1218" s="133" t="str">
        <f>_xlfn.XLOOKUP(Table1[[#This Row],[Account_ID]], Accounts[ID], Accounts[Account nickname], "Unknown")</f>
        <v>WF</v>
      </c>
      <c r="H1218" s="134" t="str">
        <f>_xlfn.XLOOKUP(Table1[[#This Row],[Account_ID]], Accounts[ID], Accounts[Account'#], "Unknown")</f>
        <v>4636</v>
      </c>
      <c r="I1218" s="135" t="str">
        <f>_xlfn.XLOOKUP(_xlfn.XLOOKUP(Table1[[#This Row],[Account]],Accounts[Account nickname],Accounts[Institution ID]),Institutions[ID],Institutions[Institution nickname],"Unknown")</f>
        <v>Wells Fargo</v>
      </c>
      <c r="J1218" s="136" t="s">
        <v>1181</v>
      </c>
      <c r="K1218" s="137" t="s">
        <v>808</v>
      </c>
      <c r="L1218" s="137" t="s">
        <v>807</v>
      </c>
      <c r="M121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1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18" s="138" t="str" cm="1">
        <f t="array" ref="O1218">IFERROR(INDEX(CategoriesTable[Category type],MATCH(Table1[[#This Row],[Category]],CategoriesTable[Category name],0),0),"")</f>
        <v/>
      </c>
      <c r="P1218" s="138">
        <v>26</v>
      </c>
      <c r="Q1218" s="138">
        <f>MONTH(Table1[[#This Row],[Date]])</f>
        <v>2</v>
      </c>
      <c r="R1218" s="138">
        <v>2021</v>
      </c>
      <c r="S1218" s="139">
        <f>IF(ISBLANK(Table1[[#This Row],[Date]]),"",Table1[[#This Row],[Date]]-WEEKDAY(Table1[[#This Row],[Date]],2)+1)</f>
        <v>44249</v>
      </c>
      <c r="T1218" s="140">
        <f>IF(ISBLANK(Table1[[#This Row],[Date]]),"",DATE(Table1[[#This Row],[Date_Year]],Table1[[#This Row],[Date_Month]],1))</f>
        <v>44228</v>
      </c>
    </row>
    <row r="1219" spans="2:20" ht="15.75">
      <c r="B1219" s="154">
        <v>44253</v>
      </c>
      <c r="C1219" s="119" t="s">
        <v>845</v>
      </c>
      <c r="D1219" s="119"/>
      <c r="E1219" s="119"/>
      <c r="F1219" s="155">
        <v>770.55</v>
      </c>
      <c r="G1219" s="133" t="str">
        <f>_xlfn.XLOOKUP(Table1[[#This Row],[Account_ID]], Accounts[ID], Accounts[Account nickname], "Unknown")</f>
        <v>Discover</v>
      </c>
      <c r="H1219" s="134" t="str">
        <f>_xlfn.XLOOKUP(Table1[[#This Row],[Account_ID]], Accounts[ID], Accounts[Account'#], "Unknown")</f>
        <v>4618</v>
      </c>
      <c r="I1219" s="135" t="str">
        <f>_xlfn.XLOOKUP(_xlfn.XLOOKUP(Table1[[#This Row],[Account]],Accounts[Account nickname],Accounts[Institution ID]),Institutions[ID],Institutions[Institution nickname],"Unknown")</f>
        <v>Discover</v>
      </c>
      <c r="J1219" s="136" t="s">
        <v>2576</v>
      </c>
      <c r="K1219" s="137" t="s">
        <v>843</v>
      </c>
      <c r="L1219" s="137" t="s">
        <v>841</v>
      </c>
      <c r="M121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1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19" s="138" t="str" cm="1">
        <f t="array" ref="O1219">IFERROR(INDEX(CategoriesTable[Category type],MATCH(Table1[[#This Row],[Category]],CategoriesTable[Category name],0),0),"")</f>
        <v/>
      </c>
      <c r="P1219" s="138">
        <v>26</v>
      </c>
      <c r="Q1219" s="138">
        <f>MONTH(Table1[[#This Row],[Date]])</f>
        <v>2</v>
      </c>
      <c r="R1219" s="138">
        <v>2021</v>
      </c>
      <c r="S1219" s="139">
        <f>IF(ISBLANK(Table1[[#This Row],[Date]]),"",Table1[[#This Row],[Date]]-WEEKDAY(Table1[[#This Row],[Date]],2)+1)</f>
        <v>44249</v>
      </c>
      <c r="T1219" s="140">
        <f>IF(ISBLANK(Table1[[#This Row],[Date]]),"",DATE(Table1[[#This Row],[Date_Year]],Table1[[#This Row],[Date_Month]],1))</f>
        <v>44228</v>
      </c>
    </row>
    <row r="1220" spans="2:20" ht="15.75">
      <c r="B1220" s="154">
        <v>44253</v>
      </c>
      <c r="C1220" s="119" t="s">
        <v>678</v>
      </c>
      <c r="D1220" s="119"/>
      <c r="E1220" s="119"/>
      <c r="F1220" s="155">
        <v>-700</v>
      </c>
      <c r="G1220" s="133" t="str">
        <f>_xlfn.XLOOKUP(Table1[[#This Row],[Account_ID]], Accounts[ID], Accounts[Account nickname], "Unknown")</f>
        <v>WF</v>
      </c>
      <c r="H1220" s="134" t="str">
        <f>_xlfn.XLOOKUP(Table1[[#This Row],[Account_ID]], Accounts[ID], Accounts[Account'#], "Unknown")</f>
        <v>4636</v>
      </c>
      <c r="I1220" s="135" t="str">
        <f>_xlfn.XLOOKUP(_xlfn.XLOOKUP(Table1[[#This Row],[Account]],Accounts[Account nickname],Accounts[Institution ID]),Institutions[ID],Institutions[Institution nickname],"Unknown")</f>
        <v>Wells Fargo</v>
      </c>
      <c r="J1220" s="136" t="s">
        <v>1182</v>
      </c>
      <c r="K1220" s="137" t="s">
        <v>808</v>
      </c>
      <c r="L1220" s="137" t="s">
        <v>807</v>
      </c>
      <c r="M122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2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20" s="138" t="str" cm="1">
        <f t="array" ref="O1220">IFERROR(INDEX(CategoriesTable[Category type],MATCH(Table1[[#This Row],[Category]],CategoriesTable[Category name],0),0),"")</f>
        <v/>
      </c>
      <c r="P1220" s="138">
        <v>26</v>
      </c>
      <c r="Q1220" s="138">
        <f>MONTH(Table1[[#This Row],[Date]])</f>
        <v>2</v>
      </c>
      <c r="R1220" s="138">
        <v>2021</v>
      </c>
      <c r="S1220" s="139">
        <f>IF(ISBLANK(Table1[[#This Row],[Date]]),"",Table1[[#This Row],[Date]]-WEEKDAY(Table1[[#This Row],[Date]],2)+1)</f>
        <v>44249</v>
      </c>
      <c r="T1220" s="140">
        <f>IF(ISBLANK(Table1[[#This Row],[Date]]),"",DATE(Table1[[#This Row],[Date_Year]],Table1[[#This Row],[Date_Month]],1))</f>
        <v>44228</v>
      </c>
    </row>
    <row r="1221" spans="2:20" ht="15.75">
      <c r="B1221" s="154">
        <v>44253</v>
      </c>
      <c r="C1221" s="119" t="s">
        <v>751</v>
      </c>
      <c r="D1221" s="119"/>
      <c r="E1221" s="119"/>
      <c r="F1221" s="155">
        <v>1459.65</v>
      </c>
      <c r="G1221" s="133" t="str">
        <f>_xlfn.XLOOKUP(Table1[[#This Row],[Account_ID]], Accounts[ID], Accounts[Account nickname], "Unknown")</f>
        <v>WF</v>
      </c>
      <c r="H1221" s="134" t="str">
        <f>_xlfn.XLOOKUP(Table1[[#This Row],[Account_ID]], Accounts[ID], Accounts[Account'#], "Unknown")</f>
        <v>4636</v>
      </c>
      <c r="I1221" s="135" t="str">
        <f>_xlfn.XLOOKUP(_xlfn.XLOOKUP(Table1[[#This Row],[Account]],Accounts[Account nickname],Accounts[Institution ID]),Institutions[ID],Institutions[Institution nickname],"Unknown")</f>
        <v>Wells Fargo</v>
      </c>
      <c r="J1221" s="136" t="s">
        <v>1180</v>
      </c>
      <c r="K1221" s="137" t="s">
        <v>808</v>
      </c>
      <c r="L1221" s="137" t="s">
        <v>807</v>
      </c>
      <c r="M122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2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21" s="138" t="str" cm="1">
        <f t="array" ref="O1221">IFERROR(INDEX(CategoriesTable[Category type],MATCH(Table1[[#This Row],[Category]],CategoriesTable[Category name],0),0),"")</f>
        <v/>
      </c>
      <c r="P1221" s="138">
        <v>26</v>
      </c>
      <c r="Q1221" s="138">
        <f>MONTH(Table1[[#This Row],[Date]])</f>
        <v>2</v>
      </c>
      <c r="R1221" s="138">
        <v>2021</v>
      </c>
      <c r="S1221" s="139">
        <f>IF(ISBLANK(Table1[[#This Row],[Date]]),"",Table1[[#This Row],[Date]]-WEEKDAY(Table1[[#This Row],[Date]],2)+1)</f>
        <v>44249</v>
      </c>
      <c r="T1221" s="140">
        <f>IF(ISBLANK(Table1[[#This Row],[Date]]),"",DATE(Table1[[#This Row],[Date_Year]],Table1[[#This Row],[Date_Month]],1))</f>
        <v>44228</v>
      </c>
    </row>
    <row r="1222" spans="2:20" ht="15.75">
      <c r="B1222" s="154">
        <v>44251</v>
      </c>
      <c r="C1222" s="119" t="s">
        <v>2578</v>
      </c>
      <c r="D1222" s="119"/>
      <c r="E1222" s="119"/>
      <c r="F1222" s="155">
        <v>-215</v>
      </c>
      <c r="G1222" s="133" t="str">
        <f>_xlfn.XLOOKUP(Table1[[#This Row],[Account_ID]], Accounts[ID], Accounts[Account nickname], "Unknown")</f>
        <v>Discover</v>
      </c>
      <c r="H1222" s="134" t="str">
        <f>_xlfn.XLOOKUP(Table1[[#This Row],[Account_ID]], Accounts[ID], Accounts[Account'#], "Unknown")</f>
        <v>4618</v>
      </c>
      <c r="I1222" s="135" t="str">
        <f>_xlfn.XLOOKUP(_xlfn.XLOOKUP(Table1[[#This Row],[Account]],Accounts[Account nickname],Accounts[Institution ID]),Institutions[ID],Institutions[Institution nickname],"Unknown")</f>
        <v>Discover</v>
      </c>
      <c r="J1222" s="136" t="s">
        <v>2579</v>
      </c>
      <c r="K1222" s="137" t="s">
        <v>843</v>
      </c>
      <c r="L1222" s="137" t="s">
        <v>841</v>
      </c>
      <c r="M122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2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22" s="138" t="str" cm="1">
        <f t="array" ref="O1222">IFERROR(INDEX(CategoriesTable[Category type],MATCH(Table1[[#This Row],[Category]],CategoriesTable[Category name],0),0),"")</f>
        <v/>
      </c>
      <c r="P1222" s="138">
        <v>24</v>
      </c>
      <c r="Q1222" s="138">
        <f>MONTH(Table1[[#This Row],[Date]])</f>
        <v>2</v>
      </c>
      <c r="R1222" s="138">
        <v>2021</v>
      </c>
      <c r="S1222" s="139">
        <f>IF(ISBLANK(Table1[[#This Row],[Date]]),"",Table1[[#This Row],[Date]]-WEEKDAY(Table1[[#This Row],[Date]],2)+1)</f>
        <v>44249</v>
      </c>
      <c r="T1222" s="140">
        <f>IF(ISBLANK(Table1[[#This Row],[Date]]),"",DATE(Table1[[#This Row],[Date_Year]],Table1[[#This Row],[Date_Month]],1))</f>
        <v>44228</v>
      </c>
    </row>
    <row r="1223" spans="2:20" ht="15.75">
      <c r="B1223" s="154">
        <v>44250</v>
      </c>
      <c r="C1223" s="119" t="s">
        <v>2289</v>
      </c>
      <c r="D1223" s="119"/>
      <c r="E1223" s="119"/>
      <c r="F1223" s="155">
        <v>-1.99</v>
      </c>
      <c r="G1223" s="133" t="str">
        <f>_xlfn.XLOOKUP(Table1[[#This Row],[Account_ID]], Accounts[ID], Accounts[Account nickname], "Unknown")</f>
        <v>Discover</v>
      </c>
      <c r="H1223" s="134" t="str">
        <f>_xlfn.XLOOKUP(Table1[[#This Row],[Account_ID]], Accounts[ID], Accounts[Account'#], "Unknown")</f>
        <v>4618</v>
      </c>
      <c r="I1223" s="135" t="str">
        <f>_xlfn.XLOOKUP(_xlfn.XLOOKUP(Table1[[#This Row],[Account]],Accounts[Account nickname],Accounts[Institution ID]),Institutions[ID],Institutions[Institution nickname],"Unknown")</f>
        <v>Discover</v>
      </c>
      <c r="J1223" s="136" t="s">
        <v>2580</v>
      </c>
      <c r="K1223" s="137" t="s">
        <v>843</v>
      </c>
      <c r="L1223" s="137" t="s">
        <v>841</v>
      </c>
      <c r="M122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2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23" s="138" t="str" cm="1">
        <f t="array" ref="O1223">IFERROR(INDEX(CategoriesTable[Category type],MATCH(Table1[[#This Row],[Category]],CategoriesTable[Category name],0),0),"")</f>
        <v/>
      </c>
      <c r="P1223" s="138">
        <v>23</v>
      </c>
      <c r="Q1223" s="138">
        <f>MONTH(Table1[[#This Row],[Date]])</f>
        <v>2</v>
      </c>
      <c r="R1223" s="138">
        <v>2021</v>
      </c>
      <c r="S1223" s="139">
        <f>IF(ISBLANK(Table1[[#This Row],[Date]]),"",Table1[[#This Row],[Date]]-WEEKDAY(Table1[[#This Row],[Date]],2)+1)</f>
        <v>44249</v>
      </c>
      <c r="T1223" s="140">
        <f>IF(ISBLANK(Table1[[#This Row],[Date]]),"",DATE(Table1[[#This Row],[Date_Year]],Table1[[#This Row],[Date_Month]],1))</f>
        <v>44228</v>
      </c>
    </row>
    <row r="1224" spans="2:20" ht="15.75">
      <c r="B1224" s="154">
        <v>44250</v>
      </c>
      <c r="C1224" s="119" t="s">
        <v>766</v>
      </c>
      <c r="D1224" s="119"/>
      <c r="E1224" s="119"/>
      <c r="F1224" s="155">
        <v>-0.01</v>
      </c>
      <c r="G1224" s="133" t="str">
        <f>_xlfn.XLOOKUP(Table1[[#This Row],[Account_ID]], Accounts[ID], Accounts[Account nickname], "Unknown")</f>
        <v>WF</v>
      </c>
      <c r="H1224" s="134" t="str">
        <f>_xlfn.XLOOKUP(Table1[[#This Row],[Account_ID]], Accounts[ID], Accounts[Account'#], "Unknown")</f>
        <v>4636</v>
      </c>
      <c r="I1224" s="135" t="str">
        <f>_xlfn.XLOOKUP(_xlfn.XLOOKUP(Table1[[#This Row],[Account]],Accounts[Account nickname],Accounts[Institution ID]),Institutions[ID],Institutions[Institution nickname],"Unknown")</f>
        <v>Wells Fargo</v>
      </c>
      <c r="J1224" s="136" t="s">
        <v>1184</v>
      </c>
      <c r="K1224" s="137" t="s">
        <v>808</v>
      </c>
      <c r="L1224" s="137" t="s">
        <v>807</v>
      </c>
      <c r="M122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2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24" s="138" t="str" cm="1">
        <f t="array" ref="O1224">IFERROR(INDEX(CategoriesTable[Category type],MATCH(Table1[[#This Row],[Category]],CategoriesTable[Category name],0),0),"")</f>
        <v/>
      </c>
      <c r="P1224" s="138">
        <v>23</v>
      </c>
      <c r="Q1224" s="138">
        <f>MONTH(Table1[[#This Row],[Date]])</f>
        <v>2</v>
      </c>
      <c r="R1224" s="138">
        <v>2021</v>
      </c>
      <c r="S1224" s="139">
        <f>IF(ISBLANK(Table1[[#This Row],[Date]]),"",Table1[[#This Row],[Date]]-WEEKDAY(Table1[[#This Row],[Date]],2)+1)</f>
        <v>44249</v>
      </c>
      <c r="T1224" s="140">
        <f>IF(ISBLANK(Table1[[#This Row],[Date]]),"",DATE(Table1[[#This Row],[Date_Year]],Table1[[#This Row],[Date_Month]],1))</f>
        <v>44228</v>
      </c>
    </row>
    <row r="1225" spans="2:20" ht="15.75">
      <c r="B1225" s="154">
        <v>44250</v>
      </c>
      <c r="C1225" s="119" t="s">
        <v>765</v>
      </c>
      <c r="D1225" s="119"/>
      <c r="E1225" s="119"/>
      <c r="F1225" s="155">
        <v>0.01</v>
      </c>
      <c r="G1225" s="133" t="str">
        <f>_xlfn.XLOOKUP(Table1[[#This Row],[Account_ID]], Accounts[ID], Accounts[Account nickname], "Unknown")</f>
        <v>WF</v>
      </c>
      <c r="H1225" s="134" t="str">
        <f>_xlfn.XLOOKUP(Table1[[#This Row],[Account_ID]], Accounts[ID], Accounts[Account'#], "Unknown")</f>
        <v>4636</v>
      </c>
      <c r="I1225" s="135" t="str">
        <f>_xlfn.XLOOKUP(_xlfn.XLOOKUP(Table1[[#This Row],[Account]],Accounts[Account nickname],Accounts[Institution ID]),Institutions[ID],Institutions[Institution nickname],"Unknown")</f>
        <v>Wells Fargo</v>
      </c>
      <c r="J1225" s="136" t="s">
        <v>1183</v>
      </c>
      <c r="K1225" s="137" t="s">
        <v>808</v>
      </c>
      <c r="L1225" s="137" t="s">
        <v>807</v>
      </c>
      <c r="M122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2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25" s="138" t="str" cm="1">
        <f t="array" ref="O1225">IFERROR(INDEX(CategoriesTable[Category type],MATCH(Table1[[#This Row],[Category]],CategoriesTable[Category name],0),0),"")</f>
        <v/>
      </c>
      <c r="P1225" s="138">
        <v>23</v>
      </c>
      <c r="Q1225" s="138">
        <f>MONTH(Table1[[#This Row],[Date]])</f>
        <v>2</v>
      </c>
      <c r="R1225" s="138">
        <v>2021</v>
      </c>
      <c r="S1225" s="139">
        <f>IF(ISBLANK(Table1[[#This Row],[Date]]),"",Table1[[#This Row],[Date]]-WEEKDAY(Table1[[#This Row],[Date]],2)+1)</f>
        <v>44249</v>
      </c>
      <c r="T1225" s="140">
        <f>IF(ISBLANK(Table1[[#This Row],[Date]]),"",DATE(Table1[[#This Row],[Date_Year]],Table1[[#This Row],[Date_Month]],1))</f>
        <v>44228</v>
      </c>
    </row>
    <row r="1226" spans="2:20" ht="15.75">
      <c r="B1226" s="154">
        <v>44249</v>
      </c>
      <c r="C1226" s="119" t="s">
        <v>678</v>
      </c>
      <c r="D1226" s="119"/>
      <c r="E1226" s="119"/>
      <c r="F1226" s="155">
        <v>-81.319999999999993</v>
      </c>
      <c r="G1226" s="133" t="str">
        <f>_xlfn.XLOOKUP(Table1[[#This Row],[Account_ID]], Accounts[ID], Accounts[Account nickname], "Unknown")</f>
        <v>WF</v>
      </c>
      <c r="H1226" s="134" t="str">
        <f>_xlfn.XLOOKUP(Table1[[#This Row],[Account_ID]], Accounts[ID], Accounts[Account'#], "Unknown")</f>
        <v>4636</v>
      </c>
      <c r="I1226" s="135" t="str">
        <f>_xlfn.XLOOKUP(_xlfn.XLOOKUP(Table1[[#This Row],[Account]],Accounts[Account nickname],Accounts[Institution ID]),Institutions[ID],Institutions[Institution nickname],"Unknown")</f>
        <v>Wells Fargo</v>
      </c>
      <c r="J1226" s="136" t="s">
        <v>1185</v>
      </c>
      <c r="K1226" s="137" t="s">
        <v>808</v>
      </c>
      <c r="L1226" s="137" t="s">
        <v>807</v>
      </c>
      <c r="M122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2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26" s="138" t="str" cm="1">
        <f t="array" ref="O1226">IFERROR(INDEX(CategoriesTable[Category type],MATCH(Table1[[#This Row],[Category]],CategoriesTable[Category name],0),0),"")</f>
        <v/>
      </c>
      <c r="P1226" s="138">
        <v>22</v>
      </c>
      <c r="Q1226" s="138">
        <f>MONTH(Table1[[#This Row],[Date]])</f>
        <v>2</v>
      </c>
      <c r="R1226" s="138">
        <v>2021</v>
      </c>
      <c r="S1226" s="139">
        <f>IF(ISBLANK(Table1[[#This Row],[Date]]),"",Table1[[#This Row],[Date]]-WEEKDAY(Table1[[#This Row],[Date]],2)+1)</f>
        <v>44249</v>
      </c>
      <c r="T1226" s="140">
        <f>IF(ISBLANK(Table1[[#This Row],[Date]]),"",DATE(Table1[[#This Row],[Date_Year]],Table1[[#This Row],[Date_Month]],1))</f>
        <v>44228</v>
      </c>
    </row>
    <row r="1227" spans="2:20" ht="15.75">
      <c r="B1227" s="154">
        <v>44248</v>
      </c>
      <c r="C1227" s="119" t="s">
        <v>706</v>
      </c>
      <c r="D1227" s="119"/>
      <c r="E1227" s="119"/>
      <c r="F1227" s="155">
        <v>-25.35</v>
      </c>
      <c r="G1227" s="133" t="str">
        <f>_xlfn.XLOOKUP(Table1[[#This Row],[Account_ID]], Accounts[ID], Accounts[Account nickname], "Unknown")</f>
        <v>Discover</v>
      </c>
      <c r="H1227" s="134" t="str">
        <f>_xlfn.XLOOKUP(Table1[[#This Row],[Account_ID]], Accounts[ID], Accounts[Account'#], "Unknown")</f>
        <v>4618</v>
      </c>
      <c r="I1227" s="135" t="str">
        <f>_xlfn.XLOOKUP(_xlfn.XLOOKUP(Table1[[#This Row],[Account]],Accounts[Account nickname],Accounts[Institution ID]),Institutions[ID],Institutions[Institution nickname],"Unknown")</f>
        <v>Discover</v>
      </c>
      <c r="J1227" s="136" t="s">
        <v>2584</v>
      </c>
      <c r="K1227" s="137" t="s">
        <v>843</v>
      </c>
      <c r="L1227" s="137" t="s">
        <v>841</v>
      </c>
      <c r="M122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2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27" s="138" t="str" cm="1">
        <f t="array" ref="O1227">IFERROR(INDEX(CategoriesTable[Category type],MATCH(Table1[[#This Row],[Category]],CategoriesTable[Category name],0),0),"")</f>
        <v/>
      </c>
      <c r="P1227" s="138">
        <v>21</v>
      </c>
      <c r="Q1227" s="138">
        <f>MONTH(Table1[[#This Row],[Date]])</f>
        <v>2</v>
      </c>
      <c r="R1227" s="138">
        <v>2021</v>
      </c>
      <c r="S1227" s="139">
        <f>IF(ISBLANK(Table1[[#This Row],[Date]]),"",Table1[[#This Row],[Date]]-WEEKDAY(Table1[[#This Row],[Date]],2)+1)</f>
        <v>44242</v>
      </c>
      <c r="T1227" s="140">
        <f>IF(ISBLANK(Table1[[#This Row],[Date]]),"",DATE(Table1[[#This Row],[Date_Year]],Table1[[#This Row],[Date_Month]],1))</f>
        <v>44228</v>
      </c>
    </row>
    <row r="1228" spans="2:20" ht="15.75">
      <c r="B1228" s="154">
        <v>44248</v>
      </c>
      <c r="C1228" s="119" t="s">
        <v>2417</v>
      </c>
      <c r="D1228" s="119"/>
      <c r="E1228" s="119"/>
      <c r="F1228" s="155">
        <v>-9.9499999999999993</v>
      </c>
      <c r="G1228" s="133" t="str">
        <f>_xlfn.XLOOKUP(Table1[[#This Row],[Account_ID]], Accounts[ID], Accounts[Account nickname], "Unknown")</f>
        <v>Discover</v>
      </c>
      <c r="H1228" s="134" t="str">
        <f>_xlfn.XLOOKUP(Table1[[#This Row],[Account_ID]], Accounts[ID], Accounts[Account'#], "Unknown")</f>
        <v>4618</v>
      </c>
      <c r="I1228" s="135" t="str">
        <f>_xlfn.XLOOKUP(_xlfn.XLOOKUP(Table1[[#This Row],[Account]],Accounts[Account nickname],Accounts[Institution ID]),Institutions[ID],Institutions[Institution nickname],"Unknown")</f>
        <v>Discover</v>
      </c>
      <c r="J1228" s="136" t="s">
        <v>2582</v>
      </c>
      <c r="K1228" s="137" t="s">
        <v>843</v>
      </c>
      <c r="L1228" s="137" t="s">
        <v>841</v>
      </c>
      <c r="M122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2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28" s="138" t="str" cm="1">
        <f t="array" ref="O1228">IFERROR(INDEX(CategoriesTable[Category type],MATCH(Table1[[#This Row],[Category]],CategoriesTable[Category name],0),0),"")</f>
        <v/>
      </c>
      <c r="P1228" s="138">
        <v>21</v>
      </c>
      <c r="Q1228" s="138">
        <f>MONTH(Table1[[#This Row],[Date]])</f>
        <v>2</v>
      </c>
      <c r="R1228" s="138">
        <v>2021</v>
      </c>
      <c r="S1228" s="139">
        <f>IF(ISBLANK(Table1[[#This Row],[Date]]),"",Table1[[#This Row],[Date]]-WEEKDAY(Table1[[#This Row],[Date]],2)+1)</f>
        <v>44242</v>
      </c>
      <c r="T1228" s="140">
        <f>IF(ISBLANK(Table1[[#This Row],[Date]]),"",DATE(Table1[[#This Row],[Date_Year]],Table1[[#This Row],[Date_Month]],1))</f>
        <v>44228</v>
      </c>
    </row>
    <row r="1229" spans="2:20" ht="15.75">
      <c r="B1229" s="154">
        <v>44248</v>
      </c>
      <c r="C1229" s="119" t="s">
        <v>724</v>
      </c>
      <c r="D1229" s="119"/>
      <c r="E1229" s="119"/>
      <c r="F1229" s="155">
        <v>-20.14</v>
      </c>
      <c r="G1229" s="133" t="str">
        <f>_xlfn.XLOOKUP(Table1[[#This Row],[Account_ID]], Accounts[ID], Accounts[Account nickname], "Unknown")</f>
        <v>Discover</v>
      </c>
      <c r="H1229" s="134" t="str">
        <f>_xlfn.XLOOKUP(Table1[[#This Row],[Account_ID]], Accounts[ID], Accounts[Account'#], "Unknown")</f>
        <v>4618</v>
      </c>
      <c r="I1229" s="135" t="str">
        <f>_xlfn.XLOOKUP(_xlfn.XLOOKUP(Table1[[#This Row],[Account]],Accounts[Account nickname],Accounts[Institution ID]),Institutions[ID],Institutions[Institution nickname],"Unknown")</f>
        <v>Discover</v>
      </c>
      <c r="J1229" s="136" t="s">
        <v>2586</v>
      </c>
      <c r="K1229" s="137" t="s">
        <v>843</v>
      </c>
      <c r="L1229" s="137" t="s">
        <v>841</v>
      </c>
      <c r="M122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2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29" s="138" t="str" cm="1">
        <f t="array" ref="O1229">IFERROR(INDEX(CategoriesTable[Category type],MATCH(Table1[[#This Row],[Category]],CategoriesTable[Category name],0),0),"")</f>
        <v/>
      </c>
      <c r="P1229" s="138">
        <v>21</v>
      </c>
      <c r="Q1229" s="138">
        <f>MONTH(Table1[[#This Row],[Date]])</f>
        <v>2</v>
      </c>
      <c r="R1229" s="138">
        <v>2021</v>
      </c>
      <c r="S1229" s="139">
        <f>IF(ISBLANK(Table1[[#This Row],[Date]]),"",Table1[[#This Row],[Date]]-WEEKDAY(Table1[[#This Row],[Date]],2)+1)</f>
        <v>44242</v>
      </c>
      <c r="T1229" s="140">
        <f>IF(ISBLANK(Table1[[#This Row],[Date]]),"",DATE(Table1[[#This Row],[Date_Year]],Table1[[#This Row],[Date_Month]],1))</f>
        <v>44228</v>
      </c>
    </row>
    <row r="1230" spans="2:20" ht="15.75">
      <c r="B1230" s="154">
        <v>44248</v>
      </c>
      <c r="C1230" s="119" t="s">
        <v>716</v>
      </c>
      <c r="D1230" s="119"/>
      <c r="E1230" s="119"/>
      <c r="F1230" s="155">
        <v>-8.23</v>
      </c>
      <c r="G1230" s="133" t="str">
        <f>_xlfn.XLOOKUP(Table1[[#This Row],[Account_ID]], Accounts[ID], Accounts[Account nickname], "Unknown")</f>
        <v>Discover</v>
      </c>
      <c r="H1230" s="134" t="str">
        <f>_xlfn.XLOOKUP(Table1[[#This Row],[Account_ID]], Accounts[ID], Accounts[Account'#], "Unknown")</f>
        <v>4618</v>
      </c>
      <c r="I1230" s="135" t="str">
        <f>_xlfn.XLOOKUP(_xlfn.XLOOKUP(Table1[[#This Row],[Account]],Accounts[Account nickname],Accounts[Institution ID]),Institutions[ID],Institutions[Institution nickname],"Unknown")</f>
        <v>Discover</v>
      </c>
      <c r="J1230" s="136" t="s">
        <v>2581</v>
      </c>
      <c r="K1230" s="137" t="s">
        <v>843</v>
      </c>
      <c r="L1230" s="137" t="s">
        <v>841</v>
      </c>
      <c r="M123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3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30" s="138" t="str" cm="1">
        <f t="array" ref="O1230">IFERROR(INDEX(CategoriesTable[Category type],MATCH(Table1[[#This Row],[Category]],CategoriesTable[Category name],0),0),"")</f>
        <v/>
      </c>
      <c r="P1230" s="138">
        <v>21</v>
      </c>
      <c r="Q1230" s="138">
        <f>MONTH(Table1[[#This Row],[Date]])</f>
        <v>2</v>
      </c>
      <c r="R1230" s="138">
        <v>2021</v>
      </c>
      <c r="S1230" s="139">
        <f>IF(ISBLANK(Table1[[#This Row],[Date]]),"",Table1[[#This Row],[Date]]-WEEKDAY(Table1[[#This Row],[Date]],2)+1)</f>
        <v>44242</v>
      </c>
      <c r="T1230" s="140">
        <f>IF(ISBLANK(Table1[[#This Row],[Date]]),"",DATE(Table1[[#This Row],[Date_Year]],Table1[[#This Row],[Date_Month]],1))</f>
        <v>44228</v>
      </c>
    </row>
    <row r="1231" spans="2:20" ht="15.75">
      <c r="B1231" s="154">
        <v>44248</v>
      </c>
      <c r="C1231" s="119" t="s">
        <v>1436</v>
      </c>
      <c r="D1231" s="119"/>
      <c r="E1231" s="119"/>
      <c r="F1231" s="155">
        <v>-7.99</v>
      </c>
      <c r="G1231" s="133" t="str">
        <f>_xlfn.XLOOKUP(Table1[[#This Row],[Account_ID]], Accounts[ID], Accounts[Account nickname], "Unknown")</f>
        <v>Discover</v>
      </c>
      <c r="H1231" s="134" t="str">
        <f>_xlfn.XLOOKUP(Table1[[#This Row],[Account_ID]], Accounts[ID], Accounts[Account'#], "Unknown")</f>
        <v>4618</v>
      </c>
      <c r="I1231" s="135" t="str">
        <f>_xlfn.XLOOKUP(_xlfn.XLOOKUP(Table1[[#This Row],[Account]],Accounts[Account nickname],Accounts[Institution ID]),Institutions[ID],Institutions[Institution nickname],"Unknown")</f>
        <v>Discover</v>
      </c>
      <c r="J1231" s="136" t="s">
        <v>2583</v>
      </c>
      <c r="K1231" s="137" t="s">
        <v>843</v>
      </c>
      <c r="L1231" s="137" t="s">
        <v>841</v>
      </c>
      <c r="M123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3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31" s="138" t="str" cm="1">
        <f t="array" ref="O1231">IFERROR(INDEX(CategoriesTable[Category type],MATCH(Table1[[#This Row],[Category]],CategoriesTable[Category name],0),0),"")</f>
        <v/>
      </c>
      <c r="P1231" s="138">
        <v>21</v>
      </c>
      <c r="Q1231" s="138">
        <f>MONTH(Table1[[#This Row],[Date]])</f>
        <v>2</v>
      </c>
      <c r="R1231" s="138">
        <v>2021</v>
      </c>
      <c r="S1231" s="139">
        <f>IF(ISBLANK(Table1[[#This Row],[Date]]),"",Table1[[#This Row],[Date]]-WEEKDAY(Table1[[#This Row],[Date]],2)+1)</f>
        <v>44242</v>
      </c>
      <c r="T1231" s="140">
        <f>IF(ISBLANK(Table1[[#This Row],[Date]]),"",DATE(Table1[[#This Row],[Date_Year]],Table1[[#This Row],[Date_Month]],1))</f>
        <v>44228</v>
      </c>
    </row>
    <row r="1232" spans="2:20" ht="15.75">
      <c r="B1232" s="154">
        <v>44248</v>
      </c>
      <c r="C1232" s="119" t="s">
        <v>724</v>
      </c>
      <c r="D1232" s="119"/>
      <c r="E1232" s="119"/>
      <c r="F1232" s="155">
        <v>-11.64</v>
      </c>
      <c r="G1232" s="133" t="str">
        <f>_xlfn.XLOOKUP(Table1[[#This Row],[Account_ID]], Accounts[ID], Accounts[Account nickname], "Unknown")</f>
        <v>Discover</v>
      </c>
      <c r="H1232" s="134" t="str">
        <f>_xlfn.XLOOKUP(Table1[[#This Row],[Account_ID]], Accounts[ID], Accounts[Account'#], "Unknown")</f>
        <v>4618</v>
      </c>
      <c r="I1232" s="135" t="str">
        <f>_xlfn.XLOOKUP(_xlfn.XLOOKUP(Table1[[#This Row],[Account]],Accounts[Account nickname],Accounts[Institution ID]),Institutions[ID],Institutions[Institution nickname],"Unknown")</f>
        <v>Discover</v>
      </c>
      <c r="J1232" s="136" t="s">
        <v>2585</v>
      </c>
      <c r="K1232" s="137" t="s">
        <v>843</v>
      </c>
      <c r="L1232" s="137" t="s">
        <v>841</v>
      </c>
      <c r="M123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3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32" s="138" t="str" cm="1">
        <f t="array" ref="O1232">IFERROR(INDEX(CategoriesTable[Category type],MATCH(Table1[[#This Row],[Category]],CategoriesTable[Category name],0),0),"")</f>
        <v/>
      </c>
      <c r="P1232" s="138">
        <v>21</v>
      </c>
      <c r="Q1232" s="138">
        <f>MONTH(Table1[[#This Row],[Date]])</f>
        <v>2</v>
      </c>
      <c r="R1232" s="138">
        <v>2021</v>
      </c>
      <c r="S1232" s="139">
        <f>IF(ISBLANK(Table1[[#This Row],[Date]]),"",Table1[[#This Row],[Date]]-WEEKDAY(Table1[[#This Row],[Date]],2)+1)</f>
        <v>44242</v>
      </c>
      <c r="T1232" s="140">
        <f>IF(ISBLANK(Table1[[#This Row],[Date]]),"",DATE(Table1[[#This Row],[Date_Year]],Table1[[#This Row],[Date_Month]],1))</f>
        <v>44228</v>
      </c>
    </row>
    <row r="1233" spans="2:20" ht="15.75">
      <c r="B1233" s="154">
        <v>44248</v>
      </c>
      <c r="C1233" s="119" t="s">
        <v>724</v>
      </c>
      <c r="D1233" s="119"/>
      <c r="E1233" s="119"/>
      <c r="F1233" s="155">
        <v>-21.14</v>
      </c>
      <c r="G1233" s="133" t="str">
        <f>_xlfn.XLOOKUP(Table1[[#This Row],[Account_ID]], Accounts[ID], Accounts[Account nickname], "Unknown")</f>
        <v>Discover</v>
      </c>
      <c r="H1233" s="134" t="str">
        <f>_xlfn.XLOOKUP(Table1[[#This Row],[Account_ID]], Accounts[ID], Accounts[Account'#], "Unknown")</f>
        <v>4618</v>
      </c>
      <c r="I1233" s="135" t="str">
        <f>_xlfn.XLOOKUP(_xlfn.XLOOKUP(Table1[[#This Row],[Account]],Accounts[Account nickname],Accounts[Institution ID]),Institutions[ID],Institutions[Institution nickname],"Unknown")</f>
        <v>Discover</v>
      </c>
      <c r="J1233" s="136" t="s">
        <v>2587</v>
      </c>
      <c r="K1233" s="137" t="s">
        <v>843</v>
      </c>
      <c r="L1233" s="137" t="s">
        <v>841</v>
      </c>
      <c r="M123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3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33" s="138" t="str" cm="1">
        <f t="array" ref="O1233">IFERROR(INDEX(CategoriesTable[Category type],MATCH(Table1[[#This Row],[Category]],CategoriesTable[Category name],0),0),"")</f>
        <v/>
      </c>
      <c r="P1233" s="138">
        <v>21</v>
      </c>
      <c r="Q1233" s="138">
        <f>MONTH(Table1[[#This Row],[Date]])</f>
        <v>2</v>
      </c>
      <c r="R1233" s="138">
        <v>2021</v>
      </c>
      <c r="S1233" s="139">
        <f>IF(ISBLANK(Table1[[#This Row],[Date]]),"",Table1[[#This Row],[Date]]-WEEKDAY(Table1[[#This Row],[Date]],2)+1)</f>
        <v>44242</v>
      </c>
      <c r="T1233" s="140">
        <f>IF(ISBLANK(Table1[[#This Row],[Date]]),"",DATE(Table1[[#This Row],[Date_Year]],Table1[[#This Row],[Date_Month]],1))</f>
        <v>44228</v>
      </c>
    </row>
    <row r="1234" spans="2:20" ht="15.75">
      <c r="B1234" s="154">
        <v>44247</v>
      </c>
      <c r="C1234" s="119" t="s">
        <v>2590</v>
      </c>
      <c r="D1234" s="119"/>
      <c r="E1234" s="119"/>
      <c r="F1234" s="155">
        <v>-10.64</v>
      </c>
      <c r="G1234" s="133" t="str">
        <f>_xlfn.XLOOKUP(Table1[[#This Row],[Account_ID]], Accounts[ID], Accounts[Account nickname], "Unknown")</f>
        <v>Discover</v>
      </c>
      <c r="H1234" s="134" t="str">
        <f>_xlfn.XLOOKUP(Table1[[#This Row],[Account_ID]], Accounts[ID], Accounts[Account'#], "Unknown")</f>
        <v>4618</v>
      </c>
      <c r="I1234" s="135" t="str">
        <f>_xlfn.XLOOKUP(_xlfn.XLOOKUP(Table1[[#This Row],[Account]],Accounts[Account nickname],Accounts[Institution ID]),Institutions[ID],Institutions[Institution nickname],"Unknown")</f>
        <v>Discover</v>
      </c>
      <c r="J1234" s="136" t="s">
        <v>2591</v>
      </c>
      <c r="K1234" s="137" t="s">
        <v>843</v>
      </c>
      <c r="L1234" s="137" t="s">
        <v>841</v>
      </c>
      <c r="M123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3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34" s="138" t="str" cm="1">
        <f t="array" ref="O1234">IFERROR(INDEX(CategoriesTable[Category type],MATCH(Table1[[#This Row],[Category]],CategoriesTable[Category name],0),0),"")</f>
        <v/>
      </c>
      <c r="P1234" s="138">
        <v>20</v>
      </c>
      <c r="Q1234" s="138">
        <f>MONTH(Table1[[#This Row],[Date]])</f>
        <v>2</v>
      </c>
      <c r="R1234" s="138">
        <v>2021</v>
      </c>
      <c r="S1234" s="139">
        <f>IF(ISBLANK(Table1[[#This Row],[Date]]),"",Table1[[#This Row],[Date]]-WEEKDAY(Table1[[#This Row],[Date]],2)+1)</f>
        <v>44242</v>
      </c>
      <c r="T1234" s="140">
        <f>IF(ISBLANK(Table1[[#This Row],[Date]]),"",DATE(Table1[[#This Row],[Date_Year]],Table1[[#This Row],[Date_Month]],1))</f>
        <v>44228</v>
      </c>
    </row>
    <row r="1235" spans="2:20" ht="15.75">
      <c r="B1235" s="154">
        <v>44247</v>
      </c>
      <c r="C1235" s="119" t="s">
        <v>2422</v>
      </c>
      <c r="D1235" s="119"/>
      <c r="E1235" s="119"/>
      <c r="F1235" s="155">
        <v>-6.99</v>
      </c>
      <c r="G1235" s="133" t="str">
        <f>_xlfn.XLOOKUP(Table1[[#This Row],[Account_ID]], Accounts[ID], Accounts[Account nickname], "Unknown")</f>
        <v>Discover</v>
      </c>
      <c r="H1235" s="134" t="str">
        <f>_xlfn.XLOOKUP(Table1[[#This Row],[Account_ID]], Accounts[ID], Accounts[Account'#], "Unknown")</f>
        <v>4618</v>
      </c>
      <c r="I1235" s="135" t="str">
        <f>_xlfn.XLOOKUP(_xlfn.XLOOKUP(Table1[[#This Row],[Account]],Accounts[Account nickname],Accounts[Institution ID]),Institutions[ID],Institutions[Institution nickname],"Unknown")</f>
        <v>Discover</v>
      </c>
      <c r="J1235" s="136" t="s">
        <v>2592</v>
      </c>
      <c r="K1235" s="137" t="s">
        <v>843</v>
      </c>
      <c r="L1235" s="137" t="s">
        <v>841</v>
      </c>
      <c r="M123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3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35" s="138" t="str" cm="1">
        <f t="array" ref="O1235">IFERROR(INDEX(CategoriesTable[Category type],MATCH(Table1[[#This Row],[Category]],CategoriesTable[Category name],0),0),"")</f>
        <v/>
      </c>
      <c r="P1235" s="138">
        <v>20</v>
      </c>
      <c r="Q1235" s="138">
        <f>MONTH(Table1[[#This Row],[Date]])</f>
        <v>2</v>
      </c>
      <c r="R1235" s="138">
        <v>2021</v>
      </c>
      <c r="S1235" s="139">
        <f>IF(ISBLANK(Table1[[#This Row],[Date]]),"",Table1[[#This Row],[Date]]-WEEKDAY(Table1[[#This Row],[Date]],2)+1)</f>
        <v>44242</v>
      </c>
      <c r="T1235" s="140">
        <f>IF(ISBLANK(Table1[[#This Row],[Date]]),"",DATE(Table1[[#This Row],[Date_Year]],Table1[[#This Row],[Date_Month]],1))</f>
        <v>44228</v>
      </c>
    </row>
    <row r="1236" spans="2:20" ht="15.75">
      <c r="B1236" s="154">
        <v>44247</v>
      </c>
      <c r="C1236" s="119" t="s">
        <v>798</v>
      </c>
      <c r="D1236" s="119"/>
      <c r="E1236" s="119"/>
      <c r="F1236" s="155">
        <v>-135.35</v>
      </c>
      <c r="G1236" s="133" t="str">
        <f>_xlfn.XLOOKUP(Table1[[#This Row],[Account_ID]], Accounts[ID], Accounts[Account nickname], "Unknown")</f>
        <v>Discover</v>
      </c>
      <c r="H1236" s="134" t="str">
        <f>_xlfn.XLOOKUP(Table1[[#This Row],[Account_ID]], Accounts[ID], Accounts[Account'#], "Unknown")</f>
        <v>4618</v>
      </c>
      <c r="I1236" s="135" t="str">
        <f>_xlfn.XLOOKUP(_xlfn.XLOOKUP(Table1[[#This Row],[Account]],Accounts[Account nickname],Accounts[Institution ID]),Institutions[ID],Institutions[Institution nickname],"Unknown")</f>
        <v>Discover</v>
      </c>
      <c r="J1236" s="136" t="s">
        <v>2589</v>
      </c>
      <c r="K1236" s="137" t="s">
        <v>843</v>
      </c>
      <c r="L1236" s="137" t="s">
        <v>841</v>
      </c>
      <c r="M123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3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36" s="138" t="str" cm="1">
        <f t="array" ref="O1236">IFERROR(INDEX(CategoriesTable[Category type],MATCH(Table1[[#This Row],[Category]],CategoriesTable[Category name],0),0),"")</f>
        <v/>
      </c>
      <c r="P1236" s="138">
        <v>20</v>
      </c>
      <c r="Q1236" s="138">
        <f>MONTH(Table1[[#This Row],[Date]])</f>
        <v>2</v>
      </c>
      <c r="R1236" s="138">
        <v>2021</v>
      </c>
      <c r="S1236" s="139">
        <f>IF(ISBLANK(Table1[[#This Row],[Date]]),"",Table1[[#This Row],[Date]]-WEEKDAY(Table1[[#This Row],[Date]],2)+1)</f>
        <v>44242</v>
      </c>
      <c r="T1236" s="140">
        <f>IF(ISBLANK(Table1[[#This Row],[Date]]),"",DATE(Table1[[#This Row],[Date_Year]],Table1[[#This Row],[Date_Month]],1))</f>
        <v>44228</v>
      </c>
    </row>
    <row r="1237" spans="2:20" ht="15.75">
      <c r="B1237" s="154">
        <v>44247</v>
      </c>
      <c r="C1237" s="119" t="s">
        <v>700</v>
      </c>
      <c r="D1237" s="119"/>
      <c r="E1237" s="119"/>
      <c r="F1237" s="155">
        <v>-86.25</v>
      </c>
      <c r="G1237" s="133" t="str">
        <f>_xlfn.XLOOKUP(Table1[[#This Row],[Account_ID]], Accounts[ID], Accounts[Account nickname], "Unknown")</f>
        <v>Discover</v>
      </c>
      <c r="H1237" s="134" t="str">
        <f>_xlfn.XLOOKUP(Table1[[#This Row],[Account_ID]], Accounts[ID], Accounts[Account'#], "Unknown")</f>
        <v>4618</v>
      </c>
      <c r="I1237" s="135" t="str">
        <f>_xlfn.XLOOKUP(_xlfn.XLOOKUP(Table1[[#This Row],[Account]],Accounts[Account nickname],Accounts[Institution ID]),Institutions[ID],Institutions[Institution nickname],"Unknown")</f>
        <v>Discover</v>
      </c>
      <c r="J1237" s="136" t="s">
        <v>2588</v>
      </c>
      <c r="K1237" s="137" t="s">
        <v>843</v>
      </c>
      <c r="L1237" s="137" t="s">
        <v>841</v>
      </c>
      <c r="M123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3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37" s="138" t="str" cm="1">
        <f t="array" ref="O1237">IFERROR(INDEX(CategoriesTable[Category type],MATCH(Table1[[#This Row],[Category]],CategoriesTable[Category name],0),0),"")</f>
        <v/>
      </c>
      <c r="P1237" s="138">
        <v>20</v>
      </c>
      <c r="Q1237" s="138">
        <f>MONTH(Table1[[#This Row],[Date]])</f>
        <v>2</v>
      </c>
      <c r="R1237" s="138">
        <v>2021</v>
      </c>
      <c r="S1237" s="139">
        <f>IF(ISBLANK(Table1[[#This Row],[Date]]),"",Table1[[#This Row],[Date]]-WEEKDAY(Table1[[#This Row],[Date]],2)+1)</f>
        <v>44242</v>
      </c>
      <c r="T1237" s="140">
        <f>IF(ISBLANK(Table1[[#This Row],[Date]]),"",DATE(Table1[[#This Row],[Date_Year]],Table1[[#This Row],[Date_Month]],1))</f>
        <v>44228</v>
      </c>
    </row>
    <row r="1238" spans="2:20" ht="15.75">
      <c r="B1238" s="154">
        <v>44246</v>
      </c>
      <c r="C1238" s="119" t="s">
        <v>752</v>
      </c>
      <c r="D1238" s="119"/>
      <c r="E1238" s="119"/>
      <c r="F1238" s="155">
        <v>-100</v>
      </c>
      <c r="G1238" s="133" t="str">
        <f>_xlfn.XLOOKUP(Table1[[#This Row],[Account_ID]], Accounts[ID], Accounts[Account nickname], "Unknown")</f>
        <v>WF</v>
      </c>
      <c r="H1238" s="134" t="str">
        <f>_xlfn.XLOOKUP(Table1[[#This Row],[Account_ID]], Accounts[ID], Accounts[Account'#], "Unknown")</f>
        <v>4636</v>
      </c>
      <c r="I1238" s="135" t="str">
        <f>_xlfn.XLOOKUP(_xlfn.XLOOKUP(Table1[[#This Row],[Account]],Accounts[Account nickname],Accounts[Institution ID]),Institutions[ID],Institutions[Institution nickname],"Unknown")</f>
        <v>Wells Fargo</v>
      </c>
      <c r="J1238" s="136" t="s">
        <v>1187</v>
      </c>
      <c r="K1238" s="137" t="s">
        <v>808</v>
      </c>
      <c r="L1238" s="137" t="s">
        <v>807</v>
      </c>
      <c r="M123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3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38" s="138" t="str" cm="1">
        <f t="array" ref="O1238">IFERROR(INDEX(CategoriesTable[Category type],MATCH(Table1[[#This Row],[Category]],CategoriesTable[Category name],0),0),"")</f>
        <v/>
      </c>
      <c r="P1238" s="138">
        <v>19</v>
      </c>
      <c r="Q1238" s="138">
        <f>MONTH(Table1[[#This Row],[Date]])</f>
        <v>2</v>
      </c>
      <c r="R1238" s="138">
        <v>2021</v>
      </c>
      <c r="S1238" s="139">
        <f>IF(ISBLANK(Table1[[#This Row],[Date]]),"",Table1[[#This Row],[Date]]-WEEKDAY(Table1[[#This Row],[Date]],2)+1)</f>
        <v>44242</v>
      </c>
      <c r="T1238" s="140">
        <f>IF(ISBLANK(Table1[[#This Row],[Date]]),"",DATE(Table1[[#This Row],[Date_Year]],Table1[[#This Row],[Date_Month]],1))</f>
        <v>44228</v>
      </c>
    </row>
    <row r="1239" spans="2:20" ht="15.75">
      <c r="B1239" s="154">
        <v>44246</v>
      </c>
      <c r="C1239" s="119" t="s">
        <v>753</v>
      </c>
      <c r="D1239" s="119"/>
      <c r="E1239" s="119"/>
      <c r="F1239" s="155">
        <v>138.47</v>
      </c>
      <c r="G1239" s="133" t="str">
        <f>_xlfn.XLOOKUP(Table1[[#This Row],[Account_ID]], Accounts[ID], Accounts[Account nickname], "Unknown")</f>
        <v>WF</v>
      </c>
      <c r="H1239" s="134" t="str">
        <f>_xlfn.XLOOKUP(Table1[[#This Row],[Account_ID]], Accounts[ID], Accounts[Account'#], "Unknown")</f>
        <v>4636</v>
      </c>
      <c r="I1239" s="135" t="str">
        <f>_xlfn.XLOOKUP(_xlfn.XLOOKUP(Table1[[#This Row],[Account]],Accounts[Account nickname],Accounts[Institution ID]),Institutions[ID],Institutions[Institution nickname],"Unknown")</f>
        <v>Wells Fargo</v>
      </c>
      <c r="J1239" s="136" t="s">
        <v>1186</v>
      </c>
      <c r="K1239" s="137" t="s">
        <v>808</v>
      </c>
      <c r="L1239" s="137" t="s">
        <v>807</v>
      </c>
      <c r="M123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3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39" s="138" t="str" cm="1">
        <f t="array" ref="O1239">IFERROR(INDEX(CategoriesTable[Category type],MATCH(Table1[[#This Row],[Category]],CategoriesTable[Category name],0),0),"")</f>
        <v/>
      </c>
      <c r="P1239" s="138">
        <v>19</v>
      </c>
      <c r="Q1239" s="138">
        <f>MONTH(Table1[[#This Row],[Date]])</f>
        <v>2</v>
      </c>
      <c r="R1239" s="138">
        <v>2021</v>
      </c>
      <c r="S1239" s="139">
        <f>IF(ISBLANK(Table1[[#This Row],[Date]]),"",Table1[[#This Row],[Date]]-WEEKDAY(Table1[[#This Row],[Date]],2)+1)</f>
        <v>44242</v>
      </c>
      <c r="T1239" s="140">
        <f>IF(ISBLANK(Table1[[#This Row],[Date]]),"",DATE(Table1[[#This Row],[Date_Year]],Table1[[#This Row],[Date_Month]],1))</f>
        <v>44228</v>
      </c>
    </row>
    <row r="1240" spans="2:20" ht="15.75">
      <c r="B1240" s="154">
        <v>44246</v>
      </c>
      <c r="C1240" s="119" t="s">
        <v>2593</v>
      </c>
      <c r="D1240" s="119"/>
      <c r="E1240" s="119"/>
      <c r="F1240" s="155">
        <v>-40.42</v>
      </c>
      <c r="G1240" s="133" t="str">
        <f>_xlfn.XLOOKUP(Table1[[#This Row],[Account_ID]], Accounts[ID], Accounts[Account nickname], "Unknown")</f>
        <v>Discover</v>
      </c>
      <c r="H1240" s="134" t="str">
        <f>_xlfn.XLOOKUP(Table1[[#This Row],[Account_ID]], Accounts[ID], Accounts[Account'#], "Unknown")</f>
        <v>4618</v>
      </c>
      <c r="I1240" s="135" t="str">
        <f>_xlfn.XLOOKUP(_xlfn.XLOOKUP(Table1[[#This Row],[Account]],Accounts[Account nickname],Accounts[Institution ID]),Institutions[ID],Institutions[Institution nickname],"Unknown")</f>
        <v>Discover</v>
      </c>
      <c r="J1240" s="136" t="s">
        <v>2594</v>
      </c>
      <c r="K1240" s="137" t="s">
        <v>843</v>
      </c>
      <c r="L1240" s="137" t="s">
        <v>841</v>
      </c>
      <c r="M124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4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40" s="138" t="str" cm="1">
        <f t="array" ref="O1240">IFERROR(INDEX(CategoriesTable[Category type],MATCH(Table1[[#This Row],[Category]],CategoriesTable[Category name],0),0),"")</f>
        <v/>
      </c>
      <c r="P1240" s="138">
        <v>19</v>
      </c>
      <c r="Q1240" s="138">
        <f>MONTH(Table1[[#This Row],[Date]])</f>
        <v>2</v>
      </c>
      <c r="R1240" s="138">
        <v>2021</v>
      </c>
      <c r="S1240" s="139">
        <f>IF(ISBLANK(Table1[[#This Row],[Date]]),"",Table1[[#This Row],[Date]]-WEEKDAY(Table1[[#This Row],[Date]],2)+1)</f>
        <v>44242</v>
      </c>
      <c r="T1240" s="140">
        <f>IF(ISBLANK(Table1[[#This Row],[Date]]),"",DATE(Table1[[#This Row],[Date_Year]],Table1[[#This Row],[Date_Month]],1))</f>
        <v>44228</v>
      </c>
    </row>
    <row r="1241" spans="2:20" ht="15.75">
      <c r="B1241" s="154">
        <v>44244</v>
      </c>
      <c r="C1241" s="119" t="s">
        <v>1383</v>
      </c>
      <c r="D1241" s="119" t="s">
        <v>113</v>
      </c>
      <c r="E1241" s="119"/>
      <c r="F1241" s="155">
        <v>0</v>
      </c>
      <c r="G1241" s="133" t="str">
        <f>_xlfn.XLOOKUP(Table1[[#This Row],[Account_ID]], Accounts[ID], Accounts[Account nickname], "Unknown")</f>
        <v>BB</v>
      </c>
      <c r="H1241" s="134" t="str">
        <f>_xlfn.XLOOKUP(Table1[[#This Row],[Account_ID]], Accounts[ID], Accounts[Account'#], "Unknown")</f>
        <v>4561</v>
      </c>
      <c r="I1241" s="135" t="str">
        <f>_xlfn.XLOOKUP(_xlfn.XLOOKUP(Table1[[#This Row],[Account]],Accounts[Account nickname],Accounts[Institution ID]),Institutions[ID],Institutions[Institution nickname],"Unknown")</f>
        <v>Best Buy - Citi Card</v>
      </c>
      <c r="J1241" s="136" t="s">
        <v>2596</v>
      </c>
      <c r="K1241" s="137" t="s">
        <v>1375</v>
      </c>
      <c r="L1241" s="137" t="s">
        <v>1372</v>
      </c>
      <c r="M124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de9b1d2511bc45a9bb2d484aa9e33b31</v>
      </c>
      <c r="N124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41" s="138" t="str" cm="1">
        <f t="array" ref="O1241">IFERROR(INDEX(CategoriesTable[Category type],MATCH(Table1[[#This Row],[Category]],CategoriesTable[Category name],0),0),"")</f>
        <v>Expense</v>
      </c>
      <c r="P1241" s="138">
        <v>17</v>
      </c>
      <c r="Q1241" s="138">
        <f>MONTH(Table1[[#This Row],[Date]])</f>
        <v>2</v>
      </c>
      <c r="R1241" s="138">
        <v>2021</v>
      </c>
      <c r="S1241" s="139">
        <f>IF(ISBLANK(Table1[[#This Row],[Date]]),"",Table1[[#This Row],[Date]]-WEEKDAY(Table1[[#This Row],[Date]],2)+1)</f>
        <v>44242</v>
      </c>
      <c r="T1241" s="140">
        <f>IF(ISBLANK(Table1[[#This Row],[Date]]),"",DATE(Table1[[#This Row],[Date_Year]],Table1[[#This Row],[Date_Month]],1))</f>
        <v>44228</v>
      </c>
    </row>
    <row r="1242" spans="2:20" ht="15.75">
      <c r="B1242" s="154">
        <v>44244</v>
      </c>
      <c r="C1242" s="119" t="s">
        <v>718</v>
      </c>
      <c r="D1242" s="119"/>
      <c r="E1242" s="119"/>
      <c r="F1242" s="155">
        <v>-76.3</v>
      </c>
      <c r="G1242" s="133" t="str">
        <f>_xlfn.XLOOKUP(Table1[[#This Row],[Account_ID]], Accounts[ID], Accounts[Account nickname], "Unknown")</f>
        <v>Discover</v>
      </c>
      <c r="H1242" s="134" t="str">
        <f>_xlfn.XLOOKUP(Table1[[#This Row],[Account_ID]], Accounts[ID], Accounts[Account'#], "Unknown")</f>
        <v>4618</v>
      </c>
      <c r="I1242" s="135" t="str">
        <f>_xlfn.XLOOKUP(_xlfn.XLOOKUP(Table1[[#This Row],[Account]],Accounts[Account nickname],Accounts[Institution ID]),Institutions[ID],Institutions[Institution nickname],"Unknown")</f>
        <v>Discover</v>
      </c>
      <c r="J1242" s="136" t="s">
        <v>2595</v>
      </c>
      <c r="K1242" s="137" t="s">
        <v>843</v>
      </c>
      <c r="L1242" s="137" t="s">
        <v>841</v>
      </c>
      <c r="M124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4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42" s="138" t="str" cm="1">
        <f t="array" ref="O1242">IFERROR(INDEX(CategoriesTable[Category type],MATCH(Table1[[#This Row],[Category]],CategoriesTable[Category name],0),0),"")</f>
        <v/>
      </c>
      <c r="P1242" s="138">
        <v>17</v>
      </c>
      <c r="Q1242" s="138">
        <f>MONTH(Table1[[#This Row],[Date]])</f>
        <v>2</v>
      </c>
      <c r="R1242" s="138">
        <v>2021</v>
      </c>
      <c r="S1242" s="139">
        <f>IF(ISBLANK(Table1[[#This Row],[Date]]),"",Table1[[#This Row],[Date]]-WEEKDAY(Table1[[#This Row],[Date]],2)+1)</f>
        <v>44242</v>
      </c>
      <c r="T1242" s="140">
        <f>IF(ISBLANK(Table1[[#This Row],[Date]]),"",DATE(Table1[[#This Row],[Date_Year]],Table1[[#This Row],[Date_Month]],1))</f>
        <v>44228</v>
      </c>
    </row>
    <row r="1243" spans="2:20" ht="15.75">
      <c r="B1243" s="154">
        <v>44244</v>
      </c>
      <c r="C1243" s="119" t="s">
        <v>752</v>
      </c>
      <c r="D1243" s="119"/>
      <c r="E1243" s="119"/>
      <c r="F1243" s="155">
        <v>-150</v>
      </c>
      <c r="G1243" s="133" t="str">
        <f>_xlfn.XLOOKUP(Table1[[#This Row],[Account_ID]], Accounts[ID], Accounts[Account nickname], "Unknown")</f>
        <v>WF</v>
      </c>
      <c r="H1243" s="134" t="str">
        <f>_xlfn.XLOOKUP(Table1[[#This Row],[Account_ID]], Accounts[ID], Accounts[Account'#], "Unknown")</f>
        <v>4636</v>
      </c>
      <c r="I1243" s="135" t="str">
        <f>_xlfn.XLOOKUP(_xlfn.XLOOKUP(Table1[[#This Row],[Account]],Accounts[Account nickname],Accounts[Institution ID]),Institutions[ID],Institutions[Institution nickname],"Unknown")</f>
        <v>Wells Fargo</v>
      </c>
      <c r="J1243" s="136" t="s">
        <v>1189</v>
      </c>
      <c r="K1243" s="137" t="s">
        <v>808</v>
      </c>
      <c r="L1243" s="137" t="s">
        <v>807</v>
      </c>
      <c r="M124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4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43" s="138" t="str" cm="1">
        <f t="array" ref="O1243">IFERROR(INDEX(CategoriesTable[Category type],MATCH(Table1[[#This Row],[Category]],CategoriesTable[Category name],0),0),"")</f>
        <v/>
      </c>
      <c r="P1243" s="138">
        <v>17</v>
      </c>
      <c r="Q1243" s="138">
        <f>MONTH(Table1[[#This Row],[Date]])</f>
        <v>2</v>
      </c>
      <c r="R1243" s="138">
        <v>2021</v>
      </c>
      <c r="S1243" s="139">
        <f>IF(ISBLANK(Table1[[#This Row],[Date]]),"",Table1[[#This Row],[Date]]-WEEKDAY(Table1[[#This Row],[Date]],2)+1)</f>
        <v>44242</v>
      </c>
      <c r="T1243" s="140">
        <f>IF(ISBLANK(Table1[[#This Row],[Date]]),"",DATE(Table1[[#This Row],[Date_Year]],Table1[[#This Row],[Date_Month]],1))</f>
        <v>44228</v>
      </c>
    </row>
    <row r="1244" spans="2:20" ht="15.75">
      <c r="B1244" s="154">
        <v>44244</v>
      </c>
      <c r="C1244" s="119" t="s">
        <v>1385</v>
      </c>
      <c r="D1244" s="119" t="s">
        <v>113</v>
      </c>
      <c r="E1244" s="119"/>
      <c r="F1244" s="155">
        <v>0</v>
      </c>
      <c r="G1244" s="133" t="str">
        <f>_xlfn.XLOOKUP(Table1[[#This Row],[Account_ID]], Accounts[ID], Accounts[Account nickname], "Unknown")</f>
        <v>BB</v>
      </c>
      <c r="H1244" s="134" t="str">
        <f>_xlfn.XLOOKUP(Table1[[#This Row],[Account_ID]], Accounts[ID], Accounts[Account'#], "Unknown")</f>
        <v>4561</v>
      </c>
      <c r="I1244" s="135" t="str">
        <f>_xlfn.XLOOKUP(_xlfn.XLOOKUP(Table1[[#This Row],[Account]],Accounts[Account nickname],Accounts[Institution ID]),Institutions[ID],Institutions[Institution nickname],"Unknown")</f>
        <v>Best Buy - Citi Card</v>
      </c>
      <c r="J1244" s="136" t="s">
        <v>2597</v>
      </c>
      <c r="K1244" s="137" t="s">
        <v>1375</v>
      </c>
      <c r="L1244" s="137" t="s">
        <v>1372</v>
      </c>
      <c r="M124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de9b1d2511bc45a9bb2d484aa9e33b31</v>
      </c>
      <c r="N124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44" s="138" t="str" cm="1">
        <f t="array" ref="O1244">IFERROR(INDEX(CategoriesTable[Category type],MATCH(Table1[[#This Row],[Category]],CategoriesTable[Category name],0),0),"")</f>
        <v>Expense</v>
      </c>
      <c r="P1244" s="138">
        <v>17</v>
      </c>
      <c r="Q1244" s="138">
        <f>MONTH(Table1[[#This Row],[Date]])</f>
        <v>2</v>
      </c>
      <c r="R1244" s="138">
        <v>2021</v>
      </c>
      <c r="S1244" s="139">
        <f>IF(ISBLANK(Table1[[#This Row],[Date]]),"",Table1[[#This Row],[Date]]-WEEKDAY(Table1[[#This Row],[Date]],2)+1)</f>
        <v>44242</v>
      </c>
      <c r="T1244" s="140">
        <f>IF(ISBLANK(Table1[[#This Row],[Date]]),"",DATE(Table1[[#This Row],[Date_Year]],Table1[[#This Row],[Date_Month]],1))</f>
        <v>44228</v>
      </c>
    </row>
    <row r="1245" spans="2:20" ht="15.75">
      <c r="B1245" s="154">
        <v>44244</v>
      </c>
      <c r="C1245" s="119" t="s">
        <v>752</v>
      </c>
      <c r="D1245" s="119"/>
      <c r="E1245" s="119"/>
      <c r="F1245" s="155">
        <v>-50</v>
      </c>
      <c r="G1245" s="133" t="str">
        <f>_xlfn.XLOOKUP(Table1[[#This Row],[Account_ID]], Accounts[ID], Accounts[Account nickname], "Unknown")</f>
        <v>WF</v>
      </c>
      <c r="H1245" s="134" t="str">
        <f>_xlfn.XLOOKUP(Table1[[#This Row],[Account_ID]], Accounts[ID], Accounts[Account'#], "Unknown")</f>
        <v>4636</v>
      </c>
      <c r="I1245" s="135" t="str">
        <f>_xlfn.XLOOKUP(_xlfn.XLOOKUP(Table1[[#This Row],[Account]],Accounts[Account nickname],Accounts[Institution ID]),Institutions[ID],Institutions[Institution nickname],"Unknown")</f>
        <v>Wells Fargo</v>
      </c>
      <c r="J1245" s="136" t="s">
        <v>1188</v>
      </c>
      <c r="K1245" s="137" t="s">
        <v>808</v>
      </c>
      <c r="L1245" s="137" t="s">
        <v>807</v>
      </c>
      <c r="M124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4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45" s="138" t="str" cm="1">
        <f t="array" ref="O1245">IFERROR(INDEX(CategoriesTable[Category type],MATCH(Table1[[#This Row],[Category]],CategoriesTable[Category name],0),0),"")</f>
        <v/>
      </c>
      <c r="P1245" s="138">
        <v>17</v>
      </c>
      <c r="Q1245" s="138">
        <f>MONTH(Table1[[#This Row],[Date]])</f>
        <v>2</v>
      </c>
      <c r="R1245" s="138">
        <v>2021</v>
      </c>
      <c r="S1245" s="139">
        <f>IF(ISBLANK(Table1[[#This Row],[Date]]),"",Table1[[#This Row],[Date]]-WEEKDAY(Table1[[#This Row],[Date]],2)+1)</f>
        <v>44242</v>
      </c>
      <c r="T1245" s="140">
        <f>IF(ISBLANK(Table1[[#This Row],[Date]]),"",DATE(Table1[[#This Row],[Date_Year]],Table1[[#This Row],[Date_Month]],1))</f>
        <v>44228</v>
      </c>
    </row>
    <row r="1246" spans="2:20" ht="15.75">
      <c r="B1246" s="154">
        <v>44244</v>
      </c>
      <c r="C1246" s="119" t="s">
        <v>767</v>
      </c>
      <c r="D1246" s="119"/>
      <c r="E1246" s="119"/>
      <c r="F1246" s="155">
        <v>56.74</v>
      </c>
      <c r="G1246" s="133" t="str">
        <f>_xlfn.XLOOKUP(Table1[[#This Row],[Account_ID]], Accounts[ID], Accounts[Account nickname], "Unknown")</f>
        <v>WF</v>
      </c>
      <c r="H1246" s="134" t="str">
        <f>_xlfn.XLOOKUP(Table1[[#This Row],[Account_ID]], Accounts[ID], Accounts[Account'#], "Unknown")</f>
        <v>4636</v>
      </c>
      <c r="I1246" s="135" t="str">
        <f>_xlfn.XLOOKUP(_xlfn.XLOOKUP(Table1[[#This Row],[Account]],Accounts[Account nickname],Accounts[Institution ID]),Institutions[ID],Institutions[Institution nickname],"Unknown")</f>
        <v>Wells Fargo</v>
      </c>
      <c r="J1246" s="136" t="s">
        <v>1191</v>
      </c>
      <c r="K1246" s="137" t="s">
        <v>808</v>
      </c>
      <c r="L1246" s="137" t="s">
        <v>807</v>
      </c>
      <c r="M124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4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46" s="138" t="str" cm="1">
        <f t="array" ref="O1246">IFERROR(INDEX(CategoriesTable[Category type],MATCH(Table1[[#This Row],[Category]],CategoriesTable[Category name],0),0),"")</f>
        <v/>
      </c>
      <c r="P1246" s="138">
        <v>17</v>
      </c>
      <c r="Q1246" s="138">
        <f>MONTH(Table1[[#This Row],[Date]])</f>
        <v>2</v>
      </c>
      <c r="R1246" s="138">
        <v>2021</v>
      </c>
      <c r="S1246" s="139">
        <f>IF(ISBLANK(Table1[[#This Row],[Date]]),"",Table1[[#This Row],[Date]]-WEEKDAY(Table1[[#This Row],[Date]],2)+1)</f>
        <v>44242</v>
      </c>
      <c r="T1246" s="140">
        <f>IF(ISBLANK(Table1[[#This Row],[Date]]),"",DATE(Table1[[#This Row],[Date_Year]],Table1[[#This Row],[Date_Month]],1))</f>
        <v>44228</v>
      </c>
    </row>
    <row r="1247" spans="2:20" ht="15.75">
      <c r="B1247" s="154">
        <v>44244</v>
      </c>
      <c r="C1247" s="119" t="s">
        <v>752</v>
      </c>
      <c r="D1247" s="119"/>
      <c r="E1247" s="119"/>
      <c r="F1247" s="155">
        <v>-300</v>
      </c>
      <c r="G1247" s="133" t="str">
        <f>_xlfn.XLOOKUP(Table1[[#This Row],[Account_ID]], Accounts[ID], Accounts[Account nickname], "Unknown")</f>
        <v>WF</v>
      </c>
      <c r="H1247" s="134" t="str">
        <f>_xlfn.XLOOKUP(Table1[[#This Row],[Account_ID]], Accounts[ID], Accounts[Account'#], "Unknown")</f>
        <v>4636</v>
      </c>
      <c r="I1247" s="135" t="str">
        <f>_xlfn.XLOOKUP(_xlfn.XLOOKUP(Table1[[#This Row],[Account]],Accounts[Account nickname],Accounts[Institution ID]),Institutions[ID],Institutions[Institution nickname],"Unknown")</f>
        <v>Wells Fargo</v>
      </c>
      <c r="J1247" s="136" t="s">
        <v>1190</v>
      </c>
      <c r="K1247" s="137" t="s">
        <v>808</v>
      </c>
      <c r="L1247" s="137" t="s">
        <v>807</v>
      </c>
      <c r="M124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4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47" s="138" t="str" cm="1">
        <f t="array" ref="O1247">IFERROR(INDEX(CategoriesTable[Category type],MATCH(Table1[[#This Row],[Category]],CategoriesTable[Category name],0),0),"")</f>
        <v/>
      </c>
      <c r="P1247" s="138">
        <v>17</v>
      </c>
      <c r="Q1247" s="138">
        <f>MONTH(Table1[[#This Row],[Date]])</f>
        <v>2</v>
      </c>
      <c r="R1247" s="138">
        <v>2021</v>
      </c>
      <c r="S1247" s="139">
        <f>IF(ISBLANK(Table1[[#This Row],[Date]]),"",Table1[[#This Row],[Date]]-WEEKDAY(Table1[[#This Row],[Date]],2)+1)</f>
        <v>44242</v>
      </c>
      <c r="T1247" s="140">
        <f>IF(ISBLANK(Table1[[#This Row],[Date]]),"",DATE(Table1[[#This Row],[Date_Year]],Table1[[#This Row],[Date_Month]],1))</f>
        <v>44228</v>
      </c>
    </row>
    <row r="1248" spans="2:20" ht="15.75">
      <c r="B1248" s="154">
        <v>44243</v>
      </c>
      <c r="C1248" s="119" t="s">
        <v>678</v>
      </c>
      <c r="D1248" s="119"/>
      <c r="E1248" s="119"/>
      <c r="F1248" s="155">
        <v>-500</v>
      </c>
      <c r="G1248" s="133" t="str">
        <f>_xlfn.XLOOKUP(Table1[[#This Row],[Account_ID]], Accounts[ID], Accounts[Account nickname], "Unknown")</f>
        <v>WF</v>
      </c>
      <c r="H1248" s="134" t="str">
        <f>_xlfn.XLOOKUP(Table1[[#This Row],[Account_ID]], Accounts[ID], Accounts[Account'#], "Unknown")</f>
        <v>4636</v>
      </c>
      <c r="I1248" s="135" t="str">
        <f>_xlfn.XLOOKUP(_xlfn.XLOOKUP(Table1[[#This Row],[Account]],Accounts[Account nickname],Accounts[Institution ID]),Institutions[ID],Institutions[Institution nickname],"Unknown")</f>
        <v>Wells Fargo</v>
      </c>
      <c r="J1248" s="136" t="s">
        <v>1195</v>
      </c>
      <c r="K1248" s="137" t="s">
        <v>808</v>
      </c>
      <c r="L1248" s="137" t="s">
        <v>807</v>
      </c>
      <c r="M124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4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48" s="138" t="str" cm="1">
        <f t="array" ref="O1248">IFERROR(INDEX(CategoriesTable[Category type],MATCH(Table1[[#This Row],[Category]],CategoriesTable[Category name],0),0),"")</f>
        <v/>
      </c>
      <c r="P1248" s="138">
        <v>16</v>
      </c>
      <c r="Q1248" s="138">
        <f>MONTH(Table1[[#This Row],[Date]])</f>
        <v>2</v>
      </c>
      <c r="R1248" s="138">
        <v>2021</v>
      </c>
      <c r="S1248" s="139">
        <f>IF(ISBLANK(Table1[[#This Row],[Date]]),"",Table1[[#This Row],[Date]]-WEEKDAY(Table1[[#This Row],[Date]],2)+1)</f>
        <v>44242</v>
      </c>
      <c r="T1248" s="140">
        <f>IF(ISBLANK(Table1[[#This Row],[Date]]),"",DATE(Table1[[#This Row],[Date_Year]],Table1[[#This Row],[Date_Month]],1))</f>
        <v>44228</v>
      </c>
    </row>
    <row r="1249" spans="2:20" ht="15.75">
      <c r="B1249" s="154">
        <v>44243</v>
      </c>
      <c r="C1249" s="119" t="s">
        <v>768</v>
      </c>
      <c r="D1249" s="119"/>
      <c r="E1249" s="119"/>
      <c r="F1249" s="155">
        <v>-100</v>
      </c>
      <c r="G1249" s="133" t="str">
        <f>_xlfn.XLOOKUP(Table1[[#This Row],[Account_ID]], Accounts[ID], Accounts[Account nickname], "Unknown")</f>
        <v>WF</v>
      </c>
      <c r="H1249" s="134" t="str">
        <f>_xlfn.XLOOKUP(Table1[[#This Row],[Account_ID]], Accounts[ID], Accounts[Account'#], "Unknown")</f>
        <v>4636</v>
      </c>
      <c r="I1249" s="135" t="str">
        <f>_xlfn.XLOOKUP(_xlfn.XLOOKUP(Table1[[#This Row],[Account]],Accounts[Account nickname],Accounts[Institution ID]),Institutions[ID],Institutions[Institution nickname],"Unknown")</f>
        <v>Wells Fargo</v>
      </c>
      <c r="J1249" s="136" t="s">
        <v>1194</v>
      </c>
      <c r="K1249" s="137" t="s">
        <v>808</v>
      </c>
      <c r="L1249" s="137" t="s">
        <v>807</v>
      </c>
      <c r="M124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4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49" s="138" t="str" cm="1">
        <f t="array" ref="O1249">IFERROR(INDEX(CategoriesTable[Category type],MATCH(Table1[[#This Row],[Category]],CategoriesTable[Category name],0),0),"")</f>
        <v/>
      </c>
      <c r="P1249" s="138">
        <v>16</v>
      </c>
      <c r="Q1249" s="138">
        <f>MONTH(Table1[[#This Row],[Date]])</f>
        <v>2</v>
      </c>
      <c r="R1249" s="138">
        <v>2021</v>
      </c>
      <c r="S1249" s="139">
        <f>IF(ISBLANK(Table1[[#This Row],[Date]]),"",Table1[[#This Row],[Date]]-WEEKDAY(Table1[[#This Row],[Date]],2)+1)</f>
        <v>44242</v>
      </c>
      <c r="T1249" s="140">
        <f>IF(ISBLANK(Table1[[#This Row],[Date]]),"",DATE(Table1[[#This Row],[Date_Year]],Table1[[#This Row],[Date_Month]],1))</f>
        <v>44228</v>
      </c>
    </row>
    <row r="1250" spans="2:20" ht="15.75">
      <c r="B1250" s="154">
        <v>44243</v>
      </c>
      <c r="C1250" s="119" t="s">
        <v>676</v>
      </c>
      <c r="D1250" s="119"/>
      <c r="E1250" s="119"/>
      <c r="F1250" s="155">
        <v>492.5</v>
      </c>
      <c r="G1250" s="133" t="str">
        <f>_xlfn.XLOOKUP(Table1[[#This Row],[Account_ID]], Accounts[ID], Accounts[Account nickname], "Unknown")</f>
        <v>WF</v>
      </c>
      <c r="H1250" s="134" t="str">
        <f>_xlfn.XLOOKUP(Table1[[#This Row],[Account_ID]], Accounts[ID], Accounts[Account'#], "Unknown")</f>
        <v>4636</v>
      </c>
      <c r="I1250" s="135" t="str">
        <f>_xlfn.XLOOKUP(_xlfn.XLOOKUP(Table1[[#This Row],[Account]],Accounts[Account nickname],Accounts[Institution ID]),Institutions[ID],Institutions[Institution nickname],"Unknown")</f>
        <v>Wells Fargo</v>
      </c>
      <c r="J1250" s="136" t="s">
        <v>1193</v>
      </c>
      <c r="K1250" s="137" t="s">
        <v>808</v>
      </c>
      <c r="L1250" s="137" t="s">
        <v>807</v>
      </c>
      <c r="M125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5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50" s="138" t="str" cm="1">
        <f t="array" ref="O1250">IFERROR(INDEX(CategoriesTable[Category type],MATCH(Table1[[#This Row],[Category]],CategoriesTable[Category name],0),0),"")</f>
        <v/>
      </c>
      <c r="P1250" s="138">
        <v>16</v>
      </c>
      <c r="Q1250" s="138">
        <f>MONTH(Table1[[#This Row],[Date]])</f>
        <v>2</v>
      </c>
      <c r="R1250" s="138">
        <v>2021</v>
      </c>
      <c r="S1250" s="139">
        <f>IF(ISBLANK(Table1[[#This Row],[Date]]),"",Table1[[#This Row],[Date]]-WEEKDAY(Table1[[#This Row],[Date]],2)+1)</f>
        <v>44242</v>
      </c>
      <c r="T1250" s="140">
        <f>IF(ISBLANK(Table1[[#This Row],[Date]]),"",DATE(Table1[[#This Row],[Date_Year]],Table1[[#This Row],[Date_Month]],1))</f>
        <v>44228</v>
      </c>
    </row>
    <row r="1251" spans="2:20" ht="15.75">
      <c r="B1251" s="154">
        <v>44243</v>
      </c>
      <c r="C1251" s="119" t="s">
        <v>752</v>
      </c>
      <c r="D1251" s="119"/>
      <c r="E1251" s="119"/>
      <c r="F1251" s="155">
        <v>-100</v>
      </c>
      <c r="G1251" s="133" t="str">
        <f>_xlfn.XLOOKUP(Table1[[#This Row],[Account_ID]], Accounts[ID], Accounts[Account nickname], "Unknown")</f>
        <v>WF</v>
      </c>
      <c r="H1251" s="134" t="str">
        <f>_xlfn.XLOOKUP(Table1[[#This Row],[Account_ID]], Accounts[ID], Accounts[Account'#], "Unknown")</f>
        <v>4636</v>
      </c>
      <c r="I1251" s="135" t="str">
        <f>_xlfn.XLOOKUP(_xlfn.XLOOKUP(Table1[[#This Row],[Account]],Accounts[Account nickname],Accounts[Institution ID]),Institutions[ID],Institutions[Institution nickname],"Unknown")</f>
        <v>Wells Fargo</v>
      </c>
      <c r="J1251" s="136" t="s">
        <v>1192</v>
      </c>
      <c r="K1251" s="137" t="s">
        <v>808</v>
      </c>
      <c r="L1251" s="137" t="s">
        <v>807</v>
      </c>
      <c r="M125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5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51" s="138" t="str" cm="1">
        <f t="array" ref="O1251">IFERROR(INDEX(CategoriesTable[Category type],MATCH(Table1[[#This Row],[Category]],CategoriesTable[Category name],0),0),"")</f>
        <v/>
      </c>
      <c r="P1251" s="138">
        <v>16</v>
      </c>
      <c r="Q1251" s="138">
        <f>MONTH(Table1[[#This Row],[Date]])</f>
        <v>2</v>
      </c>
      <c r="R1251" s="138">
        <v>2021</v>
      </c>
      <c r="S1251" s="139">
        <f>IF(ISBLANK(Table1[[#This Row],[Date]]),"",Table1[[#This Row],[Date]]-WEEKDAY(Table1[[#This Row],[Date]],2)+1)</f>
        <v>44242</v>
      </c>
      <c r="T1251" s="140">
        <f>IF(ISBLANK(Table1[[#This Row],[Date]]),"",DATE(Table1[[#This Row],[Date_Year]],Table1[[#This Row],[Date_Month]],1))</f>
        <v>44228</v>
      </c>
    </row>
    <row r="1252" spans="2:20" ht="15.75">
      <c r="B1252" s="154">
        <v>44241</v>
      </c>
      <c r="C1252" s="119" t="s">
        <v>910</v>
      </c>
      <c r="D1252" s="119"/>
      <c r="E1252" s="119"/>
      <c r="F1252" s="155">
        <v>-14.99</v>
      </c>
      <c r="G1252" s="133" t="str">
        <f>_xlfn.XLOOKUP(Table1[[#This Row],[Account_ID]], Accounts[ID], Accounts[Account nickname], "Unknown")</f>
        <v>Discover</v>
      </c>
      <c r="H1252" s="134" t="str">
        <f>_xlfn.XLOOKUP(Table1[[#This Row],[Account_ID]], Accounts[ID], Accounts[Account'#], "Unknown")</f>
        <v>4618</v>
      </c>
      <c r="I1252" s="135" t="str">
        <f>_xlfn.XLOOKUP(_xlfn.XLOOKUP(Table1[[#This Row],[Account]],Accounts[Account nickname],Accounts[Institution ID]),Institutions[ID],Institutions[Institution nickname],"Unknown")</f>
        <v>Discover</v>
      </c>
      <c r="J1252" s="136" t="s">
        <v>2598</v>
      </c>
      <c r="K1252" s="137" t="s">
        <v>843</v>
      </c>
      <c r="L1252" s="137" t="s">
        <v>841</v>
      </c>
      <c r="M125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5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52" s="138" t="str" cm="1">
        <f t="array" ref="O1252">IFERROR(INDEX(CategoriesTable[Category type],MATCH(Table1[[#This Row],[Category]],CategoriesTable[Category name],0),0),"")</f>
        <v/>
      </c>
      <c r="P1252" s="138">
        <v>14</v>
      </c>
      <c r="Q1252" s="138">
        <f>MONTH(Table1[[#This Row],[Date]])</f>
        <v>2</v>
      </c>
      <c r="R1252" s="138">
        <v>2021</v>
      </c>
      <c r="S1252" s="139">
        <f>IF(ISBLANK(Table1[[#This Row],[Date]]),"",Table1[[#This Row],[Date]]-WEEKDAY(Table1[[#This Row],[Date]],2)+1)</f>
        <v>44235</v>
      </c>
      <c r="T1252" s="140">
        <f>IF(ISBLANK(Table1[[#This Row],[Date]]),"",DATE(Table1[[#This Row],[Date_Year]],Table1[[#This Row],[Date_Month]],1))</f>
        <v>44228</v>
      </c>
    </row>
    <row r="1253" spans="2:20" ht="15.75">
      <c r="B1253" s="154">
        <v>44241</v>
      </c>
      <c r="C1253" s="119" t="s">
        <v>2590</v>
      </c>
      <c r="D1253" s="119"/>
      <c r="E1253" s="119"/>
      <c r="F1253" s="155">
        <v>-7.88</v>
      </c>
      <c r="G1253" s="133" t="str">
        <f>_xlfn.XLOOKUP(Table1[[#This Row],[Account_ID]], Accounts[ID], Accounts[Account nickname], "Unknown")</f>
        <v>Discover</v>
      </c>
      <c r="H1253" s="134" t="str">
        <f>_xlfn.XLOOKUP(Table1[[#This Row],[Account_ID]], Accounts[ID], Accounts[Account'#], "Unknown")</f>
        <v>4618</v>
      </c>
      <c r="I1253" s="135" t="str">
        <f>_xlfn.XLOOKUP(_xlfn.XLOOKUP(Table1[[#This Row],[Account]],Accounts[Account nickname],Accounts[Institution ID]),Institutions[ID],Institutions[Institution nickname],"Unknown")</f>
        <v>Discover</v>
      </c>
      <c r="J1253" s="136" t="s">
        <v>2599</v>
      </c>
      <c r="K1253" s="137" t="s">
        <v>843</v>
      </c>
      <c r="L1253" s="137" t="s">
        <v>841</v>
      </c>
      <c r="M125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5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53" s="138" t="str" cm="1">
        <f t="array" ref="O1253">IFERROR(INDEX(CategoriesTable[Category type],MATCH(Table1[[#This Row],[Category]],CategoriesTable[Category name],0),0),"")</f>
        <v/>
      </c>
      <c r="P1253" s="138">
        <v>14</v>
      </c>
      <c r="Q1253" s="138">
        <f>MONTH(Table1[[#This Row],[Date]])</f>
        <v>2</v>
      </c>
      <c r="R1253" s="138">
        <v>2021</v>
      </c>
      <c r="S1253" s="139">
        <f>IF(ISBLANK(Table1[[#This Row],[Date]]),"",Table1[[#This Row],[Date]]-WEEKDAY(Table1[[#This Row],[Date]],2)+1)</f>
        <v>44235</v>
      </c>
      <c r="T1253" s="140">
        <f>IF(ISBLANK(Table1[[#This Row],[Date]]),"",DATE(Table1[[#This Row],[Date_Year]],Table1[[#This Row],[Date_Month]],1))</f>
        <v>44228</v>
      </c>
    </row>
    <row r="1254" spans="2:20" ht="15.75">
      <c r="B1254" s="154">
        <v>44241</v>
      </c>
      <c r="C1254" s="119" t="s">
        <v>724</v>
      </c>
      <c r="D1254" s="119"/>
      <c r="E1254" s="119"/>
      <c r="F1254" s="155">
        <v>-48.58</v>
      </c>
      <c r="G1254" s="133" t="str">
        <f>_xlfn.XLOOKUP(Table1[[#This Row],[Account_ID]], Accounts[ID], Accounts[Account nickname], "Unknown")</f>
        <v>Discover</v>
      </c>
      <c r="H1254" s="134" t="str">
        <f>_xlfn.XLOOKUP(Table1[[#This Row],[Account_ID]], Accounts[ID], Accounts[Account'#], "Unknown")</f>
        <v>4618</v>
      </c>
      <c r="I1254" s="135" t="str">
        <f>_xlfn.XLOOKUP(_xlfn.XLOOKUP(Table1[[#This Row],[Account]],Accounts[Account nickname],Accounts[Institution ID]),Institutions[ID],Institutions[Institution nickname],"Unknown")</f>
        <v>Discover</v>
      </c>
      <c r="J1254" s="136" t="s">
        <v>2600</v>
      </c>
      <c r="K1254" s="137" t="s">
        <v>843</v>
      </c>
      <c r="L1254" s="137" t="s">
        <v>841</v>
      </c>
      <c r="M125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5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54" s="138" t="str" cm="1">
        <f t="array" ref="O1254">IFERROR(INDEX(CategoriesTable[Category type],MATCH(Table1[[#This Row],[Category]],CategoriesTable[Category name],0),0),"")</f>
        <v/>
      </c>
      <c r="P1254" s="138">
        <v>14</v>
      </c>
      <c r="Q1254" s="138">
        <f>MONTH(Table1[[#This Row],[Date]])</f>
        <v>2</v>
      </c>
      <c r="R1254" s="138">
        <v>2021</v>
      </c>
      <c r="S1254" s="139">
        <f>IF(ISBLANK(Table1[[#This Row],[Date]]),"",Table1[[#This Row],[Date]]-WEEKDAY(Table1[[#This Row],[Date]],2)+1)</f>
        <v>44235</v>
      </c>
      <c r="T1254" s="140">
        <f>IF(ISBLANK(Table1[[#This Row],[Date]]),"",DATE(Table1[[#This Row],[Date_Year]],Table1[[#This Row],[Date_Month]],1))</f>
        <v>44228</v>
      </c>
    </row>
    <row r="1255" spans="2:20" ht="15.75">
      <c r="B1255" s="154">
        <v>44239</v>
      </c>
      <c r="C1255" s="119" t="s">
        <v>678</v>
      </c>
      <c r="D1255" s="119"/>
      <c r="E1255" s="119"/>
      <c r="F1255" s="155">
        <v>-350</v>
      </c>
      <c r="G1255" s="133" t="str">
        <f>_xlfn.XLOOKUP(Table1[[#This Row],[Account_ID]], Accounts[ID], Accounts[Account nickname], "Unknown")</f>
        <v>WF</v>
      </c>
      <c r="H1255" s="134" t="str">
        <f>_xlfn.XLOOKUP(Table1[[#This Row],[Account_ID]], Accounts[ID], Accounts[Account'#], "Unknown")</f>
        <v>4636</v>
      </c>
      <c r="I1255" s="135" t="str">
        <f>_xlfn.XLOOKUP(_xlfn.XLOOKUP(Table1[[#This Row],[Account]],Accounts[Account nickname],Accounts[Institution ID]),Institutions[ID],Institutions[Institution nickname],"Unknown")</f>
        <v>Wells Fargo</v>
      </c>
      <c r="J1255" s="136" t="s">
        <v>1199</v>
      </c>
      <c r="K1255" s="137" t="s">
        <v>808</v>
      </c>
      <c r="L1255" s="137" t="s">
        <v>807</v>
      </c>
      <c r="M125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5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55" s="138" t="str" cm="1">
        <f t="array" ref="O1255">IFERROR(INDEX(CategoriesTable[Category type],MATCH(Table1[[#This Row],[Category]],CategoriesTable[Category name],0),0),"")</f>
        <v/>
      </c>
      <c r="P1255" s="138">
        <v>12</v>
      </c>
      <c r="Q1255" s="138">
        <f>MONTH(Table1[[#This Row],[Date]])</f>
        <v>2</v>
      </c>
      <c r="R1255" s="138">
        <v>2021</v>
      </c>
      <c r="S1255" s="139">
        <f>IF(ISBLANK(Table1[[#This Row],[Date]]),"",Table1[[#This Row],[Date]]-WEEKDAY(Table1[[#This Row],[Date]],2)+1)</f>
        <v>44235</v>
      </c>
      <c r="T1255" s="140">
        <f>IF(ISBLANK(Table1[[#This Row],[Date]]),"",DATE(Table1[[#This Row],[Date_Year]],Table1[[#This Row],[Date_Month]],1))</f>
        <v>44228</v>
      </c>
    </row>
    <row r="1256" spans="2:20" ht="15.75">
      <c r="B1256" s="154">
        <v>44239</v>
      </c>
      <c r="C1256" s="119" t="s">
        <v>751</v>
      </c>
      <c r="D1256" s="119"/>
      <c r="E1256" s="119"/>
      <c r="F1256" s="155">
        <v>1809.65</v>
      </c>
      <c r="G1256" s="133" t="str">
        <f>_xlfn.XLOOKUP(Table1[[#This Row],[Account_ID]], Accounts[ID], Accounts[Account nickname], "Unknown")</f>
        <v>WF</v>
      </c>
      <c r="H1256" s="134" t="str">
        <f>_xlfn.XLOOKUP(Table1[[#This Row],[Account_ID]], Accounts[ID], Accounts[Account'#], "Unknown")</f>
        <v>4636</v>
      </c>
      <c r="I1256" s="135" t="str">
        <f>_xlfn.XLOOKUP(_xlfn.XLOOKUP(Table1[[#This Row],[Account]],Accounts[Account nickname],Accounts[Institution ID]),Institutions[ID],Institutions[Institution nickname],"Unknown")</f>
        <v>Wells Fargo</v>
      </c>
      <c r="J1256" s="136" t="s">
        <v>1197</v>
      </c>
      <c r="K1256" s="137" t="s">
        <v>808</v>
      </c>
      <c r="L1256" s="137" t="s">
        <v>807</v>
      </c>
      <c r="M125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5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56" s="138" t="str" cm="1">
        <f t="array" ref="O1256">IFERROR(INDEX(CategoriesTable[Category type],MATCH(Table1[[#This Row],[Category]],CategoriesTable[Category name],0),0),"")</f>
        <v/>
      </c>
      <c r="P1256" s="138">
        <v>12</v>
      </c>
      <c r="Q1256" s="138">
        <f>MONTH(Table1[[#This Row],[Date]])</f>
        <v>2</v>
      </c>
      <c r="R1256" s="138">
        <v>2021</v>
      </c>
      <c r="S1256" s="139">
        <f>IF(ISBLANK(Table1[[#This Row],[Date]]),"",Table1[[#This Row],[Date]]-WEEKDAY(Table1[[#This Row],[Date]],2)+1)</f>
        <v>44235</v>
      </c>
      <c r="T1256" s="140">
        <f>IF(ISBLANK(Table1[[#This Row],[Date]]),"",DATE(Table1[[#This Row],[Date_Year]],Table1[[#This Row],[Date_Month]],1))</f>
        <v>44228</v>
      </c>
    </row>
    <row r="1257" spans="2:20" ht="15.75">
      <c r="B1257" s="154">
        <v>44239</v>
      </c>
      <c r="C1257" s="119" t="s">
        <v>1500</v>
      </c>
      <c r="D1257" s="119"/>
      <c r="E1257" s="119"/>
      <c r="F1257" s="155">
        <v>-1.99</v>
      </c>
      <c r="G1257" s="133" t="str">
        <f>_xlfn.XLOOKUP(Table1[[#This Row],[Account_ID]], Accounts[ID], Accounts[Account nickname], "Unknown")</f>
        <v>Discover</v>
      </c>
      <c r="H1257" s="134" t="str">
        <f>_xlfn.XLOOKUP(Table1[[#This Row],[Account_ID]], Accounts[ID], Accounts[Account'#], "Unknown")</f>
        <v>4618</v>
      </c>
      <c r="I1257" s="135" t="str">
        <f>_xlfn.XLOOKUP(_xlfn.XLOOKUP(Table1[[#This Row],[Account]],Accounts[Account nickname],Accounts[Institution ID]),Institutions[ID],Institutions[Institution nickname],"Unknown")</f>
        <v>Discover</v>
      </c>
      <c r="J1257" s="136" t="s">
        <v>2603</v>
      </c>
      <c r="K1257" s="137" t="s">
        <v>843</v>
      </c>
      <c r="L1257" s="137" t="s">
        <v>841</v>
      </c>
      <c r="M125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5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57" s="138" t="str" cm="1">
        <f t="array" ref="O1257">IFERROR(INDEX(CategoriesTable[Category type],MATCH(Table1[[#This Row],[Category]],CategoriesTable[Category name],0),0),"")</f>
        <v/>
      </c>
      <c r="P1257" s="138">
        <v>12</v>
      </c>
      <c r="Q1257" s="138">
        <f>MONTH(Table1[[#This Row],[Date]])</f>
        <v>2</v>
      </c>
      <c r="R1257" s="138">
        <v>2021</v>
      </c>
      <c r="S1257" s="139">
        <f>IF(ISBLANK(Table1[[#This Row],[Date]]),"",Table1[[#This Row],[Date]]-WEEKDAY(Table1[[#This Row],[Date]],2)+1)</f>
        <v>44235</v>
      </c>
      <c r="T1257" s="140">
        <f>IF(ISBLANK(Table1[[#This Row],[Date]]),"",DATE(Table1[[#This Row],[Date_Year]],Table1[[#This Row],[Date_Month]],1))</f>
        <v>44228</v>
      </c>
    </row>
    <row r="1258" spans="2:20" ht="15.75">
      <c r="B1258" s="154">
        <v>44239</v>
      </c>
      <c r="C1258" s="119" t="s">
        <v>752</v>
      </c>
      <c r="D1258" s="119"/>
      <c r="E1258" s="119"/>
      <c r="F1258" s="155">
        <v>-100</v>
      </c>
      <c r="G1258" s="133" t="str">
        <f>_xlfn.XLOOKUP(Table1[[#This Row],[Account_ID]], Accounts[ID], Accounts[Account nickname], "Unknown")</f>
        <v>WF</v>
      </c>
      <c r="H1258" s="134" t="str">
        <f>_xlfn.XLOOKUP(Table1[[#This Row],[Account_ID]], Accounts[ID], Accounts[Account'#], "Unknown")</f>
        <v>4636</v>
      </c>
      <c r="I1258" s="135" t="str">
        <f>_xlfn.XLOOKUP(_xlfn.XLOOKUP(Table1[[#This Row],[Account]],Accounts[Account nickname],Accounts[Institution ID]),Institutions[ID],Institutions[Institution nickname],"Unknown")</f>
        <v>Wells Fargo</v>
      </c>
      <c r="J1258" s="136" t="s">
        <v>1198</v>
      </c>
      <c r="K1258" s="137" t="s">
        <v>808</v>
      </c>
      <c r="L1258" s="137" t="s">
        <v>807</v>
      </c>
      <c r="M125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5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58" s="138" t="str" cm="1">
        <f t="array" ref="O1258">IFERROR(INDEX(CategoriesTable[Category type],MATCH(Table1[[#This Row],[Category]],CategoriesTable[Category name],0),0),"")</f>
        <v/>
      </c>
      <c r="P1258" s="138">
        <v>12</v>
      </c>
      <c r="Q1258" s="138">
        <f>MONTH(Table1[[#This Row],[Date]])</f>
        <v>2</v>
      </c>
      <c r="R1258" s="138">
        <v>2021</v>
      </c>
      <c r="S1258" s="139">
        <f>IF(ISBLANK(Table1[[#This Row],[Date]]),"",Table1[[#This Row],[Date]]-WEEKDAY(Table1[[#This Row],[Date]],2)+1)</f>
        <v>44235</v>
      </c>
      <c r="T1258" s="140">
        <f>IF(ISBLANK(Table1[[#This Row],[Date]]),"",DATE(Table1[[#This Row],[Date_Year]],Table1[[#This Row],[Date_Month]],1))</f>
        <v>44228</v>
      </c>
    </row>
    <row r="1259" spans="2:20" ht="15.75">
      <c r="B1259" s="154">
        <v>44239</v>
      </c>
      <c r="C1259" s="119" t="s">
        <v>845</v>
      </c>
      <c r="D1259" s="119"/>
      <c r="E1259" s="119"/>
      <c r="F1259" s="155">
        <v>715.37</v>
      </c>
      <c r="G1259" s="133" t="str">
        <f>_xlfn.XLOOKUP(Table1[[#This Row],[Account_ID]], Accounts[ID], Accounts[Account nickname], "Unknown")</f>
        <v>Discover</v>
      </c>
      <c r="H1259" s="134" t="str">
        <f>_xlfn.XLOOKUP(Table1[[#This Row],[Account_ID]], Accounts[ID], Accounts[Account'#], "Unknown")</f>
        <v>4618</v>
      </c>
      <c r="I1259" s="135" t="str">
        <f>_xlfn.XLOOKUP(_xlfn.XLOOKUP(Table1[[#This Row],[Account]],Accounts[Account nickname],Accounts[Institution ID]),Institutions[ID],Institutions[Institution nickname],"Unknown")</f>
        <v>Discover</v>
      </c>
      <c r="J1259" s="136" t="s">
        <v>2602</v>
      </c>
      <c r="K1259" s="137" t="s">
        <v>843</v>
      </c>
      <c r="L1259" s="137" t="s">
        <v>841</v>
      </c>
      <c r="M125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5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59" s="138" t="str" cm="1">
        <f t="array" ref="O1259">IFERROR(INDEX(CategoriesTable[Category type],MATCH(Table1[[#This Row],[Category]],CategoriesTable[Category name],0),0),"")</f>
        <v/>
      </c>
      <c r="P1259" s="138">
        <v>12</v>
      </c>
      <c r="Q1259" s="138">
        <f>MONTH(Table1[[#This Row],[Date]])</f>
        <v>2</v>
      </c>
      <c r="R1259" s="138">
        <v>2021</v>
      </c>
      <c r="S1259" s="139">
        <f>IF(ISBLANK(Table1[[#This Row],[Date]]),"",Table1[[#This Row],[Date]]-WEEKDAY(Table1[[#This Row],[Date]],2)+1)</f>
        <v>44235</v>
      </c>
      <c r="T1259" s="140">
        <f>IF(ISBLANK(Table1[[#This Row],[Date]]),"",DATE(Table1[[#This Row],[Date_Year]],Table1[[#This Row],[Date_Month]],1))</f>
        <v>44228</v>
      </c>
    </row>
    <row r="1260" spans="2:20" ht="15.75">
      <c r="B1260" s="154">
        <v>44239</v>
      </c>
      <c r="C1260" s="119" t="s">
        <v>686</v>
      </c>
      <c r="D1260" s="119"/>
      <c r="E1260" s="119"/>
      <c r="F1260" s="155">
        <v>-715.37</v>
      </c>
      <c r="G1260" s="133" t="str">
        <f>_xlfn.XLOOKUP(Table1[[#This Row],[Account_ID]], Accounts[ID], Accounts[Account nickname], "Unknown")</f>
        <v>WF</v>
      </c>
      <c r="H1260" s="134" t="str">
        <f>_xlfn.XLOOKUP(Table1[[#This Row],[Account_ID]], Accounts[ID], Accounts[Account'#], "Unknown")</f>
        <v>4636</v>
      </c>
      <c r="I1260" s="135" t="str">
        <f>_xlfn.XLOOKUP(_xlfn.XLOOKUP(Table1[[#This Row],[Account]],Accounts[Account nickname],Accounts[Institution ID]),Institutions[ID],Institutions[Institution nickname],"Unknown")</f>
        <v>Wells Fargo</v>
      </c>
      <c r="J1260" s="136" t="s">
        <v>1196</v>
      </c>
      <c r="K1260" s="137" t="s">
        <v>808</v>
      </c>
      <c r="L1260" s="137" t="s">
        <v>807</v>
      </c>
      <c r="M126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6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60" s="138" t="str" cm="1">
        <f t="array" ref="O1260">IFERROR(INDEX(CategoriesTable[Category type],MATCH(Table1[[#This Row],[Category]],CategoriesTable[Category name],0),0),"")</f>
        <v/>
      </c>
      <c r="P1260" s="138">
        <v>12</v>
      </c>
      <c r="Q1260" s="138">
        <f>MONTH(Table1[[#This Row],[Date]])</f>
        <v>2</v>
      </c>
      <c r="R1260" s="138">
        <v>2021</v>
      </c>
      <c r="S1260" s="139">
        <f>IF(ISBLANK(Table1[[#This Row],[Date]]),"",Table1[[#This Row],[Date]]-WEEKDAY(Table1[[#This Row],[Date]],2)+1)</f>
        <v>44235</v>
      </c>
      <c r="T1260" s="140">
        <f>IF(ISBLANK(Table1[[#This Row],[Date]]),"",DATE(Table1[[#This Row],[Date_Year]],Table1[[#This Row],[Date_Month]],1))</f>
        <v>44228</v>
      </c>
    </row>
    <row r="1261" spans="2:20" ht="15.75">
      <c r="B1261" s="154">
        <v>44239</v>
      </c>
      <c r="C1261" s="119" t="s">
        <v>961</v>
      </c>
      <c r="D1261" s="119"/>
      <c r="E1261" s="119"/>
      <c r="F1261" s="155">
        <v>14</v>
      </c>
      <c r="G1261" s="133" t="str">
        <f>_xlfn.XLOOKUP(Table1[[#This Row],[Account_ID]], Accounts[ID], Accounts[Account nickname], "Unknown")</f>
        <v>Discover</v>
      </c>
      <c r="H1261" s="134" t="str">
        <f>_xlfn.XLOOKUP(Table1[[#This Row],[Account_ID]], Accounts[ID], Accounts[Account'#], "Unknown")</f>
        <v>4618</v>
      </c>
      <c r="I1261" s="135" t="str">
        <f>_xlfn.XLOOKUP(_xlfn.XLOOKUP(Table1[[#This Row],[Account]],Accounts[Account nickname],Accounts[Institution ID]),Institutions[ID],Institutions[Institution nickname],"Unknown")</f>
        <v>Discover</v>
      </c>
      <c r="J1261" s="136" t="s">
        <v>2601</v>
      </c>
      <c r="K1261" s="137" t="s">
        <v>843</v>
      </c>
      <c r="L1261" s="137" t="s">
        <v>841</v>
      </c>
      <c r="M126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6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61" s="138" t="str" cm="1">
        <f t="array" ref="O1261">IFERROR(INDEX(CategoriesTable[Category type],MATCH(Table1[[#This Row],[Category]],CategoriesTable[Category name],0),0),"")</f>
        <v/>
      </c>
      <c r="P1261" s="138">
        <v>12</v>
      </c>
      <c r="Q1261" s="138">
        <f>MONTH(Table1[[#This Row],[Date]])</f>
        <v>2</v>
      </c>
      <c r="R1261" s="138">
        <v>2021</v>
      </c>
      <c r="S1261" s="139">
        <f>IF(ISBLANK(Table1[[#This Row],[Date]]),"",Table1[[#This Row],[Date]]-WEEKDAY(Table1[[#This Row],[Date]],2)+1)</f>
        <v>44235</v>
      </c>
      <c r="T1261" s="140">
        <f>IF(ISBLANK(Table1[[#This Row],[Date]]),"",DATE(Table1[[#This Row],[Date_Year]],Table1[[#This Row],[Date_Month]],1))</f>
        <v>44228</v>
      </c>
    </row>
    <row r="1262" spans="2:20" ht="15.75">
      <c r="B1262" s="154">
        <v>44238</v>
      </c>
      <c r="C1262" s="119" t="s">
        <v>2604</v>
      </c>
      <c r="D1262" s="119"/>
      <c r="E1262" s="119"/>
      <c r="F1262" s="155">
        <v>-5</v>
      </c>
      <c r="G1262" s="133" t="str">
        <f>_xlfn.XLOOKUP(Table1[[#This Row],[Account_ID]], Accounts[ID], Accounts[Account nickname], "Unknown")</f>
        <v>Discover</v>
      </c>
      <c r="H1262" s="134" t="str">
        <f>_xlfn.XLOOKUP(Table1[[#This Row],[Account_ID]], Accounts[ID], Accounts[Account'#], "Unknown")</f>
        <v>4618</v>
      </c>
      <c r="I1262" s="135" t="str">
        <f>_xlfn.XLOOKUP(_xlfn.XLOOKUP(Table1[[#This Row],[Account]],Accounts[Account nickname],Accounts[Institution ID]),Institutions[ID],Institutions[Institution nickname],"Unknown")</f>
        <v>Discover</v>
      </c>
      <c r="J1262" s="136" t="s">
        <v>2605</v>
      </c>
      <c r="K1262" s="137" t="s">
        <v>843</v>
      </c>
      <c r="L1262" s="137" t="s">
        <v>841</v>
      </c>
      <c r="M126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6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62" s="138" t="str" cm="1">
        <f t="array" ref="O1262">IFERROR(INDEX(CategoriesTable[Category type],MATCH(Table1[[#This Row],[Category]],CategoriesTable[Category name],0),0),"")</f>
        <v/>
      </c>
      <c r="P1262" s="138">
        <v>11</v>
      </c>
      <c r="Q1262" s="138">
        <f>MONTH(Table1[[#This Row],[Date]])</f>
        <v>2</v>
      </c>
      <c r="R1262" s="138">
        <v>2021</v>
      </c>
      <c r="S1262" s="139">
        <f>IF(ISBLANK(Table1[[#This Row],[Date]]),"",Table1[[#This Row],[Date]]-WEEKDAY(Table1[[#This Row],[Date]],2)+1)</f>
        <v>44235</v>
      </c>
      <c r="T1262" s="140">
        <f>IF(ISBLANK(Table1[[#This Row],[Date]]),"",DATE(Table1[[#This Row],[Date_Year]],Table1[[#This Row],[Date_Month]],1))</f>
        <v>44228</v>
      </c>
    </row>
    <row r="1263" spans="2:20" ht="15.75">
      <c r="B1263" s="154">
        <v>44238</v>
      </c>
      <c r="C1263" s="119" t="s">
        <v>2604</v>
      </c>
      <c r="D1263" s="119"/>
      <c r="E1263" s="119"/>
      <c r="F1263" s="155">
        <v>-5</v>
      </c>
      <c r="G1263" s="133" t="str">
        <f>_xlfn.XLOOKUP(Table1[[#This Row],[Account_ID]], Accounts[ID], Accounts[Account nickname], "Unknown")</f>
        <v>Discover</v>
      </c>
      <c r="H1263" s="134" t="str">
        <f>_xlfn.XLOOKUP(Table1[[#This Row],[Account_ID]], Accounts[ID], Accounts[Account'#], "Unknown")</f>
        <v>4618</v>
      </c>
      <c r="I1263" s="135" t="str">
        <f>_xlfn.XLOOKUP(_xlfn.XLOOKUP(Table1[[#This Row],[Account]],Accounts[Account nickname],Accounts[Institution ID]),Institutions[ID],Institutions[Institution nickname],"Unknown")</f>
        <v>Discover</v>
      </c>
      <c r="J1263" s="136" t="s">
        <v>2606</v>
      </c>
      <c r="K1263" s="137" t="s">
        <v>843</v>
      </c>
      <c r="L1263" s="137" t="s">
        <v>841</v>
      </c>
      <c r="M126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6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63" s="138" t="str" cm="1">
        <f t="array" ref="O1263">IFERROR(INDEX(CategoriesTable[Category type],MATCH(Table1[[#This Row],[Category]],CategoriesTable[Category name],0),0),"")</f>
        <v/>
      </c>
      <c r="P1263" s="138">
        <v>11</v>
      </c>
      <c r="Q1263" s="138">
        <f>MONTH(Table1[[#This Row],[Date]])</f>
        <v>2</v>
      </c>
      <c r="R1263" s="138">
        <v>2021</v>
      </c>
      <c r="S1263" s="139">
        <f>IF(ISBLANK(Table1[[#This Row],[Date]]),"",Table1[[#This Row],[Date]]-WEEKDAY(Table1[[#This Row],[Date]],2)+1)</f>
        <v>44235</v>
      </c>
      <c r="T1263" s="140">
        <f>IF(ISBLANK(Table1[[#This Row],[Date]]),"",DATE(Table1[[#This Row],[Date_Year]],Table1[[#This Row],[Date_Month]],1))</f>
        <v>44228</v>
      </c>
    </row>
    <row r="1264" spans="2:20" ht="15.75">
      <c r="B1264" s="154">
        <v>44238</v>
      </c>
      <c r="C1264" s="119" t="s">
        <v>2604</v>
      </c>
      <c r="D1264" s="119"/>
      <c r="E1264" s="119"/>
      <c r="F1264" s="155">
        <v>-5</v>
      </c>
      <c r="G1264" s="133" t="str">
        <f>_xlfn.XLOOKUP(Table1[[#This Row],[Account_ID]], Accounts[ID], Accounts[Account nickname], "Unknown")</f>
        <v>Discover</v>
      </c>
      <c r="H1264" s="134" t="str">
        <f>_xlfn.XLOOKUP(Table1[[#This Row],[Account_ID]], Accounts[ID], Accounts[Account'#], "Unknown")</f>
        <v>4618</v>
      </c>
      <c r="I1264" s="135" t="str">
        <f>_xlfn.XLOOKUP(_xlfn.XLOOKUP(Table1[[#This Row],[Account]],Accounts[Account nickname],Accounts[Institution ID]),Institutions[ID],Institutions[Institution nickname],"Unknown")</f>
        <v>Discover</v>
      </c>
      <c r="J1264" s="136" t="s">
        <v>2607</v>
      </c>
      <c r="K1264" s="137" t="s">
        <v>843</v>
      </c>
      <c r="L1264" s="137" t="s">
        <v>841</v>
      </c>
      <c r="M126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6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64" s="138" t="str" cm="1">
        <f t="array" ref="O1264">IFERROR(INDEX(CategoriesTable[Category type],MATCH(Table1[[#This Row],[Category]],CategoriesTable[Category name],0),0),"")</f>
        <v/>
      </c>
      <c r="P1264" s="138">
        <v>11</v>
      </c>
      <c r="Q1264" s="138">
        <f>MONTH(Table1[[#This Row],[Date]])</f>
        <v>2</v>
      </c>
      <c r="R1264" s="138">
        <v>2021</v>
      </c>
      <c r="S1264" s="139">
        <f>IF(ISBLANK(Table1[[#This Row],[Date]]),"",Table1[[#This Row],[Date]]-WEEKDAY(Table1[[#This Row],[Date]],2)+1)</f>
        <v>44235</v>
      </c>
      <c r="T1264" s="140">
        <f>IF(ISBLANK(Table1[[#This Row],[Date]]),"",DATE(Table1[[#This Row],[Date_Year]],Table1[[#This Row],[Date_Month]],1))</f>
        <v>44228</v>
      </c>
    </row>
    <row r="1265" spans="2:20" ht="15.75">
      <c r="B1265" s="154">
        <v>44237</v>
      </c>
      <c r="C1265" s="119" t="s">
        <v>910</v>
      </c>
      <c r="D1265" s="119"/>
      <c r="E1265" s="119"/>
      <c r="F1265" s="155">
        <v>-3.99</v>
      </c>
      <c r="G1265" s="133" t="str">
        <f>_xlfn.XLOOKUP(Table1[[#This Row],[Account_ID]], Accounts[ID], Accounts[Account nickname], "Unknown")</f>
        <v>Discover</v>
      </c>
      <c r="H1265" s="134" t="str">
        <f>_xlfn.XLOOKUP(Table1[[#This Row],[Account_ID]], Accounts[ID], Accounts[Account'#], "Unknown")</f>
        <v>4618</v>
      </c>
      <c r="I1265" s="135" t="str">
        <f>_xlfn.XLOOKUP(_xlfn.XLOOKUP(Table1[[#This Row],[Account]],Accounts[Account nickname],Accounts[Institution ID]),Institutions[ID],Institutions[Institution nickname],"Unknown")</f>
        <v>Discover</v>
      </c>
      <c r="J1265" s="136" t="s">
        <v>2608</v>
      </c>
      <c r="K1265" s="137" t="s">
        <v>843</v>
      </c>
      <c r="L1265" s="137" t="s">
        <v>841</v>
      </c>
      <c r="M126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6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65" s="138" t="str" cm="1">
        <f t="array" ref="O1265">IFERROR(INDEX(CategoriesTable[Category type],MATCH(Table1[[#This Row],[Category]],CategoriesTable[Category name],0),0),"")</f>
        <v/>
      </c>
      <c r="P1265" s="138">
        <v>10</v>
      </c>
      <c r="Q1265" s="138">
        <f>MONTH(Table1[[#This Row],[Date]])</f>
        <v>2</v>
      </c>
      <c r="R1265" s="138">
        <v>2021</v>
      </c>
      <c r="S1265" s="139">
        <f>IF(ISBLANK(Table1[[#This Row],[Date]]),"",Table1[[#This Row],[Date]]-WEEKDAY(Table1[[#This Row],[Date]],2)+1)</f>
        <v>44235</v>
      </c>
      <c r="T1265" s="140">
        <f>IF(ISBLANK(Table1[[#This Row],[Date]]),"",DATE(Table1[[#This Row],[Date_Year]],Table1[[#This Row],[Date_Month]],1))</f>
        <v>44228</v>
      </c>
    </row>
    <row r="1266" spans="2:20" ht="15.75">
      <c r="B1266" s="154">
        <v>44237</v>
      </c>
      <c r="C1266" s="119" t="s">
        <v>704</v>
      </c>
      <c r="D1266" s="119"/>
      <c r="E1266" s="119"/>
      <c r="F1266" s="155">
        <v>-4.7300000000000004</v>
      </c>
      <c r="G1266" s="133" t="str">
        <f>_xlfn.XLOOKUP(Table1[[#This Row],[Account_ID]], Accounts[ID], Accounts[Account nickname], "Unknown")</f>
        <v>Discover</v>
      </c>
      <c r="H1266" s="134" t="str">
        <f>_xlfn.XLOOKUP(Table1[[#This Row],[Account_ID]], Accounts[ID], Accounts[Account'#], "Unknown")</f>
        <v>4618</v>
      </c>
      <c r="I1266" s="135" t="str">
        <f>_xlfn.XLOOKUP(_xlfn.XLOOKUP(Table1[[#This Row],[Account]],Accounts[Account nickname],Accounts[Institution ID]),Institutions[ID],Institutions[Institution nickname],"Unknown")</f>
        <v>Discover</v>
      </c>
      <c r="J1266" s="136" t="s">
        <v>2609</v>
      </c>
      <c r="K1266" s="137" t="s">
        <v>843</v>
      </c>
      <c r="L1266" s="137" t="s">
        <v>841</v>
      </c>
      <c r="M126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6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66" s="138" t="str" cm="1">
        <f t="array" ref="O1266">IFERROR(INDEX(CategoriesTable[Category type],MATCH(Table1[[#This Row],[Category]],CategoriesTable[Category name],0),0),"")</f>
        <v/>
      </c>
      <c r="P1266" s="138">
        <v>10</v>
      </c>
      <c r="Q1266" s="138">
        <f>MONTH(Table1[[#This Row],[Date]])</f>
        <v>2</v>
      </c>
      <c r="R1266" s="138">
        <v>2021</v>
      </c>
      <c r="S1266" s="139">
        <f>IF(ISBLANK(Table1[[#This Row],[Date]]),"",Table1[[#This Row],[Date]]-WEEKDAY(Table1[[#This Row],[Date]],2)+1)</f>
        <v>44235</v>
      </c>
      <c r="T1266" s="140">
        <f>IF(ISBLANK(Table1[[#This Row],[Date]]),"",DATE(Table1[[#This Row],[Date_Year]],Table1[[#This Row],[Date_Month]],1))</f>
        <v>44228</v>
      </c>
    </row>
    <row r="1267" spans="2:20" ht="15.75">
      <c r="B1267" s="154">
        <v>44236</v>
      </c>
      <c r="C1267" s="119" t="s">
        <v>753</v>
      </c>
      <c r="D1267" s="119"/>
      <c r="E1267" s="119"/>
      <c r="F1267" s="155">
        <v>138.47999999999999</v>
      </c>
      <c r="G1267" s="133" t="str">
        <f>_xlfn.XLOOKUP(Table1[[#This Row],[Account_ID]], Accounts[ID], Accounts[Account nickname], "Unknown")</f>
        <v>WF</v>
      </c>
      <c r="H1267" s="134" t="str">
        <f>_xlfn.XLOOKUP(Table1[[#This Row],[Account_ID]], Accounts[ID], Accounts[Account'#], "Unknown")</f>
        <v>4636</v>
      </c>
      <c r="I1267" s="135" t="str">
        <f>_xlfn.XLOOKUP(_xlfn.XLOOKUP(Table1[[#This Row],[Account]],Accounts[Account nickname],Accounts[Institution ID]),Institutions[ID],Institutions[Institution nickname],"Unknown")</f>
        <v>Wells Fargo</v>
      </c>
      <c r="J1267" s="136" t="s">
        <v>1200</v>
      </c>
      <c r="K1267" s="137" t="s">
        <v>808</v>
      </c>
      <c r="L1267" s="137" t="s">
        <v>807</v>
      </c>
      <c r="M126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6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67" s="138" t="str" cm="1">
        <f t="array" ref="O1267">IFERROR(INDEX(CategoriesTable[Category type],MATCH(Table1[[#This Row],[Category]],CategoriesTable[Category name],0),0),"")</f>
        <v/>
      </c>
      <c r="P1267" s="138">
        <v>9</v>
      </c>
      <c r="Q1267" s="138">
        <f>MONTH(Table1[[#This Row],[Date]])</f>
        <v>2</v>
      </c>
      <c r="R1267" s="138">
        <v>2021</v>
      </c>
      <c r="S1267" s="139">
        <f>IF(ISBLANK(Table1[[#This Row],[Date]]),"",Table1[[#This Row],[Date]]-WEEKDAY(Table1[[#This Row],[Date]],2)+1)</f>
        <v>44235</v>
      </c>
      <c r="T1267" s="140">
        <f>IF(ISBLANK(Table1[[#This Row],[Date]]),"",DATE(Table1[[#This Row],[Date_Year]],Table1[[#This Row],[Date_Month]],1))</f>
        <v>44228</v>
      </c>
    </row>
    <row r="1268" spans="2:20" ht="15.75">
      <c r="B1268" s="154">
        <v>44235</v>
      </c>
      <c r="C1268" s="119" t="s">
        <v>752</v>
      </c>
      <c r="D1268" s="119"/>
      <c r="E1268" s="119"/>
      <c r="F1268" s="155">
        <v>-10</v>
      </c>
      <c r="G1268" s="133" t="str">
        <f>_xlfn.XLOOKUP(Table1[[#This Row],[Account_ID]], Accounts[ID], Accounts[Account nickname], "Unknown")</f>
        <v>WF</v>
      </c>
      <c r="H1268" s="134" t="str">
        <f>_xlfn.XLOOKUP(Table1[[#This Row],[Account_ID]], Accounts[ID], Accounts[Account'#], "Unknown")</f>
        <v>4636</v>
      </c>
      <c r="I1268" s="135" t="str">
        <f>_xlfn.XLOOKUP(_xlfn.XLOOKUP(Table1[[#This Row],[Account]],Accounts[Account nickname],Accounts[Institution ID]),Institutions[ID],Institutions[Institution nickname],"Unknown")</f>
        <v>Wells Fargo</v>
      </c>
      <c r="J1268" s="136" t="s">
        <v>1201</v>
      </c>
      <c r="K1268" s="137" t="s">
        <v>808</v>
      </c>
      <c r="L1268" s="137" t="s">
        <v>807</v>
      </c>
      <c r="M126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6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68" s="138" t="str" cm="1">
        <f t="array" ref="O1268">IFERROR(INDEX(CategoriesTable[Category type],MATCH(Table1[[#This Row],[Category]],CategoriesTable[Category name],0),0),"")</f>
        <v/>
      </c>
      <c r="P1268" s="138">
        <v>8</v>
      </c>
      <c r="Q1268" s="138">
        <f>MONTH(Table1[[#This Row],[Date]])</f>
        <v>2</v>
      </c>
      <c r="R1268" s="138">
        <v>2021</v>
      </c>
      <c r="S1268" s="139">
        <f>IF(ISBLANK(Table1[[#This Row],[Date]]),"",Table1[[#This Row],[Date]]-WEEKDAY(Table1[[#This Row],[Date]],2)+1)</f>
        <v>44235</v>
      </c>
      <c r="T1268" s="140">
        <f>IF(ISBLANK(Table1[[#This Row],[Date]]),"",DATE(Table1[[#This Row],[Date_Year]],Table1[[#This Row],[Date_Month]],1))</f>
        <v>44228</v>
      </c>
    </row>
    <row r="1269" spans="2:20" ht="15.75">
      <c r="B1269" s="154">
        <v>44235</v>
      </c>
      <c r="C1269" s="119" t="s">
        <v>752</v>
      </c>
      <c r="D1269" s="119"/>
      <c r="E1269" s="119"/>
      <c r="F1269" s="155">
        <v>-40</v>
      </c>
      <c r="G1269" s="133" t="str">
        <f>_xlfn.XLOOKUP(Table1[[#This Row],[Account_ID]], Accounts[ID], Accounts[Account nickname], "Unknown")</f>
        <v>WF</v>
      </c>
      <c r="H1269" s="134" t="str">
        <f>_xlfn.XLOOKUP(Table1[[#This Row],[Account_ID]], Accounts[ID], Accounts[Account'#], "Unknown")</f>
        <v>4636</v>
      </c>
      <c r="I1269" s="135" t="str">
        <f>_xlfn.XLOOKUP(_xlfn.XLOOKUP(Table1[[#This Row],[Account]],Accounts[Account nickname],Accounts[Institution ID]),Institutions[ID],Institutions[Institution nickname],"Unknown")</f>
        <v>Wells Fargo</v>
      </c>
      <c r="J1269" s="136" t="s">
        <v>1202</v>
      </c>
      <c r="K1269" s="137" t="s">
        <v>808</v>
      </c>
      <c r="L1269" s="137" t="s">
        <v>807</v>
      </c>
      <c r="M126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6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69" s="138" t="str" cm="1">
        <f t="array" ref="O1269">IFERROR(INDEX(CategoriesTable[Category type],MATCH(Table1[[#This Row],[Category]],CategoriesTable[Category name],0),0),"")</f>
        <v/>
      </c>
      <c r="P1269" s="138">
        <v>8</v>
      </c>
      <c r="Q1269" s="138">
        <f>MONTH(Table1[[#This Row],[Date]])</f>
        <v>2</v>
      </c>
      <c r="R1269" s="138">
        <v>2021</v>
      </c>
      <c r="S1269" s="139">
        <f>IF(ISBLANK(Table1[[#This Row],[Date]]),"",Table1[[#This Row],[Date]]-WEEKDAY(Table1[[#This Row],[Date]],2)+1)</f>
        <v>44235</v>
      </c>
      <c r="T1269" s="140">
        <f>IF(ISBLANK(Table1[[#This Row],[Date]]),"",DATE(Table1[[#This Row],[Date_Year]],Table1[[#This Row],[Date_Month]],1))</f>
        <v>44228</v>
      </c>
    </row>
    <row r="1270" spans="2:20" ht="15.75">
      <c r="B1270" s="154">
        <v>44234</v>
      </c>
      <c r="C1270" s="119" t="s">
        <v>716</v>
      </c>
      <c r="D1270" s="119"/>
      <c r="E1270" s="119"/>
      <c r="F1270" s="155">
        <v>-9.36</v>
      </c>
      <c r="G1270" s="133" t="str">
        <f>_xlfn.XLOOKUP(Table1[[#This Row],[Account_ID]], Accounts[ID], Accounts[Account nickname], "Unknown")</f>
        <v>Discover</v>
      </c>
      <c r="H1270" s="134" t="str">
        <f>_xlfn.XLOOKUP(Table1[[#This Row],[Account_ID]], Accounts[ID], Accounts[Account'#], "Unknown")</f>
        <v>4618</v>
      </c>
      <c r="I1270" s="135" t="str">
        <f>_xlfn.XLOOKUP(_xlfn.XLOOKUP(Table1[[#This Row],[Account]],Accounts[Account nickname],Accounts[Institution ID]),Institutions[ID],Institutions[Institution nickname],"Unknown")</f>
        <v>Discover</v>
      </c>
      <c r="J1270" s="136" t="s">
        <v>2610</v>
      </c>
      <c r="K1270" s="137" t="s">
        <v>843</v>
      </c>
      <c r="L1270" s="137" t="s">
        <v>841</v>
      </c>
      <c r="M127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7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70" s="138" t="str" cm="1">
        <f t="array" ref="O1270">IFERROR(INDEX(CategoriesTable[Category type],MATCH(Table1[[#This Row],[Category]],CategoriesTable[Category name],0),0),"")</f>
        <v/>
      </c>
      <c r="P1270" s="138">
        <v>7</v>
      </c>
      <c r="Q1270" s="138">
        <f>MONTH(Table1[[#This Row],[Date]])</f>
        <v>2</v>
      </c>
      <c r="R1270" s="138">
        <v>2021</v>
      </c>
      <c r="S1270" s="139">
        <f>IF(ISBLANK(Table1[[#This Row],[Date]]),"",Table1[[#This Row],[Date]]-WEEKDAY(Table1[[#This Row],[Date]],2)+1)</f>
        <v>44228</v>
      </c>
      <c r="T1270" s="140">
        <f>IF(ISBLANK(Table1[[#This Row],[Date]]),"",DATE(Table1[[#This Row],[Date_Year]],Table1[[#This Row],[Date_Month]],1))</f>
        <v>44228</v>
      </c>
    </row>
    <row r="1271" spans="2:20" ht="15.75">
      <c r="B1271" s="154">
        <v>44232</v>
      </c>
      <c r="C1271" s="119" t="s">
        <v>704</v>
      </c>
      <c r="D1271" s="119"/>
      <c r="E1271" s="119"/>
      <c r="F1271" s="155">
        <v>-2.4500000000000002</v>
      </c>
      <c r="G1271" s="133" t="str">
        <f>_xlfn.XLOOKUP(Table1[[#This Row],[Account_ID]], Accounts[ID], Accounts[Account nickname], "Unknown")</f>
        <v>Discover</v>
      </c>
      <c r="H1271" s="134" t="str">
        <f>_xlfn.XLOOKUP(Table1[[#This Row],[Account_ID]], Accounts[ID], Accounts[Account'#], "Unknown")</f>
        <v>4618</v>
      </c>
      <c r="I1271" s="135" t="str">
        <f>_xlfn.XLOOKUP(_xlfn.XLOOKUP(Table1[[#This Row],[Account]],Accounts[Account nickname],Accounts[Institution ID]),Institutions[ID],Institutions[Institution nickname],"Unknown")</f>
        <v>Discover</v>
      </c>
      <c r="J1271" s="136" t="s">
        <v>2612</v>
      </c>
      <c r="K1271" s="137" t="s">
        <v>843</v>
      </c>
      <c r="L1271" s="137" t="s">
        <v>841</v>
      </c>
      <c r="M127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7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71" s="138" t="str" cm="1">
        <f t="array" ref="O1271">IFERROR(INDEX(CategoriesTable[Category type],MATCH(Table1[[#This Row],[Category]],CategoriesTable[Category name],0),0),"")</f>
        <v/>
      </c>
      <c r="P1271" s="138">
        <v>5</v>
      </c>
      <c r="Q1271" s="138">
        <f>MONTH(Table1[[#This Row],[Date]])</f>
        <v>2</v>
      </c>
      <c r="R1271" s="138">
        <v>2021</v>
      </c>
      <c r="S1271" s="139">
        <f>IF(ISBLANK(Table1[[#This Row],[Date]]),"",Table1[[#This Row],[Date]]-WEEKDAY(Table1[[#This Row],[Date]],2)+1)</f>
        <v>44228</v>
      </c>
      <c r="T1271" s="140">
        <f>IF(ISBLANK(Table1[[#This Row],[Date]]),"",DATE(Table1[[#This Row],[Date_Year]],Table1[[#This Row],[Date_Month]],1))</f>
        <v>44228</v>
      </c>
    </row>
    <row r="1272" spans="2:20" ht="15.75">
      <c r="B1272" s="154">
        <v>44232</v>
      </c>
      <c r="C1272" s="119" t="s">
        <v>704</v>
      </c>
      <c r="D1272" s="119"/>
      <c r="E1272" s="119"/>
      <c r="F1272" s="155">
        <v>-1.63</v>
      </c>
      <c r="G1272" s="133" t="str">
        <f>_xlfn.XLOOKUP(Table1[[#This Row],[Account_ID]], Accounts[ID], Accounts[Account nickname], "Unknown")</f>
        <v>Discover</v>
      </c>
      <c r="H1272" s="134" t="str">
        <f>_xlfn.XLOOKUP(Table1[[#This Row],[Account_ID]], Accounts[ID], Accounts[Account'#], "Unknown")</f>
        <v>4618</v>
      </c>
      <c r="I1272" s="135" t="str">
        <f>_xlfn.XLOOKUP(_xlfn.XLOOKUP(Table1[[#This Row],[Account]],Accounts[Account nickname],Accounts[Institution ID]),Institutions[ID],Institutions[Institution nickname],"Unknown")</f>
        <v>Discover</v>
      </c>
      <c r="J1272" s="136" t="s">
        <v>2611</v>
      </c>
      <c r="K1272" s="137" t="s">
        <v>843</v>
      </c>
      <c r="L1272" s="137" t="s">
        <v>841</v>
      </c>
      <c r="M127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7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72" s="138" t="str" cm="1">
        <f t="array" ref="O1272">IFERROR(INDEX(CategoriesTable[Category type],MATCH(Table1[[#This Row],[Category]],CategoriesTable[Category name],0),0),"")</f>
        <v/>
      </c>
      <c r="P1272" s="138">
        <v>5</v>
      </c>
      <c r="Q1272" s="138">
        <f>MONTH(Table1[[#This Row],[Date]])</f>
        <v>2</v>
      </c>
      <c r="R1272" s="138">
        <v>2021</v>
      </c>
      <c r="S1272" s="139">
        <f>IF(ISBLANK(Table1[[#This Row],[Date]]),"",Table1[[#This Row],[Date]]-WEEKDAY(Table1[[#This Row],[Date]],2)+1)</f>
        <v>44228</v>
      </c>
      <c r="T1272" s="140">
        <f>IF(ISBLANK(Table1[[#This Row],[Date]]),"",DATE(Table1[[#This Row],[Date_Year]],Table1[[#This Row],[Date_Month]],1))</f>
        <v>44228</v>
      </c>
    </row>
    <row r="1273" spans="2:20" ht="15.75">
      <c r="B1273" s="154">
        <v>44231</v>
      </c>
      <c r="C1273" s="119" t="s">
        <v>752</v>
      </c>
      <c r="D1273" s="119"/>
      <c r="E1273" s="119"/>
      <c r="F1273" s="155">
        <v>-50</v>
      </c>
      <c r="G1273" s="133" t="str">
        <f>_xlfn.XLOOKUP(Table1[[#This Row],[Account_ID]], Accounts[ID], Accounts[Account nickname], "Unknown")</f>
        <v>WF</v>
      </c>
      <c r="H1273" s="134" t="str">
        <f>_xlfn.XLOOKUP(Table1[[#This Row],[Account_ID]], Accounts[ID], Accounts[Account'#], "Unknown")</f>
        <v>4636</v>
      </c>
      <c r="I1273" s="135" t="str">
        <f>_xlfn.XLOOKUP(_xlfn.XLOOKUP(Table1[[#This Row],[Account]],Accounts[Account nickname],Accounts[Institution ID]),Institutions[ID],Institutions[Institution nickname],"Unknown")</f>
        <v>Wells Fargo</v>
      </c>
      <c r="J1273" s="136" t="s">
        <v>1203</v>
      </c>
      <c r="K1273" s="137" t="s">
        <v>808</v>
      </c>
      <c r="L1273" s="137" t="s">
        <v>807</v>
      </c>
      <c r="M127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7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73" s="138" t="str" cm="1">
        <f t="array" ref="O1273">IFERROR(INDEX(CategoriesTable[Category type],MATCH(Table1[[#This Row],[Category]],CategoriesTable[Category name],0),0),"")</f>
        <v/>
      </c>
      <c r="P1273" s="138">
        <v>4</v>
      </c>
      <c r="Q1273" s="138">
        <f>MONTH(Table1[[#This Row],[Date]])</f>
        <v>2</v>
      </c>
      <c r="R1273" s="138">
        <v>2021</v>
      </c>
      <c r="S1273" s="139">
        <f>IF(ISBLANK(Table1[[#This Row],[Date]]),"",Table1[[#This Row],[Date]]-WEEKDAY(Table1[[#This Row],[Date]],2)+1)</f>
        <v>44228</v>
      </c>
      <c r="T1273" s="140">
        <f>IF(ISBLANK(Table1[[#This Row],[Date]]),"",DATE(Table1[[#This Row],[Date_Year]],Table1[[#This Row],[Date_Month]],1))</f>
        <v>44228</v>
      </c>
    </row>
    <row r="1274" spans="2:20" ht="15.75">
      <c r="B1274" s="154">
        <v>44230</v>
      </c>
      <c r="C1274" s="119" t="s">
        <v>2590</v>
      </c>
      <c r="D1274" s="119"/>
      <c r="E1274" s="119"/>
      <c r="F1274" s="155">
        <v>-15.09</v>
      </c>
      <c r="G1274" s="133" t="str">
        <f>_xlfn.XLOOKUP(Table1[[#This Row],[Account_ID]], Accounts[ID], Accounts[Account nickname], "Unknown")</f>
        <v>Discover</v>
      </c>
      <c r="H1274" s="134" t="str">
        <f>_xlfn.XLOOKUP(Table1[[#This Row],[Account_ID]], Accounts[ID], Accounts[Account'#], "Unknown")</f>
        <v>4618</v>
      </c>
      <c r="I1274" s="135" t="str">
        <f>_xlfn.XLOOKUP(_xlfn.XLOOKUP(Table1[[#This Row],[Account]],Accounts[Account nickname],Accounts[Institution ID]),Institutions[ID],Institutions[Institution nickname],"Unknown")</f>
        <v>Discover</v>
      </c>
      <c r="J1274" s="136" t="s">
        <v>2614</v>
      </c>
      <c r="K1274" s="137" t="s">
        <v>843</v>
      </c>
      <c r="L1274" s="137" t="s">
        <v>841</v>
      </c>
      <c r="M127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7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74" s="138" t="str" cm="1">
        <f t="array" ref="O1274">IFERROR(INDEX(CategoriesTable[Category type],MATCH(Table1[[#This Row],[Category]],CategoriesTable[Category name],0),0),"")</f>
        <v/>
      </c>
      <c r="P1274" s="138">
        <v>3</v>
      </c>
      <c r="Q1274" s="138">
        <f>MONTH(Table1[[#This Row],[Date]])</f>
        <v>2</v>
      </c>
      <c r="R1274" s="138">
        <v>2021</v>
      </c>
      <c r="S1274" s="139">
        <f>IF(ISBLANK(Table1[[#This Row],[Date]]),"",Table1[[#This Row],[Date]]-WEEKDAY(Table1[[#This Row],[Date]],2)+1)</f>
        <v>44228</v>
      </c>
      <c r="T1274" s="140">
        <f>IF(ISBLANK(Table1[[#This Row],[Date]]),"",DATE(Table1[[#This Row],[Date_Year]],Table1[[#This Row],[Date_Month]],1))</f>
        <v>44228</v>
      </c>
    </row>
    <row r="1275" spans="2:20" ht="15.75">
      <c r="B1275" s="154">
        <v>44230</v>
      </c>
      <c r="C1275" s="119" t="s">
        <v>685</v>
      </c>
      <c r="D1275" s="119"/>
      <c r="E1275" s="119"/>
      <c r="F1275" s="155">
        <v>-157.47</v>
      </c>
      <c r="G1275" s="133" t="str">
        <f>_xlfn.XLOOKUP(Table1[[#This Row],[Account_ID]], Accounts[ID], Accounts[Account nickname], "Unknown")</f>
        <v>WF</v>
      </c>
      <c r="H1275" s="134" t="str">
        <f>_xlfn.XLOOKUP(Table1[[#This Row],[Account_ID]], Accounts[ID], Accounts[Account'#], "Unknown")</f>
        <v>4636</v>
      </c>
      <c r="I1275" s="135" t="str">
        <f>_xlfn.XLOOKUP(_xlfn.XLOOKUP(Table1[[#This Row],[Account]],Accounts[Account nickname],Accounts[Institution ID]),Institutions[ID],Institutions[Institution nickname],"Unknown")</f>
        <v>Wells Fargo</v>
      </c>
      <c r="J1275" s="136" t="s">
        <v>1204</v>
      </c>
      <c r="K1275" s="137" t="s">
        <v>808</v>
      </c>
      <c r="L1275" s="137" t="s">
        <v>807</v>
      </c>
      <c r="M127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7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75" s="138" t="str" cm="1">
        <f t="array" ref="O1275">IFERROR(INDEX(CategoriesTable[Category type],MATCH(Table1[[#This Row],[Category]],CategoriesTable[Category name],0),0),"")</f>
        <v/>
      </c>
      <c r="P1275" s="138">
        <v>3</v>
      </c>
      <c r="Q1275" s="138">
        <f>MONTH(Table1[[#This Row],[Date]])</f>
        <v>2</v>
      </c>
      <c r="R1275" s="138">
        <v>2021</v>
      </c>
      <c r="S1275" s="139">
        <f>IF(ISBLANK(Table1[[#This Row],[Date]]),"",Table1[[#This Row],[Date]]-WEEKDAY(Table1[[#This Row],[Date]],2)+1)</f>
        <v>44228</v>
      </c>
      <c r="T1275" s="140">
        <f>IF(ISBLANK(Table1[[#This Row],[Date]]),"",DATE(Table1[[#This Row],[Date_Year]],Table1[[#This Row],[Date_Month]],1))</f>
        <v>44228</v>
      </c>
    </row>
    <row r="1276" spans="2:20" ht="15.75">
      <c r="B1276" s="154">
        <v>44230</v>
      </c>
      <c r="C1276" s="119" t="s">
        <v>1403</v>
      </c>
      <c r="D1276" s="119"/>
      <c r="E1276" s="119"/>
      <c r="F1276" s="155">
        <v>-91.78</v>
      </c>
      <c r="G1276" s="133" t="str">
        <f>_xlfn.XLOOKUP(Table1[[#This Row],[Account_ID]], Accounts[ID], Accounts[Account nickname], "Unknown")</f>
        <v>Discover</v>
      </c>
      <c r="H1276" s="134" t="str">
        <f>_xlfn.XLOOKUP(Table1[[#This Row],[Account_ID]], Accounts[ID], Accounts[Account'#], "Unknown")</f>
        <v>4618</v>
      </c>
      <c r="I1276" s="135" t="str">
        <f>_xlfn.XLOOKUP(_xlfn.XLOOKUP(Table1[[#This Row],[Account]],Accounts[Account nickname],Accounts[Institution ID]),Institutions[ID],Institutions[Institution nickname],"Unknown")</f>
        <v>Discover</v>
      </c>
      <c r="J1276" s="136" t="s">
        <v>2613</v>
      </c>
      <c r="K1276" s="137" t="s">
        <v>843</v>
      </c>
      <c r="L1276" s="137" t="s">
        <v>841</v>
      </c>
      <c r="M127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7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76" s="138" t="str" cm="1">
        <f t="array" ref="O1276">IFERROR(INDEX(CategoriesTable[Category type],MATCH(Table1[[#This Row],[Category]],CategoriesTable[Category name],0),0),"")</f>
        <v/>
      </c>
      <c r="P1276" s="138">
        <v>3</v>
      </c>
      <c r="Q1276" s="138">
        <f>MONTH(Table1[[#This Row],[Date]])</f>
        <v>2</v>
      </c>
      <c r="R1276" s="138">
        <v>2021</v>
      </c>
      <c r="S1276" s="139">
        <f>IF(ISBLANK(Table1[[#This Row],[Date]]),"",Table1[[#This Row],[Date]]-WEEKDAY(Table1[[#This Row],[Date]],2)+1)</f>
        <v>44228</v>
      </c>
      <c r="T1276" s="140">
        <f>IF(ISBLANK(Table1[[#This Row],[Date]]),"",DATE(Table1[[#This Row],[Date_Year]],Table1[[#This Row],[Date_Month]],1))</f>
        <v>44228</v>
      </c>
    </row>
    <row r="1277" spans="2:20" ht="15.75">
      <c r="B1277" s="154">
        <v>44229</v>
      </c>
      <c r="C1277" s="119" t="s">
        <v>1377</v>
      </c>
      <c r="D1277" s="119" t="s">
        <v>106</v>
      </c>
      <c r="E1277" s="119"/>
      <c r="F1277" s="155">
        <v>157.47</v>
      </c>
      <c r="G1277" s="133" t="str">
        <f>_xlfn.XLOOKUP(Table1[[#This Row],[Account_ID]], Accounts[ID], Accounts[Account nickname], "Unknown")</f>
        <v>BB</v>
      </c>
      <c r="H1277" s="134" t="str">
        <f>_xlfn.XLOOKUP(Table1[[#This Row],[Account_ID]], Accounts[ID], Accounts[Account'#], "Unknown")</f>
        <v>4561</v>
      </c>
      <c r="I1277" s="135" t="str">
        <f>_xlfn.XLOOKUP(_xlfn.XLOOKUP(Table1[[#This Row],[Account]],Accounts[Account nickname],Accounts[Institution ID]),Institutions[ID],Institutions[Institution nickname],"Unknown")</f>
        <v>Best Buy - Citi Card</v>
      </c>
      <c r="J1277" s="136" t="s">
        <v>2618</v>
      </c>
      <c r="K1277" s="137" t="s">
        <v>1375</v>
      </c>
      <c r="L1277" s="137" t="s">
        <v>1372</v>
      </c>
      <c r="M127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3dafc6bd8d7c45ae9840ff09e01567d1</v>
      </c>
      <c r="N127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77" s="138" t="str" cm="1">
        <f t="array" ref="O1277">IFERROR(INDEX(CategoriesTable[Category type],MATCH(Table1[[#This Row],[Category]],CategoriesTable[Category name],0),0),"")</f>
        <v>Expense</v>
      </c>
      <c r="P1277" s="138">
        <v>2</v>
      </c>
      <c r="Q1277" s="138">
        <f>MONTH(Table1[[#This Row],[Date]])</f>
        <v>2</v>
      </c>
      <c r="R1277" s="138">
        <v>2021</v>
      </c>
      <c r="S1277" s="139">
        <f>IF(ISBLANK(Table1[[#This Row],[Date]]),"",Table1[[#This Row],[Date]]-WEEKDAY(Table1[[#This Row],[Date]],2)+1)</f>
        <v>44228</v>
      </c>
      <c r="T1277" s="140">
        <f>IF(ISBLANK(Table1[[#This Row],[Date]]),"",DATE(Table1[[#This Row],[Date_Year]],Table1[[#This Row],[Date_Month]],1))</f>
        <v>44228</v>
      </c>
    </row>
    <row r="1278" spans="2:20" ht="15.75">
      <c r="B1278" s="154">
        <v>44229</v>
      </c>
      <c r="C1278" s="119" t="s">
        <v>770</v>
      </c>
      <c r="D1278" s="119"/>
      <c r="E1278" s="119"/>
      <c r="F1278" s="155">
        <v>-1</v>
      </c>
      <c r="G1278" s="133" t="str">
        <f>_xlfn.XLOOKUP(Table1[[#This Row],[Account_ID]], Accounts[ID], Accounts[Account nickname], "Unknown")</f>
        <v>WF</v>
      </c>
      <c r="H1278" s="134" t="str">
        <f>_xlfn.XLOOKUP(Table1[[#This Row],[Account_ID]], Accounts[ID], Accounts[Account'#], "Unknown")</f>
        <v>4636</v>
      </c>
      <c r="I1278" s="135" t="str">
        <f>_xlfn.XLOOKUP(_xlfn.XLOOKUP(Table1[[#This Row],[Account]],Accounts[Account nickname],Accounts[Institution ID]),Institutions[ID],Institutions[Institution nickname],"Unknown")</f>
        <v>Wells Fargo</v>
      </c>
      <c r="J1278" s="136" t="s">
        <v>1207</v>
      </c>
      <c r="K1278" s="137" t="s">
        <v>808</v>
      </c>
      <c r="L1278" s="137" t="s">
        <v>807</v>
      </c>
      <c r="M127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7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78" s="138" t="str" cm="1">
        <f t="array" ref="O1278">IFERROR(INDEX(CategoriesTable[Category type],MATCH(Table1[[#This Row],[Category]],CategoriesTable[Category name],0),0),"")</f>
        <v/>
      </c>
      <c r="P1278" s="138">
        <v>2</v>
      </c>
      <c r="Q1278" s="138">
        <f>MONTH(Table1[[#This Row],[Date]])</f>
        <v>2</v>
      </c>
      <c r="R1278" s="138">
        <v>2021</v>
      </c>
      <c r="S1278" s="139">
        <f>IF(ISBLANK(Table1[[#This Row],[Date]]),"",Table1[[#This Row],[Date]]-WEEKDAY(Table1[[#This Row],[Date]],2)+1)</f>
        <v>44228</v>
      </c>
      <c r="T1278" s="140">
        <f>IF(ISBLANK(Table1[[#This Row],[Date]]),"",DATE(Table1[[#This Row],[Date_Year]],Table1[[#This Row],[Date_Month]],1))</f>
        <v>44228</v>
      </c>
    </row>
    <row r="1279" spans="2:20" ht="15.75">
      <c r="B1279" s="154">
        <v>44229</v>
      </c>
      <c r="C1279" s="119" t="s">
        <v>2616</v>
      </c>
      <c r="D1279" s="119"/>
      <c r="E1279" s="119"/>
      <c r="F1279" s="155">
        <v>-10</v>
      </c>
      <c r="G1279" s="133" t="str">
        <f>_xlfn.XLOOKUP(Table1[[#This Row],[Account_ID]], Accounts[ID], Accounts[Account nickname], "Unknown")</f>
        <v>Discover</v>
      </c>
      <c r="H1279" s="134" t="str">
        <f>_xlfn.XLOOKUP(Table1[[#This Row],[Account_ID]], Accounts[ID], Accounts[Account'#], "Unknown")</f>
        <v>4618</v>
      </c>
      <c r="I1279" s="135" t="str">
        <f>_xlfn.XLOOKUP(_xlfn.XLOOKUP(Table1[[#This Row],[Account]],Accounts[Account nickname],Accounts[Institution ID]),Institutions[ID],Institutions[Institution nickname],"Unknown")</f>
        <v>Discover</v>
      </c>
      <c r="J1279" s="136" t="s">
        <v>2617</v>
      </c>
      <c r="K1279" s="137" t="s">
        <v>843</v>
      </c>
      <c r="L1279" s="137" t="s">
        <v>841</v>
      </c>
      <c r="M127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7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79" s="138" t="str" cm="1">
        <f t="array" ref="O1279">IFERROR(INDEX(CategoriesTable[Category type],MATCH(Table1[[#This Row],[Category]],CategoriesTable[Category name],0),0),"")</f>
        <v/>
      </c>
      <c r="P1279" s="138">
        <v>2</v>
      </c>
      <c r="Q1279" s="138">
        <f>MONTH(Table1[[#This Row],[Date]])</f>
        <v>2</v>
      </c>
      <c r="R1279" s="138">
        <v>2021</v>
      </c>
      <c r="S1279" s="139">
        <f>IF(ISBLANK(Table1[[#This Row],[Date]]),"",Table1[[#This Row],[Date]]-WEEKDAY(Table1[[#This Row],[Date]],2)+1)</f>
        <v>44228</v>
      </c>
      <c r="T1279" s="140">
        <f>IF(ISBLANK(Table1[[#This Row],[Date]]),"",DATE(Table1[[#This Row],[Date_Year]],Table1[[#This Row],[Date_Month]],1))</f>
        <v>44228</v>
      </c>
    </row>
    <row r="1280" spans="2:20" ht="15.75">
      <c r="B1280" s="154">
        <v>44229</v>
      </c>
      <c r="C1280" s="119" t="s">
        <v>704</v>
      </c>
      <c r="D1280" s="119"/>
      <c r="E1280" s="119"/>
      <c r="F1280" s="155">
        <v>-36.840000000000003</v>
      </c>
      <c r="G1280" s="133" t="str">
        <f>_xlfn.XLOOKUP(Table1[[#This Row],[Account_ID]], Accounts[ID], Accounts[Account nickname], "Unknown")</f>
        <v>WF</v>
      </c>
      <c r="H1280" s="134" t="str">
        <f>_xlfn.XLOOKUP(Table1[[#This Row],[Account_ID]], Accounts[ID], Accounts[Account'#], "Unknown")</f>
        <v>4636</v>
      </c>
      <c r="I1280" s="135" t="str">
        <f>_xlfn.XLOOKUP(_xlfn.XLOOKUP(Table1[[#This Row],[Account]],Accounts[Account nickname],Accounts[Institution ID]),Institutions[ID],Institutions[Institution nickname],"Unknown")</f>
        <v>Wells Fargo</v>
      </c>
      <c r="J1280" s="136" t="s">
        <v>1206</v>
      </c>
      <c r="K1280" s="137" t="s">
        <v>808</v>
      </c>
      <c r="L1280" s="137" t="s">
        <v>807</v>
      </c>
      <c r="M128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8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80" s="138" t="str" cm="1">
        <f t="array" ref="O1280">IFERROR(INDEX(CategoriesTable[Category type],MATCH(Table1[[#This Row],[Category]],CategoriesTable[Category name],0),0),"")</f>
        <v/>
      </c>
      <c r="P1280" s="138">
        <v>2</v>
      </c>
      <c r="Q1280" s="138">
        <f>MONTH(Table1[[#This Row],[Date]])</f>
        <v>2</v>
      </c>
      <c r="R1280" s="138">
        <v>2021</v>
      </c>
      <c r="S1280" s="139">
        <f>IF(ISBLANK(Table1[[#This Row],[Date]]),"",Table1[[#This Row],[Date]]-WEEKDAY(Table1[[#This Row],[Date]],2)+1)</f>
        <v>44228</v>
      </c>
      <c r="T1280" s="140">
        <f>IF(ISBLANK(Table1[[#This Row],[Date]]),"",DATE(Table1[[#This Row],[Date_Year]],Table1[[#This Row],[Date_Month]],1))</f>
        <v>44228</v>
      </c>
    </row>
    <row r="1281" spans="2:20" ht="15.75">
      <c r="B1281" s="154">
        <v>44229</v>
      </c>
      <c r="C1281" s="119" t="s">
        <v>678</v>
      </c>
      <c r="D1281" s="119"/>
      <c r="E1281" s="119"/>
      <c r="F1281" s="155">
        <v>495</v>
      </c>
      <c r="G1281" s="133" t="str">
        <f>_xlfn.XLOOKUP(Table1[[#This Row],[Account_ID]], Accounts[ID], Accounts[Account nickname], "Unknown")</f>
        <v>WF</v>
      </c>
      <c r="H1281" s="134" t="str">
        <f>_xlfn.XLOOKUP(Table1[[#This Row],[Account_ID]], Accounts[ID], Accounts[Account'#], "Unknown")</f>
        <v>4636</v>
      </c>
      <c r="I1281" s="135" t="str">
        <f>_xlfn.XLOOKUP(_xlfn.XLOOKUP(Table1[[#This Row],[Account]],Accounts[Account nickname],Accounts[Institution ID]),Institutions[ID],Institutions[Institution nickname],"Unknown")</f>
        <v>Wells Fargo</v>
      </c>
      <c r="J1281" s="136" t="s">
        <v>1208</v>
      </c>
      <c r="K1281" s="137" t="s">
        <v>808</v>
      </c>
      <c r="L1281" s="137" t="s">
        <v>807</v>
      </c>
      <c r="M128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8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81" s="138" t="str" cm="1">
        <f t="array" ref="O1281">IFERROR(INDEX(CategoriesTable[Category type],MATCH(Table1[[#This Row],[Category]],CategoriesTable[Category name],0),0),"")</f>
        <v/>
      </c>
      <c r="P1281" s="138">
        <v>2</v>
      </c>
      <c r="Q1281" s="138">
        <f>MONTH(Table1[[#This Row],[Date]])</f>
        <v>2</v>
      </c>
      <c r="R1281" s="138">
        <v>2021</v>
      </c>
      <c r="S1281" s="139">
        <f>IF(ISBLANK(Table1[[#This Row],[Date]]),"",Table1[[#This Row],[Date]]-WEEKDAY(Table1[[#This Row],[Date]],2)+1)</f>
        <v>44228</v>
      </c>
      <c r="T1281" s="140">
        <f>IF(ISBLANK(Table1[[#This Row],[Date]]),"",DATE(Table1[[#This Row],[Date_Year]],Table1[[#This Row],[Date_Month]],1))</f>
        <v>44228</v>
      </c>
    </row>
    <row r="1282" spans="2:20" ht="15.75">
      <c r="B1282" s="154">
        <v>44229</v>
      </c>
      <c r="C1282" s="119" t="s">
        <v>704</v>
      </c>
      <c r="D1282" s="119"/>
      <c r="E1282" s="119"/>
      <c r="F1282" s="155">
        <v>-37.01</v>
      </c>
      <c r="G1282" s="133" t="str">
        <f>_xlfn.XLOOKUP(Table1[[#This Row],[Account_ID]], Accounts[ID], Accounts[Account nickname], "Unknown")</f>
        <v>Discover</v>
      </c>
      <c r="H1282" s="134" t="str">
        <f>_xlfn.XLOOKUP(Table1[[#This Row],[Account_ID]], Accounts[ID], Accounts[Account'#], "Unknown")</f>
        <v>4618</v>
      </c>
      <c r="I1282" s="135" t="str">
        <f>_xlfn.XLOOKUP(_xlfn.XLOOKUP(Table1[[#This Row],[Account]],Accounts[Account nickname],Accounts[Institution ID]),Institutions[ID],Institutions[Institution nickname],"Unknown")</f>
        <v>Discover</v>
      </c>
      <c r="J1282" s="136" t="s">
        <v>2615</v>
      </c>
      <c r="K1282" s="137" t="s">
        <v>843</v>
      </c>
      <c r="L1282" s="137" t="s">
        <v>841</v>
      </c>
      <c r="M128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8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82" s="138" t="str" cm="1">
        <f t="array" ref="O1282">IFERROR(INDEX(CategoriesTable[Category type],MATCH(Table1[[#This Row],[Category]],CategoriesTable[Category name],0),0),"")</f>
        <v/>
      </c>
      <c r="P1282" s="138">
        <v>2</v>
      </c>
      <c r="Q1282" s="138">
        <f>MONTH(Table1[[#This Row],[Date]])</f>
        <v>2</v>
      </c>
      <c r="R1282" s="138">
        <v>2021</v>
      </c>
      <c r="S1282" s="139">
        <f>IF(ISBLANK(Table1[[#This Row],[Date]]),"",Table1[[#This Row],[Date]]-WEEKDAY(Table1[[#This Row],[Date]],2)+1)</f>
        <v>44228</v>
      </c>
      <c r="T1282" s="140">
        <f>IF(ISBLANK(Table1[[#This Row],[Date]]),"",DATE(Table1[[#This Row],[Date_Year]],Table1[[#This Row],[Date_Month]],1))</f>
        <v>44228</v>
      </c>
    </row>
    <row r="1283" spans="2:20" ht="15.75">
      <c r="B1283" s="154">
        <v>44229</v>
      </c>
      <c r="C1283" s="119" t="s">
        <v>769</v>
      </c>
      <c r="D1283" s="119"/>
      <c r="E1283" s="119"/>
      <c r="F1283" s="155">
        <v>-600</v>
      </c>
      <c r="G1283" s="133" t="str">
        <f>_xlfn.XLOOKUP(Table1[[#This Row],[Account_ID]], Accounts[ID], Accounts[Account nickname], "Unknown")</f>
        <v>WF</v>
      </c>
      <c r="H1283" s="134" t="str">
        <f>_xlfn.XLOOKUP(Table1[[#This Row],[Account_ID]], Accounts[ID], Accounts[Account'#], "Unknown")</f>
        <v>4636</v>
      </c>
      <c r="I1283" s="135" t="str">
        <f>_xlfn.XLOOKUP(_xlfn.XLOOKUP(Table1[[#This Row],[Account]],Accounts[Account nickname],Accounts[Institution ID]),Institutions[ID],Institutions[Institution nickname],"Unknown")</f>
        <v>Wells Fargo</v>
      </c>
      <c r="J1283" s="136" t="s">
        <v>1205</v>
      </c>
      <c r="K1283" s="137" t="s">
        <v>808</v>
      </c>
      <c r="L1283" s="137" t="s">
        <v>807</v>
      </c>
      <c r="M128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8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83" s="138" t="str" cm="1">
        <f t="array" ref="O1283">IFERROR(INDEX(CategoriesTable[Category type],MATCH(Table1[[#This Row],[Category]],CategoriesTable[Category name],0),0),"")</f>
        <v/>
      </c>
      <c r="P1283" s="138">
        <v>2</v>
      </c>
      <c r="Q1283" s="138">
        <f>MONTH(Table1[[#This Row],[Date]])</f>
        <v>2</v>
      </c>
      <c r="R1283" s="138">
        <v>2021</v>
      </c>
      <c r="S1283" s="139">
        <f>IF(ISBLANK(Table1[[#This Row],[Date]]),"",Table1[[#This Row],[Date]]-WEEKDAY(Table1[[#This Row],[Date]],2)+1)</f>
        <v>44228</v>
      </c>
      <c r="T1283" s="140">
        <f>IF(ISBLANK(Table1[[#This Row],[Date]]),"",DATE(Table1[[#This Row],[Date_Year]],Table1[[#This Row],[Date_Month]],1))</f>
        <v>44228</v>
      </c>
    </row>
    <row r="1284" spans="2:20" ht="15.75">
      <c r="B1284" s="154">
        <v>44228</v>
      </c>
      <c r="C1284" s="119" t="s">
        <v>698</v>
      </c>
      <c r="D1284" s="119"/>
      <c r="E1284" s="119"/>
      <c r="F1284" s="155">
        <v>-9.99</v>
      </c>
      <c r="G1284" s="133" t="str">
        <f>_xlfn.XLOOKUP(Table1[[#This Row],[Account_ID]], Accounts[ID], Accounts[Account nickname], "Unknown")</f>
        <v>Discover</v>
      </c>
      <c r="H1284" s="134" t="str">
        <f>_xlfn.XLOOKUP(Table1[[#This Row],[Account_ID]], Accounts[ID], Accounts[Account'#], "Unknown")</f>
        <v>4618</v>
      </c>
      <c r="I1284" s="135" t="str">
        <f>_xlfn.XLOOKUP(_xlfn.XLOOKUP(Table1[[#This Row],[Account]],Accounts[Account nickname],Accounts[Institution ID]),Institutions[ID],Institutions[Institution nickname],"Unknown")</f>
        <v>Discover</v>
      </c>
      <c r="J1284" s="136" t="s">
        <v>2620</v>
      </c>
      <c r="K1284" s="137" t="s">
        <v>843</v>
      </c>
      <c r="L1284" s="137" t="s">
        <v>841</v>
      </c>
      <c r="M128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8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84" s="138" t="str" cm="1">
        <f t="array" ref="O1284">IFERROR(INDEX(CategoriesTable[Category type],MATCH(Table1[[#This Row],[Category]],CategoriesTable[Category name],0),0),"")</f>
        <v/>
      </c>
      <c r="P1284" s="138">
        <v>1</v>
      </c>
      <c r="Q1284" s="138">
        <f>MONTH(Table1[[#This Row],[Date]])</f>
        <v>2</v>
      </c>
      <c r="R1284" s="138">
        <v>2021</v>
      </c>
      <c r="S1284" s="139">
        <f>IF(ISBLANK(Table1[[#This Row],[Date]]),"",Table1[[#This Row],[Date]]-WEEKDAY(Table1[[#This Row],[Date]],2)+1)</f>
        <v>44228</v>
      </c>
      <c r="T1284" s="140">
        <f>IF(ISBLANK(Table1[[#This Row],[Date]]),"",DATE(Table1[[#This Row],[Date_Year]],Table1[[#This Row],[Date_Month]],1))</f>
        <v>44228</v>
      </c>
    </row>
    <row r="1285" spans="2:20" ht="15.75">
      <c r="B1285" s="154">
        <v>44228</v>
      </c>
      <c r="C1285" s="119" t="s">
        <v>704</v>
      </c>
      <c r="D1285" s="119"/>
      <c r="E1285" s="119"/>
      <c r="F1285" s="155">
        <v>-15.92</v>
      </c>
      <c r="G1285" s="133" t="str">
        <f>_xlfn.XLOOKUP(Table1[[#This Row],[Account_ID]], Accounts[ID], Accounts[Account nickname], "Unknown")</f>
        <v>Discover</v>
      </c>
      <c r="H1285" s="134" t="str">
        <f>_xlfn.XLOOKUP(Table1[[#This Row],[Account_ID]], Accounts[ID], Accounts[Account'#], "Unknown")</f>
        <v>4618</v>
      </c>
      <c r="I1285" s="135" t="str">
        <f>_xlfn.XLOOKUP(_xlfn.XLOOKUP(Table1[[#This Row],[Account]],Accounts[Account nickname],Accounts[Institution ID]),Institutions[ID],Institutions[Institution nickname],"Unknown")</f>
        <v>Discover</v>
      </c>
      <c r="J1285" s="136" t="s">
        <v>2619</v>
      </c>
      <c r="K1285" s="137" t="s">
        <v>843</v>
      </c>
      <c r="L1285" s="137" t="s">
        <v>841</v>
      </c>
      <c r="M128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8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85" s="138" t="str" cm="1">
        <f t="array" ref="O1285">IFERROR(INDEX(CategoriesTable[Category type],MATCH(Table1[[#This Row],[Category]],CategoriesTable[Category name],0),0),"")</f>
        <v/>
      </c>
      <c r="P1285" s="138">
        <v>1</v>
      </c>
      <c r="Q1285" s="138">
        <f>MONTH(Table1[[#This Row],[Date]])</f>
        <v>2</v>
      </c>
      <c r="R1285" s="138">
        <v>2021</v>
      </c>
      <c r="S1285" s="139">
        <f>IF(ISBLANK(Table1[[#This Row],[Date]]),"",Table1[[#This Row],[Date]]-WEEKDAY(Table1[[#This Row],[Date]],2)+1)</f>
        <v>44228</v>
      </c>
      <c r="T1285" s="140">
        <f>IF(ISBLANK(Table1[[#This Row],[Date]]),"",DATE(Table1[[#This Row],[Date_Year]],Table1[[#This Row],[Date_Month]],1))</f>
        <v>44228</v>
      </c>
    </row>
    <row r="1286" spans="2:20" ht="15.75">
      <c r="B1286" s="154">
        <v>44227</v>
      </c>
      <c r="C1286" s="119" t="s">
        <v>724</v>
      </c>
      <c r="D1286" s="119"/>
      <c r="E1286" s="119"/>
      <c r="F1286" s="155">
        <v>-19.22</v>
      </c>
      <c r="G1286" s="133" t="str">
        <f>_xlfn.XLOOKUP(Table1[[#This Row],[Account_ID]], Accounts[ID], Accounts[Account nickname], "Unknown")</f>
        <v>Discover</v>
      </c>
      <c r="H1286" s="134" t="str">
        <f>_xlfn.XLOOKUP(Table1[[#This Row],[Account_ID]], Accounts[ID], Accounts[Account'#], "Unknown")</f>
        <v>4618</v>
      </c>
      <c r="I1286" s="135" t="str">
        <f>_xlfn.XLOOKUP(_xlfn.XLOOKUP(Table1[[#This Row],[Account]],Accounts[Account nickname],Accounts[Institution ID]),Institutions[ID],Institutions[Institution nickname],"Unknown")</f>
        <v>Discover</v>
      </c>
      <c r="J1286" s="136" t="s">
        <v>2623</v>
      </c>
      <c r="K1286" s="137" t="s">
        <v>843</v>
      </c>
      <c r="L1286" s="137" t="s">
        <v>841</v>
      </c>
      <c r="M128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8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86" s="138" t="str" cm="1">
        <f t="array" ref="O1286">IFERROR(INDEX(CategoriesTable[Category type],MATCH(Table1[[#This Row],[Category]],CategoriesTable[Category name],0),0),"")</f>
        <v/>
      </c>
      <c r="P1286" s="138">
        <v>31</v>
      </c>
      <c r="Q1286" s="138">
        <f>MONTH(Table1[[#This Row],[Date]])</f>
        <v>1</v>
      </c>
      <c r="R1286" s="138">
        <v>2021</v>
      </c>
      <c r="S1286" s="139">
        <f>IF(ISBLANK(Table1[[#This Row],[Date]]),"",Table1[[#This Row],[Date]]-WEEKDAY(Table1[[#This Row],[Date]],2)+1)</f>
        <v>44221</v>
      </c>
      <c r="T1286" s="140">
        <f>IF(ISBLANK(Table1[[#This Row],[Date]]),"",DATE(Table1[[#This Row],[Date_Year]],Table1[[#This Row],[Date_Month]],1))</f>
        <v>44197</v>
      </c>
    </row>
    <row r="1287" spans="2:20" ht="15.75">
      <c r="B1287" s="154">
        <v>44227</v>
      </c>
      <c r="C1287" s="119" t="s">
        <v>2621</v>
      </c>
      <c r="D1287" s="119"/>
      <c r="E1287" s="119"/>
      <c r="F1287" s="155">
        <v>-9.89</v>
      </c>
      <c r="G1287" s="133" t="str">
        <f>_xlfn.XLOOKUP(Table1[[#This Row],[Account_ID]], Accounts[ID], Accounts[Account nickname], "Unknown")</f>
        <v>Discover</v>
      </c>
      <c r="H1287" s="134" t="str">
        <f>_xlfn.XLOOKUP(Table1[[#This Row],[Account_ID]], Accounts[ID], Accounts[Account'#], "Unknown")</f>
        <v>4618</v>
      </c>
      <c r="I1287" s="135" t="str">
        <f>_xlfn.XLOOKUP(_xlfn.XLOOKUP(Table1[[#This Row],[Account]],Accounts[Account nickname],Accounts[Institution ID]),Institutions[ID],Institutions[Institution nickname],"Unknown")</f>
        <v>Discover</v>
      </c>
      <c r="J1287" s="136" t="s">
        <v>2622</v>
      </c>
      <c r="K1287" s="137" t="s">
        <v>843</v>
      </c>
      <c r="L1287" s="137" t="s">
        <v>841</v>
      </c>
      <c r="M128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8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87" s="138" t="str" cm="1">
        <f t="array" ref="O1287">IFERROR(INDEX(CategoriesTable[Category type],MATCH(Table1[[#This Row],[Category]],CategoriesTable[Category name],0),0),"")</f>
        <v/>
      </c>
      <c r="P1287" s="138">
        <v>31</v>
      </c>
      <c r="Q1287" s="138">
        <f>MONTH(Table1[[#This Row],[Date]])</f>
        <v>1</v>
      </c>
      <c r="R1287" s="138">
        <v>2021</v>
      </c>
      <c r="S1287" s="139">
        <f>IF(ISBLANK(Table1[[#This Row],[Date]]),"",Table1[[#This Row],[Date]]-WEEKDAY(Table1[[#This Row],[Date]],2)+1)</f>
        <v>44221</v>
      </c>
      <c r="T1287" s="140">
        <f>IF(ISBLANK(Table1[[#This Row],[Date]]),"",DATE(Table1[[#This Row],[Date_Year]],Table1[[#This Row],[Date_Month]],1))</f>
        <v>44197</v>
      </c>
    </row>
    <row r="1288" spans="2:20" ht="15.75">
      <c r="B1288" s="154">
        <v>44226</v>
      </c>
      <c r="C1288" s="119" t="s">
        <v>2590</v>
      </c>
      <c r="D1288" s="119"/>
      <c r="E1288" s="119"/>
      <c r="F1288" s="155">
        <v>-7.42</v>
      </c>
      <c r="G1288" s="133" t="str">
        <f>_xlfn.XLOOKUP(Table1[[#This Row],[Account_ID]], Accounts[ID], Accounts[Account nickname], "Unknown")</f>
        <v>Discover</v>
      </c>
      <c r="H1288" s="134" t="str">
        <f>_xlfn.XLOOKUP(Table1[[#This Row],[Account_ID]], Accounts[ID], Accounts[Account'#], "Unknown")</f>
        <v>4618</v>
      </c>
      <c r="I1288" s="135" t="str">
        <f>_xlfn.XLOOKUP(_xlfn.XLOOKUP(Table1[[#This Row],[Account]],Accounts[Account nickname],Accounts[Institution ID]),Institutions[ID],Institutions[Institution nickname],"Unknown")</f>
        <v>Discover</v>
      </c>
      <c r="J1288" s="136" t="s">
        <v>2624</v>
      </c>
      <c r="K1288" s="137" t="s">
        <v>843</v>
      </c>
      <c r="L1288" s="137" t="s">
        <v>841</v>
      </c>
      <c r="M128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8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88" s="138" t="str" cm="1">
        <f t="array" ref="O1288">IFERROR(INDEX(CategoriesTable[Category type],MATCH(Table1[[#This Row],[Category]],CategoriesTable[Category name],0),0),"")</f>
        <v/>
      </c>
      <c r="P1288" s="138">
        <v>30</v>
      </c>
      <c r="Q1288" s="138">
        <f>MONTH(Table1[[#This Row],[Date]])</f>
        <v>1</v>
      </c>
      <c r="R1288" s="138">
        <v>2021</v>
      </c>
      <c r="S1288" s="139">
        <f>IF(ISBLANK(Table1[[#This Row],[Date]]),"",Table1[[#This Row],[Date]]-WEEKDAY(Table1[[#This Row],[Date]],2)+1)</f>
        <v>44221</v>
      </c>
      <c r="T1288" s="140">
        <f>IF(ISBLANK(Table1[[#This Row],[Date]]),"",DATE(Table1[[#This Row],[Date_Year]],Table1[[#This Row],[Date_Month]],1))</f>
        <v>44197</v>
      </c>
    </row>
    <row r="1289" spans="2:20" ht="15.75">
      <c r="B1289" s="154">
        <v>44225</v>
      </c>
      <c r="C1289" s="119" t="s">
        <v>678</v>
      </c>
      <c r="D1289" s="119"/>
      <c r="E1289" s="119"/>
      <c r="F1289" s="155">
        <v>-728.15</v>
      </c>
      <c r="G1289" s="133" t="str">
        <f>_xlfn.XLOOKUP(Table1[[#This Row],[Account_ID]], Accounts[ID], Accounts[Account nickname], "Unknown")</f>
        <v>WF</v>
      </c>
      <c r="H1289" s="134" t="str">
        <f>_xlfn.XLOOKUP(Table1[[#This Row],[Account_ID]], Accounts[ID], Accounts[Account'#], "Unknown")</f>
        <v>4636</v>
      </c>
      <c r="I1289" s="135" t="str">
        <f>_xlfn.XLOOKUP(_xlfn.XLOOKUP(Table1[[#This Row],[Account]],Accounts[Account nickname],Accounts[Institution ID]),Institutions[ID],Institutions[Institution nickname],"Unknown")</f>
        <v>Wells Fargo</v>
      </c>
      <c r="J1289" s="136" t="s">
        <v>1211</v>
      </c>
      <c r="K1289" s="137" t="s">
        <v>808</v>
      </c>
      <c r="L1289" s="137" t="s">
        <v>807</v>
      </c>
      <c r="M128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8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89" s="138" t="str" cm="1">
        <f t="array" ref="O1289">IFERROR(INDEX(CategoriesTable[Category type],MATCH(Table1[[#This Row],[Category]],CategoriesTable[Category name],0),0),"")</f>
        <v/>
      </c>
      <c r="P1289" s="138">
        <v>29</v>
      </c>
      <c r="Q1289" s="138">
        <f>MONTH(Table1[[#This Row],[Date]])</f>
        <v>1</v>
      </c>
      <c r="R1289" s="138">
        <v>2021</v>
      </c>
      <c r="S1289" s="139">
        <f>IF(ISBLANK(Table1[[#This Row],[Date]]),"",Table1[[#This Row],[Date]]-WEEKDAY(Table1[[#This Row],[Date]],2)+1)</f>
        <v>44221</v>
      </c>
      <c r="T1289" s="140">
        <f>IF(ISBLANK(Table1[[#This Row],[Date]]),"",DATE(Table1[[#This Row],[Date_Year]],Table1[[#This Row],[Date_Month]],1))</f>
        <v>44197</v>
      </c>
    </row>
    <row r="1290" spans="2:20" ht="15.75">
      <c r="B1290" s="154">
        <v>44225</v>
      </c>
      <c r="C1290" s="119" t="s">
        <v>678</v>
      </c>
      <c r="D1290" s="119"/>
      <c r="E1290" s="119"/>
      <c r="F1290" s="155">
        <v>-700</v>
      </c>
      <c r="G1290" s="133" t="str">
        <f>_xlfn.XLOOKUP(Table1[[#This Row],[Account_ID]], Accounts[ID], Accounts[Account nickname], "Unknown")</f>
        <v>WF</v>
      </c>
      <c r="H1290" s="134" t="str">
        <f>_xlfn.XLOOKUP(Table1[[#This Row],[Account_ID]], Accounts[ID], Accounts[Account'#], "Unknown")</f>
        <v>4636</v>
      </c>
      <c r="I1290" s="135" t="str">
        <f>_xlfn.XLOOKUP(_xlfn.XLOOKUP(Table1[[#This Row],[Account]],Accounts[Account nickname],Accounts[Institution ID]),Institutions[ID],Institutions[Institution nickname],"Unknown")</f>
        <v>Wells Fargo</v>
      </c>
      <c r="J1290" s="136" t="s">
        <v>1210</v>
      </c>
      <c r="K1290" s="137" t="s">
        <v>808</v>
      </c>
      <c r="L1290" s="137" t="s">
        <v>807</v>
      </c>
      <c r="M129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9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90" s="138" t="str" cm="1">
        <f t="array" ref="O1290">IFERROR(INDEX(CategoriesTable[Category type],MATCH(Table1[[#This Row],[Category]],CategoriesTable[Category name],0),0),"")</f>
        <v/>
      </c>
      <c r="P1290" s="138">
        <v>29</v>
      </c>
      <c r="Q1290" s="138">
        <f>MONTH(Table1[[#This Row],[Date]])</f>
        <v>1</v>
      </c>
      <c r="R1290" s="138">
        <v>2021</v>
      </c>
      <c r="S1290" s="139">
        <f>IF(ISBLANK(Table1[[#This Row],[Date]]),"",Table1[[#This Row],[Date]]-WEEKDAY(Table1[[#This Row],[Date]],2)+1)</f>
        <v>44221</v>
      </c>
      <c r="T1290" s="140">
        <f>IF(ISBLANK(Table1[[#This Row],[Date]]),"",DATE(Table1[[#This Row],[Date_Year]],Table1[[#This Row],[Date_Month]],1))</f>
        <v>44197</v>
      </c>
    </row>
    <row r="1291" spans="2:20" ht="15.75">
      <c r="B1291" s="154">
        <v>44225</v>
      </c>
      <c r="C1291" s="119" t="s">
        <v>751</v>
      </c>
      <c r="D1291" s="119"/>
      <c r="E1291" s="119"/>
      <c r="F1291" s="155">
        <v>1459.64</v>
      </c>
      <c r="G1291" s="133" t="str">
        <f>_xlfn.XLOOKUP(Table1[[#This Row],[Account_ID]], Accounts[ID], Accounts[Account nickname], "Unknown")</f>
        <v>WF</v>
      </c>
      <c r="H1291" s="134" t="str">
        <f>_xlfn.XLOOKUP(Table1[[#This Row],[Account_ID]], Accounts[ID], Accounts[Account'#], "Unknown")</f>
        <v>4636</v>
      </c>
      <c r="I1291" s="135" t="str">
        <f>_xlfn.XLOOKUP(_xlfn.XLOOKUP(Table1[[#This Row],[Account]],Accounts[Account nickname],Accounts[Institution ID]),Institutions[ID],Institutions[Institution nickname],"Unknown")</f>
        <v>Wells Fargo</v>
      </c>
      <c r="J1291" s="136" t="s">
        <v>1209</v>
      </c>
      <c r="K1291" s="137" t="s">
        <v>808</v>
      </c>
      <c r="L1291" s="137" t="s">
        <v>807</v>
      </c>
      <c r="M129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9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91" s="138" t="str" cm="1">
        <f t="array" ref="O1291">IFERROR(INDEX(CategoriesTable[Category type],MATCH(Table1[[#This Row],[Category]],CategoriesTable[Category name],0),0),"")</f>
        <v/>
      </c>
      <c r="P1291" s="138">
        <v>29</v>
      </c>
      <c r="Q1291" s="138">
        <f>MONTH(Table1[[#This Row],[Date]])</f>
        <v>1</v>
      </c>
      <c r="R1291" s="138">
        <v>2021</v>
      </c>
      <c r="S1291" s="139">
        <f>IF(ISBLANK(Table1[[#This Row],[Date]]),"",Table1[[#This Row],[Date]]-WEEKDAY(Table1[[#This Row],[Date]],2)+1)</f>
        <v>44221</v>
      </c>
      <c r="T1291" s="140">
        <f>IF(ISBLANK(Table1[[#This Row],[Date]]),"",DATE(Table1[[#This Row],[Date_Year]],Table1[[#This Row],[Date_Month]],1))</f>
        <v>44197</v>
      </c>
    </row>
    <row r="1292" spans="2:20" ht="15.75">
      <c r="B1292" s="154">
        <v>44224</v>
      </c>
      <c r="C1292" s="119" t="s">
        <v>771</v>
      </c>
      <c r="D1292" s="119"/>
      <c r="E1292" s="119"/>
      <c r="F1292" s="155">
        <v>388.47</v>
      </c>
      <c r="G1292" s="133" t="str">
        <f>_xlfn.XLOOKUP(Table1[[#This Row],[Account_ID]], Accounts[ID], Accounts[Account nickname], "Unknown")</f>
        <v>WF</v>
      </c>
      <c r="H1292" s="134" t="str">
        <f>_xlfn.XLOOKUP(Table1[[#This Row],[Account_ID]], Accounts[ID], Accounts[Account'#], "Unknown")</f>
        <v>4636</v>
      </c>
      <c r="I1292" s="135" t="str">
        <f>_xlfn.XLOOKUP(_xlfn.XLOOKUP(Table1[[#This Row],[Account]],Accounts[Account nickname],Accounts[Institution ID]),Institutions[ID],Institutions[Institution nickname],"Unknown")</f>
        <v>Wells Fargo</v>
      </c>
      <c r="J1292" s="136" t="s">
        <v>1212</v>
      </c>
      <c r="K1292" s="137" t="s">
        <v>808</v>
      </c>
      <c r="L1292" s="137" t="s">
        <v>807</v>
      </c>
      <c r="M129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9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92" s="138" t="str" cm="1">
        <f t="array" ref="O1292">IFERROR(INDEX(CategoriesTable[Category type],MATCH(Table1[[#This Row],[Category]],CategoriesTable[Category name],0),0),"")</f>
        <v/>
      </c>
      <c r="P1292" s="138">
        <v>28</v>
      </c>
      <c r="Q1292" s="138">
        <f>MONTH(Table1[[#This Row],[Date]])</f>
        <v>1</v>
      </c>
      <c r="R1292" s="138">
        <v>2021</v>
      </c>
      <c r="S1292" s="139">
        <f>IF(ISBLANK(Table1[[#This Row],[Date]]),"",Table1[[#This Row],[Date]]-WEEKDAY(Table1[[#This Row],[Date]],2)+1)</f>
        <v>44221</v>
      </c>
      <c r="T1292" s="140">
        <f>IF(ISBLANK(Table1[[#This Row],[Date]]),"",DATE(Table1[[#This Row],[Date_Year]],Table1[[#This Row],[Date_Month]],1))</f>
        <v>44197</v>
      </c>
    </row>
    <row r="1293" spans="2:20" ht="15.75">
      <c r="B1293" s="154">
        <v>44224</v>
      </c>
      <c r="C1293" s="119" t="s">
        <v>752</v>
      </c>
      <c r="D1293" s="119"/>
      <c r="E1293" s="119"/>
      <c r="F1293" s="155">
        <v>-100</v>
      </c>
      <c r="G1293" s="133" t="str">
        <f>_xlfn.XLOOKUP(Table1[[#This Row],[Account_ID]], Accounts[ID], Accounts[Account nickname], "Unknown")</f>
        <v>WF</v>
      </c>
      <c r="H1293" s="134" t="str">
        <f>_xlfn.XLOOKUP(Table1[[#This Row],[Account_ID]], Accounts[ID], Accounts[Account'#], "Unknown")</f>
        <v>4636</v>
      </c>
      <c r="I1293" s="135" t="str">
        <f>_xlfn.XLOOKUP(_xlfn.XLOOKUP(Table1[[#This Row],[Account]],Accounts[Account nickname],Accounts[Institution ID]),Institutions[ID],Institutions[Institution nickname],"Unknown")</f>
        <v>Wells Fargo</v>
      </c>
      <c r="J1293" s="136" t="s">
        <v>1214</v>
      </c>
      <c r="K1293" s="137" t="s">
        <v>808</v>
      </c>
      <c r="L1293" s="137" t="s">
        <v>807</v>
      </c>
      <c r="M129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9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93" s="138" t="str" cm="1">
        <f t="array" ref="O1293">IFERROR(INDEX(CategoriesTable[Category type],MATCH(Table1[[#This Row],[Category]],CategoriesTable[Category name],0),0),"")</f>
        <v/>
      </c>
      <c r="P1293" s="138">
        <v>28</v>
      </c>
      <c r="Q1293" s="138">
        <f>MONTH(Table1[[#This Row],[Date]])</f>
        <v>1</v>
      </c>
      <c r="R1293" s="138">
        <v>2021</v>
      </c>
      <c r="S1293" s="139">
        <f>IF(ISBLANK(Table1[[#This Row],[Date]]),"",Table1[[#This Row],[Date]]-WEEKDAY(Table1[[#This Row],[Date]],2)+1)</f>
        <v>44221</v>
      </c>
      <c r="T1293" s="140">
        <f>IF(ISBLANK(Table1[[#This Row],[Date]]),"",DATE(Table1[[#This Row],[Date_Year]],Table1[[#This Row],[Date_Month]],1))</f>
        <v>44197</v>
      </c>
    </row>
    <row r="1294" spans="2:20" ht="15.75">
      <c r="B1294" s="154">
        <v>44224</v>
      </c>
      <c r="C1294" s="119" t="s">
        <v>2475</v>
      </c>
      <c r="D1294" s="119"/>
      <c r="E1294" s="119"/>
      <c r="F1294" s="155">
        <v>-9.9499999999999993</v>
      </c>
      <c r="G1294" s="133" t="str">
        <f>_xlfn.XLOOKUP(Table1[[#This Row],[Account_ID]], Accounts[ID], Accounts[Account nickname], "Unknown")</f>
        <v>Discover</v>
      </c>
      <c r="H1294" s="134" t="str">
        <f>_xlfn.XLOOKUP(Table1[[#This Row],[Account_ID]], Accounts[ID], Accounts[Account'#], "Unknown")</f>
        <v>4618</v>
      </c>
      <c r="I1294" s="135" t="str">
        <f>_xlfn.XLOOKUP(_xlfn.XLOOKUP(Table1[[#This Row],[Account]],Accounts[Account nickname],Accounts[Institution ID]),Institutions[ID],Institutions[Institution nickname],"Unknown")</f>
        <v>Discover</v>
      </c>
      <c r="J1294" s="136" t="s">
        <v>2625</v>
      </c>
      <c r="K1294" s="137" t="s">
        <v>843</v>
      </c>
      <c r="L1294" s="137" t="s">
        <v>841</v>
      </c>
      <c r="M129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9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94" s="138" t="str" cm="1">
        <f t="array" ref="O1294">IFERROR(INDEX(CategoriesTable[Category type],MATCH(Table1[[#This Row],[Category]],CategoriesTable[Category name],0),0),"")</f>
        <v/>
      </c>
      <c r="P1294" s="138">
        <v>28</v>
      </c>
      <c r="Q1294" s="138">
        <f>MONTH(Table1[[#This Row],[Date]])</f>
        <v>1</v>
      </c>
      <c r="R1294" s="138">
        <v>2021</v>
      </c>
      <c r="S1294" s="139">
        <f>IF(ISBLANK(Table1[[#This Row],[Date]]),"",Table1[[#This Row],[Date]]-WEEKDAY(Table1[[#This Row],[Date]],2)+1)</f>
        <v>44221</v>
      </c>
      <c r="T1294" s="140">
        <f>IF(ISBLANK(Table1[[#This Row],[Date]]),"",DATE(Table1[[#This Row],[Date_Year]],Table1[[#This Row],[Date_Month]],1))</f>
        <v>44197</v>
      </c>
    </row>
    <row r="1295" spans="2:20" ht="15.75">
      <c r="B1295" s="154">
        <v>44224</v>
      </c>
      <c r="C1295" s="119" t="s">
        <v>752</v>
      </c>
      <c r="D1295" s="119"/>
      <c r="E1295" s="119"/>
      <c r="F1295" s="155">
        <v>-50</v>
      </c>
      <c r="G1295" s="133" t="str">
        <f>_xlfn.XLOOKUP(Table1[[#This Row],[Account_ID]], Accounts[ID], Accounts[Account nickname], "Unknown")</f>
        <v>WF</v>
      </c>
      <c r="H1295" s="134" t="str">
        <f>_xlfn.XLOOKUP(Table1[[#This Row],[Account_ID]], Accounts[ID], Accounts[Account'#], "Unknown")</f>
        <v>4636</v>
      </c>
      <c r="I1295" s="135" t="str">
        <f>_xlfn.XLOOKUP(_xlfn.XLOOKUP(Table1[[#This Row],[Account]],Accounts[Account nickname],Accounts[Institution ID]),Institutions[ID],Institutions[Institution nickname],"Unknown")</f>
        <v>Wells Fargo</v>
      </c>
      <c r="J1295" s="136" t="s">
        <v>1213</v>
      </c>
      <c r="K1295" s="137" t="s">
        <v>808</v>
      </c>
      <c r="L1295" s="137" t="s">
        <v>807</v>
      </c>
      <c r="M129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9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95" s="138" t="str" cm="1">
        <f t="array" ref="O1295">IFERROR(INDEX(CategoriesTable[Category type],MATCH(Table1[[#This Row],[Category]],CategoriesTable[Category name],0),0),"")</f>
        <v/>
      </c>
      <c r="P1295" s="138">
        <v>28</v>
      </c>
      <c r="Q1295" s="138">
        <f>MONTH(Table1[[#This Row],[Date]])</f>
        <v>1</v>
      </c>
      <c r="R1295" s="138">
        <v>2021</v>
      </c>
      <c r="S1295" s="139">
        <f>IF(ISBLANK(Table1[[#This Row],[Date]]),"",Table1[[#This Row],[Date]]-WEEKDAY(Table1[[#This Row],[Date]],2)+1)</f>
        <v>44221</v>
      </c>
      <c r="T1295" s="140">
        <f>IF(ISBLANK(Table1[[#This Row],[Date]]),"",DATE(Table1[[#This Row],[Date_Year]],Table1[[#This Row],[Date_Month]],1))</f>
        <v>44197</v>
      </c>
    </row>
    <row r="1296" spans="2:20" ht="15.75">
      <c r="B1296" s="154">
        <v>44223</v>
      </c>
      <c r="C1296" s="119" t="s">
        <v>704</v>
      </c>
      <c r="D1296" s="119"/>
      <c r="E1296" s="119"/>
      <c r="F1296" s="155">
        <v>-2.2400000000000002</v>
      </c>
      <c r="G1296" s="133" t="str">
        <f>_xlfn.XLOOKUP(Table1[[#This Row],[Account_ID]], Accounts[ID], Accounts[Account nickname], "Unknown")</f>
        <v>Discover</v>
      </c>
      <c r="H1296" s="134" t="str">
        <f>_xlfn.XLOOKUP(Table1[[#This Row],[Account_ID]], Accounts[ID], Accounts[Account'#], "Unknown")</f>
        <v>4618</v>
      </c>
      <c r="I1296" s="135" t="str">
        <f>_xlfn.XLOOKUP(_xlfn.XLOOKUP(Table1[[#This Row],[Account]],Accounts[Account nickname],Accounts[Institution ID]),Institutions[ID],Institutions[Institution nickname],"Unknown")</f>
        <v>Discover</v>
      </c>
      <c r="J1296" s="136" t="s">
        <v>2627</v>
      </c>
      <c r="K1296" s="137" t="s">
        <v>843</v>
      </c>
      <c r="L1296" s="137" t="s">
        <v>841</v>
      </c>
      <c r="M129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9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96" s="138" t="str" cm="1">
        <f t="array" ref="O1296">IFERROR(INDEX(CategoriesTable[Category type],MATCH(Table1[[#This Row],[Category]],CategoriesTable[Category name],0),0),"")</f>
        <v/>
      </c>
      <c r="P1296" s="138">
        <v>27</v>
      </c>
      <c r="Q1296" s="138">
        <f>MONTH(Table1[[#This Row],[Date]])</f>
        <v>1</v>
      </c>
      <c r="R1296" s="138">
        <v>2021</v>
      </c>
      <c r="S1296" s="139">
        <f>IF(ISBLANK(Table1[[#This Row],[Date]]),"",Table1[[#This Row],[Date]]-WEEKDAY(Table1[[#This Row],[Date]],2)+1)</f>
        <v>44221</v>
      </c>
      <c r="T1296" s="140">
        <f>IF(ISBLANK(Table1[[#This Row],[Date]]),"",DATE(Table1[[#This Row],[Date_Year]],Table1[[#This Row],[Date_Month]],1))</f>
        <v>44197</v>
      </c>
    </row>
    <row r="1297" spans="2:20" ht="15.75">
      <c r="B1297" s="154">
        <v>44223</v>
      </c>
      <c r="C1297" s="119" t="s">
        <v>798</v>
      </c>
      <c r="D1297" s="119"/>
      <c r="E1297" s="119"/>
      <c r="F1297" s="155">
        <v>-4.75</v>
      </c>
      <c r="G1297" s="133" t="str">
        <f>_xlfn.XLOOKUP(Table1[[#This Row],[Account_ID]], Accounts[ID], Accounts[Account nickname], "Unknown")</f>
        <v>Discover</v>
      </c>
      <c r="H1297" s="134" t="str">
        <f>_xlfn.XLOOKUP(Table1[[#This Row],[Account_ID]], Accounts[ID], Accounts[Account'#], "Unknown")</f>
        <v>4618</v>
      </c>
      <c r="I1297" s="135" t="str">
        <f>_xlfn.XLOOKUP(_xlfn.XLOOKUP(Table1[[#This Row],[Account]],Accounts[Account nickname],Accounts[Institution ID]),Institutions[ID],Institutions[Institution nickname],"Unknown")</f>
        <v>Discover</v>
      </c>
      <c r="J1297" s="136" t="s">
        <v>2628</v>
      </c>
      <c r="K1297" s="137" t="s">
        <v>843</v>
      </c>
      <c r="L1297" s="137" t="s">
        <v>841</v>
      </c>
      <c r="M129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9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97" s="138" t="str" cm="1">
        <f t="array" ref="O1297">IFERROR(INDEX(CategoriesTable[Category type],MATCH(Table1[[#This Row],[Category]],CategoriesTable[Category name],0),0),"")</f>
        <v/>
      </c>
      <c r="P1297" s="138">
        <v>27</v>
      </c>
      <c r="Q1297" s="138">
        <f>MONTH(Table1[[#This Row],[Date]])</f>
        <v>1</v>
      </c>
      <c r="R1297" s="138">
        <v>2021</v>
      </c>
      <c r="S1297" s="139">
        <f>IF(ISBLANK(Table1[[#This Row],[Date]]),"",Table1[[#This Row],[Date]]-WEEKDAY(Table1[[#This Row],[Date]],2)+1)</f>
        <v>44221</v>
      </c>
      <c r="T1297" s="140">
        <f>IF(ISBLANK(Table1[[#This Row],[Date]]),"",DATE(Table1[[#This Row],[Date_Year]],Table1[[#This Row],[Date_Month]],1))</f>
        <v>44197</v>
      </c>
    </row>
    <row r="1298" spans="2:20" ht="15.75">
      <c r="B1298" s="154">
        <v>44223</v>
      </c>
      <c r="C1298" s="119" t="s">
        <v>704</v>
      </c>
      <c r="D1298" s="119"/>
      <c r="E1298" s="119"/>
      <c r="F1298" s="155">
        <v>-1.51</v>
      </c>
      <c r="G1298" s="133" t="str">
        <f>_xlfn.XLOOKUP(Table1[[#This Row],[Account_ID]], Accounts[ID], Accounts[Account nickname], "Unknown")</f>
        <v>Discover</v>
      </c>
      <c r="H1298" s="134" t="str">
        <f>_xlfn.XLOOKUP(Table1[[#This Row],[Account_ID]], Accounts[ID], Accounts[Account'#], "Unknown")</f>
        <v>4618</v>
      </c>
      <c r="I1298" s="135" t="str">
        <f>_xlfn.XLOOKUP(_xlfn.XLOOKUP(Table1[[#This Row],[Account]],Accounts[Account nickname],Accounts[Institution ID]),Institutions[ID],Institutions[Institution nickname],"Unknown")</f>
        <v>Discover</v>
      </c>
      <c r="J1298" s="136" t="s">
        <v>2626</v>
      </c>
      <c r="K1298" s="137" t="s">
        <v>843</v>
      </c>
      <c r="L1298" s="137" t="s">
        <v>841</v>
      </c>
      <c r="M129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9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98" s="138" t="str" cm="1">
        <f t="array" ref="O1298">IFERROR(INDEX(CategoriesTable[Category type],MATCH(Table1[[#This Row],[Category]],CategoriesTable[Category name],0),0),"")</f>
        <v/>
      </c>
      <c r="P1298" s="138">
        <v>27</v>
      </c>
      <c r="Q1298" s="138">
        <f>MONTH(Table1[[#This Row],[Date]])</f>
        <v>1</v>
      </c>
      <c r="R1298" s="138">
        <v>2021</v>
      </c>
      <c r="S1298" s="139">
        <f>IF(ISBLANK(Table1[[#This Row],[Date]]),"",Table1[[#This Row],[Date]]-WEEKDAY(Table1[[#This Row],[Date]],2)+1)</f>
        <v>44221</v>
      </c>
      <c r="T1298" s="140">
        <f>IF(ISBLANK(Table1[[#This Row],[Date]]),"",DATE(Table1[[#This Row],[Date_Year]],Table1[[#This Row],[Date_Month]],1))</f>
        <v>44197</v>
      </c>
    </row>
    <row r="1299" spans="2:20" ht="15.75">
      <c r="B1299" s="154">
        <v>44222</v>
      </c>
      <c r="C1299" s="119" t="s">
        <v>716</v>
      </c>
      <c r="D1299" s="119"/>
      <c r="E1299" s="119"/>
      <c r="F1299" s="155">
        <v>-8.23</v>
      </c>
      <c r="G1299" s="133" t="str">
        <f>_xlfn.XLOOKUP(Table1[[#This Row],[Account_ID]], Accounts[ID], Accounts[Account nickname], "Unknown")</f>
        <v>Discover</v>
      </c>
      <c r="H1299" s="134" t="str">
        <f>_xlfn.XLOOKUP(Table1[[#This Row],[Account_ID]], Accounts[ID], Accounts[Account'#], "Unknown")</f>
        <v>4618</v>
      </c>
      <c r="I1299" s="135" t="str">
        <f>_xlfn.XLOOKUP(_xlfn.XLOOKUP(Table1[[#This Row],[Account]],Accounts[Account nickname],Accounts[Institution ID]),Institutions[ID],Institutions[Institution nickname],"Unknown")</f>
        <v>Discover</v>
      </c>
      <c r="J1299" s="136" t="s">
        <v>2629</v>
      </c>
      <c r="K1299" s="137" t="s">
        <v>843</v>
      </c>
      <c r="L1299" s="137" t="s">
        <v>841</v>
      </c>
      <c r="M129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29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299" s="138" t="str" cm="1">
        <f t="array" ref="O1299">IFERROR(INDEX(CategoriesTable[Category type],MATCH(Table1[[#This Row],[Category]],CategoriesTable[Category name],0),0),"")</f>
        <v/>
      </c>
      <c r="P1299" s="138">
        <v>26</v>
      </c>
      <c r="Q1299" s="138">
        <f>MONTH(Table1[[#This Row],[Date]])</f>
        <v>1</v>
      </c>
      <c r="R1299" s="138">
        <v>2021</v>
      </c>
      <c r="S1299" s="139">
        <f>IF(ISBLANK(Table1[[#This Row],[Date]]),"",Table1[[#This Row],[Date]]-WEEKDAY(Table1[[#This Row],[Date]],2)+1)</f>
        <v>44221</v>
      </c>
      <c r="T1299" s="140">
        <f>IF(ISBLANK(Table1[[#This Row],[Date]]),"",DATE(Table1[[#This Row],[Date_Year]],Table1[[#This Row],[Date_Month]],1))</f>
        <v>44197</v>
      </c>
    </row>
    <row r="1300" spans="2:20" ht="15.75">
      <c r="B1300" s="154">
        <v>44222</v>
      </c>
      <c r="C1300" s="119" t="s">
        <v>2381</v>
      </c>
      <c r="D1300" s="119"/>
      <c r="E1300" s="119"/>
      <c r="F1300" s="155">
        <v>-63.87</v>
      </c>
      <c r="G1300" s="133" t="str">
        <f>_xlfn.XLOOKUP(Table1[[#This Row],[Account_ID]], Accounts[ID], Accounts[Account nickname], "Unknown")</f>
        <v>Discover</v>
      </c>
      <c r="H1300" s="134" t="str">
        <f>_xlfn.XLOOKUP(Table1[[#This Row],[Account_ID]], Accounts[ID], Accounts[Account'#], "Unknown")</f>
        <v>4618</v>
      </c>
      <c r="I1300" s="135" t="str">
        <f>_xlfn.XLOOKUP(_xlfn.XLOOKUP(Table1[[#This Row],[Account]],Accounts[Account nickname],Accounts[Institution ID]),Institutions[ID],Institutions[Institution nickname],"Unknown")</f>
        <v>Discover</v>
      </c>
      <c r="J1300" s="136" t="s">
        <v>2630</v>
      </c>
      <c r="K1300" s="137" t="s">
        <v>843</v>
      </c>
      <c r="L1300" s="137" t="s">
        <v>841</v>
      </c>
      <c r="M130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0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00" s="138" t="str" cm="1">
        <f t="array" ref="O1300">IFERROR(INDEX(CategoriesTable[Category type],MATCH(Table1[[#This Row],[Category]],CategoriesTable[Category name],0),0),"")</f>
        <v/>
      </c>
      <c r="P1300" s="138">
        <v>26</v>
      </c>
      <c r="Q1300" s="138">
        <f>MONTH(Table1[[#This Row],[Date]])</f>
        <v>1</v>
      </c>
      <c r="R1300" s="138">
        <v>2021</v>
      </c>
      <c r="S1300" s="139">
        <f>IF(ISBLANK(Table1[[#This Row],[Date]]),"",Table1[[#This Row],[Date]]-WEEKDAY(Table1[[#This Row],[Date]],2)+1)</f>
        <v>44221</v>
      </c>
      <c r="T1300" s="140">
        <f>IF(ISBLANK(Table1[[#This Row],[Date]]),"",DATE(Table1[[#This Row],[Date_Year]],Table1[[#This Row],[Date_Month]],1))</f>
        <v>44197</v>
      </c>
    </row>
    <row r="1301" spans="2:20" ht="15.75">
      <c r="B1301" s="154">
        <v>44222</v>
      </c>
      <c r="C1301" s="119" t="s">
        <v>676</v>
      </c>
      <c r="D1301" s="119"/>
      <c r="E1301" s="119"/>
      <c r="F1301" s="155">
        <v>155</v>
      </c>
      <c r="G1301" s="133" t="str">
        <f>_xlfn.XLOOKUP(Table1[[#This Row],[Account_ID]], Accounts[ID], Accounts[Account nickname], "Unknown")</f>
        <v>WF</v>
      </c>
      <c r="H1301" s="134" t="str">
        <f>_xlfn.XLOOKUP(Table1[[#This Row],[Account_ID]], Accounts[ID], Accounts[Account'#], "Unknown")</f>
        <v>4636</v>
      </c>
      <c r="I1301" s="135" t="str">
        <f>_xlfn.XLOOKUP(_xlfn.XLOOKUP(Table1[[#This Row],[Account]],Accounts[Account nickname],Accounts[Institution ID]),Institutions[ID],Institutions[Institution nickname],"Unknown")</f>
        <v>Wells Fargo</v>
      </c>
      <c r="J1301" s="136" t="s">
        <v>1215</v>
      </c>
      <c r="K1301" s="137" t="s">
        <v>808</v>
      </c>
      <c r="L1301" s="137" t="s">
        <v>807</v>
      </c>
      <c r="M130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0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01" s="138" t="str" cm="1">
        <f t="array" ref="O1301">IFERROR(INDEX(CategoriesTable[Category type],MATCH(Table1[[#This Row],[Category]],CategoriesTable[Category name],0),0),"")</f>
        <v/>
      </c>
      <c r="P1301" s="138">
        <v>26</v>
      </c>
      <c r="Q1301" s="138">
        <f>MONTH(Table1[[#This Row],[Date]])</f>
        <v>1</v>
      </c>
      <c r="R1301" s="138">
        <v>2021</v>
      </c>
      <c r="S1301" s="139">
        <f>IF(ISBLANK(Table1[[#This Row],[Date]]),"",Table1[[#This Row],[Date]]-WEEKDAY(Table1[[#This Row],[Date]],2)+1)</f>
        <v>44221</v>
      </c>
      <c r="T1301" s="140">
        <f>IF(ISBLANK(Table1[[#This Row],[Date]]),"",DATE(Table1[[#This Row],[Date_Year]],Table1[[#This Row],[Date_Month]],1))</f>
        <v>44197</v>
      </c>
    </row>
    <row r="1302" spans="2:20" ht="15.75">
      <c r="B1302" s="154">
        <v>44221</v>
      </c>
      <c r="C1302" s="119" t="s">
        <v>708</v>
      </c>
      <c r="D1302" s="119"/>
      <c r="E1302" s="119"/>
      <c r="F1302" s="155">
        <v>-2.76</v>
      </c>
      <c r="G1302" s="133" t="str">
        <f>_xlfn.XLOOKUP(Table1[[#This Row],[Account_ID]], Accounts[ID], Accounts[Account nickname], "Unknown")</f>
        <v>Discover</v>
      </c>
      <c r="H1302" s="134" t="str">
        <f>_xlfn.XLOOKUP(Table1[[#This Row],[Account_ID]], Accounts[ID], Accounts[Account'#], "Unknown")</f>
        <v>4618</v>
      </c>
      <c r="I1302" s="135" t="str">
        <f>_xlfn.XLOOKUP(_xlfn.XLOOKUP(Table1[[#This Row],[Account]],Accounts[Account nickname],Accounts[Institution ID]),Institutions[ID],Institutions[Institution nickname],"Unknown")</f>
        <v>Discover</v>
      </c>
      <c r="J1302" s="136" t="s">
        <v>2631</v>
      </c>
      <c r="K1302" s="137" t="s">
        <v>843</v>
      </c>
      <c r="L1302" s="137" t="s">
        <v>841</v>
      </c>
      <c r="M130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0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02" s="138" t="str" cm="1">
        <f t="array" ref="O1302">IFERROR(INDEX(CategoriesTable[Category type],MATCH(Table1[[#This Row],[Category]],CategoriesTable[Category name],0),0),"")</f>
        <v/>
      </c>
      <c r="P1302" s="138">
        <v>25</v>
      </c>
      <c r="Q1302" s="138">
        <f>MONTH(Table1[[#This Row],[Date]])</f>
        <v>1</v>
      </c>
      <c r="R1302" s="138">
        <v>2021</v>
      </c>
      <c r="S1302" s="139">
        <f>IF(ISBLANK(Table1[[#This Row],[Date]]),"",Table1[[#This Row],[Date]]-WEEKDAY(Table1[[#This Row],[Date]],2)+1)</f>
        <v>44221</v>
      </c>
      <c r="T1302" s="140">
        <f>IF(ISBLANK(Table1[[#This Row],[Date]]),"",DATE(Table1[[#This Row],[Date_Year]],Table1[[#This Row],[Date_Month]],1))</f>
        <v>44197</v>
      </c>
    </row>
    <row r="1303" spans="2:20" ht="15.75">
      <c r="B1303" s="154">
        <v>44221</v>
      </c>
      <c r="C1303" s="119" t="s">
        <v>708</v>
      </c>
      <c r="D1303" s="119"/>
      <c r="E1303" s="119"/>
      <c r="F1303" s="155">
        <v>-22.97</v>
      </c>
      <c r="G1303" s="133" t="str">
        <f>_xlfn.XLOOKUP(Table1[[#This Row],[Account_ID]], Accounts[ID], Accounts[Account nickname], "Unknown")</f>
        <v>Discover</v>
      </c>
      <c r="H1303" s="134" t="str">
        <f>_xlfn.XLOOKUP(Table1[[#This Row],[Account_ID]], Accounts[ID], Accounts[Account'#], "Unknown")</f>
        <v>4618</v>
      </c>
      <c r="I1303" s="135" t="str">
        <f>_xlfn.XLOOKUP(_xlfn.XLOOKUP(Table1[[#This Row],[Account]],Accounts[Account nickname],Accounts[Institution ID]),Institutions[ID],Institutions[Institution nickname],"Unknown")</f>
        <v>Discover</v>
      </c>
      <c r="J1303" s="136" t="s">
        <v>2632</v>
      </c>
      <c r="K1303" s="137" t="s">
        <v>843</v>
      </c>
      <c r="L1303" s="137" t="s">
        <v>841</v>
      </c>
      <c r="M130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0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03" s="138" t="str" cm="1">
        <f t="array" ref="O1303">IFERROR(INDEX(CategoriesTable[Category type],MATCH(Table1[[#This Row],[Category]],CategoriesTable[Category name],0),0),"")</f>
        <v/>
      </c>
      <c r="P1303" s="138">
        <v>25</v>
      </c>
      <c r="Q1303" s="138">
        <f>MONTH(Table1[[#This Row],[Date]])</f>
        <v>1</v>
      </c>
      <c r="R1303" s="138">
        <v>2021</v>
      </c>
      <c r="S1303" s="139">
        <f>IF(ISBLANK(Table1[[#This Row],[Date]]),"",Table1[[#This Row],[Date]]-WEEKDAY(Table1[[#This Row],[Date]],2)+1)</f>
        <v>44221</v>
      </c>
      <c r="T1303" s="140">
        <f>IF(ISBLANK(Table1[[#This Row],[Date]]),"",DATE(Table1[[#This Row],[Date_Year]],Table1[[#This Row],[Date_Month]],1))</f>
        <v>44197</v>
      </c>
    </row>
    <row r="1304" spans="2:20" ht="15.75">
      <c r="B1304" s="154">
        <v>44219</v>
      </c>
      <c r="C1304" s="119" t="s">
        <v>2636</v>
      </c>
      <c r="D1304" s="119"/>
      <c r="E1304" s="119"/>
      <c r="F1304" s="155">
        <v>-14.68</v>
      </c>
      <c r="G1304" s="133" t="str">
        <f>_xlfn.XLOOKUP(Table1[[#This Row],[Account_ID]], Accounts[ID], Accounts[Account nickname], "Unknown")</f>
        <v>Discover</v>
      </c>
      <c r="H1304" s="134" t="str">
        <f>_xlfn.XLOOKUP(Table1[[#This Row],[Account_ID]], Accounts[ID], Accounts[Account'#], "Unknown")</f>
        <v>4618</v>
      </c>
      <c r="I1304" s="135" t="str">
        <f>_xlfn.XLOOKUP(_xlfn.XLOOKUP(Table1[[#This Row],[Account]],Accounts[Account nickname],Accounts[Institution ID]),Institutions[ID],Institutions[Institution nickname],"Unknown")</f>
        <v>Discover</v>
      </c>
      <c r="J1304" s="136" t="s">
        <v>2637</v>
      </c>
      <c r="K1304" s="137" t="s">
        <v>843</v>
      </c>
      <c r="L1304" s="137" t="s">
        <v>841</v>
      </c>
      <c r="M130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0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04" s="138" t="str" cm="1">
        <f t="array" ref="O1304">IFERROR(INDEX(CategoriesTable[Category type],MATCH(Table1[[#This Row],[Category]],CategoriesTable[Category name],0),0),"")</f>
        <v/>
      </c>
      <c r="P1304" s="138">
        <v>23</v>
      </c>
      <c r="Q1304" s="138">
        <f>MONTH(Table1[[#This Row],[Date]])</f>
        <v>1</v>
      </c>
      <c r="R1304" s="138">
        <v>2021</v>
      </c>
      <c r="S1304" s="139">
        <f>IF(ISBLANK(Table1[[#This Row],[Date]]),"",Table1[[#This Row],[Date]]-WEEKDAY(Table1[[#This Row],[Date]],2)+1)</f>
        <v>44214</v>
      </c>
      <c r="T1304" s="140">
        <f>IF(ISBLANK(Table1[[#This Row],[Date]]),"",DATE(Table1[[#This Row],[Date_Year]],Table1[[#This Row],[Date_Month]],1))</f>
        <v>44197</v>
      </c>
    </row>
    <row r="1305" spans="2:20" ht="15.75">
      <c r="B1305" s="154">
        <v>44219</v>
      </c>
      <c r="C1305" s="119" t="s">
        <v>2634</v>
      </c>
      <c r="D1305" s="119"/>
      <c r="E1305" s="119"/>
      <c r="F1305" s="155">
        <v>-3.35</v>
      </c>
      <c r="G1305" s="133" t="str">
        <f>_xlfn.XLOOKUP(Table1[[#This Row],[Account_ID]], Accounts[ID], Accounts[Account nickname], "Unknown")</f>
        <v>Discover</v>
      </c>
      <c r="H1305" s="134" t="str">
        <f>_xlfn.XLOOKUP(Table1[[#This Row],[Account_ID]], Accounts[ID], Accounts[Account'#], "Unknown")</f>
        <v>4618</v>
      </c>
      <c r="I1305" s="135" t="str">
        <f>_xlfn.XLOOKUP(_xlfn.XLOOKUP(Table1[[#This Row],[Account]],Accounts[Account nickname],Accounts[Institution ID]),Institutions[ID],Institutions[Institution nickname],"Unknown")</f>
        <v>Discover</v>
      </c>
      <c r="J1305" s="136" t="s">
        <v>2635</v>
      </c>
      <c r="K1305" s="137" t="s">
        <v>843</v>
      </c>
      <c r="L1305" s="137" t="s">
        <v>841</v>
      </c>
      <c r="M130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0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05" s="138" t="str" cm="1">
        <f t="array" ref="O1305">IFERROR(INDEX(CategoriesTable[Category type],MATCH(Table1[[#This Row],[Category]],CategoriesTable[Category name],0),0),"")</f>
        <v/>
      </c>
      <c r="P1305" s="138">
        <v>23</v>
      </c>
      <c r="Q1305" s="138">
        <f>MONTH(Table1[[#This Row],[Date]])</f>
        <v>1</v>
      </c>
      <c r="R1305" s="138">
        <v>2021</v>
      </c>
      <c r="S1305" s="139">
        <f>IF(ISBLANK(Table1[[#This Row],[Date]]),"",Table1[[#This Row],[Date]]-WEEKDAY(Table1[[#This Row],[Date]],2)+1)</f>
        <v>44214</v>
      </c>
      <c r="T1305" s="140">
        <f>IF(ISBLANK(Table1[[#This Row],[Date]]),"",DATE(Table1[[#This Row],[Date_Year]],Table1[[#This Row],[Date_Month]],1))</f>
        <v>44197</v>
      </c>
    </row>
    <row r="1306" spans="2:20" ht="15.75">
      <c r="B1306" s="154">
        <v>44219</v>
      </c>
      <c r="C1306" s="119" t="s">
        <v>2266</v>
      </c>
      <c r="D1306" s="119"/>
      <c r="E1306" s="119"/>
      <c r="F1306" s="155">
        <v>-84.43</v>
      </c>
      <c r="G1306" s="133" t="str">
        <f>_xlfn.XLOOKUP(Table1[[#This Row],[Account_ID]], Accounts[ID], Accounts[Account nickname], "Unknown")</f>
        <v>Discover</v>
      </c>
      <c r="H1306" s="134" t="str">
        <f>_xlfn.XLOOKUP(Table1[[#This Row],[Account_ID]], Accounts[ID], Accounts[Account'#], "Unknown")</f>
        <v>4618</v>
      </c>
      <c r="I1306" s="135" t="str">
        <f>_xlfn.XLOOKUP(_xlfn.XLOOKUP(Table1[[#This Row],[Account]],Accounts[Account nickname],Accounts[Institution ID]),Institutions[ID],Institutions[Institution nickname],"Unknown")</f>
        <v>Discover</v>
      </c>
      <c r="J1306" s="136" t="s">
        <v>2633</v>
      </c>
      <c r="K1306" s="137" t="s">
        <v>843</v>
      </c>
      <c r="L1306" s="137" t="s">
        <v>841</v>
      </c>
      <c r="M130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0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06" s="138" t="str" cm="1">
        <f t="array" ref="O1306">IFERROR(INDEX(CategoriesTable[Category type],MATCH(Table1[[#This Row],[Category]],CategoriesTable[Category name],0),0),"")</f>
        <v/>
      </c>
      <c r="P1306" s="138">
        <v>23</v>
      </c>
      <c r="Q1306" s="138">
        <f>MONTH(Table1[[#This Row],[Date]])</f>
        <v>1</v>
      </c>
      <c r="R1306" s="138">
        <v>2021</v>
      </c>
      <c r="S1306" s="139">
        <f>IF(ISBLANK(Table1[[#This Row],[Date]]),"",Table1[[#This Row],[Date]]-WEEKDAY(Table1[[#This Row],[Date]],2)+1)</f>
        <v>44214</v>
      </c>
      <c r="T1306" s="140">
        <f>IF(ISBLANK(Table1[[#This Row],[Date]]),"",DATE(Table1[[#This Row],[Date_Year]],Table1[[#This Row],[Date_Month]],1))</f>
        <v>44197</v>
      </c>
    </row>
    <row r="1307" spans="2:20" ht="15.75">
      <c r="B1307" s="154">
        <v>44218</v>
      </c>
      <c r="C1307" s="119" t="s">
        <v>2590</v>
      </c>
      <c r="D1307" s="119"/>
      <c r="E1307" s="119"/>
      <c r="F1307" s="155">
        <v>-15.61</v>
      </c>
      <c r="G1307" s="133" t="str">
        <f>_xlfn.XLOOKUP(Table1[[#This Row],[Account_ID]], Accounts[ID], Accounts[Account nickname], "Unknown")</f>
        <v>Discover</v>
      </c>
      <c r="H1307" s="134" t="str">
        <f>_xlfn.XLOOKUP(Table1[[#This Row],[Account_ID]], Accounts[ID], Accounts[Account'#], "Unknown")</f>
        <v>4618</v>
      </c>
      <c r="I1307" s="135" t="str">
        <f>_xlfn.XLOOKUP(_xlfn.XLOOKUP(Table1[[#This Row],[Account]],Accounts[Account nickname],Accounts[Institution ID]),Institutions[ID],Institutions[Institution nickname],"Unknown")</f>
        <v>Discover</v>
      </c>
      <c r="J1307" s="136" t="s">
        <v>2638</v>
      </c>
      <c r="K1307" s="137" t="s">
        <v>843</v>
      </c>
      <c r="L1307" s="137" t="s">
        <v>841</v>
      </c>
      <c r="M130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0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07" s="138" t="str" cm="1">
        <f t="array" ref="O1307">IFERROR(INDEX(CategoriesTable[Category type],MATCH(Table1[[#This Row],[Category]],CategoriesTable[Category name],0),0),"")</f>
        <v/>
      </c>
      <c r="P1307" s="138">
        <v>22</v>
      </c>
      <c r="Q1307" s="138">
        <f>MONTH(Table1[[#This Row],[Date]])</f>
        <v>1</v>
      </c>
      <c r="R1307" s="138">
        <v>2021</v>
      </c>
      <c r="S1307" s="139">
        <f>IF(ISBLANK(Table1[[#This Row],[Date]]),"",Table1[[#This Row],[Date]]-WEEKDAY(Table1[[#This Row],[Date]],2)+1)</f>
        <v>44214</v>
      </c>
      <c r="T1307" s="140">
        <f>IF(ISBLANK(Table1[[#This Row],[Date]]),"",DATE(Table1[[#This Row],[Date_Year]],Table1[[#This Row],[Date_Month]],1))</f>
        <v>44197</v>
      </c>
    </row>
    <row r="1308" spans="2:20" ht="15.75">
      <c r="B1308" s="154">
        <v>44217</v>
      </c>
      <c r="C1308" s="119" t="s">
        <v>1436</v>
      </c>
      <c r="D1308" s="119"/>
      <c r="E1308" s="119"/>
      <c r="F1308" s="155">
        <v>-7.99</v>
      </c>
      <c r="G1308" s="133" t="str">
        <f>_xlfn.XLOOKUP(Table1[[#This Row],[Account_ID]], Accounts[ID], Accounts[Account nickname], "Unknown")</f>
        <v>Discover</v>
      </c>
      <c r="H1308" s="134" t="str">
        <f>_xlfn.XLOOKUP(Table1[[#This Row],[Account_ID]], Accounts[ID], Accounts[Account'#], "Unknown")</f>
        <v>4618</v>
      </c>
      <c r="I1308" s="135" t="str">
        <f>_xlfn.XLOOKUP(_xlfn.XLOOKUP(Table1[[#This Row],[Account]],Accounts[Account nickname],Accounts[Institution ID]),Institutions[ID],Institutions[Institution nickname],"Unknown")</f>
        <v>Discover</v>
      </c>
      <c r="J1308" s="136" t="s">
        <v>2640</v>
      </c>
      <c r="K1308" s="137" t="s">
        <v>843</v>
      </c>
      <c r="L1308" s="137" t="s">
        <v>841</v>
      </c>
      <c r="M130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0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08" s="138" t="str" cm="1">
        <f t="array" ref="O1308">IFERROR(INDEX(CategoriesTable[Category type],MATCH(Table1[[#This Row],[Category]],CategoriesTable[Category name],0),0),"")</f>
        <v/>
      </c>
      <c r="P1308" s="138">
        <v>21</v>
      </c>
      <c r="Q1308" s="138">
        <f>MONTH(Table1[[#This Row],[Date]])</f>
        <v>1</v>
      </c>
      <c r="R1308" s="138">
        <v>2021</v>
      </c>
      <c r="S1308" s="139">
        <f>IF(ISBLANK(Table1[[#This Row],[Date]]),"",Table1[[#This Row],[Date]]-WEEKDAY(Table1[[#This Row],[Date]],2)+1)</f>
        <v>44214</v>
      </c>
      <c r="T1308" s="140">
        <f>IF(ISBLANK(Table1[[#This Row],[Date]]),"",DATE(Table1[[#This Row],[Date_Year]],Table1[[#This Row],[Date_Month]],1))</f>
        <v>44197</v>
      </c>
    </row>
    <row r="1309" spans="2:20" ht="15.75">
      <c r="B1309" s="154">
        <v>44217</v>
      </c>
      <c r="C1309" s="119" t="s">
        <v>772</v>
      </c>
      <c r="D1309" s="119"/>
      <c r="E1309" s="119"/>
      <c r="F1309" s="155">
        <v>-75</v>
      </c>
      <c r="G1309" s="133" t="str">
        <f>_xlfn.XLOOKUP(Table1[[#This Row],[Account_ID]], Accounts[ID], Accounts[Account nickname], "Unknown")</f>
        <v>WF</v>
      </c>
      <c r="H1309" s="134" t="str">
        <f>_xlfn.XLOOKUP(Table1[[#This Row],[Account_ID]], Accounts[ID], Accounts[Account'#], "Unknown")</f>
        <v>4636</v>
      </c>
      <c r="I1309" s="135" t="str">
        <f>_xlfn.XLOOKUP(_xlfn.XLOOKUP(Table1[[#This Row],[Account]],Accounts[Account nickname],Accounts[Institution ID]),Institutions[ID],Institutions[Institution nickname],"Unknown")</f>
        <v>Wells Fargo</v>
      </c>
      <c r="J1309" s="136" t="s">
        <v>1216</v>
      </c>
      <c r="K1309" s="137" t="s">
        <v>808</v>
      </c>
      <c r="L1309" s="137" t="s">
        <v>807</v>
      </c>
      <c r="M130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0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09" s="138" t="str" cm="1">
        <f t="array" ref="O1309">IFERROR(INDEX(CategoriesTable[Category type],MATCH(Table1[[#This Row],[Category]],CategoriesTable[Category name],0),0),"")</f>
        <v/>
      </c>
      <c r="P1309" s="138">
        <v>21</v>
      </c>
      <c r="Q1309" s="138">
        <f>MONTH(Table1[[#This Row],[Date]])</f>
        <v>1</v>
      </c>
      <c r="R1309" s="138">
        <v>2021</v>
      </c>
      <c r="S1309" s="139">
        <f>IF(ISBLANK(Table1[[#This Row],[Date]]),"",Table1[[#This Row],[Date]]-WEEKDAY(Table1[[#This Row],[Date]],2)+1)</f>
        <v>44214</v>
      </c>
      <c r="T1309" s="140">
        <f>IF(ISBLANK(Table1[[#This Row],[Date]]),"",DATE(Table1[[#This Row],[Date_Year]],Table1[[#This Row],[Date_Month]],1))</f>
        <v>44197</v>
      </c>
    </row>
    <row r="1310" spans="2:20" ht="15.75">
      <c r="B1310" s="154">
        <v>44217</v>
      </c>
      <c r="C1310" s="119" t="s">
        <v>2417</v>
      </c>
      <c r="D1310" s="119"/>
      <c r="E1310" s="119"/>
      <c r="F1310" s="155">
        <v>-9.9499999999999993</v>
      </c>
      <c r="G1310" s="133" t="str">
        <f>_xlfn.XLOOKUP(Table1[[#This Row],[Account_ID]], Accounts[ID], Accounts[Account nickname], "Unknown")</f>
        <v>Discover</v>
      </c>
      <c r="H1310" s="134" t="str">
        <f>_xlfn.XLOOKUP(Table1[[#This Row],[Account_ID]], Accounts[ID], Accounts[Account'#], "Unknown")</f>
        <v>4618</v>
      </c>
      <c r="I1310" s="135" t="str">
        <f>_xlfn.XLOOKUP(_xlfn.XLOOKUP(Table1[[#This Row],[Account]],Accounts[Account nickname],Accounts[Institution ID]),Institutions[ID],Institutions[Institution nickname],"Unknown")</f>
        <v>Discover</v>
      </c>
      <c r="J1310" s="136" t="s">
        <v>2639</v>
      </c>
      <c r="K1310" s="137" t="s">
        <v>843</v>
      </c>
      <c r="L1310" s="137" t="s">
        <v>841</v>
      </c>
      <c r="M131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1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10" s="138" t="str" cm="1">
        <f t="array" ref="O1310">IFERROR(INDEX(CategoriesTable[Category type],MATCH(Table1[[#This Row],[Category]],CategoriesTable[Category name],0),0),"")</f>
        <v/>
      </c>
      <c r="P1310" s="138">
        <v>21</v>
      </c>
      <c r="Q1310" s="138">
        <f>MONTH(Table1[[#This Row],[Date]])</f>
        <v>1</v>
      </c>
      <c r="R1310" s="138">
        <v>2021</v>
      </c>
      <c r="S1310" s="139">
        <f>IF(ISBLANK(Table1[[#This Row],[Date]]),"",Table1[[#This Row],[Date]]-WEEKDAY(Table1[[#This Row],[Date]],2)+1)</f>
        <v>44214</v>
      </c>
      <c r="T1310" s="140">
        <f>IF(ISBLANK(Table1[[#This Row],[Date]]),"",DATE(Table1[[#This Row],[Date_Year]],Table1[[#This Row],[Date_Month]],1))</f>
        <v>44197</v>
      </c>
    </row>
    <row r="1311" spans="2:20" ht="15.75">
      <c r="B1311" s="154">
        <v>44216</v>
      </c>
      <c r="C1311" s="119" t="s">
        <v>1385</v>
      </c>
      <c r="D1311" s="119" t="s">
        <v>113</v>
      </c>
      <c r="E1311" s="119"/>
      <c r="F1311" s="155">
        <v>0</v>
      </c>
      <c r="G1311" s="133" t="str">
        <f>_xlfn.XLOOKUP(Table1[[#This Row],[Account_ID]], Accounts[ID], Accounts[Account nickname], "Unknown")</f>
        <v>BB</v>
      </c>
      <c r="H1311" s="134" t="str">
        <f>_xlfn.XLOOKUP(Table1[[#This Row],[Account_ID]], Accounts[ID], Accounts[Account'#], "Unknown")</f>
        <v>4561</v>
      </c>
      <c r="I1311" s="135" t="str">
        <f>_xlfn.XLOOKUP(_xlfn.XLOOKUP(Table1[[#This Row],[Account]],Accounts[Account nickname],Accounts[Institution ID]),Institutions[ID],Institutions[Institution nickname],"Unknown")</f>
        <v>Best Buy - Citi Card</v>
      </c>
      <c r="J1311" s="136" t="s">
        <v>2643</v>
      </c>
      <c r="K1311" s="137" t="s">
        <v>1375</v>
      </c>
      <c r="L1311" s="137" t="s">
        <v>1372</v>
      </c>
      <c r="M131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de9b1d2511bc45a9bb2d484aa9e33b31</v>
      </c>
      <c r="N131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11" s="138" t="str" cm="1">
        <f t="array" ref="O1311">IFERROR(INDEX(CategoriesTable[Category type],MATCH(Table1[[#This Row],[Category]],CategoriesTable[Category name],0),0),"")</f>
        <v>Expense</v>
      </c>
      <c r="P1311" s="138">
        <v>20</v>
      </c>
      <c r="Q1311" s="138">
        <f>MONTH(Table1[[#This Row],[Date]])</f>
        <v>1</v>
      </c>
      <c r="R1311" s="138">
        <v>2021</v>
      </c>
      <c r="S1311" s="139">
        <f>IF(ISBLANK(Table1[[#This Row],[Date]]),"",Table1[[#This Row],[Date]]-WEEKDAY(Table1[[#This Row],[Date]],2)+1)</f>
        <v>44214</v>
      </c>
      <c r="T1311" s="140">
        <f>IF(ISBLANK(Table1[[#This Row],[Date]]),"",DATE(Table1[[#This Row],[Date_Year]],Table1[[#This Row],[Date_Month]],1))</f>
        <v>44197</v>
      </c>
    </row>
    <row r="1312" spans="2:20" ht="15.75">
      <c r="B1312" s="154">
        <v>44216</v>
      </c>
      <c r="C1312" s="119" t="s">
        <v>773</v>
      </c>
      <c r="D1312" s="119"/>
      <c r="E1312" s="119"/>
      <c r="F1312" s="155">
        <v>-155</v>
      </c>
      <c r="G1312" s="133" t="str">
        <f>_xlfn.XLOOKUP(Table1[[#This Row],[Account_ID]], Accounts[ID], Accounts[Account nickname], "Unknown")</f>
        <v>WF</v>
      </c>
      <c r="H1312" s="134" t="str">
        <f>_xlfn.XLOOKUP(Table1[[#This Row],[Account_ID]], Accounts[ID], Accounts[Account'#], "Unknown")</f>
        <v>4636</v>
      </c>
      <c r="I1312" s="135" t="str">
        <f>_xlfn.XLOOKUP(_xlfn.XLOOKUP(Table1[[#This Row],[Account]],Accounts[Account nickname],Accounts[Institution ID]),Institutions[ID],Institutions[Institution nickname],"Unknown")</f>
        <v>Wells Fargo</v>
      </c>
      <c r="J1312" s="136" t="s">
        <v>1217</v>
      </c>
      <c r="K1312" s="137" t="s">
        <v>808</v>
      </c>
      <c r="L1312" s="137" t="s">
        <v>807</v>
      </c>
      <c r="M131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1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12" s="138" t="str" cm="1">
        <f t="array" ref="O1312">IFERROR(INDEX(CategoriesTable[Category type],MATCH(Table1[[#This Row],[Category]],CategoriesTable[Category name],0),0),"")</f>
        <v/>
      </c>
      <c r="P1312" s="138">
        <v>20</v>
      </c>
      <c r="Q1312" s="138">
        <f>MONTH(Table1[[#This Row],[Date]])</f>
        <v>1</v>
      </c>
      <c r="R1312" s="138">
        <v>2021</v>
      </c>
      <c r="S1312" s="139">
        <f>IF(ISBLANK(Table1[[#This Row],[Date]]),"",Table1[[#This Row],[Date]]-WEEKDAY(Table1[[#This Row],[Date]],2)+1)</f>
        <v>44214</v>
      </c>
      <c r="T1312" s="140">
        <f>IF(ISBLANK(Table1[[#This Row],[Date]]),"",DATE(Table1[[#This Row],[Date_Year]],Table1[[#This Row],[Date_Month]],1))</f>
        <v>44197</v>
      </c>
    </row>
    <row r="1313" spans="2:20" ht="15.75">
      <c r="B1313" s="154">
        <v>44216</v>
      </c>
      <c r="C1313" s="119" t="s">
        <v>1383</v>
      </c>
      <c r="D1313" s="119" t="s">
        <v>113</v>
      </c>
      <c r="E1313" s="119"/>
      <c r="F1313" s="155">
        <v>0</v>
      </c>
      <c r="G1313" s="133" t="str">
        <f>_xlfn.XLOOKUP(Table1[[#This Row],[Account_ID]], Accounts[ID], Accounts[Account nickname], "Unknown")</f>
        <v>BB</v>
      </c>
      <c r="H1313" s="134" t="str">
        <f>_xlfn.XLOOKUP(Table1[[#This Row],[Account_ID]], Accounts[ID], Accounts[Account'#], "Unknown")</f>
        <v>4561</v>
      </c>
      <c r="I1313" s="135" t="str">
        <f>_xlfn.XLOOKUP(_xlfn.XLOOKUP(Table1[[#This Row],[Account]],Accounts[Account nickname],Accounts[Institution ID]),Institutions[ID],Institutions[Institution nickname],"Unknown")</f>
        <v>Best Buy - Citi Card</v>
      </c>
      <c r="J1313" s="136" t="s">
        <v>2642</v>
      </c>
      <c r="K1313" s="137" t="s">
        <v>1375</v>
      </c>
      <c r="L1313" s="137" t="s">
        <v>1372</v>
      </c>
      <c r="M131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de9b1d2511bc45a9bb2d484aa9e33b31</v>
      </c>
      <c r="N131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13" s="138" t="str" cm="1">
        <f t="array" ref="O1313">IFERROR(INDEX(CategoriesTable[Category type],MATCH(Table1[[#This Row],[Category]],CategoriesTable[Category name],0),0),"")</f>
        <v>Expense</v>
      </c>
      <c r="P1313" s="138">
        <v>20</v>
      </c>
      <c r="Q1313" s="138">
        <f>MONTH(Table1[[#This Row],[Date]])</f>
        <v>1</v>
      </c>
      <c r="R1313" s="138">
        <v>2021</v>
      </c>
      <c r="S1313" s="139">
        <f>IF(ISBLANK(Table1[[#This Row],[Date]]),"",Table1[[#This Row],[Date]]-WEEKDAY(Table1[[#This Row],[Date]],2)+1)</f>
        <v>44214</v>
      </c>
      <c r="T1313" s="140">
        <f>IF(ISBLANK(Table1[[#This Row],[Date]]),"",DATE(Table1[[#This Row],[Date_Year]],Table1[[#This Row],[Date_Month]],1))</f>
        <v>44197</v>
      </c>
    </row>
    <row r="1314" spans="2:20" ht="15.75">
      <c r="B1314" s="154">
        <v>44216</v>
      </c>
      <c r="C1314" s="119" t="s">
        <v>2590</v>
      </c>
      <c r="D1314" s="119"/>
      <c r="E1314" s="119"/>
      <c r="F1314" s="155">
        <v>-15.15</v>
      </c>
      <c r="G1314" s="133" t="str">
        <f>_xlfn.XLOOKUP(Table1[[#This Row],[Account_ID]], Accounts[ID], Accounts[Account nickname], "Unknown")</f>
        <v>Discover</v>
      </c>
      <c r="H1314" s="134" t="str">
        <f>_xlfn.XLOOKUP(Table1[[#This Row],[Account_ID]], Accounts[ID], Accounts[Account'#], "Unknown")</f>
        <v>4618</v>
      </c>
      <c r="I1314" s="135" t="str">
        <f>_xlfn.XLOOKUP(_xlfn.XLOOKUP(Table1[[#This Row],[Account]],Accounts[Account nickname],Accounts[Institution ID]),Institutions[ID],Institutions[Institution nickname],"Unknown")</f>
        <v>Discover</v>
      </c>
      <c r="J1314" s="136" t="s">
        <v>2641</v>
      </c>
      <c r="K1314" s="137" t="s">
        <v>843</v>
      </c>
      <c r="L1314" s="137" t="s">
        <v>841</v>
      </c>
      <c r="M131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1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14" s="138" t="str" cm="1">
        <f t="array" ref="O1314">IFERROR(INDEX(CategoriesTable[Category type],MATCH(Table1[[#This Row],[Category]],CategoriesTable[Category name],0),0),"")</f>
        <v/>
      </c>
      <c r="P1314" s="138">
        <v>20</v>
      </c>
      <c r="Q1314" s="138">
        <f>MONTH(Table1[[#This Row],[Date]])</f>
        <v>1</v>
      </c>
      <c r="R1314" s="138">
        <v>2021</v>
      </c>
      <c r="S1314" s="139">
        <f>IF(ISBLANK(Table1[[#This Row],[Date]]),"",Table1[[#This Row],[Date]]-WEEKDAY(Table1[[#This Row],[Date]],2)+1)</f>
        <v>44214</v>
      </c>
      <c r="T1314" s="140">
        <f>IF(ISBLANK(Table1[[#This Row],[Date]]),"",DATE(Table1[[#This Row],[Date_Year]],Table1[[#This Row],[Date_Month]],1))</f>
        <v>44197</v>
      </c>
    </row>
    <row r="1315" spans="2:20" ht="15.75">
      <c r="B1315" s="154">
        <v>44215</v>
      </c>
      <c r="C1315" s="119" t="s">
        <v>678</v>
      </c>
      <c r="D1315" s="119"/>
      <c r="E1315" s="119"/>
      <c r="F1315" s="155">
        <v>150</v>
      </c>
      <c r="G1315" s="133" t="str">
        <f>_xlfn.XLOOKUP(Table1[[#This Row],[Account_ID]], Accounts[ID], Accounts[Account nickname], "Unknown")</f>
        <v>WF</v>
      </c>
      <c r="H1315" s="134" t="str">
        <f>_xlfn.XLOOKUP(Table1[[#This Row],[Account_ID]], Accounts[ID], Accounts[Account'#], "Unknown")</f>
        <v>4636</v>
      </c>
      <c r="I1315" s="135" t="str">
        <f>_xlfn.XLOOKUP(_xlfn.XLOOKUP(Table1[[#This Row],[Account]],Accounts[Account nickname],Accounts[Institution ID]),Institutions[ID],Institutions[Institution nickname],"Unknown")</f>
        <v>Wells Fargo</v>
      </c>
      <c r="J1315" s="136" t="s">
        <v>1218</v>
      </c>
      <c r="K1315" s="137" t="s">
        <v>808</v>
      </c>
      <c r="L1315" s="137" t="s">
        <v>807</v>
      </c>
      <c r="M131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1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15" s="138" t="str" cm="1">
        <f t="array" ref="O1315">IFERROR(INDEX(CategoriesTable[Category type],MATCH(Table1[[#This Row],[Category]],CategoriesTable[Category name],0),0),"")</f>
        <v/>
      </c>
      <c r="P1315" s="138">
        <v>19</v>
      </c>
      <c r="Q1315" s="138">
        <f>MONTH(Table1[[#This Row],[Date]])</f>
        <v>1</v>
      </c>
      <c r="R1315" s="138">
        <v>2021</v>
      </c>
      <c r="S1315" s="139">
        <f>IF(ISBLANK(Table1[[#This Row],[Date]]),"",Table1[[#This Row],[Date]]-WEEKDAY(Table1[[#This Row],[Date]],2)+1)</f>
        <v>44214</v>
      </c>
      <c r="T1315" s="140">
        <f>IF(ISBLANK(Table1[[#This Row],[Date]]),"",DATE(Table1[[#This Row],[Date_Year]],Table1[[#This Row],[Date_Month]],1))</f>
        <v>44197</v>
      </c>
    </row>
    <row r="1316" spans="2:20" ht="15.75">
      <c r="B1316" s="154">
        <v>44215</v>
      </c>
      <c r="C1316" s="119" t="s">
        <v>678</v>
      </c>
      <c r="D1316" s="119"/>
      <c r="E1316" s="119"/>
      <c r="F1316" s="155">
        <v>-78.86</v>
      </c>
      <c r="G1316" s="133" t="str">
        <f>_xlfn.XLOOKUP(Table1[[#This Row],[Account_ID]], Accounts[ID], Accounts[Account nickname], "Unknown")</f>
        <v>WF</v>
      </c>
      <c r="H1316" s="134" t="str">
        <f>_xlfn.XLOOKUP(Table1[[#This Row],[Account_ID]], Accounts[ID], Accounts[Account'#], "Unknown")</f>
        <v>4636</v>
      </c>
      <c r="I1316" s="135" t="str">
        <f>_xlfn.XLOOKUP(_xlfn.XLOOKUP(Table1[[#This Row],[Account]],Accounts[Account nickname],Accounts[Institution ID]),Institutions[ID],Institutions[Institution nickname],"Unknown")</f>
        <v>Wells Fargo</v>
      </c>
      <c r="J1316" s="136" t="s">
        <v>1219</v>
      </c>
      <c r="K1316" s="137" t="s">
        <v>808</v>
      </c>
      <c r="L1316" s="137" t="s">
        <v>807</v>
      </c>
      <c r="M131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1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16" s="138" t="str" cm="1">
        <f t="array" ref="O1316">IFERROR(INDEX(CategoriesTable[Category type],MATCH(Table1[[#This Row],[Category]],CategoriesTable[Category name],0),0),"")</f>
        <v/>
      </c>
      <c r="P1316" s="138">
        <v>19</v>
      </c>
      <c r="Q1316" s="138">
        <f>MONTH(Table1[[#This Row],[Date]])</f>
        <v>1</v>
      </c>
      <c r="R1316" s="138">
        <v>2021</v>
      </c>
      <c r="S1316" s="139">
        <f>IF(ISBLANK(Table1[[#This Row],[Date]]),"",Table1[[#This Row],[Date]]-WEEKDAY(Table1[[#This Row],[Date]],2)+1)</f>
        <v>44214</v>
      </c>
      <c r="T1316" s="140">
        <f>IF(ISBLANK(Table1[[#This Row],[Date]]),"",DATE(Table1[[#This Row],[Date_Year]],Table1[[#This Row],[Date_Month]],1))</f>
        <v>44197</v>
      </c>
    </row>
    <row r="1317" spans="2:20" ht="15.75">
      <c r="B1317" s="154">
        <v>44215</v>
      </c>
      <c r="C1317" s="119" t="s">
        <v>678</v>
      </c>
      <c r="D1317" s="119"/>
      <c r="E1317" s="119"/>
      <c r="F1317" s="155">
        <v>-569.12</v>
      </c>
      <c r="G1317" s="133" t="str">
        <f>_xlfn.XLOOKUP(Table1[[#This Row],[Account_ID]], Accounts[ID], Accounts[Account nickname], "Unknown")</f>
        <v>WF</v>
      </c>
      <c r="H1317" s="134" t="str">
        <f>_xlfn.XLOOKUP(Table1[[#This Row],[Account_ID]], Accounts[ID], Accounts[Account'#], "Unknown")</f>
        <v>4636</v>
      </c>
      <c r="I1317" s="135" t="str">
        <f>_xlfn.XLOOKUP(_xlfn.XLOOKUP(Table1[[#This Row],[Account]],Accounts[Account nickname],Accounts[Institution ID]),Institutions[ID],Institutions[Institution nickname],"Unknown")</f>
        <v>Wells Fargo</v>
      </c>
      <c r="J1317" s="136" t="s">
        <v>1220</v>
      </c>
      <c r="K1317" s="137" t="s">
        <v>808</v>
      </c>
      <c r="L1317" s="137" t="s">
        <v>807</v>
      </c>
      <c r="M131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1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17" s="138" t="str" cm="1">
        <f t="array" ref="O1317">IFERROR(INDEX(CategoriesTable[Category type],MATCH(Table1[[#This Row],[Category]],CategoriesTable[Category name],0),0),"")</f>
        <v/>
      </c>
      <c r="P1317" s="138">
        <v>19</v>
      </c>
      <c r="Q1317" s="138">
        <f>MONTH(Table1[[#This Row],[Date]])</f>
        <v>1</v>
      </c>
      <c r="R1317" s="138">
        <v>2021</v>
      </c>
      <c r="S1317" s="139">
        <f>IF(ISBLANK(Table1[[#This Row],[Date]]),"",Table1[[#This Row],[Date]]-WEEKDAY(Table1[[#This Row],[Date]],2)+1)</f>
        <v>44214</v>
      </c>
      <c r="T1317" s="140">
        <f>IF(ISBLANK(Table1[[#This Row],[Date]]),"",DATE(Table1[[#This Row],[Date_Year]],Table1[[#This Row],[Date_Month]],1))</f>
        <v>44197</v>
      </c>
    </row>
    <row r="1318" spans="2:20" ht="15.75">
      <c r="B1318" s="154">
        <v>44215</v>
      </c>
      <c r="C1318" s="119" t="s">
        <v>2646</v>
      </c>
      <c r="D1318" s="119"/>
      <c r="E1318" s="119"/>
      <c r="F1318" s="155">
        <v>-99.9</v>
      </c>
      <c r="G1318" s="133" t="str">
        <f>_xlfn.XLOOKUP(Table1[[#This Row],[Account_ID]], Accounts[ID], Accounts[Account nickname], "Unknown")</f>
        <v>Discover</v>
      </c>
      <c r="H1318" s="134" t="str">
        <f>_xlfn.XLOOKUP(Table1[[#This Row],[Account_ID]], Accounts[ID], Accounts[Account'#], "Unknown")</f>
        <v>4618</v>
      </c>
      <c r="I1318" s="135" t="str">
        <f>_xlfn.XLOOKUP(_xlfn.XLOOKUP(Table1[[#This Row],[Account]],Accounts[Account nickname],Accounts[Institution ID]),Institutions[ID],Institutions[Institution nickname],"Unknown")</f>
        <v>Discover</v>
      </c>
      <c r="J1318" s="136" t="s">
        <v>2647</v>
      </c>
      <c r="K1318" s="137" t="s">
        <v>843</v>
      </c>
      <c r="L1318" s="137" t="s">
        <v>841</v>
      </c>
      <c r="M131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1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18" s="138" t="str" cm="1">
        <f t="array" ref="O1318">IFERROR(INDEX(CategoriesTable[Category type],MATCH(Table1[[#This Row],[Category]],CategoriesTable[Category name],0),0),"")</f>
        <v/>
      </c>
      <c r="P1318" s="138">
        <v>19</v>
      </c>
      <c r="Q1318" s="138">
        <f>MONTH(Table1[[#This Row],[Date]])</f>
        <v>1</v>
      </c>
      <c r="R1318" s="138">
        <v>2021</v>
      </c>
      <c r="S1318" s="139">
        <f>IF(ISBLANK(Table1[[#This Row],[Date]]),"",Table1[[#This Row],[Date]]-WEEKDAY(Table1[[#This Row],[Date]],2)+1)</f>
        <v>44214</v>
      </c>
      <c r="T1318" s="140">
        <f>IF(ISBLANK(Table1[[#This Row],[Date]]),"",DATE(Table1[[#This Row],[Date_Year]],Table1[[#This Row],[Date_Month]],1))</f>
        <v>44197</v>
      </c>
    </row>
    <row r="1319" spans="2:20" ht="15.75">
      <c r="B1319" s="154">
        <v>44215</v>
      </c>
      <c r="C1319" s="119" t="s">
        <v>704</v>
      </c>
      <c r="D1319" s="119"/>
      <c r="E1319" s="119"/>
      <c r="F1319" s="155">
        <v>-2.86</v>
      </c>
      <c r="G1319" s="133" t="str">
        <f>_xlfn.XLOOKUP(Table1[[#This Row],[Account_ID]], Accounts[ID], Accounts[Account nickname], "Unknown")</f>
        <v>Discover</v>
      </c>
      <c r="H1319" s="134" t="str">
        <f>_xlfn.XLOOKUP(Table1[[#This Row],[Account_ID]], Accounts[ID], Accounts[Account'#], "Unknown")</f>
        <v>4618</v>
      </c>
      <c r="I1319" s="135" t="str">
        <f>_xlfn.XLOOKUP(_xlfn.XLOOKUP(Table1[[#This Row],[Account]],Accounts[Account nickname],Accounts[Institution ID]),Institutions[ID],Institutions[Institution nickname],"Unknown")</f>
        <v>Discover</v>
      </c>
      <c r="J1319" s="136" t="s">
        <v>2644</v>
      </c>
      <c r="K1319" s="137" t="s">
        <v>843</v>
      </c>
      <c r="L1319" s="137" t="s">
        <v>841</v>
      </c>
      <c r="M131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1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19" s="138" t="str" cm="1">
        <f t="array" ref="O1319">IFERROR(INDEX(CategoriesTable[Category type],MATCH(Table1[[#This Row],[Category]],CategoriesTable[Category name],0),0),"")</f>
        <v/>
      </c>
      <c r="P1319" s="138">
        <v>19</v>
      </c>
      <c r="Q1319" s="138">
        <f>MONTH(Table1[[#This Row],[Date]])</f>
        <v>1</v>
      </c>
      <c r="R1319" s="138">
        <v>2021</v>
      </c>
      <c r="S1319" s="139">
        <f>IF(ISBLANK(Table1[[#This Row],[Date]]),"",Table1[[#This Row],[Date]]-WEEKDAY(Table1[[#This Row],[Date]],2)+1)</f>
        <v>44214</v>
      </c>
      <c r="T1319" s="140">
        <f>IF(ISBLANK(Table1[[#This Row],[Date]]),"",DATE(Table1[[#This Row],[Date_Year]],Table1[[#This Row],[Date_Month]],1))</f>
        <v>44197</v>
      </c>
    </row>
    <row r="1320" spans="2:20" ht="15.75">
      <c r="B1320" s="154">
        <v>44215</v>
      </c>
      <c r="C1320" s="119" t="s">
        <v>716</v>
      </c>
      <c r="D1320" s="119"/>
      <c r="E1320" s="119"/>
      <c r="F1320" s="155">
        <v>-8.23</v>
      </c>
      <c r="G1320" s="133" t="str">
        <f>_xlfn.XLOOKUP(Table1[[#This Row],[Account_ID]], Accounts[ID], Accounts[Account nickname], "Unknown")</f>
        <v>Discover</v>
      </c>
      <c r="H1320" s="134" t="str">
        <f>_xlfn.XLOOKUP(Table1[[#This Row],[Account_ID]], Accounts[ID], Accounts[Account'#], "Unknown")</f>
        <v>4618</v>
      </c>
      <c r="I1320" s="135" t="str">
        <f>_xlfn.XLOOKUP(_xlfn.XLOOKUP(Table1[[#This Row],[Account]],Accounts[Account nickname],Accounts[Institution ID]),Institutions[ID],Institutions[Institution nickname],"Unknown")</f>
        <v>Discover</v>
      </c>
      <c r="J1320" s="136" t="s">
        <v>2645</v>
      </c>
      <c r="K1320" s="137" t="s">
        <v>843</v>
      </c>
      <c r="L1320" s="137" t="s">
        <v>841</v>
      </c>
      <c r="M132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2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20" s="138" t="str" cm="1">
        <f t="array" ref="O1320">IFERROR(INDEX(CategoriesTable[Category type],MATCH(Table1[[#This Row],[Category]],CategoriesTable[Category name],0),0),"")</f>
        <v/>
      </c>
      <c r="P1320" s="138">
        <v>19</v>
      </c>
      <c r="Q1320" s="138">
        <f>MONTH(Table1[[#This Row],[Date]])</f>
        <v>1</v>
      </c>
      <c r="R1320" s="138">
        <v>2021</v>
      </c>
      <c r="S1320" s="139">
        <f>IF(ISBLANK(Table1[[#This Row],[Date]]),"",Table1[[#This Row],[Date]]-WEEKDAY(Table1[[#This Row],[Date]],2)+1)</f>
        <v>44214</v>
      </c>
      <c r="T1320" s="140">
        <f>IF(ISBLANK(Table1[[#This Row],[Date]]),"",DATE(Table1[[#This Row],[Date_Year]],Table1[[#This Row],[Date_Month]],1))</f>
        <v>44197</v>
      </c>
    </row>
    <row r="1321" spans="2:20" ht="15.75">
      <c r="B1321" s="154">
        <v>44212</v>
      </c>
      <c r="C1321" s="119" t="s">
        <v>860</v>
      </c>
      <c r="D1321" s="119"/>
      <c r="E1321" s="119"/>
      <c r="F1321" s="155">
        <v>-58.29</v>
      </c>
      <c r="G1321" s="133" t="str">
        <f>_xlfn.XLOOKUP(Table1[[#This Row],[Account_ID]], Accounts[ID], Accounts[Account nickname], "Unknown")</f>
        <v>Discover</v>
      </c>
      <c r="H1321" s="134" t="str">
        <f>_xlfn.XLOOKUP(Table1[[#This Row],[Account_ID]], Accounts[ID], Accounts[Account'#], "Unknown")</f>
        <v>4618</v>
      </c>
      <c r="I1321" s="135" t="str">
        <f>_xlfn.XLOOKUP(_xlfn.XLOOKUP(Table1[[#This Row],[Account]],Accounts[Account nickname],Accounts[Institution ID]),Institutions[ID],Institutions[Institution nickname],"Unknown")</f>
        <v>Discover</v>
      </c>
      <c r="J1321" s="136" t="s">
        <v>2648</v>
      </c>
      <c r="K1321" s="137" t="s">
        <v>843</v>
      </c>
      <c r="L1321" s="137" t="s">
        <v>841</v>
      </c>
      <c r="M132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2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21" s="138" t="str" cm="1">
        <f t="array" ref="O1321">IFERROR(INDEX(CategoriesTable[Category type],MATCH(Table1[[#This Row],[Category]],CategoriesTable[Category name],0),0),"")</f>
        <v/>
      </c>
      <c r="P1321" s="138">
        <v>16</v>
      </c>
      <c r="Q1321" s="138">
        <f>MONTH(Table1[[#This Row],[Date]])</f>
        <v>1</v>
      </c>
      <c r="R1321" s="138">
        <v>2021</v>
      </c>
      <c r="S1321" s="139">
        <f>IF(ISBLANK(Table1[[#This Row],[Date]]),"",Table1[[#This Row],[Date]]-WEEKDAY(Table1[[#This Row],[Date]],2)+1)</f>
        <v>44207</v>
      </c>
      <c r="T1321" s="140">
        <f>IF(ISBLANK(Table1[[#This Row],[Date]]),"",DATE(Table1[[#This Row],[Date_Year]],Table1[[#This Row],[Date_Month]],1))</f>
        <v>44197</v>
      </c>
    </row>
    <row r="1322" spans="2:20" ht="15.75">
      <c r="B1322" s="154">
        <v>44211</v>
      </c>
      <c r="C1322" s="119" t="s">
        <v>845</v>
      </c>
      <c r="D1322" s="119"/>
      <c r="E1322" s="119"/>
      <c r="F1322" s="155">
        <v>729.23</v>
      </c>
      <c r="G1322" s="133" t="str">
        <f>_xlfn.XLOOKUP(Table1[[#This Row],[Account_ID]], Accounts[ID], Accounts[Account nickname], "Unknown")</f>
        <v>Discover</v>
      </c>
      <c r="H1322" s="134" t="str">
        <f>_xlfn.XLOOKUP(Table1[[#This Row],[Account_ID]], Accounts[ID], Accounts[Account'#], "Unknown")</f>
        <v>4618</v>
      </c>
      <c r="I1322" s="135" t="str">
        <f>_xlfn.XLOOKUP(_xlfn.XLOOKUP(Table1[[#This Row],[Account]],Accounts[Account nickname],Accounts[Institution ID]),Institutions[ID],Institutions[Institution nickname],"Unknown")</f>
        <v>Discover</v>
      </c>
      <c r="J1322" s="136" t="s">
        <v>2651</v>
      </c>
      <c r="K1322" s="137" t="s">
        <v>843</v>
      </c>
      <c r="L1322" s="137" t="s">
        <v>841</v>
      </c>
      <c r="M132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2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22" s="138" t="str" cm="1">
        <f t="array" ref="O1322">IFERROR(INDEX(CategoriesTable[Category type],MATCH(Table1[[#This Row],[Category]],CategoriesTable[Category name],0),0),"")</f>
        <v/>
      </c>
      <c r="P1322" s="138">
        <v>15</v>
      </c>
      <c r="Q1322" s="138">
        <f>MONTH(Table1[[#This Row],[Date]])</f>
        <v>1</v>
      </c>
      <c r="R1322" s="138">
        <v>2021</v>
      </c>
      <c r="S1322" s="139">
        <f>IF(ISBLANK(Table1[[#This Row],[Date]]),"",Table1[[#This Row],[Date]]-WEEKDAY(Table1[[#This Row],[Date]],2)+1)</f>
        <v>44207</v>
      </c>
      <c r="T1322" s="140">
        <f>IF(ISBLANK(Table1[[#This Row],[Date]]),"",DATE(Table1[[#This Row],[Date_Year]],Table1[[#This Row],[Date_Month]],1))</f>
        <v>44197</v>
      </c>
    </row>
    <row r="1323" spans="2:20" ht="15.75">
      <c r="B1323" s="154">
        <v>44211</v>
      </c>
      <c r="C1323" s="119" t="s">
        <v>936</v>
      </c>
      <c r="D1323" s="119"/>
      <c r="E1323" s="119"/>
      <c r="F1323" s="155">
        <v>-21.19</v>
      </c>
      <c r="G1323" s="133" t="str">
        <f>_xlfn.XLOOKUP(Table1[[#This Row],[Account_ID]], Accounts[ID], Accounts[Account nickname], "Unknown")</f>
        <v>Discover</v>
      </c>
      <c r="H1323" s="134" t="str">
        <f>_xlfn.XLOOKUP(Table1[[#This Row],[Account_ID]], Accounts[ID], Accounts[Account'#], "Unknown")</f>
        <v>4618</v>
      </c>
      <c r="I1323" s="135" t="str">
        <f>_xlfn.XLOOKUP(_xlfn.XLOOKUP(Table1[[#This Row],[Account]],Accounts[Account nickname],Accounts[Institution ID]),Institutions[ID],Institutions[Institution nickname],"Unknown")</f>
        <v>Discover</v>
      </c>
      <c r="J1323" s="136" t="s">
        <v>2653</v>
      </c>
      <c r="K1323" s="137" t="s">
        <v>843</v>
      </c>
      <c r="L1323" s="137" t="s">
        <v>841</v>
      </c>
      <c r="M132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2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23" s="138" t="str" cm="1">
        <f t="array" ref="O1323">IFERROR(INDEX(CategoriesTable[Category type],MATCH(Table1[[#This Row],[Category]],CategoriesTable[Category name],0),0),"")</f>
        <v/>
      </c>
      <c r="P1323" s="138">
        <v>15</v>
      </c>
      <c r="Q1323" s="138">
        <f>MONTH(Table1[[#This Row],[Date]])</f>
        <v>1</v>
      </c>
      <c r="R1323" s="138">
        <v>2021</v>
      </c>
      <c r="S1323" s="139">
        <f>IF(ISBLANK(Table1[[#This Row],[Date]]),"",Table1[[#This Row],[Date]]-WEEKDAY(Table1[[#This Row],[Date]],2)+1)</f>
        <v>44207</v>
      </c>
      <c r="T1323" s="140">
        <f>IF(ISBLANK(Table1[[#This Row],[Date]]),"",DATE(Table1[[#This Row],[Date_Year]],Table1[[#This Row],[Date_Month]],1))</f>
        <v>44197</v>
      </c>
    </row>
    <row r="1324" spans="2:20" ht="15.75">
      <c r="B1324" s="154">
        <v>44211</v>
      </c>
      <c r="C1324" s="119" t="s">
        <v>1479</v>
      </c>
      <c r="D1324" s="119"/>
      <c r="E1324" s="119"/>
      <c r="F1324" s="155">
        <v>728.15</v>
      </c>
      <c r="G1324" s="133" t="str">
        <f>_xlfn.XLOOKUP(Table1[[#This Row],[Account_ID]], Accounts[ID], Accounts[Account nickname], "Unknown")</f>
        <v>Discover</v>
      </c>
      <c r="H1324" s="134" t="str">
        <f>_xlfn.XLOOKUP(Table1[[#This Row],[Account_ID]], Accounts[ID], Accounts[Account'#], "Unknown")</f>
        <v>4618</v>
      </c>
      <c r="I1324" s="135" t="str">
        <f>_xlfn.XLOOKUP(_xlfn.XLOOKUP(Table1[[#This Row],[Account]],Accounts[Account nickname],Accounts[Institution ID]),Institutions[ID],Institutions[Institution nickname],"Unknown")</f>
        <v>Discover</v>
      </c>
      <c r="J1324" s="136" t="s">
        <v>2650</v>
      </c>
      <c r="K1324" s="137" t="s">
        <v>843</v>
      </c>
      <c r="L1324" s="137" t="s">
        <v>841</v>
      </c>
      <c r="M132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2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24" s="138" t="str" cm="1">
        <f t="array" ref="O1324">IFERROR(INDEX(CategoriesTable[Category type],MATCH(Table1[[#This Row],[Category]],CategoriesTable[Category name],0),0),"")</f>
        <v/>
      </c>
      <c r="P1324" s="138">
        <v>15</v>
      </c>
      <c r="Q1324" s="138">
        <f>MONTH(Table1[[#This Row],[Date]])</f>
        <v>1</v>
      </c>
      <c r="R1324" s="138">
        <v>2021</v>
      </c>
      <c r="S1324" s="139">
        <f>IF(ISBLANK(Table1[[#This Row],[Date]]),"",Table1[[#This Row],[Date]]-WEEKDAY(Table1[[#This Row],[Date]],2)+1)</f>
        <v>44207</v>
      </c>
      <c r="T1324" s="140">
        <f>IF(ISBLANK(Table1[[#This Row],[Date]]),"",DATE(Table1[[#This Row],[Date_Year]],Table1[[#This Row],[Date_Month]],1))</f>
        <v>44197</v>
      </c>
    </row>
    <row r="1325" spans="2:20" ht="15.75">
      <c r="B1325" s="154">
        <v>44211</v>
      </c>
      <c r="C1325" s="119" t="s">
        <v>686</v>
      </c>
      <c r="D1325" s="119"/>
      <c r="E1325" s="119"/>
      <c r="F1325" s="155">
        <v>-729.23</v>
      </c>
      <c r="G1325" s="133" t="str">
        <f>_xlfn.XLOOKUP(Table1[[#This Row],[Account_ID]], Accounts[ID], Accounts[Account nickname], "Unknown")</f>
        <v>WF</v>
      </c>
      <c r="H1325" s="134" t="str">
        <f>_xlfn.XLOOKUP(Table1[[#This Row],[Account_ID]], Accounts[ID], Accounts[Account'#], "Unknown")</f>
        <v>4636</v>
      </c>
      <c r="I1325" s="135" t="str">
        <f>_xlfn.XLOOKUP(_xlfn.XLOOKUP(Table1[[#This Row],[Account]],Accounts[Account nickname],Accounts[Institution ID]),Institutions[ID],Institutions[Institution nickname],"Unknown")</f>
        <v>Wells Fargo</v>
      </c>
      <c r="J1325" s="136" t="s">
        <v>1221</v>
      </c>
      <c r="K1325" s="137" t="s">
        <v>808</v>
      </c>
      <c r="L1325" s="137" t="s">
        <v>807</v>
      </c>
      <c r="M132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2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25" s="138" t="str" cm="1">
        <f t="array" ref="O1325">IFERROR(INDEX(CategoriesTable[Category type],MATCH(Table1[[#This Row],[Category]],CategoriesTable[Category name],0),0),"")</f>
        <v/>
      </c>
      <c r="P1325" s="138">
        <v>15</v>
      </c>
      <c r="Q1325" s="138">
        <f>MONTH(Table1[[#This Row],[Date]])</f>
        <v>1</v>
      </c>
      <c r="R1325" s="138">
        <v>2021</v>
      </c>
      <c r="S1325" s="139">
        <f>IF(ISBLANK(Table1[[#This Row],[Date]]),"",Table1[[#This Row],[Date]]-WEEKDAY(Table1[[#This Row],[Date]],2)+1)</f>
        <v>44207</v>
      </c>
      <c r="T1325" s="140">
        <f>IF(ISBLANK(Table1[[#This Row],[Date]]),"",DATE(Table1[[#This Row],[Date_Year]],Table1[[#This Row],[Date_Month]],1))</f>
        <v>44197</v>
      </c>
    </row>
    <row r="1326" spans="2:20" ht="15.75">
      <c r="B1326" s="154">
        <v>44211</v>
      </c>
      <c r="C1326" s="119" t="s">
        <v>961</v>
      </c>
      <c r="D1326" s="119"/>
      <c r="E1326" s="119"/>
      <c r="F1326" s="155">
        <v>22.18</v>
      </c>
      <c r="G1326" s="133" t="str">
        <f>_xlfn.XLOOKUP(Table1[[#This Row],[Account_ID]], Accounts[ID], Accounts[Account nickname], "Unknown")</f>
        <v>Discover</v>
      </c>
      <c r="H1326" s="134" t="str">
        <f>_xlfn.XLOOKUP(Table1[[#This Row],[Account_ID]], Accounts[ID], Accounts[Account'#], "Unknown")</f>
        <v>4618</v>
      </c>
      <c r="I1326" s="135" t="str">
        <f>_xlfn.XLOOKUP(_xlfn.XLOOKUP(Table1[[#This Row],[Account]],Accounts[Account nickname],Accounts[Institution ID]),Institutions[ID],Institutions[Institution nickname],"Unknown")</f>
        <v>Discover</v>
      </c>
      <c r="J1326" s="136" t="s">
        <v>2649</v>
      </c>
      <c r="K1326" s="137" t="s">
        <v>843</v>
      </c>
      <c r="L1326" s="137" t="s">
        <v>841</v>
      </c>
      <c r="M132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2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26" s="138" t="str" cm="1">
        <f t="array" ref="O1326">IFERROR(INDEX(CategoriesTable[Category type],MATCH(Table1[[#This Row],[Category]],CategoriesTable[Category name],0),0),"")</f>
        <v/>
      </c>
      <c r="P1326" s="138">
        <v>15</v>
      </c>
      <c r="Q1326" s="138">
        <f>MONTH(Table1[[#This Row],[Date]])</f>
        <v>1</v>
      </c>
      <c r="R1326" s="138">
        <v>2021</v>
      </c>
      <c r="S1326" s="139">
        <f>IF(ISBLANK(Table1[[#This Row],[Date]]),"",Table1[[#This Row],[Date]]-WEEKDAY(Table1[[#This Row],[Date]],2)+1)</f>
        <v>44207</v>
      </c>
      <c r="T1326" s="140">
        <f>IF(ISBLANK(Table1[[#This Row],[Date]]),"",DATE(Table1[[#This Row],[Date_Year]],Table1[[#This Row],[Date_Month]],1))</f>
        <v>44197</v>
      </c>
    </row>
    <row r="1327" spans="2:20" ht="15.75">
      <c r="B1327" s="154">
        <v>44211</v>
      </c>
      <c r="C1327" s="119" t="s">
        <v>702</v>
      </c>
      <c r="D1327" s="119"/>
      <c r="E1327" s="119"/>
      <c r="F1327" s="155">
        <v>-4.32</v>
      </c>
      <c r="G1327" s="133" t="str">
        <f>_xlfn.XLOOKUP(Table1[[#This Row],[Account_ID]], Accounts[ID], Accounts[Account nickname], "Unknown")</f>
        <v>Discover</v>
      </c>
      <c r="H1327" s="134" t="str">
        <f>_xlfn.XLOOKUP(Table1[[#This Row],[Account_ID]], Accounts[ID], Accounts[Account'#], "Unknown")</f>
        <v>4618</v>
      </c>
      <c r="I1327" s="135" t="str">
        <f>_xlfn.XLOOKUP(_xlfn.XLOOKUP(Table1[[#This Row],[Account]],Accounts[Account nickname],Accounts[Institution ID]),Institutions[ID],Institutions[Institution nickname],"Unknown")</f>
        <v>Discover</v>
      </c>
      <c r="J1327" s="136" t="s">
        <v>2652</v>
      </c>
      <c r="K1327" s="137" t="s">
        <v>843</v>
      </c>
      <c r="L1327" s="137" t="s">
        <v>841</v>
      </c>
      <c r="M132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2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27" s="138" t="str" cm="1">
        <f t="array" ref="O1327">IFERROR(INDEX(CategoriesTable[Category type],MATCH(Table1[[#This Row],[Category]],CategoriesTable[Category name],0),0),"")</f>
        <v/>
      </c>
      <c r="P1327" s="138">
        <v>15</v>
      </c>
      <c r="Q1327" s="138">
        <f>MONTH(Table1[[#This Row],[Date]])</f>
        <v>1</v>
      </c>
      <c r="R1327" s="138">
        <v>2021</v>
      </c>
      <c r="S1327" s="139">
        <f>IF(ISBLANK(Table1[[#This Row],[Date]]),"",Table1[[#This Row],[Date]]-WEEKDAY(Table1[[#This Row],[Date]],2)+1)</f>
        <v>44207</v>
      </c>
      <c r="T1327" s="140">
        <f>IF(ISBLANK(Table1[[#This Row],[Date]]),"",DATE(Table1[[#This Row],[Date_Year]],Table1[[#This Row],[Date_Month]],1))</f>
        <v>44197</v>
      </c>
    </row>
    <row r="1328" spans="2:20" ht="15.75">
      <c r="B1328" s="154">
        <v>44211</v>
      </c>
      <c r="C1328" s="119" t="s">
        <v>751</v>
      </c>
      <c r="D1328" s="119"/>
      <c r="E1328" s="119"/>
      <c r="F1328" s="155">
        <v>1459.65</v>
      </c>
      <c r="G1328" s="133" t="str">
        <f>_xlfn.XLOOKUP(Table1[[#This Row],[Account_ID]], Accounts[ID], Accounts[Account nickname], "Unknown")</f>
        <v>WF</v>
      </c>
      <c r="H1328" s="134" t="str">
        <f>_xlfn.XLOOKUP(Table1[[#This Row],[Account_ID]], Accounts[ID], Accounts[Account'#], "Unknown")</f>
        <v>4636</v>
      </c>
      <c r="I1328" s="135" t="str">
        <f>_xlfn.XLOOKUP(_xlfn.XLOOKUP(Table1[[#This Row],[Account]],Accounts[Account nickname],Accounts[Institution ID]),Institutions[ID],Institutions[Institution nickname],"Unknown")</f>
        <v>Wells Fargo</v>
      </c>
      <c r="J1328" s="136" t="s">
        <v>1222</v>
      </c>
      <c r="K1328" s="137" t="s">
        <v>808</v>
      </c>
      <c r="L1328" s="137" t="s">
        <v>807</v>
      </c>
      <c r="M132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2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28" s="138" t="str" cm="1">
        <f t="array" ref="O1328">IFERROR(INDEX(CategoriesTable[Category type],MATCH(Table1[[#This Row],[Category]],CategoriesTable[Category name],0),0),"")</f>
        <v/>
      </c>
      <c r="P1328" s="138">
        <v>15</v>
      </c>
      <c r="Q1328" s="138">
        <f>MONTH(Table1[[#This Row],[Date]])</f>
        <v>1</v>
      </c>
      <c r="R1328" s="138">
        <v>2021</v>
      </c>
      <c r="S1328" s="139">
        <f>IF(ISBLANK(Table1[[#This Row],[Date]]),"",Table1[[#This Row],[Date]]-WEEKDAY(Table1[[#This Row],[Date]],2)+1)</f>
        <v>44207</v>
      </c>
      <c r="T1328" s="140">
        <f>IF(ISBLANK(Table1[[#This Row],[Date]]),"",DATE(Table1[[#This Row],[Date_Year]],Table1[[#This Row],[Date_Month]],1))</f>
        <v>44197</v>
      </c>
    </row>
    <row r="1329" spans="2:20" ht="15.75">
      <c r="B1329" s="154">
        <v>44211</v>
      </c>
      <c r="C1329" s="119" t="s">
        <v>724</v>
      </c>
      <c r="D1329" s="119"/>
      <c r="E1329" s="119"/>
      <c r="F1329" s="155">
        <v>-19.399999999999999</v>
      </c>
      <c r="G1329" s="133" t="str">
        <f>_xlfn.XLOOKUP(Table1[[#This Row],[Account_ID]], Accounts[ID], Accounts[Account nickname], "Unknown")</f>
        <v>Discover</v>
      </c>
      <c r="H1329" s="134" t="str">
        <f>_xlfn.XLOOKUP(Table1[[#This Row],[Account_ID]], Accounts[ID], Accounts[Account'#], "Unknown")</f>
        <v>4618</v>
      </c>
      <c r="I1329" s="135" t="str">
        <f>_xlfn.XLOOKUP(_xlfn.XLOOKUP(Table1[[#This Row],[Account]],Accounts[Account nickname],Accounts[Institution ID]),Institutions[ID],Institutions[Institution nickname],"Unknown")</f>
        <v>Discover</v>
      </c>
      <c r="J1329" s="136" t="s">
        <v>2654</v>
      </c>
      <c r="K1329" s="137" t="s">
        <v>843</v>
      </c>
      <c r="L1329" s="137" t="s">
        <v>841</v>
      </c>
      <c r="M132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2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29" s="138" t="str" cm="1">
        <f t="array" ref="O1329">IFERROR(INDEX(CategoriesTable[Category type],MATCH(Table1[[#This Row],[Category]],CategoriesTable[Category name],0),0),"")</f>
        <v/>
      </c>
      <c r="P1329" s="138">
        <v>15</v>
      </c>
      <c r="Q1329" s="138">
        <f>MONTH(Table1[[#This Row],[Date]])</f>
        <v>1</v>
      </c>
      <c r="R1329" s="138">
        <v>2021</v>
      </c>
      <c r="S1329" s="139">
        <f>IF(ISBLANK(Table1[[#This Row],[Date]]),"",Table1[[#This Row],[Date]]-WEEKDAY(Table1[[#This Row],[Date]],2)+1)</f>
        <v>44207</v>
      </c>
      <c r="T1329" s="140">
        <f>IF(ISBLANK(Table1[[#This Row],[Date]]),"",DATE(Table1[[#This Row],[Date_Year]],Table1[[#This Row],[Date_Month]],1))</f>
        <v>44197</v>
      </c>
    </row>
    <row r="1330" spans="2:20" ht="15.75">
      <c r="B1330" s="154">
        <v>44210</v>
      </c>
      <c r="C1330" s="119" t="s">
        <v>713</v>
      </c>
      <c r="D1330" s="119" t="s">
        <v>99</v>
      </c>
      <c r="E1330" s="119"/>
      <c r="F1330" s="155">
        <v>-8.7200000000000006</v>
      </c>
      <c r="G1330" s="133" t="str">
        <f>_xlfn.XLOOKUP(Table1[[#This Row],[Account_ID]], Accounts[ID], Accounts[Account nickname], "Unknown")</f>
        <v>BB</v>
      </c>
      <c r="H1330" s="134" t="str">
        <f>_xlfn.XLOOKUP(Table1[[#This Row],[Account_ID]], Accounts[ID], Accounts[Account'#], "Unknown")</f>
        <v>4561</v>
      </c>
      <c r="I1330" s="135" t="str">
        <f>_xlfn.XLOOKUP(_xlfn.XLOOKUP(Table1[[#This Row],[Account]],Accounts[Account nickname],Accounts[Institution ID]),Institutions[ID],Institutions[Institution nickname],"Unknown")</f>
        <v>Best Buy - Citi Card</v>
      </c>
      <c r="J1330" s="136" t="s">
        <v>2658</v>
      </c>
      <c r="K1330" s="137" t="s">
        <v>1375</v>
      </c>
      <c r="L1330" s="137" t="s">
        <v>1372</v>
      </c>
      <c r="M133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6385c1768b814d3d89087c436c9cab15</v>
      </c>
      <c r="N133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30" s="138" t="str" cm="1">
        <f t="array" ref="O1330">IFERROR(INDEX(CategoriesTable[Category type],MATCH(Table1[[#This Row],[Category]],CategoriesTable[Category name],0),0),"")</f>
        <v>Expense</v>
      </c>
      <c r="P1330" s="138">
        <v>14</v>
      </c>
      <c r="Q1330" s="138">
        <f>MONTH(Table1[[#This Row],[Date]])</f>
        <v>1</v>
      </c>
      <c r="R1330" s="138">
        <v>2021</v>
      </c>
      <c r="S1330" s="139">
        <f>IF(ISBLANK(Table1[[#This Row],[Date]]),"",Table1[[#This Row],[Date]]-WEEKDAY(Table1[[#This Row],[Date]],2)+1)</f>
        <v>44207</v>
      </c>
      <c r="T1330" s="140">
        <f>IF(ISBLANK(Table1[[#This Row],[Date]]),"",DATE(Table1[[#This Row],[Date_Year]],Table1[[#This Row],[Date_Month]],1))</f>
        <v>44197</v>
      </c>
    </row>
    <row r="1331" spans="2:20" ht="15.75">
      <c r="B1331" s="154">
        <v>44210</v>
      </c>
      <c r="C1331" s="119" t="s">
        <v>704</v>
      </c>
      <c r="D1331" s="119" t="s">
        <v>103</v>
      </c>
      <c r="E1331" s="119"/>
      <c r="F1331" s="155">
        <v>-4.42</v>
      </c>
      <c r="G1331" s="133" t="str">
        <f>_xlfn.XLOOKUP(Table1[[#This Row],[Account_ID]], Accounts[ID], Accounts[Account nickname], "Unknown")</f>
        <v>BB</v>
      </c>
      <c r="H1331" s="134" t="str">
        <f>_xlfn.XLOOKUP(Table1[[#This Row],[Account_ID]], Accounts[ID], Accounts[Account'#], "Unknown")</f>
        <v>4561</v>
      </c>
      <c r="I1331" s="135" t="str">
        <f>_xlfn.XLOOKUP(_xlfn.XLOOKUP(Table1[[#This Row],[Account]],Accounts[Account nickname],Accounts[Institution ID]),Institutions[ID],Institutions[Institution nickname],"Unknown")</f>
        <v>Best Buy - Citi Card</v>
      </c>
      <c r="J1331" s="136" t="s">
        <v>2657</v>
      </c>
      <c r="K1331" s="137" t="s">
        <v>1375</v>
      </c>
      <c r="L1331" s="137" t="s">
        <v>1372</v>
      </c>
      <c r="M133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fca5dd8329b743f7b77704e23a1e63ad</v>
      </c>
      <c r="N133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31" s="138" t="str" cm="1">
        <f t="array" ref="O1331">IFERROR(INDEX(CategoriesTable[Category type],MATCH(Table1[[#This Row],[Category]],CategoriesTable[Category name],0),0),"")</f>
        <v>Expense</v>
      </c>
      <c r="P1331" s="138">
        <v>14</v>
      </c>
      <c r="Q1331" s="138">
        <f>MONTH(Table1[[#This Row],[Date]])</f>
        <v>1</v>
      </c>
      <c r="R1331" s="138">
        <v>2021</v>
      </c>
      <c r="S1331" s="139">
        <f>IF(ISBLANK(Table1[[#This Row],[Date]]),"",Table1[[#This Row],[Date]]-WEEKDAY(Table1[[#This Row],[Date]],2)+1)</f>
        <v>44207</v>
      </c>
      <c r="T1331" s="140">
        <f>IF(ISBLANK(Table1[[#This Row],[Date]]),"",DATE(Table1[[#This Row],[Date_Year]],Table1[[#This Row],[Date_Month]],1))</f>
        <v>44197</v>
      </c>
    </row>
    <row r="1332" spans="2:20" ht="15.75">
      <c r="B1332" s="154">
        <v>44210</v>
      </c>
      <c r="C1332" s="119" t="s">
        <v>2661</v>
      </c>
      <c r="D1332" s="119" t="s">
        <v>103</v>
      </c>
      <c r="E1332" s="119"/>
      <c r="F1332" s="155">
        <v>-116.46</v>
      </c>
      <c r="G1332" s="133" t="str">
        <f>_xlfn.XLOOKUP(Table1[[#This Row],[Account_ID]], Accounts[ID], Accounts[Account nickname], "Unknown")</f>
        <v>BB</v>
      </c>
      <c r="H1332" s="134" t="str">
        <f>_xlfn.XLOOKUP(Table1[[#This Row],[Account_ID]], Accounts[ID], Accounts[Account'#], "Unknown")</f>
        <v>4561</v>
      </c>
      <c r="I1332" s="135" t="str">
        <f>_xlfn.XLOOKUP(_xlfn.XLOOKUP(Table1[[#This Row],[Account]],Accounts[Account nickname],Accounts[Institution ID]),Institutions[ID],Institutions[Institution nickname],"Unknown")</f>
        <v>Best Buy - Citi Card</v>
      </c>
      <c r="J1332" s="136" t="s">
        <v>2662</v>
      </c>
      <c r="K1332" s="137" t="s">
        <v>1375</v>
      </c>
      <c r="L1332" s="137" t="s">
        <v>1372</v>
      </c>
      <c r="M133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fca5dd8329b743f7b77704e23a1e63ad</v>
      </c>
      <c r="N133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32" s="138" t="str" cm="1">
        <f t="array" ref="O1332">IFERROR(INDEX(CategoriesTable[Category type],MATCH(Table1[[#This Row],[Category]],CategoriesTable[Category name],0),0),"")</f>
        <v>Expense</v>
      </c>
      <c r="P1332" s="138">
        <v>14</v>
      </c>
      <c r="Q1332" s="138">
        <f>MONTH(Table1[[#This Row],[Date]])</f>
        <v>1</v>
      </c>
      <c r="R1332" s="138">
        <v>2021</v>
      </c>
      <c r="S1332" s="139">
        <f>IF(ISBLANK(Table1[[#This Row],[Date]]),"",Table1[[#This Row],[Date]]-WEEKDAY(Table1[[#This Row],[Date]],2)+1)</f>
        <v>44207</v>
      </c>
      <c r="T1332" s="140">
        <f>IF(ISBLANK(Table1[[#This Row],[Date]]),"",DATE(Table1[[#This Row],[Date_Year]],Table1[[#This Row],[Date_Month]],1))</f>
        <v>44197</v>
      </c>
    </row>
    <row r="1333" spans="2:20" ht="15.75">
      <c r="B1333" s="154">
        <v>44210</v>
      </c>
      <c r="C1333" s="119" t="s">
        <v>2655</v>
      </c>
      <c r="D1333" s="119" t="s">
        <v>103</v>
      </c>
      <c r="E1333" s="119"/>
      <c r="F1333" s="155">
        <v>-19.989999999999998</v>
      </c>
      <c r="G1333" s="133" t="str">
        <f>_xlfn.XLOOKUP(Table1[[#This Row],[Account_ID]], Accounts[ID], Accounts[Account nickname], "Unknown")</f>
        <v>BB</v>
      </c>
      <c r="H1333" s="134" t="str">
        <f>_xlfn.XLOOKUP(Table1[[#This Row],[Account_ID]], Accounts[ID], Accounts[Account'#], "Unknown")</f>
        <v>4561</v>
      </c>
      <c r="I1333" s="135" t="str">
        <f>_xlfn.XLOOKUP(_xlfn.XLOOKUP(Table1[[#This Row],[Account]],Accounts[Account nickname],Accounts[Institution ID]),Institutions[ID],Institutions[Institution nickname],"Unknown")</f>
        <v>Best Buy - Citi Card</v>
      </c>
      <c r="J1333" s="136" t="s">
        <v>2656</v>
      </c>
      <c r="K1333" s="137" t="s">
        <v>1375</v>
      </c>
      <c r="L1333" s="137" t="s">
        <v>1372</v>
      </c>
      <c r="M133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fca5dd8329b743f7b77704e23a1e63ad</v>
      </c>
      <c r="N133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33" s="138" t="str" cm="1">
        <f t="array" ref="O1333">IFERROR(INDEX(CategoriesTable[Category type],MATCH(Table1[[#This Row],[Category]],CategoriesTable[Category name],0),0),"")</f>
        <v>Expense</v>
      </c>
      <c r="P1333" s="138">
        <v>14</v>
      </c>
      <c r="Q1333" s="138">
        <f>MONTH(Table1[[#This Row],[Date]])</f>
        <v>1</v>
      </c>
      <c r="R1333" s="138">
        <v>2021</v>
      </c>
      <c r="S1333" s="139">
        <f>IF(ISBLANK(Table1[[#This Row],[Date]]),"",Table1[[#This Row],[Date]]-WEEKDAY(Table1[[#This Row],[Date]],2)+1)</f>
        <v>44207</v>
      </c>
      <c r="T1333" s="140">
        <f>IF(ISBLANK(Table1[[#This Row],[Date]]),"",DATE(Table1[[#This Row],[Date_Year]],Table1[[#This Row],[Date_Month]],1))</f>
        <v>44197</v>
      </c>
    </row>
    <row r="1334" spans="2:20" ht="15.75">
      <c r="B1334" s="154">
        <v>44210</v>
      </c>
      <c r="C1334" s="119" t="s">
        <v>2659</v>
      </c>
      <c r="D1334" s="119" t="s">
        <v>80</v>
      </c>
      <c r="E1334" s="119"/>
      <c r="F1334" s="155">
        <v>-7.88</v>
      </c>
      <c r="G1334" s="133" t="str">
        <f>_xlfn.XLOOKUP(Table1[[#This Row],[Account_ID]], Accounts[ID], Accounts[Account nickname], "Unknown")</f>
        <v>BB</v>
      </c>
      <c r="H1334" s="134" t="str">
        <f>_xlfn.XLOOKUP(Table1[[#This Row],[Account_ID]], Accounts[ID], Accounts[Account'#], "Unknown")</f>
        <v>4561</v>
      </c>
      <c r="I1334" s="135" t="str">
        <f>_xlfn.XLOOKUP(_xlfn.XLOOKUP(Table1[[#This Row],[Account]],Accounts[Account nickname],Accounts[Institution ID]),Institutions[ID],Institutions[Institution nickname],"Unknown")</f>
        <v>Best Buy - Citi Card</v>
      </c>
      <c r="J1334" s="136" t="s">
        <v>2660</v>
      </c>
      <c r="K1334" s="137" t="s">
        <v>1375</v>
      </c>
      <c r="L1334" s="137" t="s">
        <v>1372</v>
      </c>
      <c r="M133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9fa283df10474311b55af8d4cf39d146</v>
      </c>
      <c r="N133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34" s="138" t="str" cm="1">
        <f t="array" ref="O1334">IFERROR(INDEX(CategoriesTable[Category type],MATCH(Table1[[#This Row],[Category]],CategoriesTable[Category name],0),0),"")</f>
        <v>Expense</v>
      </c>
      <c r="P1334" s="138">
        <v>14</v>
      </c>
      <c r="Q1334" s="138">
        <f>MONTH(Table1[[#This Row],[Date]])</f>
        <v>1</v>
      </c>
      <c r="R1334" s="138">
        <v>2021</v>
      </c>
      <c r="S1334" s="139">
        <f>IF(ISBLANK(Table1[[#This Row],[Date]]),"",Table1[[#This Row],[Date]]-WEEKDAY(Table1[[#This Row],[Date]],2)+1)</f>
        <v>44207</v>
      </c>
      <c r="T1334" s="140">
        <f>IF(ISBLANK(Table1[[#This Row],[Date]]),"",DATE(Table1[[#This Row],[Date_Year]],Table1[[#This Row],[Date_Month]],1))</f>
        <v>44197</v>
      </c>
    </row>
    <row r="1335" spans="2:20" ht="15.75">
      <c r="B1335" s="154">
        <v>44209</v>
      </c>
      <c r="C1335" s="119" t="s">
        <v>2663</v>
      </c>
      <c r="D1335" s="119" t="s">
        <v>103</v>
      </c>
      <c r="E1335" s="119"/>
      <c r="F1335" s="155">
        <v>199.14</v>
      </c>
      <c r="G1335" s="133" t="str">
        <f>_xlfn.XLOOKUP(Table1[[#This Row],[Account_ID]], Accounts[ID], Accounts[Account nickname], "Unknown")</f>
        <v>BB</v>
      </c>
      <c r="H1335" s="134" t="str">
        <f>_xlfn.XLOOKUP(Table1[[#This Row],[Account_ID]], Accounts[ID], Accounts[Account'#], "Unknown")</f>
        <v>4561</v>
      </c>
      <c r="I1335" s="135" t="str">
        <f>_xlfn.XLOOKUP(_xlfn.XLOOKUP(Table1[[#This Row],[Account]],Accounts[Account nickname],Accounts[Institution ID]),Institutions[ID],Institutions[Institution nickname],"Unknown")</f>
        <v>Best Buy - Citi Card</v>
      </c>
      <c r="J1335" s="136" t="s">
        <v>2664</v>
      </c>
      <c r="K1335" s="137" t="s">
        <v>1375</v>
      </c>
      <c r="L1335" s="137" t="s">
        <v>1372</v>
      </c>
      <c r="M133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fca5dd8329b743f7b77704e23a1e63ad</v>
      </c>
      <c r="N133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35" s="138" t="str" cm="1">
        <f t="array" ref="O1335">IFERROR(INDEX(CategoriesTable[Category type],MATCH(Table1[[#This Row],[Category]],CategoriesTable[Category name],0),0),"")</f>
        <v>Expense</v>
      </c>
      <c r="P1335" s="138">
        <v>13</v>
      </c>
      <c r="Q1335" s="138">
        <f>MONTH(Table1[[#This Row],[Date]])</f>
        <v>1</v>
      </c>
      <c r="R1335" s="138">
        <v>2021</v>
      </c>
      <c r="S1335" s="139">
        <f>IF(ISBLANK(Table1[[#This Row],[Date]]),"",Table1[[#This Row],[Date]]-WEEKDAY(Table1[[#This Row],[Date]],2)+1)</f>
        <v>44207</v>
      </c>
      <c r="T1335" s="140">
        <f>IF(ISBLANK(Table1[[#This Row],[Date]]),"",DATE(Table1[[#This Row],[Date_Year]],Table1[[#This Row],[Date_Month]],1))</f>
        <v>44197</v>
      </c>
    </row>
    <row r="1336" spans="2:20" ht="15.75">
      <c r="B1336" s="154">
        <v>44208</v>
      </c>
      <c r="C1336" s="119" t="s">
        <v>2666</v>
      </c>
      <c r="D1336" s="119"/>
      <c r="E1336" s="119"/>
      <c r="F1336" s="155">
        <v>-3.33</v>
      </c>
      <c r="G1336" s="133" t="str">
        <f>_xlfn.XLOOKUP(Table1[[#This Row],[Account_ID]], Accounts[ID], Accounts[Account nickname], "Unknown")</f>
        <v>Discover</v>
      </c>
      <c r="H1336" s="134" t="str">
        <f>_xlfn.XLOOKUP(Table1[[#This Row],[Account_ID]], Accounts[ID], Accounts[Account'#], "Unknown")</f>
        <v>4618</v>
      </c>
      <c r="I1336" s="135" t="str">
        <f>_xlfn.XLOOKUP(_xlfn.XLOOKUP(Table1[[#This Row],[Account]],Accounts[Account nickname],Accounts[Institution ID]),Institutions[ID],Institutions[Institution nickname],"Unknown")</f>
        <v>Discover</v>
      </c>
      <c r="J1336" s="136" t="s">
        <v>2667</v>
      </c>
      <c r="K1336" s="137" t="s">
        <v>843</v>
      </c>
      <c r="L1336" s="137" t="s">
        <v>841</v>
      </c>
      <c r="M133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3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36" s="138" t="str" cm="1">
        <f t="array" ref="O1336">IFERROR(INDEX(CategoriesTable[Category type],MATCH(Table1[[#This Row],[Category]],CategoriesTable[Category name],0),0),"")</f>
        <v/>
      </c>
      <c r="P1336" s="138">
        <v>12</v>
      </c>
      <c r="Q1336" s="138">
        <f>MONTH(Table1[[#This Row],[Date]])</f>
        <v>1</v>
      </c>
      <c r="R1336" s="138">
        <v>2021</v>
      </c>
      <c r="S1336" s="139">
        <f>IF(ISBLANK(Table1[[#This Row],[Date]]),"",Table1[[#This Row],[Date]]-WEEKDAY(Table1[[#This Row],[Date]],2)+1)</f>
        <v>44207</v>
      </c>
      <c r="T1336" s="140">
        <f>IF(ISBLANK(Table1[[#This Row],[Date]]),"",DATE(Table1[[#This Row],[Date_Year]],Table1[[#This Row],[Date_Month]],1))</f>
        <v>44197</v>
      </c>
    </row>
    <row r="1337" spans="2:20" ht="15.75">
      <c r="B1337" s="154">
        <v>44208</v>
      </c>
      <c r="C1337" s="119" t="s">
        <v>708</v>
      </c>
      <c r="D1337" s="119"/>
      <c r="E1337" s="119"/>
      <c r="F1337" s="155">
        <v>-23.27</v>
      </c>
      <c r="G1337" s="133" t="str">
        <f>_xlfn.XLOOKUP(Table1[[#This Row],[Account_ID]], Accounts[ID], Accounts[Account nickname], "Unknown")</f>
        <v>Discover</v>
      </c>
      <c r="H1337" s="134" t="str">
        <f>_xlfn.XLOOKUP(Table1[[#This Row],[Account_ID]], Accounts[ID], Accounts[Account'#], "Unknown")</f>
        <v>4618</v>
      </c>
      <c r="I1337" s="135" t="str">
        <f>_xlfn.XLOOKUP(_xlfn.XLOOKUP(Table1[[#This Row],[Account]],Accounts[Account nickname],Accounts[Institution ID]),Institutions[ID],Institutions[Institution nickname],"Unknown")</f>
        <v>Discover</v>
      </c>
      <c r="J1337" s="136" t="s">
        <v>2665</v>
      </c>
      <c r="K1337" s="137" t="s">
        <v>843</v>
      </c>
      <c r="L1337" s="137" t="s">
        <v>841</v>
      </c>
      <c r="M133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3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37" s="138" t="str" cm="1">
        <f t="array" ref="O1337">IFERROR(INDEX(CategoriesTable[Category type],MATCH(Table1[[#This Row],[Category]],CategoriesTable[Category name],0),0),"")</f>
        <v/>
      </c>
      <c r="P1337" s="138">
        <v>12</v>
      </c>
      <c r="Q1337" s="138">
        <f>MONTH(Table1[[#This Row],[Date]])</f>
        <v>1</v>
      </c>
      <c r="R1337" s="138">
        <v>2021</v>
      </c>
      <c r="S1337" s="139">
        <f>IF(ISBLANK(Table1[[#This Row],[Date]]),"",Table1[[#This Row],[Date]]-WEEKDAY(Table1[[#This Row],[Date]],2)+1)</f>
        <v>44207</v>
      </c>
      <c r="T1337" s="140">
        <f>IF(ISBLANK(Table1[[#This Row],[Date]]),"",DATE(Table1[[#This Row],[Date_Year]],Table1[[#This Row],[Date_Month]],1))</f>
        <v>44197</v>
      </c>
    </row>
    <row r="1338" spans="2:20" ht="15.75">
      <c r="B1338" s="154">
        <v>44208</v>
      </c>
      <c r="C1338" s="119" t="s">
        <v>1500</v>
      </c>
      <c r="D1338" s="119"/>
      <c r="E1338" s="119"/>
      <c r="F1338" s="155">
        <v>-1.99</v>
      </c>
      <c r="G1338" s="133" t="str">
        <f>_xlfn.XLOOKUP(Table1[[#This Row],[Account_ID]], Accounts[ID], Accounts[Account nickname], "Unknown")</f>
        <v>Discover</v>
      </c>
      <c r="H1338" s="134" t="str">
        <f>_xlfn.XLOOKUP(Table1[[#This Row],[Account_ID]], Accounts[ID], Accounts[Account'#], "Unknown")</f>
        <v>4618</v>
      </c>
      <c r="I1338" s="135" t="str">
        <f>_xlfn.XLOOKUP(_xlfn.XLOOKUP(Table1[[#This Row],[Account]],Accounts[Account nickname],Accounts[Institution ID]),Institutions[ID],Institutions[Institution nickname],"Unknown")</f>
        <v>Discover</v>
      </c>
      <c r="J1338" s="136" t="s">
        <v>2668</v>
      </c>
      <c r="K1338" s="137" t="s">
        <v>843</v>
      </c>
      <c r="L1338" s="137" t="s">
        <v>841</v>
      </c>
      <c r="M133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3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38" s="138" t="str" cm="1">
        <f t="array" ref="O1338">IFERROR(INDEX(CategoriesTable[Category type],MATCH(Table1[[#This Row],[Category]],CategoriesTable[Category name],0),0),"")</f>
        <v/>
      </c>
      <c r="P1338" s="138">
        <v>12</v>
      </c>
      <c r="Q1338" s="138">
        <f>MONTH(Table1[[#This Row],[Date]])</f>
        <v>1</v>
      </c>
      <c r="R1338" s="138">
        <v>2021</v>
      </c>
      <c r="S1338" s="139">
        <f>IF(ISBLANK(Table1[[#This Row],[Date]]),"",Table1[[#This Row],[Date]]-WEEKDAY(Table1[[#This Row],[Date]],2)+1)</f>
        <v>44207</v>
      </c>
      <c r="T1338" s="140">
        <f>IF(ISBLANK(Table1[[#This Row],[Date]]),"",DATE(Table1[[#This Row],[Date_Year]],Table1[[#This Row],[Date_Month]],1))</f>
        <v>44197</v>
      </c>
    </row>
    <row r="1339" spans="2:20" ht="15.75">
      <c r="B1339" s="154">
        <v>44207</v>
      </c>
      <c r="C1339" s="119" t="s">
        <v>2671</v>
      </c>
      <c r="D1339" s="119"/>
      <c r="E1339" s="119"/>
      <c r="F1339" s="155">
        <v>-49</v>
      </c>
      <c r="G1339" s="133" t="str">
        <f>_xlfn.XLOOKUP(Table1[[#This Row],[Account_ID]], Accounts[ID], Accounts[Account nickname], "Unknown")</f>
        <v>Discover</v>
      </c>
      <c r="H1339" s="134" t="str">
        <f>_xlfn.XLOOKUP(Table1[[#This Row],[Account_ID]], Accounts[ID], Accounts[Account'#], "Unknown")</f>
        <v>4618</v>
      </c>
      <c r="I1339" s="135" t="str">
        <f>_xlfn.XLOOKUP(_xlfn.XLOOKUP(Table1[[#This Row],[Account]],Accounts[Account nickname],Accounts[Institution ID]),Institutions[ID],Institutions[Institution nickname],"Unknown")</f>
        <v>Discover</v>
      </c>
      <c r="J1339" s="136" t="s">
        <v>2672</v>
      </c>
      <c r="K1339" s="137" t="s">
        <v>843</v>
      </c>
      <c r="L1339" s="137" t="s">
        <v>841</v>
      </c>
      <c r="M133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3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39" s="138" t="str" cm="1">
        <f t="array" ref="O1339">IFERROR(INDEX(CategoriesTable[Category type],MATCH(Table1[[#This Row],[Category]],CategoriesTable[Category name],0),0),"")</f>
        <v/>
      </c>
      <c r="P1339" s="138">
        <v>11</v>
      </c>
      <c r="Q1339" s="138">
        <f>MONTH(Table1[[#This Row],[Date]])</f>
        <v>1</v>
      </c>
      <c r="R1339" s="138">
        <v>2021</v>
      </c>
      <c r="S1339" s="139">
        <f>IF(ISBLANK(Table1[[#This Row],[Date]]),"",Table1[[#This Row],[Date]]-WEEKDAY(Table1[[#This Row],[Date]],2)+1)</f>
        <v>44207</v>
      </c>
      <c r="T1339" s="140">
        <f>IF(ISBLANK(Table1[[#This Row],[Date]]),"",DATE(Table1[[#This Row],[Date_Year]],Table1[[#This Row],[Date_Month]],1))</f>
        <v>44197</v>
      </c>
    </row>
    <row r="1340" spans="2:20" ht="15.75">
      <c r="B1340" s="154">
        <v>44207</v>
      </c>
      <c r="C1340" s="119" t="s">
        <v>2669</v>
      </c>
      <c r="D1340" s="119"/>
      <c r="E1340" s="119"/>
      <c r="F1340" s="155">
        <v>-103</v>
      </c>
      <c r="G1340" s="133" t="str">
        <f>_xlfn.XLOOKUP(Table1[[#This Row],[Account_ID]], Accounts[ID], Accounts[Account nickname], "Unknown")</f>
        <v>Discover</v>
      </c>
      <c r="H1340" s="134" t="str">
        <f>_xlfn.XLOOKUP(Table1[[#This Row],[Account_ID]], Accounts[ID], Accounts[Account'#], "Unknown")</f>
        <v>4618</v>
      </c>
      <c r="I1340" s="135" t="str">
        <f>_xlfn.XLOOKUP(_xlfn.XLOOKUP(Table1[[#This Row],[Account]],Accounts[Account nickname],Accounts[Institution ID]),Institutions[ID],Institutions[Institution nickname],"Unknown")</f>
        <v>Discover</v>
      </c>
      <c r="J1340" s="136" t="s">
        <v>2670</v>
      </c>
      <c r="K1340" s="137" t="s">
        <v>843</v>
      </c>
      <c r="L1340" s="137" t="s">
        <v>841</v>
      </c>
      <c r="M134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4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40" s="138" t="str" cm="1">
        <f t="array" ref="O1340">IFERROR(INDEX(CategoriesTable[Category type],MATCH(Table1[[#This Row],[Category]],CategoriesTable[Category name],0),0),"")</f>
        <v/>
      </c>
      <c r="P1340" s="138">
        <v>11</v>
      </c>
      <c r="Q1340" s="138">
        <f>MONTH(Table1[[#This Row],[Date]])</f>
        <v>1</v>
      </c>
      <c r="R1340" s="138">
        <v>2021</v>
      </c>
      <c r="S1340" s="139">
        <f>IF(ISBLANK(Table1[[#This Row],[Date]]),"",Table1[[#This Row],[Date]]-WEEKDAY(Table1[[#This Row],[Date]],2)+1)</f>
        <v>44207</v>
      </c>
      <c r="T1340" s="140">
        <f>IF(ISBLANK(Table1[[#This Row],[Date]]),"",DATE(Table1[[#This Row],[Date_Year]],Table1[[#This Row],[Date_Month]],1))</f>
        <v>44197</v>
      </c>
    </row>
    <row r="1341" spans="2:20" ht="15.75">
      <c r="B1341" s="154">
        <v>44206</v>
      </c>
      <c r="C1341" s="119" t="s">
        <v>910</v>
      </c>
      <c r="D1341" s="119"/>
      <c r="E1341" s="119"/>
      <c r="F1341" s="155">
        <v>-14.99</v>
      </c>
      <c r="G1341" s="133" t="str">
        <f>_xlfn.XLOOKUP(Table1[[#This Row],[Account_ID]], Accounts[ID], Accounts[Account nickname], "Unknown")</f>
        <v>Discover</v>
      </c>
      <c r="H1341" s="134" t="str">
        <f>_xlfn.XLOOKUP(Table1[[#This Row],[Account_ID]], Accounts[ID], Accounts[Account'#], "Unknown")</f>
        <v>4618</v>
      </c>
      <c r="I1341" s="135" t="str">
        <f>_xlfn.XLOOKUP(_xlfn.XLOOKUP(Table1[[#This Row],[Account]],Accounts[Account nickname],Accounts[Institution ID]),Institutions[ID],Institutions[Institution nickname],"Unknown")</f>
        <v>Discover</v>
      </c>
      <c r="J1341" s="136" t="s">
        <v>2673</v>
      </c>
      <c r="K1341" s="137" t="s">
        <v>843</v>
      </c>
      <c r="L1341" s="137" t="s">
        <v>841</v>
      </c>
      <c r="M134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4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41" s="138" t="str" cm="1">
        <f t="array" ref="O1341">IFERROR(INDEX(CategoriesTable[Category type],MATCH(Table1[[#This Row],[Category]],CategoriesTable[Category name],0),0),"")</f>
        <v/>
      </c>
      <c r="P1341" s="138">
        <v>10</v>
      </c>
      <c r="Q1341" s="138">
        <f>MONTH(Table1[[#This Row],[Date]])</f>
        <v>1</v>
      </c>
      <c r="R1341" s="138">
        <v>2021</v>
      </c>
      <c r="S1341" s="139">
        <f>IF(ISBLANK(Table1[[#This Row],[Date]]),"",Table1[[#This Row],[Date]]-WEEKDAY(Table1[[#This Row],[Date]],2)+1)</f>
        <v>44200</v>
      </c>
      <c r="T1341" s="140">
        <f>IF(ISBLANK(Table1[[#This Row],[Date]]),"",DATE(Table1[[#This Row],[Date_Year]],Table1[[#This Row],[Date_Month]],1))</f>
        <v>44197</v>
      </c>
    </row>
    <row r="1342" spans="2:20" ht="15.75">
      <c r="B1342" s="154">
        <v>44206</v>
      </c>
      <c r="C1342" s="119" t="s">
        <v>2674</v>
      </c>
      <c r="D1342" s="119"/>
      <c r="E1342" s="119"/>
      <c r="F1342" s="155">
        <v>-14.47</v>
      </c>
      <c r="G1342" s="133" t="str">
        <f>_xlfn.XLOOKUP(Table1[[#This Row],[Account_ID]], Accounts[ID], Accounts[Account nickname], "Unknown")</f>
        <v>Discover</v>
      </c>
      <c r="H1342" s="134" t="str">
        <f>_xlfn.XLOOKUP(Table1[[#This Row],[Account_ID]], Accounts[ID], Accounts[Account'#], "Unknown")</f>
        <v>4618</v>
      </c>
      <c r="I1342" s="135" t="str">
        <f>_xlfn.XLOOKUP(_xlfn.XLOOKUP(Table1[[#This Row],[Account]],Accounts[Account nickname],Accounts[Institution ID]),Institutions[ID],Institutions[Institution nickname],"Unknown")</f>
        <v>Discover</v>
      </c>
      <c r="J1342" s="136" t="s">
        <v>2676</v>
      </c>
      <c r="K1342" s="137" t="s">
        <v>843</v>
      </c>
      <c r="L1342" s="137" t="s">
        <v>841</v>
      </c>
      <c r="M134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4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42" s="138" t="str" cm="1">
        <f t="array" ref="O1342">IFERROR(INDEX(CategoriesTable[Category type],MATCH(Table1[[#This Row],[Category]],CategoriesTable[Category name],0),0),"")</f>
        <v/>
      </c>
      <c r="P1342" s="138">
        <v>10</v>
      </c>
      <c r="Q1342" s="138">
        <f>MONTH(Table1[[#This Row],[Date]])</f>
        <v>1</v>
      </c>
      <c r="R1342" s="138">
        <v>2021</v>
      </c>
      <c r="S1342" s="139">
        <f>IF(ISBLANK(Table1[[#This Row],[Date]]),"",Table1[[#This Row],[Date]]-WEEKDAY(Table1[[#This Row],[Date]],2)+1)</f>
        <v>44200</v>
      </c>
      <c r="T1342" s="140">
        <f>IF(ISBLANK(Table1[[#This Row],[Date]]),"",DATE(Table1[[#This Row],[Date_Year]],Table1[[#This Row],[Date_Month]],1))</f>
        <v>44197</v>
      </c>
    </row>
    <row r="1343" spans="2:20" ht="15.75">
      <c r="B1343" s="154">
        <v>44206</v>
      </c>
      <c r="C1343" s="119" t="s">
        <v>724</v>
      </c>
      <c r="D1343" s="119"/>
      <c r="E1343" s="119"/>
      <c r="F1343" s="155">
        <v>-74.16</v>
      </c>
      <c r="G1343" s="133" t="str">
        <f>_xlfn.XLOOKUP(Table1[[#This Row],[Account_ID]], Accounts[ID], Accounts[Account nickname], "Unknown")</f>
        <v>Discover</v>
      </c>
      <c r="H1343" s="134" t="str">
        <f>_xlfn.XLOOKUP(Table1[[#This Row],[Account_ID]], Accounts[ID], Accounts[Account'#], "Unknown")</f>
        <v>4618</v>
      </c>
      <c r="I1343" s="135" t="str">
        <f>_xlfn.XLOOKUP(_xlfn.XLOOKUP(Table1[[#This Row],[Account]],Accounts[Account nickname],Accounts[Institution ID]),Institutions[ID],Institutions[Institution nickname],"Unknown")</f>
        <v>Discover</v>
      </c>
      <c r="J1343" s="136" t="s">
        <v>2677</v>
      </c>
      <c r="K1343" s="137" t="s">
        <v>843</v>
      </c>
      <c r="L1343" s="137" t="s">
        <v>841</v>
      </c>
      <c r="M134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4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43" s="138" t="str" cm="1">
        <f t="array" ref="O1343">IFERROR(INDEX(CategoriesTable[Category type],MATCH(Table1[[#This Row],[Category]],CategoriesTable[Category name],0),0),"")</f>
        <v/>
      </c>
      <c r="P1343" s="138">
        <v>10</v>
      </c>
      <c r="Q1343" s="138">
        <f>MONTH(Table1[[#This Row],[Date]])</f>
        <v>1</v>
      </c>
      <c r="R1343" s="138">
        <v>2021</v>
      </c>
      <c r="S1343" s="139">
        <f>IF(ISBLANK(Table1[[#This Row],[Date]]),"",Table1[[#This Row],[Date]]-WEEKDAY(Table1[[#This Row],[Date]],2)+1)</f>
        <v>44200</v>
      </c>
      <c r="T1343" s="140">
        <f>IF(ISBLANK(Table1[[#This Row],[Date]]),"",DATE(Table1[[#This Row],[Date_Year]],Table1[[#This Row],[Date_Month]],1))</f>
        <v>44197</v>
      </c>
    </row>
    <row r="1344" spans="2:20" ht="15.75">
      <c r="B1344" s="154">
        <v>44206</v>
      </c>
      <c r="C1344" s="119" t="s">
        <v>2674</v>
      </c>
      <c r="D1344" s="119"/>
      <c r="E1344" s="119"/>
      <c r="F1344" s="155">
        <v>-11.45</v>
      </c>
      <c r="G1344" s="133" t="str">
        <f>_xlfn.XLOOKUP(Table1[[#This Row],[Account_ID]], Accounts[ID], Accounts[Account nickname], "Unknown")</f>
        <v>Discover</v>
      </c>
      <c r="H1344" s="134" t="str">
        <f>_xlfn.XLOOKUP(Table1[[#This Row],[Account_ID]], Accounts[ID], Accounts[Account'#], "Unknown")</f>
        <v>4618</v>
      </c>
      <c r="I1344" s="135" t="str">
        <f>_xlfn.XLOOKUP(_xlfn.XLOOKUP(Table1[[#This Row],[Account]],Accounts[Account nickname],Accounts[Institution ID]),Institutions[ID],Institutions[Institution nickname],"Unknown")</f>
        <v>Discover</v>
      </c>
      <c r="J1344" s="136" t="s">
        <v>2675</v>
      </c>
      <c r="K1344" s="137" t="s">
        <v>843</v>
      </c>
      <c r="L1344" s="137" t="s">
        <v>841</v>
      </c>
      <c r="M134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4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44" s="138" t="str" cm="1">
        <f t="array" ref="O1344">IFERROR(INDEX(CategoriesTable[Category type],MATCH(Table1[[#This Row],[Category]],CategoriesTable[Category name],0),0),"")</f>
        <v/>
      </c>
      <c r="P1344" s="138">
        <v>10</v>
      </c>
      <c r="Q1344" s="138">
        <f>MONTH(Table1[[#This Row],[Date]])</f>
        <v>1</v>
      </c>
      <c r="R1344" s="138">
        <v>2021</v>
      </c>
      <c r="S1344" s="139">
        <f>IF(ISBLANK(Table1[[#This Row],[Date]]),"",Table1[[#This Row],[Date]]-WEEKDAY(Table1[[#This Row],[Date]],2)+1)</f>
        <v>44200</v>
      </c>
      <c r="T1344" s="140">
        <f>IF(ISBLANK(Table1[[#This Row],[Date]]),"",DATE(Table1[[#This Row],[Date_Year]],Table1[[#This Row],[Date_Month]],1))</f>
        <v>44197</v>
      </c>
    </row>
    <row r="1345" spans="2:20" ht="15.75">
      <c r="B1345" s="154">
        <v>44205</v>
      </c>
      <c r="C1345" s="119" t="s">
        <v>724</v>
      </c>
      <c r="D1345" s="119"/>
      <c r="E1345" s="119"/>
      <c r="F1345" s="155">
        <v>-37.5</v>
      </c>
      <c r="G1345" s="133" t="str">
        <f>_xlfn.XLOOKUP(Table1[[#This Row],[Account_ID]], Accounts[ID], Accounts[Account nickname], "Unknown")</f>
        <v>Discover</v>
      </c>
      <c r="H1345" s="134" t="str">
        <f>_xlfn.XLOOKUP(Table1[[#This Row],[Account_ID]], Accounts[ID], Accounts[Account'#], "Unknown")</f>
        <v>4618</v>
      </c>
      <c r="I1345" s="135" t="str">
        <f>_xlfn.XLOOKUP(_xlfn.XLOOKUP(Table1[[#This Row],[Account]],Accounts[Account nickname],Accounts[Institution ID]),Institutions[ID],Institutions[Institution nickname],"Unknown")</f>
        <v>Discover</v>
      </c>
      <c r="J1345" s="136" t="s">
        <v>2680</v>
      </c>
      <c r="K1345" s="137" t="s">
        <v>843</v>
      </c>
      <c r="L1345" s="137" t="s">
        <v>841</v>
      </c>
      <c r="M134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4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45" s="138" t="str" cm="1">
        <f t="array" ref="O1345">IFERROR(INDEX(CategoriesTable[Category type],MATCH(Table1[[#This Row],[Category]],CategoriesTable[Category name],0),0),"")</f>
        <v/>
      </c>
      <c r="P1345" s="138">
        <v>9</v>
      </c>
      <c r="Q1345" s="138">
        <f>MONTH(Table1[[#This Row],[Date]])</f>
        <v>1</v>
      </c>
      <c r="R1345" s="138">
        <v>2021</v>
      </c>
      <c r="S1345" s="139">
        <f>IF(ISBLANK(Table1[[#This Row],[Date]]),"",Table1[[#This Row],[Date]]-WEEKDAY(Table1[[#This Row],[Date]],2)+1)</f>
        <v>44200</v>
      </c>
      <c r="T1345" s="140">
        <f>IF(ISBLANK(Table1[[#This Row],[Date]]),"",DATE(Table1[[#This Row],[Date_Year]],Table1[[#This Row],[Date_Month]],1))</f>
        <v>44197</v>
      </c>
    </row>
    <row r="1346" spans="2:20" ht="15.75">
      <c r="B1346" s="154">
        <v>44205</v>
      </c>
      <c r="C1346" s="119" t="s">
        <v>2678</v>
      </c>
      <c r="D1346" s="119"/>
      <c r="E1346" s="119"/>
      <c r="F1346" s="155">
        <v>-30</v>
      </c>
      <c r="G1346" s="133" t="str">
        <f>_xlfn.XLOOKUP(Table1[[#This Row],[Account_ID]], Accounts[ID], Accounts[Account nickname], "Unknown")</f>
        <v>Discover</v>
      </c>
      <c r="H1346" s="134" t="str">
        <f>_xlfn.XLOOKUP(Table1[[#This Row],[Account_ID]], Accounts[ID], Accounts[Account'#], "Unknown")</f>
        <v>4618</v>
      </c>
      <c r="I1346" s="135" t="str">
        <f>_xlfn.XLOOKUP(_xlfn.XLOOKUP(Table1[[#This Row],[Account]],Accounts[Account nickname],Accounts[Institution ID]),Institutions[ID],Institutions[Institution nickname],"Unknown")</f>
        <v>Discover</v>
      </c>
      <c r="J1346" s="136" t="s">
        <v>2679</v>
      </c>
      <c r="K1346" s="137" t="s">
        <v>843</v>
      </c>
      <c r="L1346" s="137" t="s">
        <v>841</v>
      </c>
      <c r="M134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4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46" s="138" t="str" cm="1">
        <f t="array" ref="O1346">IFERROR(INDEX(CategoriesTable[Category type],MATCH(Table1[[#This Row],[Category]],CategoriesTable[Category name],0),0),"")</f>
        <v/>
      </c>
      <c r="P1346" s="138">
        <v>9</v>
      </c>
      <c r="Q1346" s="138">
        <f>MONTH(Table1[[#This Row],[Date]])</f>
        <v>1</v>
      </c>
      <c r="R1346" s="138">
        <v>2021</v>
      </c>
      <c r="S1346" s="139">
        <f>IF(ISBLANK(Table1[[#This Row],[Date]]),"",Table1[[#This Row],[Date]]-WEEKDAY(Table1[[#This Row],[Date]],2)+1)</f>
        <v>44200</v>
      </c>
      <c r="T1346" s="140">
        <f>IF(ISBLANK(Table1[[#This Row],[Date]]),"",DATE(Table1[[#This Row],[Date_Year]],Table1[[#This Row],[Date_Month]],1))</f>
        <v>44197</v>
      </c>
    </row>
    <row r="1347" spans="2:20" ht="15.75">
      <c r="B1347" s="154">
        <v>44204</v>
      </c>
      <c r="C1347" s="119" t="s">
        <v>2684</v>
      </c>
      <c r="D1347" s="119" t="s">
        <v>103</v>
      </c>
      <c r="E1347" s="119"/>
      <c r="F1347" s="155">
        <v>-199.14</v>
      </c>
      <c r="G1347" s="133" t="str">
        <f>_xlfn.XLOOKUP(Table1[[#This Row],[Account_ID]], Accounts[ID], Accounts[Account nickname], "Unknown")</f>
        <v>BB</v>
      </c>
      <c r="H1347" s="134" t="str">
        <f>_xlfn.XLOOKUP(Table1[[#This Row],[Account_ID]], Accounts[ID], Accounts[Account'#], "Unknown")</f>
        <v>4561</v>
      </c>
      <c r="I1347" s="135" t="str">
        <f>_xlfn.XLOOKUP(_xlfn.XLOOKUP(Table1[[#This Row],[Account]],Accounts[Account nickname],Accounts[Institution ID]),Institutions[ID],Institutions[Institution nickname],"Unknown")</f>
        <v>Best Buy - Citi Card</v>
      </c>
      <c r="J1347" s="136" t="s">
        <v>2685</v>
      </c>
      <c r="K1347" s="137" t="s">
        <v>1375</v>
      </c>
      <c r="L1347" s="137" t="s">
        <v>1372</v>
      </c>
      <c r="M134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fca5dd8329b743f7b77704e23a1e63ad</v>
      </c>
      <c r="N134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47" s="138" t="str" cm="1">
        <f t="array" ref="O1347">IFERROR(INDEX(CategoriesTable[Category type],MATCH(Table1[[#This Row],[Category]],CategoriesTable[Category name],0),0),"")</f>
        <v>Expense</v>
      </c>
      <c r="P1347" s="138">
        <v>8</v>
      </c>
      <c r="Q1347" s="138">
        <f>MONTH(Table1[[#This Row],[Date]])</f>
        <v>1</v>
      </c>
      <c r="R1347" s="138">
        <v>2021</v>
      </c>
      <c r="S1347" s="139">
        <f>IF(ISBLANK(Table1[[#This Row],[Date]]),"",Table1[[#This Row],[Date]]-WEEKDAY(Table1[[#This Row],[Date]],2)+1)</f>
        <v>44200</v>
      </c>
      <c r="T1347" s="140">
        <f>IF(ISBLANK(Table1[[#This Row],[Date]]),"",DATE(Table1[[#This Row],[Date_Year]],Table1[[#This Row],[Date_Month]],1))</f>
        <v>44197</v>
      </c>
    </row>
    <row r="1348" spans="2:20" ht="15.75">
      <c r="B1348" s="154">
        <v>44204</v>
      </c>
      <c r="C1348" s="119" t="s">
        <v>2682</v>
      </c>
      <c r="D1348" s="119"/>
      <c r="E1348" s="119"/>
      <c r="F1348" s="155">
        <v>-40.51</v>
      </c>
      <c r="G1348" s="133" t="str">
        <f>_xlfn.XLOOKUP(Table1[[#This Row],[Account_ID]], Accounts[ID], Accounts[Account nickname], "Unknown")</f>
        <v>Discover</v>
      </c>
      <c r="H1348" s="134" t="str">
        <f>_xlfn.XLOOKUP(Table1[[#This Row],[Account_ID]], Accounts[ID], Accounts[Account'#], "Unknown")</f>
        <v>4618</v>
      </c>
      <c r="I1348" s="135" t="str">
        <f>_xlfn.XLOOKUP(_xlfn.XLOOKUP(Table1[[#This Row],[Account]],Accounts[Account nickname],Accounts[Institution ID]),Institutions[ID],Institutions[Institution nickname],"Unknown")</f>
        <v>Discover</v>
      </c>
      <c r="J1348" s="136" t="s">
        <v>2683</v>
      </c>
      <c r="K1348" s="137" t="s">
        <v>843</v>
      </c>
      <c r="L1348" s="137" t="s">
        <v>841</v>
      </c>
      <c r="M134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4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48" s="138" t="str" cm="1">
        <f t="array" ref="O1348">IFERROR(INDEX(CategoriesTable[Category type],MATCH(Table1[[#This Row],[Category]],CategoriesTable[Category name],0),0),"")</f>
        <v/>
      </c>
      <c r="P1348" s="138">
        <v>8</v>
      </c>
      <c r="Q1348" s="138">
        <f>MONTH(Table1[[#This Row],[Date]])</f>
        <v>1</v>
      </c>
      <c r="R1348" s="138">
        <v>2021</v>
      </c>
      <c r="S1348" s="139">
        <f>IF(ISBLANK(Table1[[#This Row],[Date]]),"",Table1[[#This Row],[Date]]-WEEKDAY(Table1[[#This Row],[Date]],2)+1)</f>
        <v>44200</v>
      </c>
      <c r="T1348" s="140">
        <f>IF(ISBLANK(Table1[[#This Row],[Date]]),"",DATE(Table1[[#This Row],[Date_Year]],Table1[[#This Row],[Date_Month]],1))</f>
        <v>44197</v>
      </c>
    </row>
    <row r="1349" spans="2:20" ht="15.75">
      <c r="B1349" s="154">
        <v>44204</v>
      </c>
      <c r="C1349" s="119" t="s">
        <v>704</v>
      </c>
      <c r="D1349" s="119"/>
      <c r="E1349" s="119"/>
      <c r="F1349" s="155">
        <v>-3.37</v>
      </c>
      <c r="G1349" s="133" t="str">
        <f>_xlfn.XLOOKUP(Table1[[#This Row],[Account_ID]], Accounts[ID], Accounts[Account nickname], "Unknown")</f>
        <v>Discover</v>
      </c>
      <c r="H1349" s="134" t="str">
        <f>_xlfn.XLOOKUP(Table1[[#This Row],[Account_ID]], Accounts[ID], Accounts[Account'#], "Unknown")</f>
        <v>4618</v>
      </c>
      <c r="I1349" s="135" t="str">
        <f>_xlfn.XLOOKUP(_xlfn.XLOOKUP(Table1[[#This Row],[Account]],Accounts[Account nickname],Accounts[Institution ID]),Institutions[ID],Institutions[Institution nickname],"Unknown")</f>
        <v>Discover</v>
      </c>
      <c r="J1349" s="136" t="s">
        <v>2681</v>
      </c>
      <c r="K1349" s="137" t="s">
        <v>843</v>
      </c>
      <c r="L1349" s="137" t="s">
        <v>841</v>
      </c>
      <c r="M134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4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49" s="138" t="str" cm="1">
        <f t="array" ref="O1349">IFERROR(INDEX(CategoriesTable[Category type],MATCH(Table1[[#This Row],[Category]],CategoriesTable[Category name],0),0),"")</f>
        <v/>
      </c>
      <c r="P1349" s="138">
        <v>8</v>
      </c>
      <c r="Q1349" s="138">
        <f>MONTH(Table1[[#This Row],[Date]])</f>
        <v>1</v>
      </c>
      <c r="R1349" s="138">
        <v>2021</v>
      </c>
      <c r="S1349" s="139">
        <f>IF(ISBLANK(Table1[[#This Row],[Date]]),"",Table1[[#This Row],[Date]]-WEEKDAY(Table1[[#This Row],[Date]],2)+1)</f>
        <v>44200</v>
      </c>
      <c r="T1349" s="140">
        <f>IF(ISBLANK(Table1[[#This Row],[Date]]),"",DATE(Table1[[#This Row],[Date_Year]],Table1[[#This Row],[Date_Month]],1))</f>
        <v>44197</v>
      </c>
    </row>
    <row r="1350" spans="2:20" ht="15.75">
      <c r="B1350" s="154">
        <v>44203</v>
      </c>
      <c r="C1350" s="119" t="s">
        <v>2590</v>
      </c>
      <c r="D1350" s="119"/>
      <c r="E1350" s="119"/>
      <c r="F1350" s="155">
        <v>-14.52</v>
      </c>
      <c r="G1350" s="133" t="str">
        <f>_xlfn.XLOOKUP(Table1[[#This Row],[Account_ID]], Accounts[ID], Accounts[Account nickname], "Unknown")</f>
        <v>Discover</v>
      </c>
      <c r="H1350" s="134" t="str">
        <f>_xlfn.XLOOKUP(Table1[[#This Row],[Account_ID]], Accounts[ID], Accounts[Account'#], "Unknown")</f>
        <v>4618</v>
      </c>
      <c r="I1350" s="135" t="str">
        <f>_xlfn.XLOOKUP(_xlfn.XLOOKUP(Table1[[#This Row],[Account]],Accounts[Account nickname],Accounts[Institution ID]),Institutions[ID],Institutions[Institution nickname],"Unknown")</f>
        <v>Discover</v>
      </c>
      <c r="J1350" s="136" t="s">
        <v>2690</v>
      </c>
      <c r="K1350" s="137" t="s">
        <v>843</v>
      </c>
      <c r="L1350" s="137" t="s">
        <v>841</v>
      </c>
      <c r="M135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5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50" s="138" t="str" cm="1">
        <f t="array" ref="O1350">IFERROR(INDEX(CategoriesTable[Category type],MATCH(Table1[[#This Row],[Category]],CategoriesTable[Category name],0),0),"")</f>
        <v/>
      </c>
      <c r="P1350" s="138">
        <v>7</v>
      </c>
      <c r="Q1350" s="138">
        <f>MONTH(Table1[[#This Row],[Date]])</f>
        <v>1</v>
      </c>
      <c r="R1350" s="138">
        <v>2021</v>
      </c>
      <c r="S1350" s="139">
        <f>IF(ISBLANK(Table1[[#This Row],[Date]]),"",Table1[[#This Row],[Date]]-WEEKDAY(Table1[[#This Row],[Date]],2)+1)</f>
        <v>44200</v>
      </c>
      <c r="T1350" s="140">
        <f>IF(ISBLANK(Table1[[#This Row],[Date]]),"",DATE(Table1[[#This Row],[Date_Year]],Table1[[#This Row],[Date_Month]],1))</f>
        <v>44197</v>
      </c>
    </row>
    <row r="1351" spans="2:20" ht="15.75">
      <c r="B1351" s="154">
        <v>44203</v>
      </c>
      <c r="C1351" s="119" t="s">
        <v>2688</v>
      </c>
      <c r="D1351" s="119"/>
      <c r="E1351" s="119"/>
      <c r="F1351" s="155">
        <v>-44</v>
      </c>
      <c r="G1351" s="133" t="str">
        <f>_xlfn.XLOOKUP(Table1[[#This Row],[Account_ID]], Accounts[ID], Accounts[Account nickname], "Unknown")</f>
        <v>Discover</v>
      </c>
      <c r="H1351" s="134" t="str">
        <f>_xlfn.XLOOKUP(Table1[[#This Row],[Account_ID]], Accounts[ID], Accounts[Account'#], "Unknown")</f>
        <v>4618</v>
      </c>
      <c r="I1351" s="135" t="str">
        <f>_xlfn.XLOOKUP(_xlfn.XLOOKUP(Table1[[#This Row],[Account]],Accounts[Account nickname],Accounts[Institution ID]),Institutions[ID],Institutions[Institution nickname],"Unknown")</f>
        <v>Discover</v>
      </c>
      <c r="J1351" s="136" t="s">
        <v>2689</v>
      </c>
      <c r="K1351" s="137" t="s">
        <v>843</v>
      </c>
      <c r="L1351" s="137" t="s">
        <v>841</v>
      </c>
      <c r="M135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5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51" s="138" t="str" cm="1">
        <f t="array" ref="O1351">IFERROR(INDEX(CategoriesTable[Category type],MATCH(Table1[[#This Row],[Category]],CategoriesTable[Category name],0),0),"")</f>
        <v/>
      </c>
      <c r="P1351" s="138">
        <v>7</v>
      </c>
      <c r="Q1351" s="138">
        <f>MONTH(Table1[[#This Row],[Date]])</f>
        <v>1</v>
      </c>
      <c r="R1351" s="138">
        <v>2021</v>
      </c>
      <c r="S1351" s="139">
        <f>IF(ISBLANK(Table1[[#This Row],[Date]]),"",Table1[[#This Row],[Date]]-WEEKDAY(Table1[[#This Row],[Date]],2)+1)</f>
        <v>44200</v>
      </c>
      <c r="T1351" s="140">
        <f>IF(ISBLANK(Table1[[#This Row],[Date]]),"",DATE(Table1[[#This Row],[Date_Year]],Table1[[#This Row],[Date_Month]],1))</f>
        <v>44197</v>
      </c>
    </row>
    <row r="1352" spans="2:20" ht="15.75">
      <c r="B1352" s="154">
        <v>44203</v>
      </c>
      <c r="C1352" s="119" t="s">
        <v>2686</v>
      </c>
      <c r="D1352" s="119"/>
      <c r="E1352" s="119"/>
      <c r="F1352" s="155">
        <v>-12.09</v>
      </c>
      <c r="G1352" s="133" t="str">
        <f>_xlfn.XLOOKUP(Table1[[#This Row],[Account_ID]], Accounts[ID], Accounts[Account nickname], "Unknown")</f>
        <v>Discover</v>
      </c>
      <c r="H1352" s="134" t="str">
        <f>_xlfn.XLOOKUP(Table1[[#This Row],[Account_ID]], Accounts[ID], Accounts[Account'#], "Unknown")</f>
        <v>4618</v>
      </c>
      <c r="I1352" s="135" t="str">
        <f>_xlfn.XLOOKUP(_xlfn.XLOOKUP(Table1[[#This Row],[Account]],Accounts[Account nickname],Accounts[Institution ID]),Institutions[ID],Institutions[Institution nickname],"Unknown")</f>
        <v>Discover</v>
      </c>
      <c r="J1352" s="136" t="s">
        <v>2687</v>
      </c>
      <c r="K1352" s="137" t="s">
        <v>843</v>
      </c>
      <c r="L1352" s="137" t="s">
        <v>841</v>
      </c>
      <c r="M135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5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52" s="138" t="str" cm="1">
        <f t="array" ref="O1352">IFERROR(INDEX(CategoriesTable[Category type],MATCH(Table1[[#This Row],[Category]],CategoriesTable[Category name],0),0),"")</f>
        <v/>
      </c>
      <c r="P1352" s="138">
        <v>7</v>
      </c>
      <c r="Q1352" s="138">
        <f>MONTH(Table1[[#This Row],[Date]])</f>
        <v>1</v>
      </c>
      <c r="R1352" s="138">
        <v>2021</v>
      </c>
      <c r="S1352" s="139">
        <f>IF(ISBLANK(Table1[[#This Row],[Date]]),"",Table1[[#This Row],[Date]]-WEEKDAY(Table1[[#This Row],[Date]],2)+1)</f>
        <v>44200</v>
      </c>
      <c r="T1352" s="140">
        <f>IF(ISBLANK(Table1[[#This Row],[Date]]),"",DATE(Table1[[#This Row],[Date_Year]],Table1[[#This Row],[Date_Month]],1))</f>
        <v>44197</v>
      </c>
    </row>
    <row r="1353" spans="2:20" ht="15.75">
      <c r="B1353" s="154">
        <v>44202</v>
      </c>
      <c r="C1353" s="119" t="s">
        <v>2590</v>
      </c>
      <c r="D1353" s="119"/>
      <c r="E1353" s="119"/>
      <c r="F1353" s="155">
        <v>-24.24</v>
      </c>
      <c r="G1353" s="133" t="str">
        <f>_xlfn.XLOOKUP(Table1[[#This Row],[Account_ID]], Accounts[ID], Accounts[Account nickname], "Unknown")</f>
        <v>Discover</v>
      </c>
      <c r="H1353" s="134" t="str">
        <f>_xlfn.XLOOKUP(Table1[[#This Row],[Account_ID]], Accounts[ID], Accounts[Account'#], "Unknown")</f>
        <v>4618</v>
      </c>
      <c r="I1353" s="135" t="str">
        <f>_xlfn.XLOOKUP(_xlfn.XLOOKUP(Table1[[#This Row],[Account]],Accounts[Account nickname],Accounts[Institution ID]),Institutions[ID],Institutions[Institution nickname],"Unknown")</f>
        <v>Discover</v>
      </c>
      <c r="J1353" s="136" t="s">
        <v>2695</v>
      </c>
      <c r="K1353" s="137" t="s">
        <v>843</v>
      </c>
      <c r="L1353" s="137" t="s">
        <v>841</v>
      </c>
      <c r="M135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5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53" s="138" t="str" cm="1">
        <f t="array" ref="O1353">IFERROR(INDEX(CategoriesTable[Category type],MATCH(Table1[[#This Row],[Category]],CategoriesTable[Category name],0),0),"")</f>
        <v/>
      </c>
      <c r="P1353" s="138">
        <v>6</v>
      </c>
      <c r="Q1353" s="138">
        <f>MONTH(Table1[[#This Row],[Date]])</f>
        <v>1</v>
      </c>
      <c r="R1353" s="138">
        <v>2021</v>
      </c>
      <c r="S1353" s="139">
        <f>IF(ISBLANK(Table1[[#This Row],[Date]]),"",Table1[[#This Row],[Date]]-WEEKDAY(Table1[[#This Row],[Date]],2)+1)</f>
        <v>44200</v>
      </c>
      <c r="T1353" s="140">
        <f>IF(ISBLANK(Table1[[#This Row],[Date]]),"",DATE(Table1[[#This Row],[Date_Year]],Table1[[#This Row],[Date_Month]],1))</f>
        <v>44197</v>
      </c>
    </row>
    <row r="1354" spans="2:20" ht="15.75">
      <c r="B1354" s="154">
        <v>44202</v>
      </c>
      <c r="C1354" s="119" t="s">
        <v>2691</v>
      </c>
      <c r="D1354" s="119"/>
      <c r="E1354" s="119"/>
      <c r="F1354" s="155">
        <v>-24.95</v>
      </c>
      <c r="G1354" s="133" t="str">
        <f>_xlfn.XLOOKUP(Table1[[#This Row],[Account_ID]], Accounts[ID], Accounts[Account nickname], "Unknown")</f>
        <v>Discover</v>
      </c>
      <c r="H1354" s="134" t="str">
        <f>_xlfn.XLOOKUP(Table1[[#This Row],[Account_ID]], Accounts[ID], Accounts[Account'#], "Unknown")</f>
        <v>4618</v>
      </c>
      <c r="I1354" s="135" t="str">
        <f>_xlfn.XLOOKUP(_xlfn.XLOOKUP(Table1[[#This Row],[Account]],Accounts[Account nickname],Accounts[Institution ID]),Institutions[ID],Institutions[Institution nickname],"Unknown")</f>
        <v>Discover</v>
      </c>
      <c r="J1354" s="136" t="s">
        <v>2692</v>
      </c>
      <c r="K1354" s="137" t="s">
        <v>843</v>
      </c>
      <c r="L1354" s="137" t="s">
        <v>841</v>
      </c>
      <c r="M135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5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54" s="138" t="str" cm="1">
        <f t="array" ref="O1354">IFERROR(INDEX(CategoriesTable[Category type],MATCH(Table1[[#This Row],[Category]],CategoriesTable[Category name],0),0),"")</f>
        <v/>
      </c>
      <c r="P1354" s="138">
        <v>6</v>
      </c>
      <c r="Q1354" s="138">
        <f>MONTH(Table1[[#This Row],[Date]])</f>
        <v>1</v>
      </c>
      <c r="R1354" s="138">
        <v>2021</v>
      </c>
      <c r="S1354" s="139">
        <f>IF(ISBLANK(Table1[[#This Row],[Date]]),"",Table1[[#This Row],[Date]]-WEEKDAY(Table1[[#This Row],[Date]],2)+1)</f>
        <v>44200</v>
      </c>
      <c r="T1354" s="140">
        <f>IF(ISBLANK(Table1[[#This Row],[Date]]),"",DATE(Table1[[#This Row],[Date_Year]],Table1[[#This Row],[Date_Month]],1))</f>
        <v>44197</v>
      </c>
    </row>
    <row r="1355" spans="2:20" ht="15.75">
      <c r="B1355" s="154">
        <v>44202</v>
      </c>
      <c r="C1355" s="119" t="s">
        <v>2693</v>
      </c>
      <c r="D1355" s="119"/>
      <c r="E1355" s="119"/>
      <c r="F1355" s="155">
        <v>-30</v>
      </c>
      <c r="G1355" s="133" t="str">
        <f>_xlfn.XLOOKUP(Table1[[#This Row],[Account_ID]], Accounts[ID], Accounts[Account nickname], "Unknown")</f>
        <v>Discover</v>
      </c>
      <c r="H1355" s="134" t="str">
        <f>_xlfn.XLOOKUP(Table1[[#This Row],[Account_ID]], Accounts[ID], Accounts[Account'#], "Unknown")</f>
        <v>4618</v>
      </c>
      <c r="I1355" s="135" t="str">
        <f>_xlfn.XLOOKUP(_xlfn.XLOOKUP(Table1[[#This Row],[Account]],Accounts[Account nickname],Accounts[Institution ID]),Institutions[ID],Institutions[Institution nickname],"Unknown")</f>
        <v>Discover</v>
      </c>
      <c r="J1355" s="136" t="s">
        <v>2694</v>
      </c>
      <c r="K1355" s="137" t="s">
        <v>843</v>
      </c>
      <c r="L1355" s="137" t="s">
        <v>841</v>
      </c>
      <c r="M135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5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55" s="138" t="str" cm="1">
        <f t="array" ref="O1355">IFERROR(INDEX(CategoriesTable[Category type],MATCH(Table1[[#This Row],[Category]],CategoriesTable[Category name],0),0),"")</f>
        <v/>
      </c>
      <c r="P1355" s="138">
        <v>6</v>
      </c>
      <c r="Q1355" s="138">
        <f>MONTH(Table1[[#This Row],[Date]])</f>
        <v>1</v>
      </c>
      <c r="R1355" s="138">
        <v>2021</v>
      </c>
      <c r="S1355" s="139">
        <f>IF(ISBLANK(Table1[[#This Row],[Date]]),"",Table1[[#This Row],[Date]]-WEEKDAY(Table1[[#This Row],[Date]],2)+1)</f>
        <v>44200</v>
      </c>
      <c r="T1355" s="140">
        <f>IF(ISBLANK(Table1[[#This Row],[Date]]),"",DATE(Table1[[#This Row],[Date_Year]],Table1[[#This Row],[Date_Month]],1))</f>
        <v>44197</v>
      </c>
    </row>
    <row r="1356" spans="2:20" ht="15.75">
      <c r="B1356" s="154">
        <v>44201</v>
      </c>
      <c r="C1356" s="119" t="s">
        <v>707</v>
      </c>
      <c r="D1356" s="119"/>
      <c r="E1356" s="119"/>
      <c r="F1356" s="155">
        <v>-19.989999999999998</v>
      </c>
      <c r="G1356" s="133" t="str">
        <f>_xlfn.XLOOKUP(Table1[[#This Row],[Account_ID]], Accounts[ID], Accounts[Account nickname], "Unknown")</f>
        <v>Discover</v>
      </c>
      <c r="H1356" s="134" t="str">
        <f>_xlfn.XLOOKUP(Table1[[#This Row],[Account_ID]], Accounts[ID], Accounts[Account'#], "Unknown")</f>
        <v>4618</v>
      </c>
      <c r="I1356" s="135" t="str">
        <f>_xlfn.XLOOKUP(_xlfn.XLOOKUP(Table1[[#This Row],[Account]],Accounts[Account nickname],Accounts[Institution ID]),Institutions[ID],Institutions[Institution nickname],"Unknown")</f>
        <v>Discover</v>
      </c>
      <c r="J1356" s="136" t="s">
        <v>2698</v>
      </c>
      <c r="K1356" s="137" t="s">
        <v>843</v>
      </c>
      <c r="L1356" s="137" t="s">
        <v>841</v>
      </c>
      <c r="M135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5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56" s="138" t="str" cm="1">
        <f t="array" ref="O1356">IFERROR(INDEX(CategoriesTable[Category type],MATCH(Table1[[#This Row],[Category]],CategoriesTable[Category name],0),0),"")</f>
        <v/>
      </c>
      <c r="P1356" s="138">
        <v>5</v>
      </c>
      <c r="Q1356" s="138">
        <f>MONTH(Table1[[#This Row],[Date]])</f>
        <v>1</v>
      </c>
      <c r="R1356" s="138">
        <v>2021</v>
      </c>
      <c r="S1356" s="139">
        <f>IF(ISBLANK(Table1[[#This Row],[Date]]),"",Table1[[#This Row],[Date]]-WEEKDAY(Table1[[#This Row],[Date]],2)+1)</f>
        <v>44200</v>
      </c>
      <c r="T1356" s="140">
        <f>IF(ISBLANK(Table1[[#This Row],[Date]]),"",DATE(Table1[[#This Row],[Date_Year]],Table1[[#This Row],[Date_Month]],1))</f>
        <v>44197</v>
      </c>
    </row>
    <row r="1357" spans="2:20" ht="15.75">
      <c r="B1357" s="154">
        <v>44201</v>
      </c>
      <c r="C1357" s="119" t="s">
        <v>1403</v>
      </c>
      <c r="D1357" s="119"/>
      <c r="E1357" s="119"/>
      <c r="F1357" s="155">
        <v>-91.78</v>
      </c>
      <c r="G1357" s="133" t="str">
        <f>_xlfn.XLOOKUP(Table1[[#This Row],[Account_ID]], Accounts[ID], Accounts[Account nickname], "Unknown")</f>
        <v>Discover</v>
      </c>
      <c r="H1357" s="134" t="str">
        <f>_xlfn.XLOOKUP(Table1[[#This Row],[Account_ID]], Accounts[ID], Accounts[Account'#], "Unknown")</f>
        <v>4618</v>
      </c>
      <c r="I1357" s="135" t="str">
        <f>_xlfn.XLOOKUP(_xlfn.XLOOKUP(Table1[[#This Row],[Account]],Accounts[Account nickname],Accounts[Institution ID]),Institutions[ID],Institutions[Institution nickname],"Unknown")</f>
        <v>Discover</v>
      </c>
      <c r="J1357" s="136" t="s">
        <v>2697</v>
      </c>
      <c r="K1357" s="137" t="s">
        <v>843</v>
      </c>
      <c r="L1357" s="137" t="s">
        <v>841</v>
      </c>
      <c r="M135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5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57" s="138" t="str" cm="1">
        <f t="array" ref="O1357">IFERROR(INDEX(CategoriesTable[Category type],MATCH(Table1[[#This Row],[Category]],CategoriesTable[Category name],0),0),"")</f>
        <v/>
      </c>
      <c r="P1357" s="138">
        <v>5</v>
      </c>
      <c r="Q1357" s="138">
        <f>MONTH(Table1[[#This Row],[Date]])</f>
        <v>1</v>
      </c>
      <c r="R1357" s="138">
        <v>2021</v>
      </c>
      <c r="S1357" s="139">
        <f>IF(ISBLANK(Table1[[#This Row],[Date]]),"",Table1[[#This Row],[Date]]-WEEKDAY(Table1[[#This Row],[Date]],2)+1)</f>
        <v>44200</v>
      </c>
      <c r="T1357" s="140">
        <f>IF(ISBLANK(Table1[[#This Row],[Date]]),"",DATE(Table1[[#This Row],[Date_Year]],Table1[[#This Row],[Date_Month]],1))</f>
        <v>44197</v>
      </c>
    </row>
    <row r="1358" spans="2:20" ht="15.75">
      <c r="B1358" s="154">
        <v>44201</v>
      </c>
      <c r="C1358" s="119" t="s">
        <v>1618</v>
      </c>
      <c r="D1358" s="119"/>
      <c r="E1358" s="119"/>
      <c r="F1358" s="155">
        <v>-39.950000000000003</v>
      </c>
      <c r="G1358" s="133" t="str">
        <f>_xlfn.XLOOKUP(Table1[[#This Row],[Account_ID]], Accounts[ID], Accounts[Account nickname], "Unknown")</f>
        <v>Discover</v>
      </c>
      <c r="H1358" s="134" t="str">
        <f>_xlfn.XLOOKUP(Table1[[#This Row],[Account_ID]], Accounts[ID], Accounts[Account'#], "Unknown")</f>
        <v>4618</v>
      </c>
      <c r="I1358" s="135" t="str">
        <f>_xlfn.XLOOKUP(_xlfn.XLOOKUP(Table1[[#This Row],[Account]],Accounts[Account nickname],Accounts[Institution ID]),Institutions[ID],Institutions[Institution nickname],"Unknown")</f>
        <v>Discover</v>
      </c>
      <c r="J1358" s="136" t="s">
        <v>2696</v>
      </c>
      <c r="K1358" s="137" t="s">
        <v>843</v>
      </c>
      <c r="L1358" s="137" t="s">
        <v>841</v>
      </c>
      <c r="M135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5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58" s="138" t="str" cm="1">
        <f t="array" ref="O1358">IFERROR(INDEX(CategoriesTable[Category type],MATCH(Table1[[#This Row],[Category]],CategoriesTable[Category name],0),0),"")</f>
        <v/>
      </c>
      <c r="P1358" s="138">
        <v>5</v>
      </c>
      <c r="Q1358" s="138">
        <f>MONTH(Table1[[#This Row],[Date]])</f>
        <v>1</v>
      </c>
      <c r="R1358" s="138">
        <v>2021</v>
      </c>
      <c r="S1358" s="139">
        <f>IF(ISBLANK(Table1[[#This Row],[Date]]),"",Table1[[#This Row],[Date]]-WEEKDAY(Table1[[#This Row],[Date]],2)+1)</f>
        <v>44200</v>
      </c>
      <c r="T1358" s="140">
        <f>IF(ISBLANK(Table1[[#This Row],[Date]]),"",DATE(Table1[[#This Row],[Date_Year]],Table1[[#This Row],[Date_Month]],1))</f>
        <v>44197</v>
      </c>
    </row>
    <row r="1359" spans="2:20" ht="15.75">
      <c r="B1359" s="154">
        <v>44200</v>
      </c>
      <c r="C1359" s="119" t="s">
        <v>686</v>
      </c>
      <c r="D1359" s="119"/>
      <c r="E1359" s="119"/>
      <c r="F1359" s="155">
        <v>-700</v>
      </c>
      <c r="G1359" s="133" t="str">
        <f>_xlfn.XLOOKUP(Table1[[#This Row],[Account_ID]], Accounts[ID], Accounts[Account nickname], "Unknown")</f>
        <v>WF</v>
      </c>
      <c r="H1359" s="134" t="str">
        <f>_xlfn.XLOOKUP(Table1[[#This Row],[Account_ID]], Accounts[ID], Accounts[Account'#], "Unknown")</f>
        <v>4636</v>
      </c>
      <c r="I1359" s="135" t="str">
        <f>_xlfn.XLOOKUP(_xlfn.XLOOKUP(Table1[[#This Row],[Account]],Accounts[Account nickname],Accounts[Institution ID]),Institutions[ID],Institutions[Institution nickname],"Unknown")</f>
        <v>Wells Fargo</v>
      </c>
      <c r="J1359" s="136" t="s">
        <v>1223</v>
      </c>
      <c r="K1359" s="137" t="s">
        <v>808</v>
      </c>
      <c r="L1359" s="137" t="s">
        <v>807</v>
      </c>
      <c r="M135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5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59" s="138" t="str" cm="1">
        <f t="array" ref="O1359">IFERROR(INDEX(CategoriesTable[Category type],MATCH(Table1[[#This Row],[Category]],CategoriesTable[Category name],0),0),"")</f>
        <v/>
      </c>
      <c r="P1359" s="138">
        <v>4</v>
      </c>
      <c r="Q1359" s="138">
        <f>MONTH(Table1[[#This Row],[Date]])</f>
        <v>1</v>
      </c>
      <c r="R1359" s="138">
        <v>2021</v>
      </c>
      <c r="S1359" s="139">
        <f>IF(ISBLANK(Table1[[#This Row],[Date]]),"",Table1[[#This Row],[Date]]-WEEKDAY(Table1[[#This Row],[Date]],2)+1)</f>
        <v>44200</v>
      </c>
      <c r="T1359" s="140">
        <f>IF(ISBLANK(Table1[[#This Row],[Date]]),"",DATE(Table1[[#This Row],[Date_Year]],Table1[[#This Row],[Date_Month]],1))</f>
        <v>44197</v>
      </c>
    </row>
    <row r="1360" spans="2:20" ht="15.75">
      <c r="B1360" s="154">
        <v>44200</v>
      </c>
      <c r="C1360" s="119" t="s">
        <v>774</v>
      </c>
      <c r="D1360" s="119"/>
      <c r="E1360" s="119"/>
      <c r="F1360" s="155">
        <v>600</v>
      </c>
      <c r="G1360" s="133" t="str">
        <f>_xlfn.XLOOKUP(Table1[[#This Row],[Account_ID]], Accounts[ID], Accounts[Account nickname], "Unknown")</f>
        <v>WF</v>
      </c>
      <c r="H1360" s="134" t="str">
        <f>_xlfn.XLOOKUP(Table1[[#This Row],[Account_ID]], Accounts[ID], Accounts[Account'#], "Unknown")</f>
        <v>4636</v>
      </c>
      <c r="I1360" s="135" t="str">
        <f>_xlfn.XLOOKUP(_xlfn.XLOOKUP(Table1[[#This Row],[Account]],Accounts[Account nickname],Accounts[Institution ID]),Institutions[ID],Institutions[Institution nickname],"Unknown")</f>
        <v>Wells Fargo</v>
      </c>
      <c r="J1360" s="136" t="s">
        <v>1224</v>
      </c>
      <c r="K1360" s="137" t="s">
        <v>808</v>
      </c>
      <c r="L1360" s="137" t="s">
        <v>807</v>
      </c>
      <c r="M136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6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60" s="138" t="str" cm="1">
        <f t="array" ref="O1360">IFERROR(INDEX(CategoriesTable[Category type],MATCH(Table1[[#This Row],[Category]],CategoriesTable[Category name],0),0),"")</f>
        <v/>
      </c>
      <c r="P1360" s="138">
        <v>4</v>
      </c>
      <c r="Q1360" s="138">
        <f>MONTH(Table1[[#This Row],[Date]])</f>
        <v>1</v>
      </c>
      <c r="R1360" s="138">
        <v>2021</v>
      </c>
      <c r="S1360" s="139">
        <f>IF(ISBLANK(Table1[[#This Row],[Date]]),"",Table1[[#This Row],[Date]]-WEEKDAY(Table1[[#This Row],[Date]],2)+1)</f>
        <v>44200</v>
      </c>
      <c r="T1360" s="140">
        <f>IF(ISBLANK(Table1[[#This Row],[Date]]),"",DATE(Table1[[#This Row],[Date_Year]],Table1[[#This Row],[Date_Month]],1))</f>
        <v>44197</v>
      </c>
    </row>
    <row r="1361" spans="2:20" ht="15.75">
      <c r="B1361" s="154">
        <v>44197</v>
      </c>
      <c r="C1361" s="119" t="s">
        <v>697</v>
      </c>
      <c r="D1361" s="119"/>
      <c r="E1361" s="119"/>
      <c r="F1361" s="155">
        <v>-13.99</v>
      </c>
      <c r="G1361" s="133" t="str">
        <f>_xlfn.XLOOKUP(Table1[[#This Row],[Account_ID]], Accounts[ID], Accounts[Account nickname], "Unknown")</f>
        <v>Discover</v>
      </c>
      <c r="H1361" s="134" t="str">
        <f>_xlfn.XLOOKUP(Table1[[#This Row],[Account_ID]], Accounts[ID], Accounts[Account'#], "Unknown")</f>
        <v>4618</v>
      </c>
      <c r="I1361" s="135" t="str">
        <f>_xlfn.XLOOKUP(_xlfn.XLOOKUP(Table1[[#This Row],[Account]],Accounts[Account nickname],Accounts[Institution ID]),Institutions[ID],Institutions[Institution nickname],"Unknown")</f>
        <v>Discover</v>
      </c>
      <c r="J1361" s="136" t="s">
        <v>2700</v>
      </c>
      <c r="K1361" s="137" t="s">
        <v>843</v>
      </c>
      <c r="L1361" s="137" t="s">
        <v>841</v>
      </c>
      <c r="M136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6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61" s="138" t="str" cm="1">
        <f t="array" ref="O1361">IFERROR(INDEX(CategoriesTable[Category type],MATCH(Table1[[#This Row],[Category]],CategoriesTable[Category name],0),0),"")</f>
        <v/>
      </c>
      <c r="P1361" s="138">
        <v>1</v>
      </c>
      <c r="Q1361" s="138">
        <f>MONTH(Table1[[#This Row],[Date]])</f>
        <v>1</v>
      </c>
      <c r="R1361" s="138">
        <v>2021</v>
      </c>
      <c r="S1361" s="139">
        <f>IF(ISBLANK(Table1[[#This Row],[Date]]),"",Table1[[#This Row],[Date]]-WEEKDAY(Table1[[#This Row],[Date]],2)+1)</f>
        <v>44193</v>
      </c>
      <c r="T1361" s="140">
        <f>IF(ISBLANK(Table1[[#This Row],[Date]]),"",DATE(Table1[[#This Row],[Date_Year]],Table1[[#This Row],[Date_Month]],1))</f>
        <v>44197</v>
      </c>
    </row>
    <row r="1362" spans="2:20" ht="15.75">
      <c r="B1362" s="154">
        <v>44197</v>
      </c>
      <c r="C1362" s="119" t="s">
        <v>845</v>
      </c>
      <c r="D1362" s="119"/>
      <c r="E1362" s="119"/>
      <c r="F1362" s="155">
        <v>700</v>
      </c>
      <c r="G1362" s="133" t="str">
        <f>_xlfn.XLOOKUP(Table1[[#This Row],[Account_ID]], Accounts[ID], Accounts[Account nickname], "Unknown")</f>
        <v>Discover</v>
      </c>
      <c r="H1362" s="134" t="str">
        <f>_xlfn.XLOOKUP(Table1[[#This Row],[Account_ID]], Accounts[ID], Accounts[Account'#], "Unknown")</f>
        <v>4618</v>
      </c>
      <c r="I1362" s="135" t="str">
        <f>_xlfn.XLOOKUP(_xlfn.XLOOKUP(Table1[[#This Row],[Account]],Accounts[Account nickname],Accounts[Institution ID]),Institutions[ID],Institutions[Institution nickname],"Unknown")</f>
        <v>Discover</v>
      </c>
      <c r="J1362" s="136" t="s">
        <v>2699</v>
      </c>
      <c r="K1362" s="137" t="s">
        <v>843</v>
      </c>
      <c r="L1362" s="137" t="s">
        <v>841</v>
      </c>
      <c r="M136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6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62" s="138" t="str" cm="1">
        <f t="array" ref="O1362">IFERROR(INDEX(CategoriesTable[Category type],MATCH(Table1[[#This Row],[Category]],CategoriesTable[Category name],0),0),"")</f>
        <v/>
      </c>
      <c r="P1362" s="138">
        <v>1</v>
      </c>
      <c r="Q1362" s="138">
        <f>MONTH(Table1[[#This Row],[Date]])</f>
        <v>1</v>
      </c>
      <c r="R1362" s="138">
        <v>2021</v>
      </c>
      <c r="S1362" s="139">
        <f>IF(ISBLANK(Table1[[#This Row],[Date]]),"",Table1[[#This Row],[Date]]-WEEKDAY(Table1[[#This Row],[Date]],2)+1)</f>
        <v>44193</v>
      </c>
      <c r="T1362" s="140">
        <f>IF(ISBLANK(Table1[[#This Row],[Date]]),"",DATE(Table1[[#This Row],[Date_Year]],Table1[[#This Row],[Date_Month]],1))</f>
        <v>44197</v>
      </c>
    </row>
    <row r="1363" spans="2:20" ht="15.75">
      <c r="B1363" s="154">
        <v>44197</v>
      </c>
      <c r="C1363" s="119" t="s">
        <v>1980</v>
      </c>
      <c r="D1363" s="119"/>
      <c r="E1363" s="119"/>
      <c r="F1363" s="155">
        <v>-18.87</v>
      </c>
      <c r="G1363" s="133" t="str">
        <f>_xlfn.XLOOKUP(Table1[[#This Row],[Account_ID]], Accounts[ID], Accounts[Account nickname], "Unknown")</f>
        <v>Discover</v>
      </c>
      <c r="H1363" s="134" t="str">
        <f>_xlfn.XLOOKUP(Table1[[#This Row],[Account_ID]], Accounts[ID], Accounts[Account'#], "Unknown")</f>
        <v>4618</v>
      </c>
      <c r="I1363" s="135" t="str">
        <f>_xlfn.XLOOKUP(_xlfn.XLOOKUP(Table1[[#This Row],[Account]],Accounts[Account nickname],Accounts[Institution ID]),Institutions[ID],Institutions[Institution nickname],"Unknown")</f>
        <v>Discover</v>
      </c>
      <c r="J1363" s="136" t="s">
        <v>2701</v>
      </c>
      <c r="K1363" s="137" t="s">
        <v>843</v>
      </c>
      <c r="L1363" s="137" t="s">
        <v>841</v>
      </c>
      <c r="M136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6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63" s="138" t="str" cm="1">
        <f t="array" ref="O1363">IFERROR(INDEX(CategoriesTable[Category type],MATCH(Table1[[#This Row],[Category]],CategoriesTable[Category name],0),0),"")</f>
        <v/>
      </c>
      <c r="P1363" s="138">
        <v>1</v>
      </c>
      <c r="Q1363" s="138">
        <f>MONTH(Table1[[#This Row],[Date]])</f>
        <v>1</v>
      </c>
      <c r="R1363" s="138">
        <v>2021</v>
      </c>
      <c r="S1363" s="139">
        <f>IF(ISBLANK(Table1[[#This Row],[Date]]),"",Table1[[#This Row],[Date]]-WEEKDAY(Table1[[#This Row],[Date]],2)+1)</f>
        <v>44193</v>
      </c>
      <c r="T1363" s="140">
        <f>IF(ISBLANK(Table1[[#This Row],[Date]]),"",DATE(Table1[[#This Row],[Date_Year]],Table1[[#This Row],[Date_Month]],1))</f>
        <v>44197</v>
      </c>
    </row>
    <row r="1364" spans="2:20" ht="15.75">
      <c r="B1364" s="154">
        <v>44196</v>
      </c>
      <c r="C1364" s="119" t="s">
        <v>729</v>
      </c>
      <c r="D1364" s="119"/>
      <c r="E1364" s="119"/>
      <c r="F1364" s="155">
        <v>-1000</v>
      </c>
      <c r="G1364" s="133" t="str">
        <f>_xlfn.XLOOKUP(Table1[[#This Row],[Account_ID]], Accounts[ID], Accounts[Account nickname], "Unknown")</f>
        <v>WF</v>
      </c>
      <c r="H1364" s="134" t="str">
        <f>_xlfn.XLOOKUP(Table1[[#This Row],[Account_ID]], Accounts[ID], Accounts[Account'#], "Unknown")</f>
        <v>4636</v>
      </c>
      <c r="I1364" s="135" t="str">
        <f>_xlfn.XLOOKUP(_xlfn.XLOOKUP(Table1[[#This Row],[Account]],Accounts[Account nickname],Accounts[Institution ID]),Institutions[ID],Institutions[Institution nickname],"Unknown")</f>
        <v>Wells Fargo</v>
      </c>
      <c r="J1364" s="136" t="s">
        <v>1226</v>
      </c>
      <c r="K1364" s="137" t="s">
        <v>808</v>
      </c>
      <c r="L1364" s="137" t="s">
        <v>807</v>
      </c>
      <c r="M136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6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64" s="138" t="str" cm="1">
        <f t="array" ref="O1364">IFERROR(INDEX(CategoriesTable[Category type],MATCH(Table1[[#This Row],[Category]],CategoriesTable[Category name],0),0),"")</f>
        <v/>
      </c>
      <c r="P1364" s="138">
        <v>31</v>
      </c>
      <c r="Q1364" s="138">
        <f>MONTH(Table1[[#This Row],[Date]])</f>
        <v>12</v>
      </c>
      <c r="R1364" s="138">
        <v>2020</v>
      </c>
      <c r="S1364" s="139">
        <f>IF(ISBLANK(Table1[[#This Row],[Date]]),"",Table1[[#This Row],[Date]]-WEEKDAY(Table1[[#This Row],[Date]],2)+1)</f>
        <v>44193</v>
      </c>
      <c r="T1364" s="140">
        <f>IF(ISBLANK(Table1[[#This Row],[Date]]),"",DATE(Table1[[#This Row],[Date_Year]],Table1[[#This Row],[Date_Month]],1))</f>
        <v>44166</v>
      </c>
    </row>
    <row r="1365" spans="2:20" ht="15.75">
      <c r="B1365" s="154">
        <v>44196</v>
      </c>
      <c r="C1365" s="119" t="s">
        <v>678</v>
      </c>
      <c r="D1365" s="119"/>
      <c r="E1365" s="119"/>
      <c r="F1365" s="155">
        <v>156.19999999999999</v>
      </c>
      <c r="G1365" s="133" t="str">
        <f>_xlfn.XLOOKUP(Table1[[#This Row],[Account_ID]], Accounts[ID], Accounts[Account nickname], "Unknown")</f>
        <v>WF</v>
      </c>
      <c r="H1365" s="134" t="str">
        <f>_xlfn.XLOOKUP(Table1[[#This Row],[Account_ID]], Accounts[ID], Accounts[Account'#], "Unknown")</f>
        <v>4636</v>
      </c>
      <c r="I1365" s="135" t="str">
        <f>_xlfn.XLOOKUP(_xlfn.XLOOKUP(Table1[[#This Row],[Account]],Accounts[Account nickname],Accounts[Institution ID]),Institutions[ID],Institutions[Institution nickname],"Unknown")</f>
        <v>Wells Fargo</v>
      </c>
      <c r="J1365" s="136" t="s">
        <v>1227</v>
      </c>
      <c r="K1365" s="137" t="s">
        <v>808</v>
      </c>
      <c r="L1365" s="137" t="s">
        <v>807</v>
      </c>
      <c r="M136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6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65" s="138" t="str" cm="1">
        <f t="array" ref="O1365">IFERROR(INDEX(CategoriesTable[Category type],MATCH(Table1[[#This Row],[Category]],CategoriesTable[Category name],0),0),"")</f>
        <v/>
      </c>
      <c r="P1365" s="138">
        <v>31</v>
      </c>
      <c r="Q1365" s="138">
        <f>MONTH(Table1[[#This Row],[Date]])</f>
        <v>12</v>
      </c>
      <c r="R1365" s="138">
        <v>2020</v>
      </c>
      <c r="S1365" s="139">
        <f>IF(ISBLANK(Table1[[#This Row],[Date]]),"",Table1[[#This Row],[Date]]-WEEKDAY(Table1[[#This Row],[Date]],2)+1)</f>
        <v>44193</v>
      </c>
      <c r="T1365" s="140">
        <f>IF(ISBLANK(Table1[[#This Row],[Date]]),"",DATE(Table1[[#This Row],[Date_Year]],Table1[[#This Row],[Date_Month]],1))</f>
        <v>44166</v>
      </c>
    </row>
    <row r="1366" spans="2:20" ht="15.75">
      <c r="B1366" s="154">
        <v>44196</v>
      </c>
      <c r="C1366" s="119" t="s">
        <v>678</v>
      </c>
      <c r="D1366" s="119"/>
      <c r="E1366" s="119"/>
      <c r="F1366" s="155">
        <v>-700</v>
      </c>
      <c r="G1366" s="133" t="str">
        <f>_xlfn.XLOOKUP(Table1[[#This Row],[Account_ID]], Accounts[ID], Accounts[Account nickname], "Unknown")</f>
        <v>WF</v>
      </c>
      <c r="H1366" s="134" t="str">
        <f>_xlfn.XLOOKUP(Table1[[#This Row],[Account_ID]], Accounts[ID], Accounts[Account'#], "Unknown")</f>
        <v>4636</v>
      </c>
      <c r="I1366" s="135" t="str">
        <f>_xlfn.XLOOKUP(_xlfn.XLOOKUP(Table1[[#This Row],[Account]],Accounts[Account nickname],Accounts[Institution ID]),Institutions[ID],Institutions[Institution nickname],"Unknown")</f>
        <v>Wells Fargo</v>
      </c>
      <c r="J1366" s="136" t="s">
        <v>1228</v>
      </c>
      <c r="K1366" s="137" t="s">
        <v>808</v>
      </c>
      <c r="L1366" s="137" t="s">
        <v>807</v>
      </c>
      <c r="M136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6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66" s="138" t="str" cm="1">
        <f t="array" ref="O1366">IFERROR(INDEX(CategoriesTable[Category type],MATCH(Table1[[#This Row],[Category]],CategoriesTable[Category name],0),0),"")</f>
        <v/>
      </c>
      <c r="P1366" s="138">
        <v>31</v>
      </c>
      <c r="Q1366" s="138">
        <f>MONTH(Table1[[#This Row],[Date]])</f>
        <v>12</v>
      </c>
      <c r="R1366" s="138">
        <v>2020</v>
      </c>
      <c r="S1366" s="139">
        <f>IF(ISBLANK(Table1[[#This Row],[Date]]),"",Table1[[#This Row],[Date]]-WEEKDAY(Table1[[#This Row],[Date]],2)+1)</f>
        <v>44193</v>
      </c>
      <c r="T1366" s="140">
        <f>IF(ISBLANK(Table1[[#This Row],[Date]]),"",DATE(Table1[[#This Row],[Date_Year]],Table1[[#This Row],[Date_Month]],1))</f>
        <v>44166</v>
      </c>
    </row>
    <row r="1367" spans="2:20" ht="15.75">
      <c r="B1367" s="154">
        <v>44196</v>
      </c>
      <c r="C1367" s="119" t="s">
        <v>751</v>
      </c>
      <c r="D1367" s="119"/>
      <c r="E1367" s="119"/>
      <c r="F1367" s="155">
        <v>1538.5</v>
      </c>
      <c r="G1367" s="133" t="str">
        <f>_xlfn.XLOOKUP(Table1[[#This Row],[Account_ID]], Accounts[ID], Accounts[Account nickname], "Unknown")</f>
        <v>WF</v>
      </c>
      <c r="H1367" s="134" t="str">
        <f>_xlfn.XLOOKUP(Table1[[#This Row],[Account_ID]], Accounts[ID], Accounts[Account'#], "Unknown")</f>
        <v>4636</v>
      </c>
      <c r="I1367" s="135" t="str">
        <f>_xlfn.XLOOKUP(_xlfn.XLOOKUP(Table1[[#This Row],[Account]],Accounts[Account nickname],Accounts[Institution ID]),Institutions[ID],Institutions[Institution nickname],"Unknown")</f>
        <v>Wells Fargo</v>
      </c>
      <c r="J1367" s="136" t="s">
        <v>1225</v>
      </c>
      <c r="K1367" s="137" t="s">
        <v>808</v>
      </c>
      <c r="L1367" s="137" t="s">
        <v>807</v>
      </c>
      <c r="M136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6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67" s="138" t="str" cm="1">
        <f t="array" ref="O1367">IFERROR(INDEX(CategoriesTable[Category type],MATCH(Table1[[#This Row],[Category]],CategoriesTable[Category name],0),0),"")</f>
        <v/>
      </c>
      <c r="P1367" s="138">
        <v>31</v>
      </c>
      <c r="Q1367" s="138">
        <f>MONTH(Table1[[#This Row],[Date]])</f>
        <v>12</v>
      </c>
      <c r="R1367" s="138">
        <v>2020</v>
      </c>
      <c r="S1367" s="139">
        <f>IF(ISBLANK(Table1[[#This Row],[Date]]),"",Table1[[#This Row],[Date]]-WEEKDAY(Table1[[#This Row],[Date]],2)+1)</f>
        <v>44193</v>
      </c>
      <c r="T1367" s="140">
        <f>IF(ISBLANK(Table1[[#This Row],[Date]]),"",DATE(Table1[[#This Row],[Date_Year]],Table1[[#This Row],[Date_Month]],1))</f>
        <v>44166</v>
      </c>
    </row>
    <row r="1368" spans="2:20" ht="15.75">
      <c r="B1368" s="154">
        <v>44196</v>
      </c>
      <c r="C1368" s="119" t="s">
        <v>709</v>
      </c>
      <c r="D1368" s="119"/>
      <c r="E1368" s="119"/>
      <c r="F1368" s="155">
        <v>-119</v>
      </c>
      <c r="G1368" s="133" t="str">
        <f>_xlfn.XLOOKUP(Table1[[#This Row],[Account_ID]], Accounts[ID], Accounts[Account nickname], "Unknown")</f>
        <v>Discover</v>
      </c>
      <c r="H1368" s="134" t="str">
        <f>_xlfn.XLOOKUP(Table1[[#This Row],[Account_ID]], Accounts[ID], Accounts[Account'#], "Unknown")</f>
        <v>4618</v>
      </c>
      <c r="I1368" s="135" t="str">
        <f>_xlfn.XLOOKUP(_xlfn.XLOOKUP(Table1[[#This Row],[Account]],Accounts[Account nickname],Accounts[Institution ID]),Institutions[ID],Institutions[Institution nickname],"Unknown")</f>
        <v>Discover</v>
      </c>
      <c r="J1368" s="136" t="s">
        <v>2702</v>
      </c>
      <c r="K1368" s="137" t="s">
        <v>843</v>
      </c>
      <c r="L1368" s="137" t="s">
        <v>841</v>
      </c>
      <c r="M136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6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68" s="138" t="str" cm="1">
        <f t="array" ref="O1368">IFERROR(INDEX(CategoriesTable[Category type],MATCH(Table1[[#This Row],[Category]],CategoriesTable[Category name],0),0),"")</f>
        <v/>
      </c>
      <c r="P1368" s="138">
        <v>31</v>
      </c>
      <c r="Q1368" s="138">
        <f>MONTH(Table1[[#This Row],[Date]])</f>
        <v>12</v>
      </c>
      <c r="R1368" s="138">
        <v>2020</v>
      </c>
      <c r="S1368" s="139">
        <f>IF(ISBLANK(Table1[[#This Row],[Date]]),"",Table1[[#This Row],[Date]]-WEEKDAY(Table1[[#This Row],[Date]],2)+1)</f>
        <v>44193</v>
      </c>
      <c r="T1368" s="140">
        <f>IF(ISBLANK(Table1[[#This Row],[Date]]),"",DATE(Table1[[#This Row],[Date_Year]],Table1[[#This Row],[Date_Month]],1))</f>
        <v>44166</v>
      </c>
    </row>
    <row r="1369" spans="2:20" ht="15.75">
      <c r="B1369" s="154">
        <v>44195</v>
      </c>
      <c r="C1369" s="119" t="s">
        <v>2590</v>
      </c>
      <c r="D1369" s="119"/>
      <c r="E1369" s="119"/>
      <c r="F1369" s="155">
        <v>-18.16</v>
      </c>
      <c r="G1369" s="133" t="str">
        <f>_xlfn.XLOOKUP(Table1[[#This Row],[Account_ID]], Accounts[ID], Accounts[Account nickname], "Unknown")</f>
        <v>Discover</v>
      </c>
      <c r="H1369" s="134" t="str">
        <f>_xlfn.XLOOKUP(Table1[[#This Row],[Account_ID]], Accounts[ID], Accounts[Account'#], "Unknown")</f>
        <v>4618</v>
      </c>
      <c r="I1369" s="135" t="str">
        <f>_xlfn.XLOOKUP(_xlfn.XLOOKUP(Table1[[#This Row],[Account]],Accounts[Account nickname],Accounts[Institution ID]),Institutions[ID],Institutions[Institution nickname],"Unknown")</f>
        <v>Discover</v>
      </c>
      <c r="J1369" s="136" t="s">
        <v>2704</v>
      </c>
      <c r="K1369" s="137" t="s">
        <v>843</v>
      </c>
      <c r="L1369" s="137" t="s">
        <v>841</v>
      </c>
      <c r="M136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6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69" s="138" t="str" cm="1">
        <f t="array" ref="O1369">IFERROR(INDEX(CategoriesTable[Category type],MATCH(Table1[[#This Row],[Category]],CategoriesTable[Category name],0),0),"")</f>
        <v/>
      </c>
      <c r="P1369" s="138">
        <v>30</v>
      </c>
      <c r="Q1369" s="138">
        <f>MONTH(Table1[[#This Row],[Date]])</f>
        <v>12</v>
      </c>
      <c r="R1369" s="138">
        <v>2020</v>
      </c>
      <c r="S1369" s="139">
        <f>IF(ISBLANK(Table1[[#This Row],[Date]]),"",Table1[[#This Row],[Date]]-WEEKDAY(Table1[[#This Row],[Date]],2)+1)</f>
        <v>44193</v>
      </c>
      <c r="T1369" s="140">
        <f>IF(ISBLANK(Table1[[#This Row],[Date]]),"",DATE(Table1[[#This Row],[Date_Year]],Table1[[#This Row],[Date_Month]],1))</f>
        <v>44166</v>
      </c>
    </row>
    <row r="1370" spans="2:20" ht="15.75">
      <c r="B1370" s="154">
        <v>44195</v>
      </c>
      <c r="C1370" s="119" t="s">
        <v>2590</v>
      </c>
      <c r="D1370" s="119"/>
      <c r="E1370" s="119"/>
      <c r="F1370" s="155">
        <v>-6.85</v>
      </c>
      <c r="G1370" s="133" t="str">
        <f>_xlfn.XLOOKUP(Table1[[#This Row],[Account_ID]], Accounts[ID], Accounts[Account nickname], "Unknown")</f>
        <v>Discover</v>
      </c>
      <c r="H1370" s="134" t="str">
        <f>_xlfn.XLOOKUP(Table1[[#This Row],[Account_ID]], Accounts[ID], Accounts[Account'#], "Unknown")</f>
        <v>4618</v>
      </c>
      <c r="I1370" s="135" t="str">
        <f>_xlfn.XLOOKUP(_xlfn.XLOOKUP(Table1[[#This Row],[Account]],Accounts[Account nickname],Accounts[Institution ID]),Institutions[ID],Institutions[Institution nickname],"Unknown")</f>
        <v>Discover</v>
      </c>
      <c r="J1370" s="136" t="s">
        <v>2703</v>
      </c>
      <c r="K1370" s="137" t="s">
        <v>843</v>
      </c>
      <c r="L1370" s="137" t="s">
        <v>841</v>
      </c>
      <c r="M137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7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70" s="138" t="str" cm="1">
        <f t="array" ref="O1370">IFERROR(INDEX(CategoriesTable[Category type],MATCH(Table1[[#This Row],[Category]],CategoriesTable[Category name],0),0),"")</f>
        <v/>
      </c>
      <c r="P1370" s="138">
        <v>30</v>
      </c>
      <c r="Q1370" s="138">
        <f>MONTH(Table1[[#This Row],[Date]])</f>
        <v>12</v>
      </c>
      <c r="R1370" s="138">
        <v>2020</v>
      </c>
      <c r="S1370" s="139">
        <f>IF(ISBLANK(Table1[[#This Row],[Date]]),"",Table1[[#This Row],[Date]]-WEEKDAY(Table1[[#This Row],[Date]],2)+1)</f>
        <v>44193</v>
      </c>
      <c r="T1370" s="140">
        <f>IF(ISBLANK(Table1[[#This Row],[Date]]),"",DATE(Table1[[#This Row],[Date_Year]],Table1[[#This Row],[Date_Month]],1))</f>
        <v>44166</v>
      </c>
    </row>
    <row r="1371" spans="2:20" ht="15.75">
      <c r="B1371" s="154">
        <v>44194</v>
      </c>
      <c r="C1371" s="119" t="s">
        <v>775</v>
      </c>
      <c r="D1371" s="119"/>
      <c r="E1371" s="119"/>
      <c r="F1371" s="155">
        <v>105</v>
      </c>
      <c r="G1371" s="133" t="str">
        <f>_xlfn.XLOOKUP(Table1[[#This Row],[Account_ID]], Accounts[ID], Accounts[Account nickname], "Unknown")</f>
        <v>WF</v>
      </c>
      <c r="H1371" s="134" t="str">
        <f>_xlfn.XLOOKUP(Table1[[#This Row],[Account_ID]], Accounts[ID], Accounts[Account'#], "Unknown")</f>
        <v>4636</v>
      </c>
      <c r="I1371" s="135" t="str">
        <f>_xlfn.XLOOKUP(_xlfn.XLOOKUP(Table1[[#This Row],[Account]],Accounts[Account nickname],Accounts[Institution ID]),Institutions[ID],Institutions[Institution nickname],"Unknown")</f>
        <v>Wells Fargo</v>
      </c>
      <c r="J1371" s="136" t="s">
        <v>1229</v>
      </c>
      <c r="K1371" s="137" t="s">
        <v>808</v>
      </c>
      <c r="L1371" s="137" t="s">
        <v>807</v>
      </c>
      <c r="M137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7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71" s="138" t="str" cm="1">
        <f t="array" ref="O1371">IFERROR(INDEX(CategoriesTable[Category type],MATCH(Table1[[#This Row],[Category]],CategoriesTable[Category name],0),0),"")</f>
        <v/>
      </c>
      <c r="P1371" s="138">
        <v>29</v>
      </c>
      <c r="Q1371" s="138">
        <f>MONTH(Table1[[#This Row],[Date]])</f>
        <v>12</v>
      </c>
      <c r="R1371" s="138">
        <v>2020</v>
      </c>
      <c r="S1371" s="139">
        <f>IF(ISBLANK(Table1[[#This Row],[Date]]),"",Table1[[#This Row],[Date]]-WEEKDAY(Table1[[#This Row],[Date]],2)+1)</f>
        <v>44193</v>
      </c>
      <c r="T1371" s="140">
        <f>IF(ISBLANK(Table1[[#This Row],[Date]]),"",DATE(Table1[[#This Row],[Date_Year]],Table1[[#This Row],[Date_Month]],1))</f>
        <v>44166</v>
      </c>
    </row>
    <row r="1372" spans="2:20" ht="15.75">
      <c r="B1372" s="154">
        <v>44193</v>
      </c>
      <c r="C1372" s="119" t="s">
        <v>729</v>
      </c>
      <c r="D1372" s="119"/>
      <c r="E1372" s="119"/>
      <c r="F1372" s="155">
        <v>-300</v>
      </c>
      <c r="G1372" s="133" t="str">
        <f>_xlfn.XLOOKUP(Table1[[#This Row],[Account_ID]], Accounts[ID], Accounts[Account nickname], "Unknown")</f>
        <v>WF</v>
      </c>
      <c r="H1372" s="134" t="str">
        <f>_xlfn.XLOOKUP(Table1[[#This Row],[Account_ID]], Accounts[ID], Accounts[Account'#], "Unknown")</f>
        <v>4636</v>
      </c>
      <c r="I1372" s="135" t="str">
        <f>_xlfn.XLOOKUP(_xlfn.XLOOKUP(Table1[[#This Row],[Account]],Accounts[Account nickname],Accounts[Institution ID]),Institutions[ID],Institutions[Institution nickname],"Unknown")</f>
        <v>Wells Fargo</v>
      </c>
      <c r="J1372" s="136" t="s">
        <v>1230</v>
      </c>
      <c r="K1372" s="137" t="s">
        <v>808</v>
      </c>
      <c r="L1372" s="137" t="s">
        <v>807</v>
      </c>
      <c r="M137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7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72" s="138" t="str" cm="1">
        <f t="array" ref="O1372">IFERROR(INDEX(CategoriesTable[Category type],MATCH(Table1[[#This Row],[Category]],CategoriesTable[Category name],0),0),"")</f>
        <v/>
      </c>
      <c r="P1372" s="138">
        <v>28</v>
      </c>
      <c r="Q1372" s="138">
        <f>MONTH(Table1[[#This Row],[Date]])</f>
        <v>12</v>
      </c>
      <c r="R1372" s="138">
        <v>2020</v>
      </c>
      <c r="S1372" s="139">
        <f>IF(ISBLANK(Table1[[#This Row],[Date]]),"",Table1[[#This Row],[Date]]-WEEKDAY(Table1[[#This Row],[Date]],2)+1)</f>
        <v>44193</v>
      </c>
      <c r="T1372" s="140">
        <f>IF(ISBLANK(Table1[[#This Row],[Date]]),"",DATE(Table1[[#This Row],[Date_Year]],Table1[[#This Row],[Date_Month]],1))</f>
        <v>44166</v>
      </c>
    </row>
    <row r="1373" spans="2:20" ht="15.75">
      <c r="B1373" s="154">
        <v>44193</v>
      </c>
      <c r="C1373" s="119" t="s">
        <v>2475</v>
      </c>
      <c r="D1373" s="119"/>
      <c r="E1373" s="119"/>
      <c r="F1373" s="155">
        <v>-9.9499999999999993</v>
      </c>
      <c r="G1373" s="133" t="str">
        <f>_xlfn.XLOOKUP(Table1[[#This Row],[Account_ID]], Accounts[ID], Accounts[Account nickname], "Unknown")</f>
        <v>Discover</v>
      </c>
      <c r="H1373" s="134" t="str">
        <f>_xlfn.XLOOKUP(Table1[[#This Row],[Account_ID]], Accounts[ID], Accounts[Account'#], "Unknown")</f>
        <v>4618</v>
      </c>
      <c r="I1373" s="135" t="str">
        <f>_xlfn.XLOOKUP(_xlfn.XLOOKUP(Table1[[#This Row],[Account]],Accounts[Account nickname],Accounts[Institution ID]),Institutions[ID],Institutions[Institution nickname],"Unknown")</f>
        <v>Discover</v>
      </c>
      <c r="J1373" s="136" t="s">
        <v>2705</v>
      </c>
      <c r="K1373" s="137" t="s">
        <v>843</v>
      </c>
      <c r="L1373" s="137" t="s">
        <v>841</v>
      </c>
      <c r="M137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7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73" s="138" t="str" cm="1">
        <f t="array" ref="O1373">IFERROR(INDEX(CategoriesTable[Category type],MATCH(Table1[[#This Row],[Category]],CategoriesTable[Category name],0),0),"")</f>
        <v/>
      </c>
      <c r="P1373" s="138">
        <v>28</v>
      </c>
      <c r="Q1373" s="138">
        <f>MONTH(Table1[[#This Row],[Date]])</f>
        <v>12</v>
      </c>
      <c r="R1373" s="138">
        <v>2020</v>
      </c>
      <c r="S1373" s="139">
        <f>IF(ISBLANK(Table1[[#This Row],[Date]]),"",Table1[[#This Row],[Date]]-WEEKDAY(Table1[[#This Row],[Date]],2)+1)</f>
        <v>44193</v>
      </c>
      <c r="T1373" s="140">
        <f>IF(ISBLANK(Table1[[#This Row],[Date]]),"",DATE(Table1[[#This Row],[Date_Year]],Table1[[#This Row],[Date_Month]],1))</f>
        <v>44166</v>
      </c>
    </row>
    <row r="1374" spans="2:20" ht="15.75">
      <c r="B1374" s="154">
        <v>44193</v>
      </c>
      <c r="C1374" s="119" t="s">
        <v>2590</v>
      </c>
      <c r="D1374" s="119"/>
      <c r="E1374" s="119"/>
      <c r="F1374" s="155">
        <v>-11.56</v>
      </c>
      <c r="G1374" s="133" t="str">
        <f>_xlfn.XLOOKUP(Table1[[#This Row],[Account_ID]], Accounts[ID], Accounts[Account nickname], "Unknown")</f>
        <v>Discover</v>
      </c>
      <c r="H1374" s="134" t="str">
        <f>_xlfn.XLOOKUP(Table1[[#This Row],[Account_ID]], Accounts[ID], Accounts[Account'#], "Unknown")</f>
        <v>4618</v>
      </c>
      <c r="I1374" s="135" t="str">
        <f>_xlfn.XLOOKUP(_xlfn.XLOOKUP(Table1[[#This Row],[Account]],Accounts[Account nickname],Accounts[Institution ID]),Institutions[ID],Institutions[Institution nickname],"Unknown")</f>
        <v>Discover</v>
      </c>
      <c r="J1374" s="136" t="s">
        <v>2706</v>
      </c>
      <c r="K1374" s="137" t="s">
        <v>843</v>
      </c>
      <c r="L1374" s="137" t="s">
        <v>841</v>
      </c>
      <c r="M137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7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74" s="138" t="str" cm="1">
        <f t="array" ref="O1374">IFERROR(INDEX(CategoriesTable[Category type],MATCH(Table1[[#This Row],[Category]],CategoriesTable[Category name],0),0),"")</f>
        <v/>
      </c>
      <c r="P1374" s="138">
        <v>28</v>
      </c>
      <c r="Q1374" s="138">
        <f>MONTH(Table1[[#This Row],[Date]])</f>
        <v>12</v>
      </c>
      <c r="R1374" s="138">
        <v>2020</v>
      </c>
      <c r="S1374" s="139">
        <f>IF(ISBLANK(Table1[[#This Row],[Date]]),"",Table1[[#This Row],[Date]]-WEEKDAY(Table1[[#This Row],[Date]],2)+1)</f>
        <v>44193</v>
      </c>
      <c r="T1374" s="140">
        <f>IF(ISBLANK(Table1[[#This Row],[Date]]),"",DATE(Table1[[#This Row],[Date_Year]],Table1[[#This Row],[Date_Month]],1))</f>
        <v>44166</v>
      </c>
    </row>
    <row r="1375" spans="2:20" ht="15.75">
      <c r="B1375" s="154">
        <v>44192</v>
      </c>
      <c r="C1375" s="119" t="s">
        <v>2590</v>
      </c>
      <c r="D1375" s="119"/>
      <c r="E1375" s="119"/>
      <c r="F1375" s="155">
        <v>-27.03</v>
      </c>
      <c r="G1375" s="133" t="str">
        <f>_xlfn.XLOOKUP(Table1[[#This Row],[Account_ID]], Accounts[ID], Accounts[Account nickname], "Unknown")</f>
        <v>Discover</v>
      </c>
      <c r="H1375" s="134" t="str">
        <f>_xlfn.XLOOKUP(Table1[[#This Row],[Account_ID]], Accounts[ID], Accounts[Account'#], "Unknown")</f>
        <v>4618</v>
      </c>
      <c r="I1375" s="135" t="str">
        <f>_xlfn.XLOOKUP(_xlfn.XLOOKUP(Table1[[#This Row],[Account]],Accounts[Account nickname],Accounts[Institution ID]),Institutions[ID],Institutions[Institution nickname],"Unknown")</f>
        <v>Discover</v>
      </c>
      <c r="J1375" s="136" t="s">
        <v>2709</v>
      </c>
      <c r="K1375" s="137" t="s">
        <v>843</v>
      </c>
      <c r="L1375" s="137" t="s">
        <v>841</v>
      </c>
      <c r="M137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7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75" s="138" t="str" cm="1">
        <f t="array" ref="O1375">IFERROR(INDEX(CategoriesTable[Category type],MATCH(Table1[[#This Row],[Category]],CategoriesTable[Category name],0),0),"")</f>
        <v/>
      </c>
      <c r="P1375" s="138">
        <v>27</v>
      </c>
      <c r="Q1375" s="138">
        <f>MONTH(Table1[[#This Row],[Date]])</f>
        <v>12</v>
      </c>
      <c r="R1375" s="138">
        <v>2020</v>
      </c>
      <c r="S1375" s="139">
        <f>IF(ISBLANK(Table1[[#This Row],[Date]]),"",Table1[[#This Row],[Date]]-WEEKDAY(Table1[[#This Row],[Date]],2)+1)</f>
        <v>44186</v>
      </c>
      <c r="T1375" s="140">
        <f>IF(ISBLANK(Table1[[#This Row],[Date]]),"",DATE(Table1[[#This Row],[Date_Year]],Table1[[#This Row],[Date_Month]],1))</f>
        <v>44166</v>
      </c>
    </row>
    <row r="1376" spans="2:20" ht="15.75">
      <c r="B1376" s="154">
        <v>44192</v>
      </c>
      <c r="C1376" s="119" t="s">
        <v>708</v>
      </c>
      <c r="D1376" s="119"/>
      <c r="E1376" s="119"/>
      <c r="F1376" s="155">
        <v>-22.32</v>
      </c>
      <c r="G1376" s="133" t="str">
        <f>_xlfn.XLOOKUP(Table1[[#This Row],[Account_ID]], Accounts[ID], Accounts[Account nickname], "Unknown")</f>
        <v>Discover</v>
      </c>
      <c r="H1376" s="134" t="str">
        <f>_xlfn.XLOOKUP(Table1[[#This Row],[Account_ID]], Accounts[ID], Accounts[Account'#], "Unknown")</f>
        <v>4618</v>
      </c>
      <c r="I1376" s="135" t="str">
        <f>_xlfn.XLOOKUP(_xlfn.XLOOKUP(Table1[[#This Row],[Account]],Accounts[Account nickname],Accounts[Institution ID]),Institutions[ID],Institutions[Institution nickname],"Unknown")</f>
        <v>Discover</v>
      </c>
      <c r="J1376" s="136" t="s">
        <v>2707</v>
      </c>
      <c r="K1376" s="137" t="s">
        <v>843</v>
      </c>
      <c r="L1376" s="137" t="s">
        <v>841</v>
      </c>
      <c r="M137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7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76" s="138" t="str" cm="1">
        <f t="array" ref="O1376">IFERROR(INDEX(CategoriesTable[Category type],MATCH(Table1[[#This Row],[Category]],CategoriesTable[Category name],0),0),"")</f>
        <v/>
      </c>
      <c r="P1376" s="138">
        <v>27</v>
      </c>
      <c r="Q1376" s="138">
        <f>MONTH(Table1[[#This Row],[Date]])</f>
        <v>12</v>
      </c>
      <c r="R1376" s="138">
        <v>2020</v>
      </c>
      <c r="S1376" s="139">
        <f>IF(ISBLANK(Table1[[#This Row],[Date]]),"",Table1[[#This Row],[Date]]-WEEKDAY(Table1[[#This Row],[Date]],2)+1)</f>
        <v>44186</v>
      </c>
      <c r="T1376" s="140">
        <f>IF(ISBLANK(Table1[[#This Row],[Date]]),"",DATE(Table1[[#This Row],[Date_Year]],Table1[[#This Row],[Date_Month]],1))</f>
        <v>44166</v>
      </c>
    </row>
    <row r="1377" spans="2:20" ht="15.75">
      <c r="B1377" s="154">
        <v>44192</v>
      </c>
      <c r="C1377" s="119" t="s">
        <v>2590</v>
      </c>
      <c r="D1377" s="119"/>
      <c r="E1377" s="119"/>
      <c r="F1377" s="155">
        <v>-4.3600000000000003</v>
      </c>
      <c r="G1377" s="133" t="str">
        <f>_xlfn.XLOOKUP(Table1[[#This Row],[Account_ID]], Accounts[ID], Accounts[Account nickname], "Unknown")</f>
        <v>Discover</v>
      </c>
      <c r="H1377" s="134" t="str">
        <f>_xlfn.XLOOKUP(Table1[[#This Row],[Account_ID]], Accounts[ID], Accounts[Account'#], "Unknown")</f>
        <v>4618</v>
      </c>
      <c r="I1377" s="135" t="str">
        <f>_xlfn.XLOOKUP(_xlfn.XLOOKUP(Table1[[#This Row],[Account]],Accounts[Account nickname],Accounts[Institution ID]),Institutions[ID],Institutions[Institution nickname],"Unknown")</f>
        <v>Discover</v>
      </c>
      <c r="J1377" s="136" t="s">
        <v>2708</v>
      </c>
      <c r="K1377" s="137" t="s">
        <v>843</v>
      </c>
      <c r="L1377" s="137" t="s">
        <v>841</v>
      </c>
      <c r="M137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7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77" s="138" t="str" cm="1">
        <f t="array" ref="O1377">IFERROR(INDEX(CategoriesTable[Category type],MATCH(Table1[[#This Row],[Category]],CategoriesTable[Category name],0),0),"")</f>
        <v/>
      </c>
      <c r="P1377" s="138">
        <v>27</v>
      </c>
      <c r="Q1377" s="138">
        <f>MONTH(Table1[[#This Row],[Date]])</f>
        <v>12</v>
      </c>
      <c r="R1377" s="138">
        <v>2020</v>
      </c>
      <c r="S1377" s="139">
        <f>IF(ISBLANK(Table1[[#This Row],[Date]]),"",Table1[[#This Row],[Date]]-WEEKDAY(Table1[[#This Row],[Date]],2)+1)</f>
        <v>44186</v>
      </c>
      <c r="T1377" s="140">
        <f>IF(ISBLANK(Table1[[#This Row],[Date]]),"",DATE(Table1[[#This Row],[Date_Year]],Table1[[#This Row],[Date_Month]],1))</f>
        <v>44166</v>
      </c>
    </row>
    <row r="1378" spans="2:20" ht="15.75">
      <c r="B1378" s="154">
        <v>44189</v>
      </c>
      <c r="C1378" s="119" t="s">
        <v>2710</v>
      </c>
      <c r="D1378" s="119"/>
      <c r="E1378" s="119"/>
      <c r="F1378" s="155">
        <v>-99.99</v>
      </c>
      <c r="G1378" s="133" t="str">
        <f>_xlfn.XLOOKUP(Table1[[#This Row],[Account_ID]], Accounts[ID], Accounts[Account nickname], "Unknown")</f>
        <v>Discover</v>
      </c>
      <c r="H1378" s="134" t="str">
        <f>_xlfn.XLOOKUP(Table1[[#This Row],[Account_ID]], Accounts[ID], Accounts[Account'#], "Unknown")</f>
        <v>4618</v>
      </c>
      <c r="I1378" s="135" t="str">
        <f>_xlfn.XLOOKUP(_xlfn.XLOOKUP(Table1[[#This Row],[Account]],Accounts[Account nickname],Accounts[Institution ID]),Institutions[ID],Institutions[Institution nickname],"Unknown")</f>
        <v>Discover</v>
      </c>
      <c r="J1378" s="136" t="s">
        <v>2711</v>
      </c>
      <c r="K1378" s="137" t="s">
        <v>843</v>
      </c>
      <c r="L1378" s="137" t="s">
        <v>841</v>
      </c>
      <c r="M137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7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78" s="138" t="str" cm="1">
        <f t="array" ref="O1378">IFERROR(INDEX(CategoriesTable[Category type],MATCH(Table1[[#This Row],[Category]],CategoriesTable[Category name],0),0),"")</f>
        <v/>
      </c>
      <c r="P1378" s="138">
        <v>24</v>
      </c>
      <c r="Q1378" s="138">
        <f>MONTH(Table1[[#This Row],[Date]])</f>
        <v>12</v>
      </c>
      <c r="R1378" s="138">
        <v>2020</v>
      </c>
      <c r="S1378" s="139">
        <f>IF(ISBLANK(Table1[[#This Row],[Date]]),"",Table1[[#This Row],[Date]]-WEEKDAY(Table1[[#This Row],[Date]],2)+1)</f>
        <v>44186</v>
      </c>
      <c r="T1378" s="140">
        <f>IF(ISBLANK(Table1[[#This Row],[Date]]),"",DATE(Table1[[#This Row],[Date_Year]],Table1[[#This Row],[Date_Month]],1))</f>
        <v>44166</v>
      </c>
    </row>
    <row r="1379" spans="2:20" ht="15.75">
      <c r="B1379" s="154">
        <v>44189</v>
      </c>
      <c r="C1379" s="119" t="s">
        <v>2590</v>
      </c>
      <c r="D1379" s="119"/>
      <c r="E1379" s="119"/>
      <c r="F1379" s="155">
        <v>-17.190000000000001</v>
      </c>
      <c r="G1379" s="133" t="str">
        <f>_xlfn.XLOOKUP(Table1[[#This Row],[Account_ID]], Accounts[ID], Accounts[Account nickname], "Unknown")</f>
        <v>Discover</v>
      </c>
      <c r="H1379" s="134" t="str">
        <f>_xlfn.XLOOKUP(Table1[[#This Row],[Account_ID]], Accounts[ID], Accounts[Account'#], "Unknown")</f>
        <v>4618</v>
      </c>
      <c r="I1379" s="135" t="str">
        <f>_xlfn.XLOOKUP(_xlfn.XLOOKUP(Table1[[#This Row],[Account]],Accounts[Account nickname],Accounts[Institution ID]),Institutions[ID],Institutions[Institution nickname],"Unknown")</f>
        <v>Discover</v>
      </c>
      <c r="J1379" s="136" t="s">
        <v>2713</v>
      </c>
      <c r="K1379" s="137" t="s">
        <v>843</v>
      </c>
      <c r="L1379" s="137" t="s">
        <v>841</v>
      </c>
      <c r="M137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7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79" s="138" t="str" cm="1">
        <f t="array" ref="O1379">IFERROR(INDEX(CategoriesTable[Category type],MATCH(Table1[[#This Row],[Category]],CategoriesTable[Category name],0),0),"")</f>
        <v/>
      </c>
      <c r="P1379" s="138">
        <v>24</v>
      </c>
      <c r="Q1379" s="138">
        <f>MONTH(Table1[[#This Row],[Date]])</f>
        <v>12</v>
      </c>
      <c r="R1379" s="138">
        <v>2020</v>
      </c>
      <c r="S1379" s="139">
        <f>IF(ISBLANK(Table1[[#This Row],[Date]]),"",Table1[[#This Row],[Date]]-WEEKDAY(Table1[[#This Row],[Date]],2)+1)</f>
        <v>44186</v>
      </c>
      <c r="T1379" s="140">
        <f>IF(ISBLANK(Table1[[#This Row],[Date]]),"",DATE(Table1[[#This Row],[Date_Year]],Table1[[#This Row],[Date_Month]],1))</f>
        <v>44166</v>
      </c>
    </row>
    <row r="1380" spans="2:20" ht="15.75">
      <c r="B1380" s="154">
        <v>44189</v>
      </c>
      <c r="C1380" s="119" t="s">
        <v>702</v>
      </c>
      <c r="D1380" s="119"/>
      <c r="E1380" s="119"/>
      <c r="F1380" s="155">
        <v>-5.7</v>
      </c>
      <c r="G1380" s="133" t="str">
        <f>_xlfn.XLOOKUP(Table1[[#This Row],[Account_ID]], Accounts[ID], Accounts[Account nickname], "Unknown")</f>
        <v>Discover</v>
      </c>
      <c r="H1380" s="134" t="str">
        <f>_xlfn.XLOOKUP(Table1[[#This Row],[Account_ID]], Accounts[ID], Accounts[Account'#], "Unknown")</f>
        <v>4618</v>
      </c>
      <c r="I1380" s="135" t="str">
        <f>_xlfn.XLOOKUP(_xlfn.XLOOKUP(Table1[[#This Row],[Account]],Accounts[Account nickname],Accounts[Institution ID]),Institutions[ID],Institutions[Institution nickname],"Unknown")</f>
        <v>Discover</v>
      </c>
      <c r="J1380" s="136" t="s">
        <v>2712</v>
      </c>
      <c r="K1380" s="137" t="s">
        <v>843</v>
      </c>
      <c r="L1380" s="137" t="s">
        <v>841</v>
      </c>
      <c r="M138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8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80" s="138" t="str" cm="1">
        <f t="array" ref="O1380">IFERROR(INDEX(CategoriesTable[Category type],MATCH(Table1[[#This Row],[Category]],CategoriesTable[Category name],0),0),"")</f>
        <v/>
      </c>
      <c r="P1380" s="138">
        <v>24</v>
      </c>
      <c r="Q1380" s="138">
        <f>MONTH(Table1[[#This Row],[Date]])</f>
        <v>12</v>
      </c>
      <c r="R1380" s="138">
        <v>2020</v>
      </c>
      <c r="S1380" s="139">
        <f>IF(ISBLANK(Table1[[#This Row],[Date]]),"",Table1[[#This Row],[Date]]-WEEKDAY(Table1[[#This Row],[Date]],2)+1)</f>
        <v>44186</v>
      </c>
      <c r="T1380" s="140">
        <f>IF(ISBLANK(Table1[[#This Row],[Date]]),"",DATE(Table1[[#This Row],[Date_Year]],Table1[[#This Row],[Date_Month]],1))</f>
        <v>44166</v>
      </c>
    </row>
    <row r="1381" spans="2:20" ht="15.75">
      <c r="B1381" s="154">
        <v>44188</v>
      </c>
      <c r="C1381" s="119" t="s">
        <v>702</v>
      </c>
      <c r="D1381" s="119"/>
      <c r="E1381" s="119"/>
      <c r="F1381" s="155">
        <v>-13.25</v>
      </c>
      <c r="G1381" s="133" t="str">
        <f>_xlfn.XLOOKUP(Table1[[#This Row],[Account_ID]], Accounts[ID], Accounts[Account nickname], "Unknown")</f>
        <v>Discover</v>
      </c>
      <c r="H1381" s="134" t="str">
        <f>_xlfn.XLOOKUP(Table1[[#This Row],[Account_ID]], Accounts[ID], Accounts[Account'#], "Unknown")</f>
        <v>4618</v>
      </c>
      <c r="I1381" s="135" t="str">
        <f>_xlfn.XLOOKUP(_xlfn.XLOOKUP(Table1[[#This Row],[Account]],Accounts[Account nickname],Accounts[Institution ID]),Institutions[ID],Institutions[Institution nickname],"Unknown")</f>
        <v>Discover</v>
      </c>
      <c r="J1381" s="152" t="s">
        <v>2714</v>
      </c>
      <c r="K1381" s="137" t="s">
        <v>843</v>
      </c>
      <c r="L1381" s="137" t="s">
        <v>841</v>
      </c>
      <c r="M138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8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81" s="138" t="str" cm="1">
        <f t="array" ref="O1381">IFERROR(INDEX(CategoriesTable[Category type],MATCH(Table1[[#This Row],[Category]],CategoriesTable[Category name],0),0),"")</f>
        <v/>
      </c>
      <c r="P1381" s="138">
        <v>23</v>
      </c>
      <c r="Q1381" s="138">
        <f>MONTH(Table1[[#This Row],[Date]])</f>
        <v>12</v>
      </c>
      <c r="R1381" s="138">
        <v>2020</v>
      </c>
      <c r="S1381" s="139">
        <f>IF(ISBLANK(Table1[[#This Row],[Date]]),"",Table1[[#This Row],[Date]]-WEEKDAY(Table1[[#This Row],[Date]],2)+1)</f>
        <v>44186</v>
      </c>
      <c r="T1381" s="140">
        <f>IF(ISBLANK(Table1[[#This Row],[Date]]),"",DATE(Table1[[#This Row],[Date_Year]],Table1[[#This Row],[Date_Month]],1))</f>
        <v>44166</v>
      </c>
    </row>
    <row r="1382" spans="2:20" ht="15.75">
      <c r="B1382" s="154">
        <v>44187</v>
      </c>
      <c r="C1382" s="119" t="s">
        <v>2715</v>
      </c>
      <c r="D1382" s="119"/>
      <c r="E1382" s="119"/>
      <c r="F1382" s="155">
        <v>-133.51</v>
      </c>
      <c r="G1382" s="133" t="str">
        <f>_xlfn.XLOOKUP(Table1[[#This Row],[Account_ID]], Accounts[ID], Accounts[Account nickname], "Unknown")</f>
        <v>Discover</v>
      </c>
      <c r="H1382" s="134" t="str">
        <f>_xlfn.XLOOKUP(Table1[[#This Row],[Account_ID]], Accounts[ID], Accounts[Account'#], "Unknown")</f>
        <v>4618</v>
      </c>
      <c r="I1382" s="135" t="str">
        <f>_xlfn.XLOOKUP(_xlfn.XLOOKUP(Table1[[#This Row],[Account]],Accounts[Account nickname],Accounts[Institution ID]),Institutions[ID],Institutions[Institution nickname],"Unknown")</f>
        <v>Discover</v>
      </c>
      <c r="J1382" s="136" t="s">
        <v>2717</v>
      </c>
      <c r="K1382" s="137" t="s">
        <v>843</v>
      </c>
      <c r="L1382" s="137" t="s">
        <v>841</v>
      </c>
      <c r="M138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8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82" s="138" t="str" cm="1">
        <f t="array" ref="O1382">IFERROR(INDEX(CategoriesTable[Category type],MATCH(Table1[[#This Row],[Category]],CategoriesTable[Category name],0),0),"")</f>
        <v/>
      </c>
      <c r="P1382" s="138">
        <v>22</v>
      </c>
      <c r="Q1382" s="138">
        <f>MONTH(Table1[[#This Row],[Date]])</f>
        <v>12</v>
      </c>
      <c r="R1382" s="138">
        <v>2020</v>
      </c>
      <c r="S1382" s="139">
        <f>IF(ISBLANK(Table1[[#This Row],[Date]]),"",Table1[[#This Row],[Date]]-WEEKDAY(Table1[[#This Row],[Date]],2)+1)</f>
        <v>44186</v>
      </c>
      <c r="T1382" s="140">
        <f>IF(ISBLANK(Table1[[#This Row],[Date]]),"",DATE(Table1[[#This Row],[Date_Year]],Table1[[#This Row],[Date_Month]],1))</f>
        <v>44166</v>
      </c>
    </row>
    <row r="1383" spans="2:20" ht="15.75">
      <c r="B1383" s="154">
        <v>44187</v>
      </c>
      <c r="C1383" s="119" t="s">
        <v>2715</v>
      </c>
      <c r="D1383" s="119"/>
      <c r="E1383" s="119"/>
      <c r="F1383" s="155">
        <v>-169.57</v>
      </c>
      <c r="G1383" s="133" t="str">
        <f>_xlfn.XLOOKUP(Table1[[#This Row],[Account_ID]], Accounts[ID], Accounts[Account nickname], "Unknown")</f>
        <v>Discover</v>
      </c>
      <c r="H1383" s="134" t="str">
        <f>_xlfn.XLOOKUP(Table1[[#This Row],[Account_ID]], Accounts[ID], Accounts[Account'#], "Unknown")</f>
        <v>4618</v>
      </c>
      <c r="I1383" s="135" t="str">
        <f>_xlfn.XLOOKUP(_xlfn.XLOOKUP(Table1[[#This Row],[Account]],Accounts[Account nickname],Accounts[Institution ID]),Institutions[ID],Institutions[Institution nickname],"Unknown")</f>
        <v>Discover</v>
      </c>
      <c r="J1383" s="136" t="s">
        <v>2718</v>
      </c>
      <c r="K1383" s="137" t="s">
        <v>843</v>
      </c>
      <c r="L1383" s="137" t="s">
        <v>841</v>
      </c>
      <c r="M138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8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83" s="138" t="str" cm="1">
        <f t="array" ref="O1383">IFERROR(INDEX(CategoriesTable[Category type],MATCH(Table1[[#This Row],[Category]],CategoriesTable[Category name],0),0),"")</f>
        <v/>
      </c>
      <c r="P1383" s="138">
        <v>22</v>
      </c>
      <c r="Q1383" s="138">
        <f>MONTH(Table1[[#This Row],[Date]])</f>
        <v>12</v>
      </c>
      <c r="R1383" s="138">
        <v>2020</v>
      </c>
      <c r="S1383" s="139">
        <f>IF(ISBLANK(Table1[[#This Row],[Date]]),"",Table1[[#This Row],[Date]]-WEEKDAY(Table1[[#This Row],[Date]],2)+1)</f>
        <v>44186</v>
      </c>
      <c r="T1383" s="140">
        <f>IF(ISBLANK(Table1[[#This Row],[Date]]),"",DATE(Table1[[#This Row],[Date_Year]],Table1[[#This Row],[Date_Month]],1))</f>
        <v>44166</v>
      </c>
    </row>
    <row r="1384" spans="2:20" ht="15.75">
      <c r="B1384" s="154">
        <v>44187</v>
      </c>
      <c r="C1384" s="119" t="s">
        <v>2715</v>
      </c>
      <c r="D1384" s="119"/>
      <c r="E1384" s="119"/>
      <c r="F1384" s="155">
        <v>84.79</v>
      </c>
      <c r="G1384" s="133" t="str">
        <f>_xlfn.XLOOKUP(Table1[[#This Row],[Account_ID]], Accounts[ID], Accounts[Account nickname], "Unknown")</f>
        <v>Discover</v>
      </c>
      <c r="H1384" s="134" t="str">
        <f>_xlfn.XLOOKUP(Table1[[#This Row],[Account_ID]], Accounts[ID], Accounts[Account'#], "Unknown")</f>
        <v>4618</v>
      </c>
      <c r="I1384" s="135" t="str">
        <f>_xlfn.XLOOKUP(_xlfn.XLOOKUP(Table1[[#This Row],[Account]],Accounts[Account nickname],Accounts[Institution ID]),Institutions[ID],Institutions[Institution nickname],"Unknown")</f>
        <v>Discover</v>
      </c>
      <c r="J1384" s="136" t="s">
        <v>2716</v>
      </c>
      <c r="K1384" s="137" t="s">
        <v>843</v>
      </c>
      <c r="L1384" s="137" t="s">
        <v>841</v>
      </c>
      <c r="M138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8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84" s="138" t="str" cm="1">
        <f t="array" ref="O1384">IFERROR(INDEX(CategoriesTable[Category type],MATCH(Table1[[#This Row],[Category]],CategoriesTable[Category name],0),0),"")</f>
        <v/>
      </c>
      <c r="P1384" s="138">
        <v>22</v>
      </c>
      <c r="Q1384" s="138">
        <f>MONTH(Table1[[#This Row],[Date]])</f>
        <v>12</v>
      </c>
      <c r="R1384" s="138">
        <v>2020</v>
      </c>
      <c r="S1384" s="139">
        <f>IF(ISBLANK(Table1[[#This Row],[Date]]),"",Table1[[#This Row],[Date]]-WEEKDAY(Table1[[#This Row],[Date]],2)+1)</f>
        <v>44186</v>
      </c>
      <c r="T1384" s="140">
        <f>IF(ISBLANK(Table1[[#This Row],[Date]]),"",DATE(Table1[[#This Row],[Date_Year]],Table1[[#This Row],[Date_Month]],1))</f>
        <v>44166</v>
      </c>
    </row>
    <row r="1385" spans="2:20" ht="15.75">
      <c r="B1385" s="154">
        <v>44186</v>
      </c>
      <c r="C1385" s="119" t="s">
        <v>776</v>
      </c>
      <c r="D1385" s="119"/>
      <c r="E1385" s="119"/>
      <c r="F1385" s="155">
        <v>-1231</v>
      </c>
      <c r="G1385" s="133" t="str">
        <f>_xlfn.XLOOKUP(Table1[[#This Row],[Account_ID]], Accounts[ID], Accounts[Account nickname], "Unknown")</f>
        <v>WF</v>
      </c>
      <c r="H1385" s="134" t="str">
        <f>_xlfn.XLOOKUP(Table1[[#This Row],[Account_ID]], Accounts[ID], Accounts[Account'#], "Unknown")</f>
        <v>4636</v>
      </c>
      <c r="I1385" s="135" t="str">
        <f>_xlfn.XLOOKUP(_xlfn.XLOOKUP(Table1[[#This Row],[Account]],Accounts[Account nickname],Accounts[Institution ID]),Institutions[ID],Institutions[Institution nickname],"Unknown")</f>
        <v>Wells Fargo</v>
      </c>
      <c r="J1385" s="136" t="s">
        <v>1231</v>
      </c>
      <c r="K1385" s="137" t="s">
        <v>808</v>
      </c>
      <c r="L1385" s="137" t="s">
        <v>807</v>
      </c>
      <c r="M138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8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85" s="138" t="str" cm="1">
        <f t="array" ref="O1385">IFERROR(INDEX(CategoriesTable[Category type],MATCH(Table1[[#This Row],[Category]],CategoriesTable[Category name],0),0),"")</f>
        <v/>
      </c>
      <c r="P1385" s="138">
        <v>21</v>
      </c>
      <c r="Q1385" s="138">
        <f>MONTH(Table1[[#This Row],[Date]])</f>
        <v>12</v>
      </c>
      <c r="R1385" s="138">
        <v>2020</v>
      </c>
      <c r="S1385" s="139">
        <f>IF(ISBLANK(Table1[[#This Row],[Date]]),"",Table1[[#This Row],[Date]]-WEEKDAY(Table1[[#This Row],[Date]],2)+1)</f>
        <v>44186</v>
      </c>
      <c r="T1385" s="140">
        <f>IF(ISBLANK(Table1[[#This Row],[Date]]),"",DATE(Table1[[#This Row],[Date_Year]],Table1[[#This Row],[Date_Month]],1))</f>
        <v>44166</v>
      </c>
    </row>
    <row r="1386" spans="2:20" ht="15.75">
      <c r="B1386" s="154">
        <v>44186</v>
      </c>
      <c r="C1386" s="119" t="s">
        <v>2666</v>
      </c>
      <c r="D1386" s="119"/>
      <c r="E1386" s="119"/>
      <c r="F1386" s="155">
        <v>-3.98</v>
      </c>
      <c r="G1386" s="133" t="str">
        <f>_xlfn.XLOOKUP(Table1[[#This Row],[Account_ID]], Accounts[ID], Accounts[Account nickname], "Unknown")</f>
        <v>Discover</v>
      </c>
      <c r="H1386" s="134" t="str">
        <f>_xlfn.XLOOKUP(Table1[[#This Row],[Account_ID]], Accounts[ID], Accounts[Account'#], "Unknown")</f>
        <v>4618</v>
      </c>
      <c r="I1386" s="135" t="str">
        <f>_xlfn.XLOOKUP(_xlfn.XLOOKUP(Table1[[#This Row],[Account]],Accounts[Account nickname],Accounts[Institution ID]),Institutions[ID],Institutions[Institution nickname],"Unknown")</f>
        <v>Discover</v>
      </c>
      <c r="J1386" s="136" t="s">
        <v>2720</v>
      </c>
      <c r="K1386" s="137" t="s">
        <v>843</v>
      </c>
      <c r="L1386" s="137" t="s">
        <v>841</v>
      </c>
      <c r="M138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8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86" s="138" t="str" cm="1">
        <f t="array" ref="O1386">IFERROR(INDEX(CategoriesTable[Category type],MATCH(Table1[[#This Row],[Category]],CategoriesTable[Category name],0),0),"")</f>
        <v/>
      </c>
      <c r="P1386" s="138">
        <v>21</v>
      </c>
      <c r="Q1386" s="138">
        <f>MONTH(Table1[[#This Row],[Date]])</f>
        <v>12</v>
      </c>
      <c r="R1386" s="138">
        <v>2020</v>
      </c>
      <c r="S1386" s="139">
        <f>IF(ISBLANK(Table1[[#This Row],[Date]]),"",Table1[[#This Row],[Date]]-WEEKDAY(Table1[[#This Row],[Date]],2)+1)</f>
        <v>44186</v>
      </c>
      <c r="T1386" s="140">
        <f>IF(ISBLANK(Table1[[#This Row],[Date]]),"",DATE(Table1[[#This Row],[Date_Year]],Table1[[#This Row],[Date_Month]],1))</f>
        <v>44166</v>
      </c>
    </row>
    <row r="1387" spans="2:20" ht="15.75">
      <c r="B1387" s="154">
        <v>44186</v>
      </c>
      <c r="C1387" s="119" t="s">
        <v>2725</v>
      </c>
      <c r="D1387" s="119"/>
      <c r="E1387" s="119"/>
      <c r="F1387" s="155">
        <v>-15.66</v>
      </c>
      <c r="G1387" s="133" t="str">
        <f>_xlfn.XLOOKUP(Table1[[#This Row],[Account_ID]], Accounts[ID], Accounts[Account nickname], "Unknown")</f>
        <v>Discover</v>
      </c>
      <c r="H1387" s="134" t="str">
        <f>_xlfn.XLOOKUP(Table1[[#This Row],[Account_ID]], Accounts[ID], Accounts[Account'#], "Unknown")</f>
        <v>4618</v>
      </c>
      <c r="I1387" s="135" t="str">
        <f>_xlfn.XLOOKUP(_xlfn.XLOOKUP(Table1[[#This Row],[Account]],Accounts[Account nickname],Accounts[Institution ID]),Institutions[ID],Institutions[Institution nickname],"Unknown")</f>
        <v>Discover</v>
      </c>
      <c r="J1387" s="136" t="s">
        <v>2726</v>
      </c>
      <c r="K1387" s="137" t="s">
        <v>843</v>
      </c>
      <c r="L1387" s="137" t="s">
        <v>841</v>
      </c>
      <c r="M138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8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87" s="138" t="str" cm="1">
        <f t="array" ref="O1387">IFERROR(INDEX(CategoriesTable[Category type],MATCH(Table1[[#This Row],[Category]],CategoriesTable[Category name],0),0),"")</f>
        <v/>
      </c>
      <c r="P1387" s="138">
        <v>21</v>
      </c>
      <c r="Q1387" s="138">
        <f>MONTH(Table1[[#This Row],[Date]])</f>
        <v>12</v>
      </c>
      <c r="R1387" s="138">
        <v>2020</v>
      </c>
      <c r="S1387" s="139">
        <f>IF(ISBLANK(Table1[[#This Row],[Date]]),"",Table1[[#This Row],[Date]]-WEEKDAY(Table1[[#This Row],[Date]],2)+1)</f>
        <v>44186</v>
      </c>
      <c r="T1387" s="140">
        <f>IF(ISBLANK(Table1[[#This Row],[Date]]),"",DATE(Table1[[#This Row],[Date_Year]],Table1[[#This Row],[Date_Month]],1))</f>
        <v>44166</v>
      </c>
    </row>
    <row r="1388" spans="2:20" ht="15.75">
      <c r="B1388" s="154">
        <v>44186</v>
      </c>
      <c r="C1388" s="119" t="s">
        <v>2666</v>
      </c>
      <c r="D1388" s="119"/>
      <c r="E1388" s="119"/>
      <c r="F1388" s="155">
        <v>-2.0499999999999998</v>
      </c>
      <c r="G1388" s="133" t="str">
        <f>_xlfn.XLOOKUP(Table1[[#This Row],[Account_ID]], Accounts[ID], Accounts[Account nickname], "Unknown")</f>
        <v>Discover</v>
      </c>
      <c r="H1388" s="134" t="str">
        <f>_xlfn.XLOOKUP(Table1[[#This Row],[Account_ID]], Accounts[ID], Accounts[Account'#], "Unknown")</f>
        <v>4618</v>
      </c>
      <c r="I1388" s="135" t="str">
        <f>_xlfn.XLOOKUP(_xlfn.XLOOKUP(Table1[[#This Row],[Account]],Accounts[Account nickname],Accounts[Institution ID]),Institutions[ID],Institutions[Institution nickname],"Unknown")</f>
        <v>Discover</v>
      </c>
      <c r="J1388" s="136" t="s">
        <v>2719</v>
      </c>
      <c r="K1388" s="137" t="s">
        <v>843</v>
      </c>
      <c r="L1388" s="137" t="s">
        <v>841</v>
      </c>
      <c r="M138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8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88" s="138" t="str" cm="1">
        <f t="array" ref="O1388">IFERROR(INDEX(CategoriesTable[Category type],MATCH(Table1[[#This Row],[Category]],CategoriesTable[Category name],0),0),"")</f>
        <v/>
      </c>
      <c r="P1388" s="138">
        <v>21</v>
      </c>
      <c r="Q1388" s="138">
        <f>MONTH(Table1[[#This Row],[Date]])</f>
        <v>12</v>
      </c>
      <c r="R1388" s="138">
        <v>2020</v>
      </c>
      <c r="S1388" s="139">
        <f>IF(ISBLANK(Table1[[#This Row],[Date]]),"",Table1[[#This Row],[Date]]-WEEKDAY(Table1[[#This Row],[Date]],2)+1)</f>
        <v>44186</v>
      </c>
      <c r="T1388" s="140">
        <f>IF(ISBLANK(Table1[[#This Row],[Date]]),"",DATE(Table1[[#This Row],[Date_Year]],Table1[[#This Row],[Date_Month]],1))</f>
        <v>44166</v>
      </c>
    </row>
    <row r="1389" spans="2:20" ht="15.75">
      <c r="B1389" s="154">
        <v>44186</v>
      </c>
      <c r="C1389" s="119" t="s">
        <v>678</v>
      </c>
      <c r="D1389" s="119"/>
      <c r="E1389" s="119"/>
      <c r="F1389" s="155">
        <v>-60</v>
      </c>
      <c r="G1389" s="133" t="str">
        <f>_xlfn.XLOOKUP(Table1[[#This Row],[Account_ID]], Accounts[ID], Accounts[Account nickname], "Unknown")</f>
        <v>WF</v>
      </c>
      <c r="H1389" s="134" t="str">
        <f>_xlfn.XLOOKUP(Table1[[#This Row],[Account_ID]], Accounts[ID], Accounts[Account'#], "Unknown")</f>
        <v>4636</v>
      </c>
      <c r="I1389" s="135" t="str">
        <f>_xlfn.XLOOKUP(_xlfn.XLOOKUP(Table1[[#This Row],[Account]],Accounts[Account nickname],Accounts[Institution ID]),Institutions[ID],Institutions[Institution nickname],"Unknown")</f>
        <v>Wells Fargo</v>
      </c>
      <c r="J1389" s="136" t="s">
        <v>1232</v>
      </c>
      <c r="K1389" s="137" t="s">
        <v>808</v>
      </c>
      <c r="L1389" s="137" t="s">
        <v>807</v>
      </c>
      <c r="M138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8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89" s="138" t="str" cm="1">
        <f t="array" ref="O1389">IFERROR(INDEX(CategoriesTable[Category type],MATCH(Table1[[#This Row],[Category]],CategoriesTable[Category name],0),0),"")</f>
        <v/>
      </c>
      <c r="P1389" s="138">
        <v>21</v>
      </c>
      <c r="Q1389" s="138">
        <f>MONTH(Table1[[#This Row],[Date]])</f>
        <v>12</v>
      </c>
      <c r="R1389" s="138">
        <v>2020</v>
      </c>
      <c r="S1389" s="139">
        <f>IF(ISBLANK(Table1[[#This Row],[Date]]),"",Table1[[#This Row],[Date]]-WEEKDAY(Table1[[#This Row],[Date]],2)+1)</f>
        <v>44186</v>
      </c>
      <c r="T1389" s="140">
        <f>IF(ISBLANK(Table1[[#This Row],[Date]]),"",DATE(Table1[[#This Row],[Date_Year]],Table1[[#This Row],[Date_Month]],1))</f>
        <v>44166</v>
      </c>
    </row>
    <row r="1390" spans="2:20" ht="15.75">
      <c r="B1390" s="154">
        <v>44186</v>
      </c>
      <c r="C1390" s="119" t="s">
        <v>2590</v>
      </c>
      <c r="D1390" s="119"/>
      <c r="E1390" s="119"/>
      <c r="F1390" s="155">
        <v>-84.01</v>
      </c>
      <c r="G1390" s="133" t="str">
        <f>_xlfn.XLOOKUP(Table1[[#This Row],[Account_ID]], Accounts[ID], Accounts[Account nickname], "Unknown")</f>
        <v>Discover</v>
      </c>
      <c r="H1390" s="134" t="str">
        <f>_xlfn.XLOOKUP(Table1[[#This Row],[Account_ID]], Accounts[ID], Accounts[Account'#], "Unknown")</f>
        <v>4618</v>
      </c>
      <c r="I1390" s="135" t="str">
        <f>_xlfn.XLOOKUP(_xlfn.XLOOKUP(Table1[[#This Row],[Account]],Accounts[Account nickname],Accounts[Institution ID]),Institutions[ID],Institutions[Institution nickname],"Unknown")</f>
        <v>Discover</v>
      </c>
      <c r="J1390" s="136" t="s">
        <v>2724</v>
      </c>
      <c r="K1390" s="137" t="s">
        <v>843</v>
      </c>
      <c r="L1390" s="137" t="s">
        <v>841</v>
      </c>
      <c r="M139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9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90" s="138" t="str" cm="1">
        <f t="array" ref="O1390">IFERROR(INDEX(CategoriesTable[Category type],MATCH(Table1[[#This Row],[Category]],CategoriesTable[Category name],0),0),"")</f>
        <v/>
      </c>
      <c r="P1390" s="138">
        <v>21</v>
      </c>
      <c r="Q1390" s="138">
        <f>MONTH(Table1[[#This Row],[Date]])</f>
        <v>12</v>
      </c>
      <c r="R1390" s="138">
        <v>2020</v>
      </c>
      <c r="S1390" s="139">
        <f>IF(ISBLANK(Table1[[#This Row],[Date]]),"",Table1[[#This Row],[Date]]-WEEKDAY(Table1[[#This Row],[Date]],2)+1)</f>
        <v>44186</v>
      </c>
      <c r="T1390" s="140">
        <f>IF(ISBLANK(Table1[[#This Row],[Date]]),"",DATE(Table1[[#This Row],[Date_Year]],Table1[[#This Row],[Date_Month]],1))</f>
        <v>44166</v>
      </c>
    </row>
    <row r="1391" spans="2:20" ht="15.75">
      <c r="B1391" s="154">
        <v>44186</v>
      </c>
      <c r="C1391" s="119" t="s">
        <v>2722</v>
      </c>
      <c r="D1391" s="119"/>
      <c r="E1391" s="119"/>
      <c r="F1391" s="155">
        <v>-20</v>
      </c>
      <c r="G1391" s="133" t="str">
        <f>_xlfn.XLOOKUP(Table1[[#This Row],[Account_ID]], Accounts[ID], Accounts[Account nickname], "Unknown")</f>
        <v>Discover</v>
      </c>
      <c r="H1391" s="134" t="str">
        <f>_xlfn.XLOOKUP(Table1[[#This Row],[Account_ID]], Accounts[ID], Accounts[Account'#], "Unknown")</f>
        <v>4618</v>
      </c>
      <c r="I1391" s="135" t="str">
        <f>_xlfn.XLOOKUP(_xlfn.XLOOKUP(Table1[[#This Row],[Account]],Accounts[Account nickname],Accounts[Institution ID]),Institutions[ID],Institutions[Institution nickname],"Unknown")</f>
        <v>Discover</v>
      </c>
      <c r="J1391" s="152" t="s">
        <v>2723</v>
      </c>
      <c r="K1391" s="137" t="s">
        <v>843</v>
      </c>
      <c r="L1391" s="137" t="s">
        <v>841</v>
      </c>
      <c r="M139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9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91" s="138" t="str" cm="1">
        <f t="array" ref="O1391">IFERROR(INDEX(CategoriesTable[Category type],MATCH(Table1[[#This Row],[Category]],CategoriesTable[Category name],0),0),"")</f>
        <v/>
      </c>
      <c r="P1391" s="138">
        <v>21</v>
      </c>
      <c r="Q1391" s="138">
        <f>MONTH(Table1[[#This Row],[Date]])</f>
        <v>12</v>
      </c>
      <c r="R1391" s="138">
        <v>2020</v>
      </c>
      <c r="S1391" s="139">
        <f>IF(ISBLANK(Table1[[#This Row],[Date]]),"",Table1[[#This Row],[Date]]-WEEKDAY(Table1[[#This Row],[Date]],2)+1)</f>
        <v>44186</v>
      </c>
      <c r="T1391" s="140">
        <f>IF(ISBLANK(Table1[[#This Row],[Date]]),"",DATE(Table1[[#This Row],[Date_Year]],Table1[[#This Row],[Date_Month]],1))</f>
        <v>44166</v>
      </c>
    </row>
    <row r="1392" spans="2:20" ht="15.75">
      <c r="B1392" s="154">
        <v>44186</v>
      </c>
      <c r="C1392" s="119" t="s">
        <v>1436</v>
      </c>
      <c r="D1392" s="119"/>
      <c r="E1392" s="119"/>
      <c r="F1392" s="155">
        <v>-7.99</v>
      </c>
      <c r="G1392" s="133" t="str">
        <f>_xlfn.XLOOKUP(Table1[[#This Row],[Account_ID]], Accounts[ID], Accounts[Account nickname], "Unknown")</f>
        <v>Discover</v>
      </c>
      <c r="H1392" s="134" t="str">
        <f>_xlfn.XLOOKUP(Table1[[#This Row],[Account_ID]], Accounts[ID], Accounts[Account'#], "Unknown")</f>
        <v>4618</v>
      </c>
      <c r="I1392" s="135" t="str">
        <f>_xlfn.XLOOKUP(_xlfn.XLOOKUP(Table1[[#This Row],[Account]],Accounts[Account nickname],Accounts[Institution ID]),Institutions[ID],Institutions[Institution nickname],"Unknown")</f>
        <v>Discover</v>
      </c>
      <c r="J1392" s="136" t="s">
        <v>2721</v>
      </c>
      <c r="K1392" s="137" t="s">
        <v>843</v>
      </c>
      <c r="L1392" s="137" t="s">
        <v>841</v>
      </c>
      <c r="M139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9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92" s="138" t="str" cm="1">
        <f t="array" ref="O1392">IFERROR(INDEX(CategoriesTable[Category type],MATCH(Table1[[#This Row],[Category]],CategoriesTable[Category name],0),0),"")</f>
        <v/>
      </c>
      <c r="P1392" s="138">
        <v>21</v>
      </c>
      <c r="Q1392" s="138">
        <f>MONTH(Table1[[#This Row],[Date]])</f>
        <v>12</v>
      </c>
      <c r="R1392" s="138">
        <v>2020</v>
      </c>
      <c r="S1392" s="139">
        <f>IF(ISBLANK(Table1[[#This Row],[Date]]),"",Table1[[#This Row],[Date]]-WEEKDAY(Table1[[#This Row],[Date]],2)+1)</f>
        <v>44186</v>
      </c>
      <c r="T1392" s="140">
        <f>IF(ISBLANK(Table1[[#This Row],[Date]]),"",DATE(Table1[[#This Row],[Date_Year]],Table1[[#This Row],[Date_Month]],1))</f>
        <v>44166</v>
      </c>
    </row>
    <row r="1393" spans="2:20" ht="15.75">
      <c r="B1393" s="154">
        <v>44185</v>
      </c>
      <c r="C1393" s="119" t="s">
        <v>2727</v>
      </c>
      <c r="D1393" s="119"/>
      <c r="E1393" s="119"/>
      <c r="F1393" s="155">
        <v>-50</v>
      </c>
      <c r="G1393" s="133" t="str">
        <f>_xlfn.XLOOKUP(Table1[[#This Row],[Account_ID]], Accounts[ID], Accounts[Account nickname], "Unknown")</f>
        <v>Discover</v>
      </c>
      <c r="H1393" s="134" t="str">
        <f>_xlfn.XLOOKUP(Table1[[#This Row],[Account_ID]], Accounts[ID], Accounts[Account'#], "Unknown")</f>
        <v>4618</v>
      </c>
      <c r="I1393" s="135" t="str">
        <f>_xlfn.XLOOKUP(_xlfn.XLOOKUP(Table1[[#This Row],[Account]],Accounts[Account nickname],Accounts[Institution ID]),Institutions[ID],Institutions[Institution nickname],"Unknown")</f>
        <v>Discover</v>
      </c>
      <c r="J1393" s="136" t="s">
        <v>2728</v>
      </c>
      <c r="K1393" s="137" t="s">
        <v>843</v>
      </c>
      <c r="L1393" s="137" t="s">
        <v>841</v>
      </c>
      <c r="M139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9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93" s="138" t="str" cm="1">
        <f t="array" ref="O1393">IFERROR(INDEX(CategoriesTable[Category type],MATCH(Table1[[#This Row],[Category]],CategoriesTable[Category name],0),0),"")</f>
        <v/>
      </c>
      <c r="P1393" s="138">
        <v>20</v>
      </c>
      <c r="Q1393" s="138">
        <f>MONTH(Table1[[#This Row],[Date]])</f>
        <v>12</v>
      </c>
      <c r="R1393" s="138">
        <v>2020</v>
      </c>
      <c r="S1393" s="139">
        <f>IF(ISBLANK(Table1[[#This Row],[Date]]),"",Table1[[#This Row],[Date]]-WEEKDAY(Table1[[#This Row],[Date]],2)+1)</f>
        <v>44179</v>
      </c>
      <c r="T1393" s="140">
        <f>IF(ISBLANK(Table1[[#This Row],[Date]]),"",DATE(Table1[[#This Row],[Date_Year]],Table1[[#This Row],[Date_Month]],1))</f>
        <v>44166</v>
      </c>
    </row>
    <row r="1394" spans="2:20" ht="15.75">
      <c r="B1394" s="154">
        <v>44184</v>
      </c>
      <c r="C1394" s="119" t="s">
        <v>1726</v>
      </c>
      <c r="D1394" s="119"/>
      <c r="E1394" s="119"/>
      <c r="F1394" s="155">
        <v>-9.99</v>
      </c>
      <c r="G1394" s="133" t="str">
        <f>_xlfn.XLOOKUP(Table1[[#This Row],[Account_ID]], Accounts[ID], Accounts[Account nickname], "Unknown")</f>
        <v>Discover</v>
      </c>
      <c r="H1394" s="134" t="str">
        <f>_xlfn.XLOOKUP(Table1[[#This Row],[Account_ID]], Accounts[ID], Accounts[Account'#], "Unknown")</f>
        <v>4618</v>
      </c>
      <c r="I1394" s="135" t="str">
        <f>_xlfn.XLOOKUP(_xlfn.XLOOKUP(Table1[[#This Row],[Account]],Accounts[Account nickname],Accounts[Institution ID]),Institutions[ID],Institutions[Institution nickname],"Unknown")</f>
        <v>Discover</v>
      </c>
      <c r="J1394" s="136" t="s">
        <v>2731</v>
      </c>
      <c r="K1394" s="137" t="s">
        <v>843</v>
      </c>
      <c r="L1394" s="137" t="s">
        <v>841</v>
      </c>
      <c r="M139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9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94" s="138" t="str" cm="1">
        <f t="array" ref="O1394">IFERROR(INDEX(CategoriesTable[Category type],MATCH(Table1[[#This Row],[Category]],CategoriesTable[Category name],0),0),"")</f>
        <v/>
      </c>
      <c r="P1394" s="138">
        <v>19</v>
      </c>
      <c r="Q1394" s="138">
        <f>MONTH(Table1[[#This Row],[Date]])</f>
        <v>12</v>
      </c>
      <c r="R1394" s="138">
        <v>2020</v>
      </c>
      <c r="S1394" s="139">
        <f>IF(ISBLANK(Table1[[#This Row],[Date]]),"",Table1[[#This Row],[Date]]-WEEKDAY(Table1[[#This Row],[Date]],2)+1)</f>
        <v>44179</v>
      </c>
      <c r="T1394" s="140">
        <f>IF(ISBLANK(Table1[[#This Row],[Date]]),"",DATE(Table1[[#This Row],[Date_Year]],Table1[[#This Row],[Date_Month]],1))</f>
        <v>44166</v>
      </c>
    </row>
    <row r="1395" spans="2:20" ht="15.75">
      <c r="B1395" s="154">
        <v>44184</v>
      </c>
      <c r="C1395" s="119" t="s">
        <v>2729</v>
      </c>
      <c r="D1395" s="119"/>
      <c r="E1395" s="119"/>
      <c r="F1395" s="155">
        <v>-52.99</v>
      </c>
      <c r="G1395" s="133" t="str">
        <f>_xlfn.XLOOKUP(Table1[[#This Row],[Account_ID]], Accounts[ID], Accounts[Account nickname], "Unknown")</f>
        <v>Discover</v>
      </c>
      <c r="H1395" s="134" t="str">
        <f>_xlfn.XLOOKUP(Table1[[#This Row],[Account_ID]], Accounts[ID], Accounts[Account'#], "Unknown")</f>
        <v>4618</v>
      </c>
      <c r="I1395" s="135" t="str">
        <f>_xlfn.XLOOKUP(_xlfn.XLOOKUP(Table1[[#This Row],[Account]],Accounts[Account nickname],Accounts[Institution ID]),Institutions[ID],Institutions[Institution nickname],"Unknown")</f>
        <v>Discover</v>
      </c>
      <c r="J1395" s="136" t="s">
        <v>2730</v>
      </c>
      <c r="K1395" s="137" t="s">
        <v>843</v>
      </c>
      <c r="L1395" s="137" t="s">
        <v>841</v>
      </c>
      <c r="M139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9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95" s="138" t="str" cm="1">
        <f t="array" ref="O1395">IFERROR(INDEX(CategoriesTable[Category type],MATCH(Table1[[#This Row],[Category]],CategoriesTable[Category name],0),0),"")</f>
        <v/>
      </c>
      <c r="P1395" s="138">
        <v>19</v>
      </c>
      <c r="Q1395" s="138">
        <f>MONTH(Table1[[#This Row],[Date]])</f>
        <v>12</v>
      </c>
      <c r="R1395" s="138">
        <v>2020</v>
      </c>
      <c r="S1395" s="139">
        <f>IF(ISBLANK(Table1[[#This Row],[Date]]),"",Table1[[#This Row],[Date]]-WEEKDAY(Table1[[#This Row],[Date]],2)+1)</f>
        <v>44179</v>
      </c>
      <c r="T1395" s="140">
        <f>IF(ISBLANK(Table1[[#This Row],[Date]]),"",DATE(Table1[[#This Row],[Date_Year]],Table1[[#This Row],[Date_Month]],1))</f>
        <v>44166</v>
      </c>
    </row>
    <row r="1396" spans="2:20" ht="15.75">
      <c r="B1396" s="154">
        <v>44183</v>
      </c>
      <c r="C1396" s="119" t="s">
        <v>712</v>
      </c>
      <c r="D1396" s="119"/>
      <c r="E1396" s="119"/>
      <c r="F1396" s="155">
        <v>-9.64</v>
      </c>
      <c r="G1396" s="133" t="str">
        <f>_xlfn.XLOOKUP(Table1[[#This Row],[Account_ID]], Accounts[ID], Accounts[Account nickname], "Unknown")</f>
        <v>Discover</v>
      </c>
      <c r="H1396" s="134" t="str">
        <f>_xlfn.XLOOKUP(Table1[[#This Row],[Account_ID]], Accounts[ID], Accounts[Account'#], "Unknown")</f>
        <v>4618</v>
      </c>
      <c r="I1396" s="135" t="str">
        <f>_xlfn.XLOOKUP(_xlfn.XLOOKUP(Table1[[#This Row],[Account]],Accounts[Account nickname],Accounts[Institution ID]),Institutions[ID],Institutions[Institution nickname],"Unknown")</f>
        <v>Discover</v>
      </c>
      <c r="J1396" s="136" t="s">
        <v>2733</v>
      </c>
      <c r="K1396" s="137" t="s">
        <v>843</v>
      </c>
      <c r="L1396" s="137" t="s">
        <v>841</v>
      </c>
      <c r="M139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9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96" s="138" t="str" cm="1">
        <f t="array" ref="O1396">IFERROR(INDEX(CategoriesTable[Category type],MATCH(Table1[[#This Row],[Category]],CategoriesTable[Category name],0),0),"")</f>
        <v/>
      </c>
      <c r="P1396" s="138">
        <v>18</v>
      </c>
      <c r="Q1396" s="138">
        <f>MONTH(Table1[[#This Row],[Date]])</f>
        <v>12</v>
      </c>
      <c r="R1396" s="138">
        <v>2020</v>
      </c>
      <c r="S1396" s="139">
        <f>IF(ISBLANK(Table1[[#This Row],[Date]]),"",Table1[[#This Row],[Date]]-WEEKDAY(Table1[[#This Row],[Date]],2)+1)</f>
        <v>44179</v>
      </c>
      <c r="T1396" s="140">
        <f>IF(ISBLANK(Table1[[#This Row],[Date]]),"",DATE(Table1[[#This Row],[Date_Year]],Table1[[#This Row],[Date_Month]],1))</f>
        <v>44166</v>
      </c>
    </row>
    <row r="1397" spans="2:20" ht="15.75">
      <c r="B1397" s="154">
        <v>44183</v>
      </c>
      <c r="C1397" s="119" t="s">
        <v>2590</v>
      </c>
      <c r="D1397" s="119"/>
      <c r="E1397" s="119"/>
      <c r="F1397" s="155">
        <v>-5.92</v>
      </c>
      <c r="G1397" s="133" t="str">
        <f>_xlfn.XLOOKUP(Table1[[#This Row],[Account_ID]], Accounts[ID], Accounts[Account nickname], "Unknown")</f>
        <v>Discover</v>
      </c>
      <c r="H1397" s="134" t="str">
        <f>_xlfn.XLOOKUP(Table1[[#This Row],[Account_ID]], Accounts[ID], Accounts[Account'#], "Unknown")</f>
        <v>4618</v>
      </c>
      <c r="I1397" s="135" t="str">
        <f>_xlfn.XLOOKUP(_xlfn.XLOOKUP(Table1[[#This Row],[Account]],Accounts[Account nickname],Accounts[Institution ID]),Institutions[ID],Institutions[Institution nickname],"Unknown")</f>
        <v>Discover</v>
      </c>
      <c r="J1397" s="136" t="s">
        <v>2732</v>
      </c>
      <c r="K1397" s="137" t="s">
        <v>843</v>
      </c>
      <c r="L1397" s="137" t="s">
        <v>841</v>
      </c>
      <c r="M139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9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97" s="138" t="str" cm="1">
        <f t="array" ref="O1397">IFERROR(INDEX(CategoriesTable[Category type],MATCH(Table1[[#This Row],[Category]],CategoriesTable[Category name],0),0),"")</f>
        <v/>
      </c>
      <c r="P1397" s="138">
        <v>18</v>
      </c>
      <c r="Q1397" s="138">
        <f>MONTH(Table1[[#This Row],[Date]])</f>
        <v>12</v>
      </c>
      <c r="R1397" s="138">
        <v>2020</v>
      </c>
      <c r="S1397" s="139">
        <f>IF(ISBLANK(Table1[[#This Row],[Date]]),"",Table1[[#This Row],[Date]]-WEEKDAY(Table1[[#This Row],[Date]],2)+1)</f>
        <v>44179</v>
      </c>
      <c r="T1397" s="140">
        <f>IF(ISBLANK(Table1[[#This Row],[Date]]),"",DATE(Table1[[#This Row],[Date_Year]],Table1[[#This Row],[Date_Month]],1))</f>
        <v>44166</v>
      </c>
    </row>
    <row r="1398" spans="2:20" ht="15.75">
      <c r="B1398" s="154">
        <v>44183</v>
      </c>
      <c r="C1398" s="119" t="s">
        <v>2734</v>
      </c>
      <c r="D1398" s="119"/>
      <c r="E1398" s="119"/>
      <c r="F1398" s="155">
        <v>-40</v>
      </c>
      <c r="G1398" s="133" t="str">
        <f>_xlfn.XLOOKUP(Table1[[#This Row],[Account_ID]], Accounts[ID], Accounts[Account nickname], "Unknown")</f>
        <v>Discover</v>
      </c>
      <c r="H1398" s="134" t="str">
        <f>_xlfn.XLOOKUP(Table1[[#This Row],[Account_ID]], Accounts[ID], Accounts[Account'#], "Unknown")</f>
        <v>4618</v>
      </c>
      <c r="I1398" s="135" t="str">
        <f>_xlfn.XLOOKUP(_xlfn.XLOOKUP(Table1[[#This Row],[Account]],Accounts[Account nickname],Accounts[Institution ID]),Institutions[ID],Institutions[Institution nickname],"Unknown")</f>
        <v>Discover</v>
      </c>
      <c r="J1398" s="136" t="s">
        <v>2735</v>
      </c>
      <c r="K1398" s="137" t="s">
        <v>843</v>
      </c>
      <c r="L1398" s="137" t="s">
        <v>841</v>
      </c>
      <c r="M139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9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98" s="138" t="str" cm="1">
        <f t="array" ref="O1398">IFERROR(INDEX(CategoriesTable[Category type],MATCH(Table1[[#This Row],[Category]],CategoriesTable[Category name],0),0),"")</f>
        <v/>
      </c>
      <c r="P1398" s="138">
        <v>18</v>
      </c>
      <c r="Q1398" s="138">
        <f>MONTH(Table1[[#This Row],[Date]])</f>
        <v>12</v>
      </c>
      <c r="R1398" s="138">
        <v>2020</v>
      </c>
      <c r="S1398" s="139">
        <f>IF(ISBLANK(Table1[[#This Row],[Date]]),"",Table1[[#This Row],[Date]]-WEEKDAY(Table1[[#This Row],[Date]],2)+1)</f>
        <v>44179</v>
      </c>
      <c r="T1398" s="140">
        <f>IF(ISBLANK(Table1[[#This Row],[Date]]),"",DATE(Table1[[#This Row],[Date_Year]],Table1[[#This Row],[Date_Month]],1))</f>
        <v>44166</v>
      </c>
    </row>
    <row r="1399" spans="2:20" ht="15.75">
      <c r="B1399" s="154">
        <v>44183</v>
      </c>
      <c r="C1399" s="119" t="s">
        <v>751</v>
      </c>
      <c r="D1399" s="119"/>
      <c r="E1399" s="119"/>
      <c r="F1399" s="155">
        <v>1669.27</v>
      </c>
      <c r="G1399" s="133" t="str">
        <f>_xlfn.XLOOKUP(Table1[[#This Row],[Account_ID]], Accounts[ID], Accounts[Account nickname], "Unknown")</f>
        <v>WF</v>
      </c>
      <c r="H1399" s="134" t="str">
        <f>_xlfn.XLOOKUP(Table1[[#This Row],[Account_ID]], Accounts[ID], Accounts[Account'#], "Unknown")</f>
        <v>4636</v>
      </c>
      <c r="I1399" s="135" t="str">
        <f>_xlfn.XLOOKUP(_xlfn.XLOOKUP(Table1[[#This Row],[Account]],Accounts[Account nickname],Accounts[Institution ID]),Institutions[ID],Institutions[Institution nickname],"Unknown")</f>
        <v>Wells Fargo</v>
      </c>
      <c r="J1399" s="136" t="s">
        <v>1233</v>
      </c>
      <c r="K1399" s="137" t="s">
        <v>808</v>
      </c>
      <c r="L1399" s="137" t="s">
        <v>807</v>
      </c>
      <c r="M139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39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399" s="138" t="str" cm="1">
        <f t="array" ref="O1399">IFERROR(INDEX(CategoriesTable[Category type],MATCH(Table1[[#This Row],[Category]],CategoriesTable[Category name],0),0),"")</f>
        <v/>
      </c>
      <c r="P1399" s="138">
        <v>18</v>
      </c>
      <c r="Q1399" s="138">
        <f>MONTH(Table1[[#This Row],[Date]])</f>
        <v>12</v>
      </c>
      <c r="R1399" s="138">
        <v>2020</v>
      </c>
      <c r="S1399" s="139">
        <f>IF(ISBLANK(Table1[[#This Row],[Date]]),"",Table1[[#This Row],[Date]]-WEEKDAY(Table1[[#This Row],[Date]],2)+1)</f>
        <v>44179</v>
      </c>
      <c r="T1399" s="140">
        <f>IF(ISBLANK(Table1[[#This Row],[Date]]),"",DATE(Table1[[#This Row],[Date_Year]],Table1[[#This Row],[Date_Month]],1))</f>
        <v>44166</v>
      </c>
    </row>
    <row r="1400" spans="2:20" ht="15.75">
      <c r="B1400" s="154">
        <v>44182</v>
      </c>
      <c r="C1400" s="119" t="s">
        <v>777</v>
      </c>
      <c r="D1400" s="119"/>
      <c r="E1400" s="119"/>
      <c r="F1400" s="155">
        <v>-20</v>
      </c>
      <c r="G1400" s="133" t="str">
        <f>_xlfn.XLOOKUP(Table1[[#This Row],[Account_ID]], Accounts[ID], Accounts[Account nickname], "Unknown")</f>
        <v>WF</v>
      </c>
      <c r="H1400" s="134" t="str">
        <f>_xlfn.XLOOKUP(Table1[[#This Row],[Account_ID]], Accounts[ID], Accounts[Account'#], "Unknown")</f>
        <v>4636</v>
      </c>
      <c r="I1400" s="135" t="str">
        <f>_xlfn.XLOOKUP(_xlfn.XLOOKUP(Table1[[#This Row],[Account]],Accounts[Account nickname],Accounts[Institution ID]),Institutions[ID],Institutions[Institution nickname],"Unknown")</f>
        <v>Wells Fargo</v>
      </c>
      <c r="J1400" s="136" t="s">
        <v>1234</v>
      </c>
      <c r="K1400" s="137" t="s">
        <v>808</v>
      </c>
      <c r="L1400" s="137" t="s">
        <v>807</v>
      </c>
      <c r="M140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0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00" s="138" t="str" cm="1">
        <f t="array" ref="O1400">IFERROR(INDEX(CategoriesTable[Category type],MATCH(Table1[[#This Row],[Category]],CategoriesTable[Category name],0),0),"")</f>
        <v/>
      </c>
      <c r="P1400" s="138">
        <v>17</v>
      </c>
      <c r="Q1400" s="138">
        <f>MONTH(Table1[[#This Row],[Date]])</f>
        <v>12</v>
      </c>
      <c r="R1400" s="138">
        <v>2020</v>
      </c>
      <c r="S1400" s="139">
        <f>IF(ISBLANK(Table1[[#This Row],[Date]]),"",Table1[[#This Row],[Date]]-WEEKDAY(Table1[[#This Row],[Date]],2)+1)</f>
        <v>44179</v>
      </c>
      <c r="T1400" s="140">
        <f>IF(ISBLANK(Table1[[#This Row],[Date]]),"",DATE(Table1[[#This Row],[Date_Year]],Table1[[#This Row],[Date_Month]],1))</f>
        <v>44166</v>
      </c>
    </row>
    <row r="1401" spans="2:20" ht="15.75">
      <c r="B1401" s="154">
        <v>44182</v>
      </c>
      <c r="C1401" s="119" t="s">
        <v>778</v>
      </c>
      <c r="D1401" s="119"/>
      <c r="E1401" s="119"/>
      <c r="F1401" s="155">
        <v>80</v>
      </c>
      <c r="G1401" s="133" t="str">
        <f>_xlfn.XLOOKUP(Table1[[#This Row],[Account_ID]], Accounts[ID], Accounts[Account nickname], "Unknown")</f>
        <v>WF</v>
      </c>
      <c r="H1401" s="134" t="str">
        <f>_xlfn.XLOOKUP(Table1[[#This Row],[Account_ID]], Accounts[ID], Accounts[Account'#], "Unknown")</f>
        <v>4636</v>
      </c>
      <c r="I1401" s="135" t="str">
        <f>_xlfn.XLOOKUP(_xlfn.XLOOKUP(Table1[[#This Row],[Account]],Accounts[Account nickname],Accounts[Institution ID]),Institutions[ID],Institutions[Institution nickname],"Unknown")</f>
        <v>Wells Fargo</v>
      </c>
      <c r="J1401" s="136" t="s">
        <v>1235</v>
      </c>
      <c r="K1401" s="137" t="s">
        <v>808</v>
      </c>
      <c r="L1401" s="137" t="s">
        <v>807</v>
      </c>
      <c r="M140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0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01" s="138" t="str" cm="1">
        <f t="array" ref="O1401">IFERROR(INDEX(CategoriesTable[Category type],MATCH(Table1[[#This Row],[Category]],CategoriesTable[Category name],0),0),"")</f>
        <v/>
      </c>
      <c r="P1401" s="138">
        <v>17</v>
      </c>
      <c r="Q1401" s="138">
        <f>MONTH(Table1[[#This Row],[Date]])</f>
        <v>12</v>
      </c>
      <c r="R1401" s="138">
        <v>2020</v>
      </c>
      <c r="S1401" s="139">
        <f>IF(ISBLANK(Table1[[#This Row],[Date]]),"",Table1[[#This Row],[Date]]-WEEKDAY(Table1[[#This Row],[Date]],2)+1)</f>
        <v>44179</v>
      </c>
      <c r="T1401" s="140">
        <f>IF(ISBLANK(Table1[[#This Row],[Date]]),"",DATE(Table1[[#This Row],[Date_Year]],Table1[[#This Row],[Date_Month]],1))</f>
        <v>44166</v>
      </c>
    </row>
    <row r="1402" spans="2:20" ht="15.75">
      <c r="B1402" s="154">
        <v>44182</v>
      </c>
      <c r="C1402" s="119" t="s">
        <v>713</v>
      </c>
      <c r="D1402" s="119"/>
      <c r="E1402" s="119"/>
      <c r="F1402" s="155">
        <v>-28.92</v>
      </c>
      <c r="G1402" s="133" t="str">
        <f>_xlfn.XLOOKUP(Table1[[#This Row],[Account_ID]], Accounts[ID], Accounts[Account nickname], "Unknown")</f>
        <v>Discover</v>
      </c>
      <c r="H1402" s="134" t="str">
        <f>_xlfn.XLOOKUP(Table1[[#This Row],[Account_ID]], Accounts[ID], Accounts[Account'#], "Unknown")</f>
        <v>4618</v>
      </c>
      <c r="I1402" s="135" t="str">
        <f>_xlfn.XLOOKUP(_xlfn.XLOOKUP(Table1[[#This Row],[Account]],Accounts[Account nickname],Accounts[Institution ID]),Institutions[ID],Institutions[Institution nickname],"Unknown")</f>
        <v>Discover</v>
      </c>
      <c r="J1402" s="136" t="s">
        <v>2736</v>
      </c>
      <c r="K1402" s="137" t="s">
        <v>843</v>
      </c>
      <c r="L1402" s="137" t="s">
        <v>841</v>
      </c>
      <c r="M140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0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02" s="138" t="str" cm="1">
        <f t="array" ref="O1402">IFERROR(INDEX(CategoriesTable[Category type],MATCH(Table1[[#This Row],[Category]],CategoriesTable[Category name],0),0),"")</f>
        <v/>
      </c>
      <c r="P1402" s="138">
        <v>17</v>
      </c>
      <c r="Q1402" s="138">
        <f>MONTH(Table1[[#This Row],[Date]])</f>
        <v>12</v>
      </c>
      <c r="R1402" s="138">
        <v>2020</v>
      </c>
      <c r="S1402" s="139">
        <f>IF(ISBLANK(Table1[[#This Row],[Date]]),"",Table1[[#This Row],[Date]]-WEEKDAY(Table1[[#This Row],[Date]],2)+1)</f>
        <v>44179</v>
      </c>
      <c r="T1402" s="140">
        <f>IF(ISBLANK(Table1[[#This Row],[Date]]),"",DATE(Table1[[#This Row],[Date_Year]],Table1[[#This Row],[Date_Month]],1))</f>
        <v>44166</v>
      </c>
    </row>
    <row r="1403" spans="2:20" ht="15.75">
      <c r="B1403" s="154">
        <v>44181</v>
      </c>
      <c r="C1403" s="119" t="s">
        <v>678</v>
      </c>
      <c r="D1403" s="119"/>
      <c r="E1403" s="119"/>
      <c r="F1403" s="155">
        <v>-36.75</v>
      </c>
      <c r="G1403" s="133" t="str">
        <f>_xlfn.XLOOKUP(Table1[[#This Row],[Account_ID]], Accounts[ID], Accounts[Account nickname], "Unknown")</f>
        <v>WF</v>
      </c>
      <c r="H1403" s="134" t="str">
        <f>_xlfn.XLOOKUP(Table1[[#This Row],[Account_ID]], Accounts[ID], Accounts[Account'#], "Unknown")</f>
        <v>4636</v>
      </c>
      <c r="I1403" s="135" t="str">
        <f>_xlfn.XLOOKUP(_xlfn.XLOOKUP(Table1[[#This Row],[Account]],Accounts[Account nickname],Accounts[Institution ID]),Institutions[ID],Institutions[Institution nickname],"Unknown")</f>
        <v>Wells Fargo</v>
      </c>
      <c r="J1403" s="136" t="s">
        <v>1236</v>
      </c>
      <c r="K1403" s="137" t="s">
        <v>808</v>
      </c>
      <c r="L1403" s="137" t="s">
        <v>807</v>
      </c>
      <c r="M140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0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03" s="138" t="str" cm="1">
        <f t="array" ref="O1403">IFERROR(INDEX(CategoriesTable[Category type],MATCH(Table1[[#This Row],[Category]],CategoriesTable[Category name],0),0),"")</f>
        <v/>
      </c>
      <c r="P1403" s="138">
        <v>16</v>
      </c>
      <c r="Q1403" s="138">
        <f>MONTH(Table1[[#This Row],[Date]])</f>
        <v>12</v>
      </c>
      <c r="R1403" s="138">
        <v>2020</v>
      </c>
      <c r="S1403" s="139">
        <f>IF(ISBLANK(Table1[[#This Row],[Date]]),"",Table1[[#This Row],[Date]]-WEEKDAY(Table1[[#This Row],[Date]],2)+1)</f>
        <v>44179</v>
      </c>
      <c r="T1403" s="140">
        <f>IF(ISBLANK(Table1[[#This Row],[Date]]),"",DATE(Table1[[#This Row],[Date_Year]],Table1[[#This Row],[Date_Month]],1))</f>
        <v>44166</v>
      </c>
    </row>
    <row r="1404" spans="2:20" ht="15.75">
      <c r="B1404" s="154">
        <v>44180</v>
      </c>
      <c r="C1404" s="119" t="s">
        <v>1479</v>
      </c>
      <c r="D1404" s="119"/>
      <c r="E1404" s="119"/>
      <c r="F1404" s="155">
        <v>569.12</v>
      </c>
      <c r="G1404" s="133" t="str">
        <f>_xlfn.XLOOKUP(Table1[[#This Row],[Account_ID]], Accounts[ID], Accounts[Account nickname], "Unknown")</f>
        <v>Discover</v>
      </c>
      <c r="H1404" s="134" t="str">
        <f>_xlfn.XLOOKUP(Table1[[#This Row],[Account_ID]], Accounts[ID], Accounts[Account'#], "Unknown")</f>
        <v>4618</v>
      </c>
      <c r="I1404" s="135" t="str">
        <f>_xlfn.XLOOKUP(_xlfn.XLOOKUP(Table1[[#This Row],[Account]],Accounts[Account nickname],Accounts[Institution ID]),Institutions[ID],Institutions[Institution nickname],"Unknown")</f>
        <v>Discover</v>
      </c>
      <c r="J1404" s="136" t="s">
        <v>2739</v>
      </c>
      <c r="K1404" s="137" t="s">
        <v>843</v>
      </c>
      <c r="L1404" s="137" t="s">
        <v>841</v>
      </c>
      <c r="M140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0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04" s="138" t="str" cm="1">
        <f t="array" ref="O1404">IFERROR(INDEX(CategoriesTable[Category type],MATCH(Table1[[#This Row],[Category]],CategoriesTable[Category name],0),0),"")</f>
        <v/>
      </c>
      <c r="P1404" s="138">
        <v>15</v>
      </c>
      <c r="Q1404" s="138">
        <f>MONTH(Table1[[#This Row],[Date]])</f>
        <v>12</v>
      </c>
      <c r="R1404" s="138">
        <v>2020</v>
      </c>
      <c r="S1404" s="139">
        <f>IF(ISBLANK(Table1[[#This Row],[Date]]),"",Table1[[#This Row],[Date]]-WEEKDAY(Table1[[#This Row],[Date]],2)+1)</f>
        <v>44179</v>
      </c>
      <c r="T1404" s="140">
        <f>IF(ISBLANK(Table1[[#This Row],[Date]]),"",DATE(Table1[[#This Row],[Date_Year]],Table1[[#This Row],[Date_Month]],1))</f>
        <v>44166</v>
      </c>
    </row>
    <row r="1405" spans="2:20" ht="15.75">
      <c r="B1405" s="154">
        <v>44180</v>
      </c>
      <c r="C1405" s="119" t="s">
        <v>686</v>
      </c>
      <c r="D1405" s="119"/>
      <c r="E1405" s="119"/>
      <c r="F1405" s="155">
        <v>-400</v>
      </c>
      <c r="G1405" s="133" t="str">
        <f>_xlfn.XLOOKUP(Table1[[#This Row],[Account_ID]], Accounts[ID], Accounts[Account nickname], "Unknown")</f>
        <v>WF</v>
      </c>
      <c r="H1405" s="134" t="str">
        <f>_xlfn.XLOOKUP(Table1[[#This Row],[Account_ID]], Accounts[ID], Accounts[Account'#], "Unknown")</f>
        <v>4636</v>
      </c>
      <c r="I1405" s="135" t="str">
        <f>_xlfn.XLOOKUP(_xlfn.XLOOKUP(Table1[[#This Row],[Account]],Accounts[Account nickname],Accounts[Institution ID]),Institutions[ID],Institutions[Institution nickname],"Unknown")</f>
        <v>Wells Fargo</v>
      </c>
      <c r="J1405" s="136" t="s">
        <v>1237</v>
      </c>
      <c r="K1405" s="137" t="s">
        <v>808</v>
      </c>
      <c r="L1405" s="137" t="s">
        <v>807</v>
      </c>
      <c r="M140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0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05" s="138" t="str" cm="1">
        <f t="array" ref="O1405">IFERROR(INDEX(CategoriesTable[Category type],MATCH(Table1[[#This Row],[Category]],CategoriesTable[Category name],0),0),"")</f>
        <v/>
      </c>
      <c r="P1405" s="138">
        <v>15</v>
      </c>
      <c r="Q1405" s="138">
        <f>MONTH(Table1[[#This Row],[Date]])</f>
        <v>12</v>
      </c>
      <c r="R1405" s="138">
        <v>2020</v>
      </c>
      <c r="S1405" s="139">
        <f>IF(ISBLANK(Table1[[#This Row],[Date]]),"",Table1[[#This Row],[Date]]-WEEKDAY(Table1[[#This Row],[Date]],2)+1)</f>
        <v>44179</v>
      </c>
      <c r="T1405" s="140">
        <f>IF(ISBLANK(Table1[[#This Row],[Date]]),"",DATE(Table1[[#This Row],[Date_Year]],Table1[[#This Row],[Date_Month]],1))</f>
        <v>44166</v>
      </c>
    </row>
    <row r="1406" spans="2:20" ht="15.75">
      <c r="B1406" s="154">
        <v>44180</v>
      </c>
      <c r="C1406" s="119" t="s">
        <v>845</v>
      </c>
      <c r="D1406" s="119"/>
      <c r="E1406" s="119"/>
      <c r="F1406" s="155">
        <v>400</v>
      </c>
      <c r="G1406" s="133" t="str">
        <f>_xlfn.XLOOKUP(Table1[[#This Row],[Account_ID]], Accounts[ID], Accounts[Account nickname], "Unknown")</f>
        <v>Discover</v>
      </c>
      <c r="H1406" s="134" t="str">
        <f>_xlfn.XLOOKUP(Table1[[#This Row],[Account_ID]], Accounts[ID], Accounts[Account'#], "Unknown")</f>
        <v>4618</v>
      </c>
      <c r="I1406" s="135" t="str">
        <f>_xlfn.XLOOKUP(_xlfn.XLOOKUP(Table1[[#This Row],[Account]],Accounts[Account nickname],Accounts[Institution ID]),Institutions[ID],Institutions[Institution nickname],"Unknown")</f>
        <v>Discover</v>
      </c>
      <c r="J1406" s="136" t="s">
        <v>2740</v>
      </c>
      <c r="K1406" s="137" t="s">
        <v>843</v>
      </c>
      <c r="L1406" s="137" t="s">
        <v>841</v>
      </c>
      <c r="M140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0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06" s="138" t="str" cm="1">
        <f t="array" ref="O1406">IFERROR(INDEX(CategoriesTable[Category type],MATCH(Table1[[#This Row],[Category]],CategoriesTable[Category name],0),0),"")</f>
        <v/>
      </c>
      <c r="P1406" s="138">
        <v>15</v>
      </c>
      <c r="Q1406" s="138">
        <f>MONTH(Table1[[#This Row],[Date]])</f>
        <v>12</v>
      </c>
      <c r="R1406" s="138">
        <v>2020</v>
      </c>
      <c r="S1406" s="139">
        <f>IF(ISBLANK(Table1[[#This Row],[Date]]),"",Table1[[#This Row],[Date]]-WEEKDAY(Table1[[#This Row],[Date]],2)+1)</f>
        <v>44179</v>
      </c>
      <c r="T1406" s="140">
        <f>IF(ISBLANK(Table1[[#This Row],[Date]]),"",DATE(Table1[[#This Row],[Date_Year]],Table1[[#This Row],[Date_Month]],1))</f>
        <v>44166</v>
      </c>
    </row>
    <row r="1407" spans="2:20" ht="15.75">
      <c r="B1407" s="154">
        <v>44180</v>
      </c>
      <c r="C1407" s="119" t="s">
        <v>2737</v>
      </c>
      <c r="D1407" s="119"/>
      <c r="E1407" s="119"/>
      <c r="F1407" s="155">
        <v>-67.16</v>
      </c>
      <c r="G1407" s="133" t="str">
        <f>_xlfn.XLOOKUP(Table1[[#This Row],[Account_ID]], Accounts[ID], Accounts[Account nickname], "Unknown")</f>
        <v>Discover</v>
      </c>
      <c r="H1407" s="134" t="str">
        <f>_xlfn.XLOOKUP(Table1[[#This Row],[Account_ID]], Accounts[ID], Accounts[Account'#], "Unknown")</f>
        <v>4618</v>
      </c>
      <c r="I1407" s="135" t="str">
        <f>_xlfn.XLOOKUP(_xlfn.XLOOKUP(Table1[[#This Row],[Account]],Accounts[Account nickname],Accounts[Institution ID]),Institutions[ID],Institutions[Institution nickname],"Unknown")</f>
        <v>Discover</v>
      </c>
      <c r="J1407" s="136" t="s">
        <v>2738</v>
      </c>
      <c r="K1407" s="137" t="s">
        <v>843</v>
      </c>
      <c r="L1407" s="137" t="s">
        <v>841</v>
      </c>
      <c r="M140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0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07" s="138" t="str" cm="1">
        <f t="array" ref="O1407">IFERROR(INDEX(CategoriesTable[Category type],MATCH(Table1[[#This Row],[Category]],CategoriesTable[Category name],0),0),"")</f>
        <v/>
      </c>
      <c r="P1407" s="138">
        <v>15</v>
      </c>
      <c r="Q1407" s="138">
        <f>MONTH(Table1[[#This Row],[Date]])</f>
        <v>12</v>
      </c>
      <c r="R1407" s="138">
        <v>2020</v>
      </c>
      <c r="S1407" s="139">
        <f>IF(ISBLANK(Table1[[#This Row],[Date]]),"",Table1[[#This Row],[Date]]-WEEKDAY(Table1[[#This Row],[Date]],2)+1)</f>
        <v>44179</v>
      </c>
      <c r="T1407" s="140">
        <f>IF(ISBLANK(Table1[[#This Row],[Date]]),"",DATE(Table1[[#This Row],[Date_Year]],Table1[[#This Row],[Date_Month]],1))</f>
        <v>44166</v>
      </c>
    </row>
    <row r="1408" spans="2:20" ht="15.75">
      <c r="B1408" s="154">
        <v>44179</v>
      </c>
      <c r="C1408" s="119" t="s">
        <v>707</v>
      </c>
      <c r="D1408" s="119"/>
      <c r="E1408" s="119"/>
      <c r="F1408" s="155">
        <v>-59.99</v>
      </c>
      <c r="G1408" s="133" t="str">
        <f>_xlfn.XLOOKUP(Table1[[#This Row],[Account_ID]], Accounts[ID], Accounts[Account nickname], "Unknown")</f>
        <v>Discover</v>
      </c>
      <c r="H1408" s="134" t="str">
        <f>_xlfn.XLOOKUP(Table1[[#This Row],[Account_ID]], Accounts[ID], Accounts[Account'#], "Unknown")</f>
        <v>4618</v>
      </c>
      <c r="I1408" s="135" t="str">
        <f>_xlfn.XLOOKUP(_xlfn.XLOOKUP(Table1[[#This Row],[Account]],Accounts[Account nickname],Accounts[Institution ID]),Institutions[ID],Institutions[Institution nickname],"Unknown")</f>
        <v>Discover</v>
      </c>
      <c r="J1408" s="136" t="s">
        <v>2741</v>
      </c>
      <c r="K1408" s="137" t="s">
        <v>843</v>
      </c>
      <c r="L1408" s="137" t="s">
        <v>841</v>
      </c>
      <c r="M140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0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08" s="138" t="str" cm="1">
        <f t="array" ref="O1408">IFERROR(INDEX(CategoriesTable[Category type],MATCH(Table1[[#This Row],[Category]],CategoriesTable[Category name],0),0),"")</f>
        <v/>
      </c>
      <c r="P1408" s="138">
        <v>14</v>
      </c>
      <c r="Q1408" s="138">
        <f>MONTH(Table1[[#This Row],[Date]])</f>
        <v>12</v>
      </c>
      <c r="R1408" s="138">
        <v>2020</v>
      </c>
      <c r="S1408" s="139">
        <f>IF(ISBLANK(Table1[[#This Row],[Date]]),"",Table1[[#This Row],[Date]]-WEEKDAY(Table1[[#This Row],[Date]],2)+1)</f>
        <v>44179</v>
      </c>
      <c r="T1408" s="140">
        <f>IF(ISBLANK(Table1[[#This Row],[Date]]),"",DATE(Table1[[#This Row],[Date_Year]],Table1[[#This Row],[Date_Month]],1))</f>
        <v>44166</v>
      </c>
    </row>
    <row r="1409" spans="2:20" ht="15.75">
      <c r="B1409" s="154">
        <v>44179</v>
      </c>
      <c r="C1409" s="119" t="s">
        <v>779</v>
      </c>
      <c r="D1409" s="119"/>
      <c r="E1409" s="119"/>
      <c r="F1409" s="155">
        <v>-49</v>
      </c>
      <c r="G1409" s="133" t="str">
        <f>_xlfn.XLOOKUP(Table1[[#This Row],[Account_ID]], Accounts[ID], Accounts[Account nickname], "Unknown")</f>
        <v>WF</v>
      </c>
      <c r="H1409" s="134" t="str">
        <f>_xlfn.XLOOKUP(Table1[[#This Row],[Account_ID]], Accounts[ID], Accounts[Account'#], "Unknown")</f>
        <v>4636</v>
      </c>
      <c r="I1409" s="135" t="str">
        <f>_xlfn.XLOOKUP(_xlfn.XLOOKUP(Table1[[#This Row],[Account]],Accounts[Account nickname],Accounts[Institution ID]),Institutions[ID],Institutions[Institution nickname],"Unknown")</f>
        <v>Wells Fargo</v>
      </c>
      <c r="J1409" s="136" t="s">
        <v>1238</v>
      </c>
      <c r="K1409" s="137" t="s">
        <v>808</v>
      </c>
      <c r="L1409" s="137" t="s">
        <v>807</v>
      </c>
      <c r="M140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0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09" s="138" t="str" cm="1">
        <f t="array" ref="O1409">IFERROR(INDEX(CategoriesTable[Category type],MATCH(Table1[[#This Row],[Category]],CategoriesTable[Category name],0),0),"")</f>
        <v/>
      </c>
      <c r="P1409" s="138">
        <v>14</v>
      </c>
      <c r="Q1409" s="138">
        <f>MONTH(Table1[[#This Row],[Date]])</f>
        <v>12</v>
      </c>
      <c r="R1409" s="138">
        <v>2020</v>
      </c>
      <c r="S1409" s="139">
        <f>IF(ISBLANK(Table1[[#This Row],[Date]]),"",Table1[[#This Row],[Date]]-WEEKDAY(Table1[[#This Row],[Date]],2)+1)</f>
        <v>44179</v>
      </c>
      <c r="T1409" s="140">
        <f>IF(ISBLANK(Table1[[#This Row],[Date]]),"",DATE(Table1[[#This Row],[Date_Year]],Table1[[#This Row],[Date_Month]],1))</f>
        <v>44166</v>
      </c>
    </row>
    <row r="1410" spans="2:20" ht="15.75">
      <c r="B1410" s="154">
        <v>44177</v>
      </c>
      <c r="C1410" s="119" t="s">
        <v>702</v>
      </c>
      <c r="D1410" s="119"/>
      <c r="E1410" s="119"/>
      <c r="F1410" s="155">
        <v>-5.59</v>
      </c>
      <c r="G1410" s="133" t="str">
        <f>_xlfn.XLOOKUP(Table1[[#This Row],[Account_ID]], Accounts[ID], Accounts[Account nickname], "Unknown")</f>
        <v>Discover</v>
      </c>
      <c r="H1410" s="134" t="str">
        <f>_xlfn.XLOOKUP(Table1[[#This Row],[Account_ID]], Accounts[ID], Accounts[Account'#], "Unknown")</f>
        <v>4618</v>
      </c>
      <c r="I1410" s="135" t="str">
        <f>_xlfn.XLOOKUP(_xlfn.XLOOKUP(Table1[[#This Row],[Account]],Accounts[Account nickname],Accounts[Institution ID]),Institutions[ID],Institutions[Institution nickname],"Unknown")</f>
        <v>Discover</v>
      </c>
      <c r="J1410" s="136" t="s">
        <v>2742</v>
      </c>
      <c r="K1410" s="137" t="s">
        <v>843</v>
      </c>
      <c r="L1410" s="137" t="s">
        <v>841</v>
      </c>
      <c r="M141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1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10" s="138" t="str" cm="1">
        <f t="array" ref="O1410">IFERROR(INDEX(CategoriesTable[Category type],MATCH(Table1[[#This Row],[Category]],CategoriesTable[Category name],0),0),"")</f>
        <v/>
      </c>
      <c r="P1410" s="138">
        <v>12</v>
      </c>
      <c r="Q1410" s="138">
        <f>MONTH(Table1[[#This Row],[Date]])</f>
        <v>12</v>
      </c>
      <c r="R1410" s="138">
        <v>2020</v>
      </c>
      <c r="S1410" s="139">
        <f>IF(ISBLANK(Table1[[#This Row],[Date]]),"",Table1[[#This Row],[Date]]-WEEKDAY(Table1[[#This Row],[Date]],2)+1)</f>
        <v>44172</v>
      </c>
      <c r="T1410" s="140">
        <f>IF(ISBLANK(Table1[[#This Row],[Date]]),"",DATE(Table1[[#This Row],[Date_Year]],Table1[[#This Row],[Date_Month]],1))</f>
        <v>44166</v>
      </c>
    </row>
    <row r="1411" spans="2:20" ht="15.75">
      <c r="B1411" s="154">
        <v>44177</v>
      </c>
      <c r="C1411" s="119" t="s">
        <v>712</v>
      </c>
      <c r="D1411" s="119"/>
      <c r="E1411" s="119"/>
      <c r="F1411" s="155">
        <v>-11.91</v>
      </c>
      <c r="G1411" s="133" t="str">
        <f>_xlfn.XLOOKUP(Table1[[#This Row],[Account_ID]], Accounts[ID], Accounts[Account nickname], "Unknown")</f>
        <v>Discover</v>
      </c>
      <c r="H1411" s="134" t="str">
        <f>_xlfn.XLOOKUP(Table1[[#This Row],[Account_ID]], Accounts[ID], Accounts[Account'#], "Unknown")</f>
        <v>4618</v>
      </c>
      <c r="I1411" s="135" t="str">
        <f>_xlfn.XLOOKUP(_xlfn.XLOOKUP(Table1[[#This Row],[Account]],Accounts[Account nickname],Accounts[Institution ID]),Institutions[ID],Institutions[Institution nickname],"Unknown")</f>
        <v>Discover</v>
      </c>
      <c r="J1411" s="136" t="s">
        <v>2745</v>
      </c>
      <c r="K1411" s="137" t="s">
        <v>843</v>
      </c>
      <c r="L1411" s="137" t="s">
        <v>841</v>
      </c>
      <c r="M141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1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11" s="138" t="str" cm="1">
        <f t="array" ref="O1411">IFERROR(INDEX(CategoriesTable[Category type],MATCH(Table1[[#This Row],[Category]],CategoriesTable[Category name],0),0),"")</f>
        <v/>
      </c>
      <c r="P1411" s="138">
        <v>12</v>
      </c>
      <c r="Q1411" s="138">
        <f>MONTH(Table1[[#This Row],[Date]])</f>
        <v>12</v>
      </c>
      <c r="R1411" s="138">
        <v>2020</v>
      </c>
      <c r="S1411" s="139">
        <f>IF(ISBLANK(Table1[[#This Row],[Date]]),"",Table1[[#This Row],[Date]]-WEEKDAY(Table1[[#This Row],[Date]],2)+1)</f>
        <v>44172</v>
      </c>
      <c r="T1411" s="140">
        <f>IF(ISBLANK(Table1[[#This Row],[Date]]),"",DATE(Table1[[#This Row],[Date_Year]],Table1[[#This Row],[Date_Month]],1))</f>
        <v>44166</v>
      </c>
    </row>
    <row r="1412" spans="2:20" ht="15.75">
      <c r="B1412" s="154">
        <v>44177</v>
      </c>
      <c r="C1412" s="119" t="s">
        <v>1500</v>
      </c>
      <c r="D1412" s="119"/>
      <c r="E1412" s="119"/>
      <c r="F1412" s="155">
        <v>-1.99</v>
      </c>
      <c r="G1412" s="133" t="str">
        <f>_xlfn.XLOOKUP(Table1[[#This Row],[Account_ID]], Accounts[ID], Accounts[Account nickname], "Unknown")</f>
        <v>Discover</v>
      </c>
      <c r="H1412" s="134" t="str">
        <f>_xlfn.XLOOKUP(Table1[[#This Row],[Account_ID]], Accounts[ID], Accounts[Account'#], "Unknown")</f>
        <v>4618</v>
      </c>
      <c r="I1412" s="135" t="str">
        <f>_xlfn.XLOOKUP(_xlfn.XLOOKUP(Table1[[#This Row],[Account]],Accounts[Account nickname],Accounts[Institution ID]),Institutions[ID],Institutions[Institution nickname],"Unknown")</f>
        <v>Discover</v>
      </c>
      <c r="J1412" s="136" t="s">
        <v>2746</v>
      </c>
      <c r="K1412" s="137" t="s">
        <v>843</v>
      </c>
      <c r="L1412" s="137" t="s">
        <v>841</v>
      </c>
      <c r="M141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1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12" s="138" t="str" cm="1">
        <f t="array" ref="O1412">IFERROR(INDEX(CategoriesTable[Category type],MATCH(Table1[[#This Row],[Category]],CategoriesTable[Category name],0),0),"")</f>
        <v/>
      </c>
      <c r="P1412" s="138">
        <v>12</v>
      </c>
      <c r="Q1412" s="138">
        <f>MONTH(Table1[[#This Row],[Date]])</f>
        <v>12</v>
      </c>
      <c r="R1412" s="138">
        <v>2020</v>
      </c>
      <c r="S1412" s="139">
        <f>IF(ISBLANK(Table1[[#This Row],[Date]]),"",Table1[[#This Row],[Date]]-WEEKDAY(Table1[[#This Row],[Date]],2)+1)</f>
        <v>44172</v>
      </c>
      <c r="T1412" s="140">
        <f>IF(ISBLANK(Table1[[#This Row],[Date]]),"",DATE(Table1[[#This Row],[Date_Year]],Table1[[#This Row],[Date_Month]],1))</f>
        <v>44166</v>
      </c>
    </row>
    <row r="1413" spans="2:20" ht="15.75">
      <c r="B1413" s="154">
        <v>44177</v>
      </c>
      <c r="C1413" s="119" t="s">
        <v>712</v>
      </c>
      <c r="D1413" s="119"/>
      <c r="E1413" s="119"/>
      <c r="F1413" s="155">
        <v>-5</v>
      </c>
      <c r="G1413" s="133" t="str">
        <f>_xlfn.XLOOKUP(Table1[[#This Row],[Account_ID]], Accounts[ID], Accounts[Account nickname], "Unknown")</f>
        <v>Discover</v>
      </c>
      <c r="H1413" s="134" t="str">
        <f>_xlfn.XLOOKUP(Table1[[#This Row],[Account_ID]], Accounts[ID], Accounts[Account'#], "Unknown")</f>
        <v>4618</v>
      </c>
      <c r="I1413" s="135" t="str">
        <f>_xlfn.XLOOKUP(_xlfn.XLOOKUP(Table1[[#This Row],[Account]],Accounts[Account nickname],Accounts[Institution ID]),Institutions[ID],Institutions[Institution nickname],"Unknown")</f>
        <v>Discover</v>
      </c>
      <c r="J1413" s="136" t="s">
        <v>2744</v>
      </c>
      <c r="K1413" s="137" t="s">
        <v>843</v>
      </c>
      <c r="L1413" s="137" t="s">
        <v>841</v>
      </c>
      <c r="M141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1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13" s="138" t="str" cm="1">
        <f t="array" ref="O1413">IFERROR(INDEX(CategoriesTable[Category type],MATCH(Table1[[#This Row],[Category]],CategoriesTable[Category name],0),0),"")</f>
        <v/>
      </c>
      <c r="P1413" s="138">
        <v>12</v>
      </c>
      <c r="Q1413" s="138">
        <f>MONTH(Table1[[#This Row],[Date]])</f>
        <v>12</v>
      </c>
      <c r="R1413" s="138">
        <v>2020</v>
      </c>
      <c r="S1413" s="139">
        <f>IF(ISBLANK(Table1[[#This Row],[Date]]),"",Table1[[#This Row],[Date]]-WEEKDAY(Table1[[#This Row],[Date]],2)+1)</f>
        <v>44172</v>
      </c>
      <c r="T1413" s="140">
        <f>IF(ISBLANK(Table1[[#This Row],[Date]]),"",DATE(Table1[[#This Row],[Date_Year]],Table1[[#This Row],[Date_Month]],1))</f>
        <v>44166</v>
      </c>
    </row>
    <row r="1414" spans="2:20" ht="15.75">
      <c r="B1414" s="154">
        <v>44177</v>
      </c>
      <c r="C1414" s="119" t="s">
        <v>712</v>
      </c>
      <c r="D1414" s="119"/>
      <c r="E1414" s="119"/>
      <c r="F1414" s="155">
        <v>-5</v>
      </c>
      <c r="G1414" s="133" t="str">
        <f>_xlfn.XLOOKUP(Table1[[#This Row],[Account_ID]], Accounts[ID], Accounts[Account nickname], "Unknown")</f>
        <v>Discover</v>
      </c>
      <c r="H1414" s="134" t="str">
        <f>_xlfn.XLOOKUP(Table1[[#This Row],[Account_ID]], Accounts[ID], Accounts[Account'#], "Unknown")</f>
        <v>4618</v>
      </c>
      <c r="I1414" s="135" t="str">
        <f>_xlfn.XLOOKUP(_xlfn.XLOOKUP(Table1[[#This Row],[Account]],Accounts[Account nickname],Accounts[Institution ID]),Institutions[ID],Institutions[Institution nickname],"Unknown")</f>
        <v>Discover</v>
      </c>
      <c r="J1414" s="136" t="s">
        <v>2743</v>
      </c>
      <c r="K1414" s="137" t="s">
        <v>843</v>
      </c>
      <c r="L1414" s="137" t="s">
        <v>841</v>
      </c>
      <c r="M141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1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14" s="138" t="str" cm="1">
        <f t="array" ref="O1414">IFERROR(INDEX(CategoriesTable[Category type],MATCH(Table1[[#This Row],[Category]],CategoriesTable[Category name],0),0),"")</f>
        <v/>
      </c>
      <c r="P1414" s="138">
        <v>12</v>
      </c>
      <c r="Q1414" s="138">
        <f>MONTH(Table1[[#This Row],[Date]])</f>
        <v>12</v>
      </c>
      <c r="R1414" s="138">
        <v>2020</v>
      </c>
      <c r="S1414" s="139">
        <f>IF(ISBLANK(Table1[[#This Row],[Date]]),"",Table1[[#This Row],[Date]]-WEEKDAY(Table1[[#This Row],[Date]],2)+1)</f>
        <v>44172</v>
      </c>
      <c r="T1414" s="140">
        <f>IF(ISBLANK(Table1[[#This Row],[Date]]),"",DATE(Table1[[#This Row],[Date_Year]],Table1[[#This Row],[Date_Month]],1))</f>
        <v>44166</v>
      </c>
    </row>
    <row r="1415" spans="2:20" ht="15.75">
      <c r="B1415" s="154">
        <v>44177</v>
      </c>
      <c r="C1415" s="119" t="s">
        <v>724</v>
      </c>
      <c r="D1415" s="119"/>
      <c r="E1415" s="119"/>
      <c r="F1415" s="155">
        <v>-69.13</v>
      </c>
      <c r="G1415" s="133" t="str">
        <f>_xlfn.XLOOKUP(Table1[[#This Row],[Account_ID]], Accounts[ID], Accounts[Account nickname], "Unknown")</f>
        <v>Discover</v>
      </c>
      <c r="H1415" s="134" t="str">
        <f>_xlfn.XLOOKUP(Table1[[#This Row],[Account_ID]], Accounts[ID], Accounts[Account'#], "Unknown")</f>
        <v>4618</v>
      </c>
      <c r="I1415" s="135" t="str">
        <f>_xlfn.XLOOKUP(_xlfn.XLOOKUP(Table1[[#This Row],[Account]],Accounts[Account nickname],Accounts[Institution ID]),Institutions[ID],Institutions[Institution nickname],"Unknown")</f>
        <v>Discover</v>
      </c>
      <c r="J1415" s="136" t="s">
        <v>2747</v>
      </c>
      <c r="K1415" s="137" t="s">
        <v>843</v>
      </c>
      <c r="L1415" s="137" t="s">
        <v>841</v>
      </c>
      <c r="M141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1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15" s="138" t="str" cm="1">
        <f t="array" ref="O1415">IFERROR(INDEX(CategoriesTable[Category type],MATCH(Table1[[#This Row],[Category]],CategoriesTable[Category name],0),0),"")</f>
        <v/>
      </c>
      <c r="P1415" s="138">
        <v>12</v>
      </c>
      <c r="Q1415" s="138">
        <f>MONTH(Table1[[#This Row],[Date]])</f>
        <v>12</v>
      </c>
      <c r="R1415" s="138">
        <v>2020</v>
      </c>
      <c r="S1415" s="139">
        <f>IF(ISBLANK(Table1[[#This Row],[Date]]),"",Table1[[#This Row],[Date]]-WEEKDAY(Table1[[#This Row],[Date]],2)+1)</f>
        <v>44172</v>
      </c>
      <c r="T1415" s="140">
        <f>IF(ISBLANK(Table1[[#This Row],[Date]]),"",DATE(Table1[[#This Row],[Date_Year]],Table1[[#This Row],[Date_Month]],1))</f>
        <v>44166</v>
      </c>
    </row>
    <row r="1416" spans="2:20" ht="15.75">
      <c r="B1416" s="154">
        <v>44176</v>
      </c>
      <c r="C1416" s="119" t="s">
        <v>2366</v>
      </c>
      <c r="D1416" s="119"/>
      <c r="E1416" s="119"/>
      <c r="F1416" s="155">
        <v>-77.94</v>
      </c>
      <c r="G1416" s="133" t="str">
        <f>_xlfn.XLOOKUP(Table1[[#This Row],[Account_ID]], Accounts[ID], Accounts[Account nickname], "Unknown")</f>
        <v>Discover</v>
      </c>
      <c r="H1416" s="134" t="str">
        <f>_xlfn.XLOOKUP(Table1[[#This Row],[Account_ID]], Accounts[ID], Accounts[Account'#], "Unknown")</f>
        <v>4618</v>
      </c>
      <c r="I1416" s="135" t="str">
        <f>_xlfn.XLOOKUP(_xlfn.XLOOKUP(Table1[[#This Row],[Account]],Accounts[Account nickname],Accounts[Institution ID]),Institutions[ID],Institutions[Institution nickname],"Unknown")</f>
        <v>Discover</v>
      </c>
      <c r="J1416" s="136" t="s">
        <v>2748</v>
      </c>
      <c r="K1416" s="137" t="s">
        <v>843</v>
      </c>
      <c r="L1416" s="137" t="s">
        <v>841</v>
      </c>
      <c r="M141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1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16" s="138" t="str" cm="1">
        <f t="array" ref="O1416">IFERROR(INDEX(CategoriesTable[Category type],MATCH(Table1[[#This Row],[Category]],CategoriesTable[Category name],0),0),"")</f>
        <v/>
      </c>
      <c r="P1416" s="138">
        <v>11</v>
      </c>
      <c r="Q1416" s="138">
        <f>MONTH(Table1[[#This Row],[Date]])</f>
        <v>12</v>
      </c>
      <c r="R1416" s="138">
        <v>2020</v>
      </c>
      <c r="S1416" s="139">
        <f>IF(ISBLANK(Table1[[#This Row],[Date]]),"",Table1[[#This Row],[Date]]-WEEKDAY(Table1[[#This Row],[Date]],2)+1)</f>
        <v>44172</v>
      </c>
      <c r="T1416" s="140">
        <f>IF(ISBLANK(Table1[[#This Row],[Date]]),"",DATE(Table1[[#This Row],[Date_Year]],Table1[[#This Row],[Date_Month]],1))</f>
        <v>44166</v>
      </c>
    </row>
    <row r="1417" spans="2:20" ht="15.75">
      <c r="B1417" s="154">
        <v>44176</v>
      </c>
      <c r="C1417" s="119" t="s">
        <v>752</v>
      </c>
      <c r="D1417" s="119"/>
      <c r="E1417" s="119"/>
      <c r="F1417" s="155">
        <v>-50</v>
      </c>
      <c r="G1417" s="133" t="str">
        <f>_xlfn.XLOOKUP(Table1[[#This Row],[Account_ID]], Accounts[ID], Accounts[Account nickname], "Unknown")</f>
        <v>WF</v>
      </c>
      <c r="H1417" s="134" t="str">
        <f>_xlfn.XLOOKUP(Table1[[#This Row],[Account_ID]], Accounts[ID], Accounts[Account'#], "Unknown")</f>
        <v>4636</v>
      </c>
      <c r="I1417" s="135" t="str">
        <f>_xlfn.XLOOKUP(_xlfn.XLOOKUP(Table1[[#This Row],[Account]],Accounts[Account nickname],Accounts[Institution ID]),Institutions[ID],Institutions[Institution nickname],"Unknown")</f>
        <v>Wells Fargo</v>
      </c>
      <c r="J1417" s="136" t="s">
        <v>1239</v>
      </c>
      <c r="K1417" s="137" t="s">
        <v>808</v>
      </c>
      <c r="L1417" s="137" t="s">
        <v>807</v>
      </c>
      <c r="M141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1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17" s="138" t="str" cm="1">
        <f t="array" ref="O1417">IFERROR(INDEX(CategoriesTable[Category type],MATCH(Table1[[#This Row],[Category]],CategoriesTable[Category name],0),0),"")</f>
        <v/>
      </c>
      <c r="P1417" s="138">
        <v>11</v>
      </c>
      <c r="Q1417" s="138">
        <f>MONTH(Table1[[#This Row],[Date]])</f>
        <v>12</v>
      </c>
      <c r="R1417" s="138">
        <v>2020</v>
      </c>
      <c r="S1417" s="139">
        <f>IF(ISBLANK(Table1[[#This Row],[Date]]),"",Table1[[#This Row],[Date]]-WEEKDAY(Table1[[#This Row],[Date]],2)+1)</f>
        <v>44172</v>
      </c>
      <c r="T1417" s="140">
        <f>IF(ISBLANK(Table1[[#This Row],[Date]]),"",DATE(Table1[[#This Row],[Date_Year]],Table1[[#This Row],[Date_Month]],1))</f>
        <v>44166</v>
      </c>
    </row>
    <row r="1418" spans="2:20" ht="15.75">
      <c r="B1418" s="154">
        <v>44175</v>
      </c>
      <c r="C1418" s="119" t="s">
        <v>2590</v>
      </c>
      <c r="D1418" s="119"/>
      <c r="E1418" s="119"/>
      <c r="F1418" s="155">
        <v>-6.55</v>
      </c>
      <c r="G1418" s="133" t="str">
        <f>_xlfn.XLOOKUP(Table1[[#This Row],[Account_ID]], Accounts[ID], Accounts[Account nickname], "Unknown")</f>
        <v>Discover</v>
      </c>
      <c r="H1418" s="134" t="str">
        <f>_xlfn.XLOOKUP(Table1[[#This Row],[Account_ID]], Accounts[ID], Accounts[Account'#], "Unknown")</f>
        <v>4618</v>
      </c>
      <c r="I1418" s="135" t="str">
        <f>_xlfn.XLOOKUP(_xlfn.XLOOKUP(Table1[[#This Row],[Account]],Accounts[Account nickname],Accounts[Institution ID]),Institutions[ID],Institutions[Institution nickname],"Unknown")</f>
        <v>Discover</v>
      </c>
      <c r="J1418" s="136" t="s">
        <v>2753</v>
      </c>
      <c r="K1418" s="137" t="s">
        <v>843</v>
      </c>
      <c r="L1418" s="137" t="s">
        <v>841</v>
      </c>
      <c r="M141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1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18" s="138" t="str" cm="1">
        <f t="array" ref="O1418">IFERROR(INDEX(CategoriesTable[Category type],MATCH(Table1[[#This Row],[Category]],CategoriesTable[Category name],0),0),"")</f>
        <v/>
      </c>
      <c r="P1418" s="138">
        <v>10</v>
      </c>
      <c r="Q1418" s="138">
        <f>MONTH(Table1[[#This Row],[Date]])</f>
        <v>12</v>
      </c>
      <c r="R1418" s="138">
        <v>2020</v>
      </c>
      <c r="S1418" s="139">
        <f>IF(ISBLANK(Table1[[#This Row],[Date]]),"",Table1[[#This Row],[Date]]-WEEKDAY(Table1[[#This Row],[Date]],2)+1)</f>
        <v>44172</v>
      </c>
      <c r="T1418" s="140">
        <f>IF(ISBLANK(Table1[[#This Row],[Date]]),"",DATE(Table1[[#This Row],[Date_Year]],Table1[[#This Row],[Date_Month]],1))</f>
        <v>44166</v>
      </c>
    </row>
    <row r="1419" spans="2:20" ht="15.75">
      <c r="B1419" s="154">
        <v>44175</v>
      </c>
      <c r="C1419" s="119" t="s">
        <v>2750</v>
      </c>
      <c r="D1419" s="119"/>
      <c r="E1419" s="119"/>
      <c r="F1419" s="155">
        <v>-20</v>
      </c>
      <c r="G1419" s="133" t="str">
        <f>_xlfn.XLOOKUP(Table1[[#This Row],[Account_ID]], Accounts[ID], Accounts[Account nickname], "Unknown")</f>
        <v>Discover</v>
      </c>
      <c r="H1419" s="134" t="str">
        <f>_xlfn.XLOOKUP(Table1[[#This Row],[Account_ID]], Accounts[ID], Accounts[Account'#], "Unknown")</f>
        <v>4618</v>
      </c>
      <c r="I1419" s="135" t="str">
        <f>_xlfn.XLOOKUP(_xlfn.XLOOKUP(Table1[[#This Row],[Account]],Accounts[Account nickname],Accounts[Institution ID]),Institutions[ID],Institutions[Institution nickname],"Unknown")</f>
        <v>Discover</v>
      </c>
      <c r="J1419" s="136" t="s">
        <v>2751</v>
      </c>
      <c r="K1419" s="137" t="s">
        <v>843</v>
      </c>
      <c r="L1419" s="137" t="s">
        <v>841</v>
      </c>
      <c r="M141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1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19" s="138" t="str" cm="1">
        <f t="array" ref="O1419">IFERROR(INDEX(CategoriesTable[Category type],MATCH(Table1[[#This Row],[Category]],CategoriesTable[Category name],0),0),"")</f>
        <v/>
      </c>
      <c r="P1419" s="138">
        <v>10</v>
      </c>
      <c r="Q1419" s="138">
        <f>MONTH(Table1[[#This Row],[Date]])</f>
        <v>12</v>
      </c>
      <c r="R1419" s="138">
        <v>2020</v>
      </c>
      <c r="S1419" s="139">
        <f>IF(ISBLANK(Table1[[#This Row],[Date]]),"",Table1[[#This Row],[Date]]-WEEKDAY(Table1[[#This Row],[Date]],2)+1)</f>
        <v>44172</v>
      </c>
      <c r="T1419" s="140">
        <f>IF(ISBLANK(Table1[[#This Row],[Date]]),"",DATE(Table1[[#This Row],[Date_Year]],Table1[[#This Row],[Date_Month]],1))</f>
        <v>44166</v>
      </c>
    </row>
    <row r="1420" spans="2:20" ht="15.75">
      <c r="B1420" s="154">
        <v>44175</v>
      </c>
      <c r="C1420" s="119" t="s">
        <v>712</v>
      </c>
      <c r="D1420" s="119"/>
      <c r="E1420" s="119"/>
      <c r="F1420" s="155">
        <v>-15.03</v>
      </c>
      <c r="G1420" s="133" t="str">
        <f>_xlfn.XLOOKUP(Table1[[#This Row],[Account_ID]], Accounts[ID], Accounts[Account nickname], "Unknown")</f>
        <v>Discover</v>
      </c>
      <c r="H1420" s="134" t="str">
        <f>_xlfn.XLOOKUP(Table1[[#This Row],[Account_ID]], Accounts[ID], Accounts[Account'#], "Unknown")</f>
        <v>4618</v>
      </c>
      <c r="I1420" s="135" t="str">
        <f>_xlfn.XLOOKUP(_xlfn.XLOOKUP(Table1[[#This Row],[Account]],Accounts[Account nickname],Accounts[Institution ID]),Institutions[ID],Institutions[Institution nickname],"Unknown")</f>
        <v>Discover</v>
      </c>
      <c r="J1420" s="136" t="s">
        <v>2754</v>
      </c>
      <c r="K1420" s="137" t="s">
        <v>843</v>
      </c>
      <c r="L1420" s="137" t="s">
        <v>841</v>
      </c>
      <c r="M142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2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20" s="138" t="str" cm="1">
        <f t="array" ref="O1420">IFERROR(INDEX(CategoriesTable[Category type],MATCH(Table1[[#This Row],[Category]],CategoriesTable[Category name],0),0),"")</f>
        <v/>
      </c>
      <c r="P1420" s="138">
        <v>10</v>
      </c>
      <c r="Q1420" s="138">
        <f>MONTH(Table1[[#This Row],[Date]])</f>
        <v>12</v>
      </c>
      <c r="R1420" s="138">
        <v>2020</v>
      </c>
      <c r="S1420" s="139">
        <f>IF(ISBLANK(Table1[[#This Row],[Date]]),"",Table1[[#This Row],[Date]]-WEEKDAY(Table1[[#This Row],[Date]],2)+1)</f>
        <v>44172</v>
      </c>
      <c r="T1420" s="140">
        <f>IF(ISBLANK(Table1[[#This Row],[Date]]),"",DATE(Table1[[#This Row],[Date_Year]],Table1[[#This Row],[Date_Month]],1))</f>
        <v>44166</v>
      </c>
    </row>
    <row r="1421" spans="2:20" ht="15.75">
      <c r="B1421" s="154">
        <v>44175</v>
      </c>
      <c r="C1421" s="119" t="s">
        <v>1726</v>
      </c>
      <c r="D1421" s="119"/>
      <c r="E1421" s="119"/>
      <c r="F1421" s="155">
        <v>-19.989999999999998</v>
      </c>
      <c r="G1421" s="133" t="str">
        <f>_xlfn.XLOOKUP(Table1[[#This Row],[Account_ID]], Accounts[ID], Accounts[Account nickname], "Unknown")</f>
        <v>Discover</v>
      </c>
      <c r="H1421" s="134" t="str">
        <f>_xlfn.XLOOKUP(Table1[[#This Row],[Account_ID]], Accounts[ID], Accounts[Account'#], "Unknown")</f>
        <v>4618</v>
      </c>
      <c r="I1421" s="135" t="str">
        <f>_xlfn.XLOOKUP(_xlfn.XLOOKUP(Table1[[#This Row],[Account]],Accounts[Account nickname],Accounts[Institution ID]),Institutions[ID],Institutions[Institution nickname],"Unknown")</f>
        <v>Discover</v>
      </c>
      <c r="J1421" s="136" t="s">
        <v>2752</v>
      </c>
      <c r="K1421" s="137" t="s">
        <v>843</v>
      </c>
      <c r="L1421" s="137" t="s">
        <v>841</v>
      </c>
      <c r="M142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2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21" s="138" t="str" cm="1">
        <f t="array" ref="O1421">IFERROR(INDEX(CategoriesTable[Category type],MATCH(Table1[[#This Row],[Category]],CategoriesTable[Category name],0),0),"")</f>
        <v/>
      </c>
      <c r="P1421" s="138">
        <v>10</v>
      </c>
      <c r="Q1421" s="138">
        <f>MONTH(Table1[[#This Row],[Date]])</f>
        <v>12</v>
      </c>
      <c r="R1421" s="138">
        <v>2020</v>
      </c>
      <c r="S1421" s="139">
        <f>IF(ISBLANK(Table1[[#This Row],[Date]]),"",Table1[[#This Row],[Date]]-WEEKDAY(Table1[[#This Row],[Date]],2)+1)</f>
        <v>44172</v>
      </c>
      <c r="T1421" s="140">
        <f>IF(ISBLANK(Table1[[#This Row],[Date]]),"",DATE(Table1[[#This Row],[Date_Year]],Table1[[#This Row],[Date_Month]],1))</f>
        <v>44166</v>
      </c>
    </row>
    <row r="1422" spans="2:20" ht="15.75">
      <c r="B1422" s="154">
        <v>44175</v>
      </c>
      <c r="C1422" s="119" t="s">
        <v>910</v>
      </c>
      <c r="D1422" s="119"/>
      <c r="E1422" s="119"/>
      <c r="F1422" s="155">
        <v>-14.99</v>
      </c>
      <c r="G1422" s="133" t="str">
        <f>_xlfn.XLOOKUP(Table1[[#This Row],[Account_ID]], Accounts[ID], Accounts[Account nickname], "Unknown")</f>
        <v>Discover</v>
      </c>
      <c r="H1422" s="134" t="str">
        <f>_xlfn.XLOOKUP(Table1[[#This Row],[Account_ID]], Accounts[ID], Accounts[Account'#], "Unknown")</f>
        <v>4618</v>
      </c>
      <c r="I1422" s="135" t="str">
        <f>_xlfn.XLOOKUP(_xlfn.XLOOKUP(Table1[[#This Row],[Account]],Accounts[Account nickname],Accounts[Institution ID]),Institutions[ID],Institutions[Institution nickname],"Unknown")</f>
        <v>Discover</v>
      </c>
      <c r="J1422" s="136" t="s">
        <v>2749</v>
      </c>
      <c r="K1422" s="137" t="s">
        <v>843</v>
      </c>
      <c r="L1422" s="137" t="s">
        <v>841</v>
      </c>
      <c r="M142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2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22" s="138" t="str" cm="1">
        <f t="array" ref="O1422">IFERROR(INDEX(CategoriesTable[Category type],MATCH(Table1[[#This Row],[Category]],CategoriesTable[Category name],0),0),"")</f>
        <v/>
      </c>
      <c r="P1422" s="138">
        <v>10</v>
      </c>
      <c r="Q1422" s="138">
        <f>MONTH(Table1[[#This Row],[Date]])</f>
        <v>12</v>
      </c>
      <c r="R1422" s="138">
        <v>2020</v>
      </c>
      <c r="S1422" s="139">
        <f>IF(ISBLANK(Table1[[#This Row],[Date]]),"",Table1[[#This Row],[Date]]-WEEKDAY(Table1[[#This Row],[Date]],2)+1)</f>
        <v>44172</v>
      </c>
      <c r="T1422" s="140">
        <f>IF(ISBLANK(Table1[[#This Row],[Date]]),"",DATE(Table1[[#This Row],[Date_Year]],Table1[[#This Row],[Date_Month]],1))</f>
        <v>44166</v>
      </c>
    </row>
    <row r="1423" spans="2:20" ht="15.75">
      <c r="B1423" s="154">
        <v>44175</v>
      </c>
      <c r="C1423" s="119" t="s">
        <v>936</v>
      </c>
      <c r="D1423" s="119"/>
      <c r="E1423" s="119"/>
      <c r="F1423" s="155">
        <v>-13.46</v>
      </c>
      <c r="G1423" s="133" t="str">
        <f>_xlfn.XLOOKUP(Table1[[#This Row],[Account_ID]], Accounts[ID], Accounts[Account nickname], "Unknown")</f>
        <v>Discover</v>
      </c>
      <c r="H1423" s="134" t="str">
        <f>_xlfn.XLOOKUP(Table1[[#This Row],[Account_ID]], Accounts[ID], Accounts[Account'#], "Unknown")</f>
        <v>4618</v>
      </c>
      <c r="I1423" s="135" t="str">
        <f>_xlfn.XLOOKUP(_xlfn.XLOOKUP(Table1[[#This Row],[Account]],Accounts[Account nickname],Accounts[Institution ID]),Institutions[ID],Institutions[Institution nickname],"Unknown")</f>
        <v>Discover</v>
      </c>
      <c r="J1423" s="136" t="s">
        <v>2755</v>
      </c>
      <c r="K1423" s="137" t="s">
        <v>843</v>
      </c>
      <c r="L1423" s="137" t="s">
        <v>841</v>
      </c>
      <c r="M142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2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23" s="138" t="str" cm="1">
        <f t="array" ref="O1423">IFERROR(INDEX(CategoriesTable[Category type],MATCH(Table1[[#This Row],[Category]],CategoriesTable[Category name],0),0),"")</f>
        <v/>
      </c>
      <c r="P1423" s="138">
        <v>10</v>
      </c>
      <c r="Q1423" s="138">
        <f>MONTH(Table1[[#This Row],[Date]])</f>
        <v>12</v>
      </c>
      <c r="R1423" s="138">
        <v>2020</v>
      </c>
      <c r="S1423" s="139">
        <f>IF(ISBLANK(Table1[[#This Row],[Date]]),"",Table1[[#This Row],[Date]]-WEEKDAY(Table1[[#This Row],[Date]],2)+1)</f>
        <v>44172</v>
      </c>
      <c r="T1423" s="140">
        <f>IF(ISBLANK(Table1[[#This Row],[Date]]),"",DATE(Table1[[#This Row],[Date_Year]],Table1[[#This Row],[Date_Month]],1))</f>
        <v>44166</v>
      </c>
    </row>
    <row r="1424" spans="2:20" ht="15.75">
      <c r="B1424" s="154">
        <v>44174</v>
      </c>
      <c r="C1424" s="119" t="s">
        <v>2666</v>
      </c>
      <c r="D1424" s="119"/>
      <c r="E1424" s="119"/>
      <c r="F1424" s="155">
        <v>-13.76</v>
      </c>
      <c r="G1424" s="133" t="str">
        <f>_xlfn.XLOOKUP(Table1[[#This Row],[Account_ID]], Accounts[ID], Accounts[Account nickname], "Unknown")</f>
        <v>Discover</v>
      </c>
      <c r="H1424" s="134" t="str">
        <f>_xlfn.XLOOKUP(Table1[[#This Row],[Account_ID]], Accounts[ID], Accounts[Account'#], "Unknown")</f>
        <v>4618</v>
      </c>
      <c r="I1424" s="135" t="str">
        <f>_xlfn.XLOOKUP(_xlfn.XLOOKUP(Table1[[#This Row],[Account]],Accounts[Account nickname],Accounts[Institution ID]),Institutions[ID],Institutions[Institution nickname],"Unknown")</f>
        <v>Discover</v>
      </c>
      <c r="J1424" s="136" t="s">
        <v>2756</v>
      </c>
      <c r="K1424" s="137" t="s">
        <v>843</v>
      </c>
      <c r="L1424" s="137" t="s">
        <v>841</v>
      </c>
      <c r="M142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2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24" s="138" t="str" cm="1">
        <f t="array" ref="O1424">IFERROR(INDEX(CategoriesTable[Category type],MATCH(Table1[[#This Row],[Category]],CategoriesTable[Category name],0),0),"")</f>
        <v/>
      </c>
      <c r="P1424" s="138">
        <v>9</v>
      </c>
      <c r="Q1424" s="138">
        <f>MONTH(Table1[[#This Row],[Date]])</f>
        <v>12</v>
      </c>
      <c r="R1424" s="138">
        <v>2020</v>
      </c>
      <c r="S1424" s="139">
        <f>IF(ISBLANK(Table1[[#This Row],[Date]]),"",Table1[[#This Row],[Date]]-WEEKDAY(Table1[[#This Row],[Date]],2)+1)</f>
        <v>44172</v>
      </c>
      <c r="T1424" s="140">
        <f>IF(ISBLANK(Table1[[#This Row],[Date]]),"",DATE(Table1[[#This Row],[Date_Year]],Table1[[#This Row],[Date_Month]],1))</f>
        <v>44166</v>
      </c>
    </row>
    <row r="1425" spans="2:20" ht="15.75">
      <c r="B1425" s="154">
        <v>44174</v>
      </c>
      <c r="C1425" s="119" t="s">
        <v>2691</v>
      </c>
      <c r="D1425" s="119"/>
      <c r="E1425" s="119"/>
      <c r="F1425" s="155">
        <v>-24.95</v>
      </c>
      <c r="G1425" s="133" t="str">
        <f>_xlfn.XLOOKUP(Table1[[#This Row],[Account_ID]], Accounts[ID], Accounts[Account nickname], "Unknown")</f>
        <v>Discover</v>
      </c>
      <c r="H1425" s="134" t="str">
        <f>_xlfn.XLOOKUP(Table1[[#This Row],[Account_ID]], Accounts[ID], Accounts[Account'#], "Unknown")</f>
        <v>4618</v>
      </c>
      <c r="I1425" s="135" t="str">
        <f>_xlfn.XLOOKUP(_xlfn.XLOOKUP(Table1[[#This Row],[Account]],Accounts[Account nickname],Accounts[Institution ID]),Institutions[ID],Institutions[Institution nickname],"Unknown")</f>
        <v>Discover</v>
      </c>
      <c r="J1425" s="136" t="s">
        <v>2757</v>
      </c>
      <c r="K1425" s="137" t="s">
        <v>843</v>
      </c>
      <c r="L1425" s="137" t="s">
        <v>841</v>
      </c>
      <c r="M142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2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25" s="138" t="str" cm="1">
        <f t="array" ref="O1425">IFERROR(INDEX(CategoriesTable[Category type],MATCH(Table1[[#This Row],[Category]],CategoriesTable[Category name],0),0),"")</f>
        <v/>
      </c>
      <c r="P1425" s="138">
        <v>9</v>
      </c>
      <c r="Q1425" s="138">
        <f>MONTH(Table1[[#This Row],[Date]])</f>
        <v>12</v>
      </c>
      <c r="R1425" s="138">
        <v>2020</v>
      </c>
      <c r="S1425" s="139">
        <f>IF(ISBLANK(Table1[[#This Row],[Date]]),"",Table1[[#This Row],[Date]]-WEEKDAY(Table1[[#This Row],[Date]],2)+1)</f>
        <v>44172</v>
      </c>
      <c r="T1425" s="140">
        <f>IF(ISBLANK(Table1[[#This Row],[Date]]),"",DATE(Table1[[#This Row],[Date_Year]],Table1[[#This Row],[Date_Month]],1))</f>
        <v>44166</v>
      </c>
    </row>
    <row r="1426" spans="2:20" ht="15.75">
      <c r="B1426" s="154">
        <v>44174</v>
      </c>
      <c r="C1426" s="119" t="s">
        <v>678</v>
      </c>
      <c r="D1426" s="119"/>
      <c r="E1426" s="119"/>
      <c r="F1426" s="155">
        <v>-25</v>
      </c>
      <c r="G1426" s="133" t="str">
        <f>_xlfn.XLOOKUP(Table1[[#This Row],[Account_ID]], Accounts[ID], Accounts[Account nickname], "Unknown")</f>
        <v>WF</v>
      </c>
      <c r="H1426" s="134" t="str">
        <f>_xlfn.XLOOKUP(Table1[[#This Row],[Account_ID]], Accounts[ID], Accounts[Account'#], "Unknown")</f>
        <v>4636</v>
      </c>
      <c r="I1426" s="135" t="str">
        <f>_xlfn.XLOOKUP(_xlfn.XLOOKUP(Table1[[#This Row],[Account]],Accounts[Account nickname],Accounts[Institution ID]),Institutions[ID],Institutions[Institution nickname],"Unknown")</f>
        <v>Wells Fargo</v>
      </c>
      <c r="J1426" s="136" t="s">
        <v>1240</v>
      </c>
      <c r="K1426" s="137" t="s">
        <v>808</v>
      </c>
      <c r="L1426" s="137" t="s">
        <v>807</v>
      </c>
      <c r="M142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2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26" s="138" t="str" cm="1">
        <f t="array" ref="O1426">IFERROR(INDEX(CategoriesTable[Category type],MATCH(Table1[[#This Row],[Category]],CategoriesTable[Category name],0),0),"")</f>
        <v/>
      </c>
      <c r="P1426" s="138">
        <v>9</v>
      </c>
      <c r="Q1426" s="138">
        <f>MONTH(Table1[[#This Row],[Date]])</f>
        <v>12</v>
      </c>
      <c r="R1426" s="138">
        <v>2020</v>
      </c>
      <c r="S1426" s="139">
        <f>IF(ISBLANK(Table1[[#This Row],[Date]]),"",Table1[[#This Row],[Date]]-WEEKDAY(Table1[[#This Row],[Date]],2)+1)</f>
        <v>44172</v>
      </c>
      <c r="T1426" s="140">
        <f>IF(ISBLANK(Table1[[#This Row],[Date]]),"",DATE(Table1[[#This Row],[Date_Year]],Table1[[#This Row],[Date_Month]],1))</f>
        <v>44166</v>
      </c>
    </row>
    <row r="1427" spans="2:20" ht="15.75">
      <c r="B1427" s="154">
        <v>44173</v>
      </c>
      <c r="C1427" s="119" t="s">
        <v>700</v>
      </c>
      <c r="D1427" s="119"/>
      <c r="E1427" s="119"/>
      <c r="F1427" s="155">
        <v>-86.25</v>
      </c>
      <c r="G1427" s="133" t="str">
        <f>_xlfn.XLOOKUP(Table1[[#This Row],[Account_ID]], Accounts[ID], Accounts[Account nickname], "Unknown")</f>
        <v>Discover</v>
      </c>
      <c r="H1427" s="134" t="str">
        <f>_xlfn.XLOOKUP(Table1[[#This Row],[Account_ID]], Accounts[ID], Accounts[Account'#], "Unknown")</f>
        <v>4618</v>
      </c>
      <c r="I1427" s="135" t="str">
        <f>_xlfn.XLOOKUP(_xlfn.XLOOKUP(Table1[[#This Row],[Account]],Accounts[Account nickname],Accounts[Institution ID]),Institutions[ID],Institutions[Institution nickname],"Unknown")</f>
        <v>Discover</v>
      </c>
      <c r="J1427" s="136" t="s">
        <v>2758</v>
      </c>
      <c r="K1427" s="137" t="s">
        <v>843</v>
      </c>
      <c r="L1427" s="137" t="s">
        <v>841</v>
      </c>
      <c r="M142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2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27" s="138" t="str" cm="1">
        <f t="array" ref="O1427">IFERROR(INDEX(CategoriesTable[Category type],MATCH(Table1[[#This Row],[Category]],CategoriesTable[Category name],0),0),"")</f>
        <v/>
      </c>
      <c r="P1427" s="138">
        <v>8</v>
      </c>
      <c r="Q1427" s="138">
        <f>MONTH(Table1[[#This Row],[Date]])</f>
        <v>12</v>
      </c>
      <c r="R1427" s="138">
        <v>2020</v>
      </c>
      <c r="S1427" s="139">
        <f>IF(ISBLANK(Table1[[#This Row],[Date]]),"",Table1[[#This Row],[Date]]-WEEKDAY(Table1[[#This Row],[Date]],2)+1)</f>
        <v>44172</v>
      </c>
      <c r="T1427" s="140">
        <f>IF(ISBLANK(Table1[[#This Row],[Date]]),"",DATE(Table1[[#This Row],[Date_Year]],Table1[[#This Row],[Date_Month]],1))</f>
        <v>44166</v>
      </c>
    </row>
    <row r="1428" spans="2:20" ht="15.75">
      <c r="B1428" s="154">
        <v>44172</v>
      </c>
      <c r="C1428" s="119" t="s">
        <v>686</v>
      </c>
      <c r="D1428" s="119"/>
      <c r="E1428" s="119"/>
      <c r="F1428" s="155">
        <v>-300</v>
      </c>
      <c r="G1428" s="133" t="str">
        <f>_xlfn.XLOOKUP(Table1[[#This Row],[Account_ID]], Accounts[ID], Accounts[Account nickname], "Unknown")</f>
        <v>WF</v>
      </c>
      <c r="H1428" s="134" t="str">
        <f>_xlfn.XLOOKUP(Table1[[#This Row],[Account_ID]], Accounts[ID], Accounts[Account'#], "Unknown")</f>
        <v>4636</v>
      </c>
      <c r="I1428" s="135" t="str">
        <f>_xlfn.XLOOKUP(_xlfn.XLOOKUP(Table1[[#This Row],[Account]],Accounts[Account nickname],Accounts[Institution ID]),Institutions[ID],Institutions[Institution nickname],"Unknown")</f>
        <v>Wells Fargo</v>
      </c>
      <c r="J1428" s="136" t="s">
        <v>1241</v>
      </c>
      <c r="K1428" s="137" t="s">
        <v>808</v>
      </c>
      <c r="L1428" s="137" t="s">
        <v>807</v>
      </c>
      <c r="M142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2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28" s="138" t="str" cm="1">
        <f t="array" ref="O1428">IFERROR(INDEX(CategoriesTable[Category type],MATCH(Table1[[#This Row],[Category]],CategoriesTable[Category name],0),0),"")</f>
        <v/>
      </c>
      <c r="P1428" s="138">
        <v>7</v>
      </c>
      <c r="Q1428" s="138">
        <f>MONTH(Table1[[#This Row],[Date]])</f>
        <v>12</v>
      </c>
      <c r="R1428" s="138">
        <v>2020</v>
      </c>
      <c r="S1428" s="139">
        <f>IF(ISBLANK(Table1[[#This Row],[Date]]),"",Table1[[#This Row],[Date]]-WEEKDAY(Table1[[#This Row],[Date]],2)+1)</f>
        <v>44172</v>
      </c>
      <c r="T1428" s="140">
        <f>IF(ISBLANK(Table1[[#This Row],[Date]]),"",DATE(Table1[[#This Row],[Date_Year]],Table1[[#This Row],[Date_Month]],1))</f>
        <v>44166</v>
      </c>
    </row>
    <row r="1429" spans="2:20" ht="15.75">
      <c r="B1429" s="154">
        <v>44172</v>
      </c>
      <c r="C1429" s="119" t="s">
        <v>845</v>
      </c>
      <c r="D1429" s="119"/>
      <c r="E1429" s="119"/>
      <c r="F1429" s="155">
        <v>300</v>
      </c>
      <c r="G1429" s="133" t="str">
        <f>_xlfn.XLOOKUP(Table1[[#This Row],[Account_ID]], Accounts[ID], Accounts[Account nickname], "Unknown")</f>
        <v>Discover</v>
      </c>
      <c r="H1429" s="134" t="str">
        <f>_xlfn.XLOOKUP(Table1[[#This Row],[Account_ID]], Accounts[ID], Accounts[Account'#], "Unknown")</f>
        <v>4618</v>
      </c>
      <c r="I1429" s="135" t="str">
        <f>_xlfn.XLOOKUP(_xlfn.XLOOKUP(Table1[[#This Row],[Account]],Accounts[Account nickname],Accounts[Institution ID]),Institutions[ID],Institutions[Institution nickname],"Unknown")</f>
        <v>Discover</v>
      </c>
      <c r="J1429" s="136" t="s">
        <v>2759</v>
      </c>
      <c r="K1429" s="137" t="s">
        <v>843</v>
      </c>
      <c r="L1429" s="137" t="s">
        <v>841</v>
      </c>
      <c r="M142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2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29" s="138" t="str" cm="1">
        <f t="array" ref="O1429">IFERROR(INDEX(CategoriesTable[Category type],MATCH(Table1[[#This Row],[Category]],CategoriesTable[Category name],0),0),"")</f>
        <v/>
      </c>
      <c r="P1429" s="138">
        <v>7</v>
      </c>
      <c r="Q1429" s="138">
        <f>MONTH(Table1[[#This Row],[Date]])</f>
        <v>12</v>
      </c>
      <c r="R1429" s="138">
        <v>2020</v>
      </c>
      <c r="S1429" s="139">
        <f>IF(ISBLANK(Table1[[#This Row],[Date]]),"",Table1[[#This Row],[Date]]-WEEKDAY(Table1[[#This Row],[Date]],2)+1)</f>
        <v>44172</v>
      </c>
      <c r="T1429" s="140">
        <f>IF(ISBLANK(Table1[[#This Row],[Date]]),"",DATE(Table1[[#This Row],[Date_Year]],Table1[[#This Row],[Date_Month]],1))</f>
        <v>44166</v>
      </c>
    </row>
    <row r="1430" spans="2:20" ht="15.75">
      <c r="B1430" s="154">
        <v>44172</v>
      </c>
      <c r="C1430" s="119" t="s">
        <v>678</v>
      </c>
      <c r="D1430" s="119"/>
      <c r="E1430" s="119"/>
      <c r="F1430" s="155">
        <v>519.65</v>
      </c>
      <c r="G1430" s="133" t="str">
        <f>_xlfn.XLOOKUP(Table1[[#This Row],[Account_ID]], Accounts[ID], Accounts[Account nickname], "Unknown")</f>
        <v>WF</v>
      </c>
      <c r="H1430" s="134" t="str">
        <f>_xlfn.XLOOKUP(Table1[[#This Row],[Account_ID]], Accounts[ID], Accounts[Account'#], "Unknown")</f>
        <v>4636</v>
      </c>
      <c r="I1430" s="135" t="str">
        <f>_xlfn.XLOOKUP(_xlfn.XLOOKUP(Table1[[#This Row],[Account]],Accounts[Account nickname],Accounts[Institution ID]),Institutions[ID],Institutions[Institution nickname],"Unknown")</f>
        <v>Wells Fargo</v>
      </c>
      <c r="J1430" s="136" t="s">
        <v>1242</v>
      </c>
      <c r="K1430" s="137" t="s">
        <v>808</v>
      </c>
      <c r="L1430" s="137" t="s">
        <v>807</v>
      </c>
      <c r="M143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3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30" s="138" t="str" cm="1">
        <f t="array" ref="O1430">IFERROR(INDEX(CategoriesTable[Category type],MATCH(Table1[[#This Row],[Category]],CategoriesTable[Category name],0),0),"")</f>
        <v/>
      </c>
      <c r="P1430" s="138">
        <v>7</v>
      </c>
      <c r="Q1430" s="138">
        <f>MONTH(Table1[[#This Row],[Date]])</f>
        <v>12</v>
      </c>
      <c r="R1430" s="138">
        <v>2020</v>
      </c>
      <c r="S1430" s="139">
        <f>IF(ISBLANK(Table1[[#This Row],[Date]]),"",Table1[[#This Row],[Date]]-WEEKDAY(Table1[[#This Row],[Date]],2)+1)</f>
        <v>44172</v>
      </c>
      <c r="T1430" s="140">
        <f>IF(ISBLANK(Table1[[#This Row],[Date]]),"",DATE(Table1[[#This Row],[Date_Year]],Table1[[#This Row],[Date_Month]],1))</f>
        <v>44166</v>
      </c>
    </row>
    <row r="1431" spans="2:20" ht="15.75">
      <c r="B1431" s="154">
        <v>44172</v>
      </c>
      <c r="C1431" s="119" t="s">
        <v>2590</v>
      </c>
      <c r="D1431" s="119"/>
      <c r="E1431" s="119"/>
      <c r="F1431" s="155">
        <v>-2.2000000000000002</v>
      </c>
      <c r="G1431" s="133" t="str">
        <f>_xlfn.XLOOKUP(Table1[[#This Row],[Account_ID]], Accounts[ID], Accounts[Account nickname], "Unknown")</f>
        <v>Discover</v>
      </c>
      <c r="H1431" s="134" t="str">
        <f>_xlfn.XLOOKUP(Table1[[#This Row],[Account_ID]], Accounts[ID], Accounts[Account'#], "Unknown")</f>
        <v>4618</v>
      </c>
      <c r="I1431" s="135" t="str">
        <f>_xlfn.XLOOKUP(_xlfn.XLOOKUP(Table1[[#This Row],[Account]],Accounts[Account nickname],Accounts[Institution ID]),Institutions[ID],Institutions[Institution nickname],"Unknown")</f>
        <v>Discover</v>
      </c>
      <c r="J1431" s="136" t="s">
        <v>2760</v>
      </c>
      <c r="K1431" s="137" t="s">
        <v>843</v>
      </c>
      <c r="L1431" s="137" t="s">
        <v>841</v>
      </c>
      <c r="M143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3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31" s="138" t="str" cm="1">
        <f t="array" ref="O1431">IFERROR(INDEX(CategoriesTable[Category type],MATCH(Table1[[#This Row],[Category]],CategoriesTable[Category name],0),0),"")</f>
        <v/>
      </c>
      <c r="P1431" s="138">
        <v>7</v>
      </c>
      <c r="Q1431" s="138">
        <f>MONTH(Table1[[#This Row],[Date]])</f>
        <v>12</v>
      </c>
      <c r="R1431" s="138">
        <v>2020</v>
      </c>
      <c r="S1431" s="139">
        <f>IF(ISBLANK(Table1[[#This Row],[Date]]),"",Table1[[#This Row],[Date]]-WEEKDAY(Table1[[#This Row],[Date]],2)+1)</f>
        <v>44172</v>
      </c>
      <c r="T1431" s="140">
        <f>IF(ISBLANK(Table1[[#This Row],[Date]]),"",DATE(Table1[[#This Row],[Date_Year]],Table1[[#This Row],[Date_Month]],1))</f>
        <v>44166</v>
      </c>
    </row>
    <row r="1432" spans="2:20" ht="15.75">
      <c r="B1432" s="154">
        <v>44171</v>
      </c>
      <c r="C1432" s="119" t="s">
        <v>1917</v>
      </c>
      <c r="D1432" s="119"/>
      <c r="E1432" s="119"/>
      <c r="F1432" s="155">
        <v>-35</v>
      </c>
      <c r="G1432" s="133" t="str">
        <f>_xlfn.XLOOKUP(Table1[[#This Row],[Account_ID]], Accounts[ID], Accounts[Account nickname], "Unknown")</f>
        <v>Discover</v>
      </c>
      <c r="H1432" s="134" t="str">
        <f>_xlfn.XLOOKUP(Table1[[#This Row],[Account_ID]], Accounts[ID], Accounts[Account'#], "Unknown")</f>
        <v>4618</v>
      </c>
      <c r="I1432" s="135" t="str">
        <f>_xlfn.XLOOKUP(_xlfn.XLOOKUP(Table1[[#This Row],[Account]],Accounts[Account nickname],Accounts[Institution ID]),Institutions[ID],Institutions[Institution nickname],"Unknown")</f>
        <v>Discover</v>
      </c>
      <c r="J1432" s="136" t="s">
        <v>2761</v>
      </c>
      <c r="K1432" s="137" t="s">
        <v>843</v>
      </c>
      <c r="L1432" s="137" t="s">
        <v>841</v>
      </c>
      <c r="M143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3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32" s="138" t="str" cm="1">
        <f t="array" ref="O1432">IFERROR(INDEX(CategoriesTable[Category type],MATCH(Table1[[#This Row],[Category]],CategoriesTable[Category name],0),0),"")</f>
        <v/>
      </c>
      <c r="P1432" s="138">
        <v>6</v>
      </c>
      <c r="Q1432" s="138">
        <f>MONTH(Table1[[#This Row],[Date]])</f>
        <v>12</v>
      </c>
      <c r="R1432" s="138">
        <v>2020</v>
      </c>
      <c r="S1432" s="139">
        <f>IF(ISBLANK(Table1[[#This Row],[Date]]),"",Table1[[#This Row],[Date]]-WEEKDAY(Table1[[#This Row],[Date]],2)+1)</f>
        <v>44165</v>
      </c>
      <c r="T1432" s="140">
        <f>IF(ISBLANK(Table1[[#This Row],[Date]]),"",DATE(Table1[[#This Row],[Date_Year]],Table1[[#This Row],[Date_Month]],1))</f>
        <v>44166</v>
      </c>
    </row>
    <row r="1433" spans="2:20" ht="15.75">
      <c r="B1433" s="154">
        <v>44170</v>
      </c>
      <c r="C1433" s="119" t="s">
        <v>715</v>
      </c>
      <c r="D1433" s="119"/>
      <c r="E1433" s="119"/>
      <c r="F1433" s="155">
        <v>-16.72</v>
      </c>
      <c r="G1433" s="133" t="str">
        <f>_xlfn.XLOOKUP(Table1[[#This Row],[Account_ID]], Accounts[ID], Accounts[Account nickname], "Unknown")</f>
        <v>Discover</v>
      </c>
      <c r="H1433" s="134" t="str">
        <f>_xlfn.XLOOKUP(Table1[[#This Row],[Account_ID]], Accounts[ID], Accounts[Account'#], "Unknown")</f>
        <v>4618</v>
      </c>
      <c r="I1433" s="135" t="str">
        <f>_xlfn.XLOOKUP(_xlfn.XLOOKUP(Table1[[#This Row],[Account]],Accounts[Account nickname],Accounts[Institution ID]),Institutions[ID],Institutions[Institution nickname],"Unknown")</f>
        <v>Discover</v>
      </c>
      <c r="J1433" s="136" t="s">
        <v>2765</v>
      </c>
      <c r="K1433" s="137" t="s">
        <v>843</v>
      </c>
      <c r="L1433" s="137" t="s">
        <v>841</v>
      </c>
      <c r="M143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3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33" s="138" t="str" cm="1">
        <f t="array" ref="O1433">IFERROR(INDEX(CategoriesTable[Category type],MATCH(Table1[[#This Row],[Category]],CategoriesTable[Category name],0),0),"")</f>
        <v/>
      </c>
      <c r="P1433" s="138">
        <v>5</v>
      </c>
      <c r="Q1433" s="138">
        <f>MONTH(Table1[[#This Row],[Date]])</f>
        <v>12</v>
      </c>
      <c r="R1433" s="138">
        <v>2020</v>
      </c>
      <c r="S1433" s="139">
        <f>IF(ISBLANK(Table1[[#This Row],[Date]]),"",Table1[[#This Row],[Date]]-WEEKDAY(Table1[[#This Row],[Date]],2)+1)</f>
        <v>44165</v>
      </c>
      <c r="T1433" s="140">
        <f>IF(ISBLANK(Table1[[#This Row],[Date]]),"",DATE(Table1[[#This Row],[Date_Year]],Table1[[#This Row],[Date_Month]],1))</f>
        <v>44166</v>
      </c>
    </row>
    <row r="1434" spans="2:20" ht="15.75">
      <c r="B1434" s="154">
        <v>44170</v>
      </c>
      <c r="C1434" s="119" t="s">
        <v>2590</v>
      </c>
      <c r="D1434" s="119"/>
      <c r="E1434" s="119"/>
      <c r="F1434" s="155">
        <v>-19.05</v>
      </c>
      <c r="G1434" s="133" t="str">
        <f>_xlfn.XLOOKUP(Table1[[#This Row],[Account_ID]], Accounts[ID], Accounts[Account nickname], "Unknown")</f>
        <v>Discover</v>
      </c>
      <c r="H1434" s="134" t="str">
        <f>_xlfn.XLOOKUP(Table1[[#This Row],[Account_ID]], Accounts[ID], Accounts[Account'#], "Unknown")</f>
        <v>4618</v>
      </c>
      <c r="I1434" s="135" t="str">
        <f>_xlfn.XLOOKUP(_xlfn.XLOOKUP(Table1[[#This Row],[Account]],Accounts[Account nickname],Accounts[Institution ID]),Institutions[ID],Institutions[Institution nickname],"Unknown")</f>
        <v>Discover</v>
      </c>
      <c r="J1434" s="136" t="s">
        <v>2767</v>
      </c>
      <c r="K1434" s="137" t="s">
        <v>843</v>
      </c>
      <c r="L1434" s="137" t="s">
        <v>841</v>
      </c>
      <c r="M143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3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34" s="138" t="str" cm="1">
        <f t="array" ref="O1434">IFERROR(INDEX(CategoriesTable[Category type],MATCH(Table1[[#This Row],[Category]],CategoriesTable[Category name],0),0),"")</f>
        <v/>
      </c>
      <c r="P1434" s="138">
        <v>5</v>
      </c>
      <c r="Q1434" s="138">
        <f>MONTH(Table1[[#This Row],[Date]])</f>
        <v>12</v>
      </c>
      <c r="R1434" s="138">
        <v>2020</v>
      </c>
      <c r="S1434" s="139">
        <f>IF(ISBLANK(Table1[[#This Row],[Date]]),"",Table1[[#This Row],[Date]]-WEEKDAY(Table1[[#This Row],[Date]],2)+1)</f>
        <v>44165</v>
      </c>
      <c r="T1434" s="140">
        <f>IF(ISBLANK(Table1[[#This Row],[Date]]),"",DATE(Table1[[#This Row],[Date_Year]],Table1[[#This Row],[Date_Month]],1))</f>
        <v>44166</v>
      </c>
    </row>
    <row r="1435" spans="2:20" ht="15.75">
      <c r="B1435" s="154">
        <v>44170</v>
      </c>
      <c r="C1435" s="119" t="s">
        <v>773</v>
      </c>
      <c r="D1435" s="119"/>
      <c r="E1435" s="119"/>
      <c r="F1435" s="155">
        <v>-80</v>
      </c>
      <c r="G1435" s="133" t="str">
        <f>_xlfn.XLOOKUP(Table1[[#This Row],[Account_ID]], Accounts[ID], Accounts[Account nickname], "Unknown")</f>
        <v>WF</v>
      </c>
      <c r="H1435" s="134" t="str">
        <f>_xlfn.XLOOKUP(Table1[[#This Row],[Account_ID]], Accounts[ID], Accounts[Account'#], "Unknown")</f>
        <v>4636</v>
      </c>
      <c r="I1435" s="135" t="str">
        <f>_xlfn.XLOOKUP(_xlfn.XLOOKUP(Table1[[#This Row],[Account]],Accounts[Account nickname],Accounts[Institution ID]),Institutions[ID],Institutions[Institution nickname],"Unknown")</f>
        <v>Wells Fargo</v>
      </c>
      <c r="J1435" s="136" t="s">
        <v>1243</v>
      </c>
      <c r="K1435" s="137" t="s">
        <v>808</v>
      </c>
      <c r="L1435" s="137" t="s">
        <v>807</v>
      </c>
      <c r="M143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3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35" s="138" t="str" cm="1">
        <f t="array" ref="O1435">IFERROR(INDEX(CategoriesTable[Category type],MATCH(Table1[[#This Row],[Category]],CategoriesTable[Category name],0),0),"")</f>
        <v/>
      </c>
      <c r="P1435" s="138">
        <v>5</v>
      </c>
      <c r="Q1435" s="138">
        <f>MONTH(Table1[[#This Row],[Date]])</f>
        <v>12</v>
      </c>
      <c r="R1435" s="138">
        <v>2020</v>
      </c>
      <c r="S1435" s="139">
        <f>IF(ISBLANK(Table1[[#This Row],[Date]]),"",Table1[[#This Row],[Date]]-WEEKDAY(Table1[[#This Row],[Date]],2)+1)</f>
        <v>44165</v>
      </c>
      <c r="T1435" s="140">
        <f>IF(ISBLANK(Table1[[#This Row],[Date]]),"",DATE(Table1[[#This Row],[Date_Year]],Table1[[#This Row],[Date_Month]],1))</f>
        <v>44166</v>
      </c>
    </row>
    <row r="1436" spans="2:20" ht="15.75">
      <c r="B1436" s="154">
        <v>44170</v>
      </c>
      <c r="C1436" s="119" t="s">
        <v>783</v>
      </c>
      <c r="D1436" s="119"/>
      <c r="E1436" s="119"/>
      <c r="F1436" s="155">
        <v>-18.5</v>
      </c>
      <c r="G1436" s="133" t="str">
        <f>_xlfn.XLOOKUP(Table1[[#This Row],[Account_ID]], Accounts[ID], Accounts[Account nickname], "Unknown")</f>
        <v>Discover</v>
      </c>
      <c r="H1436" s="134" t="str">
        <f>_xlfn.XLOOKUP(Table1[[#This Row],[Account_ID]], Accounts[ID], Accounts[Account'#], "Unknown")</f>
        <v>4618</v>
      </c>
      <c r="I1436" s="135" t="str">
        <f>_xlfn.XLOOKUP(_xlfn.XLOOKUP(Table1[[#This Row],[Account]],Accounts[Account nickname],Accounts[Institution ID]),Institutions[ID],Institutions[Institution nickname],"Unknown")</f>
        <v>Discover</v>
      </c>
      <c r="J1436" s="136" t="s">
        <v>2764</v>
      </c>
      <c r="K1436" s="137" t="s">
        <v>843</v>
      </c>
      <c r="L1436" s="137" t="s">
        <v>841</v>
      </c>
      <c r="M143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3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36" s="138" t="str" cm="1">
        <f t="array" ref="O1436">IFERROR(INDEX(CategoriesTable[Category type],MATCH(Table1[[#This Row],[Category]],CategoriesTable[Category name],0),0),"")</f>
        <v/>
      </c>
      <c r="P1436" s="138">
        <v>5</v>
      </c>
      <c r="Q1436" s="138">
        <f>MONTH(Table1[[#This Row],[Date]])</f>
        <v>12</v>
      </c>
      <c r="R1436" s="138">
        <v>2020</v>
      </c>
      <c r="S1436" s="139">
        <f>IF(ISBLANK(Table1[[#This Row],[Date]]),"",Table1[[#This Row],[Date]]-WEEKDAY(Table1[[#This Row],[Date]],2)+1)</f>
        <v>44165</v>
      </c>
      <c r="T1436" s="140">
        <f>IF(ISBLANK(Table1[[#This Row],[Date]]),"",DATE(Table1[[#This Row],[Date_Year]],Table1[[#This Row],[Date_Month]],1))</f>
        <v>44166</v>
      </c>
    </row>
    <row r="1437" spans="2:20" ht="15.75">
      <c r="B1437" s="154">
        <v>44170</v>
      </c>
      <c r="C1437" s="119" t="s">
        <v>712</v>
      </c>
      <c r="D1437" s="119"/>
      <c r="E1437" s="119"/>
      <c r="F1437" s="155">
        <v>-5.98</v>
      </c>
      <c r="G1437" s="133" t="str">
        <f>_xlfn.XLOOKUP(Table1[[#This Row],[Account_ID]], Accounts[ID], Accounts[Account nickname], "Unknown")</f>
        <v>Discover</v>
      </c>
      <c r="H1437" s="134" t="str">
        <f>_xlfn.XLOOKUP(Table1[[#This Row],[Account_ID]], Accounts[ID], Accounts[Account'#], "Unknown")</f>
        <v>4618</v>
      </c>
      <c r="I1437" s="135" t="str">
        <f>_xlfn.XLOOKUP(_xlfn.XLOOKUP(Table1[[#This Row],[Account]],Accounts[Account nickname],Accounts[Institution ID]),Institutions[ID],Institutions[Institution nickname],"Unknown")</f>
        <v>Discover</v>
      </c>
      <c r="J1437" s="136" t="s">
        <v>2768</v>
      </c>
      <c r="K1437" s="137" t="s">
        <v>843</v>
      </c>
      <c r="L1437" s="137" t="s">
        <v>841</v>
      </c>
      <c r="M143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3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37" s="138" t="str" cm="1">
        <f t="array" ref="O1437">IFERROR(INDEX(CategoriesTable[Category type],MATCH(Table1[[#This Row],[Category]],CategoriesTable[Category name],0),0),"")</f>
        <v/>
      </c>
      <c r="P1437" s="138">
        <v>5</v>
      </c>
      <c r="Q1437" s="138">
        <f>MONTH(Table1[[#This Row],[Date]])</f>
        <v>12</v>
      </c>
      <c r="R1437" s="138">
        <v>2020</v>
      </c>
      <c r="S1437" s="139">
        <f>IF(ISBLANK(Table1[[#This Row],[Date]]),"",Table1[[#This Row],[Date]]-WEEKDAY(Table1[[#This Row],[Date]],2)+1)</f>
        <v>44165</v>
      </c>
      <c r="T1437" s="140">
        <f>IF(ISBLANK(Table1[[#This Row],[Date]]),"",DATE(Table1[[#This Row],[Date_Year]],Table1[[#This Row],[Date_Month]],1))</f>
        <v>44166</v>
      </c>
    </row>
    <row r="1438" spans="2:20" ht="15.75">
      <c r="B1438" s="154">
        <v>44170</v>
      </c>
      <c r="C1438" s="119" t="s">
        <v>1618</v>
      </c>
      <c r="D1438" s="119"/>
      <c r="E1438" s="119"/>
      <c r="F1438" s="155">
        <v>-39.950000000000003</v>
      </c>
      <c r="G1438" s="133" t="str">
        <f>_xlfn.XLOOKUP(Table1[[#This Row],[Account_ID]], Accounts[ID], Accounts[Account nickname], "Unknown")</f>
        <v>Discover</v>
      </c>
      <c r="H1438" s="134" t="str">
        <f>_xlfn.XLOOKUP(Table1[[#This Row],[Account_ID]], Accounts[ID], Accounts[Account'#], "Unknown")</f>
        <v>4618</v>
      </c>
      <c r="I1438" s="135" t="str">
        <f>_xlfn.XLOOKUP(_xlfn.XLOOKUP(Table1[[#This Row],[Account]],Accounts[Account nickname],Accounts[Institution ID]),Institutions[ID],Institutions[Institution nickname],"Unknown")</f>
        <v>Discover</v>
      </c>
      <c r="J1438" s="136" t="s">
        <v>2766</v>
      </c>
      <c r="K1438" s="137" t="s">
        <v>843</v>
      </c>
      <c r="L1438" s="137" t="s">
        <v>841</v>
      </c>
      <c r="M143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3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38" s="138" t="str" cm="1">
        <f t="array" ref="O1438">IFERROR(INDEX(CategoriesTable[Category type],MATCH(Table1[[#This Row],[Category]],CategoriesTable[Category name],0),0),"")</f>
        <v/>
      </c>
      <c r="P1438" s="138">
        <v>5</v>
      </c>
      <c r="Q1438" s="138">
        <f>MONTH(Table1[[#This Row],[Date]])</f>
        <v>12</v>
      </c>
      <c r="R1438" s="138">
        <v>2020</v>
      </c>
      <c r="S1438" s="139">
        <f>IF(ISBLANK(Table1[[#This Row],[Date]]),"",Table1[[#This Row],[Date]]-WEEKDAY(Table1[[#This Row],[Date]],2)+1)</f>
        <v>44165</v>
      </c>
      <c r="T1438" s="140">
        <f>IF(ISBLANK(Table1[[#This Row],[Date]]),"",DATE(Table1[[#This Row],[Date_Year]],Table1[[#This Row],[Date_Month]],1))</f>
        <v>44166</v>
      </c>
    </row>
    <row r="1439" spans="2:20" ht="15.75">
      <c r="B1439" s="154">
        <v>44170</v>
      </c>
      <c r="C1439" s="119" t="s">
        <v>1980</v>
      </c>
      <c r="D1439" s="119"/>
      <c r="E1439" s="119"/>
      <c r="F1439" s="155">
        <v>-17.940000000000001</v>
      </c>
      <c r="G1439" s="133" t="str">
        <f>_xlfn.XLOOKUP(Table1[[#This Row],[Account_ID]], Accounts[ID], Accounts[Account nickname], "Unknown")</f>
        <v>Discover</v>
      </c>
      <c r="H1439" s="134" t="str">
        <f>_xlfn.XLOOKUP(Table1[[#This Row],[Account_ID]], Accounts[ID], Accounts[Account'#], "Unknown")</f>
        <v>4618</v>
      </c>
      <c r="I1439" s="135" t="str">
        <f>_xlfn.XLOOKUP(_xlfn.XLOOKUP(Table1[[#This Row],[Account]],Accounts[Account nickname],Accounts[Institution ID]),Institutions[ID],Institutions[Institution nickname],"Unknown")</f>
        <v>Discover</v>
      </c>
      <c r="J1439" s="136" t="s">
        <v>2770</v>
      </c>
      <c r="K1439" s="137" t="s">
        <v>843</v>
      </c>
      <c r="L1439" s="137" t="s">
        <v>841</v>
      </c>
      <c r="M143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3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39" s="138" t="str" cm="1">
        <f t="array" ref="O1439">IFERROR(INDEX(CategoriesTable[Category type],MATCH(Table1[[#This Row],[Category]],CategoriesTable[Category name],0),0),"")</f>
        <v/>
      </c>
      <c r="P1439" s="138">
        <v>5</v>
      </c>
      <c r="Q1439" s="138">
        <f>MONTH(Table1[[#This Row],[Date]])</f>
        <v>12</v>
      </c>
      <c r="R1439" s="138">
        <v>2020</v>
      </c>
      <c r="S1439" s="139">
        <f>IF(ISBLANK(Table1[[#This Row],[Date]]),"",Table1[[#This Row],[Date]]-WEEKDAY(Table1[[#This Row],[Date]],2)+1)</f>
        <v>44165</v>
      </c>
      <c r="T1439" s="140">
        <f>IF(ISBLANK(Table1[[#This Row],[Date]]),"",DATE(Table1[[#This Row],[Date_Year]],Table1[[#This Row],[Date_Month]],1))</f>
        <v>44166</v>
      </c>
    </row>
    <row r="1440" spans="2:20" ht="15.75">
      <c r="B1440" s="154">
        <v>44170</v>
      </c>
      <c r="C1440" s="119" t="s">
        <v>712</v>
      </c>
      <c r="D1440" s="119"/>
      <c r="E1440" s="119"/>
      <c r="F1440" s="155">
        <v>-23.95</v>
      </c>
      <c r="G1440" s="133" t="str">
        <f>_xlfn.XLOOKUP(Table1[[#This Row],[Account_ID]], Accounts[ID], Accounts[Account nickname], "Unknown")</f>
        <v>Discover</v>
      </c>
      <c r="H1440" s="134" t="str">
        <f>_xlfn.XLOOKUP(Table1[[#This Row],[Account_ID]], Accounts[ID], Accounts[Account'#], "Unknown")</f>
        <v>4618</v>
      </c>
      <c r="I1440" s="135" t="str">
        <f>_xlfn.XLOOKUP(_xlfn.XLOOKUP(Table1[[#This Row],[Account]],Accounts[Account nickname],Accounts[Institution ID]),Institutions[ID],Institutions[Institution nickname],"Unknown")</f>
        <v>Discover</v>
      </c>
      <c r="J1440" s="136" t="s">
        <v>2769</v>
      </c>
      <c r="K1440" s="137" t="s">
        <v>843</v>
      </c>
      <c r="L1440" s="137" t="s">
        <v>841</v>
      </c>
      <c r="M144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4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40" s="138" t="str" cm="1">
        <f t="array" ref="O1440">IFERROR(INDEX(CategoriesTable[Category type],MATCH(Table1[[#This Row],[Category]],CategoriesTable[Category name],0),0),"")</f>
        <v/>
      </c>
      <c r="P1440" s="138">
        <v>5</v>
      </c>
      <c r="Q1440" s="138">
        <f>MONTH(Table1[[#This Row],[Date]])</f>
        <v>12</v>
      </c>
      <c r="R1440" s="138">
        <v>2020</v>
      </c>
      <c r="S1440" s="139">
        <f>IF(ISBLANK(Table1[[#This Row],[Date]]),"",Table1[[#This Row],[Date]]-WEEKDAY(Table1[[#This Row],[Date]],2)+1)</f>
        <v>44165</v>
      </c>
      <c r="T1440" s="140">
        <f>IF(ISBLANK(Table1[[#This Row],[Date]]),"",DATE(Table1[[#This Row],[Date_Year]],Table1[[#This Row],[Date_Month]],1))</f>
        <v>44166</v>
      </c>
    </row>
    <row r="1441" spans="2:20" ht="15.75">
      <c r="B1441" s="154">
        <v>44170</v>
      </c>
      <c r="C1441" s="119" t="s">
        <v>2762</v>
      </c>
      <c r="D1441" s="119"/>
      <c r="E1441" s="119"/>
      <c r="F1441" s="155">
        <v>-9.99</v>
      </c>
      <c r="G1441" s="133" t="str">
        <f>_xlfn.XLOOKUP(Table1[[#This Row],[Account_ID]], Accounts[ID], Accounts[Account nickname], "Unknown")</f>
        <v>Discover</v>
      </c>
      <c r="H1441" s="134" t="str">
        <f>_xlfn.XLOOKUP(Table1[[#This Row],[Account_ID]], Accounts[ID], Accounts[Account'#], "Unknown")</f>
        <v>4618</v>
      </c>
      <c r="I1441" s="135" t="str">
        <f>_xlfn.XLOOKUP(_xlfn.XLOOKUP(Table1[[#This Row],[Account]],Accounts[Account nickname],Accounts[Institution ID]),Institutions[ID],Institutions[Institution nickname],"Unknown")</f>
        <v>Discover</v>
      </c>
      <c r="J1441" s="136" t="s">
        <v>2763</v>
      </c>
      <c r="K1441" s="137" t="s">
        <v>843</v>
      </c>
      <c r="L1441" s="137" t="s">
        <v>841</v>
      </c>
      <c r="M144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4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41" s="138" t="str" cm="1">
        <f t="array" ref="O1441">IFERROR(INDEX(CategoriesTable[Category type],MATCH(Table1[[#This Row],[Category]],CategoriesTable[Category name],0),0),"")</f>
        <v/>
      </c>
      <c r="P1441" s="138">
        <v>5</v>
      </c>
      <c r="Q1441" s="138">
        <f>MONTH(Table1[[#This Row],[Date]])</f>
        <v>12</v>
      </c>
      <c r="R1441" s="138">
        <v>2020</v>
      </c>
      <c r="S1441" s="139">
        <f>IF(ISBLANK(Table1[[#This Row],[Date]]),"",Table1[[#This Row],[Date]]-WEEKDAY(Table1[[#This Row],[Date]],2)+1)</f>
        <v>44165</v>
      </c>
      <c r="T1441" s="140">
        <f>IF(ISBLANK(Table1[[#This Row],[Date]]),"",DATE(Table1[[#This Row],[Date_Year]],Table1[[#This Row],[Date_Month]],1))</f>
        <v>44166</v>
      </c>
    </row>
    <row r="1442" spans="2:20" ht="15.75">
      <c r="B1442" s="154">
        <v>44169</v>
      </c>
      <c r="C1442" s="119" t="s">
        <v>2771</v>
      </c>
      <c r="D1442" s="119"/>
      <c r="E1442" s="119"/>
      <c r="F1442" s="155">
        <v>-0.99</v>
      </c>
      <c r="G1442" s="133" t="str">
        <f>_xlfn.XLOOKUP(Table1[[#This Row],[Account_ID]], Accounts[ID], Accounts[Account nickname], "Unknown")</f>
        <v>Discover</v>
      </c>
      <c r="H1442" s="134" t="str">
        <f>_xlfn.XLOOKUP(Table1[[#This Row],[Account_ID]], Accounts[ID], Accounts[Account'#], "Unknown")</f>
        <v>4618</v>
      </c>
      <c r="I1442" s="135" t="str">
        <f>_xlfn.XLOOKUP(_xlfn.XLOOKUP(Table1[[#This Row],[Account]],Accounts[Account nickname],Accounts[Institution ID]),Institutions[ID],Institutions[Institution nickname],"Unknown")</f>
        <v>Discover</v>
      </c>
      <c r="J1442" s="136" t="s">
        <v>2773</v>
      </c>
      <c r="K1442" s="137" t="s">
        <v>843</v>
      </c>
      <c r="L1442" s="137" t="s">
        <v>841</v>
      </c>
      <c r="M144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4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42" s="138" t="str" cm="1">
        <f t="array" ref="O1442">IFERROR(INDEX(CategoriesTable[Category type],MATCH(Table1[[#This Row],[Category]],CategoriesTable[Category name],0),0),"")</f>
        <v/>
      </c>
      <c r="P1442" s="138">
        <v>4</v>
      </c>
      <c r="Q1442" s="138">
        <f>MONTH(Table1[[#This Row],[Date]])</f>
        <v>12</v>
      </c>
      <c r="R1442" s="138">
        <v>2020</v>
      </c>
      <c r="S1442" s="139">
        <f>IF(ISBLANK(Table1[[#This Row],[Date]]),"",Table1[[#This Row],[Date]]-WEEKDAY(Table1[[#This Row],[Date]],2)+1)</f>
        <v>44165</v>
      </c>
      <c r="T1442" s="140">
        <f>IF(ISBLANK(Table1[[#This Row],[Date]]),"",DATE(Table1[[#This Row],[Date_Year]],Table1[[#This Row],[Date_Month]],1))</f>
        <v>44166</v>
      </c>
    </row>
    <row r="1443" spans="2:20" ht="15.75">
      <c r="B1443" s="154">
        <v>44169</v>
      </c>
      <c r="C1443" s="119" t="s">
        <v>2771</v>
      </c>
      <c r="D1443" s="119"/>
      <c r="E1443" s="119"/>
      <c r="F1443" s="155">
        <v>-4.99</v>
      </c>
      <c r="G1443" s="133" t="str">
        <f>_xlfn.XLOOKUP(Table1[[#This Row],[Account_ID]], Accounts[ID], Accounts[Account nickname], "Unknown")</f>
        <v>Discover</v>
      </c>
      <c r="H1443" s="134" t="str">
        <f>_xlfn.XLOOKUP(Table1[[#This Row],[Account_ID]], Accounts[ID], Accounts[Account'#], "Unknown")</f>
        <v>4618</v>
      </c>
      <c r="I1443" s="135" t="str">
        <f>_xlfn.XLOOKUP(_xlfn.XLOOKUP(Table1[[#This Row],[Account]],Accounts[Account nickname],Accounts[Institution ID]),Institutions[ID],Institutions[Institution nickname],"Unknown")</f>
        <v>Discover</v>
      </c>
      <c r="J1443" s="136" t="s">
        <v>2772</v>
      </c>
      <c r="K1443" s="137" t="s">
        <v>843</v>
      </c>
      <c r="L1443" s="137" t="s">
        <v>841</v>
      </c>
      <c r="M144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4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43" s="138" t="str" cm="1">
        <f t="array" ref="O1443">IFERROR(INDEX(CategoriesTable[Category type],MATCH(Table1[[#This Row],[Category]],CategoriesTable[Category name],0),0),"")</f>
        <v/>
      </c>
      <c r="P1443" s="138">
        <v>4</v>
      </c>
      <c r="Q1443" s="138">
        <f>MONTH(Table1[[#This Row],[Date]])</f>
        <v>12</v>
      </c>
      <c r="R1443" s="138">
        <v>2020</v>
      </c>
      <c r="S1443" s="139">
        <f>IF(ISBLANK(Table1[[#This Row],[Date]]),"",Table1[[#This Row],[Date]]-WEEKDAY(Table1[[#This Row],[Date]],2)+1)</f>
        <v>44165</v>
      </c>
      <c r="T1443" s="140">
        <f>IF(ISBLANK(Table1[[#This Row],[Date]]),"",DATE(Table1[[#This Row],[Date_Year]],Table1[[#This Row],[Date_Month]],1))</f>
        <v>44166</v>
      </c>
    </row>
    <row r="1444" spans="2:20" ht="15.75">
      <c r="B1444" s="154">
        <v>44169</v>
      </c>
      <c r="C1444" s="119" t="s">
        <v>2776</v>
      </c>
      <c r="D1444" s="119"/>
      <c r="E1444" s="119"/>
      <c r="F1444" s="155">
        <v>-17.920000000000002</v>
      </c>
      <c r="G1444" s="133" t="str">
        <f>_xlfn.XLOOKUP(Table1[[#This Row],[Account_ID]], Accounts[ID], Accounts[Account nickname], "Unknown")</f>
        <v>Discover</v>
      </c>
      <c r="H1444" s="134" t="str">
        <f>_xlfn.XLOOKUP(Table1[[#This Row],[Account_ID]], Accounts[ID], Accounts[Account'#], "Unknown")</f>
        <v>4618</v>
      </c>
      <c r="I1444" s="135" t="str">
        <f>_xlfn.XLOOKUP(_xlfn.XLOOKUP(Table1[[#This Row],[Account]],Accounts[Account nickname],Accounts[Institution ID]),Institutions[ID],Institutions[Institution nickname],"Unknown")</f>
        <v>Discover</v>
      </c>
      <c r="J1444" s="136" t="s">
        <v>2777</v>
      </c>
      <c r="K1444" s="137" t="s">
        <v>843</v>
      </c>
      <c r="L1444" s="137" t="s">
        <v>841</v>
      </c>
      <c r="M144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4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44" s="138" t="str" cm="1">
        <f t="array" ref="O1444">IFERROR(INDEX(CategoriesTable[Category type],MATCH(Table1[[#This Row],[Category]],CategoriesTable[Category name],0),0),"")</f>
        <v/>
      </c>
      <c r="P1444" s="138">
        <v>4</v>
      </c>
      <c r="Q1444" s="138">
        <f>MONTH(Table1[[#This Row],[Date]])</f>
        <v>12</v>
      </c>
      <c r="R1444" s="138">
        <v>2020</v>
      </c>
      <c r="S1444" s="139">
        <f>IF(ISBLANK(Table1[[#This Row],[Date]]),"",Table1[[#This Row],[Date]]-WEEKDAY(Table1[[#This Row],[Date]],2)+1)</f>
        <v>44165</v>
      </c>
      <c r="T1444" s="140">
        <f>IF(ISBLANK(Table1[[#This Row],[Date]]),"",DATE(Table1[[#This Row],[Date_Year]],Table1[[#This Row],[Date_Month]],1))</f>
        <v>44166</v>
      </c>
    </row>
    <row r="1445" spans="2:20" ht="15.75">
      <c r="B1445" s="154">
        <v>44169</v>
      </c>
      <c r="C1445" s="119" t="s">
        <v>678</v>
      </c>
      <c r="D1445" s="119"/>
      <c r="E1445" s="119"/>
      <c r="F1445" s="155">
        <v>-1000</v>
      </c>
      <c r="G1445" s="133" t="str">
        <f>_xlfn.XLOOKUP(Table1[[#This Row],[Account_ID]], Accounts[ID], Accounts[Account nickname], "Unknown")</f>
        <v>WF</v>
      </c>
      <c r="H1445" s="134" t="str">
        <f>_xlfn.XLOOKUP(Table1[[#This Row],[Account_ID]], Accounts[ID], Accounts[Account'#], "Unknown")</f>
        <v>4636</v>
      </c>
      <c r="I1445" s="135" t="str">
        <f>_xlfn.XLOOKUP(_xlfn.XLOOKUP(Table1[[#This Row],[Account]],Accounts[Account nickname],Accounts[Institution ID]),Institutions[ID],Institutions[Institution nickname],"Unknown")</f>
        <v>Wells Fargo</v>
      </c>
      <c r="J1445" s="136" t="s">
        <v>1244</v>
      </c>
      <c r="K1445" s="137" t="s">
        <v>808</v>
      </c>
      <c r="L1445" s="137" t="s">
        <v>807</v>
      </c>
      <c r="M144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4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45" s="138" t="str" cm="1">
        <f t="array" ref="O1445">IFERROR(INDEX(CategoriesTable[Category type],MATCH(Table1[[#This Row],[Category]],CategoriesTable[Category name],0),0),"")</f>
        <v/>
      </c>
      <c r="P1445" s="138">
        <v>4</v>
      </c>
      <c r="Q1445" s="138">
        <f>MONTH(Table1[[#This Row],[Date]])</f>
        <v>12</v>
      </c>
      <c r="R1445" s="138">
        <v>2020</v>
      </c>
      <c r="S1445" s="139">
        <f>IF(ISBLANK(Table1[[#This Row],[Date]]),"",Table1[[#This Row],[Date]]-WEEKDAY(Table1[[#This Row],[Date]],2)+1)</f>
        <v>44165</v>
      </c>
      <c r="T1445" s="140">
        <f>IF(ISBLANK(Table1[[#This Row],[Date]]),"",DATE(Table1[[#This Row],[Date_Year]],Table1[[#This Row],[Date_Month]],1))</f>
        <v>44166</v>
      </c>
    </row>
    <row r="1446" spans="2:20" ht="15.75">
      <c r="B1446" s="154">
        <v>44169</v>
      </c>
      <c r="C1446" s="119" t="s">
        <v>2774</v>
      </c>
      <c r="D1446" s="119"/>
      <c r="E1446" s="119"/>
      <c r="F1446" s="155">
        <v>-19.989999999999998</v>
      </c>
      <c r="G1446" s="133" t="str">
        <f>_xlfn.XLOOKUP(Table1[[#This Row],[Account_ID]], Accounts[ID], Accounts[Account nickname], "Unknown")</f>
        <v>Discover</v>
      </c>
      <c r="H1446" s="134" t="str">
        <f>_xlfn.XLOOKUP(Table1[[#This Row],[Account_ID]], Accounts[ID], Accounts[Account'#], "Unknown")</f>
        <v>4618</v>
      </c>
      <c r="I1446" s="135" t="str">
        <f>_xlfn.XLOOKUP(_xlfn.XLOOKUP(Table1[[#This Row],[Account]],Accounts[Account nickname],Accounts[Institution ID]),Institutions[ID],Institutions[Institution nickname],"Unknown")</f>
        <v>Discover</v>
      </c>
      <c r="J1446" s="136" t="s">
        <v>2775</v>
      </c>
      <c r="K1446" s="137" t="s">
        <v>843</v>
      </c>
      <c r="L1446" s="137" t="s">
        <v>841</v>
      </c>
      <c r="M144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4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46" s="138" t="str" cm="1">
        <f t="array" ref="O1446">IFERROR(INDEX(CategoriesTable[Category type],MATCH(Table1[[#This Row],[Category]],CategoriesTable[Category name],0),0),"")</f>
        <v/>
      </c>
      <c r="P1446" s="138">
        <v>4</v>
      </c>
      <c r="Q1446" s="138">
        <f>MONTH(Table1[[#This Row],[Date]])</f>
        <v>12</v>
      </c>
      <c r="R1446" s="138">
        <v>2020</v>
      </c>
      <c r="S1446" s="139">
        <f>IF(ISBLANK(Table1[[#This Row],[Date]]),"",Table1[[#This Row],[Date]]-WEEKDAY(Table1[[#This Row],[Date]],2)+1)</f>
        <v>44165</v>
      </c>
      <c r="T1446" s="140">
        <f>IF(ISBLANK(Table1[[#This Row],[Date]]),"",DATE(Table1[[#This Row],[Date_Year]],Table1[[#This Row],[Date_Month]],1))</f>
        <v>44166</v>
      </c>
    </row>
    <row r="1447" spans="2:20" ht="15.75">
      <c r="B1447" s="154">
        <v>44169</v>
      </c>
      <c r="C1447" s="119" t="s">
        <v>751</v>
      </c>
      <c r="D1447" s="119"/>
      <c r="E1447" s="119"/>
      <c r="F1447" s="155">
        <v>1490.77</v>
      </c>
      <c r="G1447" s="133" t="str">
        <f>_xlfn.XLOOKUP(Table1[[#This Row],[Account_ID]], Accounts[ID], Accounts[Account nickname], "Unknown")</f>
        <v>WF</v>
      </c>
      <c r="H1447" s="134" t="str">
        <f>_xlfn.XLOOKUP(Table1[[#This Row],[Account_ID]], Accounts[ID], Accounts[Account'#], "Unknown")</f>
        <v>4636</v>
      </c>
      <c r="I1447" s="135" t="str">
        <f>_xlfn.XLOOKUP(_xlfn.XLOOKUP(Table1[[#This Row],[Account]],Accounts[Account nickname],Accounts[Institution ID]),Institutions[ID],Institutions[Institution nickname],"Unknown")</f>
        <v>Wells Fargo</v>
      </c>
      <c r="J1447" s="136" t="s">
        <v>1245</v>
      </c>
      <c r="K1447" s="137" t="s">
        <v>808</v>
      </c>
      <c r="L1447" s="137" t="s">
        <v>807</v>
      </c>
      <c r="M144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4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47" s="138" t="str" cm="1">
        <f t="array" ref="O1447">IFERROR(INDEX(CategoriesTable[Category type],MATCH(Table1[[#This Row],[Category]],CategoriesTable[Category name],0),0),"")</f>
        <v/>
      </c>
      <c r="P1447" s="138">
        <v>4</v>
      </c>
      <c r="Q1447" s="138">
        <f>MONTH(Table1[[#This Row],[Date]])</f>
        <v>12</v>
      </c>
      <c r="R1447" s="138">
        <v>2020</v>
      </c>
      <c r="S1447" s="139">
        <f>IF(ISBLANK(Table1[[#This Row],[Date]]),"",Table1[[#This Row],[Date]]-WEEKDAY(Table1[[#This Row],[Date]],2)+1)</f>
        <v>44165</v>
      </c>
      <c r="T1447" s="140">
        <f>IF(ISBLANK(Table1[[#This Row],[Date]]),"",DATE(Table1[[#This Row],[Date_Year]],Table1[[#This Row],[Date_Month]],1))</f>
        <v>44166</v>
      </c>
    </row>
    <row r="1448" spans="2:20" ht="15.75">
      <c r="B1448" s="154">
        <v>44168</v>
      </c>
      <c r="C1448" s="119" t="s">
        <v>1403</v>
      </c>
      <c r="D1448" s="119"/>
      <c r="E1448" s="119"/>
      <c r="F1448" s="155">
        <v>-97.25</v>
      </c>
      <c r="G1448" s="133" t="str">
        <f>_xlfn.XLOOKUP(Table1[[#This Row],[Account_ID]], Accounts[ID], Accounts[Account nickname], "Unknown")</f>
        <v>Discover</v>
      </c>
      <c r="H1448" s="134" t="str">
        <f>_xlfn.XLOOKUP(Table1[[#This Row],[Account_ID]], Accounts[ID], Accounts[Account'#], "Unknown")</f>
        <v>4618</v>
      </c>
      <c r="I1448" s="135" t="str">
        <f>_xlfn.XLOOKUP(_xlfn.XLOOKUP(Table1[[#This Row],[Account]],Accounts[Account nickname],Accounts[Institution ID]),Institutions[ID],Institutions[Institution nickname],"Unknown")</f>
        <v>Discover</v>
      </c>
      <c r="J1448" s="136" t="s">
        <v>2778</v>
      </c>
      <c r="K1448" s="137" t="s">
        <v>843</v>
      </c>
      <c r="L1448" s="137" t="s">
        <v>841</v>
      </c>
      <c r="M144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4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48" s="138" t="str" cm="1">
        <f t="array" ref="O1448">IFERROR(INDEX(CategoriesTable[Category type],MATCH(Table1[[#This Row],[Category]],CategoriesTable[Category name],0),0),"")</f>
        <v/>
      </c>
      <c r="P1448" s="138">
        <v>3</v>
      </c>
      <c r="Q1448" s="138">
        <f>MONTH(Table1[[#This Row],[Date]])</f>
        <v>12</v>
      </c>
      <c r="R1448" s="138">
        <v>2020</v>
      </c>
      <c r="S1448" s="139">
        <f>IF(ISBLANK(Table1[[#This Row],[Date]]),"",Table1[[#This Row],[Date]]-WEEKDAY(Table1[[#This Row],[Date]],2)+1)</f>
        <v>44165</v>
      </c>
      <c r="T1448" s="140">
        <f>IF(ISBLANK(Table1[[#This Row],[Date]]),"",DATE(Table1[[#This Row],[Date_Year]],Table1[[#This Row],[Date_Month]],1))</f>
        <v>44166</v>
      </c>
    </row>
    <row r="1449" spans="2:20" ht="15.75">
      <c r="B1449" s="154">
        <v>44167</v>
      </c>
      <c r="C1449" s="119" t="s">
        <v>2780</v>
      </c>
      <c r="D1449" s="119"/>
      <c r="E1449" s="119"/>
      <c r="F1449" s="155">
        <v>-29.7</v>
      </c>
      <c r="G1449" s="133" t="str">
        <f>_xlfn.XLOOKUP(Table1[[#This Row],[Account_ID]], Accounts[ID], Accounts[Account nickname], "Unknown")</f>
        <v>Discover</v>
      </c>
      <c r="H1449" s="134" t="str">
        <f>_xlfn.XLOOKUP(Table1[[#This Row],[Account_ID]], Accounts[ID], Accounts[Account'#], "Unknown")</f>
        <v>4618</v>
      </c>
      <c r="I1449" s="135" t="str">
        <f>_xlfn.XLOOKUP(_xlfn.XLOOKUP(Table1[[#This Row],[Account]],Accounts[Account nickname],Accounts[Institution ID]),Institutions[ID],Institutions[Institution nickname],"Unknown")</f>
        <v>Discover</v>
      </c>
      <c r="J1449" s="136" t="s">
        <v>2782</v>
      </c>
      <c r="K1449" s="137" t="s">
        <v>843</v>
      </c>
      <c r="L1449" s="137" t="s">
        <v>841</v>
      </c>
      <c r="M144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4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49" s="138" t="str" cm="1">
        <f t="array" ref="O1449">IFERROR(INDEX(CategoriesTable[Category type],MATCH(Table1[[#This Row],[Category]],CategoriesTable[Category name],0),0),"")</f>
        <v/>
      </c>
      <c r="P1449" s="138">
        <v>2</v>
      </c>
      <c r="Q1449" s="138">
        <f>MONTH(Table1[[#This Row],[Date]])</f>
        <v>12</v>
      </c>
      <c r="R1449" s="138">
        <v>2020</v>
      </c>
      <c r="S1449" s="139">
        <f>IF(ISBLANK(Table1[[#This Row],[Date]]),"",Table1[[#This Row],[Date]]-WEEKDAY(Table1[[#This Row],[Date]],2)+1)</f>
        <v>44165</v>
      </c>
      <c r="T1449" s="140">
        <f>IF(ISBLANK(Table1[[#This Row],[Date]]),"",DATE(Table1[[#This Row],[Date_Year]],Table1[[#This Row],[Date_Month]],1))</f>
        <v>44166</v>
      </c>
    </row>
    <row r="1450" spans="2:20" ht="15.75">
      <c r="B1450" s="154">
        <v>44167</v>
      </c>
      <c r="C1450" s="119" t="s">
        <v>2780</v>
      </c>
      <c r="D1450" s="119"/>
      <c r="E1450" s="119"/>
      <c r="F1450" s="155">
        <v>-13.35</v>
      </c>
      <c r="G1450" s="133" t="str">
        <f>_xlfn.XLOOKUP(Table1[[#This Row],[Account_ID]], Accounts[ID], Accounts[Account nickname], "Unknown")</f>
        <v>Discover</v>
      </c>
      <c r="H1450" s="134" t="str">
        <f>_xlfn.XLOOKUP(Table1[[#This Row],[Account_ID]], Accounts[ID], Accounts[Account'#], "Unknown")</f>
        <v>4618</v>
      </c>
      <c r="I1450" s="135" t="str">
        <f>_xlfn.XLOOKUP(_xlfn.XLOOKUP(Table1[[#This Row],[Account]],Accounts[Account nickname],Accounts[Institution ID]),Institutions[ID],Institutions[Institution nickname],"Unknown")</f>
        <v>Discover</v>
      </c>
      <c r="J1450" s="136" t="s">
        <v>2781</v>
      </c>
      <c r="K1450" s="137" t="s">
        <v>843</v>
      </c>
      <c r="L1450" s="137" t="s">
        <v>841</v>
      </c>
      <c r="M145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5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50" s="138" t="str" cm="1">
        <f t="array" ref="O1450">IFERROR(INDEX(CategoriesTable[Category type],MATCH(Table1[[#This Row],[Category]],CategoriesTable[Category name],0),0),"")</f>
        <v/>
      </c>
      <c r="P1450" s="138">
        <v>2</v>
      </c>
      <c r="Q1450" s="138">
        <f>MONTH(Table1[[#This Row],[Date]])</f>
        <v>12</v>
      </c>
      <c r="R1450" s="138">
        <v>2020</v>
      </c>
      <c r="S1450" s="139">
        <f>IF(ISBLANK(Table1[[#This Row],[Date]]),"",Table1[[#This Row],[Date]]-WEEKDAY(Table1[[#This Row],[Date]],2)+1)</f>
        <v>44165</v>
      </c>
      <c r="T1450" s="140">
        <f>IF(ISBLANK(Table1[[#This Row],[Date]]),"",DATE(Table1[[#This Row],[Date_Year]],Table1[[#This Row],[Date_Month]],1))</f>
        <v>44166</v>
      </c>
    </row>
    <row r="1451" spans="2:20" ht="15.75">
      <c r="B1451" s="154">
        <v>44167</v>
      </c>
      <c r="C1451" s="119" t="s">
        <v>2578</v>
      </c>
      <c r="D1451" s="119"/>
      <c r="E1451" s="119"/>
      <c r="F1451" s="155">
        <v>-25</v>
      </c>
      <c r="G1451" s="133" t="str">
        <f>_xlfn.XLOOKUP(Table1[[#This Row],[Account_ID]], Accounts[ID], Accounts[Account nickname], "Unknown")</f>
        <v>Discover</v>
      </c>
      <c r="H1451" s="134" t="str">
        <f>_xlfn.XLOOKUP(Table1[[#This Row],[Account_ID]], Accounts[ID], Accounts[Account'#], "Unknown")</f>
        <v>4618</v>
      </c>
      <c r="I1451" s="135" t="str">
        <f>_xlfn.XLOOKUP(_xlfn.XLOOKUP(Table1[[#This Row],[Account]],Accounts[Account nickname],Accounts[Institution ID]),Institutions[ID],Institutions[Institution nickname],"Unknown")</f>
        <v>Discover</v>
      </c>
      <c r="J1451" s="136" t="s">
        <v>2779</v>
      </c>
      <c r="K1451" s="137" t="s">
        <v>843</v>
      </c>
      <c r="L1451" s="137" t="s">
        <v>841</v>
      </c>
      <c r="M145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5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51" s="138" t="str" cm="1">
        <f t="array" ref="O1451">IFERROR(INDEX(CategoriesTable[Category type],MATCH(Table1[[#This Row],[Category]],CategoriesTable[Category name],0),0),"")</f>
        <v/>
      </c>
      <c r="P1451" s="138">
        <v>2</v>
      </c>
      <c r="Q1451" s="138">
        <f>MONTH(Table1[[#This Row],[Date]])</f>
        <v>12</v>
      </c>
      <c r="R1451" s="138">
        <v>2020</v>
      </c>
      <c r="S1451" s="139">
        <f>IF(ISBLANK(Table1[[#This Row],[Date]]),"",Table1[[#This Row],[Date]]-WEEKDAY(Table1[[#This Row],[Date]],2)+1)</f>
        <v>44165</v>
      </c>
      <c r="T1451" s="140">
        <f>IF(ISBLANK(Table1[[#This Row],[Date]]),"",DATE(Table1[[#This Row],[Date_Year]],Table1[[#This Row],[Date_Month]],1))</f>
        <v>44166</v>
      </c>
    </row>
    <row r="1452" spans="2:20" ht="15.75">
      <c r="B1452" s="154">
        <v>44166</v>
      </c>
      <c r="C1452" s="119" t="s">
        <v>783</v>
      </c>
      <c r="D1452" s="119"/>
      <c r="E1452" s="119"/>
      <c r="F1452" s="155">
        <v>-31</v>
      </c>
      <c r="G1452" s="133" t="str">
        <f>_xlfn.XLOOKUP(Table1[[#This Row],[Account_ID]], Accounts[ID], Accounts[Account nickname], "Unknown")</f>
        <v>Discover</v>
      </c>
      <c r="H1452" s="134" t="str">
        <f>_xlfn.XLOOKUP(Table1[[#This Row],[Account_ID]], Accounts[ID], Accounts[Account'#], "Unknown")</f>
        <v>4618</v>
      </c>
      <c r="I1452" s="135" t="str">
        <f>_xlfn.XLOOKUP(_xlfn.XLOOKUP(Table1[[#This Row],[Account]],Accounts[Account nickname],Accounts[Institution ID]),Institutions[ID],Institutions[Institution nickname],"Unknown")</f>
        <v>Discover</v>
      </c>
      <c r="J1452" s="136" t="s">
        <v>2783</v>
      </c>
      <c r="K1452" s="137" t="s">
        <v>843</v>
      </c>
      <c r="L1452" s="137" t="s">
        <v>841</v>
      </c>
      <c r="M145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5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52" s="138" t="str" cm="1">
        <f t="array" ref="O1452">IFERROR(INDEX(CategoriesTable[Category type],MATCH(Table1[[#This Row],[Category]],CategoriesTable[Category name],0),0),"")</f>
        <v/>
      </c>
      <c r="P1452" s="138">
        <v>1</v>
      </c>
      <c r="Q1452" s="138">
        <f>MONTH(Table1[[#This Row],[Date]])</f>
        <v>12</v>
      </c>
      <c r="R1452" s="138">
        <v>2020</v>
      </c>
      <c r="S1452" s="139">
        <f>IF(ISBLANK(Table1[[#This Row],[Date]]),"",Table1[[#This Row],[Date]]-WEEKDAY(Table1[[#This Row],[Date]],2)+1)</f>
        <v>44165</v>
      </c>
      <c r="T1452" s="140">
        <f>IF(ISBLANK(Table1[[#This Row],[Date]]),"",DATE(Table1[[#This Row],[Date_Year]],Table1[[#This Row],[Date_Month]],1))</f>
        <v>44166</v>
      </c>
    </row>
    <row r="1453" spans="2:20" ht="15.75">
      <c r="B1453" s="154">
        <v>44166</v>
      </c>
      <c r="C1453" s="119" t="s">
        <v>698</v>
      </c>
      <c r="D1453" s="119"/>
      <c r="E1453" s="119"/>
      <c r="F1453" s="155">
        <v>-9.99</v>
      </c>
      <c r="G1453" s="133" t="str">
        <f>_xlfn.XLOOKUP(Table1[[#This Row],[Account_ID]], Accounts[ID], Accounts[Account nickname], "Unknown")</f>
        <v>Discover</v>
      </c>
      <c r="H1453" s="134" t="str">
        <f>_xlfn.XLOOKUP(Table1[[#This Row],[Account_ID]], Accounts[ID], Accounts[Account'#], "Unknown")</f>
        <v>4618</v>
      </c>
      <c r="I1453" s="135" t="str">
        <f>_xlfn.XLOOKUP(_xlfn.XLOOKUP(Table1[[#This Row],[Account]],Accounts[Account nickname],Accounts[Institution ID]),Institutions[ID],Institutions[Institution nickname],"Unknown")</f>
        <v>Discover</v>
      </c>
      <c r="J1453" s="136" t="s">
        <v>2785</v>
      </c>
      <c r="K1453" s="137" t="s">
        <v>843</v>
      </c>
      <c r="L1453" s="137" t="s">
        <v>841</v>
      </c>
      <c r="M145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5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53" s="138" t="str" cm="1">
        <f t="array" ref="O1453">IFERROR(INDEX(CategoriesTable[Category type],MATCH(Table1[[#This Row],[Category]],CategoriesTable[Category name],0),0),"")</f>
        <v/>
      </c>
      <c r="P1453" s="138">
        <v>1</v>
      </c>
      <c r="Q1453" s="138">
        <f>MONTH(Table1[[#This Row],[Date]])</f>
        <v>12</v>
      </c>
      <c r="R1453" s="138">
        <v>2020</v>
      </c>
      <c r="S1453" s="139">
        <f>IF(ISBLANK(Table1[[#This Row],[Date]]),"",Table1[[#This Row],[Date]]-WEEKDAY(Table1[[#This Row],[Date]],2)+1)</f>
        <v>44165</v>
      </c>
      <c r="T1453" s="140">
        <f>IF(ISBLANK(Table1[[#This Row],[Date]]),"",DATE(Table1[[#This Row],[Date_Year]],Table1[[#This Row],[Date_Month]],1))</f>
        <v>44166</v>
      </c>
    </row>
    <row r="1454" spans="2:20" ht="15.75">
      <c r="B1454" s="154">
        <v>44166</v>
      </c>
      <c r="C1454" s="119" t="s">
        <v>720</v>
      </c>
      <c r="D1454" s="119"/>
      <c r="E1454" s="119"/>
      <c r="F1454" s="155">
        <v>-6.19</v>
      </c>
      <c r="G1454" s="133" t="str">
        <f>_xlfn.XLOOKUP(Table1[[#This Row],[Account_ID]], Accounts[ID], Accounts[Account nickname], "Unknown")</f>
        <v>Discover</v>
      </c>
      <c r="H1454" s="134" t="str">
        <f>_xlfn.XLOOKUP(Table1[[#This Row],[Account_ID]], Accounts[ID], Accounts[Account'#], "Unknown")</f>
        <v>4618</v>
      </c>
      <c r="I1454" s="135" t="str">
        <f>_xlfn.XLOOKUP(_xlfn.XLOOKUP(Table1[[#This Row],[Account]],Accounts[Account nickname],Accounts[Institution ID]),Institutions[ID],Institutions[Institution nickname],"Unknown")</f>
        <v>Discover</v>
      </c>
      <c r="J1454" s="136" t="s">
        <v>2786</v>
      </c>
      <c r="K1454" s="137" t="s">
        <v>843</v>
      </c>
      <c r="L1454" s="137" t="s">
        <v>841</v>
      </c>
      <c r="M145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5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54" s="138" t="str" cm="1">
        <f t="array" ref="O1454">IFERROR(INDEX(CategoriesTable[Category type],MATCH(Table1[[#This Row],[Category]],CategoriesTable[Category name],0),0),"")</f>
        <v/>
      </c>
      <c r="P1454" s="138">
        <v>1</v>
      </c>
      <c r="Q1454" s="138">
        <f>MONTH(Table1[[#This Row],[Date]])</f>
        <v>12</v>
      </c>
      <c r="R1454" s="138">
        <v>2020</v>
      </c>
      <c r="S1454" s="139">
        <f>IF(ISBLANK(Table1[[#This Row],[Date]]),"",Table1[[#This Row],[Date]]-WEEKDAY(Table1[[#This Row],[Date]],2)+1)</f>
        <v>44165</v>
      </c>
      <c r="T1454" s="140">
        <f>IF(ISBLANK(Table1[[#This Row],[Date]]),"",DATE(Table1[[#This Row],[Date_Year]],Table1[[#This Row],[Date_Month]],1))</f>
        <v>44166</v>
      </c>
    </row>
    <row r="1455" spans="2:20" ht="15.75">
      <c r="B1455" s="154">
        <v>44166</v>
      </c>
      <c r="C1455" s="119" t="s">
        <v>697</v>
      </c>
      <c r="D1455" s="119"/>
      <c r="E1455" s="119"/>
      <c r="F1455" s="155">
        <v>-12.99</v>
      </c>
      <c r="G1455" s="133" t="str">
        <f>_xlfn.XLOOKUP(Table1[[#This Row],[Account_ID]], Accounts[ID], Accounts[Account nickname], "Unknown")</f>
        <v>Discover</v>
      </c>
      <c r="H1455" s="134" t="str">
        <f>_xlfn.XLOOKUP(Table1[[#This Row],[Account_ID]], Accounts[ID], Accounts[Account'#], "Unknown")</f>
        <v>4618</v>
      </c>
      <c r="I1455" s="135" t="str">
        <f>_xlfn.XLOOKUP(_xlfn.XLOOKUP(Table1[[#This Row],[Account]],Accounts[Account nickname],Accounts[Institution ID]),Institutions[ID],Institutions[Institution nickname],"Unknown")</f>
        <v>Discover</v>
      </c>
      <c r="J1455" s="136" t="s">
        <v>2784</v>
      </c>
      <c r="K1455" s="137" t="s">
        <v>843</v>
      </c>
      <c r="L1455" s="137" t="s">
        <v>841</v>
      </c>
      <c r="M145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5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55" s="138" t="str" cm="1">
        <f t="array" ref="O1455">IFERROR(INDEX(CategoriesTable[Category type],MATCH(Table1[[#This Row],[Category]],CategoriesTable[Category name],0),0),"")</f>
        <v/>
      </c>
      <c r="P1455" s="138">
        <v>1</v>
      </c>
      <c r="Q1455" s="138">
        <f>MONTH(Table1[[#This Row],[Date]])</f>
        <v>12</v>
      </c>
      <c r="R1455" s="138">
        <v>2020</v>
      </c>
      <c r="S1455" s="139">
        <f>IF(ISBLANK(Table1[[#This Row],[Date]]),"",Table1[[#This Row],[Date]]-WEEKDAY(Table1[[#This Row],[Date]],2)+1)</f>
        <v>44165</v>
      </c>
      <c r="T1455" s="140">
        <f>IF(ISBLANK(Table1[[#This Row],[Date]]),"",DATE(Table1[[#This Row],[Date_Year]],Table1[[#This Row],[Date_Month]],1))</f>
        <v>44166</v>
      </c>
    </row>
    <row r="1456" spans="2:20" ht="15.75">
      <c r="B1456" s="154">
        <v>44164</v>
      </c>
      <c r="C1456" s="119" t="s">
        <v>2590</v>
      </c>
      <c r="D1456" s="119"/>
      <c r="E1456" s="119"/>
      <c r="F1456" s="155">
        <v>-9.41</v>
      </c>
      <c r="G1456" s="133" t="str">
        <f>_xlfn.XLOOKUP(Table1[[#This Row],[Account_ID]], Accounts[ID], Accounts[Account nickname], "Unknown")</f>
        <v>Discover</v>
      </c>
      <c r="H1456" s="134" t="str">
        <f>_xlfn.XLOOKUP(Table1[[#This Row],[Account_ID]], Accounts[ID], Accounts[Account'#], "Unknown")</f>
        <v>4618</v>
      </c>
      <c r="I1456" s="135" t="str">
        <f>_xlfn.XLOOKUP(_xlfn.XLOOKUP(Table1[[#This Row],[Account]],Accounts[Account nickname],Accounts[Institution ID]),Institutions[ID],Institutions[Institution nickname],"Unknown")</f>
        <v>Discover</v>
      </c>
      <c r="J1456" s="136" t="s">
        <v>2787</v>
      </c>
      <c r="K1456" s="137" t="s">
        <v>843</v>
      </c>
      <c r="L1456" s="137" t="s">
        <v>841</v>
      </c>
      <c r="M145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5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56" s="138" t="str" cm="1">
        <f t="array" ref="O1456">IFERROR(INDEX(CategoriesTable[Category type],MATCH(Table1[[#This Row],[Category]],CategoriesTable[Category name],0),0),"")</f>
        <v/>
      </c>
      <c r="P1456" s="138">
        <v>29</v>
      </c>
      <c r="Q1456" s="138">
        <f>MONTH(Table1[[#This Row],[Date]])</f>
        <v>11</v>
      </c>
      <c r="R1456" s="138">
        <v>2020</v>
      </c>
      <c r="S1456" s="139">
        <f>IF(ISBLANK(Table1[[#This Row],[Date]]),"",Table1[[#This Row],[Date]]-WEEKDAY(Table1[[#This Row],[Date]],2)+1)</f>
        <v>44158</v>
      </c>
      <c r="T1456" s="140">
        <f>IF(ISBLANK(Table1[[#This Row],[Date]]),"",DATE(Table1[[#This Row],[Date_Year]],Table1[[#This Row],[Date_Month]],1))</f>
        <v>44136</v>
      </c>
    </row>
    <row r="1457" spans="2:20" ht="15.75">
      <c r="B1457" s="154">
        <v>44164</v>
      </c>
      <c r="C1457" s="119" t="s">
        <v>712</v>
      </c>
      <c r="D1457" s="119"/>
      <c r="E1457" s="119"/>
      <c r="F1457" s="155">
        <v>-3</v>
      </c>
      <c r="G1457" s="133" t="str">
        <f>_xlfn.XLOOKUP(Table1[[#This Row],[Account_ID]], Accounts[ID], Accounts[Account nickname], "Unknown")</f>
        <v>Discover</v>
      </c>
      <c r="H1457" s="134" t="str">
        <f>_xlfn.XLOOKUP(Table1[[#This Row],[Account_ID]], Accounts[ID], Accounts[Account'#], "Unknown")</f>
        <v>4618</v>
      </c>
      <c r="I1457" s="135" t="str">
        <f>_xlfn.XLOOKUP(_xlfn.XLOOKUP(Table1[[#This Row],[Account]],Accounts[Account nickname],Accounts[Institution ID]),Institutions[ID],Institutions[Institution nickname],"Unknown")</f>
        <v>Discover</v>
      </c>
      <c r="J1457" s="136" t="s">
        <v>2788</v>
      </c>
      <c r="K1457" s="137" t="s">
        <v>843</v>
      </c>
      <c r="L1457" s="137" t="s">
        <v>841</v>
      </c>
      <c r="M145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5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57" s="138" t="str" cm="1">
        <f t="array" ref="O1457">IFERROR(INDEX(CategoriesTable[Category type],MATCH(Table1[[#This Row],[Category]],CategoriesTable[Category name],0),0),"")</f>
        <v/>
      </c>
      <c r="P1457" s="138">
        <v>29</v>
      </c>
      <c r="Q1457" s="138">
        <f>MONTH(Table1[[#This Row],[Date]])</f>
        <v>11</v>
      </c>
      <c r="R1457" s="138">
        <v>2020</v>
      </c>
      <c r="S1457" s="139">
        <f>IF(ISBLANK(Table1[[#This Row],[Date]]),"",Table1[[#This Row],[Date]]-WEEKDAY(Table1[[#This Row],[Date]],2)+1)</f>
        <v>44158</v>
      </c>
      <c r="T1457" s="140">
        <f>IF(ISBLANK(Table1[[#This Row],[Date]]),"",DATE(Table1[[#This Row],[Date_Year]],Table1[[#This Row],[Date_Month]],1))</f>
        <v>44136</v>
      </c>
    </row>
    <row r="1458" spans="2:20" ht="15.75">
      <c r="B1458" s="154">
        <v>44164</v>
      </c>
      <c r="C1458" s="119" t="s">
        <v>712</v>
      </c>
      <c r="D1458" s="119"/>
      <c r="E1458" s="119"/>
      <c r="F1458" s="155">
        <v>-13.98</v>
      </c>
      <c r="G1458" s="133" t="str">
        <f>_xlfn.XLOOKUP(Table1[[#This Row],[Account_ID]], Accounts[ID], Accounts[Account nickname], "Unknown")</f>
        <v>Discover</v>
      </c>
      <c r="H1458" s="134" t="str">
        <f>_xlfn.XLOOKUP(Table1[[#This Row],[Account_ID]], Accounts[ID], Accounts[Account'#], "Unknown")</f>
        <v>4618</v>
      </c>
      <c r="I1458" s="135" t="str">
        <f>_xlfn.XLOOKUP(_xlfn.XLOOKUP(Table1[[#This Row],[Account]],Accounts[Account nickname],Accounts[Institution ID]),Institutions[ID],Institutions[Institution nickname],"Unknown")</f>
        <v>Discover</v>
      </c>
      <c r="J1458" s="136" t="s">
        <v>2791</v>
      </c>
      <c r="K1458" s="137" t="s">
        <v>843</v>
      </c>
      <c r="L1458" s="137" t="s">
        <v>841</v>
      </c>
      <c r="M145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5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58" s="138" t="str" cm="1">
        <f t="array" ref="O1458">IFERROR(INDEX(CategoriesTable[Category type],MATCH(Table1[[#This Row],[Category]],CategoriesTable[Category name],0),0),"")</f>
        <v/>
      </c>
      <c r="P1458" s="138">
        <v>29</v>
      </c>
      <c r="Q1458" s="138">
        <f>MONTH(Table1[[#This Row],[Date]])</f>
        <v>11</v>
      </c>
      <c r="R1458" s="138">
        <v>2020</v>
      </c>
      <c r="S1458" s="139">
        <f>IF(ISBLANK(Table1[[#This Row],[Date]]),"",Table1[[#This Row],[Date]]-WEEKDAY(Table1[[#This Row],[Date]],2)+1)</f>
        <v>44158</v>
      </c>
      <c r="T1458" s="140">
        <f>IF(ISBLANK(Table1[[#This Row],[Date]]),"",DATE(Table1[[#This Row],[Date_Year]],Table1[[#This Row],[Date_Month]],1))</f>
        <v>44136</v>
      </c>
    </row>
    <row r="1459" spans="2:20" ht="15.75">
      <c r="B1459" s="154">
        <v>44164</v>
      </c>
      <c r="C1459" s="119" t="s">
        <v>712</v>
      </c>
      <c r="D1459" s="119"/>
      <c r="E1459" s="119"/>
      <c r="F1459" s="155">
        <v>-5</v>
      </c>
      <c r="G1459" s="133" t="str">
        <f>_xlfn.XLOOKUP(Table1[[#This Row],[Account_ID]], Accounts[ID], Accounts[Account nickname], "Unknown")</f>
        <v>Discover</v>
      </c>
      <c r="H1459" s="134" t="str">
        <f>_xlfn.XLOOKUP(Table1[[#This Row],[Account_ID]], Accounts[ID], Accounts[Account'#], "Unknown")</f>
        <v>4618</v>
      </c>
      <c r="I1459" s="135" t="str">
        <f>_xlfn.XLOOKUP(_xlfn.XLOOKUP(Table1[[#This Row],[Account]],Accounts[Account nickname],Accounts[Institution ID]),Institutions[ID],Institutions[Institution nickname],"Unknown")</f>
        <v>Discover</v>
      </c>
      <c r="J1459" s="136" t="s">
        <v>2789</v>
      </c>
      <c r="K1459" s="137" t="s">
        <v>843</v>
      </c>
      <c r="L1459" s="137" t="s">
        <v>841</v>
      </c>
      <c r="M145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5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59" s="138" t="str" cm="1">
        <f t="array" ref="O1459">IFERROR(INDEX(CategoriesTable[Category type],MATCH(Table1[[#This Row],[Category]],CategoriesTable[Category name],0),0),"")</f>
        <v/>
      </c>
      <c r="P1459" s="138">
        <v>29</v>
      </c>
      <c r="Q1459" s="138">
        <f>MONTH(Table1[[#This Row],[Date]])</f>
        <v>11</v>
      </c>
      <c r="R1459" s="138">
        <v>2020</v>
      </c>
      <c r="S1459" s="139">
        <f>IF(ISBLANK(Table1[[#This Row],[Date]]),"",Table1[[#This Row],[Date]]-WEEKDAY(Table1[[#This Row],[Date]],2)+1)</f>
        <v>44158</v>
      </c>
      <c r="T1459" s="140">
        <f>IF(ISBLANK(Table1[[#This Row],[Date]]),"",DATE(Table1[[#This Row],[Date_Year]],Table1[[#This Row],[Date_Month]],1))</f>
        <v>44136</v>
      </c>
    </row>
    <row r="1460" spans="2:20" ht="15.75">
      <c r="B1460" s="154">
        <v>44164</v>
      </c>
      <c r="C1460" s="119" t="s">
        <v>712</v>
      </c>
      <c r="D1460" s="119"/>
      <c r="E1460" s="119"/>
      <c r="F1460" s="155">
        <v>-13.86</v>
      </c>
      <c r="G1460" s="133" t="str">
        <f>_xlfn.XLOOKUP(Table1[[#This Row],[Account_ID]], Accounts[ID], Accounts[Account nickname], "Unknown")</f>
        <v>Discover</v>
      </c>
      <c r="H1460" s="134" t="str">
        <f>_xlfn.XLOOKUP(Table1[[#This Row],[Account_ID]], Accounts[ID], Accounts[Account'#], "Unknown")</f>
        <v>4618</v>
      </c>
      <c r="I1460" s="135" t="str">
        <f>_xlfn.XLOOKUP(_xlfn.XLOOKUP(Table1[[#This Row],[Account]],Accounts[Account nickname],Accounts[Institution ID]),Institutions[ID],Institutions[Institution nickname],"Unknown")</f>
        <v>Discover</v>
      </c>
      <c r="J1460" s="136" t="s">
        <v>2790</v>
      </c>
      <c r="K1460" s="137" t="s">
        <v>843</v>
      </c>
      <c r="L1460" s="137" t="s">
        <v>841</v>
      </c>
      <c r="M146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6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60" s="138" t="str" cm="1">
        <f t="array" ref="O1460">IFERROR(INDEX(CategoriesTable[Category type],MATCH(Table1[[#This Row],[Category]],CategoriesTable[Category name],0),0),"")</f>
        <v/>
      </c>
      <c r="P1460" s="138">
        <v>29</v>
      </c>
      <c r="Q1460" s="138">
        <f>MONTH(Table1[[#This Row],[Date]])</f>
        <v>11</v>
      </c>
      <c r="R1460" s="138">
        <v>2020</v>
      </c>
      <c r="S1460" s="139">
        <f>IF(ISBLANK(Table1[[#This Row],[Date]]),"",Table1[[#This Row],[Date]]-WEEKDAY(Table1[[#This Row],[Date]],2)+1)</f>
        <v>44158</v>
      </c>
      <c r="T1460" s="140">
        <f>IF(ISBLANK(Table1[[#This Row],[Date]]),"",DATE(Table1[[#This Row],[Date_Year]],Table1[[#This Row],[Date_Month]],1))</f>
        <v>44136</v>
      </c>
    </row>
    <row r="1461" spans="2:20" ht="15.75">
      <c r="B1461" s="154">
        <v>44163</v>
      </c>
      <c r="C1461" s="119" t="s">
        <v>2475</v>
      </c>
      <c r="D1461" s="119"/>
      <c r="E1461" s="119"/>
      <c r="F1461" s="155">
        <v>-9.9499999999999993</v>
      </c>
      <c r="G1461" s="133" t="str">
        <f>_xlfn.XLOOKUP(Table1[[#This Row],[Account_ID]], Accounts[ID], Accounts[Account nickname], "Unknown")</f>
        <v>Discover</v>
      </c>
      <c r="H1461" s="134" t="str">
        <f>_xlfn.XLOOKUP(Table1[[#This Row],[Account_ID]], Accounts[ID], Accounts[Account'#], "Unknown")</f>
        <v>4618</v>
      </c>
      <c r="I1461" s="135" t="str">
        <f>_xlfn.XLOOKUP(_xlfn.XLOOKUP(Table1[[#This Row],[Account]],Accounts[Account nickname],Accounts[Institution ID]),Institutions[ID],Institutions[Institution nickname],"Unknown")</f>
        <v>Discover</v>
      </c>
      <c r="J1461" s="136" t="s">
        <v>2792</v>
      </c>
      <c r="K1461" s="137" t="s">
        <v>843</v>
      </c>
      <c r="L1461" s="137" t="s">
        <v>841</v>
      </c>
      <c r="M146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6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61" s="138" t="str" cm="1">
        <f t="array" ref="O1461">IFERROR(INDEX(CategoriesTable[Category type],MATCH(Table1[[#This Row],[Category]],CategoriesTable[Category name],0),0),"")</f>
        <v/>
      </c>
      <c r="P1461" s="138">
        <v>28</v>
      </c>
      <c r="Q1461" s="138">
        <f>MONTH(Table1[[#This Row],[Date]])</f>
        <v>11</v>
      </c>
      <c r="R1461" s="138">
        <v>2020</v>
      </c>
      <c r="S1461" s="139">
        <f>IF(ISBLANK(Table1[[#This Row],[Date]]),"",Table1[[#This Row],[Date]]-WEEKDAY(Table1[[#This Row],[Date]],2)+1)</f>
        <v>44158</v>
      </c>
      <c r="T1461" s="140">
        <f>IF(ISBLANK(Table1[[#This Row],[Date]]),"",DATE(Table1[[#This Row],[Date_Year]],Table1[[#This Row],[Date_Month]],1))</f>
        <v>44136</v>
      </c>
    </row>
    <row r="1462" spans="2:20" ht="15.75">
      <c r="B1462" s="154">
        <v>44163</v>
      </c>
      <c r="C1462" s="119" t="s">
        <v>711</v>
      </c>
      <c r="D1462" s="119"/>
      <c r="E1462" s="119"/>
      <c r="F1462" s="155">
        <v>-22.2</v>
      </c>
      <c r="G1462" s="133" t="str">
        <f>_xlfn.XLOOKUP(Table1[[#This Row],[Account_ID]], Accounts[ID], Accounts[Account nickname], "Unknown")</f>
        <v>Discover</v>
      </c>
      <c r="H1462" s="134" t="str">
        <f>_xlfn.XLOOKUP(Table1[[#This Row],[Account_ID]], Accounts[ID], Accounts[Account'#], "Unknown")</f>
        <v>4618</v>
      </c>
      <c r="I1462" s="135" t="str">
        <f>_xlfn.XLOOKUP(_xlfn.XLOOKUP(Table1[[#This Row],[Account]],Accounts[Account nickname],Accounts[Institution ID]),Institutions[ID],Institutions[Institution nickname],"Unknown")</f>
        <v>Discover</v>
      </c>
      <c r="J1462" s="136" t="s">
        <v>2794</v>
      </c>
      <c r="K1462" s="137" t="s">
        <v>843</v>
      </c>
      <c r="L1462" s="137" t="s">
        <v>841</v>
      </c>
      <c r="M146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6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62" s="138" t="str" cm="1">
        <f t="array" ref="O1462">IFERROR(INDEX(CategoriesTable[Category type],MATCH(Table1[[#This Row],[Category]],CategoriesTable[Category name],0),0),"")</f>
        <v/>
      </c>
      <c r="P1462" s="138">
        <v>28</v>
      </c>
      <c r="Q1462" s="138">
        <f>MONTH(Table1[[#This Row],[Date]])</f>
        <v>11</v>
      </c>
      <c r="R1462" s="138">
        <v>2020</v>
      </c>
      <c r="S1462" s="139">
        <f>IF(ISBLANK(Table1[[#This Row],[Date]]),"",Table1[[#This Row],[Date]]-WEEKDAY(Table1[[#This Row],[Date]],2)+1)</f>
        <v>44158</v>
      </c>
      <c r="T1462" s="140">
        <f>IF(ISBLANK(Table1[[#This Row],[Date]]),"",DATE(Table1[[#This Row],[Date_Year]],Table1[[#This Row],[Date_Month]],1))</f>
        <v>44136</v>
      </c>
    </row>
    <row r="1463" spans="2:20" ht="15.75">
      <c r="B1463" s="154">
        <v>44163</v>
      </c>
      <c r="C1463" s="119" t="s">
        <v>860</v>
      </c>
      <c r="D1463" s="119"/>
      <c r="E1463" s="119"/>
      <c r="F1463" s="155">
        <v>-63.55</v>
      </c>
      <c r="G1463" s="133" t="str">
        <f>_xlfn.XLOOKUP(Table1[[#This Row],[Account_ID]], Accounts[ID], Accounts[Account nickname], "Unknown")</f>
        <v>Discover</v>
      </c>
      <c r="H1463" s="134" t="str">
        <f>_xlfn.XLOOKUP(Table1[[#This Row],[Account_ID]], Accounts[ID], Accounts[Account'#], "Unknown")</f>
        <v>4618</v>
      </c>
      <c r="I1463" s="135" t="str">
        <f>_xlfn.XLOOKUP(_xlfn.XLOOKUP(Table1[[#This Row],[Account]],Accounts[Account nickname],Accounts[Institution ID]),Institutions[ID],Institutions[Institution nickname],"Unknown")</f>
        <v>Discover</v>
      </c>
      <c r="J1463" s="136" t="s">
        <v>2793</v>
      </c>
      <c r="K1463" s="137" t="s">
        <v>843</v>
      </c>
      <c r="L1463" s="137" t="s">
        <v>841</v>
      </c>
      <c r="M146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6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63" s="138" t="str" cm="1">
        <f t="array" ref="O1463">IFERROR(INDEX(CategoriesTable[Category type],MATCH(Table1[[#This Row],[Category]],CategoriesTable[Category name],0),0),"")</f>
        <v/>
      </c>
      <c r="P1463" s="138">
        <v>28</v>
      </c>
      <c r="Q1463" s="138">
        <f>MONTH(Table1[[#This Row],[Date]])</f>
        <v>11</v>
      </c>
      <c r="R1463" s="138">
        <v>2020</v>
      </c>
      <c r="S1463" s="139">
        <f>IF(ISBLANK(Table1[[#This Row],[Date]]),"",Table1[[#This Row],[Date]]-WEEKDAY(Table1[[#This Row],[Date]],2)+1)</f>
        <v>44158</v>
      </c>
      <c r="T1463" s="140">
        <f>IF(ISBLANK(Table1[[#This Row],[Date]]),"",DATE(Table1[[#This Row],[Date_Year]],Table1[[#This Row],[Date_Month]],1))</f>
        <v>44136</v>
      </c>
    </row>
    <row r="1464" spans="2:20" ht="15.75">
      <c r="B1464" s="154">
        <v>44161</v>
      </c>
      <c r="C1464" s="119" t="s">
        <v>2590</v>
      </c>
      <c r="D1464" s="119"/>
      <c r="E1464" s="119"/>
      <c r="F1464" s="155">
        <v>-16.559999999999999</v>
      </c>
      <c r="G1464" s="133" t="str">
        <f>_xlfn.XLOOKUP(Table1[[#This Row],[Account_ID]], Accounts[ID], Accounts[Account nickname], "Unknown")</f>
        <v>Discover</v>
      </c>
      <c r="H1464" s="134" t="str">
        <f>_xlfn.XLOOKUP(Table1[[#This Row],[Account_ID]], Accounts[ID], Accounts[Account'#], "Unknown")</f>
        <v>4618</v>
      </c>
      <c r="I1464" s="135" t="str">
        <f>_xlfn.XLOOKUP(_xlfn.XLOOKUP(Table1[[#This Row],[Account]],Accounts[Account nickname],Accounts[Institution ID]),Institutions[ID],Institutions[Institution nickname],"Unknown")</f>
        <v>Discover</v>
      </c>
      <c r="J1464" s="136" t="s">
        <v>2795</v>
      </c>
      <c r="K1464" s="137" t="s">
        <v>843</v>
      </c>
      <c r="L1464" s="137" t="s">
        <v>841</v>
      </c>
      <c r="M146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6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64" s="138" t="str" cm="1">
        <f t="array" ref="O1464">IFERROR(INDEX(CategoriesTable[Category type],MATCH(Table1[[#This Row],[Category]],CategoriesTable[Category name],0),0),"")</f>
        <v/>
      </c>
      <c r="P1464" s="138">
        <v>26</v>
      </c>
      <c r="Q1464" s="138">
        <f>MONTH(Table1[[#This Row],[Date]])</f>
        <v>11</v>
      </c>
      <c r="R1464" s="138">
        <v>2020</v>
      </c>
      <c r="S1464" s="139">
        <f>IF(ISBLANK(Table1[[#This Row],[Date]]),"",Table1[[#This Row],[Date]]-WEEKDAY(Table1[[#This Row],[Date]],2)+1)</f>
        <v>44158</v>
      </c>
      <c r="T1464" s="140">
        <f>IF(ISBLANK(Table1[[#This Row],[Date]]),"",DATE(Table1[[#This Row],[Date_Year]],Table1[[#This Row],[Date_Month]],1))</f>
        <v>44136</v>
      </c>
    </row>
    <row r="1465" spans="2:20" ht="15.75">
      <c r="B1465" s="154">
        <v>44160</v>
      </c>
      <c r="C1465" s="119" t="s">
        <v>2590</v>
      </c>
      <c r="D1465" s="119"/>
      <c r="E1465" s="119"/>
      <c r="F1465" s="155">
        <v>-43.99</v>
      </c>
      <c r="G1465" s="133" t="str">
        <f>_xlfn.XLOOKUP(Table1[[#This Row],[Account_ID]], Accounts[ID], Accounts[Account nickname], "Unknown")</f>
        <v>Discover</v>
      </c>
      <c r="H1465" s="134" t="str">
        <f>_xlfn.XLOOKUP(Table1[[#This Row],[Account_ID]], Accounts[ID], Accounts[Account'#], "Unknown")</f>
        <v>4618</v>
      </c>
      <c r="I1465" s="135" t="str">
        <f>_xlfn.XLOOKUP(_xlfn.XLOOKUP(Table1[[#This Row],[Account]],Accounts[Account nickname],Accounts[Institution ID]),Institutions[ID],Institutions[Institution nickname],"Unknown")</f>
        <v>Discover</v>
      </c>
      <c r="J1465" s="136" t="s">
        <v>2797</v>
      </c>
      <c r="K1465" s="137" t="s">
        <v>843</v>
      </c>
      <c r="L1465" s="137" t="s">
        <v>841</v>
      </c>
      <c r="M146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6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65" s="138" t="str" cm="1">
        <f t="array" ref="O1465">IFERROR(INDEX(CategoriesTable[Category type],MATCH(Table1[[#This Row],[Category]],CategoriesTable[Category name],0),0),"")</f>
        <v/>
      </c>
      <c r="P1465" s="138">
        <v>25</v>
      </c>
      <c r="Q1465" s="138">
        <f>MONTH(Table1[[#This Row],[Date]])</f>
        <v>11</v>
      </c>
      <c r="R1465" s="138">
        <v>2020</v>
      </c>
      <c r="S1465" s="139">
        <f>IF(ISBLANK(Table1[[#This Row],[Date]]),"",Table1[[#This Row],[Date]]-WEEKDAY(Table1[[#This Row],[Date]],2)+1)</f>
        <v>44158</v>
      </c>
      <c r="T1465" s="140">
        <f>IF(ISBLANK(Table1[[#This Row],[Date]]),"",DATE(Table1[[#This Row],[Date_Year]],Table1[[#This Row],[Date_Month]],1))</f>
        <v>44136</v>
      </c>
    </row>
    <row r="1466" spans="2:20" ht="15.75">
      <c r="B1466" s="154">
        <v>44160</v>
      </c>
      <c r="C1466" s="119" t="s">
        <v>2590</v>
      </c>
      <c r="D1466" s="119"/>
      <c r="E1466" s="119"/>
      <c r="F1466" s="155">
        <v>-3.16</v>
      </c>
      <c r="G1466" s="133" t="str">
        <f>_xlfn.XLOOKUP(Table1[[#This Row],[Account_ID]], Accounts[ID], Accounts[Account nickname], "Unknown")</f>
        <v>Discover</v>
      </c>
      <c r="H1466" s="134" t="str">
        <f>_xlfn.XLOOKUP(Table1[[#This Row],[Account_ID]], Accounts[ID], Accounts[Account'#], "Unknown")</f>
        <v>4618</v>
      </c>
      <c r="I1466" s="135" t="str">
        <f>_xlfn.XLOOKUP(_xlfn.XLOOKUP(Table1[[#This Row],[Account]],Accounts[Account nickname],Accounts[Institution ID]),Institutions[ID],Institutions[Institution nickname],"Unknown")</f>
        <v>Discover</v>
      </c>
      <c r="J1466" s="136" t="s">
        <v>2796</v>
      </c>
      <c r="K1466" s="137" t="s">
        <v>843</v>
      </c>
      <c r="L1466" s="137" t="s">
        <v>841</v>
      </c>
      <c r="M146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6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66" s="138" t="str" cm="1">
        <f t="array" ref="O1466">IFERROR(INDEX(CategoriesTable[Category type],MATCH(Table1[[#This Row],[Category]],CategoriesTable[Category name],0),0),"")</f>
        <v/>
      </c>
      <c r="P1466" s="138">
        <v>25</v>
      </c>
      <c r="Q1466" s="138">
        <f>MONTH(Table1[[#This Row],[Date]])</f>
        <v>11</v>
      </c>
      <c r="R1466" s="138">
        <v>2020</v>
      </c>
      <c r="S1466" s="139">
        <f>IF(ISBLANK(Table1[[#This Row],[Date]]),"",Table1[[#This Row],[Date]]-WEEKDAY(Table1[[#This Row],[Date]],2)+1)</f>
        <v>44158</v>
      </c>
      <c r="T1466" s="140">
        <f>IF(ISBLANK(Table1[[#This Row],[Date]]),"",DATE(Table1[[#This Row],[Date_Year]],Table1[[#This Row],[Date_Month]],1))</f>
        <v>44136</v>
      </c>
    </row>
    <row r="1467" spans="2:20" ht="15.75">
      <c r="B1467" s="154">
        <v>44159</v>
      </c>
      <c r="C1467" s="119" t="s">
        <v>702</v>
      </c>
      <c r="D1467" s="119"/>
      <c r="E1467" s="119"/>
      <c r="F1467" s="155">
        <v>-14.94</v>
      </c>
      <c r="G1467" s="133" t="str">
        <f>_xlfn.XLOOKUP(Table1[[#This Row],[Account_ID]], Accounts[ID], Accounts[Account nickname], "Unknown")</f>
        <v>Discover</v>
      </c>
      <c r="H1467" s="134" t="str">
        <f>_xlfn.XLOOKUP(Table1[[#This Row],[Account_ID]], Accounts[ID], Accounts[Account'#], "Unknown")</f>
        <v>4618</v>
      </c>
      <c r="I1467" s="135" t="str">
        <f>_xlfn.XLOOKUP(_xlfn.XLOOKUP(Table1[[#This Row],[Account]],Accounts[Account nickname],Accounts[Institution ID]),Institutions[ID],Institutions[Institution nickname],"Unknown")</f>
        <v>Discover</v>
      </c>
      <c r="J1467" s="136" t="s">
        <v>2801</v>
      </c>
      <c r="K1467" s="137" t="s">
        <v>843</v>
      </c>
      <c r="L1467" s="137" t="s">
        <v>841</v>
      </c>
      <c r="M146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6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67" s="138" t="str" cm="1">
        <f t="array" ref="O1467">IFERROR(INDEX(CategoriesTable[Category type],MATCH(Table1[[#This Row],[Category]],CategoriesTable[Category name],0),0),"")</f>
        <v/>
      </c>
      <c r="P1467" s="138">
        <v>24</v>
      </c>
      <c r="Q1467" s="138">
        <f>MONTH(Table1[[#This Row],[Date]])</f>
        <v>11</v>
      </c>
      <c r="R1467" s="138">
        <v>2020</v>
      </c>
      <c r="S1467" s="139">
        <f>IF(ISBLANK(Table1[[#This Row],[Date]]),"",Table1[[#This Row],[Date]]-WEEKDAY(Table1[[#This Row],[Date]],2)+1)</f>
        <v>44158</v>
      </c>
      <c r="T1467" s="140">
        <f>IF(ISBLANK(Table1[[#This Row],[Date]]),"",DATE(Table1[[#This Row],[Date_Year]],Table1[[#This Row],[Date_Month]],1))</f>
        <v>44136</v>
      </c>
    </row>
    <row r="1468" spans="2:20" ht="15.75">
      <c r="B1468" s="154">
        <v>44159</v>
      </c>
      <c r="C1468" s="119" t="s">
        <v>704</v>
      </c>
      <c r="D1468" s="119"/>
      <c r="E1468" s="119"/>
      <c r="F1468" s="155">
        <v>-6.13</v>
      </c>
      <c r="G1468" s="133" t="str">
        <f>_xlfn.XLOOKUP(Table1[[#This Row],[Account_ID]], Accounts[ID], Accounts[Account nickname], "Unknown")</f>
        <v>Discover</v>
      </c>
      <c r="H1468" s="134" t="str">
        <f>_xlfn.XLOOKUP(Table1[[#This Row],[Account_ID]], Accounts[ID], Accounts[Account'#], "Unknown")</f>
        <v>4618</v>
      </c>
      <c r="I1468" s="135" t="str">
        <f>_xlfn.XLOOKUP(_xlfn.XLOOKUP(Table1[[#This Row],[Account]],Accounts[Account nickname],Accounts[Institution ID]),Institutions[ID],Institutions[Institution nickname],"Unknown")</f>
        <v>Discover</v>
      </c>
      <c r="J1468" s="136" t="s">
        <v>2798</v>
      </c>
      <c r="K1468" s="137" t="s">
        <v>843</v>
      </c>
      <c r="L1468" s="137" t="s">
        <v>841</v>
      </c>
      <c r="M146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6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68" s="138" t="str" cm="1">
        <f t="array" ref="O1468">IFERROR(INDEX(CategoriesTable[Category type],MATCH(Table1[[#This Row],[Category]],CategoriesTable[Category name],0),0),"")</f>
        <v/>
      </c>
      <c r="P1468" s="138">
        <v>24</v>
      </c>
      <c r="Q1468" s="138">
        <f>MONTH(Table1[[#This Row],[Date]])</f>
        <v>11</v>
      </c>
      <c r="R1468" s="138">
        <v>2020</v>
      </c>
      <c r="S1468" s="139">
        <f>IF(ISBLANK(Table1[[#This Row],[Date]]),"",Table1[[#This Row],[Date]]-WEEKDAY(Table1[[#This Row],[Date]],2)+1)</f>
        <v>44158</v>
      </c>
      <c r="T1468" s="140">
        <f>IF(ISBLANK(Table1[[#This Row],[Date]]),"",DATE(Table1[[#This Row],[Date_Year]],Table1[[#This Row],[Date_Month]],1))</f>
        <v>44136</v>
      </c>
    </row>
    <row r="1469" spans="2:20" ht="15.75">
      <c r="B1469" s="154">
        <v>44159</v>
      </c>
      <c r="C1469" s="119" t="s">
        <v>2691</v>
      </c>
      <c r="D1469" s="119"/>
      <c r="E1469" s="119"/>
      <c r="F1469" s="155">
        <v>-1</v>
      </c>
      <c r="G1469" s="133" t="str">
        <f>_xlfn.XLOOKUP(Table1[[#This Row],[Account_ID]], Accounts[ID], Accounts[Account nickname], "Unknown")</f>
        <v>Discover</v>
      </c>
      <c r="H1469" s="134" t="str">
        <f>_xlfn.XLOOKUP(Table1[[#This Row],[Account_ID]], Accounts[ID], Accounts[Account'#], "Unknown")</f>
        <v>4618</v>
      </c>
      <c r="I1469" s="135" t="str">
        <f>_xlfn.XLOOKUP(_xlfn.XLOOKUP(Table1[[#This Row],[Account]],Accounts[Account nickname],Accounts[Institution ID]),Institutions[ID],Institutions[Institution nickname],"Unknown")</f>
        <v>Discover</v>
      </c>
      <c r="J1469" s="136" t="s">
        <v>2799</v>
      </c>
      <c r="K1469" s="137" t="s">
        <v>843</v>
      </c>
      <c r="L1469" s="137" t="s">
        <v>841</v>
      </c>
      <c r="M146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6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69" s="138" t="str" cm="1">
        <f t="array" ref="O1469">IFERROR(INDEX(CategoriesTable[Category type],MATCH(Table1[[#This Row],[Category]],CategoriesTable[Category name],0),0),"")</f>
        <v/>
      </c>
      <c r="P1469" s="138">
        <v>24</v>
      </c>
      <c r="Q1469" s="138">
        <f>MONTH(Table1[[#This Row],[Date]])</f>
        <v>11</v>
      </c>
      <c r="R1469" s="138">
        <v>2020</v>
      </c>
      <c r="S1469" s="139">
        <f>IF(ISBLANK(Table1[[#This Row],[Date]]),"",Table1[[#This Row],[Date]]-WEEKDAY(Table1[[#This Row],[Date]],2)+1)</f>
        <v>44158</v>
      </c>
      <c r="T1469" s="140">
        <f>IF(ISBLANK(Table1[[#This Row],[Date]]),"",DATE(Table1[[#This Row],[Date_Year]],Table1[[#This Row],[Date_Month]],1))</f>
        <v>44136</v>
      </c>
    </row>
    <row r="1470" spans="2:20" ht="15.75">
      <c r="B1470" s="154">
        <v>44159</v>
      </c>
      <c r="C1470" s="119" t="s">
        <v>2691</v>
      </c>
      <c r="D1470" s="119"/>
      <c r="E1470" s="119"/>
      <c r="F1470" s="155">
        <v>-1.95</v>
      </c>
      <c r="G1470" s="133" t="str">
        <f>_xlfn.XLOOKUP(Table1[[#This Row],[Account_ID]], Accounts[ID], Accounts[Account nickname], "Unknown")</f>
        <v>Discover</v>
      </c>
      <c r="H1470" s="134" t="str">
        <f>_xlfn.XLOOKUP(Table1[[#This Row],[Account_ID]], Accounts[ID], Accounts[Account'#], "Unknown")</f>
        <v>4618</v>
      </c>
      <c r="I1470" s="135" t="str">
        <f>_xlfn.XLOOKUP(_xlfn.XLOOKUP(Table1[[#This Row],[Account]],Accounts[Account nickname],Accounts[Institution ID]),Institutions[ID],Institutions[Institution nickname],"Unknown")</f>
        <v>Discover</v>
      </c>
      <c r="J1470" s="136" t="s">
        <v>2800</v>
      </c>
      <c r="K1470" s="137" t="s">
        <v>843</v>
      </c>
      <c r="L1470" s="137" t="s">
        <v>841</v>
      </c>
      <c r="M147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7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70" s="138" t="str" cm="1">
        <f t="array" ref="O1470">IFERROR(INDEX(CategoriesTable[Category type],MATCH(Table1[[#This Row],[Category]],CategoriesTable[Category name],0),0),"")</f>
        <v/>
      </c>
      <c r="P1470" s="138">
        <v>24</v>
      </c>
      <c r="Q1470" s="138">
        <f>MONTH(Table1[[#This Row],[Date]])</f>
        <v>11</v>
      </c>
      <c r="R1470" s="138">
        <v>2020</v>
      </c>
      <c r="S1470" s="139">
        <f>IF(ISBLANK(Table1[[#This Row],[Date]]),"",Table1[[#This Row],[Date]]-WEEKDAY(Table1[[#This Row],[Date]],2)+1)</f>
        <v>44158</v>
      </c>
      <c r="T1470" s="140">
        <f>IF(ISBLANK(Table1[[#This Row],[Date]]),"",DATE(Table1[[#This Row],[Date_Year]],Table1[[#This Row],[Date_Month]],1))</f>
        <v>44136</v>
      </c>
    </row>
    <row r="1471" spans="2:20" ht="15.75">
      <c r="B1471" s="154">
        <v>44159</v>
      </c>
      <c r="C1471" s="119" t="s">
        <v>718</v>
      </c>
      <c r="D1471" s="119"/>
      <c r="E1471" s="119"/>
      <c r="F1471" s="155">
        <v>-10.6</v>
      </c>
      <c r="G1471" s="133" t="str">
        <f>_xlfn.XLOOKUP(Table1[[#This Row],[Account_ID]], Accounts[ID], Accounts[Account nickname], "Unknown")</f>
        <v>Discover</v>
      </c>
      <c r="H1471" s="134" t="str">
        <f>_xlfn.XLOOKUP(Table1[[#This Row],[Account_ID]], Accounts[ID], Accounts[Account'#], "Unknown")</f>
        <v>4618</v>
      </c>
      <c r="I1471" s="135" t="str">
        <f>_xlfn.XLOOKUP(_xlfn.XLOOKUP(Table1[[#This Row],[Account]],Accounts[Account nickname],Accounts[Institution ID]),Institutions[ID],Institutions[Institution nickname],"Unknown")</f>
        <v>Discover</v>
      </c>
      <c r="J1471" s="136" t="s">
        <v>2802</v>
      </c>
      <c r="K1471" s="137" t="s">
        <v>843</v>
      </c>
      <c r="L1471" s="137" t="s">
        <v>841</v>
      </c>
      <c r="M147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7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71" s="138" t="str" cm="1">
        <f t="array" ref="O1471">IFERROR(INDEX(CategoriesTable[Category type],MATCH(Table1[[#This Row],[Category]],CategoriesTable[Category name],0),0),"")</f>
        <v/>
      </c>
      <c r="P1471" s="138">
        <v>24</v>
      </c>
      <c r="Q1471" s="138">
        <f>MONTH(Table1[[#This Row],[Date]])</f>
        <v>11</v>
      </c>
      <c r="R1471" s="138">
        <v>2020</v>
      </c>
      <c r="S1471" s="139">
        <f>IF(ISBLANK(Table1[[#This Row],[Date]]),"",Table1[[#This Row],[Date]]-WEEKDAY(Table1[[#This Row],[Date]],2)+1)</f>
        <v>44158</v>
      </c>
      <c r="T1471" s="140">
        <f>IF(ISBLANK(Table1[[#This Row],[Date]]),"",DATE(Table1[[#This Row],[Date_Year]],Table1[[#This Row],[Date_Month]],1))</f>
        <v>44136</v>
      </c>
    </row>
    <row r="1472" spans="2:20" ht="15.75">
      <c r="B1472" s="154">
        <v>44158</v>
      </c>
      <c r="C1472" s="119" t="s">
        <v>1726</v>
      </c>
      <c r="D1472" s="119"/>
      <c r="E1472" s="119"/>
      <c r="F1472" s="155">
        <v>-23.46</v>
      </c>
      <c r="G1472" s="133" t="str">
        <f>_xlfn.XLOOKUP(Table1[[#This Row],[Account_ID]], Accounts[ID], Accounts[Account nickname], "Unknown")</f>
        <v>Discover</v>
      </c>
      <c r="H1472" s="134" t="str">
        <f>_xlfn.XLOOKUP(Table1[[#This Row],[Account_ID]], Accounts[ID], Accounts[Account'#], "Unknown")</f>
        <v>4618</v>
      </c>
      <c r="I1472" s="135" t="str">
        <f>_xlfn.XLOOKUP(_xlfn.XLOOKUP(Table1[[#This Row],[Account]],Accounts[Account nickname],Accounts[Institution ID]),Institutions[ID],Institutions[Institution nickname],"Unknown")</f>
        <v>Discover</v>
      </c>
      <c r="J1472" s="136" t="s">
        <v>2804</v>
      </c>
      <c r="K1472" s="137" t="s">
        <v>843</v>
      </c>
      <c r="L1472" s="137" t="s">
        <v>841</v>
      </c>
      <c r="M147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7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72" s="138" t="str" cm="1">
        <f t="array" ref="O1472">IFERROR(INDEX(CategoriesTable[Category type],MATCH(Table1[[#This Row],[Category]],CategoriesTable[Category name],0),0),"")</f>
        <v/>
      </c>
      <c r="P1472" s="138">
        <v>23</v>
      </c>
      <c r="Q1472" s="138">
        <f>MONTH(Table1[[#This Row],[Date]])</f>
        <v>11</v>
      </c>
      <c r="R1472" s="138">
        <v>2020</v>
      </c>
      <c r="S1472" s="139">
        <f>IF(ISBLANK(Table1[[#This Row],[Date]]),"",Table1[[#This Row],[Date]]-WEEKDAY(Table1[[#This Row],[Date]],2)+1)</f>
        <v>44158</v>
      </c>
      <c r="T1472" s="140">
        <f>IF(ISBLANK(Table1[[#This Row],[Date]]),"",DATE(Table1[[#This Row],[Date_Year]],Table1[[#This Row],[Date_Month]],1))</f>
        <v>44136</v>
      </c>
    </row>
    <row r="1473" spans="2:20" ht="15.75">
      <c r="B1473" s="154">
        <v>44158</v>
      </c>
      <c r="C1473" s="119" t="s">
        <v>712</v>
      </c>
      <c r="D1473" s="119"/>
      <c r="E1473" s="119"/>
      <c r="F1473" s="155">
        <v>-1</v>
      </c>
      <c r="G1473" s="133" t="str">
        <f>_xlfn.XLOOKUP(Table1[[#This Row],[Account_ID]], Accounts[ID], Accounts[Account nickname], "Unknown")</f>
        <v>Discover</v>
      </c>
      <c r="H1473" s="134" t="str">
        <f>_xlfn.XLOOKUP(Table1[[#This Row],[Account_ID]], Accounts[ID], Accounts[Account'#], "Unknown")</f>
        <v>4618</v>
      </c>
      <c r="I1473" s="135" t="str">
        <f>_xlfn.XLOOKUP(_xlfn.XLOOKUP(Table1[[#This Row],[Account]],Accounts[Account nickname],Accounts[Institution ID]),Institutions[ID],Institutions[Institution nickname],"Unknown")</f>
        <v>Discover</v>
      </c>
      <c r="J1473" s="136" t="s">
        <v>2810</v>
      </c>
      <c r="K1473" s="137" t="s">
        <v>843</v>
      </c>
      <c r="L1473" s="137" t="s">
        <v>841</v>
      </c>
      <c r="M147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7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73" s="138" t="str" cm="1">
        <f t="array" ref="O1473">IFERROR(INDEX(CategoriesTable[Category type],MATCH(Table1[[#This Row],[Category]],CategoriesTable[Category name],0),0),"")</f>
        <v/>
      </c>
      <c r="P1473" s="138">
        <v>23</v>
      </c>
      <c r="Q1473" s="138">
        <f>MONTH(Table1[[#This Row],[Date]])</f>
        <v>11</v>
      </c>
      <c r="R1473" s="138">
        <v>2020</v>
      </c>
      <c r="S1473" s="139">
        <f>IF(ISBLANK(Table1[[#This Row],[Date]]),"",Table1[[#This Row],[Date]]-WEEKDAY(Table1[[#This Row],[Date]],2)+1)</f>
        <v>44158</v>
      </c>
      <c r="T1473" s="140">
        <f>IF(ISBLANK(Table1[[#This Row],[Date]]),"",DATE(Table1[[#This Row],[Date_Year]],Table1[[#This Row],[Date_Month]],1))</f>
        <v>44136</v>
      </c>
    </row>
    <row r="1474" spans="2:20" ht="15.75">
      <c r="B1474" s="154">
        <v>44158</v>
      </c>
      <c r="C1474" s="119" t="s">
        <v>712</v>
      </c>
      <c r="D1474" s="119"/>
      <c r="E1474" s="119"/>
      <c r="F1474" s="155">
        <v>-19.23</v>
      </c>
      <c r="G1474" s="133" t="str">
        <f>_xlfn.XLOOKUP(Table1[[#This Row],[Account_ID]], Accounts[ID], Accounts[Account nickname], "Unknown")</f>
        <v>Discover</v>
      </c>
      <c r="H1474" s="134" t="str">
        <f>_xlfn.XLOOKUP(Table1[[#This Row],[Account_ID]], Accounts[ID], Accounts[Account'#], "Unknown")</f>
        <v>4618</v>
      </c>
      <c r="I1474" s="135" t="str">
        <f>_xlfn.XLOOKUP(_xlfn.XLOOKUP(Table1[[#This Row],[Account]],Accounts[Account nickname],Accounts[Institution ID]),Institutions[ID],Institutions[Institution nickname],"Unknown")</f>
        <v>Discover</v>
      </c>
      <c r="J1474" s="136" t="s">
        <v>2812</v>
      </c>
      <c r="K1474" s="137" t="s">
        <v>843</v>
      </c>
      <c r="L1474" s="137" t="s">
        <v>841</v>
      </c>
      <c r="M147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7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74" s="138" t="str" cm="1">
        <f t="array" ref="O1474">IFERROR(INDEX(CategoriesTable[Category type],MATCH(Table1[[#This Row],[Category]],CategoriesTable[Category name],0),0),"")</f>
        <v/>
      </c>
      <c r="P1474" s="138">
        <v>23</v>
      </c>
      <c r="Q1474" s="138">
        <f>MONTH(Table1[[#This Row],[Date]])</f>
        <v>11</v>
      </c>
      <c r="R1474" s="138">
        <v>2020</v>
      </c>
      <c r="S1474" s="139">
        <f>IF(ISBLANK(Table1[[#This Row],[Date]]),"",Table1[[#This Row],[Date]]-WEEKDAY(Table1[[#This Row],[Date]],2)+1)</f>
        <v>44158</v>
      </c>
      <c r="T1474" s="140">
        <f>IF(ISBLANK(Table1[[#This Row],[Date]]),"",DATE(Table1[[#This Row],[Date_Year]],Table1[[#This Row],[Date_Month]],1))</f>
        <v>44136</v>
      </c>
    </row>
    <row r="1475" spans="2:20" ht="15.75">
      <c r="B1475" s="154">
        <v>44158</v>
      </c>
      <c r="C1475" s="119" t="s">
        <v>2666</v>
      </c>
      <c r="D1475" s="119"/>
      <c r="E1475" s="119"/>
      <c r="F1475" s="155">
        <v>-11.96</v>
      </c>
      <c r="G1475" s="133" t="str">
        <f>_xlfn.XLOOKUP(Table1[[#This Row],[Account_ID]], Accounts[ID], Accounts[Account nickname], "Unknown")</f>
        <v>Discover</v>
      </c>
      <c r="H1475" s="134" t="str">
        <f>_xlfn.XLOOKUP(Table1[[#This Row],[Account_ID]], Accounts[ID], Accounts[Account'#], "Unknown")</f>
        <v>4618</v>
      </c>
      <c r="I1475" s="135" t="str">
        <f>_xlfn.XLOOKUP(_xlfn.XLOOKUP(Table1[[#This Row],[Account]],Accounts[Account nickname],Accounts[Institution ID]),Institutions[ID],Institutions[Institution nickname],"Unknown")</f>
        <v>Discover</v>
      </c>
      <c r="J1475" s="136" t="s">
        <v>2803</v>
      </c>
      <c r="K1475" s="137" t="s">
        <v>843</v>
      </c>
      <c r="L1475" s="137" t="s">
        <v>841</v>
      </c>
      <c r="M147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7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75" s="138" t="str" cm="1">
        <f t="array" ref="O1475">IFERROR(INDEX(CategoriesTable[Category type],MATCH(Table1[[#This Row],[Category]],CategoriesTable[Category name],0),0),"")</f>
        <v/>
      </c>
      <c r="P1475" s="138">
        <v>23</v>
      </c>
      <c r="Q1475" s="138">
        <f>MONTH(Table1[[#This Row],[Date]])</f>
        <v>11</v>
      </c>
      <c r="R1475" s="138">
        <v>2020</v>
      </c>
      <c r="S1475" s="139">
        <f>IF(ISBLANK(Table1[[#This Row],[Date]]),"",Table1[[#This Row],[Date]]-WEEKDAY(Table1[[#This Row],[Date]],2)+1)</f>
        <v>44158</v>
      </c>
      <c r="T1475" s="140">
        <f>IF(ISBLANK(Table1[[#This Row],[Date]]),"",DATE(Table1[[#This Row],[Date_Year]],Table1[[#This Row],[Date_Month]],1))</f>
        <v>44136</v>
      </c>
    </row>
    <row r="1476" spans="2:20" ht="15.75">
      <c r="B1476" s="154">
        <v>44158</v>
      </c>
      <c r="C1476" s="119" t="s">
        <v>712</v>
      </c>
      <c r="D1476" s="119"/>
      <c r="E1476" s="119"/>
      <c r="F1476" s="155">
        <v>-5</v>
      </c>
      <c r="G1476" s="133" t="str">
        <f>_xlfn.XLOOKUP(Table1[[#This Row],[Account_ID]], Accounts[ID], Accounts[Account nickname], "Unknown")</f>
        <v>Discover</v>
      </c>
      <c r="H1476" s="134" t="str">
        <f>_xlfn.XLOOKUP(Table1[[#This Row],[Account_ID]], Accounts[ID], Accounts[Account'#], "Unknown")</f>
        <v>4618</v>
      </c>
      <c r="I1476" s="135" t="str">
        <f>_xlfn.XLOOKUP(_xlfn.XLOOKUP(Table1[[#This Row],[Account]],Accounts[Account nickname],Accounts[Institution ID]),Institutions[ID],Institutions[Institution nickname],"Unknown")</f>
        <v>Discover</v>
      </c>
      <c r="J1476" s="136" t="s">
        <v>2811</v>
      </c>
      <c r="K1476" s="137" t="s">
        <v>843</v>
      </c>
      <c r="L1476" s="137" t="s">
        <v>841</v>
      </c>
      <c r="M147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7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76" s="138" t="str" cm="1">
        <f t="array" ref="O1476">IFERROR(INDEX(CategoriesTable[Category type],MATCH(Table1[[#This Row],[Category]],CategoriesTable[Category name],0),0),"")</f>
        <v/>
      </c>
      <c r="P1476" s="138">
        <v>23</v>
      </c>
      <c r="Q1476" s="138">
        <f>MONTH(Table1[[#This Row],[Date]])</f>
        <v>11</v>
      </c>
      <c r="R1476" s="138">
        <v>2020</v>
      </c>
      <c r="S1476" s="139">
        <f>IF(ISBLANK(Table1[[#This Row],[Date]]),"",Table1[[#This Row],[Date]]-WEEKDAY(Table1[[#This Row],[Date]],2)+1)</f>
        <v>44158</v>
      </c>
      <c r="T1476" s="140">
        <f>IF(ISBLANK(Table1[[#This Row],[Date]]),"",DATE(Table1[[#This Row],[Date_Year]],Table1[[#This Row],[Date_Month]],1))</f>
        <v>44136</v>
      </c>
    </row>
    <row r="1477" spans="2:20" ht="15.75">
      <c r="B1477" s="154">
        <v>44158</v>
      </c>
      <c r="C1477" s="119" t="s">
        <v>2807</v>
      </c>
      <c r="D1477" s="119"/>
      <c r="E1477" s="119"/>
      <c r="F1477" s="155">
        <v>-175</v>
      </c>
      <c r="G1477" s="133" t="str">
        <f>_xlfn.XLOOKUP(Table1[[#This Row],[Account_ID]], Accounts[ID], Accounts[Account nickname], "Unknown")</f>
        <v>Discover</v>
      </c>
      <c r="H1477" s="134" t="str">
        <f>_xlfn.XLOOKUP(Table1[[#This Row],[Account_ID]], Accounts[ID], Accounts[Account'#], "Unknown")</f>
        <v>4618</v>
      </c>
      <c r="I1477" s="135" t="str">
        <f>_xlfn.XLOOKUP(_xlfn.XLOOKUP(Table1[[#This Row],[Account]],Accounts[Account nickname],Accounts[Institution ID]),Institutions[ID],Institutions[Institution nickname],"Unknown")</f>
        <v>Discover</v>
      </c>
      <c r="J1477" s="136" t="s">
        <v>2808</v>
      </c>
      <c r="K1477" s="137" t="s">
        <v>843</v>
      </c>
      <c r="L1477" s="137" t="s">
        <v>841</v>
      </c>
      <c r="M147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7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77" s="138" t="str" cm="1">
        <f t="array" ref="O1477">IFERROR(INDEX(CategoriesTable[Category type],MATCH(Table1[[#This Row],[Category]],CategoriesTable[Category name],0),0),"")</f>
        <v/>
      </c>
      <c r="P1477" s="138">
        <v>23</v>
      </c>
      <c r="Q1477" s="138">
        <f>MONTH(Table1[[#This Row],[Date]])</f>
        <v>11</v>
      </c>
      <c r="R1477" s="138">
        <v>2020</v>
      </c>
      <c r="S1477" s="139">
        <f>IF(ISBLANK(Table1[[#This Row],[Date]]),"",Table1[[#This Row],[Date]]-WEEKDAY(Table1[[#This Row],[Date]],2)+1)</f>
        <v>44158</v>
      </c>
      <c r="T1477" s="140">
        <f>IF(ISBLANK(Table1[[#This Row],[Date]]),"",DATE(Table1[[#This Row],[Date_Year]],Table1[[#This Row],[Date_Month]],1))</f>
        <v>44136</v>
      </c>
    </row>
    <row r="1478" spans="2:20" ht="15.75">
      <c r="B1478" s="154">
        <v>44158</v>
      </c>
      <c r="C1478" s="119" t="s">
        <v>678</v>
      </c>
      <c r="D1478" s="119"/>
      <c r="E1478" s="119"/>
      <c r="F1478" s="155">
        <v>-659.67</v>
      </c>
      <c r="G1478" s="133" t="str">
        <f>_xlfn.XLOOKUP(Table1[[#This Row],[Account_ID]], Accounts[ID], Accounts[Account nickname], "Unknown")</f>
        <v>WF</v>
      </c>
      <c r="H1478" s="134" t="str">
        <f>_xlfn.XLOOKUP(Table1[[#This Row],[Account_ID]], Accounts[ID], Accounts[Account'#], "Unknown")</f>
        <v>4636</v>
      </c>
      <c r="I1478" s="135" t="str">
        <f>_xlfn.XLOOKUP(_xlfn.XLOOKUP(Table1[[#This Row],[Account]],Accounts[Account nickname],Accounts[Institution ID]),Institutions[ID],Institutions[Institution nickname],"Unknown")</f>
        <v>Wells Fargo</v>
      </c>
      <c r="J1478" s="136" t="s">
        <v>1246</v>
      </c>
      <c r="K1478" s="137" t="s">
        <v>808</v>
      </c>
      <c r="L1478" s="137" t="s">
        <v>807</v>
      </c>
      <c r="M147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7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78" s="138" t="str" cm="1">
        <f t="array" ref="O1478">IFERROR(INDEX(CategoriesTable[Category type],MATCH(Table1[[#This Row],[Category]],CategoriesTable[Category name],0),0),"")</f>
        <v/>
      </c>
      <c r="P1478" s="138">
        <v>23</v>
      </c>
      <c r="Q1478" s="138">
        <f>MONTH(Table1[[#This Row],[Date]])</f>
        <v>11</v>
      </c>
      <c r="R1478" s="138">
        <v>2020</v>
      </c>
      <c r="S1478" s="139">
        <f>IF(ISBLANK(Table1[[#This Row],[Date]]),"",Table1[[#This Row],[Date]]-WEEKDAY(Table1[[#This Row],[Date]],2)+1)</f>
        <v>44158</v>
      </c>
      <c r="T1478" s="140">
        <f>IF(ISBLANK(Table1[[#This Row],[Date]]),"",DATE(Table1[[#This Row],[Date_Year]],Table1[[#This Row],[Date_Month]],1))</f>
        <v>44136</v>
      </c>
    </row>
    <row r="1479" spans="2:20" ht="15.75">
      <c r="B1479" s="154">
        <v>44158</v>
      </c>
      <c r="C1479" s="119" t="s">
        <v>2805</v>
      </c>
      <c r="D1479" s="119"/>
      <c r="E1479" s="119"/>
      <c r="F1479" s="155">
        <v>-15</v>
      </c>
      <c r="G1479" s="133" t="str">
        <f>_xlfn.XLOOKUP(Table1[[#This Row],[Account_ID]], Accounts[ID], Accounts[Account nickname], "Unknown")</f>
        <v>Discover</v>
      </c>
      <c r="H1479" s="134" t="str">
        <f>_xlfn.XLOOKUP(Table1[[#This Row],[Account_ID]], Accounts[ID], Accounts[Account'#], "Unknown")</f>
        <v>4618</v>
      </c>
      <c r="I1479" s="135" t="str">
        <f>_xlfn.XLOOKUP(_xlfn.XLOOKUP(Table1[[#This Row],[Account]],Accounts[Account nickname],Accounts[Institution ID]),Institutions[ID],Institutions[Institution nickname],"Unknown")</f>
        <v>Discover</v>
      </c>
      <c r="J1479" s="136" t="s">
        <v>2806</v>
      </c>
      <c r="K1479" s="137" t="s">
        <v>843</v>
      </c>
      <c r="L1479" s="137" t="s">
        <v>841</v>
      </c>
      <c r="M147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7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79" s="138" t="str" cm="1">
        <f t="array" ref="O1479">IFERROR(INDEX(CategoriesTable[Category type],MATCH(Table1[[#This Row],[Category]],CategoriesTable[Category name],0),0),"")</f>
        <v/>
      </c>
      <c r="P1479" s="138">
        <v>23</v>
      </c>
      <c r="Q1479" s="138">
        <f>MONTH(Table1[[#This Row],[Date]])</f>
        <v>11</v>
      </c>
      <c r="R1479" s="138">
        <v>2020</v>
      </c>
      <c r="S1479" s="139">
        <f>IF(ISBLANK(Table1[[#This Row],[Date]]),"",Table1[[#This Row],[Date]]-WEEKDAY(Table1[[#This Row],[Date]],2)+1)</f>
        <v>44158</v>
      </c>
      <c r="T1479" s="140">
        <f>IF(ISBLANK(Table1[[#This Row],[Date]]),"",DATE(Table1[[#This Row],[Date_Year]],Table1[[#This Row],[Date_Month]],1))</f>
        <v>44136</v>
      </c>
    </row>
    <row r="1480" spans="2:20" ht="15.75">
      <c r="B1480" s="154">
        <v>44158</v>
      </c>
      <c r="C1480" s="119" t="s">
        <v>2366</v>
      </c>
      <c r="D1480" s="119"/>
      <c r="E1480" s="119"/>
      <c r="F1480" s="155">
        <v>-10</v>
      </c>
      <c r="G1480" s="133" t="str">
        <f>_xlfn.XLOOKUP(Table1[[#This Row],[Account_ID]], Accounts[ID], Accounts[Account nickname], "Unknown")</f>
        <v>Discover</v>
      </c>
      <c r="H1480" s="134" t="str">
        <f>_xlfn.XLOOKUP(Table1[[#This Row],[Account_ID]], Accounts[ID], Accounts[Account'#], "Unknown")</f>
        <v>4618</v>
      </c>
      <c r="I1480" s="135" t="str">
        <f>_xlfn.XLOOKUP(_xlfn.XLOOKUP(Table1[[#This Row],[Account]],Accounts[Account nickname],Accounts[Institution ID]),Institutions[ID],Institutions[Institution nickname],"Unknown")</f>
        <v>Discover</v>
      </c>
      <c r="J1480" s="136" t="s">
        <v>2809</v>
      </c>
      <c r="K1480" s="137" t="s">
        <v>843</v>
      </c>
      <c r="L1480" s="137" t="s">
        <v>841</v>
      </c>
      <c r="M148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8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80" s="138" t="str" cm="1">
        <f t="array" ref="O1480">IFERROR(INDEX(CategoriesTable[Category type],MATCH(Table1[[#This Row],[Category]],CategoriesTable[Category name],0),0),"")</f>
        <v/>
      </c>
      <c r="P1480" s="138">
        <v>23</v>
      </c>
      <c r="Q1480" s="138">
        <f>MONTH(Table1[[#This Row],[Date]])</f>
        <v>11</v>
      </c>
      <c r="R1480" s="138">
        <v>2020</v>
      </c>
      <c r="S1480" s="139">
        <f>IF(ISBLANK(Table1[[#This Row],[Date]]),"",Table1[[#This Row],[Date]]-WEEKDAY(Table1[[#This Row],[Date]],2)+1)</f>
        <v>44158</v>
      </c>
      <c r="T1480" s="140">
        <f>IF(ISBLANK(Table1[[#This Row],[Date]]),"",DATE(Table1[[#This Row],[Date_Year]],Table1[[#This Row],[Date_Month]],1))</f>
        <v>44136</v>
      </c>
    </row>
    <row r="1481" spans="2:20" ht="15.75">
      <c r="B1481" s="154">
        <v>44156</v>
      </c>
      <c r="C1481" s="119" t="s">
        <v>714</v>
      </c>
      <c r="D1481" s="119"/>
      <c r="E1481" s="119"/>
      <c r="F1481" s="155">
        <v>-19.420000000000002</v>
      </c>
      <c r="G1481" s="133" t="str">
        <f>_xlfn.XLOOKUP(Table1[[#This Row],[Account_ID]], Accounts[ID], Accounts[Account nickname], "Unknown")</f>
        <v>Discover</v>
      </c>
      <c r="H1481" s="134" t="str">
        <f>_xlfn.XLOOKUP(Table1[[#This Row],[Account_ID]], Accounts[ID], Accounts[Account'#], "Unknown")</f>
        <v>4618</v>
      </c>
      <c r="I1481" s="135" t="str">
        <f>_xlfn.XLOOKUP(_xlfn.XLOOKUP(Table1[[#This Row],[Account]],Accounts[Account nickname],Accounts[Institution ID]),Institutions[ID],Institutions[Institution nickname],"Unknown")</f>
        <v>Discover</v>
      </c>
      <c r="J1481" s="136" t="s">
        <v>2815</v>
      </c>
      <c r="K1481" s="137" t="s">
        <v>843</v>
      </c>
      <c r="L1481" s="137" t="s">
        <v>841</v>
      </c>
      <c r="M148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8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81" s="138" t="str" cm="1">
        <f t="array" ref="O1481">IFERROR(INDEX(CategoriesTable[Category type],MATCH(Table1[[#This Row],[Category]],CategoriesTable[Category name],0),0),"")</f>
        <v/>
      </c>
      <c r="P1481" s="138">
        <v>21</v>
      </c>
      <c r="Q1481" s="138">
        <f>MONTH(Table1[[#This Row],[Date]])</f>
        <v>11</v>
      </c>
      <c r="R1481" s="138">
        <v>2020</v>
      </c>
      <c r="S1481" s="139">
        <f>IF(ISBLANK(Table1[[#This Row],[Date]]),"",Table1[[#This Row],[Date]]-WEEKDAY(Table1[[#This Row],[Date]],2)+1)</f>
        <v>44151</v>
      </c>
      <c r="T1481" s="140">
        <f>IF(ISBLANK(Table1[[#This Row],[Date]]),"",DATE(Table1[[#This Row],[Date_Year]],Table1[[#This Row],[Date_Month]],1))</f>
        <v>44136</v>
      </c>
    </row>
    <row r="1482" spans="2:20" ht="15.75">
      <c r="B1482" s="154">
        <v>44156</v>
      </c>
      <c r="C1482" s="119" t="s">
        <v>2817</v>
      </c>
      <c r="D1482" s="119"/>
      <c r="E1482" s="119"/>
      <c r="F1482" s="155">
        <v>-26</v>
      </c>
      <c r="G1482" s="133" t="str">
        <f>_xlfn.XLOOKUP(Table1[[#This Row],[Account_ID]], Accounts[ID], Accounts[Account nickname], "Unknown")</f>
        <v>Discover</v>
      </c>
      <c r="H1482" s="134" t="str">
        <f>_xlfn.XLOOKUP(Table1[[#This Row],[Account_ID]], Accounts[ID], Accounts[Account'#], "Unknown")</f>
        <v>4618</v>
      </c>
      <c r="I1482" s="135" t="str">
        <f>_xlfn.XLOOKUP(_xlfn.XLOOKUP(Table1[[#This Row],[Account]],Accounts[Account nickname],Accounts[Institution ID]),Institutions[ID],Institutions[Institution nickname],"Unknown")</f>
        <v>Discover</v>
      </c>
      <c r="J1482" s="136" t="s">
        <v>2818</v>
      </c>
      <c r="K1482" s="137" t="s">
        <v>843</v>
      </c>
      <c r="L1482" s="137" t="s">
        <v>841</v>
      </c>
      <c r="M148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8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82" s="138" t="str" cm="1">
        <f t="array" ref="O1482">IFERROR(INDEX(CategoriesTable[Category type],MATCH(Table1[[#This Row],[Category]],CategoriesTable[Category name],0),0),"")</f>
        <v/>
      </c>
      <c r="P1482" s="138">
        <v>21</v>
      </c>
      <c r="Q1482" s="138">
        <f>MONTH(Table1[[#This Row],[Date]])</f>
        <v>11</v>
      </c>
      <c r="R1482" s="138">
        <v>2020</v>
      </c>
      <c r="S1482" s="139">
        <f>IF(ISBLANK(Table1[[#This Row],[Date]]),"",Table1[[#This Row],[Date]]-WEEKDAY(Table1[[#This Row],[Date]],2)+1)</f>
        <v>44151</v>
      </c>
      <c r="T1482" s="140">
        <f>IF(ISBLANK(Table1[[#This Row],[Date]]),"",DATE(Table1[[#This Row],[Date_Year]],Table1[[#This Row],[Date_Month]],1))</f>
        <v>44136</v>
      </c>
    </row>
    <row r="1483" spans="2:20" ht="15.75">
      <c r="B1483" s="154">
        <v>44156</v>
      </c>
      <c r="C1483" s="119" t="s">
        <v>2666</v>
      </c>
      <c r="D1483" s="119"/>
      <c r="E1483" s="119"/>
      <c r="F1483" s="155">
        <v>-2.09</v>
      </c>
      <c r="G1483" s="133" t="str">
        <f>_xlfn.XLOOKUP(Table1[[#This Row],[Account_ID]], Accounts[ID], Accounts[Account nickname], "Unknown")</f>
        <v>Discover</v>
      </c>
      <c r="H1483" s="134" t="str">
        <f>_xlfn.XLOOKUP(Table1[[#This Row],[Account_ID]], Accounts[ID], Accounts[Account'#], "Unknown")</f>
        <v>4618</v>
      </c>
      <c r="I1483" s="135" t="str">
        <f>_xlfn.XLOOKUP(_xlfn.XLOOKUP(Table1[[#This Row],[Account]],Accounts[Account nickname],Accounts[Institution ID]),Institutions[ID],Institutions[Institution nickname],"Unknown")</f>
        <v>Discover</v>
      </c>
      <c r="J1483" s="136" t="s">
        <v>2814</v>
      </c>
      <c r="K1483" s="137" t="s">
        <v>843</v>
      </c>
      <c r="L1483" s="137" t="s">
        <v>841</v>
      </c>
      <c r="M148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8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83" s="138" t="str" cm="1">
        <f t="array" ref="O1483">IFERROR(INDEX(CategoriesTable[Category type],MATCH(Table1[[#This Row],[Category]],CategoriesTable[Category name],0),0),"")</f>
        <v/>
      </c>
      <c r="P1483" s="138">
        <v>21</v>
      </c>
      <c r="Q1483" s="138">
        <f>MONTH(Table1[[#This Row],[Date]])</f>
        <v>11</v>
      </c>
      <c r="R1483" s="138">
        <v>2020</v>
      </c>
      <c r="S1483" s="139">
        <f>IF(ISBLANK(Table1[[#This Row],[Date]]),"",Table1[[#This Row],[Date]]-WEEKDAY(Table1[[#This Row],[Date]],2)+1)</f>
        <v>44151</v>
      </c>
      <c r="T1483" s="140">
        <f>IF(ISBLANK(Table1[[#This Row],[Date]]),"",DATE(Table1[[#This Row],[Date_Year]],Table1[[#This Row],[Date_Month]],1))</f>
        <v>44136</v>
      </c>
    </row>
    <row r="1484" spans="2:20" ht="15.75">
      <c r="B1484" s="154">
        <v>44156</v>
      </c>
      <c r="C1484" s="119" t="s">
        <v>2590</v>
      </c>
      <c r="D1484" s="119"/>
      <c r="E1484" s="119"/>
      <c r="F1484" s="155">
        <v>-13.7</v>
      </c>
      <c r="G1484" s="133" t="str">
        <f>_xlfn.XLOOKUP(Table1[[#This Row],[Account_ID]], Accounts[ID], Accounts[Account nickname], "Unknown")</f>
        <v>Discover</v>
      </c>
      <c r="H1484" s="134" t="str">
        <f>_xlfn.XLOOKUP(Table1[[#This Row],[Account_ID]], Accounts[ID], Accounts[Account'#], "Unknown")</f>
        <v>4618</v>
      </c>
      <c r="I1484" s="135" t="str">
        <f>_xlfn.XLOOKUP(_xlfn.XLOOKUP(Table1[[#This Row],[Account]],Accounts[Account nickname],Accounts[Institution ID]),Institutions[ID],Institutions[Institution nickname],"Unknown")</f>
        <v>Discover</v>
      </c>
      <c r="J1484" s="136" t="s">
        <v>2816</v>
      </c>
      <c r="K1484" s="137" t="s">
        <v>843</v>
      </c>
      <c r="L1484" s="137" t="s">
        <v>841</v>
      </c>
      <c r="M148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8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84" s="138" t="str" cm="1">
        <f t="array" ref="O1484">IFERROR(INDEX(CategoriesTable[Category type],MATCH(Table1[[#This Row],[Category]],CategoriesTable[Category name],0),0),"")</f>
        <v/>
      </c>
      <c r="P1484" s="138">
        <v>21</v>
      </c>
      <c r="Q1484" s="138">
        <f>MONTH(Table1[[#This Row],[Date]])</f>
        <v>11</v>
      </c>
      <c r="R1484" s="138">
        <v>2020</v>
      </c>
      <c r="S1484" s="139">
        <f>IF(ISBLANK(Table1[[#This Row],[Date]]),"",Table1[[#This Row],[Date]]-WEEKDAY(Table1[[#This Row],[Date]],2)+1)</f>
        <v>44151</v>
      </c>
      <c r="T1484" s="140">
        <f>IF(ISBLANK(Table1[[#This Row],[Date]]),"",DATE(Table1[[#This Row],[Date_Year]],Table1[[#This Row],[Date_Month]],1))</f>
        <v>44136</v>
      </c>
    </row>
    <row r="1485" spans="2:20" ht="15.75">
      <c r="B1485" s="154">
        <v>44156</v>
      </c>
      <c r="C1485" s="119" t="s">
        <v>2050</v>
      </c>
      <c r="D1485" s="119"/>
      <c r="E1485" s="119"/>
      <c r="F1485" s="155">
        <v>-181.94</v>
      </c>
      <c r="G1485" s="133" t="str">
        <f>_xlfn.XLOOKUP(Table1[[#This Row],[Account_ID]], Accounts[ID], Accounts[Account nickname], "Unknown")</f>
        <v>Discover</v>
      </c>
      <c r="H1485" s="134" t="str">
        <f>_xlfn.XLOOKUP(Table1[[#This Row],[Account_ID]], Accounts[ID], Accounts[Account'#], "Unknown")</f>
        <v>4618</v>
      </c>
      <c r="I1485" s="135" t="str">
        <f>_xlfn.XLOOKUP(_xlfn.XLOOKUP(Table1[[#This Row],[Account]],Accounts[Account nickname],Accounts[Institution ID]),Institutions[ID],Institutions[Institution nickname],"Unknown")</f>
        <v>Discover</v>
      </c>
      <c r="J1485" s="136" t="s">
        <v>2813</v>
      </c>
      <c r="K1485" s="137" t="s">
        <v>843</v>
      </c>
      <c r="L1485" s="137" t="s">
        <v>841</v>
      </c>
      <c r="M148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8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85" s="138" t="str" cm="1">
        <f t="array" ref="O1485">IFERROR(INDEX(CategoriesTable[Category type],MATCH(Table1[[#This Row],[Category]],CategoriesTable[Category name],0),0),"")</f>
        <v/>
      </c>
      <c r="P1485" s="138">
        <v>21</v>
      </c>
      <c r="Q1485" s="138">
        <f>MONTH(Table1[[#This Row],[Date]])</f>
        <v>11</v>
      </c>
      <c r="R1485" s="138">
        <v>2020</v>
      </c>
      <c r="S1485" s="139">
        <f>IF(ISBLANK(Table1[[#This Row],[Date]]),"",Table1[[#This Row],[Date]]-WEEKDAY(Table1[[#This Row],[Date]],2)+1)</f>
        <v>44151</v>
      </c>
      <c r="T1485" s="140">
        <f>IF(ISBLANK(Table1[[#This Row],[Date]]),"",DATE(Table1[[#This Row],[Date_Year]],Table1[[#This Row],[Date_Month]],1))</f>
        <v>44136</v>
      </c>
    </row>
    <row r="1486" spans="2:20" ht="15.75">
      <c r="B1486" s="154">
        <v>44155</v>
      </c>
      <c r="C1486" s="119" t="s">
        <v>845</v>
      </c>
      <c r="D1486" s="119"/>
      <c r="E1486" s="119"/>
      <c r="F1486" s="155">
        <v>974.05</v>
      </c>
      <c r="G1486" s="133" t="str">
        <f>_xlfn.XLOOKUP(Table1[[#This Row],[Account_ID]], Accounts[ID], Accounts[Account nickname], "Unknown")</f>
        <v>Discover</v>
      </c>
      <c r="H1486" s="134" t="str">
        <f>_xlfn.XLOOKUP(Table1[[#This Row],[Account_ID]], Accounts[ID], Accounts[Account'#], "Unknown")</f>
        <v>4618</v>
      </c>
      <c r="I1486" s="135" t="str">
        <f>_xlfn.XLOOKUP(_xlfn.XLOOKUP(Table1[[#This Row],[Account]],Accounts[Account nickname],Accounts[Institution ID]),Institutions[ID],Institutions[Institution nickname],"Unknown")</f>
        <v>Discover</v>
      </c>
      <c r="J1486" s="136" t="s">
        <v>2822</v>
      </c>
      <c r="K1486" s="137" t="s">
        <v>843</v>
      </c>
      <c r="L1486" s="137" t="s">
        <v>841</v>
      </c>
      <c r="M148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8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86" s="138" t="str" cm="1">
        <f t="array" ref="O1486">IFERROR(INDEX(CategoriesTable[Category type],MATCH(Table1[[#This Row],[Category]],CategoriesTable[Category name],0),0),"")</f>
        <v/>
      </c>
      <c r="P1486" s="138">
        <v>20</v>
      </c>
      <c r="Q1486" s="138">
        <f>MONTH(Table1[[#This Row],[Date]])</f>
        <v>11</v>
      </c>
      <c r="R1486" s="138">
        <v>2020</v>
      </c>
      <c r="S1486" s="139">
        <f>IF(ISBLANK(Table1[[#This Row],[Date]]),"",Table1[[#This Row],[Date]]-WEEKDAY(Table1[[#This Row],[Date]],2)+1)</f>
        <v>44151</v>
      </c>
      <c r="T1486" s="140">
        <f>IF(ISBLANK(Table1[[#This Row],[Date]]),"",DATE(Table1[[#This Row],[Date_Year]],Table1[[#This Row],[Date_Month]],1))</f>
        <v>44136</v>
      </c>
    </row>
    <row r="1487" spans="2:20" ht="15.75">
      <c r="B1487" s="154">
        <v>44155</v>
      </c>
      <c r="C1487" s="119" t="s">
        <v>2820</v>
      </c>
      <c r="D1487" s="119"/>
      <c r="E1487" s="119"/>
      <c r="F1487" s="155">
        <v>-9.99</v>
      </c>
      <c r="G1487" s="133" t="str">
        <f>_xlfn.XLOOKUP(Table1[[#This Row],[Account_ID]], Accounts[ID], Accounts[Account nickname], "Unknown")</f>
        <v>Discover</v>
      </c>
      <c r="H1487" s="134" t="str">
        <f>_xlfn.XLOOKUP(Table1[[#This Row],[Account_ID]], Accounts[ID], Accounts[Account'#], "Unknown")</f>
        <v>4618</v>
      </c>
      <c r="I1487" s="135" t="str">
        <f>_xlfn.XLOOKUP(_xlfn.XLOOKUP(Table1[[#This Row],[Account]],Accounts[Account nickname],Accounts[Institution ID]),Institutions[ID],Institutions[Institution nickname],"Unknown")</f>
        <v>Discover</v>
      </c>
      <c r="J1487" s="136" t="s">
        <v>2821</v>
      </c>
      <c r="K1487" s="137" t="s">
        <v>843</v>
      </c>
      <c r="L1487" s="137" t="s">
        <v>841</v>
      </c>
      <c r="M148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8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87" s="138" t="str" cm="1">
        <f t="array" ref="O1487">IFERROR(INDEX(CategoriesTable[Category type],MATCH(Table1[[#This Row],[Category]],CategoriesTable[Category name],0),0),"")</f>
        <v/>
      </c>
      <c r="P1487" s="138">
        <v>20</v>
      </c>
      <c r="Q1487" s="138">
        <f>MONTH(Table1[[#This Row],[Date]])</f>
        <v>11</v>
      </c>
      <c r="R1487" s="138">
        <v>2020</v>
      </c>
      <c r="S1487" s="139">
        <f>IF(ISBLANK(Table1[[#This Row],[Date]]),"",Table1[[#This Row],[Date]]-WEEKDAY(Table1[[#This Row],[Date]],2)+1)</f>
        <v>44151</v>
      </c>
      <c r="T1487" s="140">
        <f>IF(ISBLANK(Table1[[#This Row],[Date]]),"",DATE(Table1[[#This Row],[Date_Year]],Table1[[#This Row],[Date_Month]],1))</f>
        <v>44136</v>
      </c>
    </row>
    <row r="1488" spans="2:20" ht="15.75">
      <c r="B1488" s="154">
        <v>44155</v>
      </c>
      <c r="C1488" s="119" t="s">
        <v>678</v>
      </c>
      <c r="D1488" s="119"/>
      <c r="E1488" s="119"/>
      <c r="F1488" s="155">
        <v>-700</v>
      </c>
      <c r="G1488" s="133" t="str">
        <f>_xlfn.XLOOKUP(Table1[[#This Row],[Account_ID]], Accounts[ID], Accounts[Account nickname], "Unknown")</f>
        <v>WF</v>
      </c>
      <c r="H1488" s="134" t="str">
        <f>_xlfn.XLOOKUP(Table1[[#This Row],[Account_ID]], Accounts[ID], Accounts[Account'#], "Unknown")</f>
        <v>4636</v>
      </c>
      <c r="I1488" s="135" t="str">
        <f>_xlfn.XLOOKUP(_xlfn.XLOOKUP(Table1[[#This Row],[Account]],Accounts[Account nickname],Accounts[Institution ID]),Institutions[ID],Institutions[Institution nickname],"Unknown")</f>
        <v>Wells Fargo</v>
      </c>
      <c r="J1488" s="136" t="s">
        <v>1249</v>
      </c>
      <c r="K1488" s="137" t="s">
        <v>808</v>
      </c>
      <c r="L1488" s="137" t="s">
        <v>807</v>
      </c>
      <c r="M148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8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88" s="138" t="str" cm="1">
        <f t="array" ref="O1488">IFERROR(INDEX(CategoriesTable[Category type],MATCH(Table1[[#This Row],[Category]],CategoriesTable[Category name],0),0),"")</f>
        <v/>
      </c>
      <c r="P1488" s="138">
        <v>20</v>
      </c>
      <c r="Q1488" s="138">
        <f>MONTH(Table1[[#This Row],[Date]])</f>
        <v>11</v>
      </c>
      <c r="R1488" s="138">
        <v>2020</v>
      </c>
      <c r="S1488" s="139">
        <f>IF(ISBLANK(Table1[[#This Row],[Date]]),"",Table1[[#This Row],[Date]]-WEEKDAY(Table1[[#This Row],[Date]],2)+1)</f>
        <v>44151</v>
      </c>
      <c r="T1488" s="140">
        <f>IF(ISBLANK(Table1[[#This Row],[Date]]),"",DATE(Table1[[#This Row],[Date_Year]],Table1[[#This Row],[Date_Month]],1))</f>
        <v>44136</v>
      </c>
    </row>
    <row r="1489" spans="2:20" ht="15.75">
      <c r="B1489" s="154">
        <v>44155</v>
      </c>
      <c r="C1489" s="119" t="s">
        <v>2771</v>
      </c>
      <c r="D1489" s="119"/>
      <c r="E1489" s="119"/>
      <c r="F1489" s="155">
        <v>-24.98</v>
      </c>
      <c r="G1489" s="133" t="str">
        <f>_xlfn.XLOOKUP(Table1[[#This Row],[Account_ID]], Accounts[ID], Accounts[Account nickname], "Unknown")</f>
        <v>Discover</v>
      </c>
      <c r="H1489" s="134" t="str">
        <f>_xlfn.XLOOKUP(Table1[[#This Row],[Account_ID]], Accounts[ID], Accounts[Account'#], "Unknown")</f>
        <v>4618</v>
      </c>
      <c r="I1489" s="135" t="str">
        <f>_xlfn.XLOOKUP(_xlfn.XLOOKUP(Table1[[#This Row],[Account]],Accounts[Account nickname],Accounts[Institution ID]),Institutions[ID],Institutions[Institution nickname],"Unknown")</f>
        <v>Discover</v>
      </c>
      <c r="J1489" s="136" t="s">
        <v>2819</v>
      </c>
      <c r="K1489" s="137" t="s">
        <v>843</v>
      </c>
      <c r="L1489" s="137" t="s">
        <v>841</v>
      </c>
      <c r="M148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8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89" s="138" t="str" cm="1">
        <f t="array" ref="O1489">IFERROR(INDEX(CategoriesTable[Category type],MATCH(Table1[[#This Row],[Category]],CategoriesTable[Category name],0),0),"")</f>
        <v/>
      </c>
      <c r="P1489" s="138">
        <v>20</v>
      </c>
      <c r="Q1489" s="138">
        <f>MONTH(Table1[[#This Row],[Date]])</f>
        <v>11</v>
      </c>
      <c r="R1489" s="138">
        <v>2020</v>
      </c>
      <c r="S1489" s="139">
        <f>IF(ISBLANK(Table1[[#This Row],[Date]]),"",Table1[[#This Row],[Date]]-WEEKDAY(Table1[[#This Row],[Date]],2)+1)</f>
        <v>44151</v>
      </c>
      <c r="T1489" s="140">
        <f>IF(ISBLANK(Table1[[#This Row],[Date]]),"",DATE(Table1[[#This Row],[Date_Year]],Table1[[#This Row],[Date_Month]],1))</f>
        <v>44136</v>
      </c>
    </row>
    <row r="1490" spans="2:20" ht="15.75">
      <c r="B1490" s="154">
        <v>44155</v>
      </c>
      <c r="C1490" s="119" t="s">
        <v>686</v>
      </c>
      <c r="D1490" s="119"/>
      <c r="E1490" s="119"/>
      <c r="F1490" s="155">
        <v>-974.05</v>
      </c>
      <c r="G1490" s="133" t="str">
        <f>_xlfn.XLOOKUP(Table1[[#This Row],[Account_ID]], Accounts[ID], Accounts[Account nickname], "Unknown")</f>
        <v>WF</v>
      </c>
      <c r="H1490" s="134" t="str">
        <f>_xlfn.XLOOKUP(Table1[[#This Row],[Account_ID]], Accounts[ID], Accounts[Account'#], "Unknown")</f>
        <v>4636</v>
      </c>
      <c r="I1490" s="135" t="str">
        <f>_xlfn.XLOOKUP(_xlfn.XLOOKUP(Table1[[#This Row],[Account]],Accounts[Account nickname],Accounts[Institution ID]),Institutions[ID],Institutions[Institution nickname],"Unknown")</f>
        <v>Wells Fargo</v>
      </c>
      <c r="J1490" s="136" t="s">
        <v>1247</v>
      </c>
      <c r="K1490" s="137" t="s">
        <v>808</v>
      </c>
      <c r="L1490" s="137" t="s">
        <v>807</v>
      </c>
      <c r="M149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9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90" s="138" t="str" cm="1">
        <f t="array" ref="O1490">IFERROR(INDEX(CategoriesTable[Category type],MATCH(Table1[[#This Row],[Category]],CategoriesTable[Category name],0),0),"")</f>
        <v/>
      </c>
      <c r="P1490" s="138">
        <v>20</v>
      </c>
      <c r="Q1490" s="138">
        <f>MONTH(Table1[[#This Row],[Date]])</f>
        <v>11</v>
      </c>
      <c r="R1490" s="138">
        <v>2020</v>
      </c>
      <c r="S1490" s="139">
        <f>IF(ISBLANK(Table1[[#This Row],[Date]]),"",Table1[[#This Row],[Date]]-WEEKDAY(Table1[[#This Row],[Date]],2)+1)</f>
        <v>44151</v>
      </c>
      <c r="T1490" s="140">
        <f>IF(ISBLANK(Table1[[#This Row],[Date]]),"",DATE(Table1[[#This Row],[Date_Year]],Table1[[#This Row],[Date_Month]],1))</f>
        <v>44136</v>
      </c>
    </row>
    <row r="1491" spans="2:20" ht="15.75">
      <c r="B1491" s="154">
        <v>44155</v>
      </c>
      <c r="C1491" s="119" t="s">
        <v>2271</v>
      </c>
      <c r="D1491" s="119"/>
      <c r="E1491" s="119"/>
      <c r="F1491" s="155">
        <v>-12.76</v>
      </c>
      <c r="G1491" s="133" t="str">
        <f>_xlfn.XLOOKUP(Table1[[#This Row],[Account_ID]], Accounts[ID], Accounts[Account nickname], "Unknown")</f>
        <v>Discover</v>
      </c>
      <c r="H1491" s="134" t="str">
        <f>_xlfn.XLOOKUP(Table1[[#This Row],[Account_ID]], Accounts[ID], Accounts[Account'#], "Unknown")</f>
        <v>4618</v>
      </c>
      <c r="I1491" s="135" t="str">
        <f>_xlfn.XLOOKUP(_xlfn.XLOOKUP(Table1[[#This Row],[Account]],Accounts[Account nickname],Accounts[Institution ID]),Institutions[ID],Institutions[Institution nickname],"Unknown")</f>
        <v>Discover</v>
      </c>
      <c r="J1491" s="136" t="s">
        <v>2823</v>
      </c>
      <c r="K1491" s="137" t="s">
        <v>843</v>
      </c>
      <c r="L1491" s="137" t="s">
        <v>841</v>
      </c>
      <c r="M149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9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91" s="138" t="str" cm="1">
        <f t="array" ref="O1491">IFERROR(INDEX(CategoriesTable[Category type],MATCH(Table1[[#This Row],[Category]],CategoriesTable[Category name],0),0),"")</f>
        <v/>
      </c>
      <c r="P1491" s="138">
        <v>20</v>
      </c>
      <c r="Q1491" s="138">
        <f>MONTH(Table1[[#This Row],[Date]])</f>
        <v>11</v>
      </c>
      <c r="R1491" s="138">
        <v>2020</v>
      </c>
      <c r="S1491" s="139">
        <f>IF(ISBLANK(Table1[[#This Row],[Date]]),"",Table1[[#This Row],[Date]]-WEEKDAY(Table1[[#This Row],[Date]],2)+1)</f>
        <v>44151</v>
      </c>
      <c r="T1491" s="140">
        <f>IF(ISBLANK(Table1[[#This Row],[Date]]),"",DATE(Table1[[#This Row],[Date_Year]],Table1[[#This Row],[Date_Month]],1))</f>
        <v>44136</v>
      </c>
    </row>
    <row r="1492" spans="2:20" ht="15.75">
      <c r="B1492" s="154">
        <v>44155</v>
      </c>
      <c r="C1492" s="119" t="s">
        <v>751</v>
      </c>
      <c r="D1492" s="119"/>
      <c r="E1492" s="119"/>
      <c r="F1492" s="155">
        <v>2263.65</v>
      </c>
      <c r="G1492" s="133" t="str">
        <f>_xlfn.XLOOKUP(Table1[[#This Row],[Account_ID]], Accounts[ID], Accounts[Account nickname], "Unknown")</f>
        <v>WF</v>
      </c>
      <c r="H1492" s="134" t="str">
        <f>_xlfn.XLOOKUP(Table1[[#This Row],[Account_ID]], Accounts[ID], Accounts[Account'#], "Unknown")</f>
        <v>4636</v>
      </c>
      <c r="I1492" s="135" t="str">
        <f>_xlfn.XLOOKUP(_xlfn.XLOOKUP(Table1[[#This Row],[Account]],Accounts[Account nickname],Accounts[Institution ID]),Institutions[ID],Institutions[Institution nickname],"Unknown")</f>
        <v>Wells Fargo</v>
      </c>
      <c r="J1492" s="136" t="s">
        <v>1248</v>
      </c>
      <c r="K1492" s="137" t="s">
        <v>808</v>
      </c>
      <c r="L1492" s="137" t="s">
        <v>807</v>
      </c>
      <c r="M149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9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92" s="138" t="str" cm="1">
        <f t="array" ref="O1492">IFERROR(INDEX(CategoriesTable[Category type],MATCH(Table1[[#This Row],[Category]],CategoriesTable[Category name],0),0),"")</f>
        <v/>
      </c>
      <c r="P1492" s="138">
        <v>20</v>
      </c>
      <c r="Q1492" s="138">
        <f>MONTH(Table1[[#This Row],[Date]])</f>
        <v>11</v>
      </c>
      <c r="R1492" s="138">
        <v>2020</v>
      </c>
      <c r="S1492" s="139">
        <f>IF(ISBLANK(Table1[[#This Row],[Date]]),"",Table1[[#This Row],[Date]]-WEEKDAY(Table1[[#This Row],[Date]],2)+1)</f>
        <v>44151</v>
      </c>
      <c r="T1492" s="140">
        <f>IF(ISBLANK(Table1[[#This Row],[Date]]),"",DATE(Table1[[#This Row],[Date_Year]],Table1[[#This Row],[Date_Month]],1))</f>
        <v>44136</v>
      </c>
    </row>
    <row r="1493" spans="2:20" ht="15.75">
      <c r="B1493" s="154">
        <v>44154</v>
      </c>
      <c r="C1493" s="119" t="s">
        <v>2666</v>
      </c>
      <c r="D1493" s="119"/>
      <c r="E1493" s="119"/>
      <c r="F1493" s="155">
        <v>-7.84</v>
      </c>
      <c r="G1493" s="133" t="str">
        <f>_xlfn.XLOOKUP(Table1[[#This Row],[Account_ID]], Accounts[ID], Accounts[Account nickname], "Unknown")</f>
        <v>Discover</v>
      </c>
      <c r="H1493" s="134" t="str">
        <f>_xlfn.XLOOKUP(Table1[[#This Row],[Account_ID]], Accounts[ID], Accounts[Account'#], "Unknown")</f>
        <v>4618</v>
      </c>
      <c r="I1493" s="135" t="str">
        <f>_xlfn.XLOOKUP(_xlfn.XLOOKUP(Table1[[#This Row],[Account]],Accounts[Account nickname],Accounts[Institution ID]),Institutions[ID],Institutions[Institution nickname],"Unknown")</f>
        <v>Discover</v>
      </c>
      <c r="J1493" s="136" t="s">
        <v>2824</v>
      </c>
      <c r="K1493" s="137" t="s">
        <v>843</v>
      </c>
      <c r="L1493" s="137" t="s">
        <v>841</v>
      </c>
      <c r="M149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9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93" s="138" t="str" cm="1">
        <f t="array" ref="O1493">IFERROR(INDEX(CategoriesTable[Category type],MATCH(Table1[[#This Row],[Category]],CategoriesTable[Category name],0),0),"")</f>
        <v/>
      </c>
      <c r="P1493" s="138">
        <v>19</v>
      </c>
      <c r="Q1493" s="138">
        <f>MONTH(Table1[[#This Row],[Date]])</f>
        <v>11</v>
      </c>
      <c r="R1493" s="138">
        <v>2020</v>
      </c>
      <c r="S1493" s="139">
        <f>IF(ISBLANK(Table1[[#This Row],[Date]]),"",Table1[[#This Row],[Date]]-WEEKDAY(Table1[[#This Row],[Date]],2)+1)</f>
        <v>44151</v>
      </c>
      <c r="T1493" s="140">
        <f>IF(ISBLANK(Table1[[#This Row],[Date]]),"",DATE(Table1[[#This Row],[Date_Year]],Table1[[#This Row],[Date_Month]],1))</f>
        <v>44136</v>
      </c>
    </row>
    <row r="1494" spans="2:20" ht="15.75">
      <c r="B1494" s="154">
        <v>44154</v>
      </c>
      <c r="C1494" s="119" t="s">
        <v>1611</v>
      </c>
      <c r="D1494" s="119"/>
      <c r="E1494" s="119"/>
      <c r="F1494" s="155">
        <v>-16.489999999999998</v>
      </c>
      <c r="G1494" s="133" t="str">
        <f>_xlfn.XLOOKUP(Table1[[#This Row],[Account_ID]], Accounts[ID], Accounts[Account nickname], "Unknown")</f>
        <v>Discover</v>
      </c>
      <c r="H1494" s="134" t="str">
        <f>_xlfn.XLOOKUP(Table1[[#This Row],[Account_ID]], Accounts[ID], Accounts[Account'#], "Unknown")</f>
        <v>4618</v>
      </c>
      <c r="I1494" s="135" t="str">
        <f>_xlfn.XLOOKUP(_xlfn.XLOOKUP(Table1[[#This Row],[Account]],Accounts[Account nickname],Accounts[Institution ID]),Institutions[ID],Institutions[Institution nickname],"Unknown")</f>
        <v>Discover</v>
      </c>
      <c r="J1494" s="136" t="s">
        <v>2825</v>
      </c>
      <c r="K1494" s="137" t="s">
        <v>843</v>
      </c>
      <c r="L1494" s="137" t="s">
        <v>841</v>
      </c>
      <c r="M149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9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94" s="138" t="str" cm="1">
        <f t="array" ref="O1494">IFERROR(INDEX(CategoriesTable[Category type],MATCH(Table1[[#This Row],[Category]],CategoriesTable[Category name],0),0),"")</f>
        <v/>
      </c>
      <c r="P1494" s="138">
        <v>19</v>
      </c>
      <c r="Q1494" s="138">
        <f>MONTH(Table1[[#This Row],[Date]])</f>
        <v>11</v>
      </c>
      <c r="R1494" s="138">
        <v>2020</v>
      </c>
      <c r="S1494" s="139">
        <f>IF(ISBLANK(Table1[[#This Row],[Date]]),"",Table1[[#This Row],[Date]]-WEEKDAY(Table1[[#This Row],[Date]],2)+1)</f>
        <v>44151</v>
      </c>
      <c r="T1494" s="140">
        <f>IF(ISBLANK(Table1[[#This Row],[Date]]),"",DATE(Table1[[#This Row],[Date_Year]],Table1[[#This Row],[Date_Month]],1))</f>
        <v>44136</v>
      </c>
    </row>
    <row r="1495" spans="2:20" ht="15.75">
      <c r="B1495" s="154">
        <v>44151</v>
      </c>
      <c r="C1495" s="119" t="s">
        <v>676</v>
      </c>
      <c r="D1495" s="119"/>
      <c r="E1495" s="119"/>
      <c r="F1495" s="155">
        <v>78.8</v>
      </c>
      <c r="G1495" s="133" t="str">
        <f>_xlfn.XLOOKUP(Table1[[#This Row],[Account_ID]], Accounts[ID], Accounts[Account nickname], "Unknown")</f>
        <v>WF</v>
      </c>
      <c r="H1495" s="134" t="str">
        <f>_xlfn.XLOOKUP(Table1[[#This Row],[Account_ID]], Accounts[ID], Accounts[Account'#], "Unknown")</f>
        <v>4636</v>
      </c>
      <c r="I1495" s="135" t="str">
        <f>_xlfn.XLOOKUP(_xlfn.XLOOKUP(Table1[[#This Row],[Account]],Accounts[Account nickname],Accounts[Institution ID]),Institutions[ID],Institutions[Institution nickname],"Unknown")</f>
        <v>Wells Fargo</v>
      </c>
      <c r="J1495" s="136" t="s">
        <v>1250</v>
      </c>
      <c r="K1495" s="137" t="s">
        <v>808</v>
      </c>
      <c r="L1495" s="137" t="s">
        <v>807</v>
      </c>
      <c r="M149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9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95" s="138" t="str" cm="1">
        <f t="array" ref="O1495">IFERROR(INDEX(CategoriesTable[Category type],MATCH(Table1[[#This Row],[Category]],CategoriesTable[Category name],0),0),"")</f>
        <v/>
      </c>
      <c r="P1495" s="138">
        <v>16</v>
      </c>
      <c r="Q1495" s="138">
        <f>MONTH(Table1[[#This Row],[Date]])</f>
        <v>11</v>
      </c>
      <c r="R1495" s="138">
        <v>2020</v>
      </c>
      <c r="S1495" s="139">
        <f>IF(ISBLANK(Table1[[#This Row],[Date]]),"",Table1[[#This Row],[Date]]-WEEKDAY(Table1[[#This Row],[Date]],2)+1)</f>
        <v>44151</v>
      </c>
      <c r="T1495" s="140">
        <f>IF(ISBLANK(Table1[[#This Row],[Date]]),"",DATE(Table1[[#This Row],[Date_Year]],Table1[[#This Row],[Date_Month]],1))</f>
        <v>44136</v>
      </c>
    </row>
    <row r="1496" spans="2:20" ht="15.75">
      <c r="B1496" s="154">
        <v>44151</v>
      </c>
      <c r="C1496" s="119" t="s">
        <v>678</v>
      </c>
      <c r="D1496" s="119"/>
      <c r="E1496" s="119"/>
      <c r="F1496" s="155">
        <v>-153.35</v>
      </c>
      <c r="G1496" s="133" t="str">
        <f>_xlfn.XLOOKUP(Table1[[#This Row],[Account_ID]], Accounts[ID], Accounts[Account nickname], "Unknown")</f>
        <v>WF</v>
      </c>
      <c r="H1496" s="134" t="str">
        <f>_xlfn.XLOOKUP(Table1[[#This Row],[Account_ID]], Accounts[ID], Accounts[Account'#], "Unknown")</f>
        <v>4636</v>
      </c>
      <c r="I1496" s="135" t="str">
        <f>_xlfn.XLOOKUP(_xlfn.XLOOKUP(Table1[[#This Row],[Account]],Accounts[Account nickname],Accounts[Institution ID]),Institutions[ID],Institutions[Institution nickname],"Unknown")</f>
        <v>Wells Fargo</v>
      </c>
      <c r="J1496" s="136" t="s">
        <v>1252</v>
      </c>
      <c r="K1496" s="137" t="s">
        <v>808</v>
      </c>
      <c r="L1496" s="137" t="s">
        <v>807</v>
      </c>
      <c r="M149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9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96" s="138" t="str" cm="1">
        <f t="array" ref="O1496">IFERROR(INDEX(CategoriesTable[Category type],MATCH(Table1[[#This Row],[Category]],CategoriesTable[Category name],0),0),"")</f>
        <v/>
      </c>
      <c r="P1496" s="138">
        <v>16</v>
      </c>
      <c r="Q1496" s="138">
        <f>MONTH(Table1[[#This Row],[Date]])</f>
        <v>11</v>
      </c>
      <c r="R1496" s="138">
        <v>2020</v>
      </c>
      <c r="S1496" s="139">
        <f>IF(ISBLANK(Table1[[#This Row],[Date]]),"",Table1[[#This Row],[Date]]-WEEKDAY(Table1[[#This Row],[Date]],2)+1)</f>
        <v>44151</v>
      </c>
      <c r="T1496" s="140">
        <f>IF(ISBLANK(Table1[[#This Row],[Date]]),"",DATE(Table1[[#This Row],[Date_Year]],Table1[[#This Row],[Date_Month]],1))</f>
        <v>44136</v>
      </c>
    </row>
    <row r="1497" spans="2:20" ht="15.75">
      <c r="B1497" s="154">
        <v>44151</v>
      </c>
      <c r="C1497" s="119" t="s">
        <v>676</v>
      </c>
      <c r="D1497" s="119"/>
      <c r="E1497" s="119"/>
      <c r="F1497" s="155">
        <v>78.8</v>
      </c>
      <c r="G1497" s="133" t="str">
        <f>_xlfn.XLOOKUP(Table1[[#This Row],[Account_ID]], Accounts[ID], Accounts[Account nickname], "Unknown")</f>
        <v>WF</v>
      </c>
      <c r="H1497" s="134" t="str">
        <f>_xlfn.XLOOKUP(Table1[[#This Row],[Account_ID]], Accounts[ID], Accounts[Account'#], "Unknown")</f>
        <v>4636</v>
      </c>
      <c r="I1497" s="135" t="str">
        <f>_xlfn.XLOOKUP(_xlfn.XLOOKUP(Table1[[#This Row],[Account]],Accounts[Account nickname],Accounts[Institution ID]),Institutions[ID],Institutions[Institution nickname],"Unknown")</f>
        <v>Wells Fargo</v>
      </c>
      <c r="J1497" s="136" t="s">
        <v>1251</v>
      </c>
      <c r="K1497" s="137" t="s">
        <v>808</v>
      </c>
      <c r="L1497" s="137" t="s">
        <v>807</v>
      </c>
      <c r="M149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9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97" s="138" t="str" cm="1">
        <f t="array" ref="O1497">IFERROR(INDEX(CategoriesTable[Category type],MATCH(Table1[[#This Row],[Category]],CategoriesTable[Category name],0),0),"")</f>
        <v/>
      </c>
      <c r="P1497" s="138">
        <v>16</v>
      </c>
      <c r="Q1497" s="138">
        <f>MONTH(Table1[[#This Row],[Date]])</f>
        <v>11</v>
      </c>
      <c r="R1497" s="138">
        <v>2020</v>
      </c>
      <c r="S1497" s="139">
        <f>IF(ISBLANK(Table1[[#This Row],[Date]]),"",Table1[[#This Row],[Date]]-WEEKDAY(Table1[[#This Row],[Date]],2)+1)</f>
        <v>44151</v>
      </c>
      <c r="T1497" s="140">
        <f>IF(ISBLANK(Table1[[#This Row],[Date]]),"",DATE(Table1[[#This Row],[Date_Year]],Table1[[#This Row],[Date_Month]],1))</f>
        <v>44136</v>
      </c>
    </row>
    <row r="1498" spans="2:20" ht="15.75">
      <c r="B1498" s="154">
        <v>44151</v>
      </c>
      <c r="C1498" s="119" t="s">
        <v>734</v>
      </c>
      <c r="D1498" s="119"/>
      <c r="E1498" s="119"/>
      <c r="F1498" s="155">
        <v>-82.4</v>
      </c>
      <c r="G1498" s="133" t="str">
        <f>_xlfn.XLOOKUP(Table1[[#This Row],[Account_ID]], Accounts[ID], Accounts[Account nickname], "Unknown")</f>
        <v>Discover</v>
      </c>
      <c r="H1498" s="134" t="str">
        <f>_xlfn.XLOOKUP(Table1[[#This Row],[Account_ID]], Accounts[ID], Accounts[Account'#], "Unknown")</f>
        <v>4618</v>
      </c>
      <c r="I1498" s="135" t="str">
        <f>_xlfn.XLOOKUP(_xlfn.XLOOKUP(Table1[[#This Row],[Account]],Accounts[Account nickname],Accounts[Institution ID]),Institutions[ID],Institutions[Institution nickname],"Unknown")</f>
        <v>Discover</v>
      </c>
      <c r="J1498" s="136" t="s">
        <v>2826</v>
      </c>
      <c r="K1498" s="137" t="s">
        <v>843</v>
      </c>
      <c r="L1498" s="137" t="s">
        <v>841</v>
      </c>
      <c r="M149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9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98" s="138" t="str" cm="1">
        <f t="array" ref="O1498">IFERROR(INDEX(CategoriesTable[Category type],MATCH(Table1[[#This Row],[Category]],CategoriesTable[Category name],0),0),"")</f>
        <v/>
      </c>
      <c r="P1498" s="138">
        <v>16</v>
      </c>
      <c r="Q1498" s="138">
        <f>MONTH(Table1[[#This Row],[Date]])</f>
        <v>11</v>
      </c>
      <c r="R1498" s="138">
        <v>2020</v>
      </c>
      <c r="S1498" s="139">
        <f>IF(ISBLANK(Table1[[#This Row],[Date]]),"",Table1[[#This Row],[Date]]-WEEKDAY(Table1[[#This Row],[Date]],2)+1)</f>
        <v>44151</v>
      </c>
      <c r="T1498" s="140">
        <f>IF(ISBLANK(Table1[[#This Row],[Date]]),"",DATE(Table1[[#This Row],[Date_Year]],Table1[[#This Row],[Date_Month]],1))</f>
        <v>44136</v>
      </c>
    </row>
    <row r="1499" spans="2:20" ht="15.75">
      <c r="B1499" s="154">
        <v>44151</v>
      </c>
      <c r="C1499" s="119" t="s">
        <v>2366</v>
      </c>
      <c r="D1499" s="119"/>
      <c r="E1499" s="119"/>
      <c r="F1499" s="155">
        <v>-10</v>
      </c>
      <c r="G1499" s="133" t="str">
        <f>_xlfn.XLOOKUP(Table1[[#This Row],[Account_ID]], Accounts[ID], Accounts[Account nickname], "Unknown")</f>
        <v>Discover</v>
      </c>
      <c r="H1499" s="134" t="str">
        <f>_xlfn.XLOOKUP(Table1[[#This Row],[Account_ID]], Accounts[ID], Accounts[Account'#], "Unknown")</f>
        <v>4618</v>
      </c>
      <c r="I1499" s="135" t="str">
        <f>_xlfn.XLOOKUP(_xlfn.XLOOKUP(Table1[[#This Row],[Account]],Accounts[Account nickname],Accounts[Institution ID]),Institutions[ID],Institutions[Institution nickname],"Unknown")</f>
        <v>Discover</v>
      </c>
      <c r="J1499" s="136" t="s">
        <v>2827</v>
      </c>
      <c r="K1499" s="137" t="s">
        <v>843</v>
      </c>
      <c r="L1499" s="137" t="s">
        <v>841</v>
      </c>
      <c r="M149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49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499" s="138" t="str" cm="1">
        <f t="array" ref="O1499">IFERROR(INDEX(CategoriesTable[Category type],MATCH(Table1[[#This Row],[Category]],CategoriesTable[Category name],0),0),"")</f>
        <v/>
      </c>
      <c r="P1499" s="138">
        <v>16</v>
      </c>
      <c r="Q1499" s="138">
        <f>MONTH(Table1[[#This Row],[Date]])</f>
        <v>11</v>
      </c>
      <c r="R1499" s="138">
        <v>2020</v>
      </c>
      <c r="S1499" s="139">
        <f>IF(ISBLANK(Table1[[#This Row],[Date]]),"",Table1[[#This Row],[Date]]-WEEKDAY(Table1[[#This Row],[Date]],2)+1)</f>
        <v>44151</v>
      </c>
      <c r="T1499" s="140">
        <f>IF(ISBLANK(Table1[[#This Row],[Date]]),"",DATE(Table1[[#This Row],[Date_Year]],Table1[[#This Row],[Date_Month]],1))</f>
        <v>44136</v>
      </c>
    </row>
    <row r="1500" spans="2:20" ht="15.75">
      <c r="B1500" s="154">
        <v>44151</v>
      </c>
      <c r="C1500" s="119" t="s">
        <v>707</v>
      </c>
      <c r="D1500" s="119"/>
      <c r="E1500" s="119"/>
      <c r="F1500" s="155">
        <v>-14.99</v>
      </c>
      <c r="G1500" s="133" t="str">
        <f>_xlfn.XLOOKUP(Table1[[#This Row],[Account_ID]], Accounts[ID], Accounts[Account nickname], "Unknown")</f>
        <v>Discover</v>
      </c>
      <c r="H1500" s="134" t="str">
        <f>_xlfn.XLOOKUP(Table1[[#This Row],[Account_ID]], Accounts[ID], Accounts[Account'#], "Unknown")</f>
        <v>4618</v>
      </c>
      <c r="I1500" s="135" t="str">
        <f>_xlfn.XLOOKUP(_xlfn.XLOOKUP(Table1[[#This Row],[Account]],Accounts[Account nickname],Accounts[Institution ID]),Institutions[ID],Institutions[Institution nickname],"Unknown")</f>
        <v>Discover</v>
      </c>
      <c r="J1500" s="136" t="s">
        <v>2828</v>
      </c>
      <c r="K1500" s="137" t="s">
        <v>843</v>
      </c>
      <c r="L1500" s="137" t="s">
        <v>841</v>
      </c>
      <c r="M150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0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00" s="138" t="str" cm="1">
        <f t="array" ref="O1500">IFERROR(INDEX(CategoriesTable[Category type],MATCH(Table1[[#This Row],[Category]],CategoriesTable[Category name],0),0),"")</f>
        <v/>
      </c>
      <c r="P1500" s="138">
        <v>16</v>
      </c>
      <c r="Q1500" s="138">
        <f>MONTH(Table1[[#This Row],[Date]])</f>
        <v>11</v>
      </c>
      <c r="R1500" s="138">
        <v>2020</v>
      </c>
      <c r="S1500" s="139">
        <f>IF(ISBLANK(Table1[[#This Row],[Date]]),"",Table1[[#This Row],[Date]]-WEEKDAY(Table1[[#This Row],[Date]],2)+1)</f>
        <v>44151</v>
      </c>
      <c r="T1500" s="140">
        <f>IF(ISBLANK(Table1[[#This Row],[Date]]),"",DATE(Table1[[#This Row],[Date_Year]],Table1[[#This Row],[Date_Month]],1))</f>
        <v>44136</v>
      </c>
    </row>
    <row r="1501" spans="2:20" ht="15.75">
      <c r="B1501" s="154">
        <v>44150</v>
      </c>
      <c r="C1501" s="119" t="s">
        <v>2590</v>
      </c>
      <c r="D1501" s="119"/>
      <c r="E1501" s="119"/>
      <c r="F1501" s="155">
        <v>-21.15</v>
      </c>
      <c r="G1501" s="133" t="str">
        <f>_xlfn.XLOOKUP(Table1[[#This Row],[Account_ID]], Accounts[ID], Accounts[Account nickname], "Unknown")</f>
        <v>Discover</v>
      </c>
      <c r="H1501" s="134" t="str">
        <f>_xlfn.XLOOKUP(Table1[[#This Row],[Account_ID]], Accounts[ID], Accounts[Account'#], "Unknown")</f>
        <v>4618</v>
      </c>
      <c r="I1501" s="135" t="str">
        <f>_xlfn.XLOOKUP(_xlfn.XLOOKUP(Table1[[#This Row],[Account]],Accounts[Account nickname],Accounts[Institution ID]),Institutions[ID],Institutions[Institution nickname],"Unknown")</f>
        <v>Discover</v>
      </c>
      <c r="J1501" s="136" t="s">
        <v>2832</v>
      </c>
      <c r="K1501" s="137" t="s">
        <v>843</v>
      </c>
      <c r="L1501" s="137" t="s">
        <v>841</v>
      </c>
      <c r="M150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0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01" s="138" t="str" cm="1">
        <f t="array" ref="O1501">IFERROR(INDEX(CategoriesTable[Category type],MATCH(Table1[[#This Row],[Category]],CategoriesTable[Category name],0),0),"")</f>
        <v/>
      </c>
      <c r="P1501" s="138">
        <v>15</v>
      </c>
      <c r="Q1501" s="138">
        <f>MONTH(Table1[[#This Row],[Date]])</f>
        <v>11</v>
      </c>
      <c r="R1501" s="138">
        <v>2020</v>
      </c>
      <c r="S1501" s="139">
        <f>IF(ISBLANK(Table1[[#This Row],[Date]]),"",Table1[[#This Row],[Date]]-WEEKDAY(Table1[[#This Row],[Date]],2)+1)</f>
        <v>44144</v>
      </c>
      <c r="T1501" s="140">
        <f>IF(ISBLANK(Table1[[#This Row],[Date]]),"",DATE(Table1[[#This Row],[Date_Year]],Table1[[#This Row],[Date_Month]],1))</f>
        <v>44136</v>
      </c>
    </row>
    <row r="1502" spans="2:20" ht="15.75">
      <c r="B1502" s="154">
        <v>44150</v>
      </c>
      <c r="C1502" s="119" t="s">
        <v>724</v>
      </c>
      <c r="D1502" s="119"/>
      <c r="E1502" s="119"/>
      <c r="F1502" s="155">
        <v>-14.48</v>
      </c>
      <c r="G1502" s="133" t="str">
        <f>_xlfn.XLOOKUP(Table1[[#This Row],[Account_ID]], Accounts[ID], Accounts[Account nickname], "Unknown")</f>
        <v>Discover</v>
      </c>
      <c r="H1502" s="134" t="str">
        <f>_xlfn.XLOOKUP(Table1[[#This Row],[Account_ID]], Accounts[ID], Accounts[Account'#], "Unknown")</f>
        <v>4618</v>
      </c>
      <c r="I1502" s="135" t="str">
        <f>_xlfn.XLOOKUP(_xlfn.XLOOKUP(Table1[[#This Row],[Account]],Accounts[Account nickname],Accounts[Institution ID]),Institutions[ID],Institutions[Institution nickname],"Unknown")</f>
        <v>Discover</v>
      </c>
      <c r="J1502" s="136" t="s">
        <v>2834</v>
      </c>
      <c r="K1502" s="137" t="s">
        <v>843</v>
      </c>
      <c r="L1502" s="137" t="s">
        <v>841</v>
      </c>
      <c r="M150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0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02" s="138" t="str" cm="1">
        <f t="array" ref="O1502">IFERROR(INDEX(CategoriesTable[Category type],MATCH(Table1[[#This Row],[Category]],CategoriesTable[Category name],0),0),"")</f>
        <v/>
      </c>
      <c r="P1502" s="138">
        <v>15</v>
      </c>
      <c r="Q1502" s="138">
        <f>MONTH(Table1[[#This Row],[Date]])</f>
        <v>11</v>
      </c>
      <c r="R1502" s="138">
        <v>2020</v>
      </c>
      <c r="S1502" s="139">
        <f>IF(ISBLANK(Table1[[#This Row],[Date]]),"",Table1[[#This Row],[Date]]-WEEKDAY(Table1[[#This Row],[Date]],2)+1)</f>
        <v>44144</v>
      </c>
      <c r="T1502" s="140">
        <f>IF(ISBLANK(Table1[[#This Row],[Date]]),"",DATE(Table1[[#This Row],[Date_Year]],Table1[[#This Row],[Date_Month]],1))</f>
        <v>44136</v>
      </c>
    </row>
    <row r="1503" spans="2:20" ht="15.75">
      <c r="B1503" s="154">
        <v>44150</v>
      </c>
      <c r="C1503" s="119" t="s">
        <v>724</v>
      </c>
      <c r="D1503" s="119"/>
      <c r="E1503" s="119"/>
      <c r="F1503" s="155">
        <v>-8.42</v>
      </c>
      <c r="G1503" s="133" t="str">
        <f>_xlfn.XLOOKUP(Table1[[#This Row],[Account_ID]], Accounts[ID], Accounts[Account nickname], "Unknown")</f>
        <v>Discover</v>
      </c>
      <c r="H1503" s="134" t="str">
        <f>_xlfn.XLOOKUP(Table1[[#This Row],[Account_ID]], Accounts[ID], Accounts[Account'#], "Unknown")</f>
        <v>4618</v>
      </c>
      <c r="I1503" s="135" t="str">
        <f>_xlfn.XLOOKUP(_xlfn.XLOOKUP(Table1[[#This Row],[Account]],Accounts[Account nickname],Accounts[Institution ID]),Institutions[ID],Institutions[Institution nickname],"Unknown")</f>
        <v>Discover</v>
      </c>
      <c r="J1503" s="136" t="s">
        <v>2833</v>
      </c>
      <c r="K1503" s="137" t="s">
        <v>843</v>
      </c>
      <c r="L1503" s="137" t="s">
        <v>841</v>
      </c>
      <c r="M150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0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03" s="138" t="str" cm="1">
        <f t="array" ref="O1503">IFERROR(INDEX(CategoriesTable[Category type],MATCH(Table1[[#This Row],[Category]],CategoriesTable[Category name],0),0),"")</f>
        <v/>
      </c>
      <c r="P1503" s="138">
        <v>15</v>
      </c>
      <c r="Q1503" s="138">
        <f>MONTH(Table1[[#This Row],[Date]])</f>
        <v>11</v>
      </c>
      <c r="R1503" s="138">
        <v>2020</v>
      </c>
      <c r="S1503" s="139">
        <f>IF(ISBLANK(Table1[[#This Row],[Date]]),"",Table1[[#This Row],[Date]]-WEEKDAY(Table1[[#This Row],[Date]],2)+1)</f>
        <v>44144</v>
      </c>
      <c r="T1503" s="140">
        <f>IF(ISBLANK(Table1[[#This Row],[Date]]),"",DATE(Table1[[#This Row],[Date_Year]],Table1[[#This Row],[Date_Month]],1))</f>
        <v>44136</v>
      </c>
    </row>
    <row r="1504" spans="2:20" ht="15.75">
      <c r="B1504" s="154">
        <v>44150</v>
      </c>
      <c r="C1504" s="119" t="s">
        <v>1479</v>
      </c>
      <c r="D1504" s="119"/>
      <c r="E1504" s="119"/>
      <c r="F1504" s="155">
        <v>659.67</v>
      </c>
      <c r="G1504" s="133" t="str">
        <f>_xlfn.XLOOKUP(Table1[[#This Row],[Account_ID]], Accounts[ID], Accounts[Account nickname], "Unknown")</f>
        <v>Discover</v>
      </c>
      <c r="H1504" s="134" t="str">
        <f>_xlfn.XLOOKUP(Table1[[#This Row],[Account_ID]], Accounts[ID], Accounts[Account'#], "Unknown")</f>
        <v>4618</v>
      </c>
      <c r="I1504" s="135" t="str">
        <f>_xlfn.XLOOKUP(_xlfn.XLOOKUP(Table1[[#This Row],[Account]],Accounts[Account nickname],Accounts[Institution ID]),Institutions[ID],Institutions[Institution nickname],"Unknown")</f>
        <v>Discover</v>
      </c>
      <c r="J1504" s="136" t="s">
        <v>2829</v>
      </c>
      <c r="K1504" s="137" t="s">
        <v>843</v>
      </c>
      <c r="L1504" s="137" t="s">
        <v>841</v>
      </c>
      <c r="M150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0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04" s="138" t="str" cm="1">
        <f t="array" ref="O1504">IFERROR(INDEX(CategoriesTable[Category type],MATCH(Table1[[#This Row],[Category]],CategoriesTable[Category name],0),0),"")</f>
        <v/>
      </c>
      <c r="P1504" s="138">
        <v>15</v>
      </c>
      <c r="Q1504" s="138">
        <f>MONTH(Table1[[#This Row],[Date]])</f>
        <v>11</v>
      </c>
      <c r="R1504" s="138">
        <v>2020</v>
      </c>
      <c r="S1504" s="139">
        <f>IF(ISBLANK(Table1[[#This Row],[Date]]),"",Table1[[#This Row],[Date]]-WEEKDAY(Table1[[#This Row],[Date]],2)+1)</f>
        <v>44144</v>
      </c>
      <c r="T1504" s="140">
        <f>IF(ISBLANK(Table1[[#This Row],[Date]]),"",DATE(Table1[[#This Row],[Date_Year]],Table1[[#This Row],[Date_Month]],1))</f>
        <v>44136</v>
      </c>
    </row>
    <row r="1505" spans="2:20" ht="15.75">
      <c r="B1505" s="154">
        <v>44150</v>
      </c>
      <c r="C1505" s="119" t="s">
        <v>2830</v>
      </c>
      <c r="D1505" s="119"/>
      <c r="E1505" s="119"/>
      <c r="F1505" s="155">
        <v>-4.75</v>
      </c>
      <c r="G1505" s="133" t="str">
        <f>_xlfn.XLOOKUP(Table1[[#This Row],[Account_ID]], Accounts[ID], Accounts[Account nickname], "Unknown")</f>
        <v>Discover</v>
      </c>
      <c r="H1505" s="134" t="str">
        <f>_xlfn.XLOOKUP(Table1[[#This Row],[Account_ID]], Accounts[ID], Accounts[Account'#], "Unknown")</f>
        <v>4618</v>
      </c>
      <c r="I1505" s="135" t="str">
        <f>_xlfn.XLOOKUP(_xlfn.XLOOKUP(Table1[[#This Row],[Account]],Accounts[Account nickname],Accounts[Institution ID]),Institutions[ID],Institutions[Institution nickname],"Unknown")</f>
        <v>Discover</v>
      </c>
      <c r="J1505" s="136" t="s">
        <v>2831</v>
      </c>
      <c r="K1505" s="137" t="s">
        <v>843</v>
      </c>
      <c r="L1505" s="137" t="s">
        <v>841</v>
      </c>
      <c r="M150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0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05" s="138" t="str" cm="1">
        <f t="array" ref="O1505">IFERROR(INDEX(CategoriesTable[Category type],MATCH(Table1[[#This Row],[Category]],CategoriesTable[Category name],0),0),"")</f>
        <v/>
      </c>
      <c r="P1505" s="138">
        <v>15</v>
      </c>
      <c r="Q1505" s="138">
        <f>MONTH(Table1[[#This Row],[Date]])</f>
        <v>11</v>
      </c>
      <c r="R1505" s="138">
        <v>2020</v>
      </c>
      <c r="S1505" s="139">
        <f>IF(ISBLANK(Table1[[#This Row],[Date]]),"",Table1[[#This Row],[Date]]-WEEKDAY(Table1[[#This Row],[Date]],2)+1)</f>
        <v>44144</v>
      </c>
      <c r="T1505" s="140">
        <f>IF(ISBLANK(Table1[[#This Row],[Date]]),"",DATE(Table1[[#This Row],[Date_Year]],Table1[[#This Row],[Date_Month]],1))</f>
        <v>44136</v>
      </c>
    </row>
    <row r="1506" spans="2:20" ht="15.75">
      <c r="B1506" s="154">
        <v>44149</v>
      </c>
      <c r="C1506" s="119" t="s">
        <v>2666</v>
      </c>
      <c r="D1506" s="119"/>
      <c r="E1506" s="119"/>
      <c r="F1506" s="155">
        <v>-1.03</v>
      </c>
      <c r="G1506" s="133" t="str">
        <f>_xlfn.XLOOKUP(Table1[[#This Row],[Account_ID]], Accounts[ID], Accounts[Account nickname], "Unknown")</f>
        <v>Discover</v>
      </c>
      <c r="H1506" s="134" t="str">
        <f>_xlfn.XLOOKUP(Table1[[#This Row],[Account_ID]], Accounts[ID], Accounts[Account'#], "Unknown")</f>
        <v>4618</v>
      </c>
      <c r="I1506" s="135" t="str">
        <f>_xlfn.XLOOKUP(_xlfn.XLOOKUP(Table1[[#This Row],[Account]],Accounts[Account nickname],Accounts[Institution ID]),Institutions[ID],Institutions[Institution nickname],"Unknown")</f>
        <v>Discover</v>
      </c>
      <c r="J1506" s="136" t="s">
        <v>2837</v>
      </c>
      <c r="K1506" s="137" t="s">
        <v>843</v>
      </c>
      <c r="L1506" s="137" t="s">
        <v>841</v>
      </c>
      <c r="M150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0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06" s="138" t="str" cm="1">
        <f t="array" ref="O1506">IFERROR(INDEX(CategoriesTable[Category type],MATCH(Table1[[#This Row],[Category]],CategoriesTable[Category name],0),0),"")</f>
        <v/>
      </c>
      <c r="P1506" s="138">
        <v>14</v>
      </c>
      <c r="Q1506" s="138">
        <f>MONTH(Table1[[#This Row],[Date]])</f>
        <v>11</v>
      </c>
      <c r="R1506" s="138">
        <v>2020</v>
      </c>
      <c r="S1506" s="139">
        <f>IF(ISBLANK(Table1[[#This Row],[Date]]),"",Table1[[#This Row],[Date]]-WEEKDAY(Table1[[#This Row],[Date]],2)+1)</f>
        <v>44144</v>
      </c>
      <c r="T1506" s="140">
        <f>IF(ISBLANK(Table1[[#This Row],[Date]]),"",DATE(Table1[[#This Row],[Date_Year]],Table1[[#This Row],[Date_Month]],1))</f>
        <v>44136</v>
      </c>
    </row>
    <row r="1507" spans="2:20" ht="15.75">
      <c r="B1507" s="154">
        <v>44149</v>
      </c>
      <c r="C1507" s="119" t="s">
        <v>2771</v>
      </c>
      <c r="D1507" s="119"/>
      <c r="E1507" s="119"/>
      <c r="F1507" s="155">
        <v>-9.99</v>
      </c>
      <c r="G1507" s="133" t="str">
        <f>_xlfn.XLOOKUP(Table1[[#This Row],[Account_ID]], Accounts[ID], Accounts[Account nickname], "Unknown")</f>
        <v>Discover</v>
      </c>
      <c r="H1507" s="134" t="str">
        <f>_xlfn.XLOOKUP(Table1[[#This Row],[Account_ID]], Accounts[ID], Accounts[Account'#], "Unknown")</f>
        <v>4618</v>
      </c>
      <c r="I1507" s="135" t="str">
        <f>_xlfn.XLOOKUP(_xlfn.XLOOKUP(Table1[[#This Row],[Account]],Accounts[Account nickname],Accounts[Institution ID]),Institutions[ID],Institutions[Institution nickname],"Unknown")</f>
        <v>Discover</v>
      </c>
      <c r="J1507" s="136" t="s">
        <v>2836</v>
      </c>
      <c r="K1507" s="137" t="s">
        <v>843</v>
      </c>
      <c r="L1507" s="137" t="s">
        <v>841</v>
      </c>
      <c r="M150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0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07" s="138" t="str" cm="1">
        <f t="array" ref="O1507">IFERROR(INDEX(CategoriesTable[Category type],MATCH(Table1[[#This Row],[Category]],CategoriesTable[Category name],0),0),"")</f>
        <v/>
      </c>
      <c r="P1507" s="138">
        <v>14</v>
      </c>
      <c r="Q1507" s="138">
        <f>MONTH(Table1[[#This Row],[Date]])</f>
        <v>11</v>
      </c>
      <c r="R1507" s="138">
        <v>2020</v>
      </c>
      <c r="S1507" s="139">
        <f>IF(ISBLANK(Table1[[#This Row],[Date]]),"",Table1[[#This Row],[Date]]-WEEKDAY(Table1[[#This Row],[Date]],2)+1)</f>
        <v>44144</v>
      </c>
      <c r="T1507" s="140">
        <f>IF(ISBLANK(Table1[[#This Row],[Date]]),"",DATE(Table1[[#This Row],[Date_Year]],Table1[[#This Row],[Date_Month]],1))</f>
        <v>44136</v>
      </c>
    </row>
    <row r="1508" spans="2:20" ht="15.75">
      <c r="B1508" s="154">
        <v>44149</v>
      </c>
      <c r="C1508" s="119" t="s">
        <v>2674</v>
      </c>
      <c r="D1508" s="119"/>
      <c r="E1508" s="119"/>
      <c r="F1508" s="155">
        <v>-24.16</v>
      </c>
      <c r="G1508" s="133" t="str">
        <f>_xlfn.XLOOKUP(Table1[[#This Row],[Account_ID]], Accounts[ID], Accounts[Account nickname], "Unknown")</f>
        <v>Discover</v>
      </c>
      <c r="H1508" s="134" t="str">
        <f>_xlfn.XLOOKUP(Table1[[#This Row],[Account_ID]], Accounts[ID], Accounts[Account'#], "Unknown")</f>
        <v>4618</v>
      </c>
      <c r="I1508" s="135" t="str">
        <f>_xlfn.XLOOKUP(_xlfn.XLOOKUP(Table1[[#This Row],[Account]],Accounts[Account nickname],Accounts[Institution ID]),Institutions[ID],Institutions[Institution nickname],"Unknown")</f>
        <v>Discover</v>
      </c>
      <c r="J1508" s="136" t="s">
        <v>2838</v>
      </c>
      <c r="K1508" s="137" t="s">
        <v>843</v>
      </c>
      <c r="L1508" s="137" t="s">
        <v>841</v>
      </c>
      <c r="M150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0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08" s="138" t="str" cm="1">
        <f t="array" ref="O1508">IFERROR(INDEX(CategoriesTable[Category type],MATCH(Table1[[#This Row],[Category]],CategoriesTable[Category name],0),0),"")</f>
        <v/>
      </c>
      <c r="P1508" s="138">
        <v>14</v>
      </c>
      <c r="Q1508" s="138">
        <f>MONTH(Table1[[#This Row],[Date]])</f>
        <v>11</v>
      </c>
      <c r="R1508" s="138">
        <v>2020</v>
      </c>
      <c r="S1508" s="139">
        <f>IF(ISBLANK(Table1[[#This Row],[Date]]),"",Table1[[#This Row],[Date]]-WEEKDAY(Table1[[#This Row],[Date]],2)+1)</f>
        <v>44144</v>
      </c>
      <c r="T1508" s="140">
        <f>IF(ISBLANK(Table1[[#This Row],[Date]]),"",DATE(Table1[[#This Row],[Date_Year]],Table1[[#This Row],[Date_Month]],1))</f>
        <v>44136</v>
      </c>
    </row>
    <row r="1509" spans="2:20" ht="15.75">
      <c r="B1509" s="154">
        <v>44149</v>
      </c>
      <c r="C1509" s="119" t="s">
        <v>910</v>
      </c>
      <c r="D1509" s="119"/>
      <c r="E1509" s="119"/>
      <c r="F1509" s="155">
        <v>-14.99</v>
      </c>
      <c r="G1509" s="133" t="str">
        <f>_xlfn.XLOOKUP(Table1[[#This Row],[Account_ID]], Accounts[ID], Accounts[Account nickname], "Unknown")</f>
        <v>Discover</v>
      </c>
      <c r="H1509" s="134" t="str">
        <f>_xlfn.XLOOKUP(Table1[[#This Row],[Account_ID]], Accounts[ID], Accounts[Account'#], "Unknown")</f>
        <v>4618</v>
      </c>
      <c r="I1509" s="135" t="str">
        <f>_xlfn.XLOOKUP(_xlfn.XLOOKUP(Table1[[#This Row],[Account]],Accounts[Account nickname],Accounts[Institution ID]),Institutions[ID],Institutions[Institution nickname],"Unknown")</f>
        <v>Discover</v>
      </c>
      <c r="J1509" s="136" t="s">
        <v>2835</v>
      </c>
      <c r="K1509" s="137" t="s">
        <v>843</v>
      </c>
      <c r="L1509" s="137" t="s">
        <v>841</v>
      </c>
      <c r="M150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0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09" s="138" t="str" cm="1">
        <f t="array" ref="O1509">IFERROR(INDEX(CategoriesTable[Category type],MATCH(Table1[[#This Row],[Category]],CategoriesTable[Category name],0),0),"")</f>
        <v/>
      </c>
      <c r="P1509" s="138">
        <v>14</v>
      </c>
      <c r="Q1509" s="138">
        <f>MONTH(Table1[[#This Row],[Date]])</f>
        <v>11</v>
      </c>
      <c r="R1509" s="138">
        <v>2020</v>
      </c>
      <c r="S1509" s="139">
        <f>IF(ISBLANK(Table1[[#This Row],[Date]]),"",Table1[[#This Row],[Date]]-WEEKDAY(Table1[[#This Row],[Date]],2)+1)</f>
        <v>44144</v>
      </c>
      <c r="T1509" s="140">
        <f>IF(ISBLANK(Table1[[#This Row],[Date]]),"",DATE(Table1[[#This Row],[Date_Year]],Table1[[#This Row],[Date_Month]],1))</f>
        <v>44136</v>
      </c>
    </row>
    <row r="1510" spans="2:20" ht="15.75">
      <c r="B1510" s="154">
        <v>44148</v>
      </c>
      <c r="C1510" s="119" t="s">
        <v>678</v>
      </c>
      <c r="D1510" s="119"/>
      <c r="E1510" s="119"/>
      <c r="F1510" s="155">
        <v>-500</v>
      </c>
      <c r="G1510" s="133" t="str">
        <f>_xlfn.XLOOKUP(Table1[[#This Row],[Account_ID]], Accounts[ID], Accounts[Account nickname], "Unknown")</f>
        <v>WF</v>
      </c>
      <c r="H1510" s="134" t="str">
        <f>_xlfn.XLOOKUP(Table1[[#This Row],[Account_ID]], Accounts[ID], Accounts[Account'#], "Unknown")</f>
        <v>4636</v>
      </c>
      <c r="I1510" s="135" t="str">
        <f>_xlfn.XLOOKUP(_xlfn.XLOOKUP(Table1[[#This Row],[Account]],Accounts[Account nickname],Accounts[Institution ID]),Institutions[ID],Institutions[Institution nickname],"Unknown")</f>
        <v>Wells Fargo</v>
      </c>
      <c r="J1510" s="136" t="s">
        <v>1257</v>
      </c>
      <c r="K1510" s="137" t="s">
        <v>808</v>
      </c>
      <c r="L1510" s="137" t="s">
        <v>807</v>
      </c>
      <c r="M151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1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10" s="138" t="str" cm="1">
        <f t="array" ref="O1510">IFERROR(INDEX(CategoriesTable[Category type],MATCH(Table1[[#This Row],[Category]],CategoriesTable[Category name],0),0),"")</f>
        <v/>
      </c>
      <c r="P1510" s="138">
        <v>13</v>
      </c>
      <c r="Q1510" s="138">
        <f>MONTH(Table1[[#This Row],[Date]])</f>
        <v>11</v>
      </c>
      <c r="R1510" s="138">
        <v>2020</v>
      </c>
      <c r="S1510" s="139">
        <f>IF(ISBLANK(Table1[[#This Row],[Date]]),"",Table1[[#This Row],[Date]]-WEEKDAY(Table1[[#This Row],[Date]],2)+1)</f>
        <v>44144</v>
      </c>
      <c r="T1510" s="140">
        <f>IF(ISBLANK(Table1[[#This Row],[Date]]),"",DATE(Table1[[#This Row],[Date_Year]],Table1[[#This Row],[Date_Month]],1))</f>
        <v>44136</v>
      </c>
    </row>
    <row r="1511" spans="2:20" ht="15.75">
      <c r="B1511" s="154">
        <v>44148</v>
      </c>
      <c r="C1511" s="119" t="s">
        <v>2830</v>
      </c>
      <c r="D1511" s="119"/>
      <c r="E1511" s="119"/>
      <c r="F1511" s="155">
        <v>-1.75</v>
      </c>
      <c r="G1511" s="133" t="str">
        <f>_xlfn.XLOOKUP(Table1[[#This Row],[Account_ID]], Accounts[ID], Accounts[Account nickname], "Unknown")</f>
        <v>Discover</v>
      </c>
      <c r="H1511" s="134" t="str">
        <f>_xlfn.XLOOKUP(Table1[[#This Row],[Account_ID]], Accounts[ID], Accounts[Account'#], "Unknown")</f>
        <v>4618</v>
      </c>
      <c r="I1511" s="135" t="str">
        <f>_xlfn.XLOOKUP(_xlfn.XLOOKUP(Table1[[#This Row],[Account]],Accounts[Account nickname],Accounts[Institution ID]),Institutions[ID],Institutions[Institution nickname],"Unknown")</f>
        <v>Discover</v>
      </c>
      <c r="J1511" s="136" t="s">
        <v>2844</v>
      </c>
      <c r="K1511" s="137" t="s">
        <v>843</v>
      </c>
      <c r="L1511" s="137" t="s">
        <v>841</v>
      </c>
      <c r="M151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1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11" s="138" t="str" cm="1">
        <f t="array" ref="O1511">IFERROR(INDEX(CategoriesTable[Category type],MATCH(Table1[[#This Row],[Category]],CategoriesTable[Category name],0),0),"")</f>
        <v/>
      </c>
      <c r="P1511" s="138">
        <v>13</v>
      </c>
      <c r="Q1511" s="138">
        <f>MONTH(Table1[[#This Row],[Date]])</f>
        <v>11</v>
      </c>
      <c r="R1511" s="138">
        <v>2020</v>
      </c>
      <c r="S1511" s="139">
        <f>IF(ISBLANK(Table1[[#This Row],[Date]]),"",Table1[[#This Row],[Date]]-WEEKDAY(Table1[[#This Row],[Date]],2)+1)</f>
        <v>44144</v>
      </c>
      <c r="T1511" s="140">
        <f>IF(ISBLANK(Table1[[#This Row],[Date]]),"",DATE(Table1[[#This Row],[Date_Year]],Table1[[#This Row],[Date_Month]],1))</f>
        <v>44136</v>
      </c>
    </row>
    <row r="1512" spans="2:20" ht="15.75">
      <c r="B1512" s="154">
        <v>44148</v>
      </c>
      <c r="C1512" s="119" t="s">
        <v>2830</v>
      </c>
      <c r="D1512" s="119"/>
      <c r="E1512" s="119"/>
      <c r="F1512" s="155">
        <v>-1.75</v>
      </c>
      <c r="G1512" s="133" t="str">
        <f>_xlfn.XLOOKUP(Table1[[#This Row],[Account_ID]], Accounts[ID], Accounts[Account nickname], "Unknown")</f>
        <v>Discover</v>
      </c>
      <c r="H1512" s="134" t="str">
        <f>_xlfn.XLOOKUP(Table1[[#This Row],[Account_ID]], Accounts[ID], Accounts[Account'#], "Unknown")</f>
        <v>4618</v>
      </c>
      <c r="I1512" s="135" t="str">
        <f>_xlfn.XLOOKUP(_xlfn.XLOOKUP(Table1[[#This Row],[Account]],Accounts[Account nickname],Accounts[Institution ID]),Institutions[ID],Institutions[Institution nickname],"Unknown")</f>
        <v>Discover</v>
      </c>
      <c r="J1512" s="136" t="s">
        <v>2843</v>
      </c>
      <c r="K1512" s="137" t="s">
        <v>843</v>
      </c>
      <c r="L1512" s="137" t="s">
        <v>841</v>
      </c>
      <c r="M151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1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12" s="138" t="str" cm="1">
        <f t="array" ref="O1512">IFERROR(INDEX(CategoriesTable[Category type],MATCH(Table1[[#This Row],[Category]],CategoriesTable[Category name],0),0),"")</f>
        <v/>
      </c>
      <c r="P1512" s="138">
        <v>13</v>
      </c>
      <c r="Q1512" s="138">
        <f>MONTH(Table1[[#This Row],[Date]])</f>
        <v>11</v>
      </c>
      <c r="R1512" s="138">
        <v>2020</v>
      </c>
      <c r="S1512" s="139">
        <f>IF(ISBLANK(Table1[[#This Row],[Date]]),"",Table1[[#This Row],[Date]]-WEEKDAY(Table1[[#This Row],[Date]],2)+1)</f>
        <v>44144</v>
      </c>
      <c r="T1512" s="140">
        <f>IF(ISBLANK(Table1[[#This Row],[Date]]),"",DATE(Table1[[#This Row],[Date_Year]],Table1[[#This Row],[Date_Month]],1))</f>
        <v>44136</v>
      </c>
    </row>
    <row r="1513" spans="2:20" ht="15.75">
      <c r="B1513" s="154">
        <v>44148</v>
      </c>
      <c r="C1513" s="119" t="s">
        <v>678</v>
      </c>
      <c r="D1513" s="119"/>
      <c r="E1513" s="119"/>
      <c r="F1513" s="155">
        <v>-56.01</v>
      </c>
      <c r="G1513" s="133" t="str">
        <f>_xlfn.XLOOKUP(Table1[[#This Row],[Account_ID]], Accounts[ID], Accounts[Account nickname], "Unknown")</f>
        <v>WF</v>
      </c>
      <c r="H1513" s="134" t="str">
        <f>_xlfn.XLOOKUP(Table1[[#This Row],[Account_ID]], Accounts[ID], Accounts[Account'#], "Unknown")</f>
        <v>4636</v>
      </c>
      <c r="I1513" s="135" t="str">
        <f>_xlfn.XLOOKUP(_xlfn.XLOOKUP(Table1[[#This Row],[Account]],Accounts[Account nickname],Accounts[Institution ID]),Institutions[ID],Institutions[Institution nickname],"Unknown")</f>
        <v>Wells Fargo</v>
      </c>
      <c r="J1513" s="136" t="s">
        <v>1256</v>
      </c>
      <c r="K1513" s="137" t="s">
        <v>808</v>
      </c>
      <c r="L1513" s="137" t="s">
        <v>807</v>
      </c>
      <c r="M151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1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13" s="138" t="str" cm="1">
        <f t="array" ref="O1513">IFERROR(INDEX(CategoriesTable[Category type],MATCH(Table1[[#This Row],[Category]],CategoriesTable[Category name],0),0),"")</f>
        <v/>
      </c>
      <c r="P1513" s="138">
        <v>13</v>
      </c>
      <c r="Q1513" s="138">
        <f>MONTH(Table1[[#This Row],[Date]])</f>
        <v>11</v>
      </c>
      <c r="R1513" s="138">
        <v>2020</v>
      </c>
      <c r="S1513" s="139">
        <f>IF(ISBLANK(Table1[[#This Row],[Date]]),"",Table1[[#This Row],[Date]]-WEEKDAY(Table1[[#This Row],[Date]],2)+1)</f>
        <v>44144</v>
      </c>
      <c r="T1513" s="140">
        <f>IF(ISBLANK(Table1[[#This Row],[Date]]),"",DATE(Table1[[#This Row],[Date_Year]],Table1[[#This Row],[Date_Month]],1))</f>
        <v>44136</v>
      </c>
    </row>
    <row r="1514" spans="2:20" ht="15.75">
      <c r="B1514" s="154">
        <v>44148</v>
      </c>
      <c r="C1514" s="119" t="s">
        <v>2771</v>
      </c>
      <c r="D1514" s="119"/>
      <c r="E1514" s="119"/>
      <c r="F1514" s="155">
        <v>-19.989999999999998</v>
      </c>
      <c r="G1514" s="133" t="str">
        <f>_xlfn.XLOOKUP(Table1[[#This Row],[Account_ID]], Accounts[ID], Accounts[Account nickname], "Unknown")</f>
        <v>Discover</v>
      </c>
      <c r="H1514" s="134" t="str">
        <f>_xlfn.XLOOKUP(Table1[[#This Row],[Account_ID]], Accounts[ID], Accounts[Account'#], "Unknown")</f>
        <v>4618</v>
      </c>
      <c r="I1514" s="135" t="str">
        <f>_xlfn.XLOOKUP(_xlfn.XLOOKUP(Table1[[#This Row],[Account]],Accounts[Account nickname],Accounts[Institution ID]),Institutions[ID],Institutions[Institution nickname],"Unknown")</f>
        <v>Discover</v>
      </c>
      <c r="J1514" s="136" t="s">
        <v>2839</v>
      </c>
      <c r="K1514" s="137" t="s">
        <v>843</v>
      </c>
      <c r="L1514" s="137" t="s">
        <v>841</v>
      </c>
      <c r="M151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1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14" s="138" t="str" cm="1">
        <f t="array" ref="O1514">IFERROR(INDEX(CategoriesTable[Category type],MATCH(Table1[[#This Row],[Category]],CategoriesTable[Category name],0),0),"")</f>
        <v/>
      </c>
      <c r="P1514" s="138">
        <v>13</v>
      </c>
      <c r="Q1514" s="138">
        <f>MONTH(Table1[[#This Row],[Date]])</f>
        <v>11</v>
      </c>
      <c r="R1514" s="138">
        <v>2020</v>
      </c>
      <c r="S1514" s="139">
        <f>IF(ISBLANK(Table1[[#This Row],[Date]]),"",Table1[[#This Row],[Date]]-WEEKDAY(Table1[[#This Row],[Date]],2)+1)</f>
        <v>44144</v>
      </c>
      <c r="T1514" s="140">
        <f>IF(ISBLANK(Table1[[#This Row],[Date]]),"",DATE(Table1[[#This Row],[Date_Year]],Table1[[#This Row],[Date_Month]],1))</f>
        <v>44136</v>
      </c>
    </row>
    <row r="1515" spans="2:20" ht="15.75">
      <c r="B1515" s="154">
        <v>44148</v>
      </c>
      <c r="C1515" s="119" t="s">
        <v>778</v>
      </c>
      <c r="D1515" s="119"/>
      <c r="E1515" s="119"/>
      <c r="F1515" s="155">
        <v>90</v>
      </c>
      <c r="G1515" s="133" t="str">
        <f>_xlfn.XLOOKUP(Table1[[#This Row],[Account_ID]], Accounts[ID], Accounts[Account nickname], "Unknown")</f>
        <v>WF</v>
      </c>
      <c r="H1515" s="134" t="str">
        <f>_xlfn.XLOOKUP(Table1[[#This Row],[Account_ID]], Accounts[ID], Accounts[Account'#], "Unknown")</f>
        <v>4636</v>
      </c>
      <c r="I1515" s="135" t="str">
        <f>_xlfn.XLOOKUP(_xlfn.XLOOKUP(Table1[[#This Row],[Account]],Accounts[Account nickname],Accounts[Institution ID]),Institutions[ID],Institutions[Institution nickname],"Unknown")</f>
        <v>Wells Fargo</v>
      </c>
      <c r="J1515" s="136" t="s">
        <v>1254</v>
      </c>
      <c r="K1515" s="137" t="s">
        <v>808</v>
      </c>
      <c r="L1515" s="137" t="s">
        <v>807</v>
      </c>
      <c r="M151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1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15" s="138" t="str" cm="1">
        <f t="array" ref="O1515">IFERROR(INDEX(CategoriesTable[Category type],MATCH(Table1[[#This Row],[Category]],CategoriesTable[Category name],0),0),"")</f>
        <v/>
      </c>
      <c r="P1515" s="138">
        <v>13</v>
      </c>
      <c r="Q1515" s="138">
        <f>MONTH(Table1[[#This Row],[Date]])</f>
        <v>11</v>
      </c>
      <c r="R1515" s="138">
        <v>2020</v>
      </c>
      <c r="S1515" s="139">
        <f>IF(ISBLANK(Table1[[#This Row],[Date]]),"",Table1[[#This Row],[Date]]-WEEKDAY(Table1[[#This Row],[Date]],2)+1)</f>
        <v>44144</v>
      </c>
      <c r="T1515" s="140">
        <f>IF(ISBLANK(Table1[[#This Row],[Date]]),"",DATE(Table1[[#This Row],[Date_Year]],Table1[[#This Row],[Date_Month]],1))</f>
        <v>44136</v>
      </c>
    </row>
    <row r="1516" spans="2:20" ht="15.75">
      <c r="B1516" s="154">
        <v>44148</v>
      </c>
      <c r="C1516" s="119" t="s">
        <v>2841</v>
      </c>
      <c r="D1516" s="119"/>
      <c r="E1516" s="119"/>
      <c r="F1516" s="155">
        <v>-64.48</v>
      </c>
      <c r="G1516" s="133" t="str">
        <f>_xlfn.XLOOKUP(Table1[[#This Row],[Account_ID]], Accounts[ID], Accounts[Account nickname], "Unknown")</f>
        <v>Discover</v>
      </c>
      <c r="H1516" s="134" t="str">
        <f>_xlfn.XLOOKUP(Table1[[#This Row],[Account_ID]], Accounts[ID], Accounts[Account'#], "Unknown")</f>
        <v>4618</v>
      </c>
      <c r="I1516" s="135" t="str">
        <f>_xlfn.XLOOKUP(_xlfn.XLOOKUP(Table1[[#This Row],[Account]],Accounts[Account nickname],Accounts[Institution ID]),Institutions[ID],Institutions[Institution nickname],"Unknown")</f>
        <v>Discover</v>
      </c>
      <c r="J1516" s="136" t="s">
        <v>2842</v>
      </c>
      <c r="K1516" s="137" t="s">
        <v>843</v>
      </c>
      <c r="L1516" s="137" t="s">
        <v>841</v>
      </c>
      <c r="M151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1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16" s="138" t="str" cm="1">
        <f t="array" ref="O1516">IFERROR(INDEX(CategoriesTable[Category type],MATCH(Table1[[#This Row],[Category]],CategoriesTable[Category name],0),0),"")</f>
        <v/>
      </c>
      <c r="P1516" s="138">
        <v>13</v>
      </c>
      <c r="Q1516" s="138">
        <f>MONTH(Table1[[#This Row],[Date]])</f>
        <v>11</v>
      </c>
      <c r="R1516" s="138">
        <v>2020</v>
      </c>
      <c r="S1516" s="139">
        <f>IF(ISBLANK(Table1[[#This Row],[Date]]),"",Table1[[#This Row],[Date]]-WEEKDAY(Table1[[#This Row],[Date]],2)+1)</f>
        <v>44144</v>
      </c>
      <c r="T1516" s="140">
        <f>IF(ISBLANK(Table1[[#This Row],[Date]]),"",DATE(Table1[[#This Row],[Date_Year]],Table1[[#This Row],[Date_Month]],1))</f>
        <v>44136</v>
      </c>
    </row>
    <row r="1517" spans="2:20" ht="15.75">
      <c r="B1517" s="154">
        <v>44148</v>
      </c>
      <c r="C1517" s="119" t="s">
        <v>685</v>
      </c>
      <c r="D1517" s="119"/>
      <c r="E1517" s="119"/>
      <c r="F1517" s="155">
        <v>-26.22</v>
      </c>
      <c r="G1517" s="133" t="str">
        <f>_xlfn.XLOOKUP(Table1[[#This Row],[Account_ID]], Accounts[ID], Accounts[Account nickname], "Unknown")</f>
        <v>Discover</v>
      </c>
      <c r="H1517" s="134" t="str">
        <f>_xlfn.XLOOKUP(Table1[[#This Row],[Account_ID]], Accounts[ID], Accounts[Account'#], "Unknown")</f>
        <v>4618</v>
      </c>
      <c r="I1517" s="135" t="str">
        <f>_xlfn.XLOOKUP(_xlfn.XLOOKUP(Table1[[#This Row],[Account]],Accounts[Account nickname],Accounts[Institution ID]),Institutions[ID],Institutions[Institution nickname],"Unknown")</f>
        <v>Discover</v>
      </c>
      <c r="J1517" s="152" t="s">
        <v>2840</v>
      </c>
      <c r="K1517" s="137" t="s">
        <v>843</v>
      </c>
      <c r="L1517" s="137" t="s">
        <v>841</v>
      </c>
      <c r="M151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1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17" s="138" t="str" cm="1">
        <f t="array" ref="O1517">IFERROR(INDEX(CategoriesTable[Category type],MATCH(Table1[[#This Row],[Category]],CategoriesTable[Category name],0),0),"")</f>
        <v/>
      </c>
      <c r="P1517" s="138">
        <v>13</v>
      </c>
      <c r="Q1517" s="138">
        <f>MONTH(Table1[[#This Row],[Date]])</f>
        <v>11</v>
      </c>
      <c r="R1517" s="138">
        <v>2020</v>
      </c>
      <c r="S1517" s="139">
        <f>IF(ISBLANK(Table1[[#This Row],[Date]]),"",Table1[[#This Row],[Date]]-WEEKDAY(Table1[[#This Row],[Date]],2)+1)</f>
        <v>44144</v>
      </c>
      <c r="T1517" s="140">
        <f>IF(ISBLANK(Table1[[#This Row],[Date]]),"",DATE(Table1[[#This Row],[Date_Year]],Table1[[#This Row],[Date_Month]],1))</f>
        <v>44136</v>
      </c>
    </row>
    <row r="1518" spans="2:20" ht="15.75">
      <c r="B1518" s="154">
        <v>44148</v>
      </c>
      <c r="C1518" s="119" t="s">
        <v>703</v>
      </c>
      <c r="D1518" s="119"/>
      <c r="E1518" s="119"/>
      <c r="F1518" s="155">
        <v>-8.26</v>
      </c>
      <c r="G1518" s="133" t="str">
        <f>_xlfn.XLOOKUP(Table1[[#This Row],[Account_ID]], Accounts[ID], Accounts[Account nickname], "Unknown")</f>
        <v>Discover</v>
      </c>
      <c r="H1518" s="134" t="str">
        <f>_xlfn.XLOOKUP(Table1[[#This Row],[Account_ID]], Accounts[ID], Accounts[Account'#], "Unknown")</f>
        <v>4618</v>
      </c>
      <c r="I1518" s="135" t="str">
        <f>_xlfn.XLOOKUP(_xlfn.XLOOKUP(Table1[[#This Row],[Account]],Accounts[Account nickname],Accounts[Institution ID]),Institutions[ID],Institutions[Institution nickname],"Unknown")</f>
        <v>Discover</v>
      </c>
      <c r="J1518" s="136" t="s">
        <v>2845</v>
      </c>
      <c r="K1518" s="137" t="s">
        <v>843</v>
      </c>
      <c r="L1518" s="137" t="s">
        <v>841</v>
      </c>
      <c r="M151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1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18" s="138" t="str" cm="1">
        <f t="array" ref="O1518">IFERROR(INDEX(CategoriesTable[Category type],MATCH(Table1[[#This Row],[Category]],CategoriesTable[Category name],0),0),"")</f>
        <v/>
      </c>
      <c r="P1518" s="138">
        <v>13</v>
      </c>
      <c r="Q1518" s="138">
        <f>MONTH(Table1[[#This Row],[Date]])</f>
        <v>11</v>
      </c>
      <c r="R1518" s="138">
        <v>2020</v>
      </c>
      <c r="S1518" s="139">
        <f>IF(ISBLANK(Table1[[#This Row],[Date]]),"",Table1[[#This Row],[Date]]-WEEKDAY(Table1[[#This Row],[Date]],2)+1)</f>
        <v>44144</v>
      </c>
      <c r="T1518" s="140">
        <f>IF(ISBLANK(Table1[[#This Row],[Date]]),"",DATE(Table1[[#This Row],[Date_Year]],Table1[[#This Row],[Date_Month]],1))</f>
        <v>44136</v>
      </c>
    </row>
    <row r="1519" spans="2:20" ht="15.75">
      <c r="B1519" s="154">
        <v>44148</v>
      </c>
      <c r="C1519" s="119" t="s">
        <v>780</v>
      </c>
      <c r="D1519" s="119"/>
      <c r="E1519" s="119"/>
      <c r="F1519" s="155">
        <v>513.79999999999995</v>
      </c>
      <c r="G1519" s="133" t="str">
        <f>_xlfn.XLOOKUP(Table1[[#This Row],[Account_ID]], Accounts[ID], Accounts[Account nickname], "Unknown")</f>
        <v>WF</v>
      </c>
      <c r="H1519" s="134" t="str">
        <f>_xlfn.XLOOKUP(Table1[[#This Row],[Account_ID]], Accounts[ID], Accounts[Account'#], "Unknown")</f>
        <v>4636</v>
      </c>
      <c r="I1519" s="135" t="str">
        <f>_xlfn.XLOOKUP(_xlfn.XLOOKUP(Table1[[#This Row],[Account]],Accounts[Account nickname],Accounts[Institution ID]),Institutions[ID],Institutions[Institution nickname],"Unknown")</f>
        <v>Wells Fargo</v>
      </c>
      <c r="J1519" s="136" t="s">
        <v>1253</v>
      </c>
      <c r="K1519" s="137" t="s">
        <v>808</v>
      </c>
      <c r="L1519" s="137" t="s">
        <v>807</v>
      </c>
      <c r="M151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1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19" s="138" t="str" cm="1">
        <f t="array" ref="O1519">IFERROR(INDEX(CategoriesTable[Category type],MATCH(Table1[[#This Row],[Category]],CategoriesTable[Category name],0),0),"")</f>
        <v/>
      </c>
      <c r="P1519" s="138">
        <v>13</v>
      </c>
      <c r="Q1519" s="138">
        <f>MONTH(Table1[[#This Row],[Date]])</f>
        <v>11</v>
      </c>
      <c r="R1519" s="138">
        <v>2020</v>
      </c>
      <c r="S1519" s="139">
        <f>IF(ISBLANK(Table1[[#This Row],[Date]]),"",Table1[[#This Row],[Date]]-WEEKDAY(Table1[[#This Row],[Date]],2)+1)</f>
        <v>44144</v>
      </c>
      <c r="T1519" s="140">
        <f>IF(ISBLANK(Table1[[#This Row],[Date]]),"",DATE(Table1[[#This Row],[Date_Year]],Table1[[#This Row],[Date_Month]],1))</f>
        <v>44136</v>
      </c>
    </row>
    <row r="1520" spans="2:20" ht="15.75">
      <c r="B1520" s="154">
        <v>44148</v>
      </c>
      <c r="C1520" s="119" t="s">
        <v>678</v>
      </c>
      <c r="D1520" s="119"/>
      <c r="E1520" s="119"/>
      <c r="F1520" s="155">
        <v>-30</v>
      </c>
      <c r="G1520" s="133" t="str">
        <f>_xlfn.XLOOKUP(Table1[[#This Row],[Account_ID]], Accounts[ID], Accounts[Account nickname], "Unknown")</f>
        <v>WF</v>
      </c>
      <c r="H1520" s="134" t="str">
        <f>_xlfn.XLOOKUP(Table1[[#This Row],[Account_ID]], Accounts[ID], Accounts[Account'#], "Unknown")</f>
        <v>4636</v>
      </c>
      <c r="I1520" s="135" t="str">
        <f>_xlfn.XLOOKUP(_xlfn.XLOOKUP(Table1[[#This Row],[Account]],Accounts[Account nickname],Accounts[Institution ID]),Institutions[ID],Institutions[Institution nickname],"Unknown")</f>
        <v>Wells Fargo</v>
      </c>
      <c r="J1520" s="136" t="s">
        <v>1255</v>
      </c>
      <c r="K1520" s="137" t="s">
        <v>808</v>
      </c>
      <c r="L1520" s="137" t="s">
        <v>807</v>
      </c>
      <c r="M152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2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20" s="138" t="str" cm="1">
        <f t="array" ref="O1520">IFERROR(INDEX(CategoriesTable[Category type],MATCH(Table1[[#This Row],[Category]],CategoriesTable[Category name],0),0),"")</f>
        <v/>
      </c>
      <c r="P1520" s="138">
        <v>13</v>
      </c>
      <c r="Q1520" s="138">
        <f>MONTH(Table1[[#This Row],[Date]])</f>
        <v>11</v>
      </c>
      <c r="R1520" s="138">
        <v>2020</v>
      </c>
      <c r="S1520" s="139">
        <f>IF(ISBLANK(Table1[[#This Row],[Date]]),"",Table1[[#This Row],[Date]]-WEEKDAY(Table1[[#This Row],[Date]],2)+1)</f>
        <v>44144</v>
      </c>
      <c r="T1520" s="140">
        <f>IF(ISBLANK(Table1[[#This Row],[Date]]),"",DATE(Table1[[#This Row],[Date_Year]],Table1[[#This Row],[Date_Month]],1))</f>
        <v>44136</v>
      </c>
    </row>
    <row r="1521" spans="2:20" ht="15.75">
      <c r="B1521" s="154">
        <v>44147</v>
      </c>
      <c r="C1521" s="119" t="s">
        <v>845</v>
      </c>
      <c r="D1521" s="119"/>
      <c r="E1521" s="119"/>
      <c r="F1521" s="155">
        <v>300</v>
      </c>
      <c r="G1521" s="133" t="str">
        <f>_xlfn.XLOOKUP(Table1[[#This Row],[Account_ID]], Accounts[ID], Accounts[Account nickname], "Unknown")</f>
        <v>Discover</v>
      </c>
      <c r="H1521" s="134" t="str">
        <f>_xlfn.XLOOKUP(Table1[[#This Row],[Account_ID]], Accounts[ID], Accounts[Account'#], "Unknown")</f>
        <v>4618</v>
      </c>
      <c r="I1521" s="135" t="str">
        <f>_xlfn.XLOOKUP(_xlfn.XLOOKUP(Table1[[#This Row],[Account]],Accounts[Account nickname],Accounts[Institution ID]),Institutions[ID],Institutions[Institution nickname],"Unknown")</f>
        <v>Discover</v>
      </c>
      <c r="J1521" s="136" t="s">
        <v>2846</v>
      </c>
      <c r="K1521" s="137" t="s">
        <v>843</v>
      </c>
      <c r="L1521" s="137" t="s">
        <v>841</v>
      </c>
      <c r="M152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2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21" s="138" t="str" cm="1">
        <f t="array" ref="O1521">IFERROR(INDEX(CategoriesTable[Category type],MATCH(Table1[[#This Row],[Category]],CategoriesTable[Category name],0),0),"")</f>
        <v/>
      </c>
      <c r="P1521" s="138">
        <v>12</v>
      </c>
      <c r="Q1521" s="138">
        <f>MONTH(Table1[[#This Row],[Date]])</f>
        <v>11</v>
      </c>
      <c r="R1521" s="138">
        <v>2020</v>
      </c>
      <c r="S1521" s="139">
        <f>IF(ISBLANK(Table1[[#This Row],[Date]]),"",Table1[[#This Row],[Date]]-WEEKDAY(Table1[[#This Row],[Date]],2)+1)</f>
        <v>44144</v>
      </c>
      <c r="T1521" s="140">
        <f>IF(ISBLANK(Table1[[#This Row],[Date]]),"",DATE(Table1[[#This Row],[Date_Year]],Table1[[#This Row],[Date_Month]],1))</f>
        <v>44136</v>
      </c>
    </row>
    <row r="1522" spans="2:20" ht="15.75">
      <c r="B1522" s="154">
        <v>44147</v>
      </c>
      <c r="C1522" s="119" t="s">
        <v>2830</v>
      </c>
      <c r="D1522" s="119"/>
      <c r="E1522" s="119"/>
      <c r="F1522" s="155">
        <v>-1.75</v>
      </c>
      <c r="G1522" s="133" t="str">
        <f>_xlfn.XLOOKUP(Table1[[#This Row],[Account_ID]], Accounts[ID], Accounts[Account nickname], "Unknown")</f>
        <v>Discover</v>
      </c>
      <c r="H1522" s="134" t="str">
        <f>_xlfn.XLOOKUP(Table1[[#This Row],[Account_ID]], Accounts[ID], Accounts[Account'#], "Unknown")</f>
        <v>4618</v>
      </c>
      <c r="I1522" s="135" t="str">
        <f>_xlfn.XLOOKUP(_xlfn.XLOOKUP(Table1[[#This Row],[Account]],Accounts[Account nickname],Accounts[Institution ID]),Institutions[ID],Institutions[Institution nickname],"Unknown")</f>
        <v>Discover</v>
      </c>
      <c r="J1522" s="136" t="s">
        <v>2848</v>
      </c>
      <c r="K1522" s="137" t="s">
        <v>843</v>
      </c>
      <c r="L1522" s="137" t="s">
        <v>841</v>
      </c>
      <c r="M152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2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22" s="138" t="str" cm="1">
        <f t="array" ref="O1522">IFERROR(INDEX(CategoriesTable[Category type],MATCH(Table1[[#This Row],[Category]],CategoriesTable[Category name],0),0),"")</f>
        <v/>
      </c>
      <c r="P1522" s="138">
        <v>12</v>
      </c>
      <c r="Q1522" s="138">
        <f>MONTH(Table1[[#This Row],[Date]])</f>
        <v>11</v>
      </c>
      <c r="R1522" s="138">
        <v>2020</v>
      </c>
      <c r="S1522" s="139">
        <f>IF(ISBLANK(Table1[[#This Row],[Date]]),"",Table1[[#This Row],[Date]]-WEEKDAY(Table1[[#This Row],[Date]],2)+1)</f>
        <v>44144</v>
      </c>
      <c r="T1522" s="140">
        <f>IF(ISBLANK(Table1[[#This Row],[Date]]),"",DATE(Table1[[#This Row],[Date_Year]],Table1[[#This Row],[Date_Month]],1))</f>
        <v>44136</v>
      </c>
    </row>
    <row r="1523" spans="2:20" ht="15.75">
      <c r="B1523" s="154">
        <v>44147</v>
      </c>
      <c r="C1523" s="119" t="s">
        <v>1500</v>
      </c>
      <c r="D1523" s="119"/>
      <c r="E1523" s="119"/>
      <c r="F1523" s="155">
        <v>-1.99</v>
      </c>
      <c r="G1523" s="133" t="str">
        <f>_xlfn.XLOOKUP(Table1[[#This Row],[Account_ID]], Accounts[ID], Accounts[Account nickname], "Unknown")</f>
        <v>Discover</v>
      </c>
      <c r="H1523" s="134" t="str">
        <f>_xlfn.XLOOKUP(Table1[[#This Row],[Account_ID]], Accounts[ID], Accounts[Account'#], "Unknown")</f>
        <v>4618</v>
      </c>
      <c r="I1523" s="135" t="str">
        <f>_xlfn.XLOOKUP(_xlfn.XLOOKUP(Table1[[#This Row],[Account]],Accounts[Account nickname],Accounts[Institution ID]),Institutions[ID],Institutions[Institution nickname],"Unknown")</f>
        <v>Discover</v>
      </c>
      <c r="J1523" s="136" t="s">
        <v>2849</v>
      </c>
      <c r="K1523" s="137" t="s">
        <v>843</v>
      </c>
      <c r="L1523" s="137" t="s">
        <v>841</v>
      </c>
      <c r="M152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2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23" s="138" t="str" cm="1">
        <f t="array" ref="O1523">IFERROR(INDEX(CategoriesTable[Category type],MATCH(Table1[[#This Row],[Category]],CategoriesTable[Category name],0),0),"")</f>
        <v/>
      </c>
      <c r="P1523" s="138">
        <v>12</v>
      </c>
      <c r="Q1523" s="138">
        <f>MONTH(Table1[[#This Row],[Date]])</f>
        <v>11</v>
      </c>
      <c r="R1523" s="138">
        <v>2020</v>
      </c>
      <c r="S1523" s="139">
        <f>IF(ISBLANK(Table1[[#This Row],[Date]]),"",Table1[[#This Row],[Date]]-WEEKDAY(Table1[[#This Row],[Date]],2)+1)</f>
        <v>44144</v>
      </c>
      <c r="T1523" s="140">
        <f>IF(ISBLANK(Table1[[#This Row],[Date]]),"",DATE(Table1[[#This Row],[Date_Year]],Table1[[#This Row],[Date_Month]],1))</f>
        <v>44136</v>
      </c>
    </row>
    <row r="1524" spans="2:20" ht="15.75">
      <c r="B1524" s="154">
        <v>44147</v>
      </c>
      <c r="C1524" s="119" t="s">
        <v>702</v>
      </c>
      <c r="D1524" s="119"/>
      <c r="E1524" s="119"/>
      <c r="F1524" s="155">
        <v>-7.7</v>
      </c>
      <c r="G1524" s="133" t="str">
        <f>_xlfn.XLOOKUP(Table1[[#This Row],[Account_ID]], Accounts[ID], Accounts[Account nickname], "Unknown")</f>
        <v>Discover</v>
      </c>
      <c r="H1524" s="134" t="str">
        <f>_xlfn.XLOOKUP(Table1[[#This Row],[Account_ID]], Accounts[ID], Accounts[Account'#], "Unknown")</f>
        <v>4618</v>
      </c>
      <c r="I1524" s="135" t="str">
        <f>_xlfn.XLOOKUP(_xlfn.XLOOKUP(Table1[[#This Row],[Account]],Accounts[Account nickname],Accounts[Institution ID]),Institutions[ID],Institutions[Institution nickname],"Unknown")</f>
        <v>Discover</v>
      </c>
      <c r="J1524" s="136" t="s">
        <v>2847</v>
      </c>
      <c r="K1524" s="137" t="s">
        <v>843</v>
      </c>
      <c r="L1524" s="137" t="s">
        <v>841</v>
      </c>
      <c r="M152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2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24" s="138" t="str" cm="1">
        <f t="array" ref="O1524">IFERROR(INDEX(CategoriesTable[Category type],MATCH(Table1[[#This Row],[Category]],CategoriesTable[Category name],0),0),"")</f>
        <v/>
      </c>
      <c r="P1524" s="138">
        <v>12</v>
      </c>
      <c r="Q1524" s="138">
        <f>MONTH(Table1[[#This Row],[Date]])</f>
        <v>11</v>
      </c>
      <c r="R1524" s="138">
        <v>2020</v>
      </c>
      <c r="S1524" s="139">
        <f>IF(ISBLANK(Table1[[#This Row],[Date]]),"",Table1[[#This Row],[Date]]-WEEKDAY(Table1[[#This Row],[Date]],2)+1)</f>
        <v>44144</v>
      </c>
      <c r="T1524" s="140">
        <f>IF(ISBLANK(Table1[[#This Row],[Date]]),"",DATE(Table1[[#This Row],[Date_Year]],Table1[[#This Row],[Date_Month]],1))</f>
        <v>44136</v>
      </c>
    </row>
    <row r="1525" spans="2:20" ht="15.75">
      <c r="B1525" s="154">
        <v>44147</v>
      </c>
      <c r="C1525" s="119" t="s">
        <v>686</v>
      </c>
      <c r="D1525" s="119"/>
      <c r="E1525" s="119"/>
      <c r="F1525" s="155">
        <v>-300</v>
      </c>
      <c r="G1525" s="133" t="str">
        <f>_xlfn.XLOOKUP(Table1[[#This Row],[Account_ID]], Accounts[ID], Accounts[Account nickname], "Unknown")</f>
        <v>WF</v>
      </c>
      <c r="H1525" s="134" t="str">
        <f>_xlfn.XLOOKUP(Table1[[#This Row],[Account_ID]], Accounts[ID], Accounts[Account'#], "Unknown")</f>
        <v>4636</v>
      </c>
      <c r="I1525" s="135" t="str">
        <f>_xlfn.XLOOKUP(_xlfn.XLOOKUP(Table1[[#This Row],[Account]],Accounts[Account nickname],Accounts[Institution ID]),Institutions[ID],Institutions[Institution nickname],"Unknown")</f>
        <v>Wells Fargo</v>
      </c>
      <c r="J1525" s="136" t="s">
        <v>1258</v>
      </c>
      <c r="K1525" s="137" t="s">
        <v>808</v>
      </c>
      <c r="L1525" s="137" t="s">
        <v>807</v>
      </c>
      <c r="M152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2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25" s="138" t="str" cm="1">
        <f t="array" ref="O1525">IFERROR(INDEX(CategoriesTable[Category type],MATCH(Table1[[#This Row],[Category]],CategoriesTable[Category name],0),0),"")</f>
        <v/>
      </c>
      <c r="P1525" s="138">
        <v>12</v>
      </c>
      <c r="Q1525" s="138">
        <f>MONTH(Table1[[#This Row],[Date]])</f>
        <v>11</v>
      </c>
      <c r="R1525" s="138">
        <v>2020</v>
      </c>
      <c r="S1525" s="139">
        <f>IF(ISBLANK(Table1[[#This Row],[Date]]),"",Table1[[#This Row],[Date]]-WEEKDAY(Table1[[#This Row],[Date]],2)+1)</f>
        <v>44144</v>
      </c>
      <c r="T1525" s="140">
        <f>IF(ISBLANK(Table1[[#This Row],[Date]]),"",DATE(Table1[[#This Row],[Date_Year]],Table1[[#This Row],[Date_Month]],1))</f>
        <v>44136</v>
      </c>
    </row>
    <row r="1526" spans="2:20" ht="15.75">
      <c r="B1526" s="154">
        <v>44146</v>
      </c>
      <c r="C1526" s="119" t="s">
        <v>724</v>
      </c>
      <c r="D1526" s="119"/>
      <c r="E1526" s="119"/>
      <c r="F1526" s="155">
        <v>-41.68</v>
      </c>
      <c r="G1526" s="133" t="str">
        <f>_xlfn.XLOOKUP(Table1[[#This Row],[Account_ID]], Accounts[ID], Accounts[Account nickname], "Unknown")</f>
        <v>Discover</v>
      </c>
      <c r="H1526" s="134" t="str">
        <f>_xlfn.XLOOKUP(Table1[[#This Row],[Account_ID]], Accounts[ID], Accounts[Account'#], "Unknown")</f>
        <v>4618</v>
      </c>
      <c r="I1526" s="135" t="str">
        <f>_xlfn.XLOOKUP(_xlfn.XLOOKUP(Table1[[#This Row],[Account]],Accounts[Account nickname],Accounts[Institution ID]),Institutions[ID],Institutions[Institution nickname],"Unknown")</f>
        <v>Discover</v>
      </c>
      <c r="J1526" s="136" t="s">
        <v>2854</v>
      </c>
      <c r="K1526" s="137" t="s">
        <v>843</v>
      </c>
      <c r="L1526" s="137" t="s">
        <v>841</v>
      </c>
      <c r="M152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2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26" s="138" t="str" cm="1">
        <f t="array" ref="O1526">IFERROR(INDEX(CategoriesTable[Category type],MATCH(Table1[[#This Row],[Category]],CategoriesTable[Category name],0),0),"")</f>
        <v/>
      </c>
      <c r="P1526" s="138">
        <v>11</v>
      </c>
      <c r="Q1526" s="138">
        <f>MONTH(Table1[[#This Row],[Date]])</f>
        <v>11</v>
      </c>
      <c r="R1526" s="138">
        <v>2020</v>
      </c>
      <c r="S1526" s="139">
        <f>IF(ISBLANK(Table1[[#This Row],[Date]]),"",Table1[[#This Row],[Date]]-WEEKDAY(Table1[[#This Row],[Date]],2)+1)</f>
        <v>44144</v>
      </c>
      <c r="T1526" s="140">
        <f>IF(ISBLANK(Table1[[#This Row],[Date]]),"",DATE(Table1[[#This Row],[Date_Year]],Table1[[#This Row],[Date_Month]],1))</f>
        <v>44136</v>
      </c>
    </row>
    <row r="1527" spans="2:20" ht="15.75">
      <c r="B1527" s="154">
        <v>44146</v>
      </c>
      <c r="C1527" s="119" t="s">
        <v>860</v>
      </c>
      <c r="D1527" s="119"/>
      <c r="E1527" s="119"/>
      <c r="F1527" s="155">
        <v>-17.73</v>
      </c>
      <c r="G1527" s="133" t="str">
        <f>_xlfn.XLOOKUP(Table1[[#This Row],[Account_ID]], Accounts[ID], Accounts[Account nickname], "Unknown")</f>
        <v>Discover</v>
      </c>
      <c r="H1527" s="134" t="str">
        <f>_xlfn.XLOOKUP(Table1[[#This Row],[Account_ID]], Accounts[ID], Accounts[Account'#], "Unknown")</f>
        <v>4618</v>
      </c>
      <c r="I1527" s="135" t="str">
        <f>_xlfn.XLOOKUP(_xlfn.XLOOKUP(Table1[[#This Row],[Account]],Accounts[Account nickname],Accounts[Institution ID]),Institutions[ID],Institutions[Institution nickname],"Unknown")</f>
        <v>Discover</v>
      </c>
      <c r="J1527" s="136" t="s">
        <v>2850</v>
      </c>
      <c r="K1527" s="137" t="s">
        <v>843</v>
      </c>
      <c r="L1527" s="137" t="s">
        <v>841</v>
      </c>
      <c r="M152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2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27" s="138" t="str" cm="1">
        <f t="array" ref="O1527">IFERROR(INDEX(CategoriesTable[Category type],MATCH(Table1[[#This Row],[Category]],CategoriesTable[Category name],0),0),"")</f>
        <v/>
      </c>
      <c r="P1527" s="138">
        <v>11</v>
      </c>
      <c r="Q1527" s="138">
        <f>MONTH(Table1[[#This Row],[Date]])</f>
        <v>11</v>
      </c>
      <c r="R1527" s="138">
        <v>2020</v>
      </c>
      <c r="S1527" s="139">
        <f>IF(ISBLANK(Table1[[#This Row],[Date]]),"",Table1[[#This Row],[Date]]-WEEKDAY(Table1[[#This Row],[Date]],2)+1)</f>
        <v>44144</v>
      </c>
      <c r="T1527" s="140">
        <f>IF(ISBLANK(Table1[[#This Row],[Date]]),"",DATE(Table1[[#This Row],[Date_Year]],Table1[[#This Row],[Date_Month]],1))</f>
        <v>44136</v>
      </c>
    </row>
    <row r="1528" spans="2:20" ht="15.75">
      <c r="B1528" s="154">
        <v>44146</v>
      </c>
      <c r="C1528" s="119" t="s">
        <v>2590</v>
      </c>
      <c r="D1528" s="119"/>
      <c r="E1528" s="119"/>
      <c r="F1528" s="155">
        <v>-1.42</v>
      </c>
      <c r="G1528" s="133" t="str">
        <f>_xlfn.XLOOKUP(Table1[[#This Row],[Account_ID]], Accounts[ID], Accounts[Account nickname], "Unknown")</f>
        <v>Discover</v>
      </c>
      <c r="H1528" s="134" t="str">
        <f>_xlfn.XLOOKUP(Table1[[#This Row],[Account_ID]], Accounts[ID], Accounts[Account'#], "Unknown")</f>
        <v>4618</v>
      </c>
      <c r="I1528" s="135" t="str">
        <f>_xlfn.XLOOKUP(_xlfn.XLOOKUP(Table1[[#This Row],[Account]],Accounts[Account nickname],Accounts[Institution ID]),Institutions[ID],Institutions[Institution nickname],"Unknown")</f>
        <v>Discover</v>
      </c>
      <c r="J1528" s="136" t="s">
        <v>2852</v>
      </c>
      <c r="K1528" s="137" t="s">
        <v>843</v>
      </c>
      <c r="L1528" s="137" t="s">
        <v>841</v>
      </c>
      <c r="M152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2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28" s="138" t="str" cm="1">
        <f t="array" ref="O1528">IFERROR(INDEX(CategoriesTable[Category type],MATCH(Table1[[#This Row],[Category]],CategoriesTable[Category name],0),0),"")</f>
        <v/>
      </c>
      <c r="P1528" s="138">
        <v>11</v>
      </c>
      <c r="Q1528" s="138">
        <f>MONTH(Table1[[#This Row],[Date]])</f>
        <v>11</v>
      </c>
      <c r="R1528" s="138">
        <v>2020</v>
      </c>
      <c r="S1528" s="139">
        <f>IF(ISBLANK(Table1[[#This Row],[Date]]),"",Table1[[#This Row],[Date]]-WEEKDAY(Table1[[#This Row],[Date]],2)+1)</f>
        <v>44144</v>
      </c>
      <c r="T1528" s="140">
        <f>IF(ISBLANK(Table1[[#This Row],[Date]]),"",DATE(Table1[[#This Row],[Date_Year]],Table1[[#This Row],[Date_Month]],1))</f>
        <v>44136</v>
      </c>
    </row>
    <row r="1529" spans="2:20" ht="15.75">
      <c r="B1529" s="154">
        <v>44146</v>
      </c>
      <c r="C1529" s="119" t="s">
        <v>2122</v>
      </c>
      <c r="D1529" s="119"/>
      <c r="E1529" s="119"/>
      <c r="F1529" s="155">
        <v>-43.2</v>
      </c>
      <c r="G1529" s="133" t="str">
        <f>_xlfn.XLOOKUP(Table1[[#This Row],[Account_ID]], Accounts[ID], Accounts[Account nickname], "Unknown")</f>
        <v>Discover</v>
      </c>
      <c r="H1529" s="134" t="str">
        <f>_xlfn.XLOOKUP(Table1[[#This Row],[Account_ID]], Accounts[ID], Accounts[Account'#], "Unknown")</f>
        <v>4618</v>
      </c>
      <c r="I1529" s="135" t="str">
        <f>_xlfn.XLOOKUP(_xlfn.XLOOKUP(Table1[[#This Row],[Account]],Accounts[Account nickname],Accounts[Institution ID]),Institutions[ID],Institutions[Institution nickname],"Unknown")</f>
        <v>Discover</v>
      </c>
      <c r="J1529" s="136" t="s">
        <v>2851</v>
      </c>
      <c r="K1529" s="137" t="s">
        <v>843</v>
      </c>
      <c r="L1529" s="137" t="s">
        <v>841</v>
      </c>
      <c r="M152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2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29" s="138" t="str" cm="1">
        <f t="array" ref="O1529">IFERROR(INDEX(CategoriesTable[Category type],MATCH(Table1[[#This Row],[Category]],CategoriesTable[Category name],0),0),"")</f>
        <v/>
      </c>
      <c r="P1529" s="138">
        <v>11</v>
      </c>
      <c r="Q1529" s="138">
        <f>MONTH(Table1[[#This Row],[Date]])</f>
        <v>11</v>
      </c>
      <c r="R1529" s="138">
        <v>2020</v>
      </c>
      <c r="S1529" s="139">
        <f>IF(ISBLANK(Table1[[#This Row],[Date]]),"",Table1[[#This Row],[Date]]-WEEKDAY(Table1[[#This Row],[Date]],2)+1)</f>
        <v>44144</v>
      </c>
      <c r="T1529" s="140">
        <f>IF(ISBLANK(Table1[[#This Row],[Date]]),"",DATE(Table1[[#This Row],[Date_Year]],Table1[[#This Row],[Date_Month]],1))</f>
        <v>44136</v>
      </c>
    </row>
    <row r="1530" spans="2:20" ht="15.75">
      <c r="B1530" s="154">
        <v>44146</v>
      </c>
      <c r="C1530" s="119" t="s">
        <v>2590</v>
      </c>
      <c r="D1530" s="119"/>
      <c r="E1530" s="119"/>
      <c r="F1530" s="155">
        <v>-6.55</v>
      </c>
      <c r="G1530" s="133" t="str">
        <f>_xlfn.XLOOKUP(Table1[[#This Row],[Account_ID]], Accounts[ID], Accounts[Account nickname], "Unknown")</f>
        <v>Discover</v>
      </c>
      <c r="H1530" s="134" t="str">
        <f>_xlfn.XLOOKUP(Table1[[#This Row],[Account_ID]], Accounts[ID], Accounts[Account'#], "Unknown")</f>
        <v>4618</v>
      </c>
      <c r="I1530" s="135" t="str">
        <f>_xlfn.XLOOKUP(_xlfn.XLOOKUP(Table1[[#This Row],[Account]],Accounts[Account nickname],Accounts[Institution ID]),Institutions[ID],Institutions[Institution nickname],"Unknown")</f>
        <v>Discover</v>
      </c>
      <c r="J1530" s="136" t="s">
        <v>2853</v>
      </c>
      <c r="K1530" s="137" t="s">
        <v>843</v>
      </c>
      <c r="L1530" s="137" t="s">
        <v>841</v>
      </c>
      <c r="M153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3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30" s="138" t="str" cm="1">
        <f t="array" ref="O1530">IFERROR(INDEX(CategoriesTable[Category type],MATCH(Table1[[#This Row],[Category]],CategoriesTable[Category name],0),0),"")</f>
        <v/>
      </c>
      <c r="P1530" s="138">
        <v>11</v>
      </c>
      <c r="Q1530" s="138">
        <f>MONTH(Table1[[#This Row],[Date]])</f>
        <v>11</v>
      </c>
      <c r="R1530" s="138">
        <v>2020</v>
      </c>
      <c r="S1530" s="139">
        <f>IF(ISBLANK(Table1[[#This Row],[Date]]),"",Table1[[#This Row],[Date]]-WEEKDAY(Table1[[#This Row],[Date]],2)+1)</f>
        <v>44144</v>
      </c>
      <c r="T1530" s="140">
        <f>IF(ISBLANK(Table1[[#This Row],[Date]]),"",DATE(Table1[[#This Row],[Date_Year]],Table1[[#This Row],[Date_Month]],1))</f>
        <v>44136</v>
      </c>
    </row>
    <row r="1531" spans="2:20" ht="15.75">
      <c r="B1531" s="154">
        <v>44145</v>
      </c>
      <c r="C1531" s="119" t="s">
        <v>752</v>
      </c>
      <c r="D1531" s="119"/>
      <c r="E1531" s="119"/>
      <c r="F1531" s="155">
        <v>-20</v>
      </c>
      <c r="G1531" s="133" t="str">
        <f>_xlfn.XLOOKUP(Table1[[#This Row],[Account_ID]], Accounts[ID], Accounts[Account nickname], "Unknown")</f>
        <v>WF</v>
      </c>
      <c r="H1531" s="134" t="str">
        <f>_xlfn.XLOOKUP(Table1[[#This Row],[Account_ID]], Accounts[ID], Accounts[Account'#], "Unknown")</f>
        <v>4636</v>
      </c>
      <c r="I1531" s="135" t="str">
        <f>_xlfn.XLOOKUP(_xlfn.XLOOKUP(Table1[[#This Row],[Account]],Accounts[Account nickname],Accounts[Institution ID]),Institutions[ID],Institutions[Institution nickname],"Unknown")</f>
        <v>Wells Fargo</v>
      </c>
      <c r="J1531" s="136" t="s">
        <v>1259</v>
      </c>
      <c r="K1531" s="137" t="s">
        <v>808</v>
      </c>
      <c r="L1531" s="137" t="s">
        <v>807</v>
      </c>
      <c r="M153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3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31" s="138" t="str" cm="1">
        <f t="array" ref="O1531">IFERROR(INDEX(CategoriesTable[Category type],MATCH(Table1[[#This Row],[Category]],CategoriesTable[Category name],0),0),"")</f>
        <v/>
      </c>
      <c r="P1531" s="138">
        <v>10</v>
      </c>
      <c r="Q1531" s="138">
        <f>MONTH(Table1[[#This Row],[Date]])</f>
        <v>11</v>
      </c>
      <c r="R1531" s="138">
        <v>2020</v>
      </c>
      <c r="S1531" s="139">
        <f>IF(ISBLANK(Table1[[#This Row],[Date]]),"",Table1[[#This Row],[Date]]-WEEKDAY(Table1[[#This Row],[Date]],2)+1)</f>
        <v>44144</v>
      </c>
      <c r="T1531" s="140">
        <f>IF(ISBLANK(Table1[[#This Row],[Date]]),"",DATE(Table1[[#This Row],[Date_Year]],Table1[[#This Row],[Date_Month]],1))</f>
        <v>44136</v>
      </c>
    </row>
    <row r="1532" spans="2:20" ht="15.75">
      <c r="B1532" s="154">
        <v>44145</v>
      </c>
      <c r="C1532" s="119" t="s">
        <v>2855</v>
      </c>
      <c r="D1532" s="119"/>
      <c r="E1532" s="119"/>
      <c r="F1532" s="155">
        <v>-59.99</v>
      </c>
      <c r="G1532" s="133" t="str">
        <f>_xlfn.XLOOKUP(Table1[[#This Row],[Account_ID]], Accounts[ID], Accounts[Account nickname], "Unknown")</f>
        <v>Discover</v>
      </c>
      <c r="H1532" s="134" t="str">
        <f>_xlfn.XLOOKUP(Table1[[#This Row],[Account_ID]], Accounts[ID], Accounts[Account'#], "Unknown")</f>
        <v>4618</v>
      </c>
      <c r="I1532" s="135" t="str">
        <f>_xlfn.XLOOKUP(_xlfn.XLOOKUP(Table1[[#This Row],[Account]],Accounts[Account nickname],Accounts[Institution ID]),Institutions[ID],Institutions[Institution nickname],"Unknown")</f>
        <v>Discover</v>
      </c>
      <c r="J1532" s="152" t="s">
        <v>2856</v>
      </c>
      <c r="K1532" s="137" t="s">
        <v>843</v>
      </c>
      <c r="L1532" s="137" t="s">
        <v>841</v>
      </c>
      <c r="M153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3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32" s="138" t="str" cm="1">
        <f t="array" ref="O1532">IFERROR(INDEX(CategoriesTable[Category type],MATCH(Table1[[#This Row],[Category]],CategoriesTable[Category name],0),0),"")</f>
        <v/>
      </c>
      <c r="P1532" s="138">
        <v>10</v>
      </c>
      <c r="Q1532" s="138">
        <f>MONTH(Table1[[#This Row],[Date]])</f>
        <v>11</v>
      </c>
      <c r="R1532" s="138">
        <v>2020</v>
      </c>
      <c r="S1532" s="139">
        <f>IF(ISBLANK(Table1[[#This Row],[Date]]),"",Table1[[#This Row],[Date]]-WEEKDAY(Table1[[#This Row],[Date]],2)+1)</f>
        <v>44144</v>
      </c>
      <c r="T1532" s="140">
        <f>IF(ISBLANK(Table1[[#This Row],[Date]]),"",DATE(Table1[[#This Row],[Date_Year]],Table1[[#This Row],[Date_Month]],1))</f>
        <v>44136</v>
      </c>
    </row>
    <row r="1533" spans="2:20" ht="15.75">
      <c r="B1533" s="154">
        <v>44145</v>
      </c>
      <c r="C1533" s="119" t="s">
        <v>2366</v>
      </c>
      <c r="D1533" s="119"/>
      <c r="E1533" s="119"/>
      <c r="F1533" s="155">
        <v>-77.94</v>
      </c>
      <c r="G1533" s="133" t="str">
        <f>_xlfn.XLOOKUP(Table1[[#This Row],[Account_ID]], Accounts[ID], Accounts[Account nickname], "Unknown")</f>
        <v>Discover</v>
      </c>
      <c r="H1533" s="134" t="str">
        <f>_xlfn.XLOOKUP(Table1[[#This Row],[Account_ID]], Accounts[ID], Accounts[Account'#], "Unknown")</f>
        <v>4618</v>
      </c>
      <c r="I1533" s="135" t="str">
        <f>_xlfn.XLOOKUP(_xlfn.XLOOKUP(Table1[[#This Row],[Account]],Accounts[Account nickname],Accounts[Institution ID]),Institutions[ID],Institutions[Institution nickname],"Unknown")</f>
        <v>Discover</v>
      </c>
      <c r="J1533" s="136" t="s">
        <v>2857</v>
      </c>
      <c r="K1533" s="137" t="s">
        <v>843</v>
      </c>
      <c r="L1533" s="137" t="s">
        <v>841</v>
      </c>
      <c r="M153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3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33" s="138" t="str" cm="1">
        <f t="array" ref="O1533">IFERROR(INDEX(CategoriesTable[Category type],MATCH(Table1[[#This Row],[Category]],CategoriesTable[Category name],0),0),"")</f>
        <v/>
      </c>
      <c r="P1533" s="138">
        <v>10</v>
      </c>
      <c r="Q1533" s="138">
        <f>MONTH(Table1[[#This Row],[Date]])</f>
        <v>11</v>
      </c>
      <c r="R1533" s="138">
        <v>2020</v>
      </c>
      <c r="S1533" s="139">
        <f>IF(ISBLANK(Table1[[#This Row],[Date]]),"",Table1[[#This Row],[Date]]-WEEKDAY(Table1[[#This Row],[Date]],2)+1)</f>
        <v>44144</v>
      </c>
      <c r="T1533" s="140">
        <f>IF(ISBLANK(Table1[[#This Row],[Date]]),"",DATE(Table1[[#This Row],[Date_Year]],Table1[[#This Row],[Date_Month]],1))</f>
        <v>44136</v>
      </c>
    </row>
    <row r="1534" spans="2:20" ht="15.75">
      <c r="B1534" s="154">
        <v>44144</v>
      </c>
      <c r="C1534" s="119" t="s">
        <v>2771</v>
      </c>
      <c r="D1534" s="119"/>
      <c r="E1534" s="119"/>
      <c r="F1534" s="155">
        <v>-79.989999999999995</v>
      </c>
      <c r="G1534" s="133" t="str">
        <f>_xlfn.XLOOKUP(Table1[[#This Row],[Account_ID]], Accounts[ID], Accounts[Account nickname], "Unknown")</f>
        <v>Discover</v>
      </c>
      <c r="H1534" s="134" t="str">
        <f>_xlfn.XLOOKUP(Table1[[#This Row],[Account_ID]], Accounts[ID], Accounts[Account'#], "Unknown")</f>
        <v>4618</v>
      </c>
      <c r="I1534" s="135" t="str">
        <f>_xlfn.XLOOKUP(_xlfn.XLOOKUP(Table1[[#This Row],[Account]],Accounts[Account nickname],Accounts[Institution ID]),Institutions[ID],Institutions[Institution nickname],"Unknown")</f>
        <v>Discover</v>
      </c>
      <c r="J1534" s="136" t="s">
        <v>2858</v>
      </c>
      <c r="K1534" s="137" t="s">
        <v>843</v>
      </c>
      <c r="L1534" s="137" t="s">
        <v>841</v>
      </c>
      <c r="M153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3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34" s="138" t="str" cm="1">
        <f t="array" ref="O1534">IFERROR(INDEX(CategoriesTable[Category type],MATCH(Table1[[#This Row],[Category]],CategoriesTable[Category name],0),0),"")</f>
        <v/>
      </c>
      <c r="P1534" s="138">
        <v>9</v>
      </c>
      <c r="Q1534" s="138">
        <f>MONTH(Table1[[#This Row],[Date]])</f>
        <v>11</v>
      </c>
      <c r="R1534" s="138">
        <v>2020</v>
      </c>
      <c r="S1534" s="139">
        <f>IF(ISBLANK(Table1[[#This Row],[Date]]),"",Table1[[#This Row],[Date]]-WEEKDAY(Table1[[#This Row],[Date]],2)+1)</f>
        <v>44144</v>
      </c>
      <c r="T1534" s="140">
        <f>IF(ISBLANK(Table1[[#This Row],[Date]]),"",DATE(Table1[[#This Row],[Date_Year]],Table1[[#This Row],[Date_Month]],1))</f>
        <v>44136</v>
      </c>
    </row>
    <row r="1535" spans="2:20" ht="15.75">
      <c r="B1535" s="154">
        <v>44144</v>
      </c>
      <c r="C1535" s="119" t="s">
        <v>2830</v>
      </c>
      <c r="D1535" s="119"/>
      <c r="E1535" s="119"/>
      <c r="F1535" s="155">
        <v>-1.75</v>
      </c>
      <c r="G1535" s="133" t="str">
        <f>_xlfn.XLOOKUP(Table1[[#This Row],[Account_ID]], Accounts[ID], Accounts[Account nickname], "Unknown")</f>
        <v>Discover</v>
      </c>
      <c r="H1535" s="134" t="str">
        <f>_xlfn.XLOOKUP(Table1[[#This Row],[Account_ID]], Accounts[ID], Accounts[Account'#], "Unknown")</f>
        <v>4618</v>
      </c>
      <c r="I1535" s="135" t="str">
        <f>_xlfn.XLOOKUP(_xlfn.XLOOKUP(Table1[[#This Row],[Account]],Accounts[Account nickname],Accounts[Institution ID]),Institutions[ID],Institutions[Institution nickname],"Unknown")</f>
        <v>Discover</v>
      </c>
      <c r="J1535" s="136" t="s">
        <v>2860</v>
      </c>
      <c r="K1535" s="137" t="s">
        <v>843</v>
      </c>
      <c r="L1535" s="137" t="s">
        <v>841</v>
      </c>
      <c r="M153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3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35" s="138" t="str" cm="1">
        <f t="array" ref="O1535">IFERROR(INDEX(CategoriesTable[Category type],MATCH(Table1[[#This Row],[Category]],CategoriesTable[Category name],0),0),"")</f>
        <v/>
      </c>
      <c r="P1535" s="138">
        <v>9</v>
      </c>
      <c r="Q1535" s="138">
        <f>MONTH(Table1[[#This Row],[Date]])</f>
        <v>11</v>
      </c>
      <c r="R1535" s="138">
        <v>2020</v>
      </c>
      <c r="S1535" s="139">
        <f>IF(ISBLANK(Table1[[#This Row],[Date]]),"",Table1[[#This Row],[Date]]-WEEKDAY(Table1[[#This Row],[Date]],2)+1)</f>
        <v>44144</v>
      </c>
      <c r="T1535" s="140">
        <f>IF(ISBLANK(Table1[[#This Row],[Date]]),"",DATE(Table1[[#This Row],[Date_Year]],Table1[[#This Row],[Date_Month]],1))</f>
        <v>44136</v>
      </c>
    </row>
    <row r="1536" spans="2:20" ht="15.75">
      <c r="B1536" s="154">
        <v>44144</v>
      </c>
      <c r="C1536" s="119" t="s">
        <v>704</v>
      </c>
      <c r="D1536" s="119"/>
      <c r="E1536" s="119"/>
      <c r="F1536" s="155">
        <v>-7.36</v>
      </c>
      <c r="G1536" s="133" t="str">
        <f>_xlfn.XLOOKUP(Table1[[#This Row],[Account_ID]], Accounts[ID], Accounts[Account nickname], "Unknown")</f>
        <v>Discover</v>
      </c>
      <c r="H1536" s="134" t="str">
        <f>_xlfn.XLOOKUP(Table1[[#This Row],[Account_ID]], Accounts[ID], Accounts[Account'#], "Unknown")</f>
        <v>4618</v>
      </c>
      <c r="I1536" s="135" t="str">
        <f>_xlfn.XLOOKUP(_xlfn.XLOOKUP(Table1[[#This Row],[Account]],Accounts[Account nickname],Accounts[Institution ID]),Institutions[ID],Institutions[Institution nickname],"Unknown")</f>
        <v>Discover</v>
      </c>
      <c r="J1536" s="136" t="s">
        <v>2859</v>
      </c>
      <c r="K1536" s="137" t="s">
        <v>843</v>
      </c>
      <c r="L1536" s="137" t="s">
        <v>841</v>
      </c>
      <c r="M153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3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36" s="138" t="str" cm="1">
        <f t="array" ref="O1536">IFERROR(INDEX(CategoriesTable[Category type],MATCH(Table1[[#This Row],[Category]],CategoriesTable[Category name],0),0),"")</f>
        <v/>
      </c>
      <c r="P1536" s="138">
        <v>9</v>
      </c>
      <c r="Q1536" s="138">
        <f>MONTH(Table1[[#This Row],[Date]])</f>
        <v>11</v>
      </c>
      <c r="R1536" s="138">
        <v>2020</v>
      </c>
      <c r="S1536" s="139">
        <f>IF(ISBLANK(Table1[[#This Row],[Date]]),"",Table1[[#This Row],[Date]]-WEEKDAY(Table1[[#This Row],[Date]],2)+1)</f>
        <v>44144</v>
      </c>
      <c r="T1536" s="140">
        <f>IF(ISBLANK(Table1[[#This Row],[Date]]),"",DATE(Table1[[#This Row],[Date_Year]],Table1[[#This Row],[Date_Month]],1))</f>
        <v>44136</v>
      </c>
    </row>
    <row r="1537" spans="2:20" ht="15.75">
      <c r="B1537" s="154">
        <v>44144</v>
      </c>
      <c r="C1537" s="119" t="s">
        <v>781</v>
      </c>
      <c r="D1537" s="119"/>
      <c r="E1537" s="119"/>
      <c r="F1537" s="155">
        <v>-75.53</v>
      </c>
      <c r="G1537" s="133" t="str">
        <f>_xlfn.XLOOKUP(Table1[[#This Row],[Account_ID]], Accounts[ID], Accounts[Account nickname], "Unknown")</f>
        <v>WF</v>
      </c>
      <c r="H1537" s="134" t="str">
        <f>_xlfn.XLOOKUP(Table1[[#This Row],[Account_ID]], Accounts[ID], Accounts[Account'#], "Unknown")</f>
        <v>4636</v>
      </c>
      <c r="I1537" s="135" t="str">
        <f>_xlfn.XLOOKUP(_xlfn.XLOOKUP(Table1[[#This Row],[Account]],Accounts[Account nickname],Accounts[Institution ID]),Institutions[ID],Institutions[Institution nickname],"Unknown")</f>
        <v>Wells Fargo</v>
      </c>
      <c r="J1537" s="136" t="s">
        <v>1261</v>
      </c>
      <c r="K1537" s="137" t="s">
        <v>808</v>
      </c>
      <c r="L1537" s="137" t="s">
        <v>807</v>
      </c>
      <c r="M153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3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37" s="138" t="str" cm="1">
        <f t="array" ref="O1537">IFERROR(INDEX(CategoriesTable[Category type],MATCH(Table1[[#This Row],[Category]],CategoriesTable[Category name],0),0),"")</f>
        <v/>
      </c>
      <c r="P1537" s="138">
        <v>9</v>
      </c>
      <c r="Q1537" s="138">
        <f>MONTH(Table1[[#This Row],[Date]])</f>
        <v>11</v>
      </c>
      <c r="R1537" s="138">
        <v>2020</v>
      </c>
      <c r="S1537" s="139">
        <f>IF(ISBLANK(Table1[[#This Row],[Date]]),"",Table1[[#This Row],[Date]]-WEEKDAY(Table1[[#This Row],[Date]],2)+1)</f>
        <v>44144</v>
      </c>
      <c r="T1537" s="140">
        <f>IF(ISBLANK(Table1[[#This Row],[Date]]),"",DATE(Table1[[#This Row],[Date_Year]],Table1[[#This Row],[Date_Month]],1))</f>
        <v>44136</v>
      </c>
    </row>
    <row r="1538" spans="2:20" ht="15.75">
      <c r="B1538" s="154">
        <v>44144</v>
      </c>
      <c r="C1538" s="119" t="s">
        <v>773</v>
      </c>
      <c r="D1538" s="119"/>
      <c r="E1538" s="119"/>
      <c r="F1538" s="155">
        <v>-50</v>
      </c>
      <c r="G1538" s="133" t="str">
        <f>_xlfn.XLOOKUP(Table1[[#This Row],[Account_ID]], Accounts[ID], Accounts[Account nickname], "Unknown")</f>
        <v>WF</v>
      </c>
      <c r="H1538" s="134" t="str">
        <f>_xlfn.XLOOKUP(Table1[[#This Row],[Account_ID]], Accounts[ID], Accounts[Account'#], "Unknown")</f>
        <v>4636</v>
      </c>
      <c r="I1538" s="135" t="str">
        <f>_xlfn.XLOOKUP(_xlfn.XLOOKUP(Table1[[#This Row],[Account]],Accounts[Account nickname],Accounts[Institution ID]),Institutions[ID],Institutions[Institution nickname],"Unknown")</f>
        <v>Wells Fargo</v>
      </c>
      <c r="J1538" s="136" t="s">
        <v>1260</v>
      </c>
      <c r="K1538" s="137" t="s">
        <v>808</v>
      </c>
      <c r="L1538" s="137" t="s">
        <v>807</v>
      </c>
      <c r="M153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3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38" s="138" t="str" cm="1">
        <f t="array" ref="O1538">IFERROR(INDEX(CategoriesTable[Category type],MATCH(Table1[[#This Row],[Category]],CategoriesTable[Category name],0),0),"")</f>
        <v/>
      </c>
      <c r="P1538" s="138">
        <v>9</v>
      </c>
      <c r="Q1538" s="138">
        <f>MONTH(Table1[[#This Row],[Date]])</f>
        <v>11</v>
      </c>
      <c r="R1538" s="138">
        <v>2020</v>
      </c>
      <c r="S1538" s="139">
        <f>IF(ISBLANK(Table1[[#This Row],[Date]]),"",Table1[[#This Row],[Date]]-WEEKDAY(Table1[[#This Row],[Date]],2)+1)</f>
        <v>44144</v>
      </c>
      <c r="T1538" s="140">
        <f>IF(ISBLANK(Table1[[#This Row],[Date]]),"",DATE(Table1[[#This Row],[Date_Year]],Table1[[#This Row],[Date_Month]],1))</f>
        <v>44136</v>
      </c>
    </row>
    <row r="1539" spans="2:20" ht="15.75">
      <c r="B1539" s="154">
        <v>44144</v>
      </c>
      <c r="C1539" s="119" t="s">
        <v>678</v>
      </c>
      <c r="D1539" s="119"/>
      <c r="E1539" s="119"/>
      <c r="F1539" s="155">
        <v>-41.19</v>
      </c>
      <c r="G1539" s="133" t="str">
        <f>_xlfn.XLOOKUP(Table1[[#This Row],[Account_ID]], Accounts[ID], Accounts[Account nickname], "Unknown")</f>
        <v>WF</v>
      </c>
      <c r="H1539" s="134" t="str">
        <f>_xlfn.XLOOKUP(Table1[[#This Row],[Account_ID]], Accounts[ID], Accounts[Account'#], "Unknown")</f>
        <v>4636</v>
      </c>
      <c r="I1539" s="135" t="str">
        <f>_xlfn.XLOOKUP(_xlfn.XLOOKUP(Table1[[#This Row],[Account]],Accounts[Account nickname],Accounts[Institution ID]),Institutions[ID],Institutions[Institution nickname],"Unknown")</f>
        <v>Wells Fargo</v>
      </c>
      <c r="J1539" s="136" t="s">
        <v>1263</v>
      </c>
      <c r="K1539" s="137" t="s">
        <v>808</v>
      </c>
      <c r="L1539" s="137" t="s">
        <v>807</v>
      </c>
      <c r="M153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3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39" s="138" t="str" cm="1">
        <f t="array" ref="O1539">IFERROR(INDEX(CategoriesTable[Category type],MATCH(Table1[[#This Row],[Category]],CategoriesTable[Category name],0),0),"")</f>
        <v/>
      </c>
      <c r="P1539" s="138">
        <v>9</v>
      </c>
      <c r="Q1539" s="138">
        <f>MONTH(Table1[[#This Row],[Date]])</f>
        <v>11</v>
      </c>
      <c r="R1539" s="138">
        <v>2020</v>
      </c>
      <c r="S1539" s="139">
        <f>IF(ISBLANK(Table1[[#This Row],[Date]]),"",Table1[[#This Row],[Date]]-WEEKDAY(Table1[[#This Row],[Date]],2)+1)</f>
        <v>44144</v>
      </c>
      <c r="T1539" s="140">
        <f>IF(ISBLANK(Table1[[#This Row],[Date]]),"",DATE(Table1[[#This Row],[Date_Year]],Table1[[#This Row],[Date_Month]],1))</f>
        <v>44136</v>
      </c>
    </row>
    <row r="1540" spans="2:20" ht="15.75">
      <c r="B1540" s="154">
        <v>44144</v>
      </c>
      <c r="C1540" s="119" t="s">
        <v>776</v>
      </c>
      <c r="D1540" s="119"/>
      <c r="E1540" s="119"/>
      <c r="F1540" s="155">
        <v>-300</v>
      </c>
      <c r="G1540" s="133" t="str">
        <f>_xlfn.XLOOKUP(Table1[[#This Row],[Account_ID]], Accounts[ID], Accounts[Account nickname], "Unknown")</f>
        <v>WF</v>
      </c>
      <c r="H1540" s="134" t="str">
        <f>_xlfn.XLOOKUP(Table1[[#This Row],[Account_ID]], Accounts[ID], Accounts[Account'#], "Unknown")</f>
        <v>4636</v>
      </c>
      <c r="I1540" s="135" t="str">
        <f>_xlfn.XLOOKUP(_xlfn.XLOOKUP(Table1[[#This Row],[Account]],Accounts[Account nickname],Accounts[Institution ID]),Institutions[ID],Institutions[Institution nickname],"Unknown")</f>
        <v>Wells Fargo</v>
      </c>
      <c r="J1540" s="136" t="s">
        <v>1262</v>
      </c>
      <c r="K1540" s="137" t="s">
        <v>808</v>
      </c>
      <c r="L1540" s="137" t="s">
        <v>807</v>
      </c>
      <c r="M154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4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40" s="138" t="str" cm="1">
        <f t="array" ref="O1540">IFERROR(INDEX(CategoriesTable[Category type],MATCH(Table1[[#This Row],[Category]],CategoriesTable[Category name],0),0),"")</f>
        <v/>
      </c>
      <c r="P1540" s="138">
        <v>9</v>
      </c>
      <c r="Q1540" s="138">
        <f>MONTH(Table1[[#This Row],[Date]])</f>
        <v>11</v>
      </c>
      <c r="R1540" s="138">
        <v>2020</v>
      </c>
      <c r="S1540" s="139">
        <f>IF(ISBLANK(Table1[[#This Row],[Date]]),"",Table1[[#This Row],[Date]]-WEEKDAY(Table1[[#This Row],[Date]],2)+1)</f>
        <v>44144</v>
      </c>
      <c r="T1540" s="140">
        <f>IF(ISBLANK(Table1[[#This Row],[Date]]),"",DATE(Table1[[#This Row],[Date_Year]],Table1[[#This Row],[Date_Month]],1))</f>
        <v>44136</v>
      </c>
    </row>
    <row r="1541" spans="2:20" ht="15.75">
      <c r="B1541" s="154">
        <v>44143</v>
      </c>
      <c r="C1541" s="119" t="s">
        <v>782</v>
      </c>
      <c r="D1541" s="119"/>
      <c r="E1541" s="119"/>
      <c r="F1541" s="155">
        <v>-15</v>
      </c>
      <c r="G1541" s="133" t="str">
        <f>_xlfn.XLOOKUP(Table1[[#This Row],[Account_ID]], Accounts[ID], Accounts[Account nickname], "Unknown")</f>
        <v>WF</v>
      </c>
      <c r="H1541" s="134" t="str">
        <f>_xlfn.XLOOKUP(Table1[[#This Row],[Account_ID]], Accounts[ID], Accounts[Account'#], "Unknown")</f>
        <v>4636</v>
      </c>
      <c r="I1541" s="135" t="str">
        <f>_xlfn.XLOOKUP(_xlfn.XLOOKUP(Table1[[#This Row],[Account]],Accounts[Account nickname],Accounts[Institution ID]),Institutions[ID],Institutions[Institution nickname],"Unknown")</f>
        <v>Wells Fargo</v>
      </c>
      <c r="J1541" s="136" t="s">
        <v>1264</v>
      </c>
      <c r="K1541" s="137" t="s">
        <v>808</v>
      </c>
      <c r="L1541" s="137" t="s">
        <v>807</v>
      </c>
      <c r="M154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4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41" s="138" t="str" cm="1">
        <f t="array" ref="O1541">IFERROR(INDEX(CategoriesTable[Category type],MATCH(Table1[[#This Row],[Category]],CategoriesTable[Category name],0),0),"")</f>
        <v/>
      </c>
      <c r="P1541" s="138">
        <v>8</v>
      </c>
      <c r="Q1541" s="138">
        <f>MONTH(Table1[[#This Row],[Date]])</f>
        <v>11</v>
      </c>
      <c r="R1541" s="138">
        <v>2020</v>
      </c>
      <c r="S1541" s="139">
        <f>IF(ISBLANK(Table1[[#This Row],[Date]]),"",Table1[[#This Row],[Date]]-WEEKDAY(Table1[[#This Row],[Date]],2)+1)</f>
        <v>44137</v>
      </c>
      <c r="T1541" s="140">
        <f>IF(ISBLANK(Table1[[#This Row],[Date]]),"",DATE(Table1[[#This Row],[Date_Year]],Table1[[#This Row],[Date_Month]],1))</f>
        <v>44136</v>
      </c>
    </row>
    <row r="1542" spans="2:20" ht="15.75">
      <c r="B1542" s="154">
        <v>44143</v>
      </c>
      <c r="C1542" s="119" t="s">
        <v>955</v>
      </c>
      <c r="D1542" s="119"/>
      <c r="E1542" s="119"/>
      <c r="F1542" s="155">
        <v>-4.99</v>
      </c>
      <c r="G1542" s="133" t="str">
        <f>_xlfn.XLOOKUP(Table1[[#This Row],[Account_ID]], Accounts[ID], Accounts[Account nickname], "Unknown")</f>
        <v>Discover</v>
      </c>
      <c r="H1542" s="134" t="str">
        <f>_xlfn.XLOOKUP(Table1[[#This Row],[Account_ID]], Accounts[ID], Accounts[Account'#], "Unknown")</f>
        <v>4618</v>
      </c>
      <c r="I1542" s="135" t="str">
        <f>_xlfn.XLOOKUP(_xlfn.XLOOKUP(Table1[[#This Row],[Account]],Accounts[Account nickname],Accounts[Institution ID]),Institutions[ID],Institutions[Institution nickname],"Unknown")</f>
        <v>Discover</v>
      </c>
      <c r="J1542" s="136" t="s">
        <v>2861</v>
      </c>
      <c r="K1542" s="137" t="s">
        <v>843</v>
      </c>
      <c r="L1542" s="137" t="s">
        <v>841</v>
      </c>
      <c r="M154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4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42" s="138" t="str" cm="1">
        <f t="array" ref="O1542">IFERROR(INDEX(CategoriesTable[Category type],MATCH(Table1[[#This Row],[Category]],CategoriesTable[Category name],0),0),"")</f>
        <v/>
      </c>
      <c r="P1542" s="138">
        <v>8</v>
      </c>
      <c r="Q1542" s="138">
        <f>MONTH(Table1[[#This Row],[Date]])</f>
        <v>11</v>
      </c>
      <c r="R1542" s="138">
        <v>2020</v>
      </c>
      <c r="S1542" s="139">
        <f>IF(ISBLANK(Table1[[#This Row],[Date]]),"",Table1[[#This Row],[Date]]-WEEKDAY(Table1[[#This Row],[Date]],2)+1)</f>
        <v>44137</v>
      </c>
      <c r="T1542" s="140">
        <f>IF(ISBLANK(Table1[[#This Row],[Date]]),"",DATE(Table1[[#This Row],[Date_Year]],Table1[[#This Row],[Date_Month]],1))</f>
        <v>44136</v>
      </c>
    </row>
    <row r="1543" spans="2:20" ht="15.75">
      <c r="B1543" s="154">
        <v>44142</v>
      </c>
      <c r="C1543" s="119" t="s">
        <v>2862</v>
      </c>
      <c r="D1543" s="119"/>
      <c r="E1543" s="119"/>
      <c r="F1543" s="155">
        <v>-9.99</v>
      </c>
      <c r="G1543" s="133" t="str">
        <f>_xlfn.XLOOKUP(Table1[[#This Row],[Account_ID]], Accounts[ID], Accounts[Account nickname], "Unknown")</f>
        <v>Discover</v>
      </c>
      <c r="H1543" s="134" t="str">
        <f>_xlfn.XLOOKUP(Table1[[#This Row],[Account_ID]], Accounts[ID], Accounts[Account'#], "Unknown")</f>
        <v>4618</v>
      </c>
      <c r="I1543" s="135" t="str">
        <f>_xlfn.XLOOKUP(_xlfn.XLOOKUP(Table1[[#This Row],[Account]],Accounts[Account nickname],Accounts[Institution ID]),Institutions[ID],Institutions[Institution nickname],"Unknown")</f>
        <v>Discover</v>
      </c>
      <c r="J1543" s="136" t="s">
        <v>2863</v>
      </c>
      <c r="K1543" s="137" t="s">
        <v>843</v>
      </c>
      <c r="L1543" s="137" t="s">
        <v>841</v>
      </c>
      <c r="M154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4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43" s="138" t="str" cm="1">
        <f t="array" ref="O1543">IFERROR(INDEX(CategoriesTable[Category type],MATCH(Table1[[#This Row],[Category]],CategoriesTable[Category name],0),0),"")</f>
        <v/>
      </c>
      <c r="P1543" s="138">
        <v>7</v>
      </c>
      <c r="Q1543" s="138">
        <f>MONTH(Table1[[#This Row],[Date]])</f>
        <v>11</v>
      </c>
      <c r="R1543" s="138">
        <v>2020</v>
      </c>
      <c r="S1543" s="139">
        <f>IF(ISBLANK(Table1[[#This Row],[Date]]),"",Table1[[#This Row],[Date]]-WEEKDAY(Table1[[#This Row],[Date]],2)+1)</f>
        <v>44137</v>
      </c>
      <c r="T1543" s="140">
        <f>IF(ISBLANK(Table1[[#This Row],[Date]]),"",DATE(Table1[[#This Row],[Date_Year]],Table1[[#This Row],[Date_Month]],1))</f>
        <v>44136</v>
      </c>
    </row>
    <row r="1544" spans="2:20" ht="15.75">
      <c r="B1544" s="154">
        <v>44142</v>
      </c>
      <c r="C1544" s="119" t="s">
        <v>704</v>
      </c>
      <c r="D1544" s="119"/>
      <c r="E1544" s="119"/>
      <c r="F1544" s="155">
        <v>-2.89</v>
      </c>
      <c r="G1544" s="133" t="str">
        <f>_xlfn.XLOOKUP(Table1[[#This Row],[Account_ID]], Accounts[ID], Accounts[Account nickname], "Unknown")</f>
        <v>Discover</v>
      </c>
      <c r="H1544" s="134" t="str">
        <f>_xlfn.XLOOKUP(Table1[[#This Row],[Account_ID]], Accounts[ID], Accounts[Account'#], "Unknown")</f>
        <v>4618</v>
      </c>
      <c r="I1544" s="135" t="str">
        <f>_xlfn.XLOOKUP(_xlfn.XLOOKUP(Table1[[#This Row],[Account]],Accounts[Account nickname],Accounts[Institution ID]),Institutions[ID],Institutions[Institution nickname],"Unknown")</f>
        <v>Discover</v>
      </c>
      <c r="J1544" s="136" t="s">
        <v>2864</v>
      </c>
      <c r="K1544" s="137" t="s">
        <v>843</v>
      </c>
      <c r="L1544" s="137" t="s">
        <v>841</v>
      </c>
      <c r="M154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4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44" s="138" t="str" cm="1">
        <f t="array" ref="O1544">IFERROR(INDEX(CategoriesTable[Category type],MATCH(Table1[[#This Row],[Category]],CategoriesTable[Category name],0),0),"")</f>
        <v/>
      </c>
      <c r="P1544" s="138">
        <v>7</v>
      </c>
      <c r="Q1544" s="138">
        <f>MONTH(Table1[[#This Row],[Date]])</f>
        <v>11</v>
      </c>
      <c r="R1544" s="138">
        <v>2020</v>
      </c>
      <c r="S1544" s="139">
        <f>IF(ISBLANK(Table1[[#This Row],[Date]]),"",Table1[[#This Row],[Date]]-WEEKDAY(Table1[[#This Row],[Date]],2)+1)</f>
        <v>44137</v>
      </c>
      <c r="T1544" s="140">
        <f>IF(ISBLANK(Table1[[#This Row],[Date]]),"",DATE(Table1[[#This Row],[Date_Year]],Table1[[#This Row],[Date_Month]],1))</f>
        <v>44136</v>
      </c>
    </row>
    <row r="1545" spans="2:20" ht="15.75">
      <c r="B1545" s="154">
        <v>44142</v>
      </c>
      <c r="C1545" s="119" t="s">
        <v>712</v>
      </c>
      <c r="D1545" s="119"/>
      <c r="E1545" s="119"/>
      <c r="F1545" s="155">
        <v>-10.119999999999999</v>
      </c>
      <c r="G1545" s="133" t="str">
        <f>_xlfn.XLOOKUP(Table1[[#This Row],[Account_ID]], Accounts[ID], Accounts[Account nickname], "Unknown")</f>
        <v>Discover</v>
      </c>
      <c r="H1545" s="134" t="str">
        <f>_xlfn.XLOOKUP(Table1[[#This Row],[Account_ID]], Accounts[ID], Accounts[Account'#], "Unknown")</f>
        <v>4618</v>
      </c>
      <c r="I1545" s="135" t="str">
        <f>_xlfn.XLOOKUP(_xlfn.XLOOKUP(Table1[[#This Row],[Account]],Accounts[Account nickname],Accounts[Institution ID]),Institutions[ID],Institutions[Institution nickname],"Unknown")</f>
        <v>Discover</v>
      </c>
      <c r="J1545" s="136" t="s">
        <v>2865</v>
      </c>
      <c r="K1545" s="137" t="s">
        <v>843</v>
      </c>
      <c r="L1545" s="137" t="s">
        <v>841</v>
      </c>
      <c r="M154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4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45" s="138" t="str" cm="1">
        <f t="array" ref="O1545">IFERROR(INDEX(CategoriesTable[Category type],MATCH(Table1[[#This Row],[Category]],CategoriesTable[Category name],0),0),"")</f>
        <v/>
      </c>
      <c r="P1545" s="138">
        <v>7</v>
      </c>
      <c r="Q1545" s="138">
        <f>MONTH(Table1[[#This Row],[Date]])</f>
        <v>11</v>
      </c>
      <c r="R1545" s="138">
        <v>2020</v>
      </c>
      <c r="S1545" s="139">
        <f>IF(ISBLANK(Table1[[#This Row],[Date]]),"",Table1[[#This Row],[Date]]-WEEKDAY(Table1[[#This Row],[Date]],2)+1)</f>
        <v>44137</v>
      </c>
      <c r="T1545" s="140">
        <f>IF(ISBLANK(Table1[[#This Row],[Date]]),"",DATE(Table1[[#This Row],[Date_Year]],Table1[[#This Row],[Date_Month]],1))</f>
        <v>44136</v>
      </c>
    </row>
    <row r="1546" spans="2:20" ht="15.75">
      <c r="B1546" s="154">
        <v>44141</v>
      </c>
      <c r="C1546" s="119" t="s">
        <v>678</v>
      </c>
      <c r="D1546" s="119"/>
      <c r="E1546" s="119"/>
      <c r="F1546" s="155">
        <v>-30</v>
      </c>
      <c r="G1546" s="133" t="str">
        <f>_xlfn.XLOOKUP(Table1[[#This Row],[Account_ID]], Accounts[ID], Accounts[Account nickname], "Unknown")</f>
        <v>WF</v>
      </c>
      <c r="H1546" s="134" t="str">
        <f>_xlfn.XLOOKUP(Table1[[#This Row],[Account_ID]], Accounts[ID], Accounts[Account'#], "Unknown")</f>
        <v>4636</v>
      </c>
      <c r="I1546" s="135" t="str">
        <f>_xlfn.XLOOKUP(_xlfn.XLOOKUP(Table1[[#This Row],[Account]],Accounts[Account nickname],Accounts[Institution ID]),Institutions[ID],Institutions[Institution nickname],"Unknown")</f>
        <v>Wells Fargo</v>
      </c>
      <c r="J1546" s="136" t="s">
        <v>1272</v>
      </c>
      <c r="K1546" s="137" t="s">
        <v>808</v>
      </c>
      <c r="L1546" s="137" t="s">
        <v>807</v>
      </c>
      <c r="M154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4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46" s="138" t="str" cm="1">
        <f t="array" ref="O1546">IFERROR(INDEX(CategoriesTable[Category type],MATCH(Table1[[#This Row],[Category]],CategoriesTable[Category name],0),0),"")</f>
        <v/>
      </c>
      <c r="P1546" s="138">
        <v>6</v>
      </c>
      <c r="Q1546" s="138">
        <f>MONTH(Table1[[#This Row],[Date]])</f>
        <v>11</v>
      </c>
      <c r="R1546" s="138">
        <v>2020</v>
      </c>
      <c r="S1546" s="139">
        <f>IF(ISBLANK(Table1[[#This Row],[Date]]),"",Table1[[#This Row],[Date]]-WEEKDAY(Table1[[#This Row],[Date]],2)+1)</f>
        <v>44137</v>
      </c>
      <c r="T1546" s="140">
        <f>IF(ISBLANK(Table1[[#This Row],[Date]]),"",DATE(Table1[[#This Row],[Date_Year]],Table1[[#This Row],[Date_Month]],1))</f>
        <v>44136</v>
      </c>
    </row>
    <row r="1547" spans="2:20" ht="15.75">
      <c r="B1547" s="154">
        <v>44141</v>
      </c>
      <c r="C1547" s="119" t="s">
        <v>683</v>
      </c>
      <c r="D1547" s="119"/>
      <c r="E1547" s="119"/>
      <c r="F1547" s="155">
        <v>-150</v>
      </c>
      <c r="G1547" s="133" t="str">
        <f>_xlfn.XLOOKUP(Table1[[#This Row],[Account_ID]], Accounts[ID], Accounts[Account nickname], "Unknown")</f>
        <v>WF</v>
      </c>
      <c r="H1547" s="134" t="str">
        <f>_xlfn.XLOOKUP(Table1[[#This Row],[Account_ID]], Accounts[ID], Accounts[Account'#], "Unknown")</f>
        <v>4636</v>
      </c>
      <c r="I1547" s="135" t="str">
        <f>_xlfn.XLOOKUP(_xlfn.XLOOKUP(Table1[[#This Row],[Account]],Accounts[Account nickname],Accounts[Institution ID]),Institutions[ID],Institutions[Institution nickname],"Unknown")</f>
        <v>Wells Fargo</v>
      </c>
      <c r="J1547" s="136" t="s">
        <v>1268</v>
      </c>
      <c r="K1547" s="137" t="s">
        <v>808</v>
      </c>
      <c r="L1547" s="137" t="s">
        <v>807</v>
      </c>
      <c r="M154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4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47" s="138" t="str" cm="1">
        <f t="array" ref="O1547">IFERROR(INDEX(CategoriesTable[Category type],MATCH(Table1[[#This Row],[Category]],CategoriesTable[Category name],0),0),"")</f>
        <v/>
      </c>
      <c r="P1547" s="138">
        <v>6</v>
      </c>
      <c r="Q1547" s="138">
        <f>MONTH(Table1[[#This Row],[Date]])</f>
        <v>11</v>
      </c>
      <c r="R1547" s="138">
        <v>2020</v>
      </c>
      <c r="S1547" s="139">
        <f>IF(ISBLANK(Table1[[#This Row],[Date]]),"",Table1[[#This Row],[Date]]-WEEKDAY(Table1[[#This Row],[Date]],2)+1)</f>
        <v>44137</v>
      </c>
      <c r="T1547" s="140">
        <f>IF(ISBLANK(Table1[[#This Row],[Date]]),"",DATE(Table1[[#This Row],[Date_Year]],Table1[[#This Row],[Date_Month]],1))</f>
        <v>44136</v>
      </c>
    </row>
    <row r="1548" spans="2:20" ht="15.75">
      <c r="B1548" s="154">
        <v>44141</v>
      </c>
      <c r="C1548" s="119" t="s">
        <v>751</v>
      </c>
      <c r="D1548" s="119"/>
      <c r="E1548" s="119"/>
      <c r="F1548" s="155">
        <v>1599.18</v>
      </c>
      <c r="G1548" s="133" t="str">
        <f>_xlfn.XLOOKUP(Table1[[#This Row],[Account_ID]], Accounts[ID], Accounts[Account nickname], "Unknown")</f>
        <v>WF</v>
      </c>
      <c r="H1548" s="134" t="str">
        <f>_xlfn.XLOOKUP(Table1[[#This Row],[Account_ID]], Accounts[ID], Accounts[Account'#], "Unknown")</f>
        <v>4636</v>
      </c>
      <c r="I1548" s="135" t="str">
        <f>_xlfn.XLOOKUP(_xlfn.XLOOKUP(Table1[[#This Row],[Account]],Accounts[Account nickname],Accounts[Institution ID]),Institutions[ID],Institutions[Institution nickname],"Unknown")</f>
        <v>Wells Fargo</v>
      </c>
      <c r="J1548" s="136" t="s">
        <v>1271</v>
      </c>
      <c r="K1548" s="137" t="s">
        <v>808</v>
      </c>
      <c r="L1548" s="137" t="s">
        <v>807</v>
      </c>
      <c r="M154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4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48" s="138" t="str" cm="1">
        <f t="array" ref="O1548">IFERROR(INDEX(CategoriesTable[Category type],MATCH(Table1[[#This Row],[Category]],CategoriesTable[Category name],0),0),"")</f>
        <v/>
      </c>
      <c r="P1548" s="138">
        <v>6</v>
      </c>
      <c r="Q1548" s="138">
        <f>MONTH(Table1[[#This Row],[Date]])</f>
        <v>11</v>
      </c>
      <c r="R1548" s="138">
        <v>2020</v>
      </c>
      <c r="S1548" s="139">
        <f>IF(ISBLANK(Table1[[#This Row],[Date]]),"",Table1[[#This Row],[Date]]-WEEKDAY(Table1[[#This Row],[Date]],2)+1)</f>
        <v>44137</v>
      </c>
      <c r="T1548" s="140">
        <f>IF(ISBLANK(Table1[[#This Row],[Date]]),"",DATE(Table1[[#This Row],[Date_Year]],Table1[[#This Row],[Date_Month]],1))</f>
        <v>44136</v>
      </c>
    </row>
    <row r="1549" spans="2:20" ht="15.75">
      <c r="B1549" s="154">
        <v>44141</v>
      </c>
      <c r="C1549" s="119" t="s">
        <v>784</v>
      </c>
      <c r="D1549" s="119"/>
      <c r="E1549" s="119"/>
      <c r="F1549" s="155">
        <v>-51.8</v>
      </c>
      <c r="G1549" s="133" t="str">
        <f>_xlfn.XLOOKUP(Table1[[#This Row],[Account_ID]], Accounts[ID], Accounts[Account nickname], "Unknown")</f>
        <v>WF</v>
      </c>
      <c r="H1549" s="134" t="str">
        <f>_xlfn.XLOOKUP(Table1[[#This Row],[Account_ID]], Accounts[ID], Accounts[Account'#], "Unknown")</f>
        <v>4636</v>
      </c>
      <c r="I1549" s="135" t="str">
        <f>_xlfn.XLOOKUP(_xlfn.XLOOKUP(Table1[[#This Row],[Account]],Accounts[Account nickname],Accounts[Institution ID]),Institutions[ID],Institutions[Institution nickname],"Unknown")</f>
        <v>Wells Fargo</v>
      </c>
      <c r="J1549" s="136" t="s">
        <v>1266</v>
      </c>
      <c r="K1549" s="137" t="s">
        <v>808</v>
      </c>
      <c r="L1549" s="137" t="s">
        <v>807</v>
      </c>
      <c r="M154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4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49" s="138" t="str" cm="1">
        <f t="array" ref="O1549">IFERROR(INDEX(CategoriesTable[Category type],MATCH(Table1[[#This Row],[Category]],CategoriesTable[Category name],0),0),"")</f>
        <v/>
      </c>
      <c r="P1549" s="138">
        <v>6</v>
      </c>
      <c r="Q1549" s="138">
        <f>MONTH(Table1[[#This Row],[Date]])</f>
        <v>11</v>
      </c>
      <c r="R1549" s="138">
        <v>2020</v>
      </c>
      <c r="S1549" s="139">
        <f>IF(ISBLANK(Table1[[#This Row],[Date]]),"",Table1[[#This Row],[Date]]-WEEKDAY(Table1[[#This Row],[Date]],2)+1)</f>
        <v>44137</v>
      </c>
      <c r="T1549" s="140">
        <f>IF(ISBLANK(Table1[[#This Row],[Date]]),"",DATE(Table1[[#This Row],[Date_Year]],Table1[[#This Row],[Date_Month]],1))</f>
        <v>44136</v>
      </c>
    </row>
    <row r="1550" spans="2:20" ht="15.75">
      <c r="B1550" s="154">
        <v>44141</v>
      </c>
      <c r="C1550" s="119" t="s">
        <v>686</v>
      </c>
      <c r="D1550" s="119"/>
      <c r="E1550" s="119"/>
      <c r="F1550" s="155">
        <v>-600</v>
      </c>
      <c r="G1550" s="133" t="str">
        <f>_xlfn.XLOOKUP(Table1[[#This Row],[Account_ID]], Accounts[ID], Accounts[Account nickname], "Unknown")</f>
        <v>WF</v>
      </c>
      <c r="H1550" s="134" t="str">
        <f>_xlfn.XLOOKUP(Table1[[#This Row],[Account_ID]], Accounts[ID], Accounts[Account'#], "Unknown")</f>
        <v>4636</v>
      </c>
      <c r="I1550" s="135" t="str">
        <f>_xlfn.XLOOKUP(_xlfn.XLOOKUP(Table1[[#This Row],[Account]],Accounts[Account nickname],Accounts[Institution ID]),Institutions[ID],Institutions[Institution nickname],"Unknown")</f>
        <v>Wells Fargo</v>
      </c>
      <c r="J1550" s="136" t="s">
        <v>1270</v>
      </c>
      <c r="K1550" s="137" t="s">
        <v>808</v>
      </c>
      <c r="L1550" s="137" t="s">
        <v>807</v>
      </c>
      <c r="M155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5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50" s="138" t="str" cm="1">
        <f t="array" ref="O1550">IFERROR(INDEX(CategoriesTable[Category type],MATCH(Table1[[#This Row],[Category]],CategoriesTable[Category name],0),0),"")</f>
        <v/>
      </c>
      <c r="P1550" s="138">
        <v>6</v>
      </c>
      <c r="Q1550" s="138">
        <f>MONTH(Table1[[#This Row],[Date]])</f>
        <v>11</v>
      </c>
      <c r="R1550" s="138">
        <v>2020</v>
      </c>
      <c r="S1550" s="139">
        <f>IF(ISBLANK(Table1[[#This Row],[Date]]),"",Table1[[#This Row],[Date]]-WEEKDAY(Table1[[#This Row],[Date]],2)+1)</f>
        <v>44137</v>
      </c>
      <c r="T1550" s="140">
        <f>IF(ISBLANK(Table1[[#This Row],[Date]]),"",DATE(Table1[[#This Row],[Date_Year]],Table1[[#This Row],[Date_Month]],1))</f>
        <v>44136</v>
      </c>
    </row>
    <row r="1551" spans="2:20" ht="15.75">
      <c r="B1551" s="154">
        <v>44141</v>
      </c>
      <c r="C1551" s="119" t="s">
        <v>783</v>
      </c>
      <c r="D1551" s="119"/>
      <c r="E1551" s="119"/>
      <c r="F1551" s="155">
        <v>-18.5</v>
      </c>
      <c r="G1551" s="133" t="str">
        <f>_xlfn.XLOOKUP(Table1[[#This Row],[Account_ID]], Accounts[ID], Accounts[Account nickname], "Unknown")</f>
        <v>WF</v>
      </c>
      <c r="H1551" s="134" t="str">
        <f>_xlfn.XLOOKUP(Table1[[#This Row],[Account_ID]], Accounts[ID], Accounts[Account'#], "Unknown")</f>
        <v>4636</v>
      </c>
      <c r="I1551" s="135" t="str">
        <f>_xlfn.XLOOKUP(_xlfn.XLOOKUP(Table1[[#This Row],[Account]],Accounts[Account nickname],Accounts[Institution ID]),Institutions[ID],Institutions[Institution nickname],"Unknown")</f>
        <v>Wells Fargo</v>
      </c>
      <c r="J1551" s="136" t="s">
        <v>1265</v>
      </c>
      <c r="K1551" s="137" t="s">
        <v>808</v>
      </c>
      <c r="L1551" s="137" t="s">
        <v>807</v>
      </c>
      <c r="M155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5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51" s="138" t="str" cm="1">
        <f t="array" ref="O1551">IFERROR(INDEX(CategoriesTable[Category type],MATCH(Table1[[#This Row],[Category]],CategoriesTable[Category name],0),0),"")</f>
        <v/>
      </c>
      <c r="P1551" s="138">
        <v>6</v>
      </c>
      <c r="Q1551" s="138">
        <f>MONTH(Table1[[#This Row],[Date]])</f>
        <v>11</v>
      </c>
      <c r="R1551" s="138">
        <v>2020</v>
      </c>
      <c r="S1551" s="139">
        <f>IF(ISBLANK(Table1[[#This Row],[Date]]),"",Table1[[#This Row],[Date]]-WEEKDAY(Table1[[#This Row],[Date]],2)+1)</f>
        <v>44137</v>
      </c>
      <c r="T1551" s="140">
        <f>IF(ISBLANK(Table1[[#This Row],[Date]]),"",DATE(Table1[[#This Row],[Date_Year]],Table1[[#This Row],[Date_Month]],1))</f>
        <v>44136</v>
      </c>
    </row>
    <row r="1552" spans="2:20" ht="15.75">
      <c r="B1552" s="154">
        <v>44141</v>
      </c>
      <c r="C1552" s="119" t="s">
        <v>678</v>
      </c>
      <c r="D1552" s="119"/>
      <c r="E1552" s="119"/>
      <c r="F1552" s="155">
        <v>-58.95</v>
      </c>
      <c r="G1552" s="133" t="str">
        <f>_xlfn.XLOOKUP(Table1[[#This Row],[Account_ID]], Accounts[ID], Accounts[Account nickname], "Unknown")</f>
        <v>WF</v>
      </c>
      <c r="H1552" s="134" t="str">
        <f>_xlfn.XLOOKUP(Table1[[#This Row],[Account_ID]], Accounts[ID], Accounts[Account'#], "Unknown")</f>
        <v>4636</v>
      </c>
      <c r="I1552" s="135" t="str">
        <f>_xlfn.XLOOKUP(_xlfn.XLOOKUP(Table1[[#This Row],[Account]],Accounts[Account nickname],Accounts[Institution ID]),Institutions[ID],Institutions[Institution nickname],"Unknown")</f>
        <v>Wells Fargo</v>
      </c>
      <c r="J1552" s="136" t="s">
        <v>1273</v>
      </c>
      <c r="K1552" s="137" t="s">
        <v>808</v>
      </c>
      <c r="L1552" s="137" t="s">
        <v>807</v>
      </c>
      <c r="M155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5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52" s="138" t="str" cm="1">
        <f t="array" ref="O1552">IFERROR(INDEX(CategoriesTable[Category type],MATCH(Table1[[#This Row],[Category]],CategoriesTable[Category name],0),0),"")</f>
        <v/>
      </c>
      <c r="P1552" s="138">
        <v>6</v>
      </c>
      <c r="Q1552" s="138">
        <f>MONTH(Table1[[#This Row],[Date]])</f>
        <v>11</v>
      </c>
      <c r="R1552" s="138">
        <v>2020</v>
      </c>
      <c r="S1552" s="139">
        <f>IF(ISBLANK(Table1[[#This Row],[Date]]),"",Table1[[#This Row],[Date]]-WEEKDAY(Table1[[#This Row],[Date]],2)+1)</f>
        <v>44137</v>
      </c>
      <c r="T1552" s="140">
        <f>IF(ISBLANK(Table1[[#This Row],[Date]]),"",DATE(Table1[[#This Row],[Date_Year]],Table1[[#This Row],[Date_Month]],1))</f>
        <v>44136</v>
      </c>
    </row>
    <row r="1553" spans="2:20" ht="15.75">
      <c r="B1553" s="154">
        <v>44141</v>
      </c>
      <c r="C1553" s="119" t="s">
        <v>845</v>
      </c>
      <c r="D1553" s="119"/>
      <c r="E1553" s="119"/>
      <c r="F1553" s="155">
        <v>600</v>
      </c>
      <c r="G1553" s="133" t="str">
        <f>_xlfn.XLOOKUP(Table1[[#This Row],[Account_ID]], Accounts[ID], Accounts[Account nickname], "Unknown")</f>
        <v>Discover</v>
      </c>
      <c r="H1553" s="134" t="str">
        <f>_xlfn.XLOOKUP(Table1[[#This Row],[Account_ID]], Accounts[ID], Accounts[Account'#], "Unknown")</f>
        <v>4618</v>
      </c>
      <c r="I1553" s="135" t="str">
        <f>_xlfn.XLOOKUP(_xlfn.XLOOKUP(Table1[[#This Row],[Account]],Accounts[Account nickname],Accounts[Institution ID]),Institutions[ID],Institutions[Institution nickname],"Unknown")</f>
        <v>Discover</v>
      </c>
      <c r="J1553" s="136" t="s">
        <v>2866</v>
      </c>
      <c r="K1553" s="137" t="s">
        <v>843</v>
      </c>
      <c r="L1553" s="137" t="s">
        <v>841</v>
      </c>
      <c r="M155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5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53" s="138" t="str" cm="1">
        <f t="array" ref="O1553">IFERROR(INDEX(CategoriesTable[Category type],MATCH(Table1[[#This Row],[Category]],CategoriesTable[Category name],0),0),"")</f>
        <v/>
      </c>
      <c r="P1553" s="138">
        <v>6</v>
      </c>
      <c r="Q1553" s="138">
        <f>MONTH(Table1[[#This Row],[Date]])</f>
        <v>11</v>
      </c>
      <c r="R1553" s="138">
        <v>2020</v>
      </c>
      <c r="S1553" s="139">
        <f>IF(ISBLANK(Table1[[#This Row],[Date]]),"",Table1[[#This Row],[Date]]-WEEKDAY(Table1[[#This Row],[Date]],2)+1)</f>
        <v>44137</v>
      </c>
      <c r="T1553" s="140">
        <f>IF(ISBLANK(Table1[[#This Row],[Date]]),"",DATE(Table1[[#This Row],[Date_Year]],Table1[[#This Row],[Date_Month]],1))</f>
        <v>44136</v>
      </c>
    </row>
    <row r="1554" spans="2:20" ht="15.75">
      <c r="B1554" s="154">
        <v>44141</v>
      </c>
      <c r="C1554" s="119" t="s">
        <v>773</v>
      </c>
      <c r="D1554" s="119"/>
      <c r="E1554" s="119"/>
      <c r="F1554" s="155">
        <v>-40</v>
      </c>
      <c r="G1554" s="133" t="str">
        <f>_xlfn.XLOOKUP(Table1[[#This Row],[Account_ID]], Accounts[ID], Accounts[Account nickname], "Unknown")</f>
        <v>WF</v>
      </c>
      <c r="H1554" s="134" t="str">
        <f>_xlfn.XLOOKUP(Table1[[#This Row],[Account_ID]], Accounts[ID], Accounts[Account'#], "Unknown")</f>
        <v>4636</v>
      </c>
      <c r="I1554" s="135" t="str">
        <f>_xlfn.XLOOKUP(_xlfn.XLOOKUP(Table1[[#This Row],[Account]],Accounts[Account nickname],Accounts[Institution ID]),Institutions[ID],Institutions[Institution nickname],"Unknown")</f>
        <v>Wells Fargo</v>
      </c>
      <c r="J1554" s="136" t="s">
        <v>1267</v>
      </c>
      <c r="K1554" s="137" t="s">
        <v>808</v>
      </c>
      <c r="L1554" s="137" t="s">
        <v>807</v>
      </c>
      <c r="M155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5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54" s="138" t="str" cm="1">
        <f t="array" ref="O1554">IFERROR(INDEX(CategoriesTable[Category type],MATCH(Table1[[#This Row],[Category]],CategoriesTable[Category name],0),0),"")</f>
        <v/>
      </c>
      <c r="P1554" s="138">
        <v>6</v>
      </c>
      <c r="Q1554" s="138">
        <f>MONTH(Table1[[#This Row],[Date]])</f>
        <v>11</v>
      </c>
      <c r="R1554" s="138">
        <v>2020</v>
      </c>
      <c r="S1554" s="139">
        <f>IF(ISBLANK(Table1[[#This Row],[Date]]),"",Table1[[#This Row],[Date]]-WEEKDAY(Table1[[#This Row],[Date]],2)+1)</f>
        <v>44137</v>
      </c>
      <c r="T1554" s="140">
        <f>IF(ISBLANK(Table1[[#This Row],[Date]]),"",DATE(Table1[[#This Row],[Date_Year]],Table1[[#This Row],[Date_Month]],1))</f>
        <v>44136</v>
      </c>
    </row>
    <row r="1555" spans="2:20" ht="15.75">
      <c r="B1555" s="154">
        <v>44141</v>
      </c>
      <c r="C1555" s="119" t="s">
        <v>753</v>
      </c>
      <c r="D1555" s="119"/>
      <c r="E1555" s="119"/>
      <c r="F1555" s="155">
        <v>160</v>
      </c>
      <c r="G1555" s="133" t="str">
        <f>_xlfn.XLOOKUP(Table1[[#This Row],[Account_ID]], Accounts[ID], Accounts[Account nickname], "Unknown")</f>
        <v>WF</v>
      </c>
      <c r="H1555" s="134" t="str">
        <f>_xlfn.XLOOKUP(Table1[[#This Row],[Account_ID]], Accounts[ID], Accounts[Account'#], "Unknown")</f>
        <v>4636</v>
      </c>
      <c r="I1555" s="135" t="str">
        <f>_xlfn.XLOOKUP(_xlfn.XLOOKUP(Table1[[#This Row],[Account]],Accounts[Account nickname],Accounts[Institution ID]),Institutions[ID],Institutions[Institution nickname],"Unknown")</f>
        <v>Wells Fargo</v>
      </c>
      <c r="J1555" s="136" t="s">
        <v>1269</v>
      </c>
      <c r="K1555" s="137" t="s">
        <v>808</v>
      </c>
      <c r="L1555" s="137" t="s">
        <v>807</v>
      </c>
      <c r="M155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5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55" s="138" t="str" cm="1">
        <f t="array" ref="O1555">IFERROR(INDEX(CategoriesTable[Category type],MATCH(Table1[[#This Row],[Category]],CategoriesTable[Category name],0),0),"")</f>
        <v/>
      </c>
      <c r="P1555" s="138">
        <v>6</v>
      </c>
      <c r="Q1555" s="138">
        <f>MONTH(Table1[[#This Row],[Date]])</f>
        <v>11</v>
      </c>
      <c r="R1555" s="138">
        <v>2020</v>
      </c>
      <c r="S1555" s="139">
        <f>IF(ISBLANK(Table1[[#This Row],[Date]]),"",Table1[[#This Row],[Date]]-WEEKDAY(Table1[[#This Row],[Date]],2)+1)</f>
        <v>44137</v>
      </c>
      <c r="T1555" s="140">
        <f>IF(ISBLANK(Table1[[#This Row],[Date]]),"",DATE(Table1[[#This Row],[Date_Year]],Table1[[#This Row],[Date_Month]],1))</f>
        <v>44136</v>
      </c>
    </row>
    <row r="1556" spans="2:20" ht="15.75">
      <c r="B1556" s="154">
        <v>44140</v>
      </c>
      <c r="C1556" s="119" t="s">
        <v>786</v>
      </c>
      <c r="D1556" s="119"/>
      <c r="E1556" s="119"/>
      <c r="F1556" s="155">
        <v>25</v>
      </c>
      <c r="G1556" s="133" t="str">
        <f>_xlfn.XLOOKUP(Table1[[#This Row],[Account_ID]], Accounts[ID], Accounts[Account nickname], "Unknown")</f>
        <v>WF</v>
      </c>
      <c r="H1556" s="134" t="str">
        <f>_xlfn.XLOOKUP(Table1[[#This Row],[Account_ID]], Accounts[ID], Accounts[Account'#], "Unknown")</f>
        <v>4636</v>
      </c>
      <c r="I1556" s="135" t="str">
        <f>_xlfn.XLOOKUP(_xlfn.XLOOKUP(Table1[[#This Row],[Account]],Accounts[Account nickname],Accounts[Institution ID]),Institutions[ID],Institutions[Institution nickname],"Unknown")</f>
        <v>Wells Fargo</v>
      </c>
      <c r="J1556" s="136" t="s">
        <v>1275</v>
      </c>
      <c r="K1556" s="137" t="s">
        <v>808</v>
      </c>
      <c r="L1556" s="137" t="s">
        <v>807</v>
      </c>
      <c r="M155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5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56" s="138" t="str" cm="1">
        <f t="array" ref="O1556">IFERROR(INDEX(CategoriesTable[Category type],MATCH(Table1[[#This Row],[Category]],CategoriesTable[Category name],0),0),"")</f>
        <v/>
      </c>
      <c r="P1556" s="138">
        <v>5</v>
      </c>
      <c r="Q1556" s="138">
        <f>MONTH(Table1[[#This Row],[Date]])</f>
        <v>11</v>
      </c>
      <c r="R1556" s="138">
        <v>2020</v>
      </c>
      <c r="S1556" s="139">
        <f>IF(ISBLANK(Table1[[#This Row],[Date]]),"",Table1[[#This Row],[Date]]-WEEKDAY(Table1[[#This Row],[Date]],2)+1)</f>
        <v>44137</v>
      </c>
      <c r="T1556" s="140">
        <f>IF(ISBLANK(Table1[[#This Row],[Date]]),"",DATE(Table1[[#This Row],[Date_Year]],Table1[[#This Row],[Date_Month]],1))</f>
        <v>44136</v>
      </c>
    </row>
    <row r="1557" spans="2:20" ht="15.75">
      <c r="B1557" s="154">
        <v>44140</v>
      </c>
      <c r="C1557" s="119" t="s">
        <v>1618</v>
      </c>
      <c r="D1557" s="119"/>
      <c r="E1557" s="119"/>
      <c r="F1557" s="155">
        <v>-39.950000000000003</v>
      </c>
      <c r="G1557" s="133" t="str">
        <f>_xlfn.XLOOKUP(Table1[[#This Row],[Account_ID]], Accounts[ID], Accounts[Account nickname], "Unknown")</f>
        <v>Discover</v>
      </c>
      <c r="H1557" s="134" t="str">
        <f>_xlfn.XLOOKUP(Table1[[#This Row],[Account_ID]], Accounts[ID], Accounts[Account'#], "Unknown")</f>
        <v>4618</v>
      </c>
      <c r="I1557" s="135" t="str">
        <f>_xlfn.XLOOKUP(_xlfn.XLOOKUP(Table1[[#This Row],[Account]],Accounts[Account nickname],Accounts[Institution ID]),Institutions[ID],Institutions[Institution nickname],"Unknown")</f>
        <v>Discover</v>
      </c>
      <c r="J1557" s="136" t="s">
        <v>2868</v>
      </c>
      <c r="K1557" s="137" t="s">
        <v>843</v>
      </c>
      <c r="L1557" s="137" t="s">
        <v>841</v>
      </c>
      <c r="M155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5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57" s="138" t="str" cm="1">
        <f t="array" ref="O1557">IFERROR(INDEX(CategoriesTable[Category type],MATCH(Table1[[#This Row],[Category]],CategoriesTable[Category name],0),0),"")</f>
        <v/>
      </c>
      <c r="P1557" s="138">
        <v>5</v>
      </c>
      <c r="Q1557" s="138">
        <f>MONTH(Table1[[#This Row],[Date]])</f>
        <v>11</v>
      </c>
      <c r="R1557" s="138">
        <v>2020</v>
      </c>
      <c r="S1557" s="139">
        <f>IF(ISBLANK(Table1[[#This Row],[Date]]),"",Table1[[#This Row],[Date]]-WEEKDAY(Table1[[#This Row],[Date]],2)+1)</f>
        <v>44137</v>
      </c>
      <c r="T1557" s="140">
        <f>IF(ISBLANK(Table1[[#This Row],[Date]]),"",DATE(Table1[[#This Row],[Date_Year]],Table1[[#This Row],[Date_Month]],1))</f>
        <v>44136</v>
      </c>
    </row>
    <row r="1558" spans="2:20" ht="15.75">
      <c r="B1558" s="154">
        <v>44140</v>
      </c>
      <c r="C1558" s="119" t="s">
        <v>2475</v>
      </c>
      <c r="D1558" s="119"/>
      <c r="E1558" s="119"/>
      <c r="F1558" s="155">
        <v>-58.95</v>
      </c>
      <c r="G1558" s="133" t="str">
        <f>_xlfn.XLOOKUP(Table1[[#This Row],[Account_ID]], Accounts[ID], Accounts[Account nickname], "Unknown")</f>
        <v>Discover</v>
      </c>
      <c r="H1558" s="134" t="str">
        <f>_xlfn.XLOOKUP(Table1[[#This Row],[Account_ID]], Accounts[ID], Accounts[Account'#], "Unknown")</f>
        <v>4618</v>
      </c>
      <c r="I1558" s="135" t="str">
        <f>_xlfn.XLOOKUP(_xlfn.XLOOKUP(Table1[[#This Row],[Account]],Accounts[Account nickname],Accounts[Institution ID]),Institutions[ID],Institutions[Institution nickname],"Unknown")</f>
        <v>Discover</v>
      </c>
      <c r="J1558" s="136" t="s">
        <v>2867</v>
      </c>
      <c r="K1558" s="137" t="s">
        <v>843</v>
      </c>
      <c r="L1558" s="137" t="s">
        <v>841</v>
      </c>
      <c r="M155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5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58" s="138" t="str" cm="1">
        <f t="array" ref="O1558">IFERROR(INDEX(CategoriesTable[Category type],MATCH(Table1[[#This Row],[Category]],CategoriesTable[Category name],0),0),"")</f>
        <v/>
      </c>
      <c r="P1558" s="138">
        <v>5</v>
      </c>
      <c r="Q1558" s="138">
        <f>MONTH(Table1[[#This Row],[Date]])</f>
        <v>11</v>
      </c>
      <c r="R1558" s="138">
        <v>2020</v>
      </c>
      <c r="S1558" s="139">
        <f>IF(ISBLANK(Table1[[#This Row],[Date]]),"",Table1[[#This Row],[Date]]-WEEKDAY(Table1[[#This Row],[Date]],2)+1)</f>
        <v>44137</v>
      </c>
      <c r="T1558" s="140">
        <f>IF(ISBLANK(Table1[[#This Row],[Date]]),"",DATE(Table1[[#This Row],[Date_Year]],Table1[[#This Row],[Date_Month]],1))</f>
        <v>44136</v>
      </c>
    </row>
    <row r="1559" spans="2:20" ht="15.75">
      <c r="B1559" s="154">
        <v>44140</v>
      </c>
      <c r="C1559" s="119" t="s">
        <v>2590</v>
      </c>
      <c r="D1559" s="119"/>
      <c r="E1559" s="119"/>
      <c r="F1559" s="155">
        <v>-14.42</v>
      </c>
      <c r="G1559" s="133" t="str">
        <f>_xlfn.XLOOKUP(Table1[[#This Row],[Account_ID]], Accounts[ID], Accounts[Account nickname], "Unknown")</f>
        <v>Discover</v>
      </c>
      <c r="H1559" s="134" t="str">
        <f>_xlfn.XLOOKUP(Table1[[#This Row],[Account_ID]], Accounts[ID], Accounts[Account'#], "Unknown")</f>
        <v>4618</v>
      </c>
      <c r="I1559" s="135" t="str">
        <f>_xlfn.XLOOKUP(_xlfn.XLOOKUP(Table1[[#This Row],[Account]],Accounts[Account nickname],Accounts[Institution ID]),Institutions[ID],Institutions[Institution nickname],"Unknown")</f>
        <v>Discover</v>
      </c>
      <c r="J1559" s="136" t="s">
        <v>2869</v>
      </c>
      <c r="K1559" s="137" t="s">
        <v>843</v>
      </c>
      <c r="L1559" s="137" t="s">
        <v>841</v>
      </c>
      <c r="M155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5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59" s="138" t="str" cm="1">
        <f t="array" ref="O1559">IFERROR(INDEX(CategoriesTable[Category type],MATCH(Table1[[#This Row],[Category]],CategoriesTable[Category name],0),0),"")</f>
        <v/>
      </c>
      <c r="P1559" s="138">
        <v>5</v>
      </c>
      <c r="Q1559" s="138">
        <f>MONTH(Table1[[#This Row],[Date]])</f>
        <v>11</v>
      </c>
      <c r="R1559" s="138">
        <v>2020</v>
      </c>
      <c r="S1559" s="139">
        <f>IF(ISBLANK(Table1[[#This Row],[Date]]),"",Table1[[#This Row],[Date]]-WEEKDAY(Table1[[#This Row],[Date]],2)+1)</f>
        <v>44137</v>
      </c>
      <c r="T1559" s="140">
        <f>IF(ISBLANK(Table1[[#This Row],[Date]]),"",DATE(Table1[[#This Row],[Date_Year]],Table1[[#This Row],[Date_Month]],1))</f>
        <v>44136</v>
      </c>
    </row>
    <row r="1560" spans="2:20" ht="15.75">
      <c r="B1560" s="154">
        <v>44140</v>
      </c>
      <c r="C1560" s="119" t="s">
        <v>785</v>
      </c>
      <c r="D1560" s="119"/>
      <c r="E1560" s="119"/>
      <c r="F1560" s="155">
        <v>-5.99</v>
      </c>
      <c r="G1560" s="133" t="str">
        <f>_xlfn.XLOOKUP(Table1[[#This Row],[Account_ID]], Accounts[ID], Accounts[Account nickname], "Unknown")</f>
        <v>WF</v>
      </c>
      <c r="H1560" s="134" t="str">
        <f>_xlfn.XLOOKUP(Table1[[#This Row],[Account_ID]], Accounts[ID], Accounts[Account'#], "Unknown")</f>
        <v>4636</v>
      </c>
      <c r="I1560" s="135" t="str">
        <f>_xlfn.XLOOKUP(_xlfn.XLOOKUP(Table1[[#This Row],[Account]],Accounts[Account nickname],Accounts[Institution ID]),Institutions[ID],Institutions[Institution nickname],"Unknown")</f>
        <v>Wells Fargo</v>
      </c>
      <c r="J1560" s="136" t="s">
        <v>1274</v>
      </c>
      <c r="K1560" s="137" t="s">
        <v>808</v>
      </c>
      <c r="L1560" s="137" t="s">
        <v>807</v>
      </c>
      <c r="M156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6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60" s="138" t="str" cm="1">
        <f t="array" ref="O1560">IFERROR(INDEX(CategoriesTable[Category type],MATCH(Table1[[#This Row],[Category]],CategoriesTable[Category name],0),0),"")</f>
        <v/>
      </c>
      <c r="P1560" s="138">
        <v>5</v>
      </c>
      <c r="Q1560" s="138">
        <f>MONTH(Table1[[#This Row],[Date]])</f>
        <v>11</v>
      </c>
      <c r="R1560" s="138">
        <v>2020</v>
      </c>
      <c r="S1560" s="139">
        <f>IF(ISBLANK(Table1[[#This Row],[Date]]),"",Table1[[#This Row],[Date]]-WEEKDAY(Table1[[#This Row],[Date]],2)+1)</f>
        <v>44137</v>
      </c>
      <c r="T1560" s="140">
        <f>IF(ISBLANK(Table1[[#This Row],[Date]]),"",DATE(Table1[[#This Row],[Date_Year]],Table1[[#This Row],[Date_Month]],1))</f>
        <v>44136</v>
      </c>
    </row>
    <row r="1561" spans="2:20" ht="15.75">
      <c r="B1561" s="154">
        <v>44138</v>
      </c>
      <c r="C1561" s="119" t="s">
        <v>1403</v>
      </c>
      <c r="D1561" s="119"/>
      <c r="E1561" s="119"/>
      <c r="F1561" s="155">
        <v>-97.25</v>
      </c>
      <c r="G1561" s="133" t="str">
        <f>_xlfn.XLOOKUP(Table1[[#This Row],[Account_ID]], Accounts[ID], Accounts[Account nickname], "Unknown")</f>
        <v>Discover</v>
      </c>
      <c r="H1561" s="134" t="str">
        <f>_xlfn.XLOOKUP(Table1[[#This Row],[Account_ID]], Accounts[ID], Accounts[Account'#], "Unknown")</f>
        <v>4618</v>
      </c>
      <c r="I1561" s="135" t="str">
        <f>_xlfn.XLOOKUP(_xlfn.XLOOKUP(Table1[[#This Row],[Account]],Accounts[Account nickname],Accounts[Institution ID]),Institutions[ID],Institutions[Institution nickname],"Unknown")</f>
        <v>Discover</v>
      </c>
      <c r="J1561" s="136" t="s">
        <v>2870</v>
      </c>
      <c r="K1561" s="137" t="s">
        <v>843</v>
      </c>
      <c r="L1561" s="137" t="s">
        <v>841</v>
      </c>
      <c r="M156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6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61" s="138" t="str" cm="1">
        <f t="array" ref="O1561">IFERROR(INDEX(CategoriesTable[Category type],MATCH(Table1[[#This Row],[Category]],CategoriesTable[Category name],0),0),"")</f>
        <v/>
      </c>
      <c r="P1561" s="138">
        <v>3</v>
      </c>
      <c r="Q1561" s="138">
        <f>MONTH(Table1[[#This Row],[Date]])</f>
        <v>11</v>
      </c>
      <c r="R1561" s="138">
        <v>2020</v>
      </c>
      <c r="S1561" s="139">
        <f>IF(ISBLANK(Table1[[#This Row],[Date]]),"",Table1[[#This Row],[Date]]-WEEKDAY(Table1[[#This Row],[Date]],2)+1)</f>
        <v>44137</v>
      </c>
      <c r="T1561" s="140">
        <f>IF(ISBLANK(Table1[[#This Row],[Date]]),"",DATE(Table1[[#This Row],[Date_Year]],Table1[[#This Row],[Date_Month]],1))</f>
        <v>44136</v>
      </c>
    </row>
    <row r="1562" spans="2:20" ht="15.75">
      <c r="B1562" s="154">
        <v>44136</v>
      </c>
      <c r="C1562" s="119" t="s">
        <v>697</v>
      </c>
      <c r="D1562" s="119"/>
      <c r="E1562" s="119"/>
      <c r="F1562" s="155">
        <v>-12.99</v>
      </c>
      <c r="G1562" s="133" t="str">
        <f>_xlfn.XLOOKUP(Table1[[#This Row],[Account_ID]], Accounts[ID], Accounts[Account nickname], "Unknown")</f>
        <v>Discover</v>
      </c>
      <c r="H1562" s="134" t="str">
        <f>_xlfn.XLOOKUP(Table1[[#This Row],[Account_ID]], Accounts[ID], Accounts[Account'#], "Unknown")</f>
        <v>4618</v>
      </c>
      <c r="I1562" s="135" t="str">
        <f>_xlfn.XLOOKUP(_xlfn.XLOOKUP(Table1[[#This Row],[Account]],Accounts[Account nickname],Accounts[Institution ID]),Institutions[ID],Institutions[Institution nickname],"Unknown")</f>
        <v>Discover</v>
      </c>
      <c r="J1562" s="136" t="s">
        <v>2873</v>
      </c>
      <c r="K1562" s="137" t="s">
        <v>843</v>
      </c>
      <c r="L1562" s="137" t="s">
        <v>841</v>
      </c>
      <c r="M156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6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62" s="138" t="str" cm="1">
        <f t="array" ref="O1562">IFERROR(INDEX(CategoriesTable[Category type],MATCH(Table1[[#This Row],[Category]],CategoriesTable[Category name],0),0),"")</f>
        <v/>
      </c>
      <c r="P1562" s="138">
        <v>1</v>
      </c>
      <c r="Q1562" s="138">
        <f>MONTH(Table1[[#This Row],[Date]])</f>
        <v>11</v>
      </c>
      <c r="R1562" s="138">
        <v>2020</v>
      </c>
      <c r="S1562" s="139">
        <f>IF(ISBLANK(Table1[[#This Row],[Date]]),"",Table1[[#This Row],[Date]]-WEEKDAY(Table1[[#This Row],[Date]],2)+1)</f>
        <v>44130</v>
      </c>
      <c r="T1562" s="140">
        <f>IF(ISBLANK(Table1[[#This Row],[Date]]),"",DATE(Table1[[#This Row],[Date_Year]],Table1[[#This Row],[Date_Month]],1))</f>
        <v>44136</v>
      </c>
    </row>
    <row r="1563" spans="2:20" ht="15.75">
      <c r="B1563" s="154">
        <v>44136</v>
      </c>
      <c r="C1563" s="119" t="s">
        <v>698</v>
      </c>
      <c r="D1563" s="119"/>
      <c r="E1563" s="119"/>
      <c r="F1563" s="155">
        <v>-9.99</v>
      </c>
      <c r="G1563" s="133" t="str">
        <f>_xlfn.XLOOKUP(Table1[[#This Row],[Account_ID]], Accounts[ID], Accounts[Account nickname], "Unknown")</f>
        <v>Discover</v>
      </c>
      <c r="H1563" s="134" t="str">
        <f>_xlfn.XLOOKUP(Table1[[#This Row],[Account_ID]], Accounts[ID], Accounts[Account'#], "Unknown")</f>
        <v>4618</v>
      </c>
      <c r="I1563" s="135" t="str">
        <f>_xlfn.XLOOKUP(_xlfn.XLOOKUP(Table1[[#This Row],[Account]],Accounts[Account nickname],Accounts[Institution ID]),Institutions[ID],Institutions[Institution nickname],"Unknown")</f>
        <v>Discover</v>
      </c>
      <c r="J1563" s="136" t="s">
        <v>2874</v>
      </c>
      <c r="K1563" s="137" t="s">
        <v>843</v>
      </c>
      <c r="L1563" s="137" t="s">
        <v>841</v>
      </c>
      <c r="M156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6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63" s="138" t="str" cm="1">
        <f t="array" ref="O1563">IFERROR(INDEX(CategoriesTable[Category type],MATCH(Table1[[#This Row],[Category]],CategoriesTable[Category name],0),0),"")</f>
        <v/>
      </c>
      <c r="P1563" s="138">
        <v>1</v>
      </c>
      <c r="Q1563" s="138">
        <f>MONTH(Table1[[#This Row],[Date]])</f>
        <v>11</v>
      </c>
      <c r="R1563" s="138">
        <v>2020</v>
      </c>
      <c r="S1563" s="139">
        <f>IF(ISBLANK(Table1[[#This Row],[Date]]),"",Table1[[#This Row],[Date]]-WEEKDAY(Table1[[#This Row],[Date]],2)+1)</f>
        <v>44130</v>
      </c>
      <c r="T1563" s="140">
        <f>IF(ISBLANK(Table1[[#This Row],[Date]]),"",DATE(Table1[[#This Row],[Date_Year]],Table1[[#This Row],[Date_Month]],1))</f>
        <v>44136</v>
      </c>
    </row>
    <row r="1564" spans="2:20" ht="15.75">
      <c r="B1564" s="154">
        <v>44136</v>
      </c>
      <c r="C1564" s="119" t="s">
        <v>708</v>
      </c>
      <c r="D1564" s="119"/>
      <c r="E1564" s="119"/>
      <c r="F1564" s="155">
        <v>-22.4</v>
      </c>
      <c r="G1564" s="133" t="str">
        <f>_xlfn.XLOOKUP(Table1[[#This Row],[Account_ID]], Accounts[ID], Accounts[Account nickname], "Unknown")</f>
        <v>Discover</v>
      </c>
      <c r="H1564" s="134" t="str">
        <f>_xlfn.XLOOKUP(Table1[[#This Row],[Account_ID]], Accounts[ID], Accounts[Account'#], "Unknown")</f>
        <v>4618</v>
      </c>
      <c r="I1564" s="135" t="str">
        <f>_xlfn.XLOOKUP(_xlfn.XLOOKUP(Table1[[#This Row],[Account]],Accounts[Account nickname],Accounts[Institution ID]),Institutions[ID],Institutions[Institution nickname],"Unknown")</f>
        <v>Discover</v>
      </c>
      <c r="J1564" s="136" t="s">
        <v>2872</v>
      </c>
      <c r="K1564" s="137" t="s">
        <v>843</v>
      </c>
      <c r="L1564" s="137" t="s">
        <v>841</v>
      </c>
      <c r="M156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6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64" s="138" t="str" cm="1">
        <f t="array" ref="O1564">IFERROR(INDEX(CategoriesTable[Category type],MATCH(Table1[[#This Row],[Category]],CategoriesTable[Category name],0),0),"")</f>
        <v/>
      </c>
      <c r="P1564" s="138">
        <v>1</v>
      </c>
      <c r="Q1564" s="138">
        <f>MONTH(Table1[[#This Row],[Date]])</f>
        <v>11</v>
      </c>
      <c r="R1564" s="138">
        <v>2020</v>
      </c>
      <c r="S1564" s="139">
        <f>IF(ISBLANK(Table1[[#This Row],[Date]]),"",Table1[[#This Row],[Date]]-WEEKDAY(Table1[[#This Row],[Date]],2)+1)</f>
        <v>44130</v>
      </c>
      <c r="T1564" s="140">
        <f>IF(ISBLANK(Table1[[#This Row],[Date]]),"",DATE(Table1[[#This Row],[Date_Year]],Table1[[#This Row],[Date_Month]],1))</f>
        <v>44136</v>
      </c>
    </row>
    <row r="1565" spans="2:20" ht="15.75">
      <c r="B1565" s="154">
        <v>44136</v>
      </c>
      <c r="C1565" s="119" t="s">
        <v>2590</v>
      </c>
      <c r="D1565" s="119"/>
      <c r="E1565" s="119"/>
      <c r="F1565" s="155">
        <v>-35.229999999999997</v>
      </c>
      <c r="G1565" s="133" t="str">
        <f>_xlfn.XLOOKUP(Table1[[#This Row],[Account_ID]], Accounts[ID], Accounts[Account nickname], "Unknown")</f>
        <v>Discover</v>
      </c>
      <c r="H1565" s="134" t="str">
        <f>_xlfn.XLOOKUP(Table1[[#This Row],[Account_ID]], Accounts[ID], Accounts[Account'#], "Unknown")</f>
        <v>4618</v>
      </c>
      <c r="I1565" s="135" t="str">
        <f>_xlfn.XLOOKUP(_xlfn.XLOOKUP(Table1[[#This Row],[Account]],Accounts[Account nickname],Accounts[Institution ID]),Institutions[ID],Institutions[Institution nickname],"Unknown")</f>
        <v>Discover</v>
      </c>
      <c r="J1565" s="136" t="s">
        <v>2875</v>
      </c>
      <c r="K1565" s="137" t="s">
        <v>843</v>
      </c>
      <c r="L1565" s="137" t="s">
        <v>841</v>
      </c>
      <c r="M156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6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65" s="138" t="str" cm="1">
        <f t="array" ref="O1565">IFERROR(INDEX(CategoriesTable[Category type],MATCH(Table1[[#This Row],[Category]],CategoriesTable[Category name],0),0),"")</f>
        <v/>
      </c>
      <c r="P1565" s="138">
        <v>1</v>
      </c>
      <c r="Q1565" s="138">
        <f>MONTH(Table1[[#This Row],[Date]])</f>
        <v>11</v>
      </c>
      <c r="R1565" s="138">
        <v>2020</v>
      </c>
      <c r="S1565" s="139">
        <f>IF(ISBLANK(Table1[[#This Row],[Date]]),"",Table1[[#This Row],[Date]]-WEEKDAY(Table1[[#This Row],[Date]],2)+1)</f>
        <v>44130</v>
      </c>
      <c r="T1565" s="140">
        <f>IF(ISBLANK(Table1[[#This Row],[Date]]),"",DATE(Table1[[#This Row],[Date_Year]],Table1[[#This Row],[Date_Month]],1))</f>
        <v>44136</v>
      </c>
    </row>
    <row r="1566" spans="2:20" ht="15.75">
      <c r="B1566" s="154">
        <v>44136</v>
      </c>
      <c r="C1566" s="119" t="s">
        <v>860</v>
      </c>
      <c r="D1566" s="119"/>
      <c r="E1566" s="119"/>
      <c r="F1566" s="155">
        <v>-28.87</v>
      </c>
      <c r="G1566" s="133" t="str">
        <f>_xlfn.XLOOKUP(Table1[[#This Row],[Account_ID]], Accounts[ID], Accounts[Account nickname], "Unknown")</f>
        <v>Discover</v>
      </c>
      <c r="H1566" s="134" t="str">
        <f>_xlfn.XLOOKUP(Table1[[#This Row],[Account_ID]], Accounts[ID], Accounts[Account'#], "Unknown")</f>
        <v>4618</v>
      </c>
      <c r="I1566" s="135" t="str">
        <f>_xlfn.XLOOKUP(_xlfn.XLOOKUP(Table1[[#This Row],[Account]],Accounts[Account nickname],Accounts[Institution ID]),Institutions[ID],Institutions[Institution nickname],"Unknown")</f>
        <v>Discover</v>
      </c>
      <c r="J1566" s="136" t="s">
        <v>2871</v>
      </c>
      <c r="K1566" s="137" t="s">
        <v>843</v>
      </c>
      <c r="L1566" s="137" t="s">
        <v>841</v>
      </c>
      <c r="M156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6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66" s="138" t="str" cm="1">
        <f t="array" ref="O1566">IFERROR(INDEX(CategoriesTable[Category type],MATCH(Table1[[#This Row],[Category]],CategoriesTable[Category name],0),0),"")</f>
        <v/>
      </c>
      <c r="P1566" s="138">
        <v>1</v>
      </c>
      <c r="Q1566" s="138">
        <f>MONTH(Table1[[#This Row],[Date]])</f>
        <v>11</v>
      </c>
      <c r="R1566" s="138">
        <v>2020</v>
      </c>
      <c r="S1566" s="139">
        <f>IF(ISBLANK(Table1[[#This Row],[Date]]),"",Table1[[#This Row],[Date]]-WEEKDAY(Table1[[#This Row],[Date]],2)+1)</f>
        <v>44130</v>
      </c>
      <c r="T1566" s="140">
        <f>IF(ISBLANK(Table1[[#This Row],[Date]]),"",DATE(Table1[[#This Row],[Date_Year]],Table1[[#This Row],[Date_Month]],1))</f>
        <v>44136</v>
      </c>
    </row>
    <row r="1567" spans="2:20" ht="15.75">
      <c r="B1567" s="154">
        <v>44135</v>
      </c>
      <c r="C1567" s="119" t="s">
        <v>706</v>
      </c>
      <c r="D1567" s="119"/>
      <c r="E1567" s="119"/>
      <c r="F1567" s="155">
        <v>-17.37</v>
      </c>
      <c r="G1567" s="133" t="str">
        <f>_xlfn.XLOOKUP(Table1[[#This Row],[Account_ID]], Accounts[ID], Accounts[Account nickname], "Unknown")</f>
        <v>Discover</v>
      </c>
      <c r="H1567" s="134" t="str">
        <f>_xlfn.XLOOKUP(Table1[[#This Row],[Account_ID]], Accounts[ID], Accounts[Account'#], "Unknown")</f>
        <v>4618</v>
      </c>
      <c r="I1567" s="135" t="str">
        <f>_xlfn.XLOOKUP(_xlfn.XLOOKUP(Table1[[#This Row],[Account]],Accounts[Account nickname],Accounts[Institution ID]),Institutions[ID],Institutions[Institution nickname],"Unknown")</f>
        <v>Discover</v>
      </c>
      <c r="J1567" s="136" t="s">
        <v>2876</v>
      </c>
      <c r="K1567" s="137" t="s">
        <v>843</v>
      </c>
      <c r="L1567" s="137" t="s">
        <v>841</v>
      </c>
      <c r="M156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6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67" s="138" t="str" cm="1">
        <f t="array" ref="O1567">IFERROR(INDEX(CategoriesTable[Category type],MATCH(Table1[[#This Row],[Category]],CategoriesTable[Category name],0),0),"")</f>
        <v/>
      </c>
      <c r="P1567" s="138">
        <v>31</v>
      </c>
      <c r="Q1567" s="138">
        <f>MONTH(Table1[[#This Row],[Date]])</f>
        <v>10</v>
      </c>
      <c r="R1567" s="138">
        <v>2020</v>
      </c>
      <c r="S1567" s="139">
        <f>IF(ISBLANK(Table1[[#This Row],[Date]]),"",Table1[[#This Row],[Date]]-WEEKDAY(Table1[[#This Row],[Date]],2)+1)</f>
        <v>44130</v>
      </c>
      <c r="T1567" s="140">
        <f>IF(ISBLANK(Table1[[#This Row],[Date]]),"",DATE(Table1[[#This Row],[Date_Year]],Table1[[#This Row],[Date_Month]],1))</f>
        <v>44105</v>
      </c>
    </row>
    <row r="1568" spans="2:20" ht="15.75">
      <c r="B1568" s="154">
        <v>44134</v>
      </c>
      <c r="C1568" s="119" t="s">
        <v>2880</v>
      </c>
      <c r="D1568" s="119"/>
      <c r="E1568" s="119"/>
      <c r="F1568" s="155">
        <v>-50.86</v>
      </c>
      <c r="G1568" s="133" t="str">
        <f>_xlfn.XLOOKUP(Table1[[#This Row],[Account_ID]], Accounts[ID], Accounts[Account nickname], "Unknown")</f>
        <v>Discover</v>
      </c>
      <c r="H1568" s="134" t="str">
        <f>_xlfn.XLOOKUP(Table1[[#This Row],[Account_ID]], Accounts[ID], Accounts[Account'#], "Unknown")</f>
        <v>4618</v>
      </c>
      <c r="I1568" s="135" t="str">
        <f>_xlfn.XLOOKUP(_xlfn.XLOOKUP(Table1[[#This Row],[Account]],Accounts[Account nickname],Accounts[Institution ID]),Institutions[ID],Institutions[Institution nickname],"Unknown")</f>
        <v>Discover</v>
      </c>
      <c r="J1568" s="136" t="s">
        <v>2881</v>
      </c>
      <c r="K1568" s="137" t="s">
        <v>843</v>
      </c>
      <c r="L1568" s="137" t="s">
        <v>841</v>
      </c>
      <c r="M156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6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68" s="138" t="str" cm="1">
        <f t="array" ref="O1568">IFERROR(INDEX(CategoriesTable[Category type],MATCH(Table1[[#This Row],[Category]],CategoriesTable[Category name],0),0),"")</f>
        <v/>
      </c>
      <c r="P1568" s="138">
        <v>30</v>
      </c>
      <c r="Q1568" s="138">
        <f>MONTH(Table1[[#This Row],[Date]])</f>
        <v>10</v>
      </c>
      <c r="R1568" s="138">
        <v>2020</v>
      </c>
      <c r="S1568" s="139">
        <f>IF(ISBLANK(Table1[[#This Row],[Date]]),"",Table1[[#This Row],[Date]]-WEEKDAY(Table1[[#This Row],[Date]],2)+1)</f>
        <v>44130</v>
      </c>
      <c r="T1568" s="140">
        <f>IF(ISBLANK(Table1[[#This Row],[Date]]),"",DATE(Table1[[#This Row],[Date_Year]],Table1[[#This Row],[Date_Month]],1))</f>
        <v>44105</v>
      </c>
    </row>
    <row r="1569" spans="2:20" ht="15.75">
      <c r="B1569" s="154">
        <v>44134</v>
      </c>
      <c r="C1569" s="119" t="s">
        <v>2878</v>
      </c>
      <c r="D1569" s="119"/>
      <c r="E1569" s="119"/>
      <c r="F1569" s="155">
        <v>-9.99</v>
      </c>
      <c r="G1569" s="133" t="str">
        <f>_xlfn.XLOOKUP(Table1[[#This Row],[Account_ID]], Accounts[ID], Accounts[Account nickname], "Unknown")</f>
        <v>Discover</v>
      </c>
      <c r="H1569" s="134" t="str">
        <f>_xlfn.XLOOKUP(Table1[[#This Row],[Account_ID]], Accounts[ID], Accounts[Account'#], "Unknown")</f>
        <v>4618</v>
      </c>
      <c r="I1569" s="135" t="str">
        <f>_xlfn.XLOOKUP(_xlfn.XLOOKUP(Table1[[#This Row],[Account]],Accounts[Account nickname],Accounts[Institution ID]),Institutions[ID],Institutions[Institution nickname],"Unknown")</f>
        <v>Discover</v>
      </c>
      <c r="J1569" s="136" t="s">
        <v>2879</v>
      </c>
      <c r="K1569" s="137" t="s">
        <v>843</v>
      </c>
      <c r="L1569" s="137" t="s">
        <v>841</v>
      </c>
      <c r="M156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6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69" s="138" t="str" cm="1">
        <f t="array" ref="O1569">IFERROR(INDEX(CategoriesTable[Category type],MATCH(Table1[[#This Row],[Category]],CategoriesTable[Category name],0),0),"")</f>
        <v/>
      </c>
      <c r="P1569" s="138">
        <v>30</v>
      </c>
      <c r="Q1569" s="138">
        <f>MONTH(Table1[[#This Row],[Date]])</f>
        <v>10</v>
      </c>
      <c r="R1569" s="138">
        <v>2020</v>
      </c>
      <c r="S1569" s="139">
        <f>IF(ISBLANK(Table1[[#This Row],[Date]]),"",Table1[[#This Row],[Date]]-WEEKDAY(Table1[[#This Row],[Date]],2)+1)</f>
        <v>44130</v>
      </c>
      <c r="T1569" s="140">
        <f>IF(ISBLANK(Table1[[#This Row],[Date]]),"",DATE(Table1[[#This Row],[Date_Year]],Table1[[#This Row],[Date_Month]],1))</f>
        <v>44105</v>
      </c>
    </row>
    <row r="1570" spans="2:20" ht="15.75">
      <c r="B1570" s="154">
        <v>44134</v>
      </c>
      <c r="C1570" s="119" t="s">
        <v>2882</v>
      </c>
      <c r="D1570" s="119"/>
      <c r="E1570" s="119"/>
      <c r="F1570" s="155">
        <v>-14</v>
      </c>
      <c r="G1570" s="133" t="str">
        <f>_xlfn.XLOOKUP(Table1[[#This Row],[Account_ID]], Accounts[ID], Accounts[Account nickname], "Unknown")</f>
        <v>Discover</v>
      </c>
      <c r="H1570" s="134" t="str">
        <f>_xlfn.XLOOKUP(Table1[[#This Row],[Account_ID]], Accounts[ID], Accounts[Account'#], "Unknown")</f>
        <v>4618</v>
      </c>
      <c r="I1570" s="135" t="str">
        <f>_xlfn.XLOOKUP(_xlfn.XLOOKUP(Table1[[#This Row],[Account]],Accounts[Account nickname],Accounts[Institution ID]),Institutions[ID],Institutions[Institution nickname],"Unknown")</f>
        <v>Discover</v>
      </c>
      <c r="J1570" s="152" t="s">
        <v>2883</v>
      </c>
      <c r="K1570" s="137" t="s">
        <v>843</v>
      </c>
      <c r="L1570" s="137" t="s">
        <v>841</v>
      </c>
      <c r="M157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7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70" s="138" t="str" cm="1">
        <f t="array" ref="O1570">IFERROR(INDEX(CategoriesTable[Category type],MATCH(Table1[[#This Row],[Category]],CategoriesTable[Category name],0),0),"")</f>
        <v/>
      </c>
      <c r="P1570" s="138">
        <v>30</v>
      </c>
      <c r="Q1570" s="138">
        <f>MONTH(Table1[[#This Row],[Date]])</f>
        <v>10</v>
      </c>
      <c r="R1570" s="138">
        <v>2020</v>
      </c>
      <c r="S1570" s="139">
        <f>IF(ISBLANK(Table1[[#This Row],[Date]]),"",Table1[[#This Row],[Date]]-WEEKDAY(Table1[[#This Row],[Date]],2)+1)</f>
        <v>44130</v>
      </c>
      <c r="T1570" s="140">
        <f>IF(ISBLANK(Table1[[#This Row],[Date]]),"",DATE(Table1[[#This Row],[Date_Year]],Table1[[#This Row],[Date_Month]],1))</f>
        <v>44105</v>
      </c>
    </row>
    <row r="1571" spans="2:20" ht="15.75">
      <c r="B1571" s="154">
        <v>44134</v>
      </c>
      <c r="C1571" s="119" t="s">
        <v>2771</v>
      </c>
      <c r="D1571" s="119"/>
      <c r="E1571" s="119"/>
      <c r="F1571" s="155">
        <v>-14.98</v>
      </c>
      <c r="G1571" s="133" t="str">
        <f>_xlfn.XLOOKUP(Table1[[#This Row],[Account_ID]], Accounts[ID], Accounts[Account nickname], "Unknown")</f>
        <v>Discover</v>
      </c>
      <c r="H1571" s="134" t="str">
        <f>_xlfn.XLOOKUP(Table1[[#This Row],[Account_ID]], Accounts[ID], Accounts[Account'#], "Unknown")</f>
        <v>4618</v>
      </c>
      <c r="I1571" s="135" t="str">
        <f>_xlfn.XLOOKUP(_xlfn.XLOOKUP(Table1[[#This Row],[Account]],Accounts[Account nickname],Accounts[Institution ID]),Institutions[ID],Institutions[Institution nickname],"Unknown")</f>
        <v>Discover</v>
      </c>
      <c r="J1571" s="136" t="s">
        <v>2877</v>
      </c>
      <c r="K1571" s="137" t="s">
        <v>843</v>
      </c>
      <c r="L1571" s="137" t="s">
        <v>841</v>
      </c>
      <c r="M157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7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71" s="138" t="str" cm="1">
        <f t="array" ref="O1571">IFERROR(INDEX(CategoriesTable[Category type],MATCH(Table1[[#This Row],[Category]],CategoriesTable[Category name],0),0),"")</f>
        <v/>
      </c>
      <c r="P1571" s="138">
        <v>30</v>
      </c>
      <c r="Q1571" s="138">
        <f>MONTH(Table1[[#This Row],[Date]])</f>
        <v>10</v>
      </c>
      <c r="R1571" s="138">
        <v>2020</v>
      </c>
      <c r="S1571" s="139">
        <f>IF(ISBLANK(Table1[[#This Row],[Date]]),"",Table1[[#This Row],[Date]]-WEEKDAY(Table1[[#This Row],[Date]],2)+1)</f>
        <v>44130</v>
      </c>
      <c r="T1571" s="140">
        <f>IF(ISBLANK(Table1[[#This Row],[Date]]),"",DATE(Table1[[#This Row],[Date_Year]],Table1[[#This Row],[Date_Month]],1))</f>
        <v>44105</v>
      </c>
    </row>
    <row r="1572" spans="2:20" ht="15.75">
      <c r="B1572" s="154">
        <v>44133</v>
      </c>
      <c r="C1572" s="119" t="s">
        <v>678</v>
      </c>
      <c r="D1572" s="119"/>
      <c r="E1572" s="119"/>
      <c r="F1572" s="155">
        <v>-545.9</v>
      </c>
      <c r="G1572" s="133" t="str">
        <f>_xlfn.XLOOKUP(Table1[[#This Row],[Account_ID]], Accounts[ID], Accounts[Account nickname], "Unknown")</f>
        <v>Discover</v>
      </c>
      <c r="H1572" s="134" t="str">
        <f>_xlfn.XLOOKUP(Table1[[#This Row],[Account_ID]], Accounts[ID], Accounts[Account'#], "Unknown")</f>
        <v>4618</v>
      </c>
      <c r="I1572" s="135" t="str">
        <f>_xlfn.XLOOKUP(_xlfn.XLOOKUP(Table1[[#This Row],[Account]],Accounts[Account nickname],Accounts[Institution ID]),Institutions[ID],Institutions[Institution nickname],"Unknown")</f>
        <v>Discover</v>
      </c>
      <c r="J1572" s="136" t="s">
        <v>2886</v>
      </c>
      <c r="K1572" s="137" t="s">
        <v>843</v>
      </c>
      <c r="L1572" s="137" t="s">
        <v>841</v>
      </c>
      <c r="M157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7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72" s="138" t="str" cm="1">
        <f t="array" ref="O1572">IFERROR(INDEX(CategoriesTable[Category type],MATCH(Table1[[#This Row],[Category]],CategoriesTable[Category name],0),0),"")</f>
        <v/>
      </c>
      <c r="P1572" s="138">
        <v>29</v>
      </c>
      <c r="Q1572" s="138">
        <f>MONTH(Table1[[#This Row],[Date]])</f>
        <v>10</v>
      </c>
      <c r="R1572" s="138">
        <v>2020</v>
      </c>
      <c r="S1572" s="139">
        <f>IF(ISBLANK(Table1[[#This Row],[Date]]),"",Table1[[#This Row],[Date]]-WEEKDAY(Table1[[#This Row],[Date]],2)+1)</f>
        <v>44130</v>
      </c>
      <c r="T1572" s="140">
        <f>IF(ISBLANK(Table1[[#This Row],[Date]]),"",DATE(Table1[[#This Row],[Date_Year]],Table1[[#This Row],[Date_Month]],1))</f>
        <v>44105</v>
      </c>
    </row>
    <row r="1573" spans="2:20" ht="15.75">
      <c r="B1573" s="154">
        <v>44133</v>
      </c>
      <c r="C1573" s="119" t="s">
        <v>2884</v>
      </c>
      <c r="D1573" s="119"/>
      <c r="E1573" s="119"/>
      <c r="F1573" s="155">
        <v>-35</v>
      </c>
      <c r="G1573" s="133" t="str">
        <f>_xlfn.XLOOKUP(Table1[[#This Row],[Account_ID]], Accounts[ID], Accounts[Account nickname], "Unknown")</f>
        <v>Discover</v>
      </c>
      <c r="H1573" s="134" t="str">
        <f>_xlfn.XLOOKUP(Table1[[#This Row],[Account_ID]], Accounts[ID], Accounts[Account'#], "Unknown")</f>
        <v>4618</v>
      </c>
      <c r="I1573" s="135" t="str">
        <f>_xlfn.XLOOKUP(_xlfn.XLOOKUP(Table1[[#This Row],[Account]],Accounts[Account nickname],Accounts[Institution ID]),Institutions[ID],Institutions[Institution nickname],"Unknown")</f>
        <v>Discover</v>
      </c>
      <c r="J1573" s="136" t="s">
        <v>2885</v>
      </c>
      <c r="K1573" s="137" t="s">
        <v>843</v>
      </c>
      <c r="L1573" s="137" t="s">
        <v>841</v>
      </c>
      <c r="M157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7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73" s="138" t="str" cm="1">
        <f t="array" ref="O1573">IFERROR(INDEX(CategoriesTable[Category type],MATCH(Table1[[#This Row],[Category]],CategoriesTable[Category name],0),0),"")</f>
        <v/>
      </c>
      <c r="P1573" s="138">
        <v>29</v>
      </c>
      <c r="Q1573" s="138">
        <f>MONTH(Table1[[#This Row],[Date]])</f>
        <v>10</v>
      </c>
      <c r="R1573" s="138">
        <v>2020</v>
      </c>
      <c r="S1573" s="139">
        <f>IF(ISBLANK(Table1[[#This Row],[Date]]),"",Table1[[#This Row],[Date]]-WEEKDAY(Table1[[#This Row],[Date]],2)+1)</f>
        <v>44130</v>
      </c>
      <c r="T1573" s="140">
        <f>IF(ISBLANK(Table1[[#This Row],[Date]]),"",DATE(Table1[[#This Row],[Date_Year]],Table1[[#This Row],[Date_Month]],1))</f>
        <v>44105</v>
      </c>
    </row>
    <row r="1574" spans="2:20" ht="15.75">
      <c r="B1574" s="154">
        <v>44133</v>
      </c>
      <c r="C1574" s="119" t="s">
        <v>787</v>
      </c>
      <c r="D1574" s="119"/>
      <c r="E1574" s="119"/>
      <c r="F1574" s="155">
        <v>-0.64</v>
      </c>
      <c r="G1574" s="133" t="str">
        <f>_xlfn.XLOOKUP(Table1[[#This Row],[Account_ID]], Accounts[ID], Accounts[Account nickname], "Unknown")</f>
        <v>WF</v>
      </c>
      <c r="H1574" s="134" t="str">
        <f>_xlfn.XLOOKUP(Table1[[#This Row],[Account_ID]], Accounts[ID], Accounts[Account'#], "Unknown")</f>
        <v>4636</v>
      </c>
      <c r="I1574" s="135" t="str">
        <f>_xlfn.XLOOKUP(_xlfn.XLOOKUP(Table1[[#This Row],[Account]],Accounts[Account nickname],Accounts[Institution ID]),Institutions[ID],Institutions[Institution nickname],"Unknown")</f>
        <v>Wells Fargo</v>
      </c>
      <c r="J1574" s="136" t="s">
        <v>1276</v>
      </c>
      <c r="K1574" s="137" t="s">
        <v>808</v>
      </c>
      <c r="L1574" s="137" t="s">
        <v>807</v>
      </c>
      <c r="M157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7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74" s="138" t="str" cm="1">
        <f t="array" ref="O1574">IFERROR(INDEX(CategoriesTable[Category type],MATCH(Table1[[#This Row],[Category]],CategoriesTable[Category name],0),0),"")</f>
        <v/>
      </c>
      <c r="P1574" s="138">
        <v>29</v>
      </c>
      <c r="Q1574" s="138">
        <f>MONTH(Table1[[#This Row],[Date]])</f>
        <v>10</v>
      </c>
      <c r="R1574" s="138">
        <v>2020</v>
      </c>
      <c r="S1574" s="139">
        <f>IF(ISBLANK(Table1[[#This Row],[Date]]),"",Table1[[#This Row],[Date]]-WEEKDAY(Table1[[#This Row],[Date]],2)+1)</f>
        <v>44130</v>
      </c>
      <c r="T1574" s="140">
        <f>IF(ISBLANK(Table1[[#This Row],[Date]]),"",DATE(Table1[[#This Row],[Date_Year]],Table1[[#This Row],[Date_Month]],1))</f>
        <v>44105</v>
      </c>
    </row>
    <row r="1575" spans="2:20" ht="15.75">
      <c r="B1575" s="154">
        <v>44132</v>
      </c>
      <c r="C1575" s="119" t="s">
        <v>702</v>
      </c>
      <c r="D1575" s="119"/>
      <c r="E1575" s="119"/>
      <c r="F1575" s="155">
        <v>-3.06</v>
      </c>
      <c r="G1575" s="133" t="str">
        <f>_xlfn.XLOOKUP(Table1[[#This Row],[Account_ID]], Accounts[ID], Accounts[Account nickname], "Unknown")</f>
        <v>Discover</v>
      </c>
      <c r="H1575" s="134" t="str">
        <f>_xlfn.XLOOKUP(Table1[[#This Row],[Account_ID]], Accounts[ID], Accounts[Account'#], "Unknown")</f>
        <v>4618</v>
      </c>
      <c r="I1575" s="135" t="str">
        <f>_xlfn.XLOOKUP(_xlfn.XLOOKUP(Table1[[#This Row],[Account]],Accounts[Account nickname],Accounts[Institution ID]),Institutions[ID],Institutions[Institution nickname],"Unknown")</f>
        <v>Discover</v>
      </c>
      <c r="J1575" s="136" t="s">
        <v>2887</v>
      </c>
      <c r="K1575" s="137" t="s">
        <v>843</v>
      </c>
      <c r="L1575" s="137" t="s">
        <v>841</v>
      </c>
      <c r="M157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7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75" s="138" t="str" cm="1">
        <f t="array" ref="O1575">IFERROR(INDEX(CategoriesTable[Category type],MATCH(Table1[[#This Row],[Category]],CategoriesTable[Category name],0),0),"")</f>
        <v/>
      </c>
      <c r="P1575" s="138">
        <v>28</v>
      </c>
      <c r="Q1575" s="138">
        <f>MONTH(Table1[[#This Row],[Date]])</f>
        <v>10</v>
      </c>
      <c r="R1575" s="138">
        <v>2020</v>
      </c>
      <c r="S1575" s="139">
        <f>IF(ISBLANK(Table1[[#This Row],[Date]]),"",Table1[[#This Row],[Date]]-WEEKDAY(Table1[[#This Row],[Date]],2)+1)</f>
        <v>44130</v>
      </c>
      <c r="T1575" s="140">
        <f>IF(ISBLANK(Table1[[#This Row],[Date]]),"",DATE(Table1[[#This Row],[Date_Year]],Table1[[#This Row],[Date_Month]],1))</f>
        <v>44105</v>
      </c>
    </row>
    <row r="1576" spans="2:20" ht="15.75">
      <c r="B1576" s="154">
        <v>44131</v>
      </c>
      <c r="C1576" s="119" t="s">
        <v>2590</v>
      </c>
      <c r="D1576" s="119"/>
      <c r="E1576" s="119"/>
      <c r="F1576" s="155">
        <v>-2.82</v>
      </c>
      <c r="G1576" s="133" t="str">
        <f>_xlfn.XLOOKUP(Table1[[#This Row],[Account_ID]], Accounts[ID], Accounts[Account nickname], "Unknown")</f>
        <v>Discover</v>
      </c>
      <c r="H1576" s="134" t="str">
        <f>_xlfn.XLOOKUP(Table1[[#This Row],[Account_ID]], Accounts[ID], Accounts[Account'#], "Unknown")</f>
        <v>4618</v>
      </c>
      <c r="I1576" s="135" t="str">
        <f>_xlfn.XLOOKUP(_xlfn.XLOOKUP(Table1[[#This Row],[Account]],Accounts[Account nickname],Accounts[Institution ID]),Institutions[ID],Institutions[Institution nickname],"Unknown")</f>
        <v>Discover</v>
      </c>
      <c r="J1576" s="136" t="s">
        <v>2891</v>
      </c>
      <c r="K1576" s="137" t="s">
        <v>843</v>
      </c>
      <c r="L1576" s="137" t="s">
        <v>841</v>
      </c>
      <c r="M157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7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76" s="138" t="str" cm="1">
        <f t="array" ref="O1576">IFERROR(INDEX(CategoriesTable[Category type],MATCH(Table1[[#This Row],[Category]],CategoriesTable[Category name],0),0),"")</f>
        <v/>
      </c>
      <c r="P1576" s="138">
        <v>27</v>
      </c>
      <c r="Q1576" s="138">
        <f>MONTH(Table1[[#This Row],[Date]])</f>
        <v>10</v>
      </c>
      <c r="R1576" s="138">
        <v>2020</v>
      </c>
      <c r="S1576" s="139">
        <f>IF(ISBLANK(Table1[[#This Row],[Date]]),"",Table1[[#This Row],[Date]]-WEEKDAY(Table1[[#This Row],[Date]],2)+1)</f>
        <v>44130</v>
      </c>
      <c r="T1576" s="140">
        <f>IF(ISBLANK(Table1[[#This Row],[Date]]),"",DATE(Table1[[#This Row],[Date_Year]],Table1[[#This Row],[Date_Month]],1))</f>
        <v>44105</v>
      </c>
    </row>
    <row r="1577" spans="2:20" ht="15.75">
      <c r="B1577" s="154">
        <v>44131</v>
      </c>
      <c r="C1577" s="119" t="s">
        <v>704</v>
      </c>
      <c r="D1577" s="119"/>
      <c r="E1577" s="119"/>
      <c r="F1577" s="155">
        <v>-18.149999999999999</v>
      </c>
      <c r="G1577" s="133" t="str">
        <f>_xlfn.XLOOKUP(Table1[[#This Row],[Account_ID]], Accounts[ID], Accounts[Account nickname], "Unknown")</f>
        <v>Discover</v>
      </c>
      <c r="H1577" s="134" t="str">
        <f>_xlfn.XLOOKUP(Table1[[#This Row],[Account_ID]], Accounts[ID], Accounts[Account'#], "Unknown")</f>
        <v>4618</v>
      </c>
      <c r="I1577" s="135" t="str">
        <f>_xlfn.XLOOKUP(_xlfn.XLOOKUP(Table1[[#This Row],[Account]],Accounts[Account nickname],Accounts[Institution ID]),Institutions[ID],Institutions[Institution nickname],"Unknown")</f>
        <v>Discover</v>
      </c>
      <c r="J1577" s="136" t="s">
        <v>2888</v>
      </c>
      <c r="K1577" s="137" t="s">
        <v>843</v>
      </c>
      <c r="L1577" s="137" t="s">
        <v>841</v>
      </c>
      <c r="M157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7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77" s="138" t="str" cm="1">
        <f t="array" ref="O1577">IFERROR(INDEX(CategoriesTable[Category type],MATCH(Table1[[#This Row],[Category]],CategoriesTable[Category name],0),0),"")</f>
        <v/>
      </c>
      <c r="P1577" s="138">
        <v>27</v>
      </c>
      <c r="Q1577" s="138">
        <f>MONTH(Table1[[#This Row],[Date]])</f>
        <v>10</v>
      </c>
      <c r="R1577" s="138">
        <v>2020</v>
      </c>
      <c r="S1577" s="139">
        <f>IF(ISBLANK(Table1[[#This Row],[Date]]),"",Table1[[#This Row],[Date]]-WEEKDAY(Table1[[#This Row],[Date]],2)+1)</f>
        <v>44130</v>
      </c>
      <c r="T1577" s="140">
        <f>IF(ISBLANK(Table1[[#This Row],[Date]]),"",DATE(Table1[[#This Row],[Date_Year]],Table1[[#This Row],[Date_Month]],1))</f>
        <v>44105</v>
      </c>
    </row>
    <row r="1578" spans="2:20" ht="15.75">
      <c r="B1578" s="154">
        <v>44131</v>
      </c>
      <c r="C1578" s="119" t="s">
        <v>2889</v>
      </c>
      <c r="D1578" s="119"/>
      <c r="E1578" s="119"/>
      <c r="F1578" s="155">
        <v>-2.1800000000000002</v>
      </c>
      <c r="G1578" s="133" t="str">
        <f>_xlfn.XLOOKUP(Table1[[#This Row],[Account_ID]], Accounts[ID], Accounts[Account nickname], "Unknown")</f>
        <v>Discover</v>
      </c>
      <c r="H1578" s="134" t="str">
        <f>_xlfn.XLOOKUP(Table1[[#This Row],[Account_ID]], Accounts[ID], Accounts[Account'#], "Unknown")</f>
        <v>4618</v>
      </c>
      <c r="I1578" s="135" t="str">
        <f>_xlfn.XLOOKUP(_xlfn.XLOOKUP(Table1[[#This Row],[Account]],Accounts[Account nickname],Accounts[Institution ID]),Institutions[ID],Institutions[Institution nickname],"Unknown")</f>
        <v>Discover</v>
      </c>
      <c r="J1578" s="136" t="s">
        <v>2890</v>
      </c>
      <c r="K1578" s="137" t="s">
        <v>843</v>
      </c>
      <c r="L1578" s="137" t="s">
        <v>841</v>
      </c>
      <c r="M157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7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78" s="138" t="str" cm="1">
        <f t="array" ref="O1578">IFERROR(INDEX(CategoriesTable[Category type],MATCH(Table1[[#This Row],[Category]],CategoriesTable[Category name],0),0),"")</f>
        <v/>
      </c>
      <c r="P1578" s="138">
        <v>27</v>
      </c>
      <c r="Q1578" s="138">
        <f>MONTH(Table1[[#This Row],[Date]])</f>
        <v>10</v>
      </c>
      <c r="R1578" s="138">
        <v>2020</v>
      </c>
      <c r="S1578" s="139">
        <f>IF(ISBLANK(Table1[[#This Row],[Date]]),"",Table1[[#This Row],[Date]]-WEEKDAY(Table1[[#This Row],[Date]],2)+1)</f>
        <v>44130</v>
      </c>
      <c r="T1578" s="140">
        <f>IF(ISBLANK(Table1[[#This Row],[Date]]),"",DATE(Table1[[#This Row],[Date_Year]],Table1[[#This Row],[Date_Month]],1))</f>
        <v>44105</v>
      </c>
    </row>
    <row r="1579" spans="2:20" ht="15.75">
      <c r="B1579" s="154">
        <v>44130</v>
      </c>
      <c r="C1579" s="119" t="s">
        <v>2590</v>
      </c>
      <c r="D1579" s="119"/>
      <c r="E1579" s="119"/>
      <c r="F1579" s="155">
        <v>-11.97</v>
      </c>
      <c r="G1579" s="133" t="str">
        <f>_xlfn.XLOOKUP(Table1[[#This Row],[Account_ID]], Accounts[ID], Accounts[Account nickname], "Unknown")</f>
        <v>Discover</v>
      </c>
      <c r="H1579" s="134" t="str">
        <f>_xlfn.XLOOKUP(Table1[[#This Row],[Account_ID]], Accounts[ID], Accounts[Account'#], "Unknown")</f>
        <v>4618</v>
      </c>
      <c r="I1579" s="135" t="str">
        <f>_xlfn.XLOOKUP(_xlfn.XLOOKUP(Table1[[#This Row],[Account]],Accounts[Account nickname],Accounts[Institution ID]),Institutions[ID],Institutions[Institution nickname],"Unknown")</f>
        <v>Discover</v>
      </c>
      <c r="J1579" s="136" t="s">
        <v>2892</v>
      </c>
      <c r="K1579" s="137" t="s">
        <v>843</v>
      </c>
      <c r="L1579" s="137" t="s">
        <v>841</v>
      </c>
      <c r="M157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7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79" s="138" t="str" cm="1">
        <f t="array" ref="O1579">IFERROR(INDEX(CategoriesTable[Category type],MATCH(Table1[[#This Row],[Category]],CategoriesTable[Category name],0),0),"")</f>
        <v/>
      </c>
      <c r="P1579" s="138">
        <v>26</v>
      </c>
      <c r="Q1579" s="138">
        <f>MONTH(Table1[[#This Row],[Date]])</f>
        <v>10</v>
      </c>
      <c r="R1579" s="138">
        <v>2020</v>
      </c>
      <c r="S1579" s="139">
        <f>IF(ISBLANK(Table1[[#This Row],[Date]]),"",Table1[[#This Row],[Date]]-WEEKDAY(Table1[[#This Row],[Date]],2)+1)</f>
        <v>44130</v>
      </c>
      <c r="T1579" s="140">
        <f>IF(ISBLANK(Table1[[#This Row],[Date]]),"",DATE(Table1[[#This Row],[Date_Year]],Table1[[#This Row],[Date_Month]],1))</f>
        <v>44105</v>
      </c>
    </row>
    <row r="1580" spans="2:20" ht="15.75">
      <c r="B1580" s="154">
        <v>44130</v>
      </c>
      <c r="C1580" s="119" t="s">
        <v>686</v>
      </c>
      <c r="D1580" s="119"/>
      <c r="E1580" s="119"/>
      <c r="F1580" s="155">
        <v>-300</v>
      </c>
      <c r="G1580" s="133" t="str">
        <f>_xlfn.XLOOKUP(Table1[[#This Row],[Account_ID]], Accounts[ID], Accounts[Account nickname], "Unknown")</f>
        <v>WF</v>
      </c>
      <c r="H1580" s="134" t="str">
        <f>_xlfn.XLOOKUP(Table1[[#This Row],[Account_ID]], Accounts[ID], Accounts[Account'#], "Unknown")</f>
        <v>4636</v>
      </c>
      <c r="I1580" s="135" t="str">
        <f>_xlfn.XLOOKUP(_xlfn.XLOOKUP(Table1[[#This Row],[Account]],Accounts[Account nickname],Accounts[Institution ID]),Institutions[ID],Institutions[Institution nickname],"Unknown")</f>
        <v>Wells Fargo</v>
      </c>
      <c r="J1580" s="136" t="s">
        <v>1277</v>
      </c>
      <c r="K1580" s="137" t="s">
        <v>808</v>
      </c>
      <c r="L1580" s="137" t="s">
        <v>807</v>
      </c>
      <c r="M158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8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80" s="138" t="str" cm="1">
        <f t="array" ref="O1580">IFERROR(INDEX(CategoriesTable[Category type],MATCH(Table1[[#This Row],[Category]],CategoriesTable[Category name],0),0),"")</f>
        <v/>
      </c>
      <c r="P1580" s="138">
        <v>26</v>
      </c>
      <c r="Q1580" s="138">
        <f>MONTH(Table1[[#This Row],[Date]])</f>
        <v>10</v>
      </c>
      <c r="R1580" s="138">
        <v>2020</v>
      </c>
      <c r="S1580" s="139">
        <f>IF(ISBLANK(Table1[[#This Row],[Date]]),"",Table1[[#This Row],[Date]]-WEEKDAY(Table1[[#This Row],[Date]],2)+1)</f>
        <v>44130</v>
      </c>
      <c r="T1580" s="140">
        <f>IF(ISBLANK(Table1[[#This Row],[Date]]),"",DATE(Table1[[#This Row],[Date_Year]],Table1[[#This Row],[Date_Month]],1))</f>
        <v>44105</v>
      </c>
    </row>
    <row r="1581" spans="2:20" ht="15.75">
      <c r="B1581" s="154">
        <v>44130</v>
      </c>
      <c r="C1581" s="119" t="s">
        <v>776</v>
      </c>
      <c r="D1581" s="119"/>
      <c r="E1581" s="119"/>
      <c r="F1581" s="155">
        <v>-300</v>
      </c>
      <c r="G1581" s="133" t="str">
        <f>_xlfn.XLOOKUP(Table1[[#This Row],[Account_ID]], Accounts[ID], Accounts[Account nickname], "Unknown")</f>
        <v>WF</v>
      </c>
      <c r="H1581" s="134" t="str">
        <f>_xlfn.XLOOKUP(Table1[[#This Row],[Account_ID]], Accounts[ID], Accounts[Account'#], "Unknown")</f>
        <v>4636</v>
      </c>
      <c r="I1581" s="135" t="str">
        <f>_xlfn.XLOOKUP(_xlfn.XLOOKUP(Table1[[#This Row],[Account]],Accounts[Account nickname],Accounts[Institution ID]),Institutions[ID],Institutions[Institution nickname],"Unknown")</f>
        <v>Wells Fargo</v>
      </c>
      <c r="J1581" s="136" t="s">
        <v>1278</v>
      </c>
      <c r="K1581" s="137" t="s">
        <v>808</v>
      </c>
      <c r="L1581" s="137" t="s">
        <v>807</v>
      </c>
      <c r="M158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8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81" s="138" t="str" cm="1">
        <f t="array" ref="O1581">IFERROR(INDEX(CategoriesTable[Category type],MATCH(Table1[[#This Row],[Category]],CategoriesTable[Category name],0),0),"")</f>
        <v/>
      </c>
      <c r="P1581" s="138">
        <v>26</v>
      </c>
      <c r="Q1581" s="138">
        <f>MONTH(Table1[[#This Row],[Date]])</f>
        <v>10</v>
      </c>
      <c r="R1581" s="138">
        <v>2020</v>
      </c>
      <c r="S1581" s="139">
        <f>IF(ISBLANK(Table1[[#This Row],[Date]]),"",Table1[[#This Row],[Date]]-WEEKDAY(Table1[[#This Row],[Date]],2)+1)</f>
        <v>44130</v>
      </c>
      <c r="T1581" s="140">
        <f>IF(ISBLANK(Table1[[#This Row],[Date]]),"",DATE(Table1[[#This Row],[Date_Year]],Table1[[#This Row],[Date_Month]],1))</f>
        <v>44105</v>
      </c>
    </row>
    <row r="1582" spans="2:20" ht="15.75">
      <c r="B1582" s="154">
        <v>44129</v>
      </c>
      <c r="C1582" s="119" t="s">
        <v>860</v>
      </c>
      <c r="D1582" s="119"/>
      <c r="E1582" s="119"/>
      <c r="F1582" s="155">
        <v>-21.18</v>
      </c>
      <c r="G1582" s="133" t="str">
        <f>_xlfn.XLOOKUP(Table1[[#This Row],[Account_ID]], Accounts[ID], Accounts[Account nickname], "Unknown")</f>
        <v>Discover</v>
      </c>
      <c r="H1582" s="134" t="str">
        <f>_xlfn.XLOOKUP(Table1[[#This Row],[Account_ID]], Accounts[ID], Accounts[Account'#], "Unknown")</f>
        <v>4618</v>
      </c>
      <c r="I1582" s="135" t="str">
        <f>_xlfn.XLOOKUP(_xlfn.XLOOKUP(Table1[[#This Row],[Account]],Accounts[Account nickname],Accounts[Institution ID]),Institutions[ID],Institutions[Institution nickname],"Unknown")</f>
        <v>Discover</v>
      </c>
      <c r="J1582" s="136" t="s">
        <v>2893</v>
      </c>
      <c r="K1582" s="137" t="s">
        <v>843</v>
      </c>
      <c r="L1582" s="137" t="s">
        <v>841</v>
      </c>
      <c r="M158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8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82" s="138" t="str" cm="1">
        <f t="array" ref="O1582">IFERROR(INDEX(CategoriesTable[Category type],MATCH(Table1[[#This Row],[Category]],CategoriesTable[Category name],0),0),"")</f>
        <v/>
      </c>
      <c r="P1582" s="138">
        <v>25</v>
      </c>
      <c r="Q1582" s="138">
        <f>MONTH(Table1[[#This Row],[Date]])</f>
        <v>10</v>
      </c>
      <c r="R1582" s="138">
        <v>2020</v>
      </c>
      <c r="S1582" s="139">
        <f>IF(ISBLANK(Table1[[#This Row],[Date]]),"",Table1[[#This Row],[Date]]-WEEKDAY(Table1[[#This Row],[Date]],2)+1)</f>
        <v>44123</v>
      </c>
      <c r="T1582" s="140">
        <f>IF(ISBLANK(Table1[[#This Row],[Date]]),"",DATE(Table1[[#This Row],[Date_Year]],Table1[[#This Row],[Date_Month]],1))</f>
        <v>44105</v>
      </c>
    </row>
    <row r="1583" spans="2:20" ht="15.75">
      <c r="B1583" s="154">
        <v>44128</v>
      </c>
      <c r="C1583" s="119" t="s">
        <v>788</v>
      </c>
      <c r="D1583" s="119"/>
      <c r="E1583" s="119"/>
      <c r="F1583" s="155">
        <v>-7.75</v>
      </c>
      <c r="G1583" s="133" t="str">
        <f>_xlfn.XLOOKUP(Table1[[#This Row],[Account_ID]], Accounts[ID], Accounts[Account nickname], "Unknown")</f>
        <v>WF</v>
      </c>
      <c r="H1583" s="134" t="str">
        <f>_xlfn.XLOOKUP(Table1[[#This Row],[Account_ID]], Accounts[ID], Accounts[Account'#], "Unknown")</f>
        <v>4636</v>
      </c>
      <c r="I1583" s="135" t="str">
        <f>_xlfn.XLOOKUP(_xlfn.XLOOKUP(Table1[[#This Row],[Account]],Accounts[Account nickname],Accounts[Institution ID]),Institutions[ID],Institutions[Institution nickname],"Unknown")</f>
        <v>Wells Fargo</v>
      </c>
      <c r="J1583" s="136" t="s">
        <v>1279</v>
      </c>
      <c r="K1583" s="137" t="s">
        <v>808</v>
      </c>
      <c r="L1583" s="137" t="s">
        <v>807</v>
      </c>
      <c r="M158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8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83" s="138" t="str" cm="1">
        <f t="array" ref="O1583">IFERROR(INDEX(CategoriesTable[Category type],MATCH(Table1[[#This Row],[Category]],CategoriesTable[Category name],0),0),"")</f>
        <v/>
      </c>
      <c r="P1583" s="138">
        <v>24</v>
      </c>
      <c r="Q1583" s="138">
        <f>MONTH(Table1[[#This Row],[Date]])</f>
        <v>10</v>
      </c>
      <c r="R1583" s="138">
        <v>2020</v>
      </c>
      <c r="S1583" s="139">
        <f>IF(ISBLANK(Table1[[#This Row],[Date]]),"",Table1[[#This Row],[Date]]-WEEKDAY(Table1[[#This Row],[Date]],2)+1)</f>
        <v>44123</v>
      </c>
      <c r="T1583" s="140">
        <f>IF(ISBLANK(Table1[[#This Row],[Date]]),"",DATE(Table1[[#This Row],[Date_Year]],Table1[[#This Row],[Date_Month]],1))</f>
        <v>44105</v>
      </c>
    </row>
    <row r="1584" spans="2:20" ht="15.75">
      <c r="B1584" s="154">
        <v>44128</v>
      </c>
      <c r="C1584" s="119" t="s">
        <v>2805</v>
      </c>
      <c r="D1584" s="119"/>
      <c r="E1584" s="119"/>
      <c r="F1584" s="155">
        <v>-15</v>
      </c>
      <c r="G1584" s="133" t="str">
        <f>_xlfn.XLOOKUP(Table1[[#This Row],[Account_ID]], Accounts[ID], Accounts[Account nickname], "Unknown")</f>
        <v>Discover</v>
      </c>
      <c r="H1584" s="134" t="str">
        <f>_xlfn.XLOOKUP(Table1[[#This Row],[Account_ID]], Accounts[ID], Accounts[Account'#], "Unknown")</f>
        <v>4618</v>
      </c>
      <c r="I1584" s="135" t="str">
        <f>_xlfn.XLOOKUP(_xlfn.XLOOKUP(Table1[[#This Row],[Account]],Accounts[Account nickname],Accounts[Institution ID]),Institutions[ID],Institutions[Institution nickname],"Unknown")</f>
        <v>Discover</v>
      </c>
      <c r="J1584" s="136" t="s">
        <v>2896</v>
      </c>
      <c r="K1584" s="137" t="s">
        <v>843</v>
      </c>
      <c r="L1584" s="137" t="s">
        <v>841</v>
      </c>
      <c r="M158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8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84" s="138" t="str" cm="1">
        <f t="array" ref="O1584">IFERROR(INDEX(CategoriesTable[Category type],MATCH(Table1[[#This Row],[Category]],CategoriesTable[Category name],0),0),"")</f>
        <v/>
      </c>
      <c r="P1584" s="138">
        <v>24</v>
      </c>
      <c r="Q1584" s="138">
        <f>MONTH(Table1[[#This Row],[Date]])</f>
        <v>10</v>
      </c>
      <c r="R1584" s="138">
        <v>2020</v>
      </c>
      <c r="S1584" s="139">
        <f>IF(ISBLANK(Table1[[#This Row],[Date]]),"",Table1[[#This Row],[Date]]-WEEKDAY(Table1[[#This Row],[Date]],2)+1)</f>
        <v>44123</v>
      </c>
      <c r="T1584" s="140">
        <f>IF(ISBLANK(Table1[[#This Row],[Date]]),"",DATE(Table1[[#This Row],[Date_Year]],Table1[[#This Row],[Date_Month]],1))</f>
        <v>44105</v>
      </c>
    </row>
    <row r="1585" spans="2:20" ht="15.75">
      <c r="B1585" s="154">
        <v>44128</v>
      </c>
      <c r="C1585" s="119" t="s">
        <v>2898</v>
      </c>
      <c r="D1585" s="119"/>
      <c r="E1585" s="119"/>
      <c r="F1585" s="155">
        <v>-10</v>
      </c>
      <c r="G1585" s="133" t="str">
        <f>_xlfn.XLOOKUP(Table1[[#This Row],[Account_ID]], Accounts[ID], Accounts[Account nickname], "Unknown")</f>
        <v>Discover</v>
      </c>
      <c r="H1585" s="134" t="str">
        <f>_xlfn.XLOOKUP(Table1[[#This Row],[Account_ID]], Accounts[ID], Accounts[Account'#], "Unknown")</f>
        <v>4618</v>
      </c>
      <c r="I1585" s="135" t="str">
        <f>_xlfn.XLOOKUP(_xlfn.XLOOKUP(Table1[[#This Row],[Account]],Accounts[Account nickname],Accounts[Institution ID]),Institutions[ID],Institutions[Institution nickname],"Unknown")</f>
        <v>Discover</v>
      </c>
      <c r="J1585" s="136" t="s">
        <v>2899</v>
      </c>
      <c r="K1585" s="137" t="s">
        <v>843</v>
      </c>
      <c r="L1585" s="137" t="s">
        <v>841</v>
      </c>
      <c r="M158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8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85" s="138" t="str" cm="1">
        <f t="array" ref="O1585">IFERROR(INDEX(CategoriesTable[Category type],MATCH(Table1[[#This Row],[Category]],CategoriesTable[Category name],0),0),"")</f>
        <v/>
      </c>
      <c r="P1585" s="138">
        <v>24</v>
      </c>
      <c r="Q1585" s="138">
        <f>MONTH(Table1[[#This Row],[Date]])</f>
        <v>10</v>
      </c>
      <c r="R1585" s="138">
        <v>2020</v>
      </c>
      <c r="S1585" s="139">
        <f>IF(ISBLANK(Table1[[#This Row],[Date]]),"",Table1[[#This Row],[Date]]-WEEKDAY(Table1[[#This Row],[Date]],2)+1)</f>
        <v>44123</v>
      </c>
      <c r="T1585" s="140">
        <f>IF(ISBLANK(Table1[[#This Row],[Date]]),"",DATE(Table1[[#This Row],[Date_Year]],Table1[[#This Row],[Date_Month]],1))</f>
        <v>44105</v>
      </c>
    </row>
    <row r="1586" spans="2:20" ht="15.75">
      <c r="B1586" s="154">
        <v>44128</v>
      </c>
      <c r="C1586" s="119" t="s">
        <v>2590</v>
      </c>
      <c r="D1586" s="119"/>
      <c r="E1586" s="119"/>
      <c r="F1586" s="155">
        <v>-22.2</v>
      </c>
      <c r="G1586" s="133" t="str">
        <f>_xlfn.XLOOKUP(Table1[[#This Row],[Account_ID]], Accounts[ID], Accounts[Account nickname], "Unknown")</f>
        <v>Discover</v>
      </c>
      <c r="H1586" s="134" t="str">
        <f>_xlfn.XLOOKUP(Table1[[#This Row],[Account_ID]], Accounts[ID], Accounts[Account'#], "Unknown")</f>
        <v>4618</v>
      </c>
      <c r="I1586" s="135" t="str">
        <f>_xlfn.XLOOKUP(_xlfn.XLOOKUP(Table1[[#This Row],[Account]],Accounts[Account nickname],Accounts[Institution ID]),Institutions[ID],Institutions[Institution nickname],"Unknown")</f>
        <v>Discover</v>
      </c>
      <c r="J1586" s="136" t="s">
        <v>2897</v>
      </c>
      <c r="K1586" s="137" t="s">
        <v>843</v>
      </c>
      <c r="L1586" s="137" t="s">
        <v>841</v>
      </c>
      <c r="M158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8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86" s="138" t="str" cm="1">
        <f t="array" ref="O1586">IFERROR(INDEX(CategoriesTable[Category type],MATCH(Table1[[#This Row],[Category]],CategoriesTable[Category name],0),0),"")</f>
        <v/>
      </c>
      <c r="P1586" s="138">
        <v>24</v>
      </c>
      <c r="Q1586" s="138">
        <f>MONTH(Table1[[#This Row],[Date]])</f>
        <v>10</v>
      </c>
      <c r="R1586" s="138">
        <v>2020</v>
      </c>
      <c r="S1586" s="139">
        <f>IF(ISBLANK(Table1[[#This Row],[Date]]),"",Table1[[#This Row],[Date]]-WEEKDAY(Table1[[#This Row],[Date]],2)+1)</f>
        <v>44123</v>
      </c>
      <c r="T1586" s="140">
        <f>IF(ISBLANK(Table1[[#This Row],[Date]]),"",DATE(Table1[[#This Row],[Date_Year]],Table1[[#This Row],[Date_Month]],1))</f>
        <v>44105</v>
      </c>
    </row>
    <row r="1587" spans="2:20" ht="15.75">
      <c r="B1587" s="154">
        <v>44128</v>
      </c>
      <c r="C1587" s="119" t="s">
        <v>2894</v>
      </c>
      <c r="D1587" s="119"/>
      <c r="E1587" s="119"/>
      <c r="F1587" s="155">
        <v>-50.15</v>
      </c>
      <c r="G1587" s="133" t="str">
        <f>_xlfn.XLOOKUP(Table1[[#This Row],[Account_ID]], Accounts[ID], Accounts[Account nickname], "Unknown")</f>
        <v>Discover</v>
      </c>
      <c r="H1587" s="134" t="str">
        <f>_xlfn.XLOOKUP(Table1[[#This Row],[Account_ID]], Accounts[ID], Accounts[Account'#], "Unknown")</f>
        <v>4618</v>
      </c>
      <c r="I1587" s="135" t="str">
        <f>_xlfn.XLOOKUP(_xlfn.XLOOKUP(Table1[[#This Row],[Account]],Accounts[Account nickname],Accounts[Institution ID]),Institutions[ID],Institutions[Institution nickname],"Unknown")</f>
        <v>Discover</v>
      </c>
      <c r="J1587" s="136" t="s">
        <v>2895</v>
      </c>
      <c r="K1587" s="137" t="s">
        <v>843</v>
      </c>
      <c r="L1587" s="137" t="s">
        <v>841</v>
      </c>
      <c r="M158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8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87" s="138" t="str" cm="1">
        <f t="array" ref="O1587">IFERROR(INDEX(CategoriesTable[Category type],MATCH(Table1[[#This Row],[Category]],CategoriesTable[Category name],0),0),"")</f>
        <v/>
      </c>
      <c r="P1587" s="138">
        <v>24</v>
      </c>
      <c r="Q1587" s="138">
        <f>MONTH(Table1[[#This Row],[Date]])</f>
        <v>10</v>
      </c>
      <c r="R1587" s="138">
        <v>2020</v>
      </c>
      <c r="S1587" s="139">
        <f>IF(ISBLANK(Table1[[#This Row],[Date]]),"",Table1[[#This Row],[Date]]-WEEKDAY(Table1[[#This Row],[Date]],2)+1)</f>
        <v>44123</v>
      </c>
      <c r="T1587" s="140">
        <f>IF(ISBLANK(Table1[[#This Row],[Date]]),"",DATE(Table1[[#This Row],[Date_Year]],Table1[[#This Row],[Date_Month]],1))</f>
        <v>44105</v>
      </c>
    </row>
    <row r="1588" spans="2:20" ht="15.75">
      <c r="B1588" s="154">
        <v>44127</v>
      </c>
      <c r="C1588" s="119" t="s">
        <v>678</v>
      </c>
      <c r="D1588" s="119"/>
      <c r="E1588" s="119"/>
      <c r="F1588" s="155">
        <v>-716.13</v>
      </c>
      <c r="G1588" s="133" t="str">
        <f>_xlfn.XLOOKUP(Table1[[#This Row],[Account_ID]], Accounts[ID], Accounts[Account nickname], "Unknown")</f>
        <v>WF</v>
      </c>
      <c r="H1588" s="134" t="str">
        <f>_xlfn.XLOOKUP(Table1[[#This Row],[Account_ID]], Accounts[ID], Accounts[Account'#], "Unknown")</f>
        <v>4636</v>
      </c>
      <c r="I1588" s="135" t="str">
        <f>_xlfn.XLOOKUP(_xlfn.XLOOKUP(Table1[[#This Row],[Account]],Accounts[Account nickname],Accounts[Institution ID]),Institutions[ID],Institutions[Institution nickname],"Unknown")</f>
        <v>Wells Fargo</v>
      </c>
      <c r="J1588" s="136" t="s">
        <v>1281</v>
      </c>
      <c r="K1588" s="137" t="s">
        <v>808</v>
      </c>
      <c r="L1588" s="137" t="s">
        <v>807</v>
      </c>
      <c r="M158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8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88" s="138" t="str" cm="1">
        <f t="array" ref="O1588">IFERROR(INDEX(CategoriesTable[Category type],MATCH(Table1[[#This Row],[Category]],CategoriesTable[Category name],0),0),"")</f>
        <v/>
      </c>
      <c r="P1588" s="138">
        <v>23</v>
      </c>
      <c r="Q1588" s="138">
        <f>MONTH(Table1[[#This Row],[Date]])</f>
        <v>10</v>
      </c>
      <c r="R1588" s="138">
        <v>2020</v>
      </c>
      <c r="S1588" s="139">
        <f>IF(ISBLANK(Table1[[#This Row],[Date]]),"",Table1[[#This Row],[Date]]-WEEKDAY(Table1[[#This Row],[Date]],2)+1)</f>
        <v>44123</v>
      </c>
      <c r="T1588" s="140">
        <f>IF(ISBLANK(Table1[[#This Row],[Date]]),"",DATE(Table1[[#This Row],[Date_Year]],Table1[[#This Row],[Date_Month]],1))</f>
        <v>44105</v>
      </c>
    </row>
    <row r="1589" spans="2:20" ht="15.75">
      <c r="B1589" s="154">
        <v>44127</v>
      </c>
      <c r="C1589" s="119" t="s">
        <v>713</v>
      </c>
      <c r="D1589" s="119"/>
      <c r="E1589" s="119"/>
      <c r="F1589" s="155">
        <v>-22.25</v>
      </c>
      <c r="G1589" s="133" t="str">
        <f>_xlfn.XLOOKUP(Table1[[#This Row],[Account_ID]], Accounts[ID], Accounts[Account nickname], "Unknown")</f>
        <v>Discover</v>
      </c>
      <c r="H1589" s="134" t="str">
        <f>_xlfn.XLOOKUP(Table1[[#This Row],[Account_ID]], Accounts[ID], Accounts[Account'#], "Unknown")</f>
        <v>4618</v>
      </c>
      <c r="I1589" s="135" t="str">
        <f>_xlfn.XLOOKUP(_xlfn.XLOOKUP(Table1[[#This Row],[Account]],Accounts[Account nickname],Accounts[Institution ID]),Institutions[ID],Institutions[Institution nickname],"Unknown")</f>
        <v>Discover</v>
      </c>
      <c r="J1589" s="136" t="s">
        <v>2901</v>
      </c>
      <c r="K1589" s="137" t="s">
        <v>843</v>
      </c>
      <c r="L1589" s="137" t="s">
        <v>841</v>
      </c>
      <c r="M158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8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89" s="138" t="str" cm="1">
        <f t="array" ref="O1589">IFERROR(INDEX(CategoriesTable[Category type],MATCH(Table1[[#This Row],[Category]],CategoriesTable[Category name],0),0),"")</f>
        <v/>
      </c>
      <c r="P1589" s="138">
        <v>23</v>
      </c>
      <c r="Q1589" s="138">
        <f>MONTH(Table1[[#This Row],[Date]])</f>
        <v>10</v>
      </c>
      <c r="R1589" s="138">
        <v>2020</v>
      </c>
      <c r="S1589" s="139">
        <f>IF(ISBLANK(Table1[[#This Row],[Date]]),"",Table1[[#This Row],[Date]]-WEEKDAY(Table1[[#This Row],[Date]],2)+1)</f>
        <v>44123</v>
      </c>
      <c r="T1589" s="140">
        <f>IF(ISBLANK(Table1[[#This Row],[Date]]),"",DATE(Table1[[#This Row],[Date_Year]],Table1[[#This Row],[Date_Month]],1))</f>
        <v>44105</v>
      </c>
    </row>
    <row r="1590" spans="2:20" ht="15.75">
      <c r="B1590" s="154">
        <v>44127</v>
      </c>
      <c r="C1590" s="119" t="s">
        <v>860</v>
      </c>
      <c r="D1590" s="119"/>
      <c r="E1590" s="119"/>
      <c r="F1590" s="155">
        <v>-58.25</v>
      </c>
      <c r="G1590" s="133" t="str">
        <f>_xlfn.XLOOKUP(Table1[[#This Row],[Account_ID]], Accounts[ID], Accounts[Account nickname], "Unknown")</f>
        <v>Discover</v>
      </c>
      <c r="H1590" s="134" t="str">
        <f>_xlfn.XLOOKUP(Table1[[#This Row],[Account_ID]], Accounts[ID], Accounts[Account'#], "Unknown")</f>
        <v>4618</v>
      </c>
      <c r="I1590" s="135" t="str">
        <f>_xlfn.XLOOKUP(_xlfn.XLOOKUP(Table1[[#This Row],[Account]],Accounts[Account nickname],Accounts[Institution ID]),Institutions[ID],Institutions[Institution nickname],"Unknown")</f>
        <v>Discover</v>
      </c>
      <c r="J1590" s="136" t="s">
        <v>2900</v>
      </c>
      <c r="K1590" s="137" t="s">
        <v>843</v>
      </c>
      <c r="L1590" s="137" t="s">
        <v>841</v>
      </c>
      <c r="M159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9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90" s="138" t="str" cm="1">
        <f t="array" ref="O1590">IFERROR(INDEX(CategoriesTable[Category type],MATCH(Table1[[#This Row],[Category]],CategoriesTable[Category name],0),0),"")</f>
        <v/>
      </c>
      <c r="P1590" s="138">
        <v>23</v>
      </c>
      <c r="Q1590" s="138">
        <f>MONTH(Table1[[#This Row],[Date]])</f>
        <v>10</v>
      </c>
      <c r="R1590" s="138">
        <v>2020</v>
      </c>
      <c r="S1590" s="139">
        <f>IF(ISBLANK(Table1[[#This Row],[Date]]),"",Table1[[#This Row],[Date]]-WEEKDAY(Table1[[#This Row],[Date]],2)+1)</f>
        <v>44123</v>
      </c>
      <c r="T1590" s="140">
        <f>IF(ISBLANK(Table1[[#This Row],[Date]]),"",DATE(Table1[[#This Row],[Date_Year]],Table1[[#This Row],[Date_Month]],1))</f>
        <v>44105</v>
      </c>
    </row>
    <row r="1591" spans="2:20" ht="15.75">
      <c r="B1591" s="154">
        <v>44127</v>
      </c>
      <c r="C1591" s="119" t="s">
        <v>751</v>
      </c>
      <c r="D1591" s="119"/>
      <c r="E1591" s="119"/>
      <c r="F1591" s="155">
        <v>1780.3</v>
      </c>
      <c r="G1591" s="133" t="str">
        <f>_xlfn.XLOOKUP(Table1[[#This Row],[Account_ID]], Accounts[ID], Accounts[Account nickname], "Unknown")</f>
        <v>WF</v>
      </c>
      <c r="H1591" s="134" t="str">
        <f>_xlfn.XLOOKUP(Table1[[#This Row],[Account_ID]], Accounts[ID], Accounts[Account'#], "Unknown")</f>
        <v>4636</v>
      </c>
      <c r="I1591" s="135" t="str">
        <f>_xlfn.XLOOKUP(_xlfn.XLOOKUP(Table1[[#This Row],[Account]],Accounts[Account nickname],Accounts[Institution ID]),Institutions[ID],Institutions[Institution nickname],"Unknown")</f>
        <v>Wells Fargo</v>
      </c>
      <c r="J1591" s="136" t="s">
        <v>1280</v>
      </c>
      <c r="K1591" s="137" t="s">
        <v>808</v>
      </c>
      <c r="L1591" s="137" t="s">
        <v>807</v>
      </c>
      <c r="M159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9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91" s="138" t="str" cm="1">
        <f t="array" ref="O1591">IFERROR(INDEX(CategoriesTable[Category type],MATCH(Table1[[#This Row],[Category]],CategoriesTable[Category name],0),0),"")</f>
        <v/>
      </c>
      <c r="P1591" s="138">
        <v>23</v>
      </c>
      <c r="Q1591" s="138">
        <f>MONTH(Table1[[#This Row],[Date]])</f>
        <v>10</v>
      </c>
      <c r="R1591" s="138">
        <v>2020</v>
      </c>
      <c r="S1591" s="139">
        <f>IF(ISBLANK(Table1[[#This Row],[Date]]),"",Table1[[#This Row],[Date]]-WEEKDAY(Table1[[#This Row],[Date]],2)+1)</f>
        <v>44123</v>
      </c>
      <c r="T1591" s="140">
        <f>IF(ISBLANK(Table1[[#This Row],[Date]]),"",DATE(Table1[[#This Row],[Date_Year]],Table1[[#This Row],[Date_Month]],1))</f>
        <v>44105</v>
      </c>
    </row>
    <row r="1592" spans="2:20" ht="15.75">
      <c r="B1592" s="154">
        <v>44127</v>
      </c>
      <c r="C1592" s="119" t="s">
        <v>2353</v>
      </c>
      <c r="D1592" s="119"/>
      <c r="E1592" s="119"/>
      <c r="F1592" s="155">
        <v>-14.83</v>
      </c>
      <c r="G1592" s="133" t="str">
        <f>_xlfn.XLOOKUP(Table1[[#This Row],[Account_ID]], Accounts[ID], Accounts[Account nickname], "Unknown")</f>
        <v>Discover</v>
      </c>
      <c r="H1592" s="134" t="str">
        <f>_xlfn.XLOOKUP(Table1[[#This Row],[Account_ID]], Accounts[ID], Accounts[Account'#], "Unknown")</f>
        <v>4618</v>
      </c>
      <c r="I1592" s="135" t="str">
        <f>_xlfn.XLOOKUP(_xlfn.XLOOKUP(Table1[[#This Row],[Account]],Accounts[Account nickname],Accounts[Institution ID]),Institutions[ID],Institutions[Institution nickname],"Unknown")</f>
        <v>Discover</v>
      </c>
      <c r="J1592" s="136" t="s">
        <v>2903</v>
      </c>
      <c r="K1592" s="137" t="s">
        <v>843</v>
      </c>
      <c r="L1592" s="137" t="s">
        <v>841</v>
      </c>
      <c r="M159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9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92" s="138" t="str" cm="1">
        <f t="array" ref="O1592">IFERROR(INDEX(CategoriesTable[Category type],MATCH(Table1[[#This Row],[Category]],CategoriesTable[Category name],0),0),"")</f>
        <v/>
      </c>
      <c r="P1592" s="138">
        <v>23</v>
      </c>
      <c r="Q1592" s="138">
        <f>MONTH(Table1[[#This Row],[Date]])</f>
        <v>10</v>
      </c>
      <c r="R1592" s="138">
        <v>2020</v>
      </c>
      <c r="S1592" s="139">
        <f>IF(ISBLANK(Table1[[#This Row],[Date]]),"",Table1[[#This Row],[Date]]-WEEKDAY(Table1[[#This Row],[Date]],2)+1)</f>
        <v>44123</v>
      </c>
      <c r="T1592" s="140">
        <f>IF(ISBLANK(Table1[[#This Row],[Date]]),"",DATE(Table1[[#This Row],[Date_Year]],Table1[[#This Row],[Date_Month]],1))</f>
        <v>44105</v>
      </c>
    </row>
    <row r="1593" spans="2:20" ht="15.75">
      <c r="B1593" s="154">
        <v>44127</v>
      </c>
      <c r="C1593" s="119" t="s">
        <v>845</v>
      </c>
      <c r="D1593" s="119"/>
      <c r="E1593" s="119"/>
      <c r="F1593" s="155">
        <v>300</v>
      </c>
      <c r="G1593" s="133" t="str">
        <f>_xlfn.XLOOKUP(Table1[[#This Row],[Account_ID]], Accounts[ID], Accounts[Account nickname], "Unknown")</f>
        <v>Discover</v>
      </c>
      <c r="H1593" s="134" t="str">
        <f>_xlfn.XLOOKUP(Table1[[#This Row],[Account_ID]], Accounts[ID], Accounts[Account'#], "Unknown")</f>
        <v>4618</v>
      </c>
      <c r="I1593" s="135" t="str">
        <f>_xlfn.XLOOKUP(_xlfn.XLOOKUP(Table1[[#This Row],[Account]],Accounts[Account nickname],Accounts[Institution ID]),Institutions[ID],Institutions[Institution nickname],"Unknown")</f>
        <v>Discover</v>
      </c>
      <c r="J1593" s="136" t="s">
        <v>2902</v>
      </c>
      <c r="K1593" s="137" t="s">
        <v>843</v>
      </c>
      <c r="L1593" s="137" t="s">
        <v>841</v>
      </c>
      <c r="M159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9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93" s="138" t="str" cm="1">
        <f t="array" ref="O1593">IFERROR(INDEX(CategoriesTable[Category type],MATCH(Table1[[#This Row],[Category]],CategoriesTable[Category name],0),0),"")</f>
        <v/>
      </c>
      <c r="P1593" s="138">
        <v>23</v>
      </c>
      <c r="Q1593" s="138">
        <f>MONTH(Table1[[#This Row],[Date]])</f>
        <v>10</v>
      </c>
      <c r="R1593" s="138">
        <v>2020</v>
      </c>
      <c r="S1593" s="139">
        <f>IF(ISBLANK(Table1[[#This Row],[Date]]),"",Table1[[#This Row],[Date]]-WEEKDAY(Table1[[#This Row],[Date]],2)+1)</f>
        <v>44123</v>
      </c>
      <c r="T1593" s="140">
        <f>IF(ISBLANK(Table1[[#This Row],[Date]]),"",DATE(Table1[[#This Row],[Date_Year]],Table1[[#This Row],[Date_Month]],1))</f>
        <v>44105</v>
      </c>
    </row>
    <row r="1594" spans="2:20" ht="15.75">
      <c r="B1594" s="154">
        <v>44126</v>
      </c>
      <c r="C1594" s="119" t="s">
        <v>678</v>
      </c>
      <c r="D1594" s="119"/>
      <c r="E1594" s="119"/>
      <c r="F1594" s="155">
        <v>116.82</v>
      </c>
      <c r="G1594" s="133" t="str">
        <f>_xlfn.XLOOKUP(Table1[[#This Row],[Account_ID]], Accounts[ID], Accounts[Account nickname], "Unknown")</f>
        <v>WF</v>
      </c>
      <c r="H1594" s="134" t="str">
        <f>_xlfn.XLOOKUP(Table1[[#This Row],[Account_ID]], Accounts[ID], Accounts[Account'#], "Unknown")</f>
        <v>4636</v>
      </c>
      <c r="I1594" s="135" t="str">
        <f>_xlfn.XLOOKUP(_xlfn.XLOOKUP(Table1[[#This Row],[Account]],Accounts[Account nickname],Accounts[Institution ID]),Institutions[ID],Institutions[Institution nickname],"Unknown")</f>
        <v>Wells Fargo</v>
      </c>
      <c r="J1594" s="136" t="s">
        <v>1282</v>
      </c>
      <c r="K1594" s="137" t="s">
        <v>808</v>
      </c>
      <c r="L1594" s="137" t="s">
        <v>807</v>
      </c>
      <c r="M159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9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94" s="138" t="str" cm="1">
        <f t="array" ref="O1594">IFERROR(INDEX(CategoriesTable[Category type],MATCH(Table1[[#This Row],[Category]],CategoriesTable[Category name],0),0),"")</f>
        <v/>
      </c>
      <c r="P1594" s="138">
        <v>22</v>
      </c>
      <c r="Q1594" s="138">
        <f>MONTH(Table1[[#This Row],[Date]])</f>
        <v>10</v>
      </c>
      <c r="R1594" s="138">
        <v>2020</v>
      </c>
      <c r="S1594" s="139">
        <f>IF(ISBLANK(Table1[[#This Row],[Date]]),"",Table1[[#This Row],[Date]]-WEEKDAY(Table1[[#This Row],[Date]],2)+1)</f>
        <v>44123</v>
      </c>
      <c r="T1594" s="140">
        <f>IF(ISBLANK(Table1[[#This Row],[Date]]),"",DATE(Table1[[#This Row],[Date_Year]],Table1[[#This Row],[Date_Month]],1))</f>
        <v>44105</v>
      </c>
    </row>
    <row r="1595" spans="2:20" ht="15.75">
      <c r="B1595" s="154">
        <v>44126</v>
      </c>
      <c r="C1595" s="119" t="s">
        <v>2666</v>
      </c>
      <c r="D1595" s="119"/>
      <c r="E1595" s="119"/>
      <c r="F1595" s="155">
        <v>-11.83</v>
      </c>
      <c r="G1595" s="133" t="str">
        <f>_xlfn.XLOOKUP(Table1[[#This Row],[Account_ID]], Accounts[ID], Accounts[Account nickname], "Unknown")</f>
        <v>Discover</v>
      </c>
      <c r="H1595" s="134" t="str">
        <f>_xlfn.XLOOKUP(Table1[[#This Row],[Account_ID]], Accounts[ID], Accounts[Account'#], "Unknown")</f>
        <v>4618</v>
      </c>
      <c r="I1595" s="135" t="str">
        <f>_xlfn.XLOOKUP(_xlfn.XLOOKUP(Table1[[#This Row],[Account]],Accounts[Account nickname],Accounts[Institution ID]),Institutions[ID],Institutions[Institution nickname],"Unknown")</f>
        <v>Discover</v>
      </c>
      <c r="J1595" s="136" t="s">
        <v>2904</v>
      </c>
      <c r="K1595" s="137" t="s">
        <v>843</v>
      </c>
      <c r="L1595" s="137" t="s">
        <v>841</v>
      </c>
      <c r="M159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9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95" s="138" t="str" cm="1">
        <f t="array" ref="O1595">IFERROR(INDEX(CategoriesTable[Category type],MATCH(Table1[[#This Row],[Category]],CategoriesTable[Category name],0),0),"")</f>
        <v/>
      </c>
      <c r="P1595" s="138">
        <v>22</v>
      </c>
      <c r="Q1595" s="138">
        <f>MONTH(Table1[[#This Row],[Date]])</f>
        <v>10</v>
      </c>
      <c r="R1595" s="138">
        <v>2020</v>
      </c>
      <c r="S1595" s="139">
        <f>IF(ISBLANK(Table1[[#This Row],[Date]]),"",Table1[[#This Row],[Date]]-WEEKDAY(Table1[[#This Row],[Date]],2)+1)</f>
        <v>44123</v>
      </c>
      <c r="T1595" s="140">
        <f>IF(ISBLANK(Table1[[#This Row],[Date]]),"",DATE(Table1[[#This Row],[Date_Year]],Table1[[#This Row],[Date_Month]],1))</f>
        <v>44105</v>
      </c>
    </row>
    <row r="1596" spans="2:20" ht="15.75">
      <c r="B1596" s="154">
        <v>44126</v>
      </c>
      <c r="C1596" s="119" t="s">
        <v>2905</v>
      </c>
      <c r="D1596" s="119"/>
      <c r="E1596" s="119"/>
      <c r="F1596" s="155">
        <v>235.35</v>
      </c>
      <c r="G1596" s="133" t="str">
        <f>_xlfn.XLOOKUP(Table1[[#This Row],[Account_ID]], Accounts[ID], Accounts[Account nickname], "Unknown")</f>
        <v>Discover</v>
      </c>
      <c r="H1596" s="134" t="str">
        <f>_xlfn.XLOOKUP(Table1[[#This Row],[Account_ID]], Accounts[ID], Accounts[Account'#], "Unknown")</f>
        <v>4618</v>
      </c>
      <c r="I1596" s="135" t="str">
        <f>_xlfn.XLOOKUP(_xlfn.XLOOKUP(Table1[[#This Row],[Account]],Accounts[Account nickname],Accounts[Institution ID]),Institutions[ID],Institutions[Institution nickname],"Unknown")</f>
        <v>Discover</v>
      </c>
      <c r="J1596" s="136" t="s">
        <v>2906</v>
      </c>
      <c r="K1596" s="137" t="s">
        <v>843</v>
      </c>
      <c r="L1596" s="137" t="s">
        <v>841</v>
      </c>
      <c r="M159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9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96" s="138" t="str" cm="1">
        <f t="array" ref="O1596">IFERROR(INDEX(CategoriesTable[Category type],MATCH(Table1[[#This Row],[Category]],CategoriesTable[Category name],0),0),"")</f>
        <v/>
      </c>
      <c r="P1596" s="138">
        <v>22</v>
      </c>
      <c r="Q1596" s="138">
        <f>MONTH(Table1[[#This Row],[Date]])</f>
        <v>10</v>
      </c>
      <c r="R1596" s="138">
        <v>2020</v>
      </c>
      <c r="S1596" s="139">
        <f>IF(ISBLANK(Table1[[#This Row],[Date]]),"",Table1[[#This Row],[Date]]-WEEKDAY(Table1[[#This Row],[Date]],2)+1)</f>
        <v>44123</v>
      </c>
      <c r="T1596" s="140">
        <f>IF(ISBLANK(Table1[[#This Row],[Date]]),"",DATE(Table1[[#This Row],[Date_Year]],Table1[[#This Row],[Date_Month]],1))</f>
        <v>44105</v>
      </c>
    </row>
    <row r="1597" spans="2:20" ht="15.75">
      <c r="B1597" s="154">
        <v>44125</v>
      </c>
      <c r="C1597" s="119" t="s">
        <v>2666</v>
      </c>
      <c r="D1597" s="119"/>
      <c r="E1597" s="119"/>
      <c r="F1597" s="155">
        <v>-3.47</v>
      </c>
      <c r="G1597" s="133" t="str">
        <f>_xlfn.XLOOKUP(Table1[[#This Row],[Account_ID]], Accounts[ID], Accounts[Account nickname], "Unknown")</f>
        <v>Discover</v>
      </c>
      <c r="H1597" s="134" t="str">
        <f>_xlfn.XLOOKUP(Table1[[#This Row],[Account_ID]], Accounts[ID], Accounts[Account'#], "Unknown")</f>
        <v>4618</v>
      </c>
      <c r="I1597" s="135" t="str">
        <f>_xlfn.XLOOKUP(_xlfn.XLOOKUP(Table1[[#This Row],[Account]],Accounts[Account nickname],Accounts[Institution ID]),Institutions[ID],Institutions[Institution nickname],"Unknown")</f>
        <v>Discover</v>
      </c>
      <c r="J1597" s="136" t="s">
        <v>2910</v>
      </c>
      <c r="K1597" s="137" t="s">
        <v>843</v>
      </c>
      <c r="L1597" s="137" t="s">
        <v>841</v>
      </c>
      <c r="M159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9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97" s="138" t="str" cm="1">
        <f t="array" ref="O1597">IFERROR(INDEX(CategoriesTable[Category type],MATCH(Table1[[#This Row],[Category]],CategoriesTable[Category name],0),0),"")</f>
        <v/>
      </c>
      <c r="P1597" s="138">
        <v>21</v>
      </c>
      <c r="Q1597" s="138">
        <f>MONTH(Table1[[#This Row],[Date]])</f>
        <v>10</v>
      </c>
      <c r="R1597" s="138">
        <v>2020</v>
      </c>
      <c r="S1597" s="139">
        <f>IF(ISBLANK(Table1[[#This Row],[Date]]),"",Table1[[#This Row],[Date]]-WEEKDAY(Table1[[#This Row],[Date]],2)+1)</f>
        <v>44123</v>
      </c>
      <c r="T1597" s="140">
        <f>IF(ISBLANK(Table1[[#This Row],[Date]]),"",DATE(Table1[[#This Row],[Date_Year]],Table1[[#This Row],[Date_Month]],1))</f>
        <v>44105</v>
      </c>
    </row>
    <row r="1598" spans="2:20" ht="15.75">
      <c r="B1598" s="154">
        <v>44125</v>
      </c>
      <c r="C1598" s="119" t="s">
        <v>2410</v>
      </c>
      <c r="D1598" s="119"/>
      <c r="E1598" s="119"/>
      <c r="F1598" s="155">
        <v>-9.4600000000000009</v>
      </c>
      <c r="G1598" s="133" t="str">
        <f>_xlfn.XLOOKUP(Table1[[#This Row],[Account_ID]], Accounts[ID], Accounts[Account nickname], "Unknown")</f>
        <v>Discover</v>
      </c>
      <c r="H1598" s="134" t="str">
        <f>_xlfn.XLOOKUP(Table1[[#This Row],[Account_ID]], Accounts[ID], Accounts[Account'#], "Unknown")</f>
        <v>4618</v>
      </c>
      <c r="I1598" s="135" t="str">
        <f>_xlfn.XLOOKUP(_xlfn.XLOOKUP(Table1[[#This Row],[Account]],Accounts[Account nickname],Accounts[Institution ID]),Institutions[ID],Institutions[Institution nickname],"Unknown")</f>
        <v>Discover</v>
      </c>
      <c r="J1598" s="136" t="s">
        <v>2909</v>
      </c>
      <c r="K1598" s="137" t="s">
        <v>843</v>
      </c>
      <c r="L1598" s="137" t="s">
        <v>841</v>
      </c>
      <c r="M159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9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98" s="138" t="str" cm="1">
        <f t="array" ref="O1598">IFERROR(INDEX(CategoriesTable[Category type],MATCH(Table1[[#This Row],[Category]],CategoriesTable[Category name],0),0),"")</f>
        <v/>
      </c>
      <c r="P1598" s="138">
        <v>21</v>
      </c>
      <c r="Q1598" s="138">
        <f>MONTH(Table1[[#This Row],[Date]])</f>
        <v>10</v>
      </c>
      <c r="R1598" s="138">
        <v>2020</v>
      </c>
      <c r="S1598" s="139">
        <f>IF(ISBLANK(Table1[[#This Row],[Date]]),"",Table1[[#This Row],[Date]]-WEEKDAY(Table1[[#This Row],[Date]],2)+1)</f>
        <v>44123</v>
      </c>
      <c r="T1598" s="140">
        <f>IF(ISBLANK(Table1[[#This Row],[Date]]),"",DATE(Table1[[#This Row],[Date_Year]],Table1[[#This Row],[Date_Month]],1))</f>
        <v>44105</v>
      </c>
    </row>
    <row r="1599" spans="2:20" ht="15.75">
      <c r="B1599" s="154">
        <v>44125</v>
      </c>
      <c r="C1599" s="119" t="s">
        <v>2907</v>
      </c>
      <c r="D1599" s="119"/>
      <c r="E1599" s="119"/>
      <c r="F1599" s="155">
        <v>-10.44</v>
      </c>
      <c r="G1599" s="133" t="str">
        <f>_xlfn.XLOOKUP(Table1[[#This Row],[Account_ID]], Accounts[ID], Accounts[Account nickname], "Unknown")</f>
        <v>Discover</v>
      </c>
      <c r="H1599" s="134" t="str">
        <f>_xlfn.XLOOKUP(Table1[[#This Row],[Account_ID]], Accounts[ID], Accounts[Account'#], "Unknown")</f>
        <v>4618</v>
      </c>
      <c r="I1599" s="135" t="str">
        <f>_xlfn.XLOOKUP(_xlfn.XLOOKUP(Table1[[#This Row],[Account]],Accounts[Account nickname],Accounts[Institution ID]),Institutions[ID],Institutions[Institution nickname],"Unknown")</f>
        <v>Discover</v>
      </c>
      <c r="J1599" s="136" t="s">
        <v>2908</v>
      </c>
      <c r="K1599" s="137" t="s">
        <v>843</v>
      </c>
      <c r="L1599" s="137" t="s">
        <v>841</v>
      </c>
      <c r="M159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59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599" s="138" t="str" cm="1">
        <f t="array" ref="O1599">IFERROR(INDEX(CategoriesTable[Category type],MATCH(Table1[[#This Row],[Category]],CategoriesTable[Category name],0),0),"")</f>
        <v/>
      </c>
      <c r="P1599" s="138">
        <v>21</v>
      </c>
      <c r="Q1599" s="138">
        <f>MONTH(Table1[[#This Row],[Date]])</f>
        <v>10</v>
      </c>
      <c r="R1599" s="138">
        <v>2020</v>
      </c>
      <c r="S1599" s="139">
        <f>IF(ISBLANK(Table1[[#This Row],[Date]]),"",Table1[[#This Row],[Date]]-WEEKDAY(Table1[[#This Row],[Date]],2)+1)</f>
        <v>44123</v>
      </c>
      <c r="T1599" s="140">
        <f>IF(ISBLANK(Table1[[#This Row],[Date]]),"",DATE(Table1[[#This Row],[Date_Year]],Table1[[#This Row],[Date_Month]],1))</f>
        <v>44105</v>
      </c>
    </row>
    <row r="1600" spans="2:20" ht="15.75">
      <c r="B1600" s="154">
        <v>44125</v>
      </c>
      <c r="C1600" s="119" t="s">
        <v>2590</v>
      </c>
      <c r="D1600" s="119"/>
      <c r="E1600" s="119"/>
      <c r="F1600" s="155">
        <v>-2.92</v>
      </c>
      <c r="G1600" s="133" t="str">
        <f>_xlfn.XLOOKUP(Table1[[#This Row],[Account_ID]], Accounts[ID], Accounts[Account nickname], "Unknown")</f>
        <v>Discover</v>
      </c>
      <c r="H1600" s="134" t="str">
        <f>_xlfn.XLOOKUP(Table1[[#This Row],[Account_ID]], Accounts[ID], Accounts[Account'#], "Unknown")</f>
        <v>4618</v>
      </c>
      <c r="I1600" s="135" t="str">
        <f>_xlfn.XLOOKUP(_xlfn.XLOOKUP(Table1[[#This Row],[Account]],Accounts[Account nickname],Accounts[Institution ID]),Institutions[ID],Institutions[Institution nickname],"Unknown")</f>
        <v>Discover</v>
      </c>
      <c r="J1600" s="152" t="s">
        <v>2911</v>
      </c>
      <c r="K1600" s="137" t="s">
        <v>843</v>
      </c>
      <c r="L1600" s="137" t="s">
        <v>841</v>
      </c>
      <c r="M160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0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00" s="138" t="str" cm="1">
        <f t="array" ref="O1600">IFERROR(INDEX(CategoriesTable[Category type],MATCH(Table1[[#This Row],[Category]],CategoriesTable[Category name],0),0),"")</f>
        <v/>
      </c>
      <c r="P1600" s="138">
        <v>21</v>
      </c>
      <c r="Q1600" s="138">
        <f>MONTH(Table1[[#This Row],[Date]])</f>
        <v>10</v>
      </c>
      <c r="R1600" s="138">
        <v>2020</v>
      </c>
      <c r="S1600" s="139">
        <f>IF(ISBLANK(Table1[[#This Row],[Date]]),"",Table1[[#This Row],[Date]]-WEEKDAY(Table1[[#This Row],[Date]],2)+1)</f>
        <v>44123</v>
      </c>
      <c r="T1600" s="140">
        <f>IF(ISBLANK(Table1[[#This Row],[Date]]),"",DATE(Table1[[#This Row],[Date_Year]],Table1[[#This Row],[Date_Month]],1))</f>
        <v>44105</v>
      </c>
    </row>
    <row r="1601" spans="2:20" ht="15.75">
      <c r="B1601" s="154">
        <v>44125</v>
      </c>
      <c r="C1601" s="119" t="s">
        <v>2912</v>
      </c>
      <c r="D1601" s="119"/>
      <c r="E1601" s="119"/>
      <c r="F1601" s="155">
        <v>-7.75</v>
      </c>
      <c r="G1601" s="133" t="str">
        <f>_xlfn.XLOOKUP(Table1[[#This Row],[Account_ID]], Accounts[ID], Accounts[Account nickname], "Unknown")</f>
        <v>Discover</v>
      </c>
      <c r="H1601" s="134" t="str">
        <f>_xlfn.XLOOKUP(Table1[[#This Row],[Account_ID]], Accounts[ID], Accounts[Account'#], "Unknown")</f>
        <v>4618</v>
      </c>
      <c r="I1601" s="135" t="str">
        <f>_xlfn.XLOOKUP(_xlfn.XLOOKUP(Table1[[#This Row],[Account]],Accounts[Account nickname],Accounts[Institution ID]),Institutions[ID],Institutions[Institution nickname],"Unknown")</f>
        <v>Discover</v>
      </c>
      <c r="J1601" s="136" t="s">
        <v>2913</v>
      </c>
      <c r="K1601" s="137" t="s">
        <v>843</v>
      </c>
      <c r="L1601" s="137" t="s">
        <v>841</v>
      </c>
      <c r="M160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0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01" s="138" t="str" cm="1">
        <f t="array" ref="O1601">IFERROR(INDEX(CategoriesTable[Category type],MATCH(Table1[[#This Row],[Category]],CategoriesTable[Category name],0),0),"")</f>
        <v/>
      </c>
      <c r="P1601" s="138">
        <v>21</v>
      </c>
      <c r="Q1601" s="138">
        <f>MONTH(Table1[[#This Row],[Date]])</f>
        <v>10</v>
      </c>
      <c r="R1601" s="138">
        <v>2020</v>
      </c>
      <c r="S1601" s="139">
        <f>IF(ISBLANK(Table1[[#This Row],[Date]]),"",Table1[[#This Row],[Date]]-WEEKDAY(Table1[[#This Row],[Date]],2)+1)</f>
        <v>44123</v>
      </c>
      <c r="T1601" s="140">
        <f>IF(ISBLANK(Table1[[#This Row],[Date]]),"",DATE(Table1[[#This Row],[Date_Year]],Table1[[#This Row],[Date_Month]],1))</f>
        <v>44105</v>
      </c>
    </row>
    <row r="1602" spans="2:20" ht="15.75">
      <c r="B1602" s="154">
        <v>44124</v>
      </c>
      <c r="C1602" s="119" t="s">
        <v>734</v>
      </c>
      <c r="D1602" s="119"/>
      <c r="E1602" s="119"/>
      <c r="F1602" s="155">
        <v>-25</v>
      </c>
      <c r="G1602" s="133" t="str">
        <f>_xlfn.XLOOKUP(Table1[[#This Row],[Account_ID]], Accounts[ID], Accounts[Account nickname], "Unknown")</f>
        <v>WF</v>
      </c>
      <c r="H1602" s="134" t="str">
        <f>_xlfn.XLOOKUP(Table1[[#This Row],[Account_ID]], Accounts[ID], Accounts[Account'#], "Unknown")</f>
        <v>4636</v>
      </c>
      <c r="I1602" s="135" t="str">
        <f>_xlfn.XLOOKUP(_xlfn.XLOOKUP(Table1[[#This Row],[Account]],Accounts[Account nickname],Accounts[Institution ID]),Institutions[ID],Institutions[Institution nickname],"Unknown")</f>
        <v>Wells Fargo</v>
      </c>
      <c r="J1602" s="136" t="s">
        <v>1283</v>
      </c>
      <c r="K1602" s="137" t="s">
        <v>808</v>
      </c>
      <c r="L1602" s="137" t="s">
        <v>807</v>
      </c>
      <c r="M160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0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02" s="138" t="str" cm="1">
        <f t="array" ref="O1602">IFERROR(INDEX(CategoriesTable[Category type],MATCH(Table1[[#This Row],[Category]],CategoriesTable[Category name],0),0),"")</f>
        <v/>
      </c>
      <c r="P1602" s="138">
        <v>20</v>
      </c>
      <c r="Q1602" s="138">
        <f>MONTH(Table1[[#This Row],[Date]])</f>
        <v>10</v>
      </c>
      <c r="R1602" s="138">
        <v>2020</v>
      </c>
      <c r="S1602" s="139">
        <f>IF(ISBLANK(Table1[[#This Row],[Date]]),"",Table1[[#This Row],[Date]]-WEEKDAY(Table1[[#This Row],[Date]],2)+1)</f>
        <v>44123</v>
      </c>
      <c r="T1602" s="140">
        <f>IF(ISBLANK(Table1[[#This Row],[Date]]),"",DATE(Table1[[#This Row],[Date_Year]],Table1[[#This Row],[Date_Month]],1))</f>
        <v>44105</v>
      </c>
    </row>
    <row r="1603" spans="2:20" ht="15.75">
      <c r="B1603" s="154">
        <v>44123</v>
      </c>
      <c r="C1603" s="119" t="s">
        <v>753</v>
      </c>
      <c r="D1603" s="119"/>
      <c r="E1603" s="119"/>
      <c r="F1603" s="155">
        <v>285</v>
      </c>
      <c r="G1603" s="133" t="str">
        <f>_xlfn.XLOOKUP(Table1[[#This Row],[Account_ID]], Accounts[ID], Accounts[Account nickname], "Unknown")</f>
        <v>WF</v>
      </c>
      <c r="H1603" s="134" t="str">
        <f>_xlfn.XLOOKUP(Table1[[#This Row],[Account_ID]], Accounts[ID], Accounts[Account'#], "Unknown")</f>
        <v>4636</v>
      </c>
      <c r="I1603" s="135" t="str">
        <f>_xlfn.XLOOKUP(_xlfn.XLOOKUP(Table1[[#This Row],[Account]],Accounts[Account nickname],Accounts[Institution ID]),Institutions[ID],Institutions[Institution nickname],"Unknown")</f>
        <v>Wells Fargo</v>
      </c>
      <c r="J1603" s="136" t="s">
        <v>1285</v>
      </c>
      <c r="K1603" s="137" t="s">
        <v>808</v>
      </c>
      <c r="L1603" s="137" t="s">
        <v>807</v>
      </c>
      <c r="M160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0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03" s="138" t="str" cm="1">
        <f t="array" ref="O1603">IFERROR(INDEX(CategoriesTable[Category type],MATCH(Table1[[#This Row],[Category]],CategoriesTable[Category name],0),0),"")</f>
        <v/>
      </c>
      <c r="P1603" s="138">
        <v>19</v>
      </c>
      <c r="Q1603" s="138">
        <f>MONTH(Table1[[#This Row],[Date]])</f>
        <v>10</v>
      </c>
      <c r="R1603" s="138">
        <v>2020</v>
      </c>
      <c r="S1603" s="139">
        <f>IF(ISBLANK(Table1[[#This Row],[Date]]),"",Table1[[#This Row],[Date]]-WEEKDAY(Table1[[#This Row],[Date]],2)+1)</f>
        <v>44123</v>
      </c>
      <c r="T1603" s="140">
        <f>IF(ISBLANK(Table1[[#This Row],[Date]]),"",DATE(Table1[[#This Row],[Date_Year]],Table1[[#This Row],[Date_Month]],1))</f>
        <v>44105</v>
      </c>
    </row>
    <row r="1604" spans="2:20" ht="15.75">
      <c r="B1604" s="154">
        <v>44123</v>
      </c>
      <c r="C1604" s="119" t="s">
        <v>2590</v>
      </c>
      <c r="D1604" s="119"/>
      <c r="E1604" s="119"/>
      <c r="F1604" s="155">
        <v>-12.02</v>
      </c>
      <c r="G1604" s="133" t="str">
        <f>_xlfn.XLOOKUP(Table1[[#This Row],[Account_ID]], Accounts[ID], Accounts[Account nickname], "Unknown")</f>
        <v>Discover</v>
      </c>
      <c r="H1604" s="134" t="str">
        <f>_xlfn.XLOOKUP(Table1[[#This Row],[Account_ID]], Accounts[ID], Accounts[Account'#], "Unknown")</f>
        <v>4618</v>
      </c>
      <c r="I1604" s="135" t="str">
        <f>_xlfn.XLOOKUP(_xlfn.XLOOKUP(Table1[[#This Row],[Account]],Accounts[Account nickname],Accounts[Institution ID]),Institutions[ID],Institutions[Institution nickname],"Unknown")</f>
        <v>Discover</v>
      </c>
      <c r="J1604" s="136" t="s">
        <v>2918</v>
      </c>
      <c r="K1604" s="137" t="s">
        <v>843</v>
      </c>
      <c r="L1604" s="137" t="s">
        <v>841</v>
      </c>
      <c r="M160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0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04" s="138" t="str" cm="1">
        <f t="array" ref="O1604">IFERROR(INDEX(CategoriesTable[Category type],MATCH(Table1[[#This Row],[Category]],CategoriesTable[Category name],0),0),"")</f>
        <v/>
      </c>
      <c r="P1604" s="138">
        <v>19</v>
      </c>
      <c r="Q1604" s="138">
        <f>MONTH(Table1[[#This Row],[Date]])</f>
        <v>10</v>
      </c>
      <c r="R1604" s="138">
        <v>2020</v>
      </c>
      <c r="S1604" s="139">
        <f>IF(ISBLANK(Table1[[#This Row],[Date]]),"",Table1[[#This Row],[Date]]-WEEKDAY(Table1[[#This Row],[Date]],2)+1)</f>
        <v>44123</v>
      </c>
      <c r="T1604" s="140">
        <f>IF(ISBLANK(Table1[[#This Row],[Date]]),"",DATE(Table1[[#This Row],[Date_Year]],Table1[[#This Row],[Date_Month]],1))</f>
        <v>44105</v>
      </c>
    </row>
    <row r="1605" spans="2:20" ht="15.75">
      <c r="B1605" s="154">
        <v>44123</v>
      </c>
      <c r="C1605" s="119" t="s">
        <v>2916</v>
      </c>
      <c r="D1605" s="119"/>
      <c r="E1605" s="119"/>
      <c r="F1605" s="155">
        <v>-180.19</v>
      </c>
      <c r="G1605" s="133" t="str">
        <f>_xlfn.XLOOKUP(Table1[[#This Row],[Account_ID]], Accounts[ID], Accounts[Account nickname], "Unknown")</f>
        <v>Discover</v>
      </c>
      <c r="H1605" s="134" t="str">
        <f>_xlfn.XLOOKUP(Table1[[#This Row],[Account_ID]], Accounts[ID], Accounts[Account'#], "Unknown")</f>
        <v>4618</v>
      </c>
      <c r="I1605" s="135" t="str">
        <f>_xlfn.XLOOKUP(_xlfn.XLOOKUP(Table1[[#This Row],[Account]],Accounts[Account nickname],Accounts[Institution ID]),Institutions[ID],Institutions[Institution nickname],"Unknown")</f>
        <v>Discover</v>
      </c>
      <c r="J1605" s="136" t="s">
        <v>2917</v>
      </c>
      <c r="K1605" s="137" t="s">
        <v>843</v>
      </c>
      <c r="L1605" s="137" t="s">
        <v>841</v>
      </c>
      <c r="M160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0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05" s="138" t="str" cm="1">
        <f t="array" ref="O1605">IFERROR(INDEX(CategoriesTable[Category type],MATCH(Table1[[#This Row],[Category]],CategoriesTable[Category name],0),0),"")</f>
        <v/>
      </c>
      <c r="P1605" s="138">
        <v>19</v>
      </c>
      <c r="Q1605" s="138">
        <f>MONTH(Table1[[#This Row],[Date]])</f>
        <v>10</v>
      </c>
      <c r="R1605" s="138">
        <v>2020</v>
      </c>
      <c r="S1605" s="139">
        <f>IF(ISBLANK(Table1[[#This Row],[Date]]),"",Table1[[#This Row],[Date]]-WEEKDAY(Table1[[#This Row],[Date]],2)+1)</f>
        <v>44123</v>
      </c>
      <c r="T1605" s="140">
        <f>IF(ISBLANK(Table1[[#This Row],[Date]]),"",DATE(Table1[[#This Row],[Date_Year]],Table1[[#This Row],[Date_Month]],1))</f>
        <v>44105</v>
      </c>
    </row>
    <row r="1606" spans="2:20" ht="15.75">
      <c r="B1606" s="154">
        <v>44123</v>
      </c>
      <c r="C1606" s="119" t="s">
        <v>860</v>
      </c>
      <c r="D1606" s="119"/>
      <c r="E1606" s="119"/>
      <c r="F1606" s="155">
        <v>-2.48</v>
      </c>
      <c r="G1606" s="133" t="str">
        <f>_xlfn.XLOOKUP(Table1[[#This Row],[Account_ID]], Accounts[ID], Accounts[Account nickname], "Unknown")</f>
        <v>Discover</v>
      </c>
      <c r="H1606" s="134" t="str">
        <f>_xlfn.XLOOKUP(Table1[[#This Row],[Account_ID]], Accounts[ID], Accounts[Account'#], "Unknown")</f>
        <v>4618</v>
      </c>
      <c r="I1606" s="135" t="str">
        <f>_xlfn.XLOOKUP(_xlfn.XLOOKUP(Table1[[#This Row],[Account]],Accounts[Account nickname],Accounts[Institution ID]),Institutions[ID],Institutions[Institution nickname],"Unknown")</f>
        <v>Discover</v>
      </c>
      <c r="J1606" s="136" t="s">
        <v>2914</v>
      </c>
      <c r="K1606" s="137" t="s">
        <v>843</v>
      </c>
      <c r="L1606" s="137" t="s">
        <v>841</v>
      </c>
      <c r="M160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0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06" s="138" t="str" cm="1">
        <f t="array" ref="O1606">IFERROR(INDEX(CategoriesTable[Category type],MATCH(Table1[[#This Row],[Category]],CategoriesTable[Category name],0),0),"")</f>
        <v/>
      </c>
      <c r="P1606" s="138">
        <v>19</v>
      </c>
      <c r="Q1606" s="138">
        <f>MONTH(Table1[[#This Row],[Date]])</f>
        <v>10</v>
      </c>
      <c r="R1606" s="138">
        <v>2020</v>
      </c>
      <c r="S1606" s="139">
        <f>IF(ISBLANK(Table1[[#This Row],[Date]]),"",Table1[[#This Row],[Date]]-WEEKDAY(Table1[[#This Row],[Date]],2)+1)</f>
        <v>44123</v>
      </c>
      <c r="T1606" s="140">
        <f>IF(ISBLANK(Table1[[#This Row],[Date]]),"",DATE(Table1[[#This Row],[Date_Year]],Table1[[#This Row],[Date_Month]],1))</f>
        <v>44105</v>
      </c>
    </row>
    <row r="1607" spans="2:20" ht="15.75">
      <c r="B1607" s="154">
        <v>44123</v>
      </c>
      <c r="C1607" s="119" t="s">
        <v>860</v>
      </c>
      <c r="D1607" s="119"/>
      <c r="E1607" s="119"/>
      <c r="F1607" s="155">
        <v>-46.11</v>
      </c>
      <c r="G1607" s="133" t="str">
        <f>_xlfn.XLOOKUP(Table1[[#This Row],[Account_ID]], Accounts[ID], Accounts[Account nickname], "Unknown")</f>
        <v>Discover</v>
      </c>
      <c r="H1607" s="134" t="str">
        <f>_xlfn.XLOOKUP(Table1[[#This Row],[Account_ID]], Accounts[ID], Accounts[Account'#], "Unknown")</f>
        <v>4618</v>
      </c>
      <c r="I1607" s="135" t="str">
        <f>_xlfn.XLOOKUP(_xlfn.XLOOKUP(Table1[[#This Row],[Account]],Accounts[Account nickname],Accounts[Institution ID]),Institutions[ID],Institutions[Institution nickname],"Unknown")</f>
        <v>Discover</v>
      </c>
      <c r="J1607" s="136" t="s">
        <v>2915</v>
      </c>
      <c r="K1607" s="137" t="s">
        <v>843</v>
      </c>
      <c r="L1607" s="137" t="s">
        <v>841</v>
      </c>
      <c r="M160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0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07" s="138" t="str" cm="1">
        <f t="array" ref="O1607">IFERROR(INDEX(CategoriesTable[Category type],MATCH(Table1[[#This Row],[Category]],CategoriesTable[Category name],0),0),"")</f>
        <v/>
      </c>
      <c r="P1607" s="138">
        <v>19</v>
      </c>
      <c r="Q1607" s="138">
        <f>MONTH(Table1[[#This Row],[Date]])</f>
        <v>10</v>
      </c>
      <c r="R1607" s="138">
        <v>2020</v>
      </c>
      <c r="S1607" s="139">
        <f>IF(ISBLANK(Table1[[#This Row],[Date]]),"",Table1[[#This Row],[Date]]-WEEKDAY(Table1[[#This Row],[Date]],2)+1)</f>
        <v>44123</v>
      </c>
      <c r="T1607" s="140">
        <f>IF(ISBLANK(Table1[[#This Row],[Date]]),"",DATE(Table1[[#This Row],[Date_Year]],Table1[[#This Row],[Date_Month]],1))</f>
        <v>44105</v>
      </c>
    </row>
    <row r="1608" spans="2:20" ht="15.75">
      <c r="B1608" s="154">
        <v>44123</v>
      </c>
      <c r="C1608" s="119" t="s">
        <v>693</v>
      </c>
      <c r="D1608" s="119"/>
      <c r="E1608" s="119"/>
      <c r="F1608" s="155">
        <v>-100</v>
      </c>
      <c r="G1608" s="133" t="str">
        <f>_xlfn.XLOOKUP(Table1[[#This Row],[Account_ID]], Accounts[ID], Accounts[Account nickname], "Unknown")</f>
        <v>WF</v>
      </c>
      <c r="H1608" s="134" t="str">
        <f>_xlfn.XLOOKUP(Table1[[#This Row],[Account_ID]], Accounts[ID], Accounts[Account'#], "Unknown")</f>
        <v>4636</v>
      </c>
      <c r="I1608" s="135" t="str">
        <f>_xlfn.XLOOKUP(_xlfn.XLOOKUP(Table1[[#This Row],[Account]],Accounts[Account nickname],Accounts[Institution ID]),Institutions[ID],Institutions[Institution nickname],"Unknown")</f>
        <v>Wells Fargo</v>
      </c>
      <c r="J1608" s="136" t="s">
        <v>1284</v>
      </c>
      <c r="K1608" s="137" t="s">
        <v>808</v>
      </c>
      <c r="L1608" s="137" t="s">
        <v>807</v>
      </c>
      <c r="M160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0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08" s="138" t="str" cm="1">
        <f t="array" ref="O1608">IFERROR(INDEX(CategoriesTable[Category type],MATCH(Table1[[#This Row],[Category]],CategoriesTable[Category name],0),0),"")</f>
        <v/>
      </c>
      <c r="P1608" s="138">
        <v>19</v>
      </c>
      <c r="Q1608" s="138">
        <f>MONTH(Table1[[#This Row],[Date]])</f>
        <v>10</v>
      </c>
      <c r="R1608" s="138">
        <v>2020</v>
      </c>
      <c r="S1608" s="139">
        <f>IF(ISBLANK(Table1[[#This Row],[Date]]),"",Table1[[#This Row],[Date]]-WEEKDAY(Table1[[#This Row],[Date]],2)+1)</f>
        <v>44123</v>
      </c>
      <c r="T1608" s="140">
        <f>IF(ISBLANK(Table1[[#This Row],[Date]]),"",DATE(Table1[[#This Row],[Date_Year]],Table1[[#This Row],[Date_Month]],1))</f>
        <v>44105</v>
      </c>
    </row>
    <row r="1609" spans="2:20" ht="15.75">
      <c r="B1609" s="154">
        <v>44122</v>
      </c>
      <c r="C1609" s="119" t="s">
        <v>2919</v>
      </c>
      <c r="D1609" s="119"/>
      <c r="E1609" s="119"/>
      <c r="F1609" s="155">
        <v>-40</v>
      </c>
      <c r="G1609" s="133" t="str">
        <f>_xlfn.XLOOKUP(Table1[[#This Row],[Account_ID]], Accounts[ID], Accounts[Account nickname], "Unknown")</f>
        <v>Discover</v>
      </c>
      <c r="H1609" s="134" t="str">
        <f>_xlfn.XLOOKUP(Table1[[#This Row],[Account_ID]], Accounts[ID], Accounts[Account'#], "Unknown")</f>
        <v>4618</v>
      </c>
      <c r="I1609" s="135" t="str">
        <f>_xlfn.XLOOKUP(_xlfn.XLOOKUP(Table1[[#This Row],[Account]],Accounts[Account nickname],Accounts[Institution ID]),Institutions[ID],Institutions[Institution nickname],"Unknown")</f>
        <v>Discover</v>
      </c>
      <c r="J1609" s="136" t="s">
        <v>2920</v>
      </c>
      <c r="K1609" s="137" t="s">
        <v>843</v>
      </c>
      <c r="L1609" s="137" t="s">
        <v>841</v>
      </c>
      <c r="M160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0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09" s="138" t="str" cm="1">
        <f t="array" ref="O1609">IFERROR(INDEX(CategoriesTable[Category type],MATCH(Table1[[#This Row],[Category]],CategoriesTable[Category name],0),0),"")</f>
        <v/>
      </c>
      <c r="P1609" s="138">
        <v>18</v>
      </c>
      <c r="Q1609" s="138">
        <f>MONTH(Table1[[#This Row],[Date]])</f>
        <v>10</v>
      </c>
      <c r="R1609" s="138">
        <v>2020</v>
      </c>
      <c r="S1609" s="139">
        <f>IF(ISBLANK(Table1[[#This Row],[Date]]),"",Table1[[#This Row],[Date]]-WEEKDAY(Table1[[#This Row],[Date]],2)+1)</f>
        <v>44116</v>
      </c>
      <c r="T1609" s="140">
        <f>IF(ISBLANK(Table1[[#This Row],[Date]]),"",DATE(Table1[[#This Row],[Date_Year]],Table1[[#This Row],[Date_Month]],1))</f>
        <v>44105</v>
      </c>
    </row>
    <row r="1610" spans="2:20" ht="15.75">
      <c r="B1610" s="154">
        <v>44122</v>
      </c>
      <c r="C1610" s="119" t="s">
        <v>2921</v>
      </c>
      <c r="D1610" s="119"/>
      <c r="E1610" s="119"/>
      <c r="F1610" s="155">
        <v>-8.31</v>
      </c>
      <c r="G1610" s="133" t="str">
        <f>_xlfn.XLOOKUP(Table1[[#This Row],[Account_ID]], Accounts[ID], Accounts[Account nickname], "Unknown")</f>
        <v>Discover</v>
      </c>
      <c r="H1610" s="134" t="str">
        <f>_xlfn.XLOOKUP(Table1[[#This Row],[Account_ID]], Accounts[ID], Accounts[Account'#], "Unknown")</f>
        <v>4618</v>
      </c>
      <c r="I1610" s="135" t="str">
        <f>_xlfn.XLOOKUP(_xlfn.XLOOKUP(Table1[[#This Row],[Account]],Accounts[Account nickname],Accounts[Institution ID]),Institutions[ID],Institutions[Institution nickname],"Unknown")</f>
        <v>Discover</v>
      </c>
      <c r="J1610" s="136" t="s">
        <v>2922</v>
      </c>
      <c r="K1610" s="137" t="s">
        <v>843</v>
      </c>
      <c r="L1610" s="137" t="s">
        <v>841</v>
      </c>
      <c r="M161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1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10" s="138" t="str" cm="1">
        <f t="array" ref="O1610">IFERROR(INDEX(CategoriesTable[Category type],MATCH(Table1[[#This Row],[Category]],CategoriesTable[Category name],0),0),"")</f>
        <v/>
      </c>
      <c r="P1610" s="138">
        <v>18</v>
      </c>
      <c r="Q1610" s="138">
        <f>MONTH(Table1[[#This Row],[Date]])</f>
        <v>10</v>
      </c>
      <c r="R1610" s="138">
        <v>2020</v>
      </c>
      <c r="S1610" s="139">
        <f>IF(ISBLANK(Table1[[#This Row],[Date]]),"",Table1[[#This Row],[Date]]-WEEKDAY(Table1[[#This Row],[Date]],2)+1)</f>
        <v>44116</v>
      </c>
      <c r="T1610" s="140">
        <f>IF(ISBLANK(Table1[[#This Row],[Date]]),"",DATE(Table1[[#This Row],[Date_Year]],Table1[[#This Row],[Date_Month]],1))</f>
        <v>44105</v>
      </c>
    </row>
    <row r="1611" spans="2:20" ht="15.75">
      <c r="B1611" s="154">
        <v>44121</v>
      </c>
      <c r="C1611" s="119" t="s">
        <v>1726</v>
      </c>
      <c r="D1611" s="119"/>
      <c r="E1611" s="119"/>
      <c r="F1611" s="155">
        <v>-12.23</v>
      </c>
      <c r="G1611" s="133" t="str">
        <f>_xlfn.XLOOKUP(Table1[[#This Row],[Account_ID]], Accounts[ID], Accounts[Account nickname], "Unknown")</f>
        <v>Discover</v>
      </c>
      <c r="H1611" s="134" t="str">
        <f>_xlfn.XLOOKUP(Table1[[#This Row],[Account_ID]], Accounts[ID], Accounts[Account'#], "Unknown")</f>
        <v>4618</v>
      </c>
      <c r="I1611" s="135" t="str">
        <f>_xlfn.XLOOKUP(_xlfn.XLOOKUP(Table1[[#This Row],[Account]],Accounts[Account nickname],Accounts[Institution ID]),Institutions[ID],Institutions[Institution nickname],"Unknown")</f>
        <v>Discover</v>
      </c>
      <c r="J1611" s="136" t="s">
        <v>2925</v>
      </c>
      <c r="K1611" s="137" t="s">
        <v>843</v>
      </c>
      <c r="L1611" s="137" t="s">
        <v>841</v>
      </c>
      <c r="M161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1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11" s="138" t="str" cm="1">
        <f t="array" ref="O1611">IFERROR(INDEX(CategoriesTable[Category type],MATCH(Table1[[#This Row],[Category]],CategoriesTable[Category name],0),0),"")</f>
        <v/>
      </c>
      <c r="P1611" s="138">
        <v>17</v>
      </c>
      <c r="Q1611" s="138">
        <f>MONTH(Table1[[#This Row],[Date]])</f>
        <v>10</v>
      </c>
      <c r="R1611" s="138">
        <v>2020</v>
      </c>
      <c r="S1611" s="139">
        <f>IF(ISBLANK(Table1[[#This Row],[Date]]),"",Table1[[#This Row],[Date]]-WEEKDAY(Table1[[#This Row],[Date]],2)+1)</f>
        <v>44116</v>
      </c>
      <c r="T1611" s="140">
        <f>IF(ISBLANK(Table1[[#This Row],[Date]]),"",DATE(Table1[[#This Row],[Date_Year]],Table1[[#This Row],[Date_Month]],1))</f>
        <v>44105</v>
      </c>
    </row>
    <row r="1612" spans="2:20" ht="15.75">
      <c r="B1612" s="154">
        <v>44121</v>
      </c>
      <c r="C1612" s="119" t="s">
        <v>2923</v>
      </c>
      <c r="D1612" s="119"/>
      <c r="E1612" s="119"/>
      <c r="F1612" s="155">
        <v>-29</v>
      </c>
      <c r="G1612" s="133" t="str">
        <f>_xlfn.XLOOKUP(Table1[[#This Row],[Account_ID]], Accounts[ID], Accounts[Account nickname], "Unknown")</f>
        <v>Discover</v>
      </c>
      <c r="H1612" s="134" t="str">
        <f>_xlfn.XLOOKUP(Table1[[#This Row],[Account_ID]], Accounts[ID], Accounts[Account'#], "Unknown")</f>
        <v>4618</v>
      </c>
      <c r="I1612" s="135" t="str">
        <f>_xlfn.XLOOKUP(_xlfn.XLOOKUP(Table1[[#This Row],[Account]],Accounts[Account nickname],Accounts[Institution ID]),Institutions[ID],Institutions[Institution nickname],"Unknown")</f>
        <v>Discover</v>
      </c>
      <c r="J1612" s="136" t="s">
        <v>2924</v>
      </c>
      <c r="K1612" s="137" t="s">
        <v>843</v>
      </c>
      <c r="L1612" s="137" t="s">
        <v>841</v>
      </c>
      <c r="M161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1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12" s="138" t="str" cm="1">
        <f t="array" ref="O1612">IFERROR(INDEX(CategoriesTable[Category type],MATCH(Table1[[#This Row],[Category]],CategoriesTable[Category name],0),0),"")</f>
        <v/>
      </c>
      <c r="P1612" s="138">
        <v>17</v>
      </c>
      <c r="Q1612" s="138">
        <f>MONTH(Table1[[#This Row],[Date]])</f>
        <v>10</v>
      </c>
      <c r="R1612" s="138">
        <v>2020</v>
      </c>
      <c r="S1612" s="139">
        <f>IF(ISBLANK(Table1[[#This Row],[Date]]),"",Table1[[#This Row],[Date]]-WEEKDAY(Table1[[#This Row],[Date]],2)+1)</f>
        <v>44116</v>
      </c>
      <c r="T1612" s="140">
        <f>IF(ISBLANK(Table1[[#This Row],[Date]]),"",DATE(Table1[[#This Row],[Date_Year]],Table1[[#This Row],[Date_Month]],1))</f>
        <v>44105</v>
      </c>
    </row>
    <row r="1613" spans="2:20" ht="15.75">
      <c r="B1613" s="154">
        <v>44121</v>
      </c>
      <c r="C1613" s="119" t="s">
        <v>1605</v>
      </c>
      <c r="D1613" s="119"/>
      <c r="E1613" s="119"/>
      <c r="F1613" s="155">
        <v>-24.37</v>
      </c>
      <c r="G1613" s="133" t="str">
        <f>_xlfn.XLOOKUP(Table1[[#This Row],[Account_ID]], Accounts[ID], Accounts[Account nickname], "Unknown")</f>
        <v>Discover</v>
      </c>
      <c r="H1613" s="134" t="str">
        <f>_xlfn.XLOOKUP(Table1[[#This Row],[Account_ID]], Accounts[ID], Accounts[Account'#], "Unknown")</f>
        <v>4618</v>
      </c>
      <c r="I1613" s="135" t="str">
        <f>_xlfn.XLOOKUP(_xlfn.XLOOKUP(Table1[[#This Row],[Account]],Accounts[Account nickname],Accounts[Institution ID]),Institutions[ID],Institutions[Institution nickname],"Unknown")</f>
        <v>Discover</v>
      </c>
      <c r="J1613" s="136" t="s">
        <v>2926</v>
      </c>
      <c r="K1613" s="137" t="s">
        <v>843</v>
      </c>
      <c r="L1613" s="137" t="s">
        <v>841</v>
      </c>
      <c r="M161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1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13" s="138" t="str" cm="1">
        <f t="array" ref="O1613">IFERROR(INDEX(CategoriesTable[Category type],MATCH(Table1[[#This Row],[Category]],CategoriesTable[Category name],0),0),"")</f>
        <v/>
      </c>
      <c r="P1613" s="138">
        <v>17</v>
      </c>
      <c r="Q1613" s="138">
        <f>MONTH(Table1[[#This Row],[Date]])</f>
        <v>10</v>
      </c>
      <c r="R1613" s="138">
        <v>2020</v>
      </c>
      <c r="S1613" s="139">
        <f>IF(ISBLANK(Table1[[#This Row],[Date]]),"",Table1[[#This Row],[Date]]-WEEKDAY(Table1[[#This Row],[Date]],2)+1)</f>
        <v>44116</v>
      </c>
      <c r="T1613" s="140">
        <f>IF(ISBLANK(Table1[[#This Row],[Date]]),"",DATE(Table1[[#This Row],[Date_Year]],Table1[[#This Row],[Date_Month]],1))</f>
        <v>44105</v>
      </c>
    </row>
    <row r="1614" spans="2:20" ht="15.75">
      <c r="B1614" s="154">
        <v>44121</v>
      </c>
      <c r="C1614" s="119" t="s">
        <v>2590</v>
      </c>
      <c r="D1614" s="119"/>
      <c r="E1614" s="119"/>
      <c r="F1614" s="155">
        <v>-14.82</v>
      </c>
      <c r="G1614" s="133" t="str">
        <f>_xlfn.XLOOKUP(Table1[[#This Row],[Account_ID]], Accounts[ID], Accounts[Account nickname], "Unknown")</f>
        <v>Discover</v>
      </c>
      <c r="H1614" s="134" t="str">
        <f>_xlfn.XLOOKUP(Table1[[#This Row],[Account_ID]], Accounts[ID], Accounts[Account'#], "Unknown")</f>
        <v>4618</v>
      </c>
      <c r="I1614" s="135" t="str">
        <f>_xlfn.XLOOKUP(_xlfn.XLOOKUP(Table1[[#This Row],[Account]],Accounts[Account nickname],Accounts[Institution ID]),Institutions[ID],Institutions[Institution nickname],"Unknown")</f>
        <v>Discover</v>
      </c>
      <c r="J1614" s="136" t="s">
        <v>2927</v>
      </c>
      <c r="K1614" s="137" t="s">
        <v>843</v>
      </c>
      <c r="L1614" s="137" t="s">
        <v>841</v>
      </c>
      <c r="M161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1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14" s="138" t="str" cm="1">
        <f t="array" ref="O1614">IFERROR(INDEX(CategoriesTable[Category type],MATCH(Table1[[#This Row],[Category]],CategoriesTable[Category name],0),0),"")</f>
        <v/>
      </c>
      <c r="P1614" s="138">
        <v>17</v>
      </c>
      <c r="Q1614" s="138">
        <f>MONTH(Table1[[#This Row],[Date]])</f>
        <v>10</v>
      </c>
      <c r="R1614" s="138">
        <v>2020</v>
      </c>
      <c r="S1614" s="139">
        <f>IF(ISBLANK(Table1[[#This Row],[Date]]),"",Table1[[#This Row],[Date]]-WEEKDAY(Table1[[#This Row],[Date]],2)+1)</f>
        <v>44116</v>
      </c>
      <c r="T1614" s="140">
        <f>IF(ISBLANK(Table1[[#This Row],[Date]]),"",DATE(Table1[[#This Row],[Date_Year]],Table1[[#This Row],[Date_Month]],1))</f>
        <v>44105</v>
      </c>
    </row>
    <row r="1615" spans="2:20" ht="15.75">
      <c r="B1615" s="154">
        <v>44121</v>
      </c>
      <c r="C1615" s="119" t="s">
        <v>2928</v>
      </c>
      <c r="D1615" s="119"/>
      <c r="E1615" s="119"/>
      <c r="F1615" s="155">
        <v>-32.69</v>
      </c>
      <c r="G1615" s="133" t="str">
        <f>_xlfn.XLOOKUP(Table1[[#This Row],[Account_ID]], Accounts[ID], Accounts[Account nickname], "Unknown")</f>
        <v>Discover</v>
      </c>
      <c r="H1615" s="134" t="str">
        <f>_xlfn.XLOOKUP(Table1[[#This Row],[Account_ID]], Accounts[ID], Accounts[Account'#], "Unknown")</f>
        <v>4618</v>
      </c>
      <c r="I1615" s="135" t="str">
        <f>_xlfn.XLOOKUP(_xlfn.XLOOKUP(Table1[[#This Row],[Account]],Accounts[Account nickname],Accounts[Institution ID]),Institutions[ID],Institutions[Institution nickname],"Unknown")</f>
        <v>Discover</v>
      </c>
      <c r="J1615" s="136" t="s">
        <v>2929</v>
      </c>
      <c r="K1615" s="137" t="s">
        <v>843</v>
      </c>
      <c r="L1615" s="137" t="s">
        <v>841</v>
      </c>
      <c r="M161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1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15" s="138" t="str" cm="1">
        <f t="array" ref="O1615">IFERROR(INDEX(CategoriesTable[Category type],MATCH(Table1[[#This Row],[Category]],CategoriesTable[Category name],0),0),"")</f>
        <v/>
      </c>
      <c r="P1615" s="138">
        <v>17</v>
      </c>
      <c r="Q1615" s="138">
        <f>MONTH(Table1[[#This Row],[Date]])</f>
        <v>10</v>
      </c>
      <c r="R1615" s="138">
        <v>2020</v>
      </c>
      <c r="S1615" s="139">
        <f>IF(ISBLANK(Table1[[#This Row],[Date]]),"",Table1[[#This Row],[Date]]-WEEKDAY(Table1[[#This Row],[Date]],2)+1)</f>
        <v>44116</v>
      </c>
      <c r="T1615" s="140">
        <f>IF(ISBLANK(Table1[[#This Row],[Date]]),"",DATE(Table1[[#This Row],[Date_Year]],Table1[[#This Row],[Date_Month]],1))</f>
        <v>44105</v>
      </c>
    </row>
    <row r="1616" spans="2:20" ht="15.75">
      <c r="B1616" s="154">
        <v>44120</v>
      </c>
      <c r="C1616" s="119" t="s">
        <v>712</v>
      </c>
      <c r="D1616" s="119"/>
      <c r="E1616" s="119"/>
      <c r="F1616" s="155">
        <v>-12.49</v>
      </c>
      <c r="G1616" s="133" t="str">
        <f>_xlfn.XLOOKUP(Table1[[#This Row],[Account_ID]], Accounts[ID], Accounts[Account nickname], "Unknown")</f>
        <v>Discover</v>
      </c>
      <c r="H1616" s="134" t="str">
        <f>_xlfn.XLOOKUP(Table1[[#This Row],[Account_ID]], Accounts[ID], Accounts[Account'#], "Unknown")</f>
        <v>4618</v>
      </c>
      <c r="I1616" s="135" t="str">
        <f>_xlfn.XLOOKUP(_xlfn.XLOOKUP(Table1[[#This Row],[Account]],Accounts[Account nickname],Accounts[Institution ID]),Institutions[ID],Institutions[Institution nickname],"Unknown")</f>
        <v>Discover</v>
      </c>
      <c r="J1616" s="136" t="s">
        <v>2936</v>
      </c>
      <c r="K1616" s="137" t="s">
        <v>843</v>
      </c>
      <c r="L1616" s="137" t="s">
        <v>841</v>
      </c>
      <c r="M161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1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16" s="138" t="str" cm="1">
        <f t="array" ref="O1616">IFERROR(INDEX(CategoriesTable[Category type],MATCH(Table1[[#This Row],[Category]],CategoriesTable[Category name],0),0),"")</f>
        <v/>
      </c>
      <c r="P1616" s="138">
        <v>16</v>
      </c>
      <c r="Q1616" s="138">
        <f>MONTH(Table1[[#This Row],[Date]])</f>
        <v>10</v>
      </c>
      <c r="R1616" s="138">
        <v>2020</v>
      </c>
      <c r="S1616" s="139">
        <f>IF(ISBLANK(Table1[[#This Row],[Date]]),"",Table1[[#This Row],[Date]]-WEEKDAY(Table1[[#This Row],[Date]],2)+1)</f>
        <v>44116</v>
      </c>
      <c r="T1616" s="140">
        <f>IF(ISBLANK(Table1[[#This Row],[Date]]),"",DATE(Table1[[#This Row],[Date_Year]],Table1[[#This Row],[Date_Month]],1))</f>
        <v>44105</v>
      </c>
    </row>
    <row r="1617" spans="2:20" ht="15.75">
      <c r="B1617" s="154">
        <v>44120</v>
      </c>
      <c r="C1617" s="119" t="s">
        <v>773</v>
      </c>
      <c r="D1617" s="119"/>
      <c r="E1617" s="119"/>
      <c r="F1617" s="155">
        <v>-80</v>
      </c>
      <c r="G1617" s="133" t="str">
        <f>_xlfn.XLOOKUP(Table1[[#This Row],[Account_ID]], Accounts[ID], Accounts[Account nickname], "Unknown")</f>
        <v>WF</v>
      </c>
      <c r="H1617" s="134" t="str">
        <f>_xlfn.XLOOKUP(Table1[[#This Row],[Account_ID]], Accounts[ID], Accounts[Account'#], "Unknown")</f>
        <v>4636</v>
      </c>
      <c r="I1617" s="135" t="str">
        <f>_xlfn.XLOOKUP(_xlfn.XLOOKUP(Table1[[#This Row],[Account]],Accounts[Account nickname],Accounts[Institution ID]),Institutions[ID],Institutions[Institution nickname],"Unknown")</f>
        <v>Wells Fargo</v>
      </c>
      <c r="J1617" s="136" t="s">
        <v>1286</v>
      </c>
      <c r="K1617" s="137" t="s">
        <v>808</v>
      </c>
      <c r="L1617" s="137" t="s">
        <v>807</v>
      </c>
      <c r="M161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1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17" s="138" t="str" cm="1">
        <f t="array" ref="O1617">IFERROR(INDEX(CategoriesTable[Category type],MATCH(Table1[[#This Row],[Category]],CategoriesTable[Category name],0),0),"")</f>
        <v/>
      </c>
      <c r="P1617" s="138">
        <v>16</v>
      </c>
      <c r="Q1617" s="138">
        <f>MONTH(Table1[[#This Row],[Date]])</f>
        <v>10</v>
      </c>
      <c r="R1617" s="138">
        <v>2020</v>
      </c>
      <c r="S1617" s="139">
        <f>IF(ISBLANK(Table1[[#This Row],[Date]]),"",Table1[[#This Row],[Date]]-WEEKDAY(Table1[[#This Row],[Date]],2)+1)</f>
        <v>44116</v>
      </c>
      <c r="T1617" s="140">
        <f>IF(ISBLANK(Table1[[#This Row],[Date]]),"",DATE(Table1[[#This Row],[Date_Year]],Table1[[#This Row],[Date_Month]],1))</f>
        <v>44105</v>
      </c>
    </row>
    <row r="1618" spans="2:20" ht="15.75">
      <c r="B1618" s="154">
        <v>44120</v>
      </c>
      <c r="C1618" s="119" t="s">
        <v>704</v>
      </c>
      <c r="D1618" s="119"/>
      <c r="E1618" s="119"/>
      <c r="F1618" s="155">
        <v>-27.34</v>
      </c>
      <c r="G1618" s="133" t="str">
        <f>_xlfn.XLOOKUP(Table1[[#This Row],[Account_ID]], Accounts[ID], Accounts[Account nickname], "Unknown")</f>
        <v>Discover</v>
      </c>
      <c r="H1618" s="134" t="str">
        <f>_xlfn.XLOOKUP(Table1[[#This Row],[Account_ID]], Accounts[ID], Accounts[Account'#], "Unknown")</f>
        <v>4618</v>
      </c>
      <c r="I1618" s="135" t="str">
        <f>_xlfn.XLOOKUP(_xlfn.XLOOKUP(Table1[[#This Row],[Account]],Accounts[Account nickname],Accounts[Institution ID]),Institutions[ID],Institutions[Institution nickname],"Unknown")</f>
        <v>Discover</v>
      </c>
      <c r="J1618" s="136" t="s">
        <v>2934</v>
      </c>
      <c r="K1618" s="137" t="s">
        <v>843</v>
      </c>
      <c r="L1618" s="137" t="s">
        <v>841</v>
      </c>
      <c r="M161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1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18" s="138" t="str" cm="1">
        <f t="array" ref="O1618">IFERROR(INDEX(CategoriesTable[Category type],MATCH(Table1[[#This Row],[Category]],CategoriesTable[Category name],0),0),"")</f>
        <v/>
      </c>
      <c r="P1618" s="138">
        <v>16</v>
      </c>
      <c r="Q1618" s="138">
        <f>MONTH(Table1[[#This Row],[Date]])</f>
        <v>10</v>
      </c>
      <c r="R1618" s="138">
        <v>2020</v>
      </c>
      <c r="S1618" s="139">
        <f>IF(ISBLANK(Table1[[#This Row],[Date]]),"",Table1[[#This Row],[Date]]-WEEKDAY(Table1[[#This Row],[Date]],2)+1)</f>
        <v>44116</v>
      </c>
      <c r="T1618" s="140">
        <f>IF(ISBLANK(Table1[[#This Row],[Date]]),"",DATE(Table1[[#This Row],[Date_Year]],Table1[[#This Row],[Date_Month]],1))</f>
        <v>44105</v>
      </c>
    </row>
    <row r="1619" spans="2:20" ht="15.75">
      <c r="B1619" s="154">
        <v>44120</v>
      </c>
      <c r="C1619" s="119" t="s">
        <v>2930</v>
      </c>
      <c r="D1619" s="119"/>
      <c r="E1619" s="119"/>
      <c r="F1619" s="155">
        <v>-22.74</v>
      </c>
      <c r="G1619" s="133" t="str">
        <f>_xlfn.XLOOKUP(Table1[[#This Row],[Account_ID]], Accounts[ID], Accounts[Account nickname], "Unknown")</f>
        <v>Discover</v>
      </c>
      <c r="H1619" s="134" t="str">
        <f>_xlfn.XLOOKUP(Table1[[#This Row],[Account_ID]], Accounts[ID], Accounts[Account'#], "Unknown")</f>
        <v>4618</v>
      </c>
      <c r="I1619" s="135" t="str">
        <f>_xlfn.XLOOKUP(_xlfn.XLOOKUP(Table1[[#This Row],[Account]],Accounts[Account nickname],Accounts[Institution ID]),Institutions[ID],Institutions[Institution nickname],"Unknown")</f>
        <v>Discover</v>
      </c>
      <c r="J1619" s="136" t="s">
        <v>2932</v>
      </c>
      <c r="K1619" s="137" t="s">
        <v>843</v>
      </c>
      <c r="L1619" s="137" t="s">
        <v>841</v>
      </c>
      <c r="M161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1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19" s="138" t="str" cm="1">
        <f t="array" ref="O1619">IFERROR(INDEX(CategoriesTable[Category type],MATCH(Table1[[#This Row],[Category]],CategoriesTable[Category name],0),0),"")</f>
        <v/>
      </c>
      <c r="P1619" s="138">
        <v>16</v>
      </c>
      <c r="Q1619" s="138">
        <f>MONTH(Table1[[#This Row],[Date]])</f>
        <v>10</v>
      </c>
      <c r="R1619" s="138">
        <v>2020</v>
      </c>
      <c r="S1619" s="139">
        <f>IF(ISBLANK(Table1[[#This Row],[Date]]),"",Table1[[#This Row],[Date]]-WEEKDAY(Table1[[#This Row],[Date]],2)+1)</f>
        <v>44116</v>
      </c>
      <c r="T1619" s="140">
        <f>IF(ISBLANK(Table1[[#This Row],[Date]]),"",DATE(Table1[[#This Row],[Date_Year]],Table1[[#This Row],[Date_Month]],1))</f>
        <v>44105</v>
      </c>
    </row>
    <row r="1620" spans="2:20" ht="15.75">
      <c r="B1620" s="154">
        <v>44120</v>
      </c>
      <c r="C1620" s="119" t="s">
        <v>2771</v>
      </c>
      <c r="D1620" s="119"/>
      <c r="E1620" s="119"/>
      <c r="F1620" s="155">
        <v>-9.99</v>
      </c>
      <c r="G1620" s="133" t="str">
        <f>_xlfn.XLOOKUP(Table1[[#This Row],[Account_ID]], Accounts[ID], Accounts[Account nickname], "Unknown")</f>
        <v>Discover</v>
      </c>
      <c r="H1620" s="134" t="str">
        <f>_xlfn.XLOOKUP(Table1[[#This Row],[Account_ID]], Accounts[ID], Accounts[Account'#], "Unknown")</f>
        <v>4618</v>
      </c>
      <c r="I1620" s="135" t="str">
        <f>_xlfn.XLOOKUP(_xlfn.XLOOKUP(Table1[[#This Row],[Account]],Accounts[Account nickname],Accounts[Institution ID]),Institutions[ID],Institutions[Institution nickname],"Unknown")</f>
        <v>Discover</v>
      </c>
      <c r="J1620" s="136" t="s">
        <v>2933</v>
      </c>
      <c r="K1620" s="137" t="s">
        <v>843</v>
      </c>
      <c r="L1620" s="137" t="s">
        <v>841</v>
      </c>
      <c r="M162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2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20" s="138" t="str" cm="1">
        <f t="array" ref="O1620">IFERROR(INDEX(CategoriesTable[Category type],MATCH(Table1[[#This Row],[Category]],CategoriesTable[Category name],0),0),"")</f>
        <v/>
      </c>
      <c r="P1620" s="138">
        <v>16</v>
      </c>
      <c r="Q1620" s="138">
        <f>MONTH(Table1[[#This Row],[Date]])</f>
        <v>10</v>
      </c>
      <c r="R1620" s="138">
        <v>2020</v>
      </c>
      <c r="S1620" s="139">
        <f>IF(ISBLANK(Table1[[#This Row],[Date]]),"",Table1[[#This Row],[Date]]-WEEKDAY(Table1[[#This Row],[Date]],2)+1)</f>
        <v>44116</v>
      </c>
      <c r="T1620" s="140">
        <f>IF(ISBLANK(Table1[[#This Row],[Date]]),"",DATE(Table1[[#This Row],[Date_Year]],Table1[[#This Row],[Date_Month]],1))</f>
        <v>44105</v>
      </c>
    </row>
    <row r="1621" spans="2:20" ht="15.75">
      <c r="B1621" s="154">
        <v>44120</v>
      </c>
      <c r="C1621" s="119" t="s">
        <v>2930</v>
      </c>
      <c r="D1621" s="119"/>
      <c r="E1621" s="119"/>
      <c r="F1621" s="155">
        <v>-11.68</v>
      </c>
      <c r="G1621" s="133" t="str">
        <f>_xlfn.XLOOKUP(Table1[[#This Row],[Account_ID]], Accounts[ID], Accounts[Account nickname], "Unknown")</f>
        <v>Discover</v>
      </c>
      <c r="H1621" s="134" t="str">
        <f>_xlfn.XLOOKUP(Table1[[#This Row],[Account_ID]], Accounts[ID], Accounts[Account'#], "Unknown")</f>
        <v>4618</v>
      </c>
      <c r="I1621" s="135" t="str">
        <f>_xlfn.XLOOKUP(_xlfn.XLOOKUP(Table1[[#This Row],[Account]],Accounts[Account nickname],Accounts[Institution ID]),Institutions[ID],Institutions[Institution nickname],"Unknown")</f>
        <v>Discover</v>
      </c>
      <c r="J1621" s="136" t="s">
        <v>2931</v>
      </c>
      <c r="K1621" s="137" t="s">
        <v>843</v>
      </c>
      <c r="L1621" s="137" t="s">
        <v>841</v>
      </c>
      <c r="M162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2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21" s="138" t="str" cm="1">
        <f t="array" ref="O1621">IFERROR(INDEX(CategoriesTable[Category type],MATCH(Table1[[#This Row],[Category]],CategoriesTable[Category name],0),0),"")</f>
        <v/>
      </c>
      <c r="P1621" s="138">
        <v>16</v>
      </c>
      <c r="Q1621" s="138">
        <f>MONTH(Table1[[#This Row],[Date]])</f>
        <v>10</v>
      </c>
      <c r="R1621" s="138">
        <v>2020</v>
      </c>
      <c r="S1621" s="139">
        <f>IF(ISBLANK(Table1[[#This Row],[Date]]),"",Table1[[#This Row],[Date]]-WEEKDAY(Table1[[#This Row],[Date]],2)+1)</f>
        <v>44116</v>
      </c>
      <c r="T1621" s="140">
        <f>IF(ISBLANK(Table1[[#This Row],[Date]]),"",DATE(Table1[[#This Row],[Date_Year]],Table1[[#This Row],[Date_Month]],1))</f>
        <v>44105</v>
      </c>
    </row>
    <row r="1622" spans="2:20" ht="15.75">
      <c r="B1622" s="154">
        <v>44120</v>
      </c>
      <c r="C1622" s="119" t="s">
        <v>712</v>
      </c>
      <c r="D1622" s="119"/>
      <c r="E1622" s="119"/>
      <c r="F1622" s="155">
        <v>-1</v>
      </c>
      <c r="G1622" s="133" t="str">
        <f>_xlfn.XLOOKUP(Table1[[#This Row],[Account_ID]], Accounts[ID], Accounts[Account nickname], "Unknown")</f>
        <v>Discover</v>
      </c>
      <c r="H1622" s="134" t="str">
        <f>_xlfn.XLOOKUP(Table1[[#This Row],[Account_ID]], Accounts[ID], Accounts[Account'#], "Unknown")</f>
        <v>4618</v>
      </c>
      <c r="I1622" s="135" t="str">
        <f>_xlfn.XLOOKUP(_xlfn.XLOOKUP(Table1[[#This Row],[Account]],Accounts[Account nickname],Accounts[Institution ID]),Institutions[ID],Institutions[Institution nickname],"Unknown")</f>
        <v>Discover</v>
      </c>
      <c r="J1622" s="136" t="s">
        <v>2935</v>
      </c>
      <c r="K1622" s="137" t="s">
        <v>843</v>
      </c>
      <c r="L1622" s="137" t="s">
        <v>841</v>
      </c>
      <c r="M162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2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22" s="138" t="str" cm="1">
        <f t="array" ref="O1622">IFERROR(INDEX(CategoriesTable[Category type],MATCH(Table1[[#This Row],[Category]],CategoriesTable[Category name],0),0),"")</f>
        <v/>
      </c>
      <c r="P1622" s="138">
        <v>16</v>
      </c>
      <c r="Q1622" s="138">
        <f>MONTH(Table1[[#This Row],[Date]])</f>
        <v>10</v>
      </c>
      <c r="R1622" s="138">
        <v>2020</v>
      </c>
      <c r="S1622" s="139">
        <f>IF(ISBLANK(Table1[[#This Row],[Date]]),"",Table1[[#This Row],[Date]]-WEEKDAY(Table1[[#This Row],[Date]],2)+1)</f>
        <v>44116</v>
      </c>
      <c r="T1622" s="140">
        <f>IF(ISBLANK(Table1[[#This Row],[Date]]),"",DATE(Table1[[#This Row],[Date_Year]],Table1[[#This Row],[Date_Month]],1))</f>
        <v>44105</v>
      </c>
    </row>
    <row r="1623" spans="2:20" ht="15.75">
      <c r="B1623" s="154">
        <v>44119</v>
      </c>
      <c r="C1623" s="119" t="s">
        <v>2590</v>
      </c>
      <c r="D1623" s="119"/>
      <c r="E1623" s="119"/>
      <c r="F1623" s="155">
        <v>-9.31</v>
      </c>
      <c r="G1623" s="133" t="str">
        <f>_xlfn.XLOOKUP(Table1[[#This Row],[Account_ID]], Accounts[ID], Accounts[Account nickname], "Unknown")</f>
        <v>Discover</v>
      </c>
      <c r="H1623" s="134" t="str">
        <f>_xlfn.XLOOKUP(Table1[[#This Row],[Account_ID]], Accounts[ID], Accounts[Account'#], "Unknown")</f>
        <v>4618</v>
      </c>
      <c r="I1623" s="135" t="str">
        <f>_xlfn.XLOOKUP(_xlfn.XLOOKUP(Table1[[#This Row],[Account]],Accounts[Account nickname],Accounts[Institution ID]),Institutions[ID],Institutions[Institution nickname],"Unknown")</f>
        <v>Discover</v>
      </c>
      <c r="J1623" s="136" t="s">
        <v>2937</v>
      </c>
      <c r="K1623" s="137" t="s">
        <v>843</v>
      </c>
      <c r="L1623" s="137" t="s">
        <v>841</v>
      </c>
      <c r="M162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2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23" s="138" t="str" cm="1">
        <f t="array" ref="O1623">IFERROR(INDEX(CategoriesTable[Category type],MATCH(Table1[[#This Row],[Category]],CategoriesTable[Category name],0),0),"")</f>
        <v/>
      </c>
      <c r="P1623" s="138">
        <v>15</v>
      </c>
      <c r="Q1623" s="138">
        <f>MONTH(Table1[[#This Row],[Date]])</f>
        <v>10</v>
      </c>
      <c r="R1623" s="138">
        <v>2020</v>
      </c>
      <c r="S1623" s="139">
        <f>IF(ISBLANK(Table1[[#This Row],[Date]]),"",Table1[[#This Row],[Date]]-WEEKDAY(Table1[[#This Row],[Date]],2)+1)</f>
        <v>44116</v>
      </c>
      <c r="T1623" s="140">
        <f>IF(ISBLANK(Table1[[#This Row],[Date]]),"",DATE(Table1[[#This Row],[Date_Year]],Table1[[#This Row],[Date_Month]],1))</f>
        <v>44105</v>
      </c>
    </row>
    <row r="1624" spans="2:20" ht="15.75">
      <c r="B1624" s="154">
        <v>44119</v>
      </c>
      <c r="C1624" s="119" t="s">
        <v>776</v>
      </c>
      <c r="D1624" s="119"/>
      <c r="E1624" s="119"/>
      <c r="F1624" s="155">
        <v>-600</v>
      </c>
      <c r="G1624" s="133" t="str">
        <f>_xlfn.XLOOKUP(Table1[[#This Row],[Account_ID]], Accounts[ID], Accounts[Account nickname], "Unknown")</f>
        <v>WF</v>
      </c>
      <c r="H1624" s="134" t="str">
        <f>_xlfn.XLOOKUP(Table1[[#This Row],[Account_ID]], Accounts[ID], Accounts[Account'#], "Unknown")</f>
        <v>4636</v>
      </c>
      <c r="I1624" s="135" t="str">
        <f>_xlfn.XLOOKUP(_xlfn.XLOOKUP(Table1[[#This Row],[Account]],Accounts[Account nickname],Accounts[Institution ID]),Institutions[ID],Institutions[Institution nickname],"Unknown")</f>
        <v>Wells Fargo</v>
      </c>
      <c r="J1624" s="136" t="s">
        <v>1287</v>
      </c>
      <c r="K1624" s="137" t="s">
        <v>808</v>
      </c>
      <c r="L1624" s="137" t="s">
        <v>807</v>
      </c>
      <c r="M162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2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24" s="138" t="str" cm="1">
        <f t="array" ref="O1624">IFERROR(INDEX(CategoriesTable[Category type],MATCH(Table1[[#This Row],[Category]],CategoriesTable[Category name],0),0),"")</f>
        <v/>
      </c>
      <c r="P1624" s="138">
        <v>15</v>
      </c>
      <c r="Q1624" s="138">
        <f>MONTH(Table1[[#This Row],[Date]])</f>
        <v>10</v>
      </c>
      <c r="R1624" s="138">
        <v>2020</v>
      </c>
      <c r="S1624" s="139">
        <f>IF(ISBLANK(Table1[[#This Row],[Date]]),"",Table1[[#This Row],[Date]]-WEEKDAY(Table1[[#This Row],[Date]],2)+1)</f>
        <v>44116</v>
      </c>
      <c r="T1624" s="140">
        <f>IF(ISBLANK(Table1[[#This Row],[Date]]),"",DATE(Table1[[#This Row],[Date_Year]],Table1[[#This Row],[Date_Month]],1))</f>
        <v>44105</v>
      </c>
    </row>
    <row r="1625" spans="2:20" ht="15.75">
      <c r="B1625" s="154">
        <v>44118</v>
      </c>
      <c r="C1625" s="119" t="s">
        <v>910</v>
      </c>
      <c r="D1625" s="119"/>
      <c r="E1625" s="119"/>
      <c r="F1625" s="155">
        <v>-14.99</v>
      </c>
      <c r="G1625" s="133" t="str">
        <f>_xlfn.XLOOKUP(Table1[[#This Row],[Account_ID]], Accounts[ID], Accounts[Account nickname], "Unknown")</f>
        <v>Discover</v>
      </c>
      <c r="H1625" s="134" t="str">
        <f>_xlfn.XLOOKUP(Table1[[#This Row],[Account_ID]], Accounts[ID], Accounts[Account'#], "Unknown")</f>
        <v>4618</v>
      </c>
      <c r="I1625" s="135" t="str">
        <f>_xlfn.XLOOKUP(_xlfn.XLOOKUP(Table1[[#This Row],[Account]],Accounts[Account nickname],Accounts[Institution ID]),Institutions[ID],Institutions[Institution nickname],"Unknown")</f>
        <v>Discover</v>
      </c>
      <c r="J1625" s="136" t="s">
        <v>2938</v>
      </c>
      <c r="K1625" s="137" t="s">
        <v>843</v>
      </c>
      <c r="L1625" s="137" t="s">
        <v>841</v>
      </c>
      <c r="M162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2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25" s="138" t="str" cm="1">
        <f t="array" ref="O1625">IFERROR(INDEX(CategoriesTable[Category type],MATCH(Table1[[#This Row],[Category]],CategoriesTable[Category name],0),0),"")</f>
        <v/>
      </c>
      <c r="P1625" s="138">
        <v>14</v>
      </c>
      <c r="Q1625" s="138">
        <f>MONTH(Table1[[#This Row],[Date]])</f>
        <v>10</v>
      </c>
      <c r="R1625" s="138">
        <v>2020</v>
      </c>
      <c r="S1625" s="139">
        <f>IF(ISBLANK(Table1[[#This Row],[Date]]),"",Table1[[#This Row],[Date]]-WEEKDAY(Table1[[#This Row],[Date]],2)+1)</f>
        <v>44116</v>
      </c>
      <c r="T1625" s="140">
        <f>IF(ISBLANK(Table1[[#This Row],[Date]]),"",DATE(Table1[[#This Row],[Date_Year]],Table1[[#This Row],[Date_Month]],1))</f>
        <v>44105</v>
      </c>
    </row>
    <row r="1626" spans="2:20" ht="15.75">
      <c r="B1626" s="154">
        <v>44118</v>
      </c>
      <c r="C1626" s="119" t="s">
        <v>2590</v>
      </c>
      <c r="D1626" s="119"/>
      <c r="E1626" s="119"/>
      <c r="F1626" s="155">
        <v>-10.23</v>
      </c>
      <c r="G1626" s="133" t="str">
        <f>_xlfn.XLOOKUP(Table1[[#This Row],[Account_ID]], Accounts[ID], Accounts[Account nickname], "Unknown")</f>
        <v>Discover</v>
      </c>
      <c r="H1626" s="134" t="str">
        <f>_xlfn.XLOOKUP(Table1[[#This Row],[Account_ID]], Accounts[ID], Accounts[Account'#], "Unknown")</f>
        <v>4618</v>
      </c>
      <c r="I1626" s="135" t="str">
        <f>_xlfn.XLOOKUP(_xlfn.XLOOKUP(Table1[[#This Row],[Account]],Accounts[Account nickname],Accounts[Institution ID]),Institutions[ID],Institutions[Institution nickname],"Unknown")</f>
        <v>Discover</v>
      </c>
      <c r="J1626" s="136" t="s">
        <v>2941</v>
      </c>
      <c r="K1626" s="137" t="s">
        <v>843</v>
      </c>
      <c r="L1626" s="137" t="s">
        <v>841</v>
      </c>
      <c r="M162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2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26" s="138" t="str" cm="1">
        <f t="array" ref="O1626">IFERROR(INDEX(CategoriesTable[Category type],MATCH(Table1[[#This Row],[Category]],CategoriesTable[Category name],0),0),"")</f>
        <v/>
      </c>
      <c r="P1626" s="138">
        <v>14</v>
      </c>
      <c r="Q1626" s="138">
        <f>MONTH(Table1[[#This Row],[Date]])</f>
        <v>10</v>
      </c>
      <c r="R1626" s="138">
        <v>2020</v>
      </c>
      <c r="S1626" s="139">
        <f>IF(ISBLANK(Table1[[#This Row],[Date]]),"",Table1[[#This Row],[Date]]-WEEKDAY(Table1[[#This Row],[Date]],2)+1)</f>
        <v>44116</v>
      </c>
      <c r="T1626" s="140">
        <f>IF(ISBLANK(Table1[[#This Row],[Date]]),"",DATE(Table1[[#This Row],[Date_Year]],Table1[[#This Row],[Date_Month]],1))</f>
        <v>44105</v>
      </c>
    </row>
    <row r="1627" spans="2:20" ht="15.75">
      <c r="B1627" s="154">
        <v>44118</v>
      </c>
      <c r="C1627" s="119" t="s">
        <v>2939</v>
      </c>
      <c r="D1627" s="119"/>
      <c r="E1627" s="119"/>
      <c r="F1627" s="155">
        <v>-85.8</v>
      </c>
      <c r="G1627" s="133" t="str">
        <f>_xlfn.XLOOKUP(Table1[[#This Row],[Account_ID]], Accounts[ID], Accounts[Account nickname], "Unknown")</f>
        <v>Discover</v>
      </c>
      <c r="H1627" s="134" t="str">
        <f>_xlfn.XLOOKUP(Table1[[#This Row],[Account_ID]], Accounts[ID], Accounts[Account'#], "Unknown")</f>
        <v>4618</v>
      </c>
      <c r="I1627" s="135" t="str">
        <f>_xlfn.XLOOKUP(_xlfn.XLOOKUP(Table1[[#This Row],[Account]],Accounts[Account nickname],Accounts[Institution ID]),Institutions[ID],Institutions[Institution nickname],"Unknown")</f>
        <v>Discover</v>
      </c>
      <c r="J1627" s="136" t="s">
        <v>2940</v>
      </c>
      <c r="K1627" s="137" t="s">
        <v>843</v>
      </c>
      <c r="L1627" s="137" t="s">
        <v>841</v>
      </c>
      <c r="M162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2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27" s="138" t="str" cm="1">
        <f t="array" ref="O1627">IFERROR(INDEX(CategoriesTable[Category type],MATCH(Table1[[#This Row],[Category]],CategoriesTable[Category name],0),0),"")</f>
        <v/>
      </c>
      <c r="P1627" s="138">
        <v>14</v>
      </c>
      <c r="Q1627" s="138">
        <f>MONTH(Table1[[#This Row],[Date]])</f>
        <v>10</v>
      </c>
      <c r="R1627" s="138">
        <v>2020</v>
      </c>
      <c r="S1627" s="139">
        <f>IF(ISBLANK(Table1[[#This Row],[Date]]),"",Table1[[#This Row],[Date]]-WEEKDAY(Table1[[#This Row],[Date]],2)+1)</f>
        <v>44116</v>
      </c>
      <c r="T1627" s="140">
        <f>IF(ISBLANK(Table1[[#This Row],[Date]]),"",DATE(Table1[[#This Row],[Date_Year]],Table1[[#This Row],[Date_Month]],1))</f>
        <v>44105</v>
      </c>
    </row>
    <row r="1628" spans="2:20" ht="15.75">
      <c r="B1628" s="154">
        <v>44117</v>
      </c>
      <c r="C1628" s="119" t="s">
        <v>2666</v>
      </c>
      <c r="D1628" s="119"/>
      <c r="E1628" s="119"/>
      <c r="F1628" s="155">
        <v>-4.3899999999999997</v>
      </c>
      <c r="G1628" s="133" t="str">
        <f>_xlfn.XLOOKUP(Table1[[#This Row],[Account_ID]], Accounts[ID], Accounts[Account nickname], "Unknown")</f>
        <v>Discover</v>
      </c>
      <c r="H1628" s="134" t="str">
        <f>_xlfn.XLOOKUP(Table1[[#This Row],[Account_ID]], Accounts[ID], Accounts[Account'#], "Unknown")</f>
        <v>4618</v>
      </c>
      <c r="I1628" s="135" t="str">
        <f>_xlfn.XLOOKUP(_xlfn.XLOOKUP(Table1[[#This Row],[Account]],Accounts[Account nickname],Accounts[Institution ID]),Institutions[ID],Institutions[Institution nickname],"Unknown")</f>
        <v>Discover</v>
      </c>
      <c r="J1628" s="136" t="s">
        <v>2942</v>
      </c>
      <c r="K1628" s="137" t="s">
        <v>843</v>
      </c>
      <c r="L1628" s="137" t="s">
        <v>841</v>
      </c>
      <c r="M162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2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28" s="138" t="str" cm="1">
        <f t="array" ref="O1628">IFERROR(INDEX(CategoriesTable[Category type],MATCH(Table1[[#This Row],[Category]],CategoriesTable[Category name],0),0),"")</f>
        <v/>
      </c>
      <c r="P1628" s="138">
        <v>13</v>
      </c>
      <c r="Q1628" s="138">
        <f>MONTH(Table1[[#This Row],[Date]])</f>
        <v>10</v>
      </c>
      <c r="R1628" s="138">
        <v>2020</v>
      </c>
      <c r="S1628" s="139">
        <f>IF(ISBLANK(Table1[[#This Row],[Date]]),"",Table1[[#This Row],[Date]]-WEEKDAY(Table1[[#This Row],[Date]],2)+1)</f>
        <v>44116</v>
      </c>
      <c r="T1628" s="140">
        <f>IF(ISBLANK(Table1[[#This Row],[Date]]),"",DATE(Table1[[#This Row],[Date_Year]],Table1[[#This Row],[Date_Month]],1))</f>
        <v>44105</v>
      </c>
    </row>
    <row r="1629" spans="2:20" ht="15.75">
      <c r="B1629" s="154">
        <v>44117</v>
      </c>
      <c r="C1629" s="119" t="s">
        <v>686</v>
      </c>
      <c r="D1629" s="119"/>
      <c r="E1629" s="119"/>
      <c r="F1629" s="155">
        <v>-477.49</v>
      </c>
      <c r="G1629" s="133" t="str">
        <f>_xlfn.XLOOKUP(Table1[[#This Row],[Account_ID]], Accounts[ID], Accounts[Account nickname], "Unknown")</f>
        <v>WF</v>
      </c>
      <c r="H1629" s="134" t="str">
        <f>_xlfn.XLOOKUP(Table1[[#This Row],[Account_ID]], Accounts[ID], Accounts[Account'#], "Unknown")</f>
        <v>4636</v>
      </c>
      <c r="I1629" s="135" t="str">
        <f>_xlfn.XLOOKUP(_xlfn.XLOOKUP(Table1[[#This Row],[Account]],Accounts[Account nickname],Accounts[Institution ID]),Institutions[ID],Institutions[Institution nickname],"Unknown")</f>
        <v>Wells Fargo</v>
      </c>
      <c r="J1629" s="136" t="s">
        <v>1288</v>
      </c>
      <c r="K1629" s="137" t="s">
        <v>808</v>
      </c>
      <c r="L1629" s="137" t="s">
        <v>807</v>
      </c>
      <c r="M162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2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29" s="138" t="str" cm="1">
        <f t="array" ref="O1629">IFERROR(INDEX(CategoriesTable[Category type],MATCH(Table1[[#This Row],[Category]],CategoriesTable[Category name],0),0),"")</f>
        <v/>
      </c>
      <c r="P1629" s="138">
        <v>13</v>
      </c>
      <c r="Q1629" s="138">
        <f>MONTH(Table1[[#This Row],[Date]])</f>
        <v>10</v>
      </c>
      <c r="R1629" s="138">
        <v>2020</v>
      </c>
      <c r="S1629" s="139">
        <f>IF(ISBLANK(Table1[[#This Row],[Date]]),"",Table1[[#This Row],[Date]]-WEEKDAY(Table1[[#This Row],[Date]],2)+1)</f>
        <v>44116</v>
      </c>
      <c r="T1629" s="140">
        <f>IF(ISBLANK(Table1[[#This Row],[Date]]),"",DATE(Table1[[#This Row],[Date_Year]],Table1[[#This Row],[Date_Month]],1))</f>
        <v>44105</v>
      </c>
    </row>
    <row r="1630" spans="2:20" ht="15.75">
      <c r="B1630" s="154">
        <v>44117</v>
      </c>
      <c r="C1630" s="119" t="s">
        <v>1403</v>
      </c>
      <c r="D1630" s="119"/>
      <c r="E1630" s="119"/>
      <c r="F1630" s="155">
        <v>-110.21</v>
      </c>
      <c r="G1630" s="133" t="str">
        <f>_xlfn.XLOOKUP(Table1[[#This Row],[Account_ID]], Accounts[ID], Accounts[Account nickname], "Unknown")</f>
        <v>Discover</v>
      </c>
      <c r="H1630" s="134" t="str">
        <f>_xlfn.XLOOKUP(Table1[[#This Row],[Account_ID]], Accounts[ID], Accounts[Account'#], "Unknown")</f>
        <v>4618</v>
      </c>
      <c r="I1630" s="135" t="str">
        <f>_xlfn.XLOOKUP(_xlfn.XLOOKUP(Table1[[#This Row],[Account]],Accounts[Account nickname],Accounts[Institution ID]),Institutions[ID],Institutions[Institution nickname],"Unknown")</f>
        <v>Discover</v>
      </c>
      <c r="J1630" s="136" t="s">
        <v>2943</v>
      </c>
      <c r="K1630" s="137" t="s">
        <v>843</v>
      </c>
      <c r="L1630" s="137" t="s">
        <v>841</v>
      </c>
      <c r="M163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3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30" s="138" t="str" cm="1">
        <f t="array" ref="O1630">IFERROR(INDEX(CategoriesTable[Category type],MATCH(Table1[[#This Row],[Category]],CategoriesTable[Category name],0),0),"")</f>
        <v/>
      </c>
      <c r="P1630" s="138">
        <v>13</v>
      </c>
      <c r="Q1630" s="138">
        <f>MONTH(Table1[[#This Row],[Date]])</f>
        <v>10</v>
      </c>
      <c r="R1630" s="138">
        <v>2020</v>
      </c>
      <c r="S1630" s="139">
        <f>IF(ISBLANK(Table1[[#This Row],[Date]]),"",Table1[[#This Row],[Date]]-WEEKDAY(Table1[[#This Row],[Date]],2)+1)</f>
        <v>44116</v>
      </c>
      <c r="T1630" s="140">
        <f>IF(ISBLANK(Table1[[#This Row],[Date]]),"",DATE(Table1[[#This Row],[Date_Year]],Table1[[#This Row],[Date_Month]],1))</f>
        <v>44105</v>
      </c>
    </row>
    <row r="1631" spans="2:20" ht="15.75">
      <c r="B1631" s="154">
        <v>44116</v>
      </c>
      <c r="C1631" s="119" t="s">
        <v>1500</v>
      </c>
      <c r="D1631" s="119"/>
      <c r="E1631" s="119"/>
      <c r="F1631" s="155">
        <v>-1.99</v>
      </c>
      <c r="G1631" s="133" t="str">
        <f>_xlfn.XLOOKUP(Table1[[#This Row],[Account_ID]], Accounts[ID], Accounts[Account nickname], "Unknown")</f>
        <v>Discover</v>
      </c>
      <c r="H1631" s="134" t="str">
        <f>_xlfn.XLOOKUP(Table1[[#This Row],[Account_ID]], Accounts[ID], Accounts[Account'#], "Unknown")</f>
        <v>4618</v>
      </c>
      <c r="I1631" s="135" t="str">
        <f>_xlfn.XLOOKUP(_xlfn.XLOOKUP(Table1[[#This Row],[Account]],Accounts[Account nickname],Accounts[Institution ID]),Institutions[ID],Institutions[Institution nickname],"Unknown")</f>
        <v>Discover</v>
      </c>
      <c r="J1631" s="136" t="s">
        <v>2947</v>
      </c>
      <c r="K1631" s="137" t="s">
        <v>843</v>
      </c>
      <c r="L1631" s="137" t="s">
        <v>841</v>
      </c>
      <c r="M163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3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31" s="138" t="str" cm="1">
        <f t="array" ref="O1631">IFERROR(INDEX(CategoriesTable[Category type],MATCH(Table1[[#This Row],[Category]],CategoriesTable[Category name],0),0),"")</f>
        <v/>
      </c>
      <c r="P1631" s="138">
        <v>12</v>
      </c>
      <c r="Q1631" s="138">
        <f>MONTH(Table1[[#This Row],[Date]])</f>
        <v>10</v>
      </c>
      <c r="R1631" s="138">
        <v>2020</v>
      </c>
      <c r="S1631" s="139">
        <f>IF(ISBLANK(Table1[[#This Row],[Date]]),"",Table1[[#This Row],[Date]]-WEEKDAY(Table1[[#This Row],[Date]],2)+1)</f>
        <v>44116</v>
      </c>
      <c r="T1631" s="140">
        <f>IF(ISBLANK(Table1[[#This Row],[Date]]),"",DATE(Table1[[#This Row],[Date_Year]],Table1[[#This Row],[Date_Month]],1))</f>
        <v>44105</v>
      </c>
    </row>
    <row r="1632" spans="2:20" ht="15.75">
      <c r="B1632" s="154">
        <v>44116</v>
      </c>
      <c r="C1632" s="119" t="s">
        <v>1895</v>
      </c>
      <c r="D1632" s="119"/>
      <c r="E1632" s="119"/>
      <c r="F1632" s="155">
        <v>-21.78</v>
      </c>
      <c r="G1632" s="133" t="str">
        <f>_xlfn.XLOOKUP(Table1[[#This Row],[Account_ID]], Accounts[ID], Accounts[Account nickname], "Unknown")</f>
        <v>Discover</v>
      </c>
      <c r="H1632" s="134" t="str">
        <f>_xlfn.XLOOKUP(Table1[[#This Row],[Account_ID]], Accounts[ID], Accounts[Account'#], "Unknown")</f>
        <v>4618</v>
      </c>
      <c r="I1632" s="135" t="str">
        <f>_xlfn.XLOOKUP(_xlfn.XLOOKUP(Table1[[#This Row],[Account]],Accounts[Account nickname],Accounts[Institution ID]),Institutions[ID],Institutions[Institution nickname],"Unknown")</f>
        <v>Discover</v>
      </c>
      <c r="J1632" s="136" t="s">
        <v>2944</v>
      </c>
      <c r="K1632" s="137" t="s">
        <v>843</v>
      </c>
      <c r="L1632" s="137" t="s">
        <v>841</v>
      </c>
      <c r="M163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3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32" s="138" t="str" cm="1">
        <f t="array" ref="O1632">IFERROR(INDEX(CategoriesTable[Category type],MATCH(Table1[[#This Row],[Category]],CategoriesTable[Category name],0),0),"")</f>
        <v/>
      </c>
      <c r="P1632" s="138">
        <v>12</v>
      </c>
      <c r="Q1632" s="138">
        <f>MONTH(Table1[[#This Row],[Date]])</f>
        <v>10</v>
      </c>
      <c r="R1632" s="138">
        <v>2020</v>
      </c>
      <c r="S1632" s="139">
        <f>IF(ISBLANK(Table1[[#This Row],[Date]]),"",Table1[[#This Row],[Date]]-WEEKDAY(Table1[[#This Row],[Date]],2)+1)</f>
        <v>44116</v>
      </c>
      <c r="T1632" s="140">
        <f>IF(ISBLANK(Table1[[#This Row],[Date]]),"",DATE(Table1[[#This Row],[Date_Year]],Table1[[#This Row],[Date_Month]],1))</f>
        <v>44105</v>
      </c>
    </row>
    <row r="1633" spans="2:20" ht="15.75">
      <c r="B1633" s="154">
        <v>44116</v>
      </c>
      <c r="C1633" s="119" t="s">
        <v>845</v>
      </c>
      <c r="D1633" s="119"/>
      <c r="E1633" s="119"/>
      <c r="F1633" s="155">
        <v>477.49</v>
      </c>
      <c r="G1633" s="133" t="str">
        <f>_xlfn.XLOOKUP(Table1[[#This Row],[Account_ID]], Accounts[ID], Accounts[Account nickname], "Unknown")</f>
        <v>Discover</v>
      </c>
      <c r="H1633" s="134" t="str">
        <f>_xlfn.XLOOKUP(Table1[[#This Row],[Account_ID]], Accounts[ID], Accounts[Account'#], "Unknown")</f>
        <v>4618</v>
      </c>
      <c r="I1633" s="135" t="str">
        <f>_xlfn.XLOOKUP(_xlfn.XLOOKUP(Table1[[#This Row],[Account]],Accounts[Account nickname],Accounts[Institution ID]),Institutions[ID],Institutions[Institution nickname],"Unknown")</f>
        <v>Discover</v>
      </c>
      <c r="J1633" s="136" t="s">
        <v>2946</v>
      </c>
      <c r="K1633" s="137" t="s">
        <v>843</v>
      </c>
      <c r="L1633" s="137" t="s">
        <v>841</v>
      </c>
      <c r="M163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3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33" s="138" t="str" cm="1">
        <f t="array" ref="O1633">IFERROR(INDEX(CategoriesTable[Category type],MATCH(Table1[[#This Row],[Category]],CategoriesTable[Category name],0),0),"")</f>
        <v/>
      </c>
      <c r="P1633" s="138">
        <v>12</v>
      </c>
      <c r="Q1633" s="138">
        <f>MONTH(Table1[[#This Row],[Date]])</f>
        <v>10</v>
      </c>
      <c r="R1633" s="138">
        <v>2020</v>
      </c>
      <c r="S1633" s="139">
        <f>IF(ISBLANK(Table1[[#This Row],[Date]]),"",Table1[[#This Row],[Date]]-WEEKDAY(Table1[[#This Row],[Date]],2)+1)</f>
        <v>44116</v>
      </c>
      <c r="T1633" s="140">
        <f>IF(ISBLANK(Table1[[#This Row],[Date]]),"",DATE(Table1[[#This Row],[Date_Year]],Table1[[#This Row],[Date_Month]],1))</f>
        <v>44105</v>
      </c>
    </row>
    <row r="1634" spans="2:20" ht="15.75">
      <c r="B1634" s="154">
        <v>44116</v>
      </c>
      <c r="C1634" s="119" t="s">
        <v>704</v>
      </c>
      <c r="D1634" s="119"/>
      <c r="E1634" s="119"/>
      <c r="F1634" s="155">
        <v>-30</v>
      </c>
      <c r="G1634" s="133" t="str">
        <f>_xlfn.XLOOKUP(Table1[[#This Row],[Account_ID]], Accounts[ID], Accounts[Account nickname], "Unknown")</f>
        <v>Discover</v>
      </c>
      <c r="H1634" s="134" t="str">
        <f>_xlfn.XLOOKUP(Table1[[#This Row],[Account_ID]], Accounts[ID], Accounts[Account'#], "Unknown")</f>
        <v>4618</v>
      </c>
      <c r="I1634" s="135" t="str">
        <f>_xlfn.XLOOKUP(_xlfn.XLOOKUP(Table1[[#This Row],[Account]],Accounts[Account nickname],Accounts[Institution ID]),Institutions[ID],Institutions[Institution nickname],"Unknown")</f>
        <v>Discover</v>
      </c>
      <c r="J1634" s="136" t="s">
        <v>2945</v>
      </c>
      <c r="K1634" s="137" t="s">
        <v>843</v>
      </c>
      <c r="L1634" s="137" t="s">
        <v>841</v>
      </c>
      <c r="M163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3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34" s="138" t="str" cm="1">
        <f t="array" ref="O1634">IFERROR(INDEX(CategoriesTable[Category type],MATCH(Table1[[#This Row],[Category]],CategoriesTable[Category name],0),0),"")</f>
        <v/>
      </c>
      <c r="P1634" s="138">
        <v>12</v>
      </c>
      <c r="Q1634" s="138">
        <f>MONTH(Table1[[#This Row],[Date]])</f>
        <v>10</v>
      </c>
      <c r="R1634" s="138">
        <v>2020</v>
      </c>
      <c r="S1634" s="139">
        <f>IF(ISBLANK(Table1[[#This Row],[Date]]),"",Table1[[#This Row],[Date]]-WEEKDAY(Table1[[#This Row],[Date]],2)+1)</f>
        <v>44116</v>
      </c>
      <c r="T1634" s="140">
        <f>IF(ISBLANK(Table1[[#This Row],[Date]]),"",DATE(Table1[[#This Row],[Date_Year]],Table1[[#This Row],[Date_Month]],1))</f>
        <v>44105</v>
      </c>
    </row>
    <row r="1635" spans="2:20" ht="15.75">
      <c r="B1635" s="154">
        <v>44113</v>
      </c>
      <c r="C1635" s="119" t="s">
        <v>2957</v>
      </c>
      <c r="D1635" s="119"/>
      <c r="E1635" s="119"/>
      <c r="F1635" s="155">
        <v>-14.64</v>
      </c>
      <c r="G1635" s="133" t="str">
        <f>_xlfn.XLOOKUP(Table1[[#This Row],[Account_ID]], Accounts[ID], Accounts[Account nickname], "Unknown")</f>
        <v>Discover</v>
      </c>
      <c r="H1635" s="134" t="str">
        <f>_xlfn.XLOOKUP(Table1[[#This Row],[Account_ID]], Accounts[ID], Accounts[Account'#], "Unknown")</f>
        <v>4618</v>
      </c>
      <c r="I1635" s="135" t="str">
        <f>_xlfn.XLOOKUP(_xlfn.XLOOKUP(Table1[[#This Row],[Account]],Accounts[Account nickname],Accounts[Institution ID]),Institutions[ID],Institutions[Institution nickname],"Unknown")</f>
        <v>Discover</v>
      </c>
      <c r="J1635" s="136" t="s">
        <v>2958</v>
      </c>
      <c r="K1635" s="137" t="s">
        <v>843</v>
      </c>
      <c r="L1635" s="137" t="s">
        <v>841</v>
      </c>
      <c r="M163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3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35" s="138" t="str" cm="1">
        <f t="array" ref="O1635">IFERROR(INDEX(CategoriesTable[Category type],MATCH(Table1[[#This Row],[Category]],CategoriesTable[Category name],0),0),"")</f>
        <v/>
      </c>
      <c r="P1635" s="138">
        <v>9</v>
      </c>
      <c r="Q1635" s="138">
        <f>MONTH(Table1[[#This Row],[Date]])</f>
        <v>10</v>
      </c>
      <c r="R1635" s="138">
        <v>2020</v>
      </c>
      <c r="S1635" s="139">
        <f>IF(ISBLANK(Table1[[#This Row],[Date]]),"",Table1[[#This Row],[Date]]-WEEKDAY(Table1[[#This Row],[Date]],2)+1)</f>
        <v>44109</v>
      </c>
      <c r="T1635" s="140">
        <f>IF(ISBLANK(Table1[[#This Row],[Date]]),"",DATE(Table1[[#This Row],[Date_Year]],Table1[[#This Row],[Date_Month]],1))</f>
        <v>44105</v>
      </c>
    </row>
    <row r="1636" spans="2:20" ht="15.75">
      <c r="B1636" s="154">
        <v>44113</v>
      </c>
      <c r="C1636" s="119" t="s">
        <v>2952</v>
      </c>
      <c r="D1636" s="119"/>
      <c r="E1636" s="119"/>
      <c r="F1636" s="155">
        <v>-4.99</v>
      </c>
      <c r="G1636" s="133" t="str">
        <f>_xlfn.XLOOKUP(Table1[[#This Row],[Account_ID]], Accounts[ID], Accounts[Account nickname], "Unknown")</f>
        <v>Discover</v>
      </c>
      <c r="H1636" s="134" t="str">
        <f>_xlfn.XLOOKUP(Table1[[#This Row],[Account_ID]], Accounts[ID], Accounts[Account'#], "Unknown")</f>
        <v>4618</v>
      </c>
      <c r="I1636" s="135" t="str">
        <f>_xlfn.XLOOKUP(_xlfn.XLOOKUP(Table1[[#This Row],[Account]],Accounts[Account nickname],Accounts[Institution ID]),Institutions[ID],Institutions[Institution nickname],"Unknown")</f>
        <v>Discover</v>
      </c>
      <c r="J1636" s="136" t="s">
        <v>2953</v>
      </c>
      <c r="K1636" s="137" t="s">
        <v>843</v>
      </c>
      <c r="L1636" s="137" t="s">
        <v>841</v>
      </c>
      <c r="M163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3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36" s="138" t="str" cm="1">
        <f t="array" ref="O1636">IFERROR(INDEX(CategoriesTable[Category type],MATCH(Table1[[#This Row],[Category]],CategoriesTable[Category name],0),0),"")</f>
        <v/>
      </c>
      <c r="P1636" s="138">
        <v>9</v>
      </c>
      <c r="Q1636" s="138">
        <f>MONTH(Table1[[#This Row],[Date]])</f>
        <v>10</v>
      </c>
      <c r="R1636" s="138">
        <v>2020</v>
      </c>
      <c r="S1636" s="139">
        <f>IF(ISBLANK(Table1[[#This Row],[Date]]),"",Table1[[#This Row],[Date]]-WEEKDAY(Table1[[#This Row],[Date]],2)+1)</f>
        <v>44109</v>
      </c>
      <c r="T1636" s="140">
        <f>IF(ISBLANK(Table1[[#This Row],[Date]]),"",DATE(Table1[[#This Row],[Date_Year]],Table1[[#This Row],[Date_Month]],1))</f>
        <v>44105</v>
      </c>
    </row>
    <row r="1637" spans="2:20" ht="15.75">
      <c r="B1637" s="154">
        <v>44113</v>
      </c>
      <c r="C1637" s="119" t="s">
        <v>2948</v>
      </c>
      <c r="D1637" s="119"/>
      <c r="E1637" s="119"/>
      <c r="F1637" s="155">
        <v>-8</v>
      </c>
      <c r="G1637" s="133" t="str">
        <f>_xlfn.XLOOKUP(Table1[[#This Row],[Account_ID]], Accounts[ID], Accounts[Account nickname], "Unknown")</f>
        <v>Discover</v>
      </c>
      <c r="H1637" s="134" t="str">
        <f>_xlfn.XLOOKUP(Table1[[#This Row],[Account_ID]], Accounts[ID], Accounts[Account'#], "Unknown")</f>
        <v>4618</v>
      </c>
      <c r="I1637" s="135" t="str">
        <f>_xlfn.XLOOKUP(_xlfn.XLOOKUP(Table1[[#This Row],[Account]],Accounts[Account nickname],Accounts[Institution ID]),Institutions[ID],Institutions[Institution nickname],"Unknown")</f>
        <v>Discover</v>
      </c>
      <c r="J1637" s="136" t="s">
        <v>2949</v>
      </c>
      <c r="K1637" s="137" t="s">
        <v>843</v>
      </c>
      <c r="L1637" s="137" t="s">
        <v>841</v>
      </c>
      <c r="M163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3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37" s="138" t="str" cm="1">
        <f t="array" ref="O1637">IFERROR(INDEX(CategoriesTable[Category type],MATCH(Table1[[#This Row],[Category]],CategoriesTable[Category name],0),0),"")</f>
        <v/>
      </c>
      <c r="P1637" s="138">
        <v>9</v>
      </c>
      <c r="Q1637" s="138">
        <f>MONTH(Table1[[#This Row],[Date]])</f>
        <v>10</v>
      </c>
      <c r="R1637" s="138">
        <v>2020</v>
      </c>
      <c r="S1637" s="139">
        <f>IF(ISBLANK(Table1[[#This Row],[Date]]),"",Table1[[#This Row],[Date]]-WEEKDAY(Table1[[#This Row],[Date]],2)+1)</f>
        <v>44109</v>
      </c>
      <c r="T1637" s="140">
        <f>IF(ISBLANK(Table1[[#This Row],[Date]]),"",DATE(Table1[[#This Row],[Date_Year]],Table1[[#This Row],[Date_Month]],1))</f>
        <v>44105</v>
      </c>
    </row>
    <row r="1638" spans="2:20" ht="15.75">
      <c r="B1638" s="154">
        <v>44113</v>
      </c>
      <c r="C1638" s="119" t="s">
        <v>751</v>
      </c>
      <c r="D1638" s="119"/>
      <c r="E1638" s="119"/>
      <c r="F1638" s="155">
        <v>1461.69</v>
      </c>
      <c r="G1638" s="133" t="str">
        <f>_xlfn.XLOOKUP(Table1[[#This Row],[Account_ID]], Accounts[ID], Accounts[Account nickname], "Unknown")</f>
        <v>WF</v>
      </c>
      <c r="H1638" s="134" t="str">
        <f>_xlfn.XLOOKUP(Table1[[#This Row],[Account_ID]], Accounts[ID], Accounts[Account'#], "Unknown")</f>
        <v>4636</v>
      </c>
      <c r="I1638" s="135" t="str">
        <f>_xlfn.XLOOKUP(_xlfn.XLOOKUP(Table1[[#This Row],[Account]],Accounts[Account nickname],Accounts[Institution ID]),Institutions[ID],Institutions[Institution nickname],"Unknown")</f>
        <v>Wells Fargo</v>
      </c>
      <c r="J1638" s="136" t="s">
        <v>1291</v>
      </c>
      <c r="K1638" s="137" t="s">
        <v>808</v>
      </c>
      <c r="L1638" s="137" t="s">
        <v>807</v>
      </c>
      <c r="M163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3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38" s="138" t="str" cm="1">
        <f t="array" ref="O1638">IFERROR(INDEX(CategoriesTable[Category type],MATCH(Table1[[#This Row],[Category]],CategoriesTable[Category name],0),0),"")</f>
        <v/>
      </c>
      <c r="P1638" s="138">
        <v>9</v>
      </c>
      <c r="Q1638" s="138">
        <f>MONTH(Table1[[#This Row],[Date]])</f>
        <v>10</v>
      </c>
      <c r="R1638" s="138">
        <v>2020</v>
      </c>
      <c r="S1638" s="139">
        <f>IF(ISBLANK(Table1[[#This Row],[Date]]),"",Table1[[#This Row],[Date]]-WEEKDAY(Table1[[#This Row],[Date]],2)+1)</f>
        <v>44109</v>
      </c>
      <c r="T1638" s="140">
        <f>IF(ISBLANK(Table1[[#This Row],[Date]]),"",DATE(Table1[[#This Row],[Date_Year]],Table1[[#This Row],[Date_Month]],1))</f>
        <v>44105</v>
      </c>
    </row>
    <row r="1639" spans="2:20" ht="15.75">
      <c r="B1639" s="154">
        <v>44113</v>
      </c>
      <c r="C1639" s="119" t="s">
        <v>686</v>
      </c>
      <c r="D1639" s="119"/>
      <c r="E1639" s="119"/>
      <c r="F1639" s="155">
        <v>-572.30999999999995</v>
      </c>
      <c r="G1639" s="133" t="str">
        <f>_xlfn.XLOOKUP(Table1[[#This Row],[Account_ID]], Accounts[ID], Accounts[Account nickname], "Unknown")</f>
        <v>WF</v>
      </c>
      <c r="H1639" s="134" t="str">
        <f>_xlfn.XLOOKUP(Table1[[#This Row],[Account_ID]], Accounts[ID], Accounts[Account'#], "Unknown")</f>
        <v>4636</v>
      </c>
      <c r="I1639" s="135" t="str">
        <f>_xlfn.XLOOKUP(_xlfn.XLOOKUP(Table1[[#This Row],[Account]],Accounts[Account nickname],Accounts[Institution ID]),Institutions[ID],Institutions[Institution nickname],"Unknown")</f>
        <v>Wells Fargo</v>
      </c>
      <c r="J1639" s="136" t="s">
        <v>1290</v>
      </c>
      <c r="K1639" s="137" t="s">
        <v>808</v>
      </c>
      <c r="L1639" s="137" t="s">
        <v>807</v>
      </c>
      <c r="M163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3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39" s="138" t="str" cm="1">
        <f t="array" ref="O1639">IFERROR(INDEX(CategoriesTable[Category type],MATCH(Table1[[#This Row],[Category]],CategoriesTable[Category name],0),0),"")</f>
        <v/>
      </c>
      <c r="P1639" s="138">
        <v>9</v>
      </c>
      <c r="Q1639" s="138">
        <f>MONTH(Table1[[#This Row],[Date]])</f>
        <v>10</v>
      </c>
      <c r="R1639" s="138">
        <v>2020</v>
      </c>
      <c r="S1639" s="139">
        <f>IF(ISBLANK(Table1[[#This Row],[Date]]),"",Table1[[#This Row],[Date]]-WEEKDAY(Table1[[#This Row],[Date]],2)+1)</f>
        <v>44109</v>
      </c>
      <c r="T1639" s="140">
        <f>IF(ISBLANK(Table1[[#This Row],[Date]]),"",DATE(Table1[[#This Row],[Date_Year]],Table1[[#This Row],[Date_Month]],1))</f>
        <v>44105</v>
      </c>
    </row>
    <row r="1640" spans="2:20" ht="15.75">
      <c r="B1640" s="154">
        <v>44113</v>
      </c>
      <c r="C1640" s="119" t="s">
        <v>724</v>
      </c>
      <c r="D1640" s="119"/>
      <c r="E1640" s="119"/>
      <c r="F1640" s="155">
        <v>-81.16</v>
      </c>
      <c r="G1640" s="133" t="str">
        <f>_xlfn.XLOOKUP(Table1[[#This Row],[Account_ID]], Accounts[ID], Accounts[Account nickname], "Unknown")</f>
        <v>Discover</v>
      </c>
      <c r="H1640" s="134" t="str">
        <f>_xlfn.XLOOKUP(Table1[[#This Row],[Account_ID]], Accounts[ID], Accounts[Account'#], "Unknown")</f>
        <v>4618</v>
      </c>
      <c r="I1640" s="135" t="str">
        <f>_xlfn.XLOOKUP(_xlfn.XLOOKUP(Table1[[#This Row],[Account]],Accounts[Account nickname],Accounts[Institution ID]),Institutions[ID],Institutions[Institution nickname],"Unknown")</f>
        <v>Discover</v>
      </c>
      <c r="J1640" s="136" t="s">
        <v>2961</v>
      </c>
      <c r="K1640" s="137" t="s">
        <v>843</v>
      </c>
      <c r="L1640" s="137" t="s">
        <v>841</v>
      </c>
      <c r="M164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4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40" s="138" t="str" cm="1">
        <f t="array" ref="O1640">IFERROR(INDEX(CategoriesTable[Category type],MATCH(Table1[[#This Row],[Category]],CategoriesTable[Category name],0),0),"")</f>
        <v/>
      </c>
      <c r="P1640" s="138">
        <v>9</v>
      </c>
      <c r="Q1640" s="138">
        <f>MONTH(Table1[[#This Row],[Date]])</f>
        <v>10</v>
      </c>
      <c r="R1640" s="138">
        <v>2020</v>
      </c>
      <c r="S1640" s="139">
        <f>IF(ISBLANK(Table1[[#This Row],[Date]]),"",Table1[[#This Row],[Date]]-WEEKDAY(Table1[[#This Row],[Date]],2)+1)</f>
        <v>44109</v>
      </c>
      <c r="T1640" s="140">
        <f>IF(ISBLANK(Table1[[#This Row],[Date]]),"",DATE(Table1[[#This Row],[Date_Year]],Table1[[#This Row],[Date_Month]],1))</f>
        <v>44105</v>
      </c>
    </row>
    <row r="1641" spans="2:20" ht="15.75">
      <c r="B1641" s="154">
        <v>44113</v>
      </c>
      <c r="C1641" s="119" t="s">
        <v>845</v>
      </c>
      <c r="D1641" s="119"/>
      <c r="E1641" s="119"/>
      <c r="F1641" s="155">
        <v>572.30999999999995</v>
      </c>
      <c r="G1641" s="133" t="str">
        <f>_xlfn.XLOOKUP(Table1[[#This Row],[Account_ID]], Accounts[ID], Accounts[Account nickname], "Unknown")</f>
        <v>Discover</v>
      </c>
      <c r="H1641" s="134" t="str">
        <f>_xlfn.XLOOKUP(Table1[[#This Row],[Account_ID]], Accounts[ID], Accounts[Account'#], "Unknown")</f>
        <v>4618</v>
      </c>
      <c r="I1641" s="135" t="str">
        <f>_xlfn.XLOOKUP(_xlfn.XLOOKUP(Table1[[#This Row],[Account]],Accounts[Account nickname],Accounts[Institution ID]),Institutions[ID],Institutions[Institution nickname],"Unknown")</f>
        <v>Discover</v>
      </c>
      <c r="J1641" s="136" t="s">
        <v>2954</v>
      </c>
      <c r="K1641" s="137" t="s">
        <v>843</v>
      </c>
      <c r="L1641" s="137" t="s">
        <v>841</v>
      </c>
      <c r="M164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4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41" s="138" t="str" cm="1">
        <f t="array" ref="O1641">IFERROR(INDEX(CategoriesTable[Category type],MATCH(Table1[[#This Row],[Category]],CategoriesTable[Category name],0),0),"")</f>
        <v/>
      </c>
      <c r="P1641" s="138">
        <v>9</v>
      </c>
      <c r="Q1641" s="138">
        <f>MONTH(Table1[[#This Row],[Date]])</f>
        <v>10</v>
      </c>
      <c r="R1641" s="138">
        <v>2020</v>
      </c>
      <c r="S1641" s="139">
        <f>IF(ISBLANK(Table1[[#This Row],[Date]]),"",Table1[[#This Row],[Date]]-WEEKDAY(Table1[[#This Row],[Date]],2)+1)</f>
        <v>44109</v>
      </c>
      <c r="T1641" s="140">
        <f>IF(ISBLANK(Table1[[#This Row],[Date]]),"",DATE(Table1[[#This Row],[Date_Year]],Table1[[#This Row],[Date_Month]],1))</f>
        <v>44105</v>
      </c>
    </row>
    <row r="1642" spans="2:20" ht="15.75">
      <c r="B1642" s="154">
        <v>44113</v>
      </c>
      <c r="C1642" s="119" t="s">
        <v>2955</v>
      </c>
      <c r="D1642" s="119"/>
      <c r="E1642" s="119"/>
      <c r="F1642" s="155">
        <v>-30</v>
      </c>
      <c r="G1642" s="133" t="str">
        <f>_xlfn.XLOOKUP(Table1[[#This Row],[Account_ID]], Accounts[ID], Accounts[Account nickname], "Unknown")</f>
        <v>Discover</v>
      </c>
      <c r="H1642" s="134" t="str">
        <f>_xlfn.XLOOKUP(Table1[[#This Row],[Account_ID]], Accounts[ID], Accounts[Account'#], "Unknown")</f>
        <v>4618</v>
      </c>
      <c r="I1642" s="135" t="str">
        <f>_xlfn.XLOOKUP(_xlfn.XLOOKUP(Table1[[#This Row],[Account]],Accounts[Account nickname],Accounts[Institution ID]),Institutions[ID],Institutions[Institution nickname],"Unknown")</f>
        <v>Discover</v>
      </c>
      <c r="J1642" s="136" t="s">
        <v>2956</v>
      </c>
      <c r="K1642" s="137" t="s">
        <v>843</v>
      </c>
      <c r="L1642" s="137" t="s">
        <v>841</v>
      </c>
      <c r="M164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4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42" s="138" t="str" cm="1">
        <f t="array" ref="O1642">IFERROR(INDEX(CategoriesTable[Category type],MATCH(Table1[[#This Row],[Category]],CategoriesTable[Category name],0),0),"")</f>
        <v/>
      </c>
      <c r="P1642" s="138">
        <v>9</v>
      </c>
      <c r="Q1642" s="138">
        <f>MONTH(Table1[[#This Row],[Date]])</f>
        <v>10</v>
      </c>
      <c r="R1642" s="138">
        <v>2020</v>
      </c>
      <c r="S1642" s="139">
        <f>IF(ISBLANK(Table1[[#This Row],[Date]]),"",Table1[[#This Row],[Date]]-WEEKDAY(Table1[[#This Row],[Date]],2)+1)</f>
        <v>44109</v>
      </c>
      <c r="T1642" s="140">
        <f>IF(ISBLANK(Table1[[#This Row],[Date]]),"",DATE(Table1[[#This Row],[Date_Year]],Table1[[#This Row],[Date_Month]],1))</f>
        <v>44105</v>
      </c>
    </row>
    <row r="1643" spans="2:20" ht="15.75">
      <c r="B1643" s="154">
        <v>44113</v>
      </c>
      <c r="C1643" s="119" t="s">
        <v>2959</v>
      </c>
      <c r="D1643" s="119"/>
      <c r="E1643" s="119"/>
      <c r="F1643" s="155">
        <v>-5.52</v>
      </c>
      <c r="G1643" s="133" t="str">
        <f>_xlfn.XLOOKUP(Table1[[#This Row],[Account_ID]], Accounts[ID], Accounts[Account nickname], "Unknown")</f>
        <v>Discover</v>
      </c>
      <c r="H1643" s="134" t="str">
        <f>_xlfn.XLOOKUP(Table1[[#This Row],[Account_ID]], Accounts[ID], Accounts[Account'#], "Unknown")</f>
        <v>4618</v>
      </c>
      <c r="I1643" s="135" t="str">
        <f>_xlfn.XLOOKUP(_xlfn.XLOOKUP(Table1[[#This Row],[Account]],Accounts[Account nickname],Accounts[Institution ID]),Institutions[ID],Institutions[Institution nickname],"Unknown")</f>
        <v>Discover</v>
      </c>
      <c r="J1643" s="152" t="s">
        <v>2960</v>
      </c>
      <c r="K1643" s="137" t="s">
        <v>843</v>
      </c>
      <c r="L1643" s="137" t="s">
        <v>841</v>
      </c>
      <c r="M164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4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43" s="138" t="str" cm="1">
        <f t="array" ref="O1643">IFERROR(INDEX(CategoriesTable[Category type],MATCH(Table1[[#This Row],[Category]],CategoriesTable[Category name],0),0),"")</f>
        <v/>
      </c>
      <c r="P1643" s="138">
        <v>9</v>
      </c>
      <c r="Q1643" s="138">
        <f>MONTH(Table1[[#This Row],[Date]])</f>
        <v>10</v>
      </c>
      <c r="R1643" s="138">
        <v>2020</v>
      </c>
      <c r="S1643" s="139">
        <f>IF(ISBLANK(Table1[[#This Row],[Date]]),"",Table1[[#This Row],[Date]]-WEEKDAY(Table1[[#This Row],[Date]],2)+1)</f>
        <v>44109</v>
      </c>
      <c r="T1643" s="140">
        <f>IF(ISBLANK(Table1[[#This Row],[Date]]),"",DATE(Table1[[#This Row],[Date_Year]],Table1[[#This Row],[Date_Month]],1))</f>
        <v>44105</v>
      </c>
    </row>
    <row r="1644" spans="2:20" ht="15.75">
      <c r="B1644" s="154">
        <v>44113</v>
      </c>
      <c r="C1644" s="119" t="s">
        <v>683</v>
      </c>
      <c r="D1644" s="119"/>
      <c r="E1644" s="119"/>
      <c r="F1644" s="155">
        <v>-20</v>
      </c>
      <c r="G1644" s="133" t="str">
        <f>_xlfn.XLOOKUP(Table1[[#This Row],[Account_ID]], Accounts[ID], Accounts[Account nickname], "Unknown")</f>
        <v>WF</v>
      </c>
      <c r="H1644" s="134" t="str">
        <f>_xlfn.XLOOKUP(Table1[[#This Row],[Account_ID]], Accounts[ID], Accounts[Account'#], "Unknown")</f>
        <v>4636</v>
      </c>
      <c r="I1644" s="135" t="str">
        <f>_xlfn.XLOOKUP(_xlfn.XLOOKUP(Table1[[#This Row],[Account]],Accounts[Account nickname],Accounts[Institution ID]),Institutions[ID],Institutions[Institution nickname],"Unknown")</f>
        <v>Wells Fargo</v>
      </c>
      <c r="J1644" s="136" t="s">
        <v>1289</v>
      </c>
      <c r="K1644" s="137" t="s">
        <v>808</v>
      </c>
      <c r="L1644" s="137" t="s">
        <v>807</v>
      </c>
      <c r="M164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4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44" s="138" t="str" cm="1">
        <f t="array" ref="O1644">IFERROR(INDEX(CategoriesTable[Category type],MATCH(Table1[[#This Row],[Category]],CategoriesTable[Category name],0),0),"")</f>
        <v/>
      </c>
      <c r="P1644" s="138">
        <v>9</v>
      </c>
      <c r="Q1644" s="138">
        <f>MONTH(Table1[[#This Row],[Date]])</f>
        <v>10</v>
      </c>
      <c r="R1644" s="138">
        <v>2020</v>
      </c>
      <c r="S1644" s="139">
        <f>IF(ISBLANK(Table1[[#This Row],[Date]]),"",Table1[[#This Row],[Date]]-WEEKDAY(Table1[[#This Row],[Date]],2)+1)</f>
        <v>44109</v>
      </c>
      <c r="T1644" s="140">
        <f>IF(ISBLANK(Table1[[#This Row],[Date]]),"",DATE(Table1[[#This Row],[Date_Year]],Table1[[#This Row],[Date_Month]],1))</f>
        <v>44105</v>
      </c>
    </row>
    <row r="1645" spans="2:20" ht="15.75">
      <c r="B1645" s="154">
        <v>44113</v>
      </c>
      <c r="C1645" s="119" t="s">
        <v>2962</v>
      </c>
      <c r="D1645" s="119"/>
      <c r="E1645" s="119"/>
      <c r="F1645" s="155">
        <v>-24.06</v>
      </c>
      <c r="G1645" s="133" t="str">
        <f>_xlfn.XLOOKUP(Table1[[#This Row],[Account_ID]], Accounts[ID], Accounts[Account nickname], "Unknown")</f>
        <v>Discover</v>
      </c>
      <c r="H1645" s="134" t="str">
        <f>_xlfn.XLOOKUP(Table1[[#This Row],[Account_ID]], Accounts[ID], Accounts[Account'#], "Unknown")</f>
        <v>4618</v>
      </c>
      <c r="I1645" s="135" t="str">
        <f>_xlfn.XLOOKUP(_xlfn.XLOOKUP(Table1[[#This Row],[Account]],Accounts[Account nickname],Accounts[Institution ID]),Institutions[ID],Institutions[Institution nickname],"Unknown")</f>
        <v>Discover</v>
      </c>
      <c r="J1645" s="136" t="s">
        <v>2963</v>
      </c>
      <c r="K1645" s="137" t="s">
        <v>843</v>
      </c>
      <c r="L1645" s="137" t="s">
        <v>841</v>
      </c>
      <c r="M164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4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45" s="138" t="str" cm="1">
        <f t="array" ref="O1645">IFERROR(INDEX(CategoriesTable[Category type],MATCH(Table1[[#This Row],[Category]],CategoriesTable[Category name],0),0),"")</f>
        <v/>
      </c>
      <c r="P1645" s="138">
        <v>9</v>
      </c>
      <c r="Q1645" s="138">
        <f>MONTH(Table1[[#This Row],[Date]])</f>
        <v>10</v>
      </c>
      <c r="R1645" s="138">
        <v>2020</v>
      </c>
      <c r="S1645" s="139">
        <f>IF(ISBLANK(Table1[[#This Row],[Date]]),"",Table1[[#This Row],[Date]]-WEEKDAY(Table1[[#This Row],[Date]],2)+1)</f>
        <v>44109</v>
      </c>
      <c r="T1645" s="140">
        <f>IF(ISBLANK(Table1[[#This Row],[Date]]),"",DATE(Table1[[#This Row],[Date_Year]],Table1[[#This Row],[Date_Month]],1))</f>
        <v>44105</v>
      </c>
    </row>
    <row r="1646" spans="2:20" ht="15.75">
      <c r="B1646" s="154">
        <v>44113</v>
      </c>
      <c r="C1646" s="119" t="s">
        <v>2950</v>
      </c>
      <c r="D1646" s="119"/>
      <c r="E1646" s="119"/>
      <c r="F1646" s="155">
        <v>-10.98</v>
      </c>
      <c r="G1646" s="133" t="str">
        <f>_xlfn.XLOOKUP(Table1[[#This Row],[Account_ID]], Accounts[ID], Accounts[Account nickname], "Unknown")</f>
        <v>Discover</v>
      </c>
      <c r="H1646" s="134" t="str">
        <f>_xlfn.XLOOKUP(Table1[[#This Row],[Account_ID]], Accounts[ID], Accounts[Account'#], "Unknown")</f>
        <v>4618</v>
      </c>
      <c r="I1646" s="135" t="str">
        <f>_xlfn.XLOOKUP(_xlfn.XLOOKUP(Table1[[#This Row],[Account]],Accounts[Account nickname],Accounts[Institution ID]),Institutions[ID],Institutions[Institution nickname],"Unknown")</f>
        <v>Discover</v>
      </c>
      <c r="J1646" s="136" t="s">
        <v>2951</v>
      </c>
      <c r="K1646" s="137" t="s">
        <v>843</v>
      </c>
      <c r="L1646" s="137" t="s">
        <v>841</v>
      </c>
      <c r="M164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4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46" s="138" t="str" cm="1">
        <f t="array" ref="O1646">IFERROR(INDEX(CategoriesTable[Category type],MATCH(Table1[[#This Row],[Category]],CategoriesTable[Category name],0),0),"")</f>
        <v/>
      </c>
      <c r="P1646" s="138">
        <v>9</v>
      </c>
      <c r="Q1646" s="138">
        <f>MONTH(Table1[[#This Row],[Date]])</f>
        <v>10</v>
      </c>
      <c r="R1646" s="138">
        <v>2020</v>
      </c>
      <c r="S1646" s="139">
        <f>IF(ISBLANK(Table1[[#This Row],[Date]]),"",Table1[[#This Row],[Date]]-WEEKDAY(Table1[[#This Row],[Date]],2)+1)</f>
        <v>44109</v>
      </c>
      <c r="T1646" s="140">
        <f>IF(ISBLANK(Table1[[#This Row],[Date]]),"",DATE(Table1[[#This Row],[Date_Year]],Table1[[#This Row],[Date_Month]],1))</f>
        <v>44105</v>
      </c>
    </row>
    <row r="1647" spans="2:20" ht="15.75">
      <c r="B1647" s="154">
        <v>44112</v>
      </c>
      <c r="C1647" s="119" t="s">
        <v>724</v>
      </c>
      <c r="D1647" s="119"/>
      <c r="E1647" s="119"/>
      <c r="F1647" s="155">
        <v>-277.63</v>
      </c>
      <c r="G1647" s="133" t="str">
        <f>_xlfn.XLOOKUP(Table1[[#This Row],[Account_ID]], Accounts[ID], Accounts[Account nickname], "Unknown")</f>
        <v>Discover</v>
      </c>
      <c r="H1647" s="134" t="str">
        <f>_xlfn.XLOOKUP(Table1[[#This Row],[Account_ID]], Accounts[ID], Accounts[Account'#], "Unknown")</f>
        <v>4618</v>
      </c>
      <c r="I1647" s="135" t="str">
        <f>_xlfn.XLOOKUP(_xlfn.XLOOKUP(Table1[[#This Row],[Account]],Accounts[Account nickname],Accounts[Institution ID]),Institutions[ID],Institutions[Institution nickname],"Unknown")</f>
        <v>Discover</v>
      </c>
      <c r="J1647" s="136" t="s">
        <v>2967</v>
      </c>
      <c r="K1647" s="137" t="s">
        <v>843</v>
      </c>
      <c r="L1647" s="137" t="s">
        <v>841</v>
      </c>
      <c r="M164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4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47" s="138" t="str" cm="1">
        <f t="array" ref="O1647">IFERROR(INDEX(CategoriesTable[Category type],MATCH(Table1[[#This Row],[Category]],CategoriesTable[Category name],0),0),"")</f>
        <v/>
      </c>
      <c r="P1647" s="138">
        <v>8</v>
      </c>
      <c r="Q1647" s="138">
        <f>MONTH(Table1[[#This Row],[Date]])</f>
        <v>10</v>
      </c>
      <c r="R1647" s="138">
        <v>2020</v>
      </c>
      <c r="S1647" s="139">
        <f>IF(ISBLANK(Table1[[#This Row],[Date]]),"",Table1[[#This Row],[Date]]-WEEKDAY(Table1[[#This Row],[Date]],2)+1)</f>
        <v>44109</v>
      </c>
      <c r="T1647" s="140">
        <f>IF(ISBLANK(Table1[[#This Row],[Date]]),"",DATE(Table1[[#This Row],[Date_Year]],Table1[[#This Row],[Date_Month]],1))</f>
        <v>44105</v>
      </c>
    </row>
    <row r="1648" spans="2:20" ht="15.75">
      <c r="B1648" s="154">
        <v>44112</v>
      </c>
      <c r="C1648" s="119" t="s">
        <v>2771</v>
      </c>
      <c r="D1648" s="119"/>
      <c r="E1648" s="119"/>
      <c r="F1648" s="155">
        <v>-4.99</v>
      </c>
      <c r="G1648" s="133" t="str">
        <f>_xlfn.XLOOKUP(Table1[[#This Row],[Account_ID]], Accounts[ID], Accounts[Account nickname], "Unknown")</f>
        <v>Discover</v>
      </c>
      <c r="H1648" s="134" t="str">
        <f>_xlfn.XLOOKUP(Table1[[#This Row],[Account_ID]], Accounts[ID], Accounts[Account'#], "Unknown")</f>
        <v>4618</v>
      </c>
      <c r="I1648" s="135" t="str">
        <f>_xlfn.XLOOKUP(_xlfn.XLOOKUP(Table1[[#This Row],[Account]],Accounts[Account nickname],Accounts[Institution ID]),Institutions[ID],Institutions[Institution nickname],"Unknown")</f>
        <v>Discover</v>
      </c>
      <c r="J1648" s="136" t="s">
        <v>2966</v>
      </c>
      <c r="K1648" s="137" t="s">
        <v>843</v>
      </c>
      <c r="L1648" s="137" t="s">
        <v>841</v>
      </c>
      <c r="M164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4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48" s="138" t="str" cm="1">
        <f t="array" ref="O1648">IFERROR(INDEX(CategoriesTable[Category type],MATCH(Table1[[#This Row],[Category]],CategoriesTable[Category name],0),0),"")</f>
        <v/>
      </c>
      <c r="P1648" s="138">
        <v>8</v>
      </c>
      <c r="Q1648" s="138">
        <f>MONTH(Table1[[#This Row],[Date]])</f>
        <v>10</v>
      </c>
      <c r="R1648" s="138">
        <v>2020</v>
      </c>
      <c r="S1648" s="139">
        <f>IF(ISBLANK(Table1[[#This Row],[Date]]),"",Table1[[#This Row],[Date]]-WEEKDAY(Table1[[#This Row],[Date]],2)+1)</f>
        <v>44109</v>
      </c>
      <c r="T1648" s="140">
        <f>IF(ISBLANK(Table1[[#This Row],[Date]]),"",DATE(Table1[[#This Row],[Date_Year]],Table1[[#This Row],[Date_Month]],1))</f>
        <v>44105</v>
      </c>
    </row>
    <row r="1649" spans="2:20" ht="15.75">
      <c r="B1649" s="154">
        <v>44112</v>
      </c>
      <c r="C1649" s="119" t="s">
        <v>778</v>
      </c>
      <c r="D1649" s="119"/>
      <c r="E1649" s="119"/>
      <c r="F1649" s="155">
        <v>95</v>
      </c>
      <c r="G1649" s="133" t="str">
        <f>_xlfn.XLOOKUP(Table1[[#This Row],[Account_ID]], Accounts[ID], Accounts[Account nickname], "Unknown")</f>
        <v>WF</v>
      </c>
      <c r="H1649" s="134" t="str">
        <f>_xlfn.XLOOKUP(Table1[[#This Row],[Account_ID]], Accounts[ID], Accounts[Account'#], "Unknown")</f>
        <v>4636</v>
      </c>
      <c r="I1649" s="135" t="str">
        <f>_xlfn.XLOOKUP(_xlfn.XLOOKUP(Table1[[#This Row],[Account]],Accounts[Account nickname],Accounts[Institution ID]),Institutions[ID],Institutions[Institution nickname],"Unknown")</f>
        <v>Wells Fargo</v>
      </c>
      <c r="J1649" s="136" t="s">
        <v>1292</v>
      </c>
      <c r="K1649" s="137" t="s">
        <v>808</v>
      </c>
      <c r="L1649" s="137" t="s">
        <v>807</v>
      </c>
      <c r="M164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4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49" s="138" t="str" cm="1">
        <f t="array" ref="O1649">IFERROR(INDEX(CategoriesTable[Category type],MATCH(Table1[[#This Row],[Category]],CategoriesTable[Category name],0),0),"")</f>
        <v/>
      </c>
      <c r="P1649" s="138">
        <v>8</v>
      </c>
      <c r="Q1649" s="138">
        <f>MONTH(Table1[[#This Row],[Date]])</f>
        <v>10</v>
      </c>
      <c r="R1649" s="138">
        <v>2020</v>
      </c>
      <c r="S1649" s="139">
        <f>IF(ISBLANK(Table1[[#This Row],[Date]]),"",Table1[[#This Row],[Date]]-WEEKDAY(Table1[[#This Row],[Date]],2)+1)</f>
        <v>44109</v>
      </c>
      <c r="T1649" s="140">
        <f>IF(ISBLANK(Table1[[#This Row],[Date]]),"",DATE(Table1[[#This Row],[Date_Year]],Table1[[#This Row],[Date_Month]],1))</f>
        <v>44105</v>
      </c>
    </row>
    <row r="1650" spans="2:20" ht="15.75">
      <c r="B1650" s="154">
        <v>44112</v>
      </c>
      <c r="C1650" s="119" t="s">
        <v>2771</v>
      </c>
      <c r="D1650" s="119"/>
      <c r="E1650" s="119"/>
      <c r="F1650" s="155">
        <v>-9.99</v>
      </c>
      <c r="G1650" s="133" t="str">
        <f>_xlfn.XLOOKUP(Table1[[#This Row],[Account_ID]], Accounts[ID], Accounts[Account nickname], "Unknown")</f>
        <v>Discover</v>
      </c>
      <c r="H1650" s="134" t="str">
        <f>_xlfn.XLOOKUP(Table1[[#This Row],[Account_ID]], Accounts[ID], Accounts[Account'#], "Unknown")</f>
        <v>4618</v>
      </c>
      <c r="I1650" s="135" t="str">
        <f>_xlfn.XLOOKUP(_xlfn.XLOOKUP(Table1[[#This Row],[Account]],Accounts[Account nickname],Accounts[Institution ID]),Institutions[ID],Institutions[Institution nickname],"Unknown")</f>
        <v>Discover</v>
      </c>
      <c r="J1650" s="136" t="s">
        <v>2965</v>
      </c>
      <c r="K1650" s="137" t="s">
        <v>843</v>
      </c>
      <c r="L1650" s="137" t="s">
        <v>841</v>
      </c>
      <c r="M165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5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50" s="138" t="str" cm="1">
        <f t="array" ref="O1650">IFERROR(INDEX(CategoriesTable[Category type],MATCH(Table1[[#This Row],[Category]],CategoriesTable[Category name],0),0),"")</f>
        <v/>
      </c>
      <c r="P1650" s="138">
        <v>8</v>
      </c>
      <c r="Q1650" s="138">
        <f>MONTH(Table1[[#This Row],[Date]])</f>
        <v>10</v>
      </c>
      <c r="R1650" s="138">
        <v>2020</v>
      </c>
      <c r="S1650" s="139">
        <f>IF(ISBLANK(Table1[[#This Row],[Date]]),"",Table1[[#This Row],[Date]]-WEEKDAY(Table1[[#This Row],[Date]],2)+1)</f>
        <v>44109</v>
      </c>
      <c r="T1650" s="140">
        <f>IF(ISBLANK(Table1[[#This Row],[Date]]),"",DATE(Table1[[#This Row],[Date_Year]],Table1[[#This Row],[Date_Month]],1))</f>
        <v>44105</v>
      </c>
    </row>
    <row r="1651" spans="2:20" ht="15.75">
      <c r="B1651" s="154">
        <v>44112</v>
      </c>
      <c r="C1651" s="119" t="s">
        <v>2771</v>
      </c>
      <c r="D1651" s="119"/>
      <c r="E1651" s="119"/>
      <c r="F1651" s="155">
        <v>2.5</v>
      </c>
      <c r="G1651" s="133" t="str">
        <f>_xlfn.XLOOKUP(Table1[[#This Row],[Account_ID]], Accounts[ID], Accounts[Account nickname], "Unknown")</f>
        <v>Discover</v>
      </c>
      <c r="H1651" s="134" t="str">
        <f>_xlfn.XLOOKUP(Table1[[#This Row],[Account_ID]], Accounts[ID], Accounts[Account'#], "Unknown")</f>
        <v>4618</v>
      </c>
      <c r="I1651" s="135" t="str">
        <f>_xlfn.XLOOKUP(_xlfn.XLOOKUP(Table1[[#This Row],[Account]],Accounts[Account nickname],Accounts[Institution ID]),Institutions[ID],Institutions[Institution nickname],"Unknown")</f>
        <v>Discover</v>
      </c>
      <c r="J1651" s="136" t="s">
        <v>2964</v>
      </c>
      <c r="K1651" s="137" t="s">
        <v>843</v>
      </c>
      <c r="L1651" s="137" t="s">
        <v>841</v>
      </c>
      <c r="M165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5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51" s="138" t="str" cm="1">
        <f t="array" ref="O1651">IFERROR(INDEX(CategoriesTable[Category type],MATCH(Table1[[#This Row],[Category]],CategoriesTable[Category name],0),0),"")</f>
        <v/>
      </c>
      <c r="P1651" s="138">
        <v>8</v>
      </c>
      <c r="Q1651" s="138">
        <f>MONTH(Table1[[#This Row],[Date]])</f>
        <v>10</v>
      </c>
      <c r="R1651" s="138">
        <v>2020</v>
      </c>
      <c r="S1651" s="139">
        <f>IF(ISBLANK(Table1[[#This Row],[Date]]),"",Table1[[#This Row],[Date]]-WEEKDAY(Table1[[#This Row],[Date]],2)+1)</f>
        <v>44109</v>
      </c>
      <c r="T1651" s="140">
        <f>IF(ISBLANK(Table1[[#This Row],[Date]]),"",DATE(Table1[[#This Row],[Date_Year]],Table1[[#This Row],[Date_Month]],1))</f>
        <v>44105</v>
      </c>
    </row>
    <row r="1652" spans="2:20" ht="15.75">
      <c r="B1652" s="154">
        <v>44111</v>
      </c>
      <c r="C1652" s="119" t="s">
        <v>860</v>
      </c>
      <c r="D1652" s="119"/>
      <c r="E1652" s="119"/>
      <c r="F1652" s="155">
        <v>189.53</v>
      </c>
      <c r="G1652" s="133" t="str">
        <f>_xlfn.XLOOKUP(Table1[[#This Row],[Account_ID]], Accounts[ID], Accounts[Account nickname], "Unknown")</f>
        <v>Discover</v>
      </c>
      <c r="H1652" s="134" t="str">
        <f>_xlfn.XLOOKUP(Table1[[#This Row],[Account_ID]], Accounts[ID], Accounts[Account'#], "Unknown")</f>
        <v>4618</v>
      </c>
      <c r="I1652" s="135" t="str">
        <f>_xlfn.XLOOKUP(_xlfn.XLOOKUP(Table1[[#This Row],[Account]],Accounts[Account nickname],Accounts[Institution ID]),Institutions[ID],Institutions[Institution nickname],"Unknown")</f>
        <v>Discover</v>
      </c>
      <c r="J1652" s="136" t="s">
        <v>2968</v>
      </c>
      <c r="K1652" s="137" t="s">
        <v>843</v>
      </c>
      <c r="L1652" s="137" t="s">
        <v>841</v>
      </c>
      <c r="M165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5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52" s="138" t="str" cm="1">
        <f t="array" ref="O1652">IFERROR(INDEX(CategoriesTable[Category type],MATCH(Table1[[#This Row],[Category]],CategoriesTable[Category name],0),0),"")</f>
        <v/>
      </c>
      <c r="P1652" s="138">
        <v>7</v>
      </c>
      <c r="Q1652" s="138">
        <f>MONTH(Table1[[#This Row],[Date]])</f>
        <v>10</v>
      </c>
      <c r="R1652" s="138">
        <v>2020</v>
      </c>
      <c r="S1652" s="139">
        <f>IF(ISBLANK(Table1[[#This Row],[Date]]),"",Table1[[#This Row],[Date]]-WEEKDAY(Table1[[#This Row],[Date]],2)+1)</f>
        <v>44109</v>
      </c>
      <c r="T1652" s="140">
        <f>IF(ISBLANK(Table1[[#This Row],[Date]]),"",DATE(Table1[[#This Row],[Date_Year]],Table1[[#This Row],[Date_Month]],1))</f>
        <v>44105</v>
      </c>
    </row>
    <row r="1653" spans="2:20" ht="15.75">
      <c r="B1653" s="154">
        <v>44111</v>
      </c>
      <c r="C1653" s="119" t="s">
        <v>753</v>
      </c>
      <c r="D1653" s="119"/>
      <c r="E1653" s="119"/>
      <c r="F1653" s="155">
        <v>160.01</v>
      </c>
      <c r="G1653" s="133" t="str">
        <f>_xlfn.XLOOKUP(Table1[[#This Row],[Account_ID]], Accounts[ID], Accounts[Account nickname], "Unknown")</f>
        <v>WF</v>
      </c>
      <c r="H1653" s="134" t="str">
        <f>_xlfn.XLOOKUP(Table1[[#This Row],[Account_ID]], Accounts[ID], Accounts[Account'#], "Unknown")</f>
        <v>4636</v>
      </c>
      <c r="I1653" s="135" t="str">
        <f>_xlfn.XLOOKUP(_xlfn.XLOOKUP(Table1[[#This Row],[Account]],Accounts[Account nickname],Accounts[Institution ID]),Institutions[ID],Institutions[Institution nickname],"Unknown")</f>
        <v>Wells Fargo</v>
      </c>
      <c r="J1653" s="136" t="s">
        <v>1293</v>
      </c>
      <c r="K1653" s="137" t="s">
        <v>808</v>
      </c>
      <c r="L1653" s="137" t="s">
        <v>807</v>
      </c>
      <c r="M165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5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53" s="138" t="str" cm="1">
        <f t="array" ref="O1653">IFERROR(INDEX(CategoriesTable[Category type],MATCH(Table1[[#This Row],[Category]],CategoriesTable[Category name],0),0),"")</f>
        <v/>
      </c>
      <c r="P1653" s="138">
        <v>7</v>
      </c>
      <c r="Q1653" s="138">
        <f>MONTH(Table1[[#This Row],[Date]])</f>
        <v>10</v>
      </c>
      <c r="R1653" s="138">
        <v>2020</v>
      </c>
      <c r="S1653" s="139">
        <f>IF(ISBLANK(Table1[[#This Row],[Date]]),"",Table1[[#This Row],[Date]]-WEEKDAY(Table1[[#This Row],[Date]],2)+1)</f>
        <v>44109</v>
      </c>
      <c r="T1653" s="140">
        <f>IF(ISBLANK(Table1[[#This Row],[Date]]),"",DATE(Table1[[#This Row],[Date_Year]],Table1[[#This Row],[Date_Month]],1))</f>
        <v>44105</v>
      </c>
    </row>
    <row r="1654" spans="2:20" ht="15.75">
      <c r="B1654" s="154">
        <v>44111</v>
      </c>
      <c r="C1654" s="119" t="s">
        <v>702</v>
      </c>
      <c r="D1654" s="119"/>
      <c r="E1654" s="119"/>
      <c r="F1654" s="155">
        <v>-8.0299999999999994</v>
      </c>
      <c r="G1654" s="133" t="str">
        <f>_xlfn.XLOOKUP(Table1[[#This Row],[Account_ID]], Accounts[ID], Accounts[Account nickname], "Unknown")</f>
        <v>Discover</v>
      </c>
      <c r="H1654" s="134" t="str">
        <f>_xlfn.XLOOKUP(Table1[[#This Row],[Account_ID]], Accounts[ID], Accounts[Account'#], "Unknown")</f>
        <v>4618</v>
      </c>
      <c r="I1654" s="135" t="str">
        <f>_xlfn.XLOOKUP(_xlfn.XLOOKUP(Table1[[#This Row],[Account]],Accounts[Account nickname],Accounts[Institution ID]),Institutions[ID],Institutions[Institution nickname],"Unknown")</f>
        <v>Discover</v>
      </c>
      <c r="J1654" s="136" t="s">
        <v>2969</v>
      </c>
      <c r="K1654" s="137" t="s">
        <v>843</v>
      </c>
      <c r="L1654" s="137" t="s">
        <v>841</v>
      </c>
      <c r="M165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5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54" s="138" t="str" cm="1">
        <f t="array" ref="O1654">IFERROR(INDEX(CategoriesTable[Category type],MATCH(Table1[[#This Row],[Category]],CategoriesTable[Category name],0),0),"")</f>
        <v/>
      </c>
      <c r="P1654" s="138">
        <v>7</v>
      </c>
      <c r="Q1654" s="138">
        <f>MONTH(Table1[[#This Row],[Date]])</f>
        <v>10</v>
      </c>
      <c r="R1654" s="138">
        <v>2020</v>
      </c>
      <c r="S1654" s="139">
        <f>IF(ISBLANK(Table1[[#This Row],[Date]]),"",Table1[[#This Row],[Date]]-WEEKDAY(Table1[[#This Row],[Date]],2)+1)</f>
        <v>44109</v>
      </c>
      <c r="T1654" s="140">
        <f>IF(ISBLANK(Table1[[#This Row],[Date]]),"",DATE(Table1[[#This Row],[Date_Year]],Table1[[#This Row],[Date_Month]],1))</f>
        <v>44105</v>
      </c>
    </row>
    <row r="1655" spans="2:20" ht="15.75">
      <c r="B1655" s="154">
        <v>44110</v>
      </c>
      <c r="C1655" s="119" t="s">
        <v>2970</v>
      </c>
      <c r="D1655" s="119"/>
      <c r="E1655" s="119"/>
      <c r="F1655" s="155">
        <v>-9.99</v>
      </c>
      <c r="G1655" s="133" t="str">
        <f>_xlfn.XLOOKUP(Table1[[#This Row],[Account_ID]], Accounts[ID], Accounts[Account nickname], "Unknown")</f>
        <v>Discover</v>
      </c>
      <c r="H1655" s="134" t="str">
        <f>_xlfn.XLOOKUP(Table1[[#This Row],[Account_ID]], Accounts[ID], Accounts[Account'#], "Unknown")</f>
        <v>4618</v>
      </c>
      <c r="I1655" s="135" t="str">
        <f>_xlfn.XLOOKUP(_xlfn.XLOOKUP(Table1[[#This Row],[Account]],Accounts[Account nickname],Accounts[Institution ID]),Institutions[ID],Institutions[Institution nickname],"Unknown")</f>
        <v>Discover</v>
      </c>
      <c r="J1655" s="152" t="s">
        <v>2971</v>
      </c>
      <c r="K1655" s="137" t="s">
        <v>843</v>
      </c>
      <c r="L1655" s="137" t="s">
        <v>841</v>
      </c>
      <c r="M165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5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55" s="138" t="str" cm="1">
        <f t="array" ref="O1655">IFERROR(INDEX(CategoriesTable[Category type],MATCH(Table1[[#This Row],[Category]],CategoriesTable[Category name],0),0),"")</f>
        <v/>
      </c>
      <c r="P1655" s="138">
        <v>6</v>
      </c>
      <c r="Q1655" s="138">
        <f>MONTH(Table1[[#This Row],[Date]])</f>
        <v>10</v>
      </c>
      <c r="R1655" s="138">
        <v>2020</v>
      </c>
      <c r="S1655" s="139">
        <f>IF(ISBLANK(Table1[[#This Row],[Date]]),"",Table1[[#This Row],[Date]]-WEEKDAY(Table1[[#This Row],[Date]],2)+1)</f>
        <v>44109</v>
      </c>
      <c r="T1655" s="140">
        <f>IF(ISBLANK(Table1[[#This Row],[Date]]),"",DATE(Table1[[#This Row],[Date_Year]],Table1[[#This Row],[Date_Month]],1))</f>
        <v>44105</v>
      </c>
    </row>
    <row r="1656" spans="2:20" ht="15.75">
      <c r="B1656" s="154">
        <v>44109</v>
      </c>
      <c r="C1656" s="119" t="s">
        <v>2590</v>
      </c>
      <c r="D1656" s="119"/>
      <c r="E1656" s="119"/>
      <c r="F1656" s="155">
        <v>-8.01</v>
      </c>
      <c r="G1656" s="133" t="str">
        <f>_xlfn.XLOOKUP(Table1[[#This Row],[Account_ID]], Accounts[ID], Accounts[Account nickname], "Unknown")</f>
        <v>Discover</v>
      </c>
      <c r="H1656" s="134" t="str">
        <f>_xlfn.XLOOKUP(Table1[[#This Row],[Account_ID]], Accounts[ID], Accounts[Account'#], "Unknown")</f>
        <v>4618</v>
      </c>
      <c r="I1656" s="135" t="str">
        <f>_xlfn.XLOOKUP(_xlfn.XLOOKUP(Table1[[#This Row],[Account]],Accounts[Account nickname],Accounts[Institution ID]),Institutions[ID],Institutions[Institution nickname],"Unknown")</f>
        <v>Discover</v>
      </c>
      <c r="J1656" s="136" t="s">
        <v>2975</v>
      </c>
      <c r="K1656" s="137" t="s">
        <v>843</v>
      </c>
      <c r="L1656" s="137" t="s">
        <v>841</v>
      </c>
      <c r="M165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5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56" s="138" t="str" cm="1">
        <f t="array" ref="O1656">IFERROR(INDEX(CategoriesTable[Category type],MATCH(Table1[[#This Row],[Category]],CategoriesTable[Category name],0),0),"")</f>
        <v/>
      </c>
      <c r="P1656" s="138">
        <v>5</v>
      </c>
      <c r="Q1656" s="138">
        <f>MONTH(Table1[[#This Row],[Date]])</f>
        <v>10</v>
      </c>
      <c r="R1656" s="138">
        <v>2020</v>
      </c>
      <c r="S1656" s="139">
        <f>IF(ISBLANK(Table1[[#This Row],[Date]]),"",Table1[[#This Row],[Date]]-WEEKDAY(Table1[[#This Row],[Date]],2)+1)</f>
        <v>44109</v>
      </c>
      <c r="T1656" s="140">
        <f>IF(ISBLANK(Table1[[#This Row],[Date]]),"",DATE(Table1[[#This Row],[Date_Year]],Table1[[#This Row],[Date_Month]],1))</f>
        <v>44105</v>
      </c>
    </row>
    <row r="1657" spans="2:20" ht="15.75">
      <c r="B1657" s="154">
        <v>44109</v>
      </c>
      <c r="C1657" s="119" t="s">
        <v>680</v>
      </c>
      <c r="D1657" s="119"/>
      <c r="E1657" s="119"/>
      <c r="F1657" s="155">
        <v>100</v>
      </c>
      <c r="G1657" s="133" t="str">
        <f>_xlfn.XLOOKUP(Table1[[#This Row],[Account_ID]], Accounts[ID], Accounts[Account nickname], "Unknown")</f>
        <v>WF</v>
      </c>
      <c r="H1657" s="134" t="str">
        <f>_xlfn.XLOOKUP(Table1[[#This Row],[Account_ID]], Accounts[ID], Accounts[Account'#], "Unknown")</f>
        <v>4636</v>
      </c>
      <c r="I1657" s="135" t="str">
        <f>_xlfn.XLOOKUP(_xlfn.XLOOKUP(Table1[[#This Row],[Account]],Accounts[Account nickname],Accounts[Institution ID]),Institutions[ID],Institutions[Institution nickname],"Unknown")</f>
        <v>Wells Fargo</v>
      </c>
      <c r="J1657" s="136" t="s">
        <v>1294</v>
      </c>
      <c r="K1657" s="137" t="s">
        <v>808</v>
      </c>
      <c r="L1657" s="137" t="s">
        <v>807</v>
      </c>
      <c r="M165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5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57" s="138" t="str" cm="1">
        <f t="array" ref="O1657">IFERROR(INDEX(CategoriesTable[Category type],MATCH(Table1[[#This Row],[Category]],CategoriesTable[Category name],0),0),"")</f>
        <v/>
      </c>
      <c r="P1657" s="138">
        <v>5</v>
      </c>
      <c r="Q1657" s="138">
        <f>MONTH(Table1[[#This Row],[Date]])</f>
        <v>10</v>
      </c>
      <c r="R1657" s="138">
        <v>2020</v>
      </c>
      <c r="S1657" s="139">
        <f>IF(ISBLANK(Table1[[#This Row],[Date]]),"",Table1[[#This Row],[Date]]-WEEKDAY(Table1[[#This Row],[Date]],2)+1)</f>
        <v>44109</v>
      </c>
      <c r="T1657" s="140">
        <f>IF(ISBLANK(Table1[[#This Row],[Date]]),"",DATE(Table1[[#This Row],[Date_Year]],Table1[[#This Row],[Date_Month]],1))</f>
        <v>44105</v>
      </c>
    </row>
    <row r="1658" spans="2:20" ht="15.75">
      <c r="B1658" s="154">
        <v>44109</v>
      </c>
      <c r="C1658" s="119" t="s">
        <v>790</v>
      </c>
      <c r="D1658" s="119"/>
      <c r="E1658" s="119"/>
      <c r="F1658" s="155">
        <v>-0.95</v>
      </c>
      <c r="G1658" s="133" t="str">
        <f>_xlfn.XLOOKUP(Table1[[#This Row],[Account_ID]], Accounts[ID], Accounts[Account nickname], "Unknown")</f>
        <v>WF</v>
      </c>
      <c r="H1658" s="134" t="str">
        <f>_xlfn.XLOOKUP(Table1[[#This Row],[Account_ID]], Accounts[ID], Accounts[Account'#], "Unknown")</f>
        <v>4636</v>
      </c>
      <c r="I1658" s="135" t="str">
        <f>_xlfn.XLOOKUP(_xlfn.XLOOKUP(Table1[[#This Row],[Account]],Accounts[Account nickname],Accounts[Institution ID]),Institutions[ID],Institutions[Institution nickname],"Unknown")</f>
        <v>Wells Fargo</v>
      </c>
      <c r="J1658" s="136" t="s">
        <v>1297</v>
      </c>
      <c r="K1658" s="137" t="s">
        <v>808</v>
      </c>
      <c r="L1658" s="137" t="s">
        <v>807</v>
      </c>
      <c r="M165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5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58" s="138" t="str" cm="1">
        <f t="array" ref="O1658">IFERROR(INDEX(CategoriesTable[Category type],MATCH(Table1[[#This Row],[Category]],CategoriesTable[Category name],0),0),"")</f>
        <v/>
      </c>
      <c r="P1658" s="138">
        <v>5</v>
      </c>
      <c r="Q1658" s="138">
        <f>MONTH(Table1[[#This Row],[Date]])</f>
        <v>10</v>
      </c>
      <c r="R1658" s="138">
        <v>2020</v>
      </c>
      <c r="S1658" s="139">
        <f>IF(ISBLANK(Table1[[#This Row],[Date]]),"",Table1[[#This Row],[Date]]-WEEKDAY(Table1[[#This Row],[Date]],2)+1)</f>
        <v>44109</v>
      </c>
      <c r="T1658" s="140">
        <f>IF(ISBLANK(Table1[[#This Row],[Date]]),"",DATE(Table1[[#This Row],[Date_Year]],Table1[[#This Row],[Date_Month]],1))</f>
        <v>44105</v>
      </c>
    </row>
    <row r="1659" spans="2:20" ht="15.75">
      <c r="B1659" s="154">
        <v>44109</v>
      </c>
      <c r="C1659" s="119" t="s">
        <v>2666</v>
      </c>
      <c r="D1659" s="119"/>
      <c r="E1659" s="119"/>
      <c r="F1659" s="155">
        <v>-14.31</v>
      </c>
      <c r="G1659" s="133" t="str">
        <f>_xlfn.XLOOKUP(Table1[[#This Row],[Account_ID]], Accounts[ID], Accounts[Account nickname], "Unknown")</f>
        <v>Discover</v>
      </c>
      <c r="H1659" s="134" t="str">
        <f>_xlfn.XLOOKUP(Table1[[#This Row],[Account_ID]], Accounts[ID], Accounts[Account'#], "Unknown")</f>
        <v>4618</v>
      </c>
      <c r="I1659" s="135" t="str">
        <f>_xlfn.XLOOKUP(_xlfn.XLOOKUP(Table1[[#This Row],[Account]],Accounts[Account nickname],Accounts[Institution ID]),Institutions[ID],Institutions[Institution nickname],"Unknown")</f>
        <v>Discover</v>
      </c>
      <c r="J1659" s="152" t="s">
        <v>2973</v>
      </c>
      <c r="K1659" s="137" t="s">
        <v>843</v>
      </c>
      <c r="L1659" s="137" t="s">
        <v>841</v>
      </c>
      <c r="M165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5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59" s="138" t="str" cm="1">
        <f t="array" ref="O1659">IFERROR(INDEX(CategoriesTable[Category type],MATCH(Table1[[#This Row],[Category]],CategoriesTable[Category name],0),0),"")</f>
        <v/>
      </c>
      <c r="P1659" s="138">
        <v>5</v>
      </c>
      <c r="Q1659" s="138">
        <f>MONTH(Table1[[#This Row],[Date]])</f>
        <v>10</v>
      </c>
      <c r="R1659" s="138">
        <v>2020</v>
      </c>
      <c r="S1659" s="139">
        <f>IF(ISBLANK(Table1[[#This Row],[Date]]),"",Table1[[#This Row],[Date]]-WEEKDAY(Table1[[#This Row],[Date]],2)+1)</f>
        <v>44109</v>
      </c>
      <c r="T1659" s="140">
        <f>IF(ISBLANK(Table1[[#This Row],[Date]]),"",DATE(Table1[[#This Row],[Date_Year]],Table1[[#This Row],[Date_Month]],1))</f>
        <v>44105</v>
      </c>
    </row>
    <row r="1660" spans="2:20" ht="15.75">
      <c r="B1660" s="154">
        <v>44109</v>
      </c>
      <c r="C1660" s="119" t="s">
        <v>1618</v>
      </c>
      <c r="D1660" s="119"/>
      <c r="E1660" s="119"/>
      <c r="F1660" s="155">
        <v>-39.950000000000003</v>
      </c>
      <c r="G1660" s="133" t="str">
        <f>_xlfn.XLOOKUP(Table1[[#This Row],[Account_ID]], Accounts[ID], Accounts[Account nickname], "Unknown")</f>
        <v>Discover</v>
      </c>
      <c r="H1660" s="134" t="str">
        <f>_xlfn.XLOOKUP(Table1[[#This Row],[Account_ID]], Accounts[ID], Accounts[Account'#], "Unknown")</f>
        <v>4618</v>
      </c>
      <c r="I1660" s="135" t="str">
        <f>_xlfn.XLOOKUP(_xlfn.XLOOKUP(Table1[[#This Row],[Account]],Accounts[Account nickname],Accounts[Institution ID]),Institutions[ID],Institutions[Institution nickname],"Unknown")</f>
        <v>Discover</v>
      </c>
      <c r="J1660" s="136" t="s">
        <v>2974</v>
      </c>
      <c r="K1660" s="137" t="s">
        <v>843</v>
      </c>
      <c r="L1660" s="137" t="s">
        <v>841</v>
      </c>
      <c r="M166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6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60" s="138" t="str" cm="1">
        <f t="array" ref="O1660">IFERROR(INDEX(CategoriesTable[Category type],MATCH(Table1[[#This Row],[Category]],CategoriesTable[Category name],0),0),"")</f>
        <v/>
      </c>
      <c r="P1660" s="138">
        <v>5</v>
      </c>
      <c r="Q1660" s="138">
        <f>MONTH(Table1[[#This Row],[Date]])</f>
        <v>10</v>
      </c>
      <c r="R1660" s="138">
        <v>2020</v>
      </c>
      <c r="S1660" s="139">
        <f>IF(ISBLANK(Table1[[#This Row],[Date]]),"",Table1[[#This Row],[Date]]-WEEKDAY(Table1[[#This Row],[Date]],2)+1)</f>
        <v>44109</v>
      </c>
      <c r="T1660" s="140">
        <f>IF(ISBLANK(Table1[[#This Row],[Date]]),"",DATE(Table1[[#This Row],[Date_Year]],Table1[[#This Row],[Date_Month]],1))</f>
        <v>44105</v>
      </c>
    </row>
    <row r="1661" spans="2:20" ht="15.75">
      <c r="B1661" s="154">
        <v>44109</v>
      </c>
      <c r="C1661" s="119" t="s">
        <v>2578</v>
      </c>
      <c r="D1661" s="119"/>
      <c r="E1661" s="119"/>
      <c r="F1661" s="155">
        <v>-25</v>
      </c>
      <c r="G1661" s="133" t="str">
        <f>_xlfn.XLOOKUP(Table1[[#This Row],[Account_ID]], Accounts[ID], Accounts[Account nickname], "Unknown")</f>
        <v>Discover</v>
      </c>
      <c r="H1661" s="134" t="str">
        <f>_xlfn.XLOOKUP(Table1[[#This Row],[Account_ID]], Accounts[ID], Accounts[Account'#], "Unknown")</f>
        <v>4618</v>
      </c>
      <c r="I1661" s="135" t="str">
        <f>_xlfn.XLOOKUP(_xlfn.XLOOKUP(Table1[[#This Row],[Account]],Accounts[Account nickname],Accounts[Institution ID]),Institutions[ID],Institutions[Institution nickname],"Unknown")</f>
        <v>Discover</v>
      </c>
      <c r="J1661" s="136" t="s">
        <v>2972</v>
      </c>
      <c r="K1661" s="137" t="s">
        <v>843</v>
      </c>
      <c r="L1661" s="137" t="s">
        <v>841</v>
      </c>
      <c r="M166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6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61" s="138" t="str" cm="1">
        <f t="array" ref="O1661">IFERROR(INDEX(CategoriesTable[Category type],MATCH(Table1[[#This Row],[Category]],CategoriesTable[Category name],0),0),"")</f>
        <v/>
      </c>
      <c r="P1661" s="138">
        <v>5</v>
      </c>
      <c r="Q1661" s="138">
        <f>MONTH(Table1[[#This Row],[Date]])</f>
        <v>10</v>
      </c>
      <c r="R1661" s="138">
        <v>2020</v>
      </c>
      <c r="S1661" s="139">
        <f>IF(ISBLANK(Table1[[#This Row],[Date]]),"",Table1[[#This Row],[Date]]-WEEKDAY(Table1[[#This Row],[Date]],2)+1)</f>
        <v>44109</v>
      </c>
      <c r="T1661" s="140">
        <f>IF(ISBLANK(Table1[[#This Row],[Date]]),"",DATE(Table1[[#This Row],[Date_Year]],Table1[[#This Row],[Date_Month]],1))</f>
        <v>44105</v>
      </c>
    </row>
    <row r="1662" spans="2:20" ht="15.75">
      <c r="B1662" s="154">
        <v>44109</v>
      </c>
      <c r="C1662" s="119" t="s">
        <v>686</v>
      </c>
      <c r="D1662" s="119"/>
      <c r="E1662" s="119"/>
      <c r="F1662" s="155">
        <v>-500</v>
      </c>
      <c r="G1662" s="133" t="str">
        <f>_xlfn.XLOOKUP(Table1[[#This Row],[Account_ID]], Accounts[ID], Accounts[Account nickname], "Unknown")</f>
        <v>WF</v>
      </c>
      <c r="H1662" s="134" t="str">
        <f>_xlfn.XLOOKUP(Table1[[#This Row],[Account_ID]], Accounts[ID], Accounts[Account'#], "Unknown")</f>
        <v>4636</v>
      </c>
      <c r="I1662" s="135" t="str">
        <f>_xlfn.XLOOKUP(_xlfn.XLOOKUP(Table1[[#This Row],[Account]],Accounts[Account nickname],Accounts[Institution ID]),Institutions[ID],Institutions[Institution nickname],"Unknown")</f>
        <v>Wells Fargo</v>
      </c>
      <c r="J1662" s="136" t="s">
        <v>1296</v>
      </c>
      <c r="K1662" s="137" t="s">
        <v>808</v>
      </c>
      <c r="L1662" s="137" t="s">
        <v>807</v>
      </c>
      <c r="M166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6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62" s="138" t="str" cm="1">
        <f t="array" ref="O1662">IFERROR(INDEX(CategoriesTable[Category type],MATCH(Table1[[#This Row],[Category]],CategoriesTable[Category name],0),0),"")</f>
        <v/>
      </c>
      <c r="P1662" s="138">
        <v>5</v>
      </c>
      <c r="Q1662" s="138">
        <f>MONTH(Table1[[#This Row],[Date]])</f>
        <v>10</v>
      </c>
      <c r="R1662" s="138">
        <v>2020</v>
      </c>
      <c r="S1662" s="139">
        <f>IF(ISBLANK(Table1[[#This Row],[Date]]),"",Table1[[#This Row],[Date]]-WEEKDAY(Table1[[#This Row],[Date]],2)+1)</f>
        <v>44109</v>
      </c>
      <c r="T1662" s="140">
        <f>IF(ISBLANK(Table1[[#This Row],[Date]]),"",DATE(Table1[[#This Row],[Date_Year]],Table1[[#This Row],[Date_Month]],1))</f>
        <v>44105</v>
      </c>
    </row>
    <row r="1663" spans="2:20" ht="15.75">
      <c r="B1663" s="154">
        <v>44109</v>
      </c>
      <c r="C1663" s="119" t="s">
        <v>789</v>
      </c>
      <c r="D1663" s="119"/>
      <c r="E1663" s="119"/>
      <c r="F1663" s="155">
        <v>-99.45</v>
      </c>
      <c r="G1663" s="133" t="str">
        <f>_xlfn.XLOOKUP(Table1[[#This Row],[Account_ID]], Accounts[ID], Accounts[Account nickname], "Unknown")</f>
        <v>WF</v>
      </c>
      <c r="H1663" s="134" t="str">
        <f>_xlfn.XLOOKUP(Table1[[#This Row],[Account_ID]], Accounts[ID], Accounts[Account'#], "Unknown")</f>
        <v>4636</v>
      </c>
      <c r="I1663" s="135" t="str">
        <f>_xlfn.XLOOKUP(_xlfn.XLOOKUP(Table1[[#This Row],[Account]],Accounts[Account nickname],Accounts[Institution ID]),Institutions[ID],Institutions[Institution nickname],"Unknown")</f>
        <v>Wells Fargo</v>
      </c>
      <c r="J1663" s="136" t="s">
        <v>1295</v>
      </c>
      <c r="K1663" s="137" t="s">
        <v>808</v>
      </c>
      <c r="L1663" s="137" t="s">
        <v>807</v>
      </c>
      <c r="M166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6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63" s="138" t="str" cm="1">
        <f t="array" ref="O1663">IFERROR(INDEX(CategoriesTable[Category type],MATCH(Table1[[#This Row],[Category]],CategoriesTable[Category name],0),0),"")</f>
        <v/>
      </c>
      <c r="P1663" s="138">
        <v>5</v>
      </c>
      <c r="Q1663" s="138">
        <f>MONTH(Table1[[#This Row],[Date]])</f>
        <v>10</v>
      </c>
      <c r="R1663" s="138">
        <v>2020</v>
      </c>
      <c r="S1663" s="139">
        <f>IF(ISBLANK(Table1[[#This Row],[Date]]),"",Table1[[#This Row],[Date]]-WEEKDAY(Table1[[#This Row],[Date]],2)+1)</f>
        <v>44109</v>
      </c>
      <c r="T1663" s="140">
        <f>IF(ISBLANK(Table1[[#This Row],[Date]]),"",DATE(Table1[[#This Row],[Date_Year]],Table1[[#This Row],[Date_Month]],1))</f>
        <v>44105</v>
      </c>
    </row>
    <row r="1664" spans="2:20" ht="15.75">
      <c r="B1664" s="154">
        <v>44108</v>
      </c>
      <c r="C1664" s="119" t="s">
        <v>961</v>
      </c>
      <c r="D1664" s="119"/>
      <c r="E1664" s="119"/>
      <c r="F1664" s="155">
        <v>25.22</v>
      </c>
      <c r="G1664" s="133" t="str">
        <f>_xlfn.XLOOKUP(Table1[[#This Row],[Account_ID]], Accounts[ID], Accounts[Account nickname], "Unknown")</f>
        <v>Discover</v>
      </c>
      <c r="H1664" s="134" t="str">
        <f>_xlfn.XLOOKUP(Table1[[#This Row],[Account_ID]], Accounts[ID], Accounts[Account'#], "Unknown")</f>
        <v>4618</v>
      </c>
      <c r="I1664" s="135" t="str">
        <f>_xlfn.XLOOKUP(_xlfn.XLOOKUP(Table1[[#This Row],[Account]],Accounts[Account nickname],Accounts[Institution ID]),Institutions[ID],Institutions[Institution nickname],"Unknown")</f>
        <v>Discover</v>
      </c>
      <c r="J1664" s="136" t="s">
        <v>2976</v>
      </c>
      <c r="K1664" s="137" t="s">
        <v>843</v>
      </c>
      <c r="L1664" s="137" t="s">
        <v>841</v>
      </c>
      <c r="M166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6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64" s="138" t="str" cm="1">
        <f t="array" ref="O1664">IFERROR(INDEX(CategoriesTable[Category type],MATCH(Table1[[#This Row],[Category]],CategoriesTable[Category name],0),0),"")</f>
        <v/>
      </c>
      <c r="P1664" s="138">
        <v>4</v>
      </c>
      <c r="Q1664" s="138">
        <f>MONTH(Table1[[#This Row],[Date]])</f>
        <v>10</v>
      </c>
      <c r="R1664" s="138">
        <v>2020</v>
      </c>
      <c r="S1664" s="139">
        <f>IF(ISBLANK(Table1[[#This Row],[Date]]),"",Table1[[#This Row],[Date]]-WEEKDAY(Table1[[#This Row],[Date]],2)+1)</f>
        <v>44102</v>
      </c>
      <c r="T1664" s="140">
        <f>IF(ISBLANK(Table1[[#This Row],[Date]]),"",DATE(Table1[[#This Row],[Date_Year]],Table1[[#This Row],[Date_Month]],1))</f>
        <v>44105</v>
      </c>
    </row>
    <row r="1665" spans="2:20" ht="15.75">
      <c r="B1665" s="154">
        <v>44108</v>
      </c>
      <c r="C1665" s="119" t="s">
        <v>700</v>
      </c>
      <c r="D1665" s="119"/>
      <c r="E1665" s="119"/>
      <c r="F1665" s="155">
        <v>-86.25</v>
      </c>
      <c r="G1665" s="133" t="str">
        <f>_xlfn.XLOOKUP(Table1[[#This Row],[Account_ID]], Accounts[ID], Accounts[Account nickname], "Unknown")</f>
        <v>Discover</v>
      </c>
      <c r="H1665" s="134" t="str">
        <f>_xlfn.XLOOKUP(Table1[[#This Row],[Account_ID]], Accounts[ID], Accounts[Account'#], "Unknown")</f>
        <v>4618</v>
      </c>
      <c r="I1665" s="135" t="str">
        <f>_xlfn.XLOOKUP(_xlfn.XLOOKUP(Table1[[#This Row],[Account]],Accounts[Account nickname],Accounts[Institution ID]),Institutions[ID],Institutions[Institution nickname],"Unknown")</f>
        <v>Discover</v>
      </c>
      <c r="J1665" s="136" t="s">
        <v>2978</v>
      </c>
      <c r="K1665" s="137" t="s">
        <v>843</v>
      </c>
      <c r="L1665" s="137" t="s">
        <v>841</v>
      </c>
      <c r="M166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6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65" s="138" t="str" cm="1">
        <f t="array" ref="O1665">IFERROR(INDEX(CategoriesTable[Category type],MATCH(Table1[[#This Row],[Category]],CategoriesTable[Category name],0),0),"")</f>
        <v/>
      </c>
      <c r="P1665" s="138">
        <v>4</v>
      </c>
      <c r="Q1665" s="138">
        <f>MONTH(Table1[[#This Row],[Date]])</f>
        <v>10</v>
      </c>
      <c r="R1665" s="138">
        <v>2020</v>
      </c>
      <c r="S1665" s="139">
        <f>IF(ISBLANK(Table1[[#This Row],[Date]]),"",Table1[[#This Row],[Date]]-WEEKDAY(Table1[[#This Row],[Date]],2)+1)</f>
        <v>44102</v>
      </c>
      <c r="T1665" s="140">
        <f>IF(ISBLANK(Table1[[#This Row],[Date]]),"",DATE(Table1[[#This Row],[Date_Year]],Table1[[#This Row],[Date_Month]],1))</f>
        <v>44105</v>
      </c>
    </row>
    <row r="1666" spans="2:20" ht="15.75">
      <c r="B1666" s="154">
        <v>44108</v>
      </c>
      <c r="C1666" s="119" t="s">
        <v>2590</v>
      </c>
      <c r="D1666" s="119"/>
      <c r="E1666" s="119"/>
      <c r="F1666" s="155">
        <v>-17.239999999999998</v>
      </c>
      <c r="G1666" s="133" t="str">
        <f>_xlfn.XLOOKUP(Table1[[#This Row],[Account_ID]], Accounts[ID], Accounts[Account nickname], "Unknown")</f>
        <v>Discover</v>
      </c>
      <c r="H1666" s="134" t="str">
        <f>_xlfn.XLOOKUP(Table1[[#This Row],[Account_ID]], Accounts[ID], Accounts[Account'#], "Unknown")</f>
        <v>4618</v>
      </c>
      <c r="I1666" s="135" t="str">
        <f>_xlfn.XLOOKUP(_xlfn.XLOOKUP(Table1[[#This Row],[Account]],Accounts[Account nickname],Accounts[Institution ID]),Institutions[ID],Institutions[Institution nickname],"Unknown")</f>
        <v>Discover</v>
      </c>
      <c r="J1666" s="136" t="s">
        <v>2979</v>
      </c>
      <c r="K1666" s="137" t="s">
        <v>843</v>
      </c>
      <c r="L1666" s="137" t="s">
        <v>841</v>
      </c>
      <c r="M166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6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66" s="138" t="str" cm="1">
        <f t="array" ref="O1666">IFERROR(INDEX(CategoriesTable[Category type],MATCH(Table1[[#This Row],[Category]],CategoriesTable[Category name],0),0),"")</f>
        <v/>
      </c>
      <c r="P1666" s="138">
        <v>4</v>
      </c>
      <c r="Q1666" s="138">
        <f>MONTH(Table1[[#This Row],[Date]])</f>
        <v>10</v>
      </c>
      <c r="R1666" s="138">
        <v>2020</v>
      </c>
      <c r="S1666" s="139">
        <f>IF(ISBLANK(Table1[[#This Row],[Date]]),"",Table1[[#This Row],[Date]]-WEEKDAY(Table1[[#This Row],[Date]],2)+1)</f>
        <v>44102</v>
      </c>
      <c r="T1666" s="140">
        <f>IF(ISBLANK(Table1[[#This Row],[Date]]),"",DATE(Table1[[#This Row],[Date_Year]],Table1[[#This Row],[Date_Month]],1))</f>
        <v>44105</v>
      </c>
    </row>
    <row r="1667" spans="2:20" ht="15.75">
      <c r="B1667" s="154">
        <v>44108</v>
      </c>
      <c r="C1667" s="119" t="s">
        <v>773</v>
      </c>
      <c r="D1667" s="119"/>
      <c r="E1667" s="119"/>
      <c r="F1667" s="155">
        <v>-20</v>
      </c>
      <c r="G1667" s="133" t="str">
        <f>_xlfn.XLOOKUP(Table1[[#This Row],[Account_ID]], Accounts[ID], Accounts[Account nickname], "Unknown")</f>
        <v>WF</v>
      </c>
      <c r="H1667" s="134" t="str">
        <f>_xlfn.XLOOKUP(Table1[[#This Row],[Account_ID]], Accounts[ID], Accounts[Account'#], "Unknown")</f>
        <v>4636</v>
      </c>
      <c r="I1667" s="135" t="str">
        <f>_xlfn.XLOOKUP(_xlfn.XLOOKUP(Table1[[#This Row],[Account]],Accounts[Account nickname],Accounts[Institution ID]),Institutions[ID],Institutions[Institution nickname],"Unknown")</f>
        <v>Wells Fargo</v>
      </c>
      <c r="J1667" s="136" t="s">
        <v>1298</v>
      </c>
      <c r="K1667" s="137" t="s">
        <v>808</v>
      </c>
      <c r="L1667" s="137" t="s">
        <v>807</v>
      </c>
      <c r="M166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6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67" s="138" t="str" cm="1">
        <f t="array" ref="O1667">IFERROR(INDEX(CategoriesTable[Category type],MATCH(Table1[[#This Row],[Category]],CategoriesTable[Category name],0),0),"")</f>
        <v/>
      </c>
      <c r="P1667" s="138">
        <v>4</v>
      </c>
      <c r="Q1667" s="138">
        <f>MONTH(Table1[[#This Row],[Date]])</f>
        <v>10</v>
      </c>
      <c r="R1667" s="138">
        <v>2020</v>
      </c>
      <c r="S1667" s="139">
        <f>IF(ISBLANK(Table1[[#This Row],[Date]]),"",Table1[[#This Row],[Date]]-WEEKDAY(Table1[[#This Row],[Date]],2)+1)</f>
        <v>44102</v>
      </c>
      <c r="T1667" s="140">
        <f>IF(ISBLANK(Table1[[#This Row],[Date]]),"",DATE(Table1[[#This Row],[Date_Year]],Table1[[#This Row],[Date_Month]],1))</f>
        <v>44105</v>
      </c>
    </row>
    <row r="1668" spans="2:20" ht="15.75">
      <c r="B1668" s="154">
        <v>44108</v>
      </c>
      <c r="C1668" s="119" t="s">
        <v>845</v>
      </c>
      <c r="D1668" s="119"/>
      <c r="E1668" s="119"/>
      <c r="F1668" s="155">
        <v>500</v>
      </c>
      <c r="G1668" s="133" t="str">
        <f>_xlfn.XLOOKUP(Table1[[#This Row],[Account_ID]], Accounts[ID], Accounts[Account nickname], "Unknown")</f>
        <v>Discover</v>
      </c>
      <c r="H1668" s="134" t="str">
        <f>_xlfn.XLOOKUP(Table1[[#This Row],[Account_ID]], Accounts[ID], Accounts[Account'#], "Unknown")</f>
        <v>4618</v>
      </c>
      <c r="I1668" s="135" t="str">
        <f>_xlfn.XLOOKUP(_xlfn.XLOOKUP(Table1[[#This Row],[Account]],Accounts[Account nickname],Accounts[Institution ID]),Institutions[ID],Institutions[Institution nickname],"Unknown")</f>
        <v>Discover</v>
      </c>
      <c r="J1668" s="136" t="s">
        <v>2977</v>
      </c>
      <c r="K1668" s="137" t="s">
        <v>843</v>
      </c>
      <c r="L1668" s="137" t="s">
        <v>841</v>
      </c>
      <c r="M166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6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68" s="138" t="str" cm="1">
        <f t="array" ref="O1668">IFERROR(INDEX(CategoriesTable[Category type],MATCH(Table1[[#This Row],[Category]],CategoriesTable[Category name],0),0),"")</f>
        <v/>
      </c>
      <c r="P1668" s="138">
        <v>4</v>
      </c>
      <c r="Q1668" s="138">
        <f>MONTH(Table1[[#This Row],[Date]])</f>
        <v>10</v>
      </c>
      <c r="R1668" s="138">
        <v>2020</v>
      </c>
      <c r="S1668" s="139">
        <f>IF(ISBLANK(Table1[[#This Row],[Date]]),"",Table1[[#This Row],[Date]]-WEEKDAY(Table1[[#This Row],[Date]],2)+1)</f>
        <v>44102</v>
      </c>
      <c r="T1668" s="140">
        <f>IF(ISBLANK(Table1[[#This Row],[Date]]),"",DATE(Table1[[#This Row],[Date_Year]],Table1[[#This Row],[Date_Month]],1))</f>
        <v>44105</v>
      </c>
    </row>
    <row r="1669" spans="2:20" ht="15.75">
      <c r="B1669" s="154">
        <v>44107</v>
      </c>
      <c r="C1669" s="119" t="s">
        <v>702</v>
      </c>
      <c r="D1669" s="119"/>
      <c r="E1669" s="119"/>
      <c r="F1669" s="155">
        <v>-6.23</v>
      </c>
      <c r="G1669" s="133" t="str">
        <f>_xlfn.XLOOKUP(Table1[[#This Row],[Account_ID]], Accounts[ID], Accounts[Account nickname], "Unknown")</f>
        <v>Discover</v>
      </c>
      <c r="H1669" s="134" t="str">
        <f>_xlfn.XLOOKUP(Table1[[#This Row],[Account_ID]], Accounts[ID], Accounts[Account'#], "Unknown")</f>
        <v>4618</v>
      </c>
      <c r="I1669" s="135" t="str">
        <f>_xlfn.XLOOKUP(_xlfn.XLOOKUP(Table1[[#This Row],[Account]],Accounts[Account nickname],Accounts[Institution ID]),Institutions[ID],Institutions[Institution nickname],"Unknown")</f>
        <v>Discover</v>
      </c>
      <c r="J1669" s="136" t="s">
        <v>2980</v>
      </c>
      <c r="K1669" s="137" t="s">
        <v>843</v>
      </c>
      <c r="L1669" s="137" t="s">
        <v>841</v>
      </c>
      <c r="M166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6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69" s="138" t="str" cm="1">
        <f t="array" ref="O1669">IFERROR(INDEX(CategoriesTable[Category type],MATCH(Table1[[#This Row],[Category]],CategoriesTable[Category name],0),0),"")</f>
        <v/>
      </c>
      <c r="P1669" s="138">
        <v>3</v>
      </c>
      <c r="Q1669" s="138">
        <f>MONTH(Table1[[#This Row],[Date]])</f>
        <v>10</v>
      </c>
      <c r="R1669" s="138">
        <v>2020</v>
      </c>
      <c r="S1669" s="139">
        <f>IF(ISBLANK(Table1[[#This Row],[Date]]),"",Table1[[#This Row],[Date]]-WEEKDAY(Table1[[#This Row],[Date]],2)+1)</f>
        <v>44102</v>
      </c>
      <c r="T1669" s="140">
        <f>IF(ISBLANK(Table1[[#This Row],[Date]]),"",DATE(Table1[[#This Row],[Date_Year]],Table1[[#This Row],[Date_Month]],1))</f>
        <v>44105</v>
      </c>
    </row>
    <row r="1670" spans="2:20" ht="15.75">
      <c r="B1670" s="154">
        <v>44106</v>
      </c>
      <c r="C1670" s="119" t="s">
        <v>773</v>
      </c>
      <c r="D1670" s="119"/>
      <c r="E1670" s="119"/>
      <c r="F1670" s="155">
        <v>-75</v>
      </c>
      <c r="G1670" s="133" t="str">
        <f>_xlfn.XLOOKUP(Table1[[#This Row],[Account_ID]], Accounts[ID], Accounts[Account nickname], "Unknown")</f>
        <v>WF</v>
      </c>
      <c r="H1670" s="134" t="str">
        <f>_xlfn.XLOOKUP(Table1[[#This Row],[Account_ID]], Accounts[ID], Accounts[Account'#], "Unknown")</f>
        <v>4636</v>
      </c>
      <c r="I1670" s="135" t="str">
        <f>_xlfn.XLOOKUP(_xlfn.XLOOKUP(Table1[[#This Row],[Account]],Accounts[Account nickname],Accounts[Institution ID]),Institutions[ID],Institutions[Institution nickname],"Unknown")</f>
        <v>Wells Fargo</v>
      </c>
      <c r="J1670" s="136" t="s">
        <v>1299</v>
      </c>
      <c r="K1670" s="137" t="s">
        <v>808</v>
      </c>
      <c r="L1670" s="137" t="s">
        <v>807</v>
      </c>
      <c r="M167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7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70" s="138" t="str" cm="1">
        <f t="array" ref="O1670">IFERROR(INDEX(CategoriesTable[Category type],MATCH(Table1[[#This Row],[Category]],CategoriesTable[Category name],0),0),"")</f>
        <v/>
      </c>
      <c r="P1670" s="138">
        <v>2</v>
      </c>
      <c r="Q1670" s="138">
        <f>MONTH(Table1[[#This Row],[Date]])</f>
        <v>10</v>
      </c>
      <c r="R1670" s="138">
        <v>2020</v>
      </c>
      <c r="S1670" s="139">
        <f>IF(ISBLANK(Table1[[#This Row],[Date]]),"",Table1[[#This Row],[Date]]-WEEKDAY(Table1[[#This Row],[Date]],2)+1)</f>
        <v>44102</v>
      </c>
      <c r="T1670" s="140">
        <f>IF(ISBLANK(Table1[[#This Row],[Date]]),"",DATE(Table1[[#This Row],[Date_Year]],Table1[[#This Row],[Date_Month]],1))</f>
        <v>44105</v>
      </c>
    </row>
    <row r="1671" spans="2:20" ht="15.75">
      <c r="B1671" s="154">
        <v>44106</v>
      </c>
      <c r="C1671" s="119" t="s">
        <v>678</v>
      </c>
      <c r="D1671" s="119"/>
      <c r="E1671" s="119"/>
      <c r="F1671" s="155">
        <v>-23.9</v>
      </c>
      <c r="G1671" s="133" t="str">
        <f>_xlfn.XLOOKUP(Table1[[#This Row],[Account_ID]], Accounts[ID], Accounts[Account nickname], "Unknown")</f>
        <v>WF</v>
      </c>
      <c r="H1671" s="134" t="str">
        <f>_xlfn.XLOOKUP(Table1[[#This Row],[Account_ID]], Accounts[ID], Accounts[Account'#], "Unknown")</f>
        <v>4636</v>
      </c>
      <c r="I1671" s="135" t="str">
        <f>_xlfn.XLOOKUP(_xlfn.XLOOKUP(Table1[[#This Row],[Account]],Accounts[Account nickname],Accounts[Institution ID]),Institutions[ID],Institutions[Institution nickname],"Unknown")</f>
        <v>Wells Fargo</v>
      </c>
      <c r="J1671" s="136" t="s">
        <v>1300</v>
      </c>
      <c r="K1671" s="137" t="s">
        <v>808</v>
      </c>
      <c r="L1671" s="137" t="s">
        <v>807</v>
      </c>
      <c r="M167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7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71" s="138" t="str" cm="1">
        <f t="array" ref="O1671">IFERROR(INDEX(CategoriesTable[Category type],MATCH(Table1[[#This Row],[Category]],CategoriesTable[Category name],0),0),"")</f>
        <v/>
      </c>
      <c r="P1671" s="138">
        <v>2</v>
      </c>
      <c r="Q1671" s="138">
        <f>MONTH(Table1[[#This Row],[Date]])</f>
        <v>10</v>
      </c>
      <c r="R1671" s="138">
        <v>2020</v>
      </c>
      <c r="S1671" s="139">
        <f>IF(ISBLANK(Table1[[#This Row],[Date]]),"",Table1[[#This Row],[Date]]-WEEKDAY(Table1[[#This Row],[Date]],2)+1)</f>
        <v>44102</v>
      </c>
      <c r="T1671" s="140">
        <f>IF(ISBLANK(Table1[[#This Row],[Date]]),"",DATE(Table1[[#This Row],[Date_Year]],Table1[[#This Row],[Date_Month]],1))</f>
        <v>44105</v>
      </c>
    </row>
    <row r="1672" spans="2:20" ht="15.75">
      <c r="B1672" s="154">
        <v>44105</v>
      </c>
      <c r="C1672" s="119" t="s">
        <v>2982</v>
      </c>
      <c r="D1672" s="119"/>
      <c r="E1672" s="119"/>
      <c r="F1672" s="155">
        <v>-10</v>
      </c>
      <c r="G1672" s="133" t="str">
        <f>_xlfn.XLOOKUP(Table1[[#This Row],[Account_ID]], Accounts[ID], Accounts[Account nickname], "Unknown")</f>
        <v>Discover</v>
      </c>
      <c r="H1672" s="134" t="str">
        <f>_xlfn.XLOOKUP(Table1[[#This Row],[Account_ID]], Accounts[ID], Accounts[Account'#], "Unknown")</f>
        <v>4618</v>
      </c>
      <c r="I1672" s="135" t="str">
        <f>_xlfn.XLOOKUP(_xlfn.XLOOKUP(Table1[[#This Row],[Account]],Accounts[Account nickname],Accounts[Institution ID]),Institutions[ID],Institutions[Institution nickname],"Unknown")</f>
        <v>Discover</v>
      </c>
      <c r="J1672" s="136" t="s">
        <v>2984</v>
      </c>
      <c r="K1672" s="137" t="s">
        <v>843</v>
      </c>
      <c r="L1672" s="137" t="s">
        <v>841</v>
      </c>
      <c r="M167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7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72" s="138" t="str" cm="1">
        <f t="array" ref="O1672">IFERROR(INDEX(CategoriesTable[Category type],MATCH(Table1[[#This Row],[Category]],CategoriesTable[Category name],0),0),"")</f>
        <v/>
      </c>
      <c r="P1672" s="138">
        <v>1</v>
      </c>
      <c r="Q1672" s="138">
        <f>MONTH(Table1[[#This Row],[Date]])</f>
        <v>10</v>
      </c>
      <c r="R1672" s="138">
        <v>2020</v>
      </c>
      <c r="S1672" s="139">
        <f>IF(ISBLANK(Table1[[#This Row],[Date]]),"",Table1[[#This Row],[Date]]-WEEKDAY(Table1[[#This Row],[Date]],2)+1)</f>
        <v>44102</v>
      </c>
      <c r="T1672" s="140">
        <f>IF(ISBLANK(Table1[[#This Row],[Date]]),"",DATE(Table1[[#This Row],[Date_Year]],Table1[[#This Row],[Date_Month]],1))</f>
        <v>44105</v>
      </c>
    </row>
    <row r="1673" spans="2:20" ht="15.75">
      <c r="B1673" s="154">
        <v>44105</v>
      </c>
      <c r="C1673" s="119" t="s">
        <v>910</v>
      </c>
      <c r="D1673" s="119"/>
      <c r="E1673" s="119"/>
      <c r="F1673" s="155">
        <v>-39.99</v>
      </c>
      <c r="G1673" s="133" t="str">
        <f>_xlfn.XLOOKUP(Table1[[#This Row],[Account_ID]], Accounts[ID], Accounts[Account nickname], "Unknown")</f>
        <v>Discover</v>
      </c>
      <c r="H1673" s="134" t="str">
        <f>_xlfn.XLOOKUP(Table1[[#This Row],[Account_ID]], Accounts[ID], Accounts[Account'#], "Unknown")</f>
        <v>4618</v>
      </c>
      <c r="I1673" s="135" t="str">
        <f>_xlfn.XLOOKUP(_xlfn.XLOOKUP(Table1[[#This Row],[Account]],Accounts[Account nickname],Accounts[Institution ID]),Institutions[ID],Institutions[Institution nickname],"Unknown")</f>
        <v>Discover</v>
      </c>
      <c r="J1673" s="136" t="s">
        <v>2981</v>
      </c>
      <c r="K1673" s="137" t="s">
        <v>843</v>
      </c>
      <c r="L1673" s="137" t="s">
        <v>841</v>
      </c>
      <c r="M167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7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73" s="138" t="str" cm="1">
        <f t="array" ref="O1673">IFERROR(INDEX(CategoriesTable[Category type],MATCH(Table1[[#This Row],[Category]],CategoriesTable[Category name],0),0),"")</f>
        <v/>
      </c>
      <c r="P1673" s="138">
        <v>1</v>
      </c>
      <c r="Q1673" s="138">
        <f>MONTH(Table1[[#This Row],[Date]])</f>
        <v>10</v>
      </c>
      <c r="R1673" s="138">
        <v>2020</v>
      </c>
      <c r="S1673" s="139">
        <f>IF(ISBLANK(Table1[[#This Row],[Date]]),"",Table1[[#This Row],[Date]]-WEEKDAY(Table1[[#This Row],[Date]],2)+1)</f>
        <v>44102</v>
      </c>
      <c r="T1673" s="140">
        <f>IF(ISBLANK(Table1[[#This Row],[Date]]),"",DATE(Table1[[#This Row],[Date_Year]],Table1[[#This Row],[Date_Month]],1))</f>
        <v>44105</v>
      </c>
    </row>
    <row r="1674" spans="2:20" ht="15.75">
      <c r="B1674" s="154">
        <v>44105</v>
      </c>
      <c r="C1674" s="119" t="s">
        <v>2982</v>
      </c>
      <c r="D1674" s="119"/>
      <c r="E1674" s="119"/>
      <c r="F1674" s="155">
        <v>-10</v>
      </c>
      <c r="G1674" s="133" t="str">
        <f>_xlfn.XLOOKUP(Table1[[#This Row],[Account_ID]], Accounts[ID], Accounts[Account nickname], "Unknown")</f>
        <v>Discover</v>
      </c>
      <c r="H1674" s="134" t="str">
        <f>_xlfn.XLOOKUP(Table1[[#This Row],[Account_ID]], Accounts[ID], Accounts[Account'#], "Unknown")</f>
        <v>4618</v>
      </c>
      <c r="I1674" s="135" t="str">
        <f>_xlfn.XLOOKUP(_xlfn.XLOOKUP(Table1[[#This Row],[Account]],Accounts[Account nickname],Accounts[Institution ID]),Institutions[ID],Institutions[Institution nickname],"Unknown")</f>
        <v>Discover</v>
      </c>
      <c r="J1674" s="136" t="s">
        <v>2983</v>
      </c>
      <c r="K1674" s="137" t="s">
        <v>843</v>
      </c>
      <c r="L1674" s="137" t="s">
        <v>841</v>
      </c>
      <c r="M167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7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74" s="138" t="str" cm="1">
        <f t="array" ref="O1674">IFERROR(INDEX(CategoriesTable[Category type],MATCH(Table1[[#This Row],[Category]],CategoriesTable[Category name],0),0),"")</f>
        <v/>
      </c>
      <c r="P1674" s="138">
        <v>1</v>
      </c>
      <c r="Q1674" s="138">
        <f>MONTH(Table1[[#This Row],[Date]])</f>
        <v>10</v>
      </c>
      <c r="R1674" s="138">
        <v>2020</v>
      </c>
      <c r="S1674" s="139">
        <f>IF(ISBLANK(Table1[[#This Row],[Date]]),"",Table1[[#This Row],[Date]]-WEEKDAY(Table1[[#This Row],[Date]],2)+1)</f>
        <v>44102</v>
      </c>
      <c r="T1674" s="140">
        <f>IF(ISBLANK(Table1[[#This Row],[Date]]),"",DATE(Table1[[#This Row],[Date_Year]],Table1[[#This Row],[Date_Month]],1))</f>
        <v>44105</v>
      </c>
    </row>
    <row r="1675" spans="2:20" ht="15.75">
      <c r="B1675" s="154">
        <v>44105</v>
      </c>
      <c r="C1675" s="119" t="s">
        <v>2982</v>
      </c>
      <c r="D1675" s="119"/>
      <c r="E1675" s="119"/>
      <c r="F1675" s="155">
        <v>-20</v>
      </c>
      <c r="G1675" s="133" t="str">
        <f>_xlfn.XLOOKUP(Table1[[#This Row],[Account_ID]], Accounts[ID], Accounts[Account nickname], "Unknown")</f>
        <v>Discover</v>
      </c>
      <c r="H1675" s="134" t="str">
        <f>_xlfn.XLOOKUP(Table1[[#This Row],[Account_ID]], Accounts[ID], Accounts[Account'#], "Unknown")</f>
        <v>4618</v>
      </c>
      <c r="I1675" s="135" t="str">
        <f>_xlfn.XLOOKUP(_xlfn.XLOOKUP(Table1[[#This Row],[Account]],Accounts[Account nickname],Accounts[Institution ID]),Institutions[ID],Institutions[Institution nickname],"Unknown")</f>
        <v>Discover</v>
      </c>
      <c r="J1675" s="136" t="s">
        <v>2985</v>
      </c>
      <c r="K1675" s="137" t="s">
        <v>843</v>
      </c>
      <c r="L1675" s="137" t="s">
        <v>841</v>
      </c>
      <c r="M167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7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75" s="138" t="str" cm="1">
        <f t="array" ref="O1675">IFERROR(INDEX(CategoriesTable[Category type],MATCH(Table1[[#This Row],[Category]],CategoriesTable[Category name],0),0),"")</f>
        <v/>
      </c>
      <c r="P1675" s="138">
        <v>1</v>
      </c>
      <c r="Q1675" s="138">
        <f>MONTH(Table1[[#This Row],[Date]])</f>
        <v>10</v>
      </c>
      <c r="R1675" s="138">
        <v>2020</v>
      </c>
      <c r="S1675" s="139">
        <f>IF(ISBLANK(Table1[[#This Row],[Date]]),"",Table1[[#This Row],[Date]]-WEEKDAY(Table1[[#This Row],[Date]],2)+1)</f>
        <v>44102</v>
      </c>
      <c r="T1675" s="140">
        <f>IF(ISBLANK(Table1[[#This Row],[Date]]),"",DATE(Table1[[#This Row],[Date_Year]],Table1[[#This Row],[Date_Month]],1))</f>
        <v>44105</v>
      </c>
    </row>
    <row r="1676" spans="2:20" ht="15.75">
      <c r="B1676" s="154">
        <v>44105</v>
      </c>
      <c r="C1676" s="119" t="s">
        <v>2381</v>
      </c>
      <c r="D1676" s="119"/>
      <c r="E1676" s="119"/>
      <c r="F1676" s="155">
        <v>-5.1100000000000003</v>
      </c>
      <c r="G1676" s="133" t="str">
        <f>_xlfn.XLOOKUP(Table1[[#This Row],[Account_ID]], Accounts[ID], Accounts[Account nickname], "Unknown")</f>
        <v>Discover</v>
      </c>
      <c r="H1676" s="134" t="str">
        <f>_xlfn.XLOOKUP(Table1[[#This Row],[Account_ID]], Accounts[ID], Accounts[Account'#], "Unknown")</f>
        <v>4618</v>
      </c>
      <c r="I1676" s="135" t="str">
        <f>_xlfn.XLOOKUP(_xlfn.XLOOKUP(Table1[[#This Row],[Account]],Accounts[Account nickname],Accounts[Institution ID]),Institutions[ID],Institutions[Institution nickname],"Unknown")</f>
        <v>Discover</v>
      </c>
      <c r="J1676" s="136" t="s">
        <v>2987</v>
      </c>
      <c r="K1676" s="137" t="s">
        <v>843</v>
      </c>
      <c r="L1676" s="137" t="s">
        <v>841</v>
      </c>
      <c r="M167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7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76" s="138" t="str" cm="1">
        <f t="array" ref="O1676">IFERROR(INDEX(CategoriesTable[Category type],MATCH(Table1[[#This Row],[Category]],CategoriesTable[Category name],0),0),"")</f>
        <v/>
      </c>
      <c r="P1676" s="138">
        <v>1</v>
      </c>
      <c r="Q1676" s="138">
        <f>MONTH(Table1[[#This Row],[Date]])</f>
        <v>10</v>
      </c>
      <c r="R1676" s="138">
        <v>2020</v>
      </c>
      <c r="S1676" s="139">
        <f>IF(ISBLANK(Table1[[#This Row],[Date]]),"",Table1[[#This Row],[Date]]-WEEKDAY(Table1[[#This Row],[Date]],2)+1)</f>
        <v>44102</v>
      </c>
      <c r="T1676" s="140">
        <f>IF(ISBLANK(Table1[[#This Row],[Date]]),"",DATE(Table1[[#This Row],[Date_Year]],Table1[[#This Row],[Date_Month]],1))</f>
        <v>44105</v>
      </c>
    </row>
    <row r="1677" spans="2:20" ht="15.75">
      <c r="B1677" s="154">
        <v>44105</v>
      </c>
      <c r="C1677" s="119" t="s">
        <v>697</v>
      </c>
      <c r="D1677" s="119"/>
      <c r="E1677" s="119"/>
      <c r="F1677" s="155">
        <v>-12.99</v>
      </c>
      <c r="G1677" s="133" t="str">
        <f>_xlfn.XLOOKUP(Table1[[#This Row],[Account_ID]], Accounts[ID], Accounts[Account nickname], "Unknown")</f>
        <v>Discover</v>
      </c>
      <c r="H1677" s="134" t="str">
        <f>_xlfn.XLOOKUP(Table1[[#This Row],[Account_ID]], Accounts[ID], Accounts[Account'#], "Unknown")</f>
        <v>4618</v>
      </c>
      <c r="I1677" s="135" t="str">
        <f>_xlfn.XLOOKUP(_xlfn.XLOOKUP(Table1[[#This Row],[Account]],Accounts[Account nickname],Accounts[Institution ID]),Institutions[ID],Institutions[Institution nickname],"Unknown")</f>
        <v>Discover</v>
      </c>
      <c r="J1677" s="136" t="s">
        <v>2986</v>
      </c>
      <c r="K1677" s="137" t="s">
        <v>843</v>
      </c>
      <c r="L1677" s="137" t="s">
        <v>841</v>
      </c>
      <c r="M167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7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77" s="138" t="str" cm="1">
        <f t="array" ref="O1677">IFERROR(INDEX(CategoriesTable[Category type],MATCH(Table1[[#This Row],[Category]],CategoriesTable[Category name],0),0),"")</f>
        <v/>
      </c>
      <c r="P1677" s="138">
        <v>1</v>
      </c>
      <c r="Q1677" s="138">
        <f>MONTH(Table1[[#This Row],[Date]])</f>
        <v>10</v>
      </c>
      <c r="R1677" s="138">
        <v>2020</v>
      </c>
      <c r="S1677" s="139">
        <f>IF(ISBLANK(Table1[[#This Row],[Date]]),"",Table1[[#This Row],[Date]]-WEEKDAY(Table1[[#This Row],[Date]],2)+1)</f>
        <v>44102</v>
      </c>
      <c r="T1677" s="140">
        <f>IF(ISBLANK(Table1[[#This Row],[Date]]),"",DATE(Table1[[#This Row],[Date_Year]],Table1[[#This Row],[Date_Month]],1))</f>
        <v>44105</v>
      </c>
    </row>
    <row r="1678" spans="2:20" ht="15.75">
      <c r="B1678" s="154">
        <v>44104</v>
      </c>
      <c r="C1678" s="119" t="s">
        <v>2982</v>
      </c>
      <c r="D1678" s="119"/>
      <c r="E1678" s="119"/>
      <c r="F1678" s="155">
        <v>-10</v>
      </c>
      <c r="G1678" s="133" t="str">
        <f>_xlfn.XLOOKUP(Table1[[#This Row],[Account_ID]], Accounts[ID], Accounts[Account nickname], "Unknown")</f>
        <v>Discover</v>
      </c>
      <c r="H1678" s="134" t="str">
        <f>_xlfn.XLOOKUP(Table1[[#This Row],[Account_ID]], Accounts[ID], Accounts[Account'#], "Unknown")</f>
        <v>4618</v>
      </c>
      <c r="I1678" s="135" t="str">
        <f>_xlfn.XLOOKUP(_xlfn.XLOOKUP(Table1[[#This Row],[Account]],Accounts[Account nickname],Accounts[Institution ID]),Institutions[ID],Institutions[Institution nickname],"Unknown")</f>
        <v>Discover</v>
      </c>
      <c r="J1678" s="136" t="s">
        <v>2990</v>
      </c>
      <c r="K1678" s="137" t="s">
        <v>843</v>
      </c>
      <c r="L1678" s="137" t="s">
        <v>841</v>
      </c>
      <c r="M167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7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78" s="138" t="str" cm="1">
        <f t="array" ref="O1678">IFERROR(INDEX(CategoriesTable[Category type],MATCH(Table1[[#This Row],[Category]],CategoriesTable[Category name],0),0),"")</f>
        <v/>
      </c>
      <c r="P1678" s="138">
        <v>30</v>
      </c>
      <c r="Q1678" s="138">
        <f>MONTH(Table1[[#This Row],[Date]])</f>
        <v>9</v>
      </c>
      <c r="R1678" s="138">
        <v>2020</v>
      </c>
      <c r="S1678" s="139">
        <f>IF(ISBLANK(Table1[[#This Row],[Date]]),"",Table1[[#This Row],[Date]]-WEEKDAY(Table1[[#This Row],[Date]],2)+1)</f>
        <v>44102</v>
      </c>
      <c r="T1678" s="140">
        <f>IF(ISBLANK(Table1[[#This Row],[Date]]),"",DATE(Table1[[#This Row],[Date_Year]],Table1[[#This Row],[Date_Month]],1))</f>
        <v>44075</v>
      </c>
    </row>
    <row r="1679" spans="2:20" ht="15.75">
      <c r="B1679" s="154">
        <v>44104</v>
      </c>
      <c r="C1679" s="119" t="s">
        <v>709</v>
      </c>
      <c r="D1679" s="119"/>
      <c r="E1679" s="119"/>
      <c r="F1679" s="155">
        <v>119</v>
      </c>
      <c r="G1679" s="133" t="str">
        <f>_xlfn.XLOOKUP(Table1[[#This Row],[Account_ID]], Accounts[ID], Accounts[Account nickname], "Unknown")</f>
        <v>Discover</v>
      </c>
      <c r="H1679" s="134" t="str">
        <f>_xlfn.XLOOKUP(Table1[[#This Row],[Account_ID]], Accounts[ID], Accounts[Account'#], "Unknown")</f>
        <v>4618</v>
      </c>
      <c r="I1679" s="135" t="str">
        <f>_xlfn.XLOOKUP(_xlfn.XLOOKUP(Table1[[#This Row],[Account]],Accounts[Account nickname],Accounts[Institution ID]),Institutions[ID],Institutions[Institution nickname],"Unknown")</f>
        <v>Discover</v>
      </c>
      <c r="J1679" s="136" t="s">
        <v>2988</v>
      </c>
      <c r="K1679" s="137" t="s">
        <v>843</v>
      </c>
      <c r="L1679" s="137" t="s">
        <v>841</v>
      </c>
      <c r="M167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7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79" s="138" t="str" cm="1">
        <f t="array" ref="O1679">IFERROR(INDEX(CategoriesTable[Category type],MATCH(Table1[[#This Row],[Category]],CategoriesTable[Category name],0),0),"")</f>
        <v/>
      </c>
      <c r="P1679" s="138">
        <v>30</v>
      </c>
      <c r="Q1679" s="138">
        <f>MONTH(Table1[[#This Row],[Date]])</f>
        <v>9</v>
      </c>
      <c r="R1679" s="138">
        <v>2020</v>
      </c>
      <c r="S1679" s="139">
        <f>IF(ISBLANK(Table1[[#This Row],[Date]]),"",Table1[[#This Row],[Date]]-WEEKDAY(Table1[[#This Row],[Date]],2)+1)</f>
        <v>44102</v>
      </c>
      <c r="T1679" s="140">
        <f>IF(ISBLANK(Table1[[#This Row],[Date]]),"",DATE(Table1[[#This Row],[Date_Year]],Table1[[#This Row],[Date_Month]],1))</f>
        <v>44075</v>
      </c>
    </row>
    <row r="1680" spans="2:20" ht="15.75">
      <c r="B1680" s="154">
        <v>44104</v>
      </c>
      <c r="C1680" s="119" t="s">
        <v>709</v>
      </c>
      <c r="D1680" s="119"/>
      <c r="E1680" s="119"/>
      <c r="F1680" s="155">
        <v>-119</v>
      </c>
      <c r="G1680" s="133" t="str">
        <f>_xlfn.XLOOKUP(Table1[[#This Row],[Account_ID]], Accounts[ID], Accounts[Account nickname], "Unknown")</f>
        <v>Discover</v>
      </c>
      <c r="H1680" s="134" t="str">
        <f>_xlfn.XLOOKUP(Table1[[#This Row],[Account_ID]], Accounts[ID], Accounts[Account'#], "Unknown")</f>
        <v>4618</v>
      </c>
      <c r="I1680" s="135" t="str">
        <f>_xlfn.XLOOKUP(_xlfn.XLOOKUP(Table1[[#This Row],[Account]],Accounts[Account nickname],Accounts[Institution ID]),Institutions[ID],Institutions[Institution nickname],"Unknown")</f>
        <v>Discover</v>
      </c>
      <c r="J1680" s="136" t="s">
        <v>2989</v>
      </c>
      <c r="K1680" s="137" t="s">
        <v>843</v>
      </c>
      <c r="L1680" s="137" t="s">
        <v>841</v>
      </c>
      <c r="M168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8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80" s="138" t="str" cm="1">
        <f t="array" ref="O1680">IFERROR(INDEX(CategoriesTable[Category type],MATCH(Table1[[#This Row],[Category]],CategoriesTable[Category name],0),0),"")</f>
        <v/>
      </c>
      <c r="P1680" s="138">
        <v>30</v>
      </c>
      <c r="Q1680" s="138">
        <f>MONTH(Table1[[#This Row],[Date]])</f>
        <v>9</v>
      </c>
      <c r="R1680" s="138">
        <v>2020</v>
      </c>
      <c r="S1680" s="139">
        <f>IF(ISBLANK(Table1[[#This Row],[Date]]),"",Table1[[#This Row],[Date]]-WEEKDAY(Table1[[#This Row],[Date]],2)+1)</f>
        <v>44102</v>
      </c>
      <c r="T1680" s="140">
        <f>IF(ISBLANK(Table1[[#This Row],[Date]]),"",DATE(Table1[[#This Row],[Date_Year]],Table1[[#This Row],[Date_Month]],1))</f>
        <v>44075</v>
      </c>
    </row>
    <row r="1681" spans="2:20" ht="15.75">
      <c r="B1681" s="154">
        <v>44103</v>
      </c>
      <c r="C1681" s="119" t="s">
        <v>2991</v>
      </c>
      <c r="D1681" s="119"/>
      <c r="E1681" s="119"/>
      <c r="F1681" s="155">
        <v>-55</v>
      </c>
      <c r="G1681" s="133" t="str">
        <f>_xlfn.XLOOKUP(Table1[[#This Row],[Account_ID]], Accounts[ID], Accounts[Account nickname], "Unknown")</f>
        <v>Discover</v>
      </c>
      <c r="H1681" s="134" t="str">
        <f>_xlfn.XLOOKUP(Table1[[#This Row],[Account_ID]], Accounts[ID], Accounts[Account'#], "Unknown")</f>
        <v>4618</v>
      </c>
      <c r="I1681" s="135" t="str">
        <f>_xlfn.XLOOKUP(_xlfn.XLOOKUP(Table1[[#This Row],[Account]],Accounts[Account nickname],Accounts[Institution ID]),Institutions[ID],Institutions[Institution nickname],"Unknown")</f>
        <v>Discover</v>
      </c>
      <c r="J1681" s="136" t="s">
        <v>2992</v>
      </c>
      <c r="K1681" s="137" t="s">
        <v>843</v>
      </c>
      <c r="L1681" s="137" t="s">
        <v>841</v>
      </c>
      <c r="M168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8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81" s="138" t="str" cm="1">
        <f t="array" ref="O1681">IFERROR(INDEX(CategoriesTable[Category type],MATCH(Table1[[#This Row],[Category]],CategoriesTable[Category name],0),0),"")</f>
        <v/>
      </c>
      <c r="P1681" s="138">
        <v>29</v>
      </c>
      <c r="Q1681" s="138">
        <f>MONTH(Table1[[#This Row],[Date]])</f>
        <v>9</v>
      </c>
      <c r="R1681" s="138">
        <v>2020</v>
      </c>
      <c r="S1681" s="139">
        <f>IF(ISBLANK(Table1[[#This Row],[Date]]),"",Table1[[#This Row],[Date]]-WEEKDAY(Table1[[#This Row],[Date]],2)+1)</f>
        <v>44102</v>
      </c>
      <c r="T1681" s="140">
        <f>IF(ISBLANK(Table1[[#This Row],[Date]]),"",DATE(Table1[[#This Row],[Date_Year]],Table1[[#This Row],[Date_Month]],1))</f>
        <v>44075</v>
      </c>
    </row>
    <row r="1682" spans="2:20" ht="15.75">
      <c r="B1682" s="154">
        <v>44102</v>
      </c>
      <c r="C1682" s="119" t="s">
        <v>771</v>
      </c>
      <c r="D1682" s="119"/>
      <c r="E1682" s="119"/>
      <c r="F1682" s="155">
        <v>520</v>
      </c>
      <c r="G1682" s="133" t="str">
        <f>_xlfn.XLOOKUP(Table1[[#This Row],[Account_ID]], Accounts[ID], Accounts[Account nickname], "Unknown")</f>
        <v>WF</v>
      </c>
      <c r="H1682" s="134" t="str">
        <f>_xlfn.XLOOKUP(Table1[[#This Row],[Account_ID]], Accounts[ID], Accounts[Account'#], "Unknown")</f>
        <v>4636</v>
      </c>
      <c r="I1682" s="135" t="str">
        <f>_xlfn.XLOOKUP(_xlfn.XLOOKUP(Table1[[#This Row],[Account]],Accounts[Account nickname],Accounts[Institution ID]),Institutions[ID],Institutions[Institution nickname],"Unknown")</f>
        <v>Wells Fargo</v>
      </c>
      <c r="J1682" s="136" t="s">
        <v>1302</v>
      </c>
      <c r="K1682" s="137" t="s">
        <v>808</v>
      </c>
      <c r="L1682" s="137" t="s">
        <v>807</v>
      </c>
      <c r="M168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8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82" s="138" t="str" cm="1">
        <f t="array" ref="O1682">IFERROR(INDEX(CategoriesTable[Category type],MATCH(Table1[[#This Row],[Category]],CategoriesTable[Category name],0),0),"")</f>
        <v/>
      </c>
      <c r="P1682" s="138">
        <v>28</v>
      </c>
      <c r="Q1682" s="138">
        <f>MONTH(Table1[[#This Row],[Date]])</f>
        <v>9</v>
      </c>
      <c r="R1682" s="138">
        <v>2020</v>
      </c>
      <c r="S1682" s="139">
        <f>IF(ISBLANK(Table1[[#This Row],[Date]]),"",Table1[[#This Row],[Date]]-WEEKDAY(Table1[[#This Row],[Date]],2)+1)</f>
        <v>44102</v>
      </c>
      <c r="T1682" s="140">
        <f>IF(ISBLANK(Table1[[#This Row],[Date]]),"",DATE(Table1[[#This Row],[Date_Year]],Table1[[#This Row],[Date_Month]],1))</f>
        <v>44075</v>
      </c>
    </row>
    <row r="1683" spans="2:20" ht="15.75">
      <c r="B1683" s="154">
        <v>44102</v>
      </c>
      <c r="C1683" s="119" t="s">
        <v>2993</v>
      </c>
      <c r="D1683" s="119"/>
      <c r="E1683" s="119"/>
      <c r="F1683" s="155">
        <v>-5</v>
      </c>
      <c r="G1683" s="133" t="str">
        <f>_xlfn.XLOOKUP(Table1[[#This Row],[Account_ID]], Accounts[ID], Accounts[Account nickname], "Unknown")</f>
        <v>Discover</v>
      </c>
      <c r="H1683" s="134" t="str">
        <f>_xlfn.XLOOKUP(Table1[[#This Row],[Account_ID]], Accounts[ID], Accounts[Account'#], "Unknown")</f>
        <v>4618</v>
      </c>
      <c r="I1683" s="135" t="str">
        <f>_xlfn.XLOOKUP(_xlfn.XLOOKUP(Table1[[#This Row],[Account]],Accounts[Account nickname],Accounts[Institution ID]),Institutions[ID],Institutions[Institution nickname],"Unknown")</f>
        <v>Discover</v>
      </c>
      <c r="J1683" s="136" t="s">
        <v>2994</v>
      </c>
      <c r="K1683" s="137" t="s">
        <v>843</v>
      </c>
      <c r="L1683" s="137" t="s">
        <v>841</v>
      </c>
      <c r="M168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8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83" s="138" t="str" cm="1">
        <f t="array" ref="O1683">IFERROR(INDEX(CategoriesTable[Category type],MATCH(Table1[[#This Row],[Category]],CategoriesTable[Category name],0),0),"")</f>
        <v/>
      </c>
      <c r="P1683" s="138">
        <v>28</v>
      </c>
      <c r="Q1683" s="138">
        <f>MONTH(Table1[[#This Row],[Date]])</f>
        <v>9</v>
      </c>
      <c r="R1683" s="138">
        <v>2020</v>
      </c>
      <c r="S1683" s="139">
        <f>IF(ISBLANK(Table1[[#This Row],[Date]]),"",Table1[[#This Row],[Date]]-WEEKDAY(Table1[[#This Row],[Date]],2)+1)</f>
        <v>44102</v>
      </c>
      <c r="T1683" s="140">
        <f>IF(ISBLANK(Table1[[#This Row],[Date]]),"",DATE(Table1[[#This Row],[Date_Year]],Table1[[#This Row],[Date_Month]],1))</f>
        <v>44075</v>
      </c>
    </row>
    <row r="1684" spans="2:20" ht="15.75">
      <c r="B1684" s="154">
        <v>44102</v>
      </c>
      <c r="C1684" s="119" t="s">
        <v>678</v>
      </c>
      <c r="D1684" s="119"/>
      <c r="E1684" s="119"/>
      <c r="F1684" s="155">
        <v>74.2</v>
      </c>
      <c r="G1684" s="133" t="str">
        <f>_xlfn.XLOOKUP(Table1[[#This Row],[Account_ID]], Accounts[ID], Accounts[Account nickname], "Unknown")</f>
        <v>WF</v>
      </c>
      <c r="H1684" s="134" t="str">
        <f>_xlfn.XLOOKUP(Table1[[#This Row],[Account_ID]], Accounts[ID], Accounts[Account'#], "Unknown")</f>
        <v>4636</v>
      </c>
      <c r="I1684" s="135" t="str">
        <f>_xlfn.XLOOKUP(_xlfn.XLOOKUP(Table1[[#This Row],[Account]],Accounts[Account nickname],Accounts[Institution ID]),Institutions[ID],Institutions[Institution nickname],"Unknown")</f>
        <v>Wells Fargo</v>
      </c>
      <c r="J1684" s="136" t="s">
        <v>1303</v>
      </c>
      <c r="K1684" s="137" t="s">
        <v>808</v>
      </c>
      <c r="L1684" s="137" t="s">
        <v>807</v>
      </c>
      <c r="M168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8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84" s="138" t="str" cm="1">
        <f t="array" ref="O1684">IFERROR(INDEX(CategoriesTable[Category type],MATCH(Table1[[#This Row],[Category]],CategoriesTable[Category name],0),0),"")</f>
        <v/>
      </c>
      <c r="P1684" s="138">
        <v>28</v>
      </c>
      <c r="Q1684" s="138">
        <f>MONTH(Table1[[#This Row],[Date]])</f>
        <v>9</v>
      </c>
      <c r="R1684" s="138">
        <v>2020</v>
      </c>
      <c r="S1684" s="139">
        <f>IF(ISBLANK(Table1[[#This Row],[Date]]),"",Table1[[#This Row],[Date]]-WEEKDAY(Table1[[#This Row],[Date]],2)+1)</f>
        <v>44102</v>
      </c>
      <c r="T1684" s="140">
        <f>IF(ISBLANK(Table1[[#This Row],[Date]]),"",DATE(Table1[[#This Row],[Date_Year]],Table1[[#This Row],[Date_Month]],1))</f>
        <v>44075</v>
      </c>
    </row>
    <row r="1685" spans="2:20" ht="15.75">
      <c r="B1685" s="154">
        <v>44102</v>
      </c>
      <c r="C1685" s="119" t="s">
        <v>791</v>
      </c>
      <c r="D1685" s="119"/>
      <c r="E1685" s="119"/>
      <c r="F1685" s="155">
        <v>-9.9499999999999993</v>
      </c>
      <c r="G1685" s="133" t="str">
        <f>_xlfn.XLOOKUP(Table1[[#This Row],[Account_ID]], Accounts[ID], Accounts[Account nickname], "Unknown")</f>
        <v>WF</v>
      </c>
      <c r="H1685" s="134" t="str">
        <f>_xlfn.XLOOKUP(Table1[[#This Row],[Account_ID]], Accounts[ID], Accounts[Account'#], "Unknown")</f>
        <v>4636</v>
      </c>
      <c r="I1685" s="135" t="str">
        <f>_xlfn.XLOOKUP(_xlfn.XLOOKUP(Table1[[#This Row],[Account]],Accounts[Account nickname],Accounts[Institution ID]),Institutions[ID],Institutions[Institution nickname],"Unknown")</f>
        <v>Wells Fargo</v>
      </c>
      <c r="J1685" s="136" t="s">
        <v>1301</v>
      </c>
      <c r="K1685" s="137" t="s">
        <v>808</v>
      </c>
      <c r="L1685" s="137" t="s">
        <v>807</v>
      </c>
      <c r="M168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8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85" s="138" t="str" cm="1">
        <f t="array" ref="O1685">IFERROR(INDEX(CategoriesTable[Category type],MATCH(Table1[[#This Row],[Category]],CategoriesTable[Category name],0),0),"")</f>
        <v/>
      </c>
      <c r="P1685" s="138">
        <v>28</v>
      </c>
      <c r="Q1685" s="138">
        <f>MONTH(Table1[[#This Row],[Date]])</f>
        <v>9</v>
      </c>
      <c r="R1685" s="138">
        <v>2020</v>
      </c>
      <c r="S1685" s="139">
        <f>IF(ISBLANK(Table1[[#This Row],[Date]]),"",Table1[[#This Row],[Date]]-WEEKDAY(Table1[[#This Row],[Date]],2)+1)</f>
        <v>44102</v>
      </c>
      <c r="T1685" s="140">
        <f>IF(ISBLANK(Table1[[#This Row],[Date]]),"",DATE(Table1[[#This Row],[Date_Year]],Table1[[#This Row],[Date_Month]],1))</f>
        <v>44075</v>
      </c>
    </row>
    <row r="1686" spans="2:20" ht="15.75">
      <c r="B1686" s="154">
        <v>44102</v>
      </c>
      <c r="C1686" s="119" t="s">
        <v>2590</v>
      </c>
      <c r="D1686" s="119"/>
      <c r="E1686" s="119"/>
      <c r="F1686" s="155">
        <v>-2.04</v>
      </c>
      <c r="G1686" s="133" t="str">
        <f>_xlfn.XLOOKUP(Table1[[#This Row],[Account_ID]], Accounts[ID], Accounts[Account nickname], "Unknown")</f>
        <v>Discover</v>
      </c>
      <c r="H1686" s="134" t="str">
        <f>_xlfn.XLOOKUP(Table1[[#This Row],[Account_ID]], Accounts[ID], Accounts[Account'#], "Unknown")</f>
        <v>4618</v>
      </c>
      <c r="I1686" s="135" t="str">
        <f>_xlfn.XLOOKUP(_xlfn.XLOOKUP(Table1[[#This Row],[Account]],Accounts[Account nickname],Accounts[Institution ID]),Institutions[ID],Institutions[Institution nickname],"Unknown")</f>
        <v>Discover</v>
      </c>
      <c r="J1686" s="136" t="s">
        <v>2995</v>
      </c>
      <c r="K1686" s="137" t="s">
        <v>843</v>
      </c>
      <c r="L1686" s="137" t="s">
        <v>841</v>
      </c>
      <c r="M168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8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86" s="138" t="str" cm="1">
        <f t="array" ref="O1686">IFERROR(INDEX(CategoriesTable[Category type],MATCH(Table1[[#This Row],[Category]],CategoriesTable[Category name],0),0),"")</f>
        <v/>
      </c>
      <c r="P1686" s="138">
        <v>28</v>
      </c>
      <c r="Q1686" s="138">
        <f>MONTH(Table1[[#This Row],[Date]])</f>
        <v>9</v>
      </c>
      <c r="R1686" s="138">
        <v>2020</v>
      </c>
      <c r="S1686" s="139">
        <f>IF(ISBLANK(Table1[[#This Row],[Date]]),"",Table1[[#This Row],[Date]]-WEEKDAY(Table1[[#This Row],[Date]],2)+1)</f>
        <v>44102</v>
      </c>
      <c r="T1686" s="140">
        <f>IF(ISBLANK(Table1[[#This Row],[Date]]),"",DATE(Table1[[#This Row],[Date_Year]],Table1[[#This Row],[Date_Month]],1))</f>
        <v>44075</v>
      </c>
    </row>
    <row r="1687" spans="2:20" ht="15.75">
      <c r="B1687" s="154">
        <v>44101</v>
      </c>
      <c r="C1687" s="119" t="s">
        <v>2998</v>
      </c>
      <c r="D1687" s="119"/>
      <c r="E1687" s="119"/>
      <c r="F1687" s="155">
        <v>-54.45</v>
      </c>
      <c r="G1687" s="133" t="str">
        <f>_xlfn.XLOOKUP(Table1[[#This Row],[Account_ID]], Accounts[ID], Accounts[Account nickname], "Unknown")</f>
        <v>Discover</v>
      </c>
      <c r="H1687" s="134" t="str">
        <f>_xlfn.XLOOKUP(Table1[[#This Row],[Account_ID]], Accounts[ID], Accounts[Account'#], "Unknown")</f>
        <v>4618</v>
      </c>
      <c r="I1687" s="135" t="str">
        <f>_xlfn.XLOOKUP(_xlfn.XLOOKUP(Table1[[#This Row],[Account]],Accounts[Account nickname],Accounts[Institution ID]),Institutions[ID],Institutions[Institution nickname],"Unknown")</f>
        <v>Discover</v>
      </c>
      <c r="J1687" s="136" t="s">
        <v>2999</v>
      </c>
      <c r="K1687" s="137" t="s">
        <v>843</v>
      </c>
      <c r="L1687" s="137" t="s">
        <v>841</v>
      </c>
      <c r="M168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8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87" s="138" t="str" cm="1">
        <f t="array" ref="O1687">IFERROR(INDEX(CategoriesTable[Category type],MATCH(Table1[[#This Row],[Category]],CategoriesTable[Category name],0),0),"")</f>
        <v/>
      </c>
      <c r="P1687" s="138">
        <v>27</v>
      </c>
      <c r="Q1687" s="138">
        <f>MONTH(Table1[[#This Row],[Date]])</f>
        <v>9</v>
      </c>
      <c r="R1687" s="138">
        <v>2020</v>
      </c>
      <c r="S1687" s="139">
        <f>IF(ISBLANK(Table1[[#This Row],[Date]]),"",Table1[[#This Row],[Date]]-WEEKDAY(Table1[[#This Row],[Date]],2)+1)</f>
        <v>44095</v>
      </c>
      <c r="T1687" s="140">
        <f>IF(ISBLANK(Table1[[#This Row],[Date]]),"",DATE(Table1[[#This Row],[Date_Year]],Table1[[#This Row],[Date_Month]],1))</f>
        <v>44075</v>
      </c>
    </row>
    <row r="1688" spans="2:20" ht="15.75">
      <c r="B1688" s="154">
        <v>44101</v>
      </c>
      <c r="C1688" s="119" t="s">
        <v>860</v>
      </c>
      <c r="D1688" s="119"/>
      <c r="E1688" s="119"/>
      <c r="F1688" s="155">
        <v>147.41</v>
      </c>
      <c r="G1688" s="133" t="str">
        <f>_xlfn.XLOOKUP(Table1[[#This Row],[Account_ID]], Accounts[ID], Accounts[Account nickname], "Unknown")</f>
        <v>Discover</v>
      </c>
      <c r="H1688" s="134" t="str">
        <f>_xlfn.XLOOKUP(Table1[[#This Row],[Account_ID]], Accounts[ID], Accounts[Account'#], "Unknown")</f>
        <v>4618</v>
      </c>
      <c r="I1688" s="135" t="str">
        <f>_xlfn.XLOOKUP(_xlfn.XLOOKUP(Table1[[#This Row],[Account]],Accounts[Account nickname],Accounts[Institution ID]),Institutions[ID],Institutions[Institution nickname],"Unknown")</f>
        <v>Discover</v>
      </c>
      <c r="J1688" s="136" t="s">
        <v>2997</v>
      </c>
      <c r="K1688" s="137" t="s">
        <v>843</v>
      </c>
      <c r="L1688" s="137" t="s">
        <v>841</v>
      </c>
      <c r="M168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8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88" s="138" t="str" cm="1">
        <f t="array" ref="O1688">IFERROR(INDEX(CategoriesTable[Category type],MATCH(Table1[[#This Row],[Category]],CategoriesTable[Category name],0),0),"")</f>
        <v/>
      </c>
      <c r="P1688" s="138">
        <v>27</v>
      </c>
      <c r="Q1688" s="138">
        <f>MONTH(Table1[[#This Row],[Date]])</f>
        <v>9</v>
      </c>
      <c r="R1688" s="138">
        <v>2020</v>
      </c>
      <c r="S1688" s="139">
        <f>IF(ISBLANK(Table1[[#This Row],[Date]]),"",Table1[[#This Row],[Date]]-WEEKDAY(Table1[[#This Row],[Date]],2)+1)</f>
        <v>44095</v>
      </c>
      <c r="T1688" s="140">
        <f>IF(ISBLANK(Table1[[#This Row],[Date]]),"",DATE(Table1[[#This Row],[Date_Year]],Table1[[#This Row],[Date_Month]],1))</f>
        <v>44075</v>
      </c>
    </row>
    <row r="1689" spans="2:20" ht="15.75">
      <c r="B1689" s="154">
        <v>44101</v>
      </c>
      <c r="C1689" s="119" t="s">
        <v>2771</v>
      </c>
      <c r="D1689" s="119"/>
      <c r="E1689" s="119"/>
      <c r="F1689" s="155">
        <v>-9.9700000000000006</v>
      </c>
      <c r="G1689" s="133" t="str">
        <f>_xlfn.XLOOKUP(Table1[[#This Row],[Account_ID]], Accounts[ID], Accounts[Account nickname], "Unknown")</f>
        <v>Discover</v>
      </c>
      <c r="H1689" s="134" t="str">
        <f>_xlfn.XLOOKUP(Table1[[#This Row],[Account_ID]], Accounts[ID], Accounts[Account'#], "Unknown")</f>
        <v>4618</v>
      </c>
      <c r="I1689" s="135" t="str">
        <f>_xlfn.XLOOKUP(_xlfn.XLOOKUP(Table1[[#This Row],[Account]],Accounts[Account nickname],Accounts[Institution ID]),Institutions[ID],Institutions[Institution nickname],"Unknown")</f>
        <v>Discover</v>
      </c>
      <c r="J1689" s="136" t="s">
        <v>2996</v>
      </c>
      <c r="K1689" s="137" t="s">
        <v>843</v>
      </c>
      <c r="L1689" s="137" t="s">
        <v>841</v>
      </c>
      <c r="M168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8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89" s="138" t="str" cm="1">
        <f t="array" ref="O1689">IFERROR(INDEX(CategoriesTable[Category type],MATCH(Table1[[#This Row],[Category]],CategoriesTable[Category name],0),0),"")</f>
        <v/>
      </c>
      <c r="P1689" s="138">
        <v>27</v>
      </c>
      <c r="Q1689" s="138">
        <f>MONTH(Table1[[#This Row],[Date]])</f>
        <v>9</v>
      </c>
      <c r="R1689" s="138">
        <v>2020</v>
      </c>
      <c r="S1689" s="139">
        <f>IF(ISBLANK(Table1[[#This Row],[Date]]),"",Table1[[#This Row],[Date]]-WEEKDAY(Table1[[#This Row],[Date]],2)+1)</f>
        <v>44095</v>
      </c>
      <c r="T1689" s="140">
        <f>IF(ISBLANK(Table1[[#This Row],[Date]]),"",DATE(Table1[[#This Row],[Date_Year]],Table1[[#This Row],[Date_Month]],1))</f>
        <v>44075</v>
      </c>
    </row>
    <row r="1690" spans="2:20" ht="15.75">
      <c r="B1690" s="154">
        <v>44099</v>
      </c>
      <c r="C1690" s="119" t="s">
        <v>845</v>
      </c>
      <c r="D1690" s="119"/>
      <c r="E1690" s="119"/>
      <c r="F1690" s="155">
        <v>800</v>
      </c>
      <c r="G1690" s="133" t="str">
        <f>_xlfn.XLOOKUP(Table1[[#This Row],[Account_ID]], Accounts[ID], Accounts[Account nickname], "Unknown")</f>
        <v>Discover</v>
      </c>
      <c r="H1690" s="134" t="str">
        <f>_xlfn.XLOOKUP(Table1[[#This Row],[Account_ID]], Accounts[ID], Accounts[Account'#], "Unknown")</f>
        <v>4618</v>
      </c>
      <c r="I1690" s="135" t="str">
        <f>_xlfn.XLOOKUP(_xlfn.XLOOKUP(Table1[[#This Row],[Account]],Accounts[Account nickname],Accounts[Institution ID]),Institutions[ID],Institutions[Institution nickname],"Unknown")</f>
        <v>Discover</v>
      </c>
      <c r="J1690" s="136" t="s">
        <v>3000</v>
      </c>
      <c r="K1690" s="137" t="s">
        <v>843</v>
      </c>
      <c r="L1690" s="137" t="s">
        <v>841</v>
      </c>
      <c r="M169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9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90" s="138" t="str" cm="1">
        <f t="array" ref="O1690">IFERROR(INDEX(CategoriesTable[Category type],MATCH(Table1[[#This Row],[Category]],CategoriesTable[Category name],0),0),"")</f>
        <v/>
      </c>
      <c r="P1690" s="138">
        <v>25</v>
      </c>
      <c r="Q1690" s="138">
        <f>MONTH(Table1[[#This Row],[Date]])</f>
        <v>9</v>
      </c>
      <c r="R1690" s="138">
        <v>2020</v>
      </c>
      <c r="S1690" s="139">
        <f>IF(ISBLANK(Table1[[#This Row],[Date]]),"",Table1[[#This Row],[Date]]-WEEKDAY(Table1[[#This Row],[Date]],2)+1)</f>
        <v>44095</v>
      </c>
      <c r="T1690" s="140">
        <f>IF(ISBLANK(Table1[[#This Row],[Date]]),"",DATE(Table1[[#This Row],[Date_Year]],Table1[[#This Row],[Date_Month]],1))</f>
        <v>44075</v>
      </c>
    </row>
    <row r="1691" spans="2:20" ht="15.75">
      <c r="B1691" s="154">
        <v>44099</v>
      </c>
      <c r="C1691" s="119" t="s">
        <v>678</v>
      </c>
      <c r="D1691" s="119"/>
      <c r="E1691" s="119"/>
      <c r="F1691" s="155">
        <v>-57.89</v>
      </c>
      <c r="G1691" s="133" t="str">
        <f>_xlfn.XLOOKUP(Table1[[#This Row],[Account_ID]], Accounts[ID], Accounts[Account nickname], "Unknown")</f>
        <v>WF</v>
      </c>
      <c r="H1691" s="134" t="str">
        <f>_xlfn.XLOOKUP(Table1[[#This Row],[Account_ID]], Accounts[ID], Accounts[Account'#], "Unknown")</f>
        <v>4636</v>
      </c>
      <c r="I1691" s="135" t="str">
        <f>_xlfn.XLOOKUP(_xlfn.XLOOKUP(Table1[[#This Row],[Account]],Accounts[Account nickname],Accounts[Institution ID]),Institutions[ID],Institutions[Institution nickname],"Unknown")</f>
        <v>Wells Fargo</v>
      </c>
      <c r="J1691" s="136" t="s">
        <v>1309</v>
      </c>
      <c r="K1691" s="137" t="s">
        <v>808</v>
      </c>
      <c r="L1691" s="137" t="s">
        <v>807</v>
      </c>
      <c r="M169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9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91" s="138" t="str" cm="1">
        <f t="array" ref="O1691">IFERROR(INDEX(CategoriesTable[Category type],MATCH(Table1[[#This Row],[Category]],CategoriesTable[Category name],0),0),"")</f>
        <v/>
      </c>
      <c r="P1691" s="138">
        <v>25</v>
      </c>
      <c r="Q1691" s="138">
        <f>MONTH(Table1[[#This Row],[Date]])</f>
        <v>9</v>
      </c>
      <c r="R1691" s="138">
        <v>2020</v>
      </c>
      <c r="S1691" s="139">
        <f>IF(ISBLANK(Table1[[#This Row],[Date]]),"",Table1[[#This Row],[Date]]-WEEKDAY(Table1[[#This Row],[Date]],2)+1)</f>
        <v>44095</v>
      </c>
      <c r="T1691" s="140">
        <f>IF(ISBLANK(Table1[[#This Row],[Date]]),"",DATE(Table1[[#This Row],[Date_Year]],Table1[[#This Row],[Date_Month]],1))</f>
        <v>44075</v>
      </c>
    </row>
    <row r="1692" spans="2:20" ht="15.75">
      <c r="B1692" s="154">
        <v>44099</v>
      </c>
      <c r="C1692" s="119" t="s">
        <v>1304</v>
      </c>
      <c r="D1692" s="119"/>
      <c r="E1692" s="119"/>
      <c r="F1692" s="155">
        <v>-3.95</v>
      </c>
      <c r="G1692" s="133" t="str">
        <f>_xlfn.XLOOKUP(Table1[[#This Row],[Account_ID]], Accounts[ID], Accounts[Account nickname], "Unknown")</f>
        <v>WF</v>
      </c>
      <c r="H1692" s="134" t="str">
        <f>_xlfn.XLOOKUP(Table1[[#This Row],[Account_ID]], Accounts[ID], Accounts[Account'#], "Unknown")</f>
        <v>4636</v>
      </c>
      <c r="I1692" s="135" t="str">
        <f>_xlfn.XLOOKUP(_xlfn.XLOOKUP(Table1[[#This Row],[Account]],Accounts[Account nickname],Accounts[Institution ID]),Institutions[ID],Institutions[Institution nickname],"Unknown")</f>
        <v>Wells Fargo</v>
      </c>
      <c r="J1692" s="136" t="s">
        <v>1305</v>
      </c>
      <c r="K1692" s="137" t="s">
        <v>808</v>
      </c>
      <c r="L1692" s="137" t="s">
        <v>807</v>
      </c>
      <c r="M169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9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92" s="138" t="str" cm="1">
        <f t="array" ref="O1692">IFERROR(INDEX(CategoriesTable[Category type],MATCH(Table1[[#This Row],[Category]],CategoriesTable[Category name],0),0),"")</f>
        <v/>
      </c>
      <c r="P1692" s="138">
        <v>25</v>
      </c>
      <c r="Q1692" s="138">
        <f>MONTH(Table1[[#This Row],[Date]])</f>
        <v>9</v>
      </c>
      <c r="R1692" s="138">
        <v>2020</v>
      </c>
      <c r="S1692" s="139">
        <f>IF(ISBLANK(Table1[[#This Row],[Date]]),"",Table1[[#This Row],[Date]]-WEEKDAY(Table1[[#This Row],[Date]],2)+1)</f>
        <v>44095</v>
      </c>
      <c r="T1692" s="140">
        <f>IF(ISBLANK(Table1[[#This Row],[Date]]),"",DATE(Table1[[#This Row],[Date_Year]],Table1[[#This Row],[Date_Month]],1))</f>
        <v>44075</v>
      </c>
    </row>
    <row r="1693" spans="2:20" ht="15.75">
      <c r="B1693" s="154">
        <v>44099</v>
      </c>
      <c r="C1693" s="119" t="s">
        <v>718</v>
      </c>
      <c r="D1693" s="119"/>
      <c r="E1693" s="119"/>
      <c r="F1693" s="155">
        <v>14.73</v>
      </c>
      <c r="G1693" s="133" t="str">
        <f>_xlfn.XLOOKUP(Table1[[#This Row],[Account_ID]], Accounts[ID], Accounts[Account nickname], "Unknown")</f>
        <v>Discover</v>
      </c>
      <c r="H1693" s="134" t="str">
        <f>_xlfn.XLOOKUP(Table1[[#This Row],[Account_ID]], Accounts[ID], Accounts[Account'#], "Unknown")</f>
        <v>4618</v>
      </c>
      <c r="I1693" s="135" t="str">
        <f>_xlfn.XLOOKUP(_xlfn.XLOOKUP(Table1[[#This Row],[Account]],Accounts[Account nickname],Accounts[Institution ID]),Institutions[ID],Institutions[Institution nickname],"Unknown")</f>
        <v>Discover</v>
      </c>
      <c r="J1693" s="136" t="s">
        <v>3002</v>
      </c>
      <c r="K1693" s="137" t="s">
        <v>843</v>
      </c>
      <c r="L1693" s="137" t="s">
        <v>841</v>
      </c>
      <c r="M169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9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93" s="138" t="str" cm="1">
        <f t="array" ref="O1693">IFERROR(INDEX(CategoriesTable[Category type],MATCH(Table1[[#This Row],[Category]],CategoriesTable[Category name],0),0),"")</f>
        <v/>
      </c>
      <c r="P1693" s="138">
        <v>25</v>
      </c>
      <c r="Q1693" s="138">
        <f>MONTH(Table1[[#This Row],[Date]])</f>
        <v>9</v>
      </c>
      <c r="R1693" s="138">
        <v>2020</v>
      </c>
      <c r="S1693" s="139">
        <f>IF(ISBLANK(Table1[[#This Row],[Date]]),"",Table1[[#This Row],[Date]]-WEEKDAY(Table1[[#This Row],[Date]],2)+1)</f>
        <v>44095</v>
      </c>
      <c r="T1693" s="140">
        <f>IF(ISBLANK(Table1[[#This Row],[Date]]),"",DATE(Table1[[#This Row],[Date_Year]],Table1[[#This Row],[Date_Month]],1))</f>
        <v>44075</v>
      </c>
    </row>
    <row r="1694" spans="2:20" ht="15.75">
      <c r="B1694" s="154">
        <v>44099</v>
      </c>
      <c r="C1694" s="119" t="s">
        <v>718</v>
      </c>
      <c r="D1694" s="119"/>
      <c r="E1694" s="119"/>
      <c r="F1694" s="155">
        <v>-24.2</v>
      </c>
      <c r="G1694" s="133" t="str">
        <f>_xlfn.XLOOKUP(Table1[[#This Row],[Account_ID]], Accounts[ID], Accounts[Account nickname], "Unknown")</f>
        <v>Discover</v>
      </c>
      <c r="H1694" s="134" t="str">
        <f>_xlfn.XLOOKUP(Table1[[#This Row],[Account_ID]], Accounts[ID], Accounts[Account'#], "Unknown")</f>
        <v>4618</v>
      </c>
      <c r="I1694" s="135" t="str">
        <f>_xlfn.XLOOKUP(_xlfn.XLOOKUP(Table1[[#This Row],[Account]],Accounts[Account nickname],Accounts[Institution ID]),Institutions[ID],Institutions[Institution nickname],"Unknown")</f>
        <v>Discover</v>
      </c>
      <c r="J1694" s="136" t="s">
        <v>3004</v>
      </c>
      <c r="K1694" s="137" t="s">
        <v>843</v>
      </c>
      <c r="L1694" s="137" t="s">
        <v>841</v>
      </c>
      <c r="M169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9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94" s="138" t="str" cm="1">
        <f t="array" ref="O1694">IFERROR(INDEX(CategoriesTable[Category type],MATCH(Table1[[#This Row],[Category]],CategoriesTable[Category name],0),0),"")</f>
        <v/>
      </c>
      <c r="P1694" s="138">
        <v>25</v>
      </c>
      <c r="Q1694" s="138">
        <f>MONTH(Table1[[#This Row],[Date]])</f>
        <v>9</v>
      </c>
      <c r="R1694" s="138">
        <v>2020</v>
      </c>
      <c r="S1694" s="139">
        <f>IF(ISBLANK(Table1[[#This Row],[Date]]),"",Table1[[#This Row],[Date]]-WEEKDAY(Table1[[#This Row],[Date]],2)+1)</f>
        <v>44095</v>
      </c>
      <c r="T1694" s="140">
        <f>IF(ISBLANK(Table1[[#This Row],[Date]]),"",DATE(Table1[[#This Row],[Date_Year]],Table1[[#This Row],[Date_Month]],1))</f>
        <v>44075</v>
      </c>
    </row>
    <row r="1695" spans="2:20" ht="15.75">
      <c r="B1695" s="154">
        <v>44099</v>
      </c>
      <c r="C1695" s="119" t="s">
        <v>792</v>
      </c>
      <c r="D1695" s="119"/>
      <c r="E1695" s="119"/>
      <c r="F1695" s="155">
        <v>-9.36</v>
      </c>
      <c r="G1695" s="133" t="str">
        <f>_xlfn.XLOOKUP(Table1[[#This Row],[Account_ID]], Accounts[ID], Accounts[Account nickname], "Unknown")</f>
        <v>WF</v>
      </c>
      <c r="H1695" s="134" t="str">
        <f>_xlfn.XLOOKUP(Table1[[#This Row],[Account_ID]], Accounts[ID], Accounts[Account'#], "Unknown")</f>
        <v>4636</v>
      </c>
      <c r="I1695" s="135" t="str">
        <f>_xlfn.XLOOKUP(_xlfn.XLOOKUP(Table1[[#This Row],[Account]],Accounts[Account nickname],Accounts[Institution ID]),Institutions[ID],Institutions[Institution nickname],"Unknown")</f>
        <v>Wells Fargo</v>
      </c>
      <c r="J1695" s="136" t="s">
        <v>1306</v>
      </c>
      <c r="K1695" s="137" t="s">
        <v>808</v>
      </c>
      <c r="L1695" s="137" t="s">
        <v>807</v>
      </c>
      <c r="M169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9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95" s="138" t="str" cm="1">
        <f t="array" ref="O1695">IFERROR(INDEX(CategoriesTable[Category type],MATCH(Table1[[#This Row],[Category]],CategoriesTable[Category name],0),0),"")</f>
        <v/>
      </c>
      <c r="P1695" s="138">
        <v>25</v>
      </c>
      <c r="Q1695" s="138">
        <f>MONTH(Table1[[#This Row],[Date]])</f>
        <v>9</v>
      </c>
      <c r="R1695" s="138">
        <v>2020</v>
      </c>
      <c r="S1695" s="139">
        <f>IF(ISBLANK(Table1[[#This Row],[Date]]),"",Table1[[#This Row],[Date]]-WEEKDAY(Table1[[#This Row],[Date]],2)+1)</f>
        <v>44095</v>
      </c>
      <c r="T1695" s="140">
        <f>IF(ISBLANK(Table1[[#This Row],[Date]]),"",DATE(Table1[[#This Row],[Date_Year]],Table1[[#This Row],[Date_Month]],1))</f>
        <v>44075</v>
      </c>
    </row>
    <row r="1696" spans="2:20" ht="15.75">
      <c r="B1696" s="154">
        <v>44099</v>
      </c>
      <c r="C1696" s="119" t="s">
        <v>686</v>
      </c>
      <c r="D1696" s="119"/>
      <c r="E1696" s="119"/>
      <c r="F1696" s="155">
        <v>-800</v>
      </c>
      <c r="G1696" s="133" t="str">
        <f>_xlfn.XLOOKUP(Table1[[#This Row],[Account_ID]], Accounts[ID], Accounts[Account nickname], "Unknown")</f>
        <v>WF</v>
      </c>
      <c r="H1696" s="134" t="str">
        <f>_xlfn.XLOOKUP(Table1[[#This Row],[Account_ID]], Accounts[ID], Accounts[Account'#], "Unknown")</f>
        <v>4636</v>
      </c>
      <c r="I1696" s="135" t="str">
        <f>_xlfn.XLOOKUP(_xlfn.XLOOKUP(Table1[[#This Row],[Account]],Accounts[Account nickname],Accounts[Institution ID]),Institutions[ID],Institutions[Institution nickname],"Unknown")</f>
        <v>Wells Fargo</v>
      </c>
      <c r="J1696" s="136" t="s">
        <v>1307</v>
      </c>
      <c r="K1696" s="137" t="s">
        <v>808</v>
      </c>
      <c r="L1696" s="137" t="s">
        <v>807</v>
      </c>
      <c r="M169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9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96" s="138" t="str" cm="1">
        <f t="array" ref="O1696">IFERROR(INDEX(CategoriesTable[Category type],MATCH(Table1[[#This Row],[Category]],CategoriesTable[Category name],0),0),"")</f>
        <v/>
      </c>
      <c r="P1696" s="138">
        <v>25</v>
      </c>
      <c r="Q1696" s="138">
        <f>MONTH(Table1[[#This Row],[Date]])</f>
        <v>9</v>
      </c>
      <c r="R1696" s="138">
        <v>2020</v>
      </c>
      <c r="S1696" s="139">
        <f>IF(ISBLANK(Table1[[#This Row],[Date]]),"",Table1[[#This Row],[Date]]-WEEKDAY(Table1[[#This Row],[Date]],2)+1)</f>
        <v>44095</v>
      </c>
      <c r="T1696" s="140">
        <f>IF(ISBLANK(Table1[[#This Row],[Date]]),"",DATE(Table1[[#This Row],[Date_Year]],Table1[[#This Row],[Date_Month]],1))</f>
        <v>44075</v>
      </c>
    </row>
    <row r="1697" spans="2:20" ht="15.75">
      <c r="B1697" s="154">
        <v>44099</v>
      </c>
      <c r="C1697" s="119" t="s">
        <v>718</v>
      </c>
      <c r="D1697" s="119"/>
      <c r="E1697" s="119"/>
      <c r="F1697" s="155">
        <v>-23.69</v>
      </c>
      <c r="G1697" s="133" t="str">
        <f>_xlfn.XLOOKUP(Table1[[#This Row],[Account_ID]], Accounts[ID], Accounts[Account nickname], "Unknown")</f>
        <v>Discover</v>
      </c>
      <c r="H1697" s="134" t="str">
        <f>_xlfn.XLOOKUP(Table1[[#This Row],[Account_ID]], Accounts[ID], Accounts[Account'#], "Unknown")</f>
        <v>4618</v>
      </c>
      <c r="I1697" s="135" t="str">
        <f>_xlfn.XLOOKUP(_xlfn.XLOOKUP(Table1[[#This Row],[Account]],Accounts[Account nickname],Accounts[Institution ID]),Institutions[ID],Institutions[Institution nickname],"Unknown")</f>
        <v>Discover</v>
      </c>
      <c r="J1697" s="136" t="s">
        <v>3003</v>
      </c>
      <c r="K1697" s="137" t="s">
        <v>843</v>
      </c>
      <c r="L1697" s="137" t="s">
        <v>841</v>
      </c>
      <c r="M169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9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97" s="138" t="str" cm="1">
        <f t="array" ref="O1697">IFERROR(INDEX(CategoriesTable[Category type],MATCH(Table1[[#This Row],[Category]],CategoriesTable[Category name],0),0),"")</f>
        <v/>
      </c>
      <c r="P1697" s="138">
        <v>25</v>
      </c>
      <c r="Q1697" s="138">
        <f>MONTH(Table1[[#This Row],[Date]])</f>
        <v>9</v>
      </c>
      <c r="R1697" s="138">
        <v>2020</v>
      </c>
      <c r="S1697" s="139">
        <f>IF(ISBLANK(Table1[[#This Row],[Date]]),"",Table1[[#This Row],[Date]]-WEEKDAY(Table1[[#This Row],[Date]],2)+1)</f>
        <v>44095</v>
      </c>
      <c r="T1697" s="140">
        <f>IF(ISBLANK(Table1[[#This Row],[Date]]),"",DATE(Table1[[#This Row],[Date_Year]],Table1[[#This Row],[Date_Month]],1))</f>
        <v>44075</v>
      </c>
    </row>
    <row r="1698" spans="2:20" ht="15.75">
      <c r="B1698" s="154">
        <v>44099</v>
      </c>
      <c r="C1698" s="119" t="s">
        <v>678</v>
      </c>
      <c r="D1698" s="119"/>
      <c r="E1698" s="119"/>
      <c r="F1698" s="155">
        <v>-700</v>
      </c>
      <c r="G1698" s="133" t="str">
        <f>_xlfn.XLOOKUP(Table1[[#This Row],[Account_ID]], Accounts[ID], Accounts[Account nickname], "Unknown")</f>
        <v>WF</v>
      </c>
      <c r="H1698" s="134" t="str">
        <f>_xlfn.XLOOKUP(Table1[[#This Row],[Account_ID]], Accounts[ID], Accounts[Account'#], "Unknown")</f>
        <v>4636</v>
      </c>
      <c r="I1698" s="135" t="str">
        <f>_xlfn.XLOOKUP(_xlfn.XLOOKUP(Table1[[#This Row],[Account]],Accounts[Account nickname],Accounts[Institution ID]),Institutions[ID],Institutions[Institution nickname],"Unknown")</f>
        <v>Wells Fargo</v>
      </c>
      <c r="J1698" s="136" t="s">
        <v>1310</v>
      </c>
      <c r="K1698" s="137" t="s">
        <v>808</v>
      </c>
      <c r="L1698" s="137" t="s">
        <v>807</v>
      </c>
      <c r="M169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9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98" s="138" t="str" cm="1">
        <f t="array" ref="O1698">IFERROR(INDEX(CategoriesTable[Category type],MATCH(Table1[[#This Row],[Category]],CategoriesTable[Category name],0),0),"")</f>
        <v/>
      </c>
      <c r="P1698" s="138">
        <v>25</v>
      </c>
      <c r="Q1698" s="138">
        <f>MONTH(Table1[[#This Row],[Date]])</f>
        <v>9</v>
      </c>
      <c r="R1698" s="138">
        <v>2020</v>
      </c>
      <c r="S1698" s="139">
        <f>IF(ISBLANK(Table1[[#This Row],[Date]]),"",Table1[[#This Row],[Date]]-WEEKDAY(Table1[[#This Row],[Date]],2)+1)</f>
        <v>44095</v>
      </c>
      <c r="T1698" s="140">
        <f>IF(ISBLANK(Table1[[#This Row],[Date]]),"",DATE(Table1[[#This Row],[Date_Year]],Table1[[#This Row],[Date_Month]],1))</f>
        <v>44075</v>
      </c>
    </row>
    <row r="1699" spans="2:20" ht="15.75">
      <c r="B1699" s="154">
        <v>44099</v>
      </c>
      <c r="C1699" s="119" t="s">
        <v>751</v>
      </c>
      <c r="D1699" s="119"/>
      <c r="E1699" s="119"/>
      <c r="F1699" s="155">
        <v>1450.14</v>
      </c>
      <c r="G1699" s="133" t="str">
        <f>_xlfn.XLOOKUP(Table1[[#This Row],[Account_ID]], Accounts[ID], Accounts[Account nickname], "Unknown")</f>
        <v>WF</v>
      </c>
      <c r="H1699" s="134" t="str">
        <f>_xlfn.XLOOKUP(Table1[[#This Row],[Account_ID]], Accounts[ID], Accounts[Account'#], "Unknown")</f>
        <v>4636</v>
      </c>
      <c r="I1699" s="135" t="str">
        <f>_xlfn.XLOOKUP(_xlfn.XLOOKUP(Table1[[#This Row],[Account]],Accounts[Account nickname],Accounts[Institution ID]),Institutions[ID],Institutions[Institution nickname],"Unknown")</f>
        <v>Wells Fargo</v>
      </c>
      <c r="J1699" s="136" t="s">
        <v>1308</v>
      </c>
      <c r="K1699" s="137" t="s">
        <v>808</v>
      </c>
      <c r="L1699" s="137" t="s">
        <v>807</v>
      </c>
      <c r="M169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69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699" s="138" t="str" cm="1">
        <f t="array" ref="O1699">IFERROR(INDEX(CategoriesTable[Category type],MATCH(Table1[[#This Row],[Category]],CategoriesTable[Category name],0),0),"")</f>
        <v/>
      </c>
      <c r="P1699" s="138">
        <v>25</v>
      </c>
      <c r="Q1699" s="138">
        <f>MONTH(Table1[[#This Row],[Date]])</f>
        <v>9</v>
      </c>
      <c r="R1699" s="138">
        <v>2020</v>
      </c>
      <c r="S1699" s="139">
        <f>IF(ISBLANK(Table1[[#This Row],[Date]]),"",Table1[[#This Row],[Date]]-WEEKDAY(Table1[[#This Row],[Date]],2)+1)</f>
        <v>44095</v>
      </c>
      <c r="T1699" s="140">
        <f>IF(ISBLANK(Table1[[#This Row],[Date]]),"",DATE(Table1[[#This Row],[Date_Year]],Table1[[#This Row],[Date_Month]],1))</f>
        <v>44075</v>
      </c>
    </row>
    <row r="1700" spans="2:20" ht="15.75">
      <c r="B1700" s="154">
        <v>44099</v>
      </c>
      <c r="C1700" s="119" t="s">
        <v>2916</v>
      </c>
      <c r="D1700" s="119"/>
      <c r="E1700" s="119"/>
      <c r="F1700" s="155">
        <v>-247.44</v>
      </c>
      <c r="G1700" s="133" t="str">
        <f>_xlfn.XLOOKUP(Table1[[#This Row],[Account_ID]], Accounts[ID], Accounts[Account nickname], "Unknown")</f>
        <v>Discover</v>
      </c>
      <c r="H1700" s="134" t="str">
        <f>_xlfn.XLOOKUP(Table1[[#This Row],[Account_ID]], Accounts[ID], Accounts[Account'#], "Unknown")</f>
        <v>4618</v>
      </c>
      <c r="I1700" s="135" t="str">
        <f>_xlfn.XLOOKUP(_xlfn.XLOOKUP(Table1[[#This Row],[Account]],Accounts[Account nickname],Accounts[Institution ID]),Institutions[ID],Institutions[Institution nickname],"Unknown")</f>
        <v>Discover</v>
      </c>
      <c r="J1700" s="136" t="s">
        <v>3001</v>
      </c>
      <c r="K1700" s="137" t="s">
        <v>843</v>
      </c>
      <c r="L1700" s="137" t="s">
        <v>841</v>
      </c>
      <c r="M170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0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00" s="138" t="str" cm="1">
        <f t="array" ref="O1700">IFERROR(INDEX(CategoriesTable[Category type],MATCH(Table1[[#This Row],[Category]],CategoriesTable[Category name],0),0),"")</f>
        <v/>
      </c>
      <c r="P1700" s="138">
        <v>25</v>
      </c>
      <c r="Q1700" s="138">
        <f>MONTH(Table1[[#This Row],[Date]])</f>
        <v>9</v>
      </c>
      <c r="R1700" s="138">
        <v>2020</v>
      </c>
      <c r="S1700" s="139">
        <f>IF(ISBLANK(Table1[[#This Row],[Date]]),"",Table1[[#This Row],[Date]]-WEEKDAY(Table1[[#This Row],[Date]],2)+1)</f>
        <v>44095</v>
      </c>
      <c r="T1700" s="140">
        <f>IF(ISBLANK(Table1[[#This Row],[Date]]),"",DATE(Table1[[#This Row],[Date_Year]],Table1[[#This Row],[Date_Month]],1))</f>
        <v>44075</v>
      </c>
    </row>
    <row r="1701" spans="2:20" ht="15.75">
      <c r="B1701" s="154">
        <v>44097</v>
      </c>
      <c r="C1701" s="119" t="s">
        <v>793</v>
      </c>
      <c r="D1701" s="119"/>
      <c r="E1701" s="119"/>
      <c r="F1701" s="155">
        <v>-2.0299999999999998</v>
      </c>
      <c r="G1701" s="133" t="str">
        <f>_xlfn.XLOOKUP(Table1[[#This Row],[Account_ID]], Accounts[ID], Accounts[Account nickname], "Unknown")</f>
        <v>WF</v>
      </c>
      <c r="H1701" s="134" t="str">
        <f>_xlfn.XLOOKUP(Table1[[#This Row],[Account_ID]], Accounts[ID], Accounts[Account'#], "Unknown")</f>
        <v>4636</v>
      </c>
      <c r="I1701" s="135" t="str">
        <f>_xlfn.XLOOKUP(_xlfn.XLOOKUP(Table1[[#This Row],[Account]],Accounts[Account nickname],Accounts[Institution ID]),Institutions[ID],Institutions[Institution nickname],"Unknown")</f>
        <v>Wells Fargo</v>
      </c>
      <c r="J1701" s="136" t="s">
        <v>1311</v>
      </c>
      <c r="K1701" s="137" t="s">
        <v>808</v>
      </c>
      <c r="L1701" s="137" t="s">
        <v>807</v>
      </c>
      <c r="M170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0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01" s="138" t="str" cm="1">
        <f t="array" ref="O1701">IFERROR(INDEX(CategoriesTable[Category type],MATCH(Table1[[#This Row],[Category]],CategoriesTable[Category name],0),0),"")</f>
        <v/>
      </c>
      <c r="P1701" s="138">
        <v>23</v>
      </c>
      <c r="Q1701" s="138">
        <f>MONTH(Table1[[#This Row],[Date]])</f>
        <v>9</v>
      </c>
      <c r="R1701" s="138">
        <v>2020</v>
      </c>
      <c r="S1701" s="139">
        <f>IF(ISBLANK(Table1[[#This Row],[Date]]),"",Table1[[#This Row],[Date]]-WEEKDAY(Table1[[#This Row],[Date]],2)+1)</f>
        <v>44095</v>
      </c>
      <c r="T1701" s="140">
        <f>IF(ISBLANK(Table1[[#This Row],[Date]]),"",DATE(Table1[[#This Row],[Date_Year]],Table1[[#This Row],[Date_Month]],1))</f>
        <v>44075</v>
      </c>
    </row>
    <row r="1702" spans="2:20" ht="15.75">
      <c r="B1702" s="154">
        <v>44097</v>
      </c>
      <c r="C1702" s="119" t="s">
        <v>694</v>
      </c>
      <c r="D1702" s="119"/>
      <c r="E1702" s="119"/>
      <c r="F1702" s="155">
        <v>-14.76</v>
      </c>
      <c r="G1702" s="133" t="str">
        <f>_xlfn.XLOOKUP(Table1[[#This Row],[Account_ID]], Accounts[ID], Accounts[Account nickname], "Unknown")</f>
        <v>Discover</v>
      </c>
      <c r="H1702" s="134" t="str">
        <f>_xlfn.XLOOKUP(Table1[[#This Row],[Account_ID]], Accounts[ID], Accounts[Account'#], "Unknown")</f>
        <v>4618</v>
      </c>
      <c r="I1702" s="135" t="str">
        <f>_xlfn.XLOOKUP(_xlfn.XLOOKUP(Table1[[#This Row],[Account]],Accounts[Account nickname],Accounts[Institution ID]),Institutions[ID],Institutions[Institution nickname],"Unknown")</f>
        <v>Discover</v>
      </c>
      <c r="J1702" s="136" t="s">
        <v>3005</v>
      </c>
      <c r="K1702" s="137" t="s">
        <v>843</v>
      </c>
      <c r="L1702" s="137" t="s">
        <v>841</v>
      </c>
      <c r="M170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0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02" s="138" t="str" cm="1">
        <f t="array" ref="O1702">IFERROR(INDEX(CategoriesTable[Category type],MATCH(Table1[[#This Row],[Category]],CategoriesTable[Category name],0),0),"")</f>
        <v/>
      </c>
      <c r="P1702" s="138">
        <v>23</v>
      </c>
      <c r="Q1702" s="138">
        <f>MONTH(Table1[[#This Row],[Date]])</f>
        <v>9</v>
      </c>
      <c r="R1702" s="138">
        <v>2020</v>
      </c>
      <c r="S1702" s="139">
        <f>IF(ISBLANK(Table1[[#This Row],[Date]]),"",Table1[[#This Row],[Date]]-WEEKDAY(Table1[[#This Row],[Date]],2)+1)</f>
        <v>44095</v>
      </c>
      <c r="T1702" s="140">
        <f>IF(ISBLANK(Table1[[#This Row],[Date]]),"",DATE(Table1[[#This Row],[Date_Year]],Table1[[#This Row],[Date_Month]],1))</f>
        <v>44075</v>
      </c>
    </row>
    <row r="1703" spans="2:20" ht="15.75">
      <c r="B1703" s="154">
        <v>44096</v>
      </c>
      <c r="C1703" s="119" t="s">
        <v>753</v>
      </c>
      <c r="D1703" s="119"/>
      <c r="E1703" s="119"/>
      <c r="F1703" s="155">
        <v>160</v>
      </c>
      <c r="G1703" s="133" t="str">
        <f>_xlfn.XLOOKUP(Table1[[#This Row],[Account_ID]], Accounts[ID], Accounts[Account nickname], "Unknown")</f>
        <v>WF</v>
      </c>
      <c r="H1703" s="134" t="str">
        <f>_xlfn.XLOOKUP(Table1[[#This Row],[Account_ID]], Accounts[ID], Accounts[Account'#], "Unknown")</f>
        <v>4636</v>
      </c>
      <c r="I1703" s="135" t="str">
        <f>_xlfn.XLOOKUP(_xlfn.XLOOKUP(Table1[[#This Row],[Account]],Accounts[Account nickname],Accounts[Institution ID]),Institutions[ID],Institutions[Institution nickname],"Unknown")</f>
        <v>Wells Fargo</v>
      </c>
      <c r="J1703" s="136" t="s">
        <v>1312</v>
      </c>
      <c r="K1703" s="137" t="s">
        <v>808</v>
      </c>
      <c r="L1703" s="137" t="s">
        <v>807</v>
      </c>
      <c r="M170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0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03" s="138" t="str" cm="1">
        <f t="array" ref="O1703">IFERROR(INDEX(CategoriesTable[Category type],MATCH(Table1[[#This Row],[Category]],CategoriesTable[Category name],0),0),"")</f>
        <v/>
      </c>
      <c r="P1703" s="138">
        <v>22</v>
      </c>
      <c r="Q1703" s="138">
        <f>MONTH(Table1[[#This Row],[Date]])</f>
        <v>9</v>
      </c>
      <c r="R1703" s="138">
        <v>2020</v>
      </c>
      <c r="S1703" s="139">
        <f>IF(ISBLANK(Table1[[#This Row],[Date]]),"",Table1[[#This Row],[Date]]-WEEKDAY(Table1[[#This Row],[Date]],2)+1)</f>
        <v>44095</v>
      </c>
      <c r="T1703" s="140">
        <f>IF(ISBLANK(Table1[[#This Row],[Date]]),"",DATE(Table1[[#This Row],[Date_Year]],Table1[[#This Row],[Date_Month]],1))</f>
        <v>44075</v>
      </c>
    </row>
    <row r="1704" spans="2:20" ht="15.75">
      <c r="B1704" s="154">
        <v>44096</v>
      </c>
      <c r="C1704" s="119" t="s">
        <v>1908</v>
      </c>
      <c r="D1704" s="119"/>
      <c r="E1704" s="119"/>
      <c r="F1704" s="155">
        <v>-22.01</v>
      </c>
      <c r="G1704" s="133" t="str">
        <f>_xlfn.XLOOKUP(Table1[[#This Row],[Account_ID]], Accounts[ID], Accounts[Account nickname], "Unknown")</f>
        <v>Discover</v>
      </c>
      <c r="H1704" s="134" t="str">
        <f>_xlfn.XLOOKUP(Table1[[#This Row],[Account_ID]], Accounts[ID], Accounts[Account'#], "Unknown")</f>
        <v>4618</v>
      </c>
      <c r="I1704" s="135" t="str">
        <f>_xlfn.XLOOKUP(_xlfn.XLOOKUP(Table1[[#This Row],[Account]],Accounts[Account nickname],Accounts[Institution ID]),Institutions[ID],Institutions[Institution nickname],"Unknown")</f>
        <v>Discover</v>
      </c>
      <c r="J1704" s="136" t="s">
        <v>3006</v>
      </c>
      <c r="K1704" s="137" t="s">
        <v>843</v>
      </c>
      <c r="L1704" s="137" t="s">
        <v>841</v>
      </c>
      <c r="M170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0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04" s="138" t="str" cm="1">
        <f t="array" ref="O1704">IFERROR(INDEX(CategoriesTable[Category type],MATCH(Table1[[#This Row],[Category]],CategoriesTable[Category name],0),0),"")</f>
        <v/>
      </c>
      <c r="P1704" s="138">
        <v>22</v>
      </c>
      <c r="Q1704" s="138">
        <f>MONTH(Table1[[#This Row],[Date]])</f>
        <v>9</v>
      </c>
      <c r="R1704" s="138">
        <v>2020</v>
      </c>
      <c r="S1704" s="139">
        <f>IF(ISBLANK(Table1[[#This Row],[Date]]),"",Table1[[#This Row],[Date]]-WEEKDAY(Table1[[#This Row],[Date]],2)+1)</f>
        <v>44095</v>
      </c>
      <c r="T1704" s="140">
        <f>IF(ISBLANK(Table1[[#This Row],[Date]]),"",DATE(Table1[[#This Row],[Date_Year]],Table1[[#This Row],[Date_Month]],1))</f>
        <v>44075</v>
      </c>
    </row>
    <row r="1705" spans="2:20" ht="15.75">
      <c r="B1705" s="154">
        <v>44096</v>
      </c>
      <c r="C1705" s="119" t="s">
        <v>698</v>
      </c>
      <c r="D1705" s="119"/>
      <c r="E1705" s="119"/>
      <c r="F1705" s="155">
        <v>-9.99</v>
      </c>
      <c r="G1705" s="133" t="str">
        <f>_xlfn.XLOOKUP(Table1[[#This Row],[Account_ID]], Accounts[ID], Accounts[Account nickname], "Unknown")</f>
        <v>Discover</v>
      </c>
      <c r="H1705" s="134" t="str">
        <f>_xlfn.XLOOKUP(Table1[[#This Row],[Account_ID]], Accounts[ID], Accounts[Account'#], "Unknown")</f>
        <v>4618</v>
      </c>
      <c r="I1705" s="135" t="str">
        <f>_xlfn.XLOOKUP(_xlfn.XLOOKUP(Table1[[#This Row],[Account]],Accounts[Account nickname],Accounts[Institution ID]),Institutions[ID],Institutions[Institution nickname],"Unknown")</f>
        <v>Discover</v>
      </c>
      <c r="J1705" s="136" t="s">
        <v>3007</v>
      </c>
      <c r="K1705" s="137" t="s">
        <v>843</v>
      </c>
      <c r="L1705" s="137" t="s">
        <v>841</v>
      </c>
      <c r="M170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0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05" s="138" t="str" cm="1">
        <f t="array" ref="O1705">IFERROR(INDEX(CategoriesTable[Category type],MATCH(Table1[[#This Row],[Category]],CategoriesTable[Category name],0),0),"")</f>
        <v/>
      </c>
      <c r="P1705" s="138">
        <v>22</v>
      </c>
      <c r="Q1705" s="138">
        <f>MONTH(Table1[[#This Row],[Date]])</f>
        <v>9</v>
      </c>
      <c r="R1705" s="138">
        <v>2020</v>
      </c>
      <c r="S1705" s="139">
        <f>IF(ISBLANK(Table1[[#This Row],[Date]]),"",Table1[[#This Row],[Date]]-WEEKDAY(Table1[[#This Row],[Date]],2)+1)</f>
        <v>44095</v>
      </c>
      <c r="T1705" s="140">
        <f>IF(ISBLANK(Table1[[#This Row],[Date]]),"",DATE(Table1[[#This Row],[Date_Year]],Table1[[#This Row],[Date_Month]],1))</f>
        <v>44075</v>
      </c>
    </row>
    <row r="1706" spans="2:20" ht="15.75">
      <c r="B1706" s="154">
        <v>44095</v>
      </c>
      <c r="C1706" s="119" t="s">
        <v>2590</v>
      </c>
      <c r="D1706" s="119"/>
      <c r="E1706" s="119"/>
      <c r="F1706" s="155">
        <v>-12.76</v>
      </c>
      <c r="G1706" s="133" t="str">
        <f>_xlfn.XLOOKUP(Table1[[#This Row],[Account_ID]], Accounts[ID], Accounts[Account nickname], "Unknown")</f>
        <v>Discover</v>
      </c>
      <c r="H1706" s="134" t="str">
        <f>_xlfn.XLOOKUP(Table1[[#This Row],[Account_ID]], Accounts[ID], Accounts[Account'#], "Unknown")</f>
        <v>4618</v>
      </c>
      <c r="I1706" s="135" t="str">
        <f>_xlfn.XLOOKUP(_xlfn.XLOOKUP(Table1[[#This Row],[Account]],Accounts[Account nickname],Accounts[Institution ID]),Institutions[ID],Institutions[Institution nickname],"Unknown")</f>
        <v>Discover</v>
      </c>
      <c r="J1706" s="136" t="s">
        <v>3008</v>
      </c>
      <c r="K1706" s="137" t="s">
        <v>843</v>
      </c>
      <c r="L1706" s="137" t="s">
        <v>841</v>
      </c>
      <c r="M170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0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06" s="138" t="str" cm="1">
        <f t="array" ref="O1706">IFERROR(INDEX(CategoriesTable[Category type],MATCH(Table1[[#This Row],[Category]],CategoriesTable[Category name],0),0),"")</f>
        <v/>
      </c>
      <c r="P1706" s="138">
        <v>21</v>
      </c>
      <c r="Q1706" s="138">
        <f>MONTH(Table1[[#This Row],[Date]])</f>
        <v>9</v>
      </c>
      <c r="R1706" s="138">
        <v>2020</v>
      </c>
      <c r="S1706" s="139">
        <f>IF(ISBLANK(Table1[[#This Row],[Date]]),"",Table1[[#This Row],[Date]]-WEEKDAY(Table1[[#This Row],[Date]],2)+1)</f>
        <v>44095</v>
      </c>
      <c r="T1706" s="140">
        <f>IF(ISBLANK(Table1[[#This Row],[Date]]),"",DATE(Table1[[#This Row],[Date_Year]],Table1[[#This Row],[Date_Month]],1))</f>
        <v>44075</v>
      </c>
    </row>
    <row r="1707" spans="2:20" ht="15.75">
      <c r="B1707" s="154">
        <v>44095</v>
      </c>
      <c r="C1707" s="119" t="s">
        <v>2590</v>
      </c>
      <c r="D1707" s="119"/>
      <c r="E1707" s="119"/>
      <c r="F1707" s="155">
        <v>-10.37</v>
      </c>
      <c r="G1707" s="133" t="str">
        <f>_xlfn.XLOOKUP(Table1[[#This Row],[Account_ID]], Accounts[ID], Accounts[Account nickname], "Unknown")</f>
        <v>Discover</v>
      </c>
      <c r="H1707" s="134" t="str">
        <f>_xlfn.XLOOKUP(Table1[[#This Row],[Account_ID]], Accounts[ID], Accounts[Account'#], "Unknown")</f>
        <v>4618</v>
      </c>
      <c r="I1707" s="135" t="str">
        <f>_xlfn.XLOOKUP(_xlfn.XLOOKUP(Table1[[#This Row],[Account]],Accounts[Account nickname],Accounts[Institution ID]),Institutions[ID],Institutions[Institution nickname],"Unknown")</f>
        <v>Discover</v>
      </c>
      <c r="J1707" s="136" t="s">
        <v>3011</v>
      </c>
      <c r="K1707" s="137" t="s">
        <v>843</v>
      </c>
      <c r="L1707" s="137" t="s">
        <v>841</v>
      </c>
      <c r="M170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0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07" s="138" t="str" cm="1">
        <f t="array" ref="O1707">IFERROR(INDEX(CategoriesTable[Category type],MATCH(Table1[[#This Row],[Category]],CategoriesTable[Category name],0),0),"")</f>
        <v/>
      </c>
      <c r="P1707" s="138">
        <v>21</v>
      </c>
      <c r="Q1707" s="138">
        <f>MONTH(Table1[[#This Row],[Date]])</f>
        <v>9</v>
      </c>
      <c r="R1707" s="138">
        <v>2020</v>
      </c>
      <c r="S1707" s="139">
        <f>IF(ISBLANK(Table1[[#This Row],[Date]]),"",Table1[[#This Row],[Date]]-WEEKDAY(Table1[[#This Row],[Date]],2)+1)</f>
        <v>44095</v>
      </c>
      <c r="T1707" s="140">
        <f>IF(ISBLANK(Table1[[#This Row],[Date]]),"",DATE(Table1[[#This Row],[Date_Year]],Table1[[#This Row],[Date_Month]],1))</f>
        <v>44075</v>
      </c>
    </row>
    <row r="1708" spans="2:20" ht="15.75">
      <c r="B1708" s="154">
        <v>44095</v>
      </c>
      <c r="C1708" s="119" t="s">
        <v>3009</v>
      </c>
      <c r="D1708" s="119"/>
      <c r="E1708" s="119"/>
      <c r="F1708" s="155">
        <v>-175</v>
      </c>
      <c r="G1708" s="133" t="str">
        <f>_xlfn.XLOOKUP(Table1[[#This Row],[Account_ID]], Accounts[ID], Accounts[Account nickname], "Unknown")</f>
        <v>Discover</v>
      </c>
      <c r="H1708" s="134" t="str">
        <f>_xlfn.XLOOKUP(Table1[[#This Row],[Account_ID]], Accounts[ID], Accounts[Account'#], "Unknown")</f>
        <v>4618</v>
      </c>
      <c r="I1708" s="135" t="str">
        <f>_xlfn.XLOOKUP(_xlfn.XLOOKUP(Table1[[#This Row],[Account]],Accounts[Account nickname],Accounts[Institution ID]),Institutions[ID],Institutions[Institution nickname],"Unknown")</f>
        <v>Discover</v>
      </c>
      <c r="J1708" s="136" t="s">
        <v>3010</v>
      </c>
      <c r="K1708" s="137" t="s">
        <v>843</v>
      </c>
      <c r="L1708" s="137" t="s">
        <v>841</v>
      </c>
      <c r="M170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0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08" s="138" t="str" cm="1">
        <f t="array" ref="O1708">IFERROR(INDEX(CategoriesTable[Category type],MATCH(Table1[[#This Row],[Category]],CategoriesTable[Category name],0),0),"")</f>
        <v/>
      </c>
      <c r="P1708" s="138">
        <v>21</v>
      </c>
      <c r="Q1708" s="138">
        <f>MONTH(Table1[[#This Row],[Date]])</f>
        <v>9</v>
      </c>
      <c r="R1708" s="138">
        <v>2020</v>
      </c>
      <c r="S1708" s="139">
        <f>IF(ISBLANK(Table1[[#This Row],[Date]]),"",Table1[[#This Row],[Date]]-WEEKDAY(Table1[[#This Row],[Date]],2)+1)</f>
        <v>44095</v>
      </c>
      <c r="T1708" s="140">
        <f>IF(ISBLANK(Table1[[#This Row],[Date]]),"",DATE(Table1[[#This Row],[Date_Year]],Table1[[#This Row],[Date_Month]],1))</f>
        <v>44075</v>
      </c>
    </row>
    <row r="1709" spans="2:20" ht="15.75">
      <c r="B1709" s="154">
        <v>44095</v>
      </c>
      <c r="C1709" s="119" t="s">
        <v>2590</v>
      </c>
      <c r="D1709" s="119"/>
      <c r="E1709" s="119"/>
      <c r="F1709" s="155">
        <v>-26.92</v>
      </c>
      <c r="G1709" s="133" t="str">
        <f>_xlfn.XLOOKUP(Table1[[#This Row],[Account_ID]], Accounts[ID], Accounts[Account nickname], "Unknown")</f>
        <v>Discover</v>
      </c>
      <c r="H1709" s="134" t="str">
        <f>_xlfn.XLOOKUP(Table1[[#This Row],[Account_ID]], Accounts[ID], Accounts[Account'#], "Unknown")</f>
        <v>4618</v>
      </c>
      <c r="I1709" s="135" t="str">
        <f>_xlfn.XLOOKUP(_xlfn.XLOOKUP(Table1[[#This Row],[Account]],Accounts[Account nickname],Accounts[Institution ID]),Institutions[ID],Institutions[Institution nickname],"Unknown")</f>
        <v>Discover</v>
      </c>
      <c r="J1709" s="136" t="s">
        <v>3012</v>
      </c>
      <c r="K1709" s="137" t="s">
        <v>843</v>
      </c>
      <c r="L1709" s="137" t="s">
        <v>841</v>
      </c>
      <c r="M170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0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09" s="138" t="str" cm="1">
        <f t="array" ref="O1709">IFERROR(INDEX(CategoriesTable[Category type],MATCH(Table1[[#This Row],[Category]],CategoriesTable[Category name],0),0),"")</f>
        <v/>
      </c>
      <c r="P1709" s="138">
        <v>21</v>
      </c>
      <c r="Q1709" s="138">
        <f>MONTH(Table1[[#This Row],[Date]])</f>
        <v>9</v>
      </c>
      <c r="R1709" s="138">
        <v>2020</v>
      </c>
      <c r="S1709" s="139">
        <f>IF(ISBLANK(Table1[[#This Row],[Date]]),"",Table1[[#This Row],[Date]]-WEEKDAY(Table1[[#This Row],[Date]],2)+1)</f>
        <v>44095</v>
      </c>
      <c r="T1709" s="140">
        <f>IF(ISBLANK(Table1[[#This Row],[Date]]),"",DATE(Table1[[#This Row],[Date_Year]],Table1[[#This Row],[Date_Month]],1))</f>
        <v>44075</v>
      </c>
    </row>
    <row r="1710" spans="2:20" ht="15.75">
      <c r="B1710" s="154">
        <v>44094</v>
      </c>
      <c r="C1710" s="119" t="s">
        <v>3013</v>
      </c>
      <c r="D1710" s="119"/>
      <c r="E1710" s="119"/>
      <c r="F1710" s="155">
        <v>-25.79</v>
      </c>
      <c r="G1710" s="133" t="str">
        <f>_xlfn.XLOOKUP(Table1[[#This Row],[Account_ID]], Accounts[ID], Accounts[Account nickname], "Unknown")</f>
        <v>Discover</v>
      </c>
      <c r="H1710" s="134" t="str">
        <f>_xlfn.XLOOKUP(Table1[[#This Row],[Account_ID]], Accounts[ID], Accounts[Account'#], "Unknown")</f>
        <v>4618</v>
      </c>
      <c r="I1710" s="135" t="str">
        <f>_xlfn.XLOOKUP(_xlfn.XLOOKUP(Table1[[#This Row],[Account]],Accounts[Account nickname],Accounts[Institution ID]),Institutions[ID],Institutions[Institution nickname],"Unknown")</f>
        <v>Discover</v>
      </c>
      <c r="J1710" s="136" t="s">
        <v>3014</v>
      </c>
      <c r="K1710" s="137" t="s">
        <v>843</v>
      </c>
      <c r="L1710" s="137" t="s">
        <v>841</v>
      </c>
      <c r="M171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1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10" s="138" t="str" cm="1">
        <f t="array" ref="O1710">IFERROR(INDEX(CategoriesTable[Category type],MATCH(Table1[[#This Row],[Category]],CategoriesTable[Category name],0),0),"")</f>
        <v/>
      </c>
      <c r="P1710" s="138">
        <v>20</v>
      </c>
      <c r="Q1710" s="138">
        <f>MONTH(Table1[[#This Row],[Date]])</f>
        <v>9</v>
      </c>
      <c r="R1710" s="138">
        <v>2020</v>
      </c>
      <c r="S1710" s="139">
        <f>IF(ISBLANK(Table1[[#This Row],[Date]]),"",Table1[[#This Row],[Date]]-WEEKDAY(Table1[[#This Row],[Date]],2)+1)</f>
        <v>44088</v>
      </c>
      <c r="T1710" s="140">
        <f>IF(ISBLANK(Table1[[#This Row],[Date]]),"",DATE(Table1[[#This Row],[Date_Year]],Table1[[#This Row],[Date_Month]],1))</f>
        <v>44075</v>
      </c>
    </row>
    <row r="1711" spans="2:20" ht="15.75">
      <c r="B1711" s="154">
        <v>44093</v>
      </c>
      <c r="C1711" s="119" t="s">
        <v>718</v>
      </c>
      <c r="D1711" s="119"/>
      <c r="E1711" s="119"/>
      <c r="F1711" s="155">
        <v>-57.87</v>
      </c>
      <c r="G1711" s="133" t="str">
        <f>_xlfn.XLOOKUP(Table1[[#This Row],[Account_ID]], Accounts[ID], Accounts[Account nickname], "Unknown")</f>
        <v>Discover</v>
      </c>
      <c r="H1711" s="134" t="str">
        <f>_xlfn.XLOOKUP(Table1[[#This Row],[Account_ID]], Accounts[ID], Accounts[Account'#], "Unknown")</f>
        <v>4618</v>
      </c>
      <c r="I1711" s="135" t="str">
        <f>_xlfn.XLOOKUP(_xlfn.XLOOKUP(Table1[[#This Row],[Account]],Accounts[Account nickname],Accounts[Institution ID]),Institutions[ID],Institutions[Institution nickname],"Unknown")</f>
        <v>Discover</v>
      </c>
      <c r="J1711" s="136" t="s">
        <v>3018</v>
      </c>
      <c r="K1711" s="137" t="s">
        <v>843</v>
      </c>
      <c r="L1711" s="137" t="s">
        <v>841</v>
      </c>
      <c r="M171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1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11" s="138" t="str" cm="1">
        <f t="array" ref="O1711">IFERROR(INDEX(CategoriesTable[Category type],MATCH(Table1[[#This Row],[Category]],CategoriesTable[Category name],0),0),"")</f>
        <v/>
      </c>
      <c r="P1711" s="138">
        <v>19</v>
      </c>
      <c r="Q1711" s="138">
        <f>MONTH(Table1[[#This Row],[Date]])</f>
        <v>9</v>
      </c>
      <c r="R1711" s="138">
        <v>2020</v>
      </c>
      <c r="S1711" s="139">
        <f>IF(ISBLANK(Table1[[#This Row],[Date]]),"",Table1[[#This Row],[Date]]-WEEKDAY(Table1[[#This Row],[Date]],2)+1)</f>
        <v>44088</v>
      </c>
      <c r="T1711" s="140">
        <f>IF(ISBLANK(Table1[[#This Row],[Date]]),"",DATE(Table1[[#This Row],[Date_Year]],Table1[[#This Row],[Date_Month]],1))</f>
        <v>44075</v>
      </c>
    </row>
    <row r="1712" spans="2:20" ht="15.75">
      <c r="B1712" s="154">
        <v>44093</v>
      </c>
      <c r="C1712" s="119" t="s">
        <v>700</v>
      </c>
      <c r="D1712" s="119"/>
      <c r="E1712" s="119"/>
      <c r="F1712" s="155">
        <v>-86.25</v>
      </c>
      <c r="G1712" s="133" t="str">
        <f>_xlfn.XLOOKUP(Table1[[#This Row],[Account_ID]], Accounts[ID], Accounts[Account nickname], "Unknown")</f>
        <v>Discover</v>
      </c>
      <c r="H1712" s="134" t="str">
        <f>_xlfn.XLOOKUP(Table1[[#This Row],[Account_ID]], Accounts[ID], Accounts[Account'#], "Unknown")</f>
        <v>4618</v>
      </c>
      <c r="I1712" s="135" t="str">
        <f>_xlfn.XLOOKUP(_xlfn.XLOOKUP(Table1[[#This Row],[Account]],Accounts[Account nickname],Accounts[Institution ID]),Institutions[ID],Institutions[Institution nickname],"Unknown")</f>
        <v>Discover</v>
      </c>
      <c r="J1712" s="136" t="s">
        <v>3017</v>
      </c>
      <c r="K1712" s="137" t="s">
        <v>843</v>
      </c>
      <c r="L1712" s="137" t="s">
        <v>841</v>
      </c>
      <c r="M171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1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12" s="138" t="str" cm="1">
        <f t="array" ref="O1712">IFERROR(INDEX(CategoriesTable[Category type],MATCH(Table1[[#This Row],[Category]],CategoriesTable[Category name],0),0),"")</f>
        <v/>
      </c>
      <c r="P1712" s="138">
        <v>19</v>
      </c>
      <c r="Q1712" s="138">
        <f>MONTH(Table1[[#This Row],[Date]])</f>
        <v>9</v>
      </c>
      <c r="R1712" s="138">
        <v>2020</v>
      </c>
      <c r="S1712" s="139">
        <f>IF(ISBLANK(Table1[[#This Row],[Date]]),"",Table1[[#This Row],[Date]]-WEEKDAY(Table1[[#This Row],[Date]],2)+1)</f>
        <v>44088</v>
      </c>
      <c r="T1712" s="140">
        <f>IF(ISBLANK(Table1[[#This Row],[Date]]),"",DATE(Table1[[#This Row],[Date_Year]],Table1[[#This Row],[Date_Month]],1))</f>
        <v>44075</v>
      </c>
    </row>
    <row r="1713" spans="2:20" ht="15.75">
      <c r="B1713" s="154">
        <v>44093</v>
      </c>
      <c r="C1713" s="119" t="s">
        <v>3019</v>
      </c>
      <c r="D1713" s="119"/>
      <c r="E1713" s="119"/>
      <c r="F1713" s="155">
        <v>-56.87</v>
      </c>
      <c r="G1713" s="133" t="str">
        <f>_xlfn.XLOOKUP(Table1[[#This Row],[Account_ID]], Accounts[ID], Accounts[Account nickname], "Unknown")</f>
        <v>Discover</v>
      </c>
      <c r="H1713" s="134" t="str">
        <f>_xlfn.XLOOKUP(Table1[[#This Row],[Account_ID]], Accounts[ID], Accounts[Account'#], "Unknown")</f>
        <v>4618</v>
      </c>
      <c r="I1713" s="135" t="str">
        <f>_xlfn.XLOOKUP(_xlfn.XLOOKUP(Table1[[#This Row],[Account]],Accounts[Account nickname],Accounts[Institution ID]),Institutions[ID],Institutions[Institution nickname],"Unknown")</f>
        <v>Discover</v>
      </c>
      <c r="J1713" s="136" t="s">
        <v>3020</v>
      </c>
      <c r="K1713" s="137" t="s">
        <v>843</v>
      </c>
      <c r="L1713" s="137" t="s">
        <v>841</v>
      </c>
      <c r="M171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1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13" s="138" t="str" cm="1">
        <f t="array" ref="O1713">IFERROR(INDEX(CategoriesTable[Category type],MATCH(Table1[[#This Row],[Category]],CategoriesTable[Category name],0),0),"")</f>
        <v/>
      </c>
      <c r="P1713" s="138">
        <v>19</v>
      </c>
      <c r="Q1713" s="138">
        <f>MONTH(Table1[[#This Row],[Date]])</f>
        <v>9</v>
      </c>
      <c r="R1713" s="138">
        <v>2020</v>
      </c>
      <c r="S1713" s="139">
        <f>IF(ISBLANK(Table1[[#This Row],[Date]]),"",Table1[[#This Row],[Date]]-WEEKDAY(Table1[[#This Row],[Date]],2)+1)</f>
        <v>44088</v>
      </c>
      <c r="T1713" s="140">
        <f>IF(ISBLANK(Table1[[#This Row],[Date]]),"",DATE(Table1[[#This Row],[Date_Year]],Table1[[#This Row],[Date_Month]],1))</f>
        <v>44075</v>
      </c>
    </row>
    <row r="1714" spans="2:20" ht="15.75">
      <c r="B1714" s="154">
        <v>44093</v>
      </c>
      <c r="C1714" s="119" t="s">
        <v>3015</v>
      </c>
      <c r="D1714" s="119"/>
      <c r="E1714" s="119"/>
      <c r="F1714" s="155">
        <v>-19.84</v>
      </c>
      <c r="G1714" s="133" t="str">
        <f>_xlfn.XLOOKUP(Table1[[#This Row],[Account_ID]], Accounts[ID], Accounts[Account nickname], "Unknown")</f>
        <v>Discover</v>
      </c>
      <c r="H1714" s="134" t="str">
        <f>_xlfn.XLOOKUP(Table1[[#This Row],[Account_ID]], Accounts[ID], Accounts[Account'#], "Unknown")</f>
        <v>4618</v>
      </c>
      <c r="I1714" s="135" t="str">
        <f>_xlfn.XLOOKUP(_xlfn.XLOOKUP(Table1[[#This Row],[Account]],Accounts[Account nickname],Accounts[Institution ID]),Institutions[ID],Institutions[Institution nickname],"Unknown")</f>
        <v>Discover</v>
      </c>
      <c r="J1714" s="136" t="s">
        <v>3016</v>
      </c>
      <c r="K1714" s="137" t="s">
        <v>843</v>
      </c>
      <c r="L1714" s="137" t="s">
        <v>841</v>
      </c>
      <c r="M171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1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14" s="138" t="str" cm="1">
        <f t="array" ref="O1714">IFERROR(INDEX(CategoriesTable[Category type],MATCH(Table1[[#This Row],[Category]],CategoriesTable[Category name],0),0),"")</f>
        <v/>
      </c>
      <c r="P1714" s="138">
        <v>19</v>
      </c>
      <c r="Q1714" s="138">
        <f>MONTH(Table1[[#This Row],[Date]])</f>
        <v>9</v>
      </c>
      <c r="R1714" s="138">
        <v>2020</v>
      </c>
      <c r="S1714" s="139">
        <f>IF(ISBLANK(Table1[[#This Row],[Date]]),"",Table1[[#This Row],[Date]]-WEEKDAY(Table1[[#This Row],[Date]],2)+1)</f>
        <v>44088</v>
      </c>
      <c r="T1714" s="140">
        <f>IF(ISBLANK(Table1[[#This Row],[Date]]),"",DATE(Table1[[#This Row],[Date_Year]],Table1[[#This Row],[Date_Month]],1))</f>
        <v>44075</v>
      </c>
    </row>
    <row r="1715" spans="2:20" ht="15.75">
      <c r="B1715" s="154">
        <v>44092</v>
      </c>
      <c r="C1715" s="119" t="s">
        <v>3023</v>
      </c>
      <c r="D1715" s="119"/>
      <c r="E1715" s="119"/>
      <c r="F1715" s="155">
        <v>-24.04</v>
      </c>
      <c r="G1715" s="133" t="str">
        <f>_xlfn.XLOOKUP(Table1[[#This Row],[Account_ID]], Accounts[ID], Accounts[Account nickname], "Unknown")</f>
        <v>Discover</v>
      </c>
      <c r="H1715" s="134" t="str">
        <f>_xlfn.XLOOKUP(Table1[[#This Row],[Account_ID]], Accounts[ID], Accounts[Account'#], "Unknown")</f>
        <v>4618</v>
      </c>
      <c r="I1715" s="135" t="str">
        <f>_xlfn.XLOOKUP(_xlfn.XLOOKUP(Table1[[#This Row],[Account]],Accounts[Account nickname],Accounts[Institution ID]),Institutions[ID],Institutions[Institution nickname],"Unknown")</f>
        <v>Discover</v>
      </c>
      <c r="J1715" s="136" t="s">
        <v>3024</v>
      </c>
      <c r="K1715" s="137" t="s">
        <v>843</v>
      </c>
      <c r="L1715" s="137" t="s">
        <v>841</v>
      </c>
      <c r="M171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1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15" s="138" t="str" cm="1">
        <f t="array" ref="O1715">IFERROR(INDEX(CategoriesTable[Category type],MATCH(Table1[[#This Row],[Category]],CategoriesTable[Category name],0),0),"")</f>
        <v/>
      </c>
      <c r="P1715" s="138">
        <v>18</v>
      </c>
      <c r="Q1715" s="138">
        <f>MONTH(Table1[[#This Row],[Date]])</f>
        <v>9</v>
      </c>
      <c r="R1715" s="138">
        <v>2020</v>
      </c>
      <c r="S1715" s="139">
        <f>IF(ISBLANK(Table1[[#This Row],[Date]]),"",Table1[[#This Row],[Date]]-WEEKDAY(Table1[[#This Row],[Date]],2)+1)</f>
        <v>44088</v>
      </c>
      <c r="T1715" s="140">
        <f>IF(ISBLANK(Table1[[#This Row],[Date]]),"",DATE(Table1[[#This Row],[Date_Year]],Table1[[#This Row],[Date_Month]],1))</f>
        <v>44075</v>
      </c>
    </row>
    <row r="1716" spans="2:20" ht="15.75">
      <c r="B1716" s="154">
        <v>44092</v>
      </c>
      <c r="C1716" s="119" t="s">
        <v>3021</v>
      </c>
      <c r="D1716" s="119"/>
      <c r="E1716" s="119"/>
      <c r="F1716" s="155">
        <v>-15.9</v>
      </c>
      <c r="G1716" s="133" t="str">
        <f>_xlfn.XLOOKUP(Table1[[#This Row],[Account_ID]], Accounts[ID], Accounts[Account nickname], "Unknown")</f>
        <v>Discover</v>
      </c>
      <c r="H1716" s="134" t="str">
        <f>_xlfn.XLOOKUP(Table1[[#This Row],[Account_ID]], Accounts[ID], Accounts[Account'#], "Unknown")</f>
        <v>4618</v>
      </c>
      <c r="I1716" s="135" t="str">
        <f>_xlfn.XLOOKUP(_xlfn.XLOOKUP(Table1[[#This Row],[Account]],Accounts[Account nickname],Accounts[Institution ID]),Institutions[ID],Institutions[Institution nickname],"Unknown")</f>
        <v>Discover</v>
      </c>
      <c r="J1716" s="136" t="s">
        <v>3022</v>
      </c>
      <c r="K1716" s="137" t="s">
        <v>843</v>
      </c>
      <c r="L1716" s="137" t="s">
        <v>841</v>
      </c>
      <c r="M171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1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16" s="138" t="str" cm="1">
        <f t="array" ref="O1716">IFERROR(INDEX(CategoriesTable[Category type],MATCH(Table1[[#This Row],[Category]],CategoriesTable[Category name],0),0),"")</f>
        <v/>
      </c>
      <c r="P1716" s="138">
        <v>18</v>
      </c>
      <c r="Q1716" s="138">
        <f>MONTH(Table1[[#This Row],[Date]])</f>
        <v>9</v>
      </c>
      <c r="R1716" s="138">
        <v>2020</v>
      </c>
      <c r="S1716" s="139">
        <f>IF(ISBLANK(Table1[[#This Row],[Date]]),"",Table1[[#This Row],[Date]]-WEEKDAY(Table1[[#This Row],[Date]],2)+1)</f>
        <v>44088</v>
      </c>
      <c r="T1716" s="140">
        <f>IF(ISBLANK(Table1[[#This Row],[Date]]),"",DATE(Table1[[#This Row],[Date_Year]],Table1[[#This Row],[Date_Month]],1))</f>
        <v>44075</v>
      </c>
    </row>
    <row r="1717" spans="2:20" ht="15.75">
      <c r="B1717" s="154">
        <v>44090</v>
      </c>
      <c r="C1717" s="119" t="s">
        <v>2982</v>
      </c>
      <c r="D1717" s="119"/>
      <c r="E1717" s="119"/>
      <c r="F1717" s="155">
        <v>-10</v>
      </c>
      <c r="G1717" s="133" t="str">
        <f>_xlfn.XLOOKUP(Table1[[#This Row],[Account_ID]], Accounts[ID], Accounts[Account nickname], "Unknown")</f>
        <v>Discover</v>
      </c>
      <c r="H1717" s="134" t="str">
        <f>_xlfn.XLOOKUP(Table1[[#This Row],[Account_ID]], Accounts[ID], Accounts[Account'#], "Unknown")</f>
        <v>4618</v>
      </c>
      <c r="I1717" s="135" t="str">
        <f>_xlfn.XLOOKUP(_xlfn.XLOOKUP(Table1[[#This Row],[Account]],Accounts[Account nickname],Accounts[Institution ID]),Institutions[ID],Institutions[Institution nickname],"Unknown")</f>
        <v>Discover</v>
      </c>
      <c r="J1717" s="136" t="s">
        <v>3026</v>
      </c>
      <c r="K1717" s="137" t="s">
        <v>843</v>
      </c>
      <c r="L1717" s="137" t="s">
        <v>841</v>
      </c>
      <c r="M171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1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17" s="138" t="str" cm="1">
        <f t="array" ref="O1717">IFERROR(INDEX(CategoriesTable[Category type],MATCH(Table1[[#This Row],[Category]],CategoriesTable[Category name],0),0),"")</f>
        <v/>
      </c>
      <c r="P1717" s="138">
        <v>16</v>
      </c>
      <c r="Q1717" s="138">
        <f>MONTH(Table1[[#This Row],[Date]])</f>
        <v>9</v>
      </c>
      <c r="R1717" s="138">
        <v>2020</v>
      </c>
      <c r="S1717" s="139">
        <f>IF(ISBLANK(Table1[[#This Row],[Date]]),"",Table1[[#This Row],[Date]]-WEEKDAY(Table1[[#This Row],[Date]],2)+1)</f>
        <v>44088</v>
      </c>
      <c r="T1717" s="140">
        <f>IF(ISBLANK(Table1[[#This Row],[Date]]),"",DATE(Table1[[#This Row],[Date_Year]],Table1[[#This Row],[Date_Month]],1))</f>
        <v>44075</v>
      </c>
    </row>
    <row r="1718" spans="2:20" ht="15.75">
      <c r="B1718" s="154">
        <v>44090</v>
      </c>
      <c r="C1718" s="119" t="s">
        <v>795</v>
      </c>
      <c r="D1718" s="119"/>
      <c r="E1718" s="119"/>
      <c r="F1718" s="155">
        <v>-43.95</v>
      </c>
      <c r="G1718" s="133" t="str">
        <f>_xlfn.XLOOKUP(Table1[[#This Row],[Account_ID]], Accounts[ID], Accounts[Account nickname], "Unknown")</f>
        <v>WF</v>
      </c>
      <c r="H1718" s="134" t="str">
        <f>_xlfn.XLOOKUP(Table1[[#This Row],[Account_ID]], Accounts[ID], Accounts[Account'#], "Unknown")</f>
        <v>4636</v>
      </c>
      <c r="I1718" s="135" t="str">
        <f>_xlfn.XLOOKUP(_xlfn.XLOOKUP(Table1[[#This Row],[Account]],Accounts[Account nickname],Accounts[Institution ID]),Institutions[ID],Institutions[Institution nickname],"Unknown")</f>
        <v>Wells Fargo</v>
      </c>
      <c r="J1718" s="136" t="s">
        <v>1314</v>
      </c>
      <c r="K1718" s="137" t="s">
        <v>808</v>
      </c>
      <c r="L1718" s="137" t="s">
        <v>807</v>
      </c>
      <c r="M171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1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18" s="138" t="str" cm="1">
        <f t="array" ref="O1718">IFERROR(INDEX(CategoriesTable[Category type],MATCH(Table1[[#This Row],[Category]],CategoriesTable[Category name],0),0),"")</f>
        <v/>
      </c>
      <c r="P1718" s="138">
        <v>16</v>
      </c>
      <c r="Q1718" s="138">
        <f>MONTH(Table1[[#This Row],[Date]])</f>
        <v>9</v>
      </c>
      <c r="R1718" s="138">
        <v>2020</v>
      </c>
      <c r="S1718" s="139">
        <f>IF(ISBLANK(Table1[[#This Row],[Date]]),"",Table1[[#This Row],[Date]]-WEEKDAY(Table1[[#This Row],[Date]],2)+1)</f>
        <v>44088</v>
      </c>
      <c r="T1718" s="140">
        <f>IF(ISBLANK(Table1[[#This Row],[Date]]),"",DATE(Table1[[#This Row],[Date_Year]],Table1[[#This Row],[Date_Month]],1))</f>
        <v>44075</v>
      </c>
    </row>
    <row r="1719" spans="2:20" ht="15.75">
      <c r="B1719" s="154">
        <v>44090</v>
      </c>
      <c r="C1719" s="119" t="s">
        <v>703</v>
      </c>
      <c r="D1719" s="119"/>
      <c r="E1719" s="119"/>
      <c r="F1719" s="155">
        <v>-12.11</v>
      </c>
      <c r="G1719" s="133" t="str">
        <f>_xlfn.XLOOKUP(Table1[[#This Row],[Account_ID]], Accounts[ID], Accounts[Account nickname], "Unknown")</f>
        <v>Discover</v>
      </c>
      <c r="H1719" s="134" t="str">
        <f>_xlfn.XLOOKUP(Table1[[#This Row],[Account_ID]], Accounts[ID], Accounts[Account'#], "Unknown")</f>
        <v>4618</v>
      </c>
      <c r="I1719" s="135" t="str">
        <f>_xlfn.XLOOKUP(_xlfn.XLOOKUP(Table1[[#This Row],[Account]],Accounts[Account nickname],Accounts[Institution ID]),Institutions[ID],Institutions[Institution nickname],"Unknown")</f>
        <v>Discover</v>
      </c>
      <c r="J1719" s="136" t="s">
        <v>3028</v>
      </c>
      <c r="K1719" s="137" t="s">
        <v>843</v>
      </c>
      <c r="L1719" s="137" t="s">
        <v>841</v>
      </c>
      <c r="M171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1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19" s="138" t="str" cm="1">
        <f t="array" ref="O1719">IFERROR(INDEX(CategoriesTable[Category type],MATCH(Table1[[#This Row],[Category]],CategoriesTable[Category name],0),0),"")</f>
        <v/>
      </c>
      <c r="P1719" s="138">
        <v>16</v>
      </c>
      <c r="Q1719" s="138">
        <f>MONTH(Table1[[#This Row],[Date]])</f>
        <v>9</v>
      </c>
      <c r="R1719" s="138">
        <v>2020</v>
      </c>
      <c r="S1719" s="139">
        <f>IF(ISBLANK(Table1[[#This Row],[Date]]),"",Table1[[#This Row],[Date]]-WEEKDAY(Table1[[#This Row],[Date]],2)+1)</f>
        <v>44088</v>
      </c>
      <c r="T1719" s="140">
        <f>IF(ISBLANK(Table1[[#This Row],[Date]]),"",DATE(Table1[[#This Row],[Date_Year]],Table1[[#This Row],[Date_Month]],1))</f>
        <v>44075</v>
      </c>
    </row>
    <row r="1720" spans="2:20" ht="15.75">
      <c r="B1720" s="154">
        <v>44090</v>
      </c>
      <c r="C1720" s="119" t="s">
        <v>2590</v>
      </c>
      <c r="D1720" s="119"/>
      <c r="E1720" s="119"/>
      <c r="F1720" s="155">
        <v>-12.59</v>
      </c>
      <c r="G1720" s="133" t="str">
        <f>_xlfn.XLOOKUP(Table1[[#This Row],[Account_ID]], Accounts[ID], Accounts[Account nickname], "Unknown")</f>
        <v>Discover</v>
      </c>
      <c r="H1720" s="134" t="str">
        <f>_xlfn.XLOOKUP(Table1[[#This Row],[Account_ID]], Accounts[ID], Accounts[Account'#], "Unknown")</f>
        <v>4618</v>
      </c>
      <c r="I1720" s="135" t="str">
        <f>_xlfn.XLOOKUP(_xlfn.XLOOKUP(Table1[[#This Row],[Account]],Accounts[Account nickname],Accounts[Institution ID]),Institutions[ID],Institutions[Institution nickname],"Unknown")</f>
        <v>Discover</v>
      </c>
      <c r="J1720" s="136" t="s">
        <v>3027</v>
      </c>
      <c r="K1720" s="137" t="s">
        <v>843</v>
      </c>
      <c r="L1720" s="137" t="s">
        <v>841</v>
      </c>
      <c r="M172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2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20" s="138" t="str" cm="1">
        <f t="array" ref="O1720">IFERROR(INDEX(CategoriesTable[Category type],MATCH(Table1[[#This Row],[Category]],CategoriesTable[Category name],0),0),"")</f>
        <v/>
      </c>
      <c r="P1720" s="138">
        <v>16</v>
      </c>
      <c r="Q1720" s="138">
        <f>MONTH(Table1[[#This Row],[Date]])</f>
        <v>9</v>
      </c>
      <c r="R1720" s="138">
        <v>2020</v>
      </c>
      <c r="S1720" s="139">
        <f>IF(ISBLANK(Table1[[#This Row],[Date]]),"",Table1[[#This Row],[Date]]-WEEKDAY(Table1[[#This Row],[Date]],2)+1)</f>
        <v>44088</v>
      </c>
      <c r="T1720" s="140">
        <f>IF(ISBLANK(Table1[[#This Row],[Date]]),"",DATE(Table1[[#This Row],[Date_Year]],Table1[[#This Row],[Date_Month]],1))</f>
        <v>44075</v>
      </c>
    </row>
    <row r="1721" spans="2:20" ht="15.75">
      <c r="B1721" s="154">
        <v>44090</v>
      </c>
      <c r="C1721" s="119" t="s">
        <v>794</v>
      </c>
      <c r="D1721" s="119"/>
      <c r="E1721" s="119"/>
      <c r="F1721" s="155">
        <v>-100</v>
      </c>
      <c r="G1721" s="133" t="str">
        <f>_xlfn.XLOOKUP(Table1[[#This Row],[Account_ID]], Accounts[ID], Accounts[Account nickname], "Unknown")</f>
        <v>WF</v>
      </c>
      <c r="H1721" s="134" t="str">
        <f>_xlfn.XLOOKUP(Table1[[#This Row],[Account_ID]], Accounts[ID], Accounts[Account'#], "Unknown")</f>
        <v>4636</v>
      </c>
      <c r="I1721" s="135" t="str">
        <f>_xlfn.XLOOKUP(_xlfn.XLOOKUP(Table1[[#This Row],[Account]],Accounts[Account nickname],Accounts[Institution ID]),Institutions[ID],Institutions[Institution nickname],"Unknown")</f>
        <v>Wells Fargo</v>
      </c>
      <c r="J1721" s="136" t="s">
        <v>1313</v>
      </c>
      <c r="K1721" s="137" t="s">
        <v>808</v>
      </c>
      <c r="L1721" s="137" t="s">
        <v>807</v>
      </c>
      <c r="M172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2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21" s="138" t="str" cm="1">
        <f t="array" ref="O1721">IFERROR(INDEX(CategoriesTable[Category type],MATCH(Table1[[#This Row],[Category]],CategoriesTable[Category name],0),0),"")</f>
        <v/>
      </c>
      <c r="P1721" s="138">
        <v>16</v>
      </c>
      <c r="Q1721" s="138">
        <f>MONTH(Table1[[#This Row],[Date]])</f>
        <v>9</v>
      </c>
      <c r="R1721" s="138">
        <v>2020</v>
      </c>
      <c r="S1721" s="139">
        <f>IF(ISBLANK(Table1[[#This Row],[Date]]),"",Table1[[#This Row],[Date]]-WEEKDAY(Table1[[#This Row],[Date]],2)+1)</f>
        <v>44088</v>
      </c>
      <c r="T1721" s="140">
        <f>IF(ISBLANK(Table1[[#This Row],[Date]]),"",DATE(Table1[[#This Row],[Date_Year]],Table1[[#This Row],[Date_Month]],1))</f>
        <v>44075</v>
      </c>
    </row>
    <row r="1722" spans="2:20" ht="15.75">
      <c r="B1722" s="154">
        <v>44090</v>
      </c>
      <c r="C1722" s="119" t="s">
        <v>860</v>
      </c>
      <c r="D1722" s="119"/>
      <c r="E1722" s="119"/>
      <c r="F1722" s="155">
        <v>-336.94</v>
      </c>
      <c r="G1722" s="133" t="str">
        <f>_xlfn.XLOOKUP(Table1[[#This Row],[Account_ID]], Accounts[ID], Accounts[Account nickname], "Unknown")</f>
        <v>Discover</v>
      </c>
      <c r="H1722" s="134" t="str">
        <f>_xlfn.XLOOKUP(Table1[[#This Row],[Account_ID]], Accounts[ID], Accounts[Account'#], "Unknown")</f>
        <v>4618</v>
      </c>
      <c r="I1722" s="135" t="str">
        <f>_xlfn.XLOOKUP(_xlfn.XLOOKUP(Table1[[#This Row],[Account]],Accounts[Account nickname],Accounts[Institution ID]),Institutions[ID],Institutions[Institution nickname],"Unknown")</f>
        <v>Discover</v>
      </c>
      <c r="J1722" s="152" t="s">
        <v>3025</v>
      </c>
      <c r="K1722" s="137" t="s">
        <v>843</v>
      </c>
      <c r="L1722" s="137" t="s">
        <v>841</v>
      </c>
      <c r="M172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2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22" s="138" t="str" cm="1">
        <f t="array" ref="O1722">IFERROR(INDEX(CategoriesTable[Category type],MATCH(Table1[[#This Row],[Category]],CategoriesTable[Category name],0),0),"")</f>
        <v/>
      </c>
      <c r="P1722" s="138">
        <v>16</v>
      </c>
      <c r="Q1722" s="138">
        <f>MONTH(Table1[[#This Row],[Date]])</f>
        <v>9</v>
      </c>
      <c r="R1722" s="138">
        <v>2020</v>
      </c>
      <c r="S1722" s="139">
        <f>IF(ISBLANK(Table1[[#This Row],[Date]]),"",Table1[[#This Row],[Date]]-WEEKDAY(Table1[[#This Row],[Date]],2)+1)</f>
        <v>44088</v>
      </c>
      <c r="T1722" s="140">
        <f>IF(ISBLANK(Table1[[#This Row],[Date]]),"",DATE(Table1[[#This Row],[Date_Year]],Table1[[#This Row],[Date_Month]],1))</f>
        <v>44075</v>
      </c>
    </row>
    <row r="1723" spans="2:20" ht="15.75">
      <c r="B1723" s="154">
        <v>44089</v>
      </c>
      <c r="C1723" s="119" t="s">
        <v>2771</v>
      </c>
      <c r="D1723" s="119"/>
      <c r="E1723" s="119"/>
      <c r="F1723" s="155">
        <v>-4.99</v>
      </c>
      <c r="G1723" s="133" t="str">
        <f>_xlfn.XLOOKUP(Table1[[#This Row],[Account_ID]], Accounts[ID], Accounts[Account nickname], "Unknown")</f>
        <v>Discover</v>
      </c>
      <c r="H1723" s="134" t="str">
        <f>_xlfn.XLOOKUP(Table1[[#This Row],[Account_ID]], Accounts[ID], Accounts[Account'#], "Unknown")</f>
        <v>4618</v>
      </c>
      <c r="I1723" s="135" t="str">
        <f>_xlfn.XLOOKUP(_xlfn.XLOOKUP(Table1[[#This Row],[Account]],Accounts[Account nickname],Accounts[Institution ID]),Institutions[ID],Institutions[Institution nickname],"Unknown")</f>
        <v>Discover</v>
      </c>
      <c r="J1723" s="136" t="s">
        <v>3029</v>
      </c>
      <c r="K1723" s="137" t="s">
        <v>843</v>
      </c>
      <c r="L1723" s="137" t="s">
        <v>841</v>
      </c>
      <c r="M172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2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23" s="138" t="str" cm="1">
        <f t="array" ref="O1723">IFERROR(INDEX(CategoriesTable[Category type],MATCH(Table1[[#This Row],[Category]],CategoriesTable[Category name],0),0),"")</f>
        <v/>
      </c>
      <c r="P1723" s="138">
        <v>15</v>
      </c>
      <c r="Q1723" s="138">
        <f>MONTH(Table1[[#This Row],[Date]])</f>
        <v>9</v>
      </c>
      <c r="R1723" s="138">
        <v>2020</v>
      </c>
      <c r="S1723" s="139">
        <f>IF(ISBLANK(Table1[[#This Row],[Date]]),"",Table1[[#This Row],[Date]]-WEEKDAY(Table1[[#This Row],[Date]],2)+1)</f>
        <v>44088</v>
      </c>
      <c r="T1723" s="140">
        <f>IF(ISBLANK(Table1[[#This Row],[Date]]),"",DATE(Table1[[#This Row],[Date_Year]],Table1[[#This Row],[Date_Month]],1))</f>
        <v>44075</v>
      </c>
    </row>
    <row r="1724" spans="2:20" ht="15.75">
      <c r="B1724" s="154">
        <v>44089</v>
      </c>
      <c r="C1724" s="119" t="s">
        <v>713</v>
      </c>
      <c r="D1724" s="119"/>
      <c r="E1724" s="119"/>
      <c r="F1724" s="155">
        <v>-25.01</v>
      </c>
      <c r="G1724" s="133" t="str">
        <f>_xlfn.XLOOKUP(Table1[[#This Row],[Account_ID]], Accounts[ID], Accounts[Account nickname], "Unknown")</f>
        <v>Discover</v>
      </c>
      <c r="H1724" s="134" t="str">
        <f>_xlfn.XLOOKUP(Table1[[#This Row],[Account_ID]], Accounts[ID], Accounts[Account'#], "Unknown")</f>
        <v>4618</v>
      </c>
      <c r="I1724" s="135" t="str">
        <f>_xlfn.XLOOKUP(_xlfn.XLOOKUP(Table1[[#This Row],[Account]],Accounts[Account nickname],Accounts[Institution ID]),Institutions[ID],Institutions[Institution nickname],"Unknown")</f>
        <v>Discover</v>
      </c>
      <c r="J1724" s="136" t="s">
        <v>3030</v>
      </c>
      <c r="K1724" s="137" t="s">
        <v>843</v>
      </c>
      <c r="L1724" s="137" t="s">
        <v>841</v>
      </c>
      <c r="M172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2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24" s="138" t="str" cm="1">
        <f t="array" ref="O1724">IFERROR(INDEX(CategoriesTable[Category type],MATCH(Table1[[#This Row],[Category]],CategoriesTable[Category name],0),0),"")</f>
        <v/>
      </c>
      <c r="P1724" s="138">
        <v>15</v>
      </c>
      <c r="Q1724" s="138">
        <f>MONTH(Table1[[#This Row],[Date]])</f>
        <v>9</v>
      </c>
      <c r="R1724" s="138">
        <v>2020</v>
      </c>
      <c r="S1724" s="139">
        <f>IF(ISBLANK(Table1[[#This Row],[Date]]),"",Table1[[#This Row],[Date]]-WEEKDAY(Table1[[#This Row],[Date]],2)+1)</f>
        <v>44088</v>
      </c>
      <c r="T1724" s="140">
        <f>IF(ISBLANK(Table1[[#This Row],[Date]]),"",DATE(Table1[[#This Row],[Date_Year]],Table1[[#This Row],[Date_Month]],1))</f>
        <v>44075</v>
      </c>
    </row>
    <row r="1725" spans="2:20" ht="15.75">
      <c r="B1725" s="154">
        <v>44088</v>
      </c>
      <c r="C1725" s="119" t="s">
        <v>857</v>
      </c>
      <c r="D1725" s="119"/>
      <c r="E1725" s="119"/>
      <c r="F1725" s="155">
        <v>-10</v>
      </c>
      <c r="G1725" s="133" t="str">
        <f>_xlfn.XLOOKUP(Table1[[#This Row],[Account_ID]], Accounts[ID], Accounts[Account nickname], "Unknown")</f>
        <v>Discover</v>
      </c>
      <c r="H1725" s="134" t="str">
        <f>_xlfn.XLOOKUP(Table1[[#This Row],[Account_ID]], Accounts[ID], Accounts[Account'#], "Unknown")</f>
        <v>4618</v>
      </c>
      <c r="I1725" s="135" t="str">
        <f>_xlfn.XLOOKUP(_xlfn.XLOOKUP(Table1[[#This Row],[Account]],Accounts[Account nickname],Accounts[Institution ID]),Institutions[ID],Institutions[Institution nickname],"Unknown")</f>
        <v>Discover</v>
      </c>
      <c r="J1725" s="136" t="s">
        <v>3032</v>
      </c>
      <c r="K1725" s="137" t="s">
        <v>843</v>
      </c>
      <c r="L1725" s="137" t="s">
        <v>841</v>
      </c>
      <c r="M172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2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25" s="138" t="str" cm="1">
        <f t="array" ref="O1725">IFERROR(INDEX(CategoriesTable[Category type],MATCH(Table1[[#This Row],[Category]],CategoriesTable[Category name],0),0),"")</f>
        <v/>
      </c>
      <c r="P1725" s="138">
        <v>14</v>
      </c>
      <c r="Q1725" s="138">
        <f>MONTH(Table1[[#This Row],[Date]])</f>
        <v>9</v>
      </c>
      <c r="R1725" s="138">
        <v>2020</v>
      </c>
      <c r="S1725" s="139">
        <f>IF(ISBLANK(Table1[[#This Row],[Date]]),"",Table1[[#This Row],[Date]]-WEEKDAY(Table1[[#This Row],[Date]],2)+1)</f>
        <v>44088</v>
      </c>
      <c r="T1725" s="140">
        <f>IF(ISBLANK(Table1[[#This Row],[Date]]),"",DATE(Table1[[#This Row],[Date_Year]],Table1[[#This Row],[Date_Month]],1))</f>
        <v>44075</v>
      </c>
    </row>
    <row r="1726" spans="2:20" ht="15.75">
      <c r="B1726" s="154">
        <v>44088</v>
      </c>
      <c r="C1726" s="119" t="s">
        <v>2982</v>
      </c>
      <c r="D1726" s="119"/>
      <c r="E1726" s="119"/>
      <c r="F1726" s="155">
        <v>-10</v>
      </c>
      <c r="G1726" s="133" t="str">
        <f>_xlfn.XLOOKUP(Table1[[#This Row],[Account_ID]], Accounts[ID], Accounts[Account nickname], "Unknown")</f>
        <v>Discover</v>
      </c>
      <c r="H1726" s="134" t="str">
        <f>_xlfn.XLOOKUP(Table1[[#This Row],[Account_ID]], Accounts[ID], Accounts[Account'#], "Unknown")</f>
        <v>4618</v>
      </c>
      <c r="I1726" s="135" t="str">
        <f>_xlfn.XLOOKUP(_xlfn.XLOOKUP(Table1[[#This Row],[Account]],Accounts[Account nickname],Accounts[Institution ID]),Institutions[ID],Institutions[Institution nickname],"Unknown")</f>
        <v>Discover</v>
      </c>
      <c r="J1726" s="136" t="s">
        <v>3031</v>
      </c>
      <c r="K1726" s="137" t="s">
        <v>843</v>
      </c>
      <c r="L1726" s="137" t="s">
        <v>841</v>
      </c>
      <c r="M172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2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26" s="138" t="str" cm="1">
        <f t="array" ref="O1726">IFERROR(INDEX(CategoriesTable[Category type],MATCH(Table1[[#This Row],[Category]],CategoriesTable[Category name],0),0),"")</f>
        <v/>
      </c>
      <c r="P1726" s="138">
        <v>14</v>
      </c>
      <c r="Q1726" s="138">
        <f>MONTH(Table1[[#This Row],[Date]])</f>
        <v>9</v>
      </c>
      <c r="R1726" s="138">
        <v>2020</v>
      </c>
      <c r="S1726" s="139">
        <f>IF(ISBLANK(Table1[[#This Row],[Date]]),"",Table1[[#This Row],[Date]]-WEEKDAY(Table1[[#This Row],[Date]],2)+1)</f>
        <v>44088</v>
      </c>
      <c r="T1726" s="140">
        <f>IF(ISBLANK(Table1[[#This Row],[Date]]),"",DATE(Table1[[#This Row],[Date_Year]],Table1[[#This Row],[Date_Month]],1))</f>
        <v>44075</v>
      </c>
    </row>
    <row r="1727" spans="2:20" ht="15.75">
      <c r="B1727" s="154">
        <v>44088</v>
      </c>
      <c r="C1727" s="119" t="s">
        <v>686</v>
      </c>
      <c r="D1727" s="119"/>
      <c r="E1727" s="119"/>
      <c r="F1727" s="155">
        <v>-63.44</v>
      </c>
      <c r="G1727" s="133" t="str">
        <f>_xlfn.XLOOKUP(Table1[[#This Row],[Account_ID]], Accounts[ID], Accounts[Account nickname], "Unknown")</f>
        <v>WF</v>
      </c>
      <c r="H1727" s="134" t="str">
        <f>_xlfn.XLOOKUP(Table1[[#This Row],[Account_ID]], Accounts[ID], Accounts[Account'#], "Unknown")</f>
        <v>4636</v>
      </c>
      <c r="I1727" s="135" t="str">
        <f>_xlfn.XLOOKUP(_xlfn.XLOOKUP(Table1[[#This Row],[Account]],Accounts[Account nickname],Accounts[Institution ID]),Institutions[ID],Institutions[Institution nickname],"Unknown")</f>
        <v>Wells Fargo</v>
      </c>
      <c r="J1727" s="136" t="s">
        <v>1315</v>
      </c>
      <c r="K1727" s="137" t="s">
        <v>808</v>
      </c>
      <c r="L1727" s="137" t="s">
        <v>807</v>
      </c>
      <c r="M172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2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27" s="138" t="str" cm="1">
        <f t="array" ref="O1727">IFERROR(INDEX(CategoriesTable[Category type],MATCH(Table1[[#This Row],[Category]],CategoriesTable[Category name],0),0),"")</f>
        <v/>
      </c>
      <c r="P1727" s="138">
        <v>14</v>
      </c>
      <c r="Q1727" s="138">
        <f>MONTH(Table1[[#This Row],[Date]])</f>
        <v>9</v>
      </c>
      <c r="R1727" s="138">
        <v>2020</v>
      </c>
      <c r="S1727" s="139">
        <f>IF(ISBLANK(Table1[[#This Row],[Date]]),"",Table1[[#This Row],[Date]]-WEEKDAY(Table1[[#This Row],[Date]],2)+1)</f>
        <v>44088</v>
      </c>
      <c r="T1727" s="140">
        <f>IF(ISBLANK(Table1[[#This Row],[Date]]),"",DATE(Table1[[#This Row],[Date_Year]],Table1[[#This Row],[Date_Month]],1))</f>
        <v>44075</v>
      </c>
    </row>
    <row r="1728" spans="2:20" ht="15.75">
      <c r="B1728" s="154">
        <v>44087</v>
      </c>
      <c r="C1728" s="119" t="s">
        <v>2737</v>
      </c>
      <c r="D1728" s="119"/>
      <c r="E1728" s="119"/>
      <c r="F1728" s="155">
        <v>-136.88</v>
      </c>
      <c r="G1728" s="133" t="str">
        <f>_xlfn.XLOOKUP(Table1[[#This Row],[Account_ID]], Accounts[ID], Accounts[Account nickname], "Unknown")</f>
        <v>Discover</v>
      </c>
      <c r="H1728" s="134" t="str">
        <f>_xlfn.XLOOKUP(Table1[[#This Row],[Account_ID]], Accounts[ID], Accounts[Account'#], "Unknown")</f>
        <v>4618</v>
      </c>
      <c r="I1728" s="135" t="str">
        <f>_xlfn.XLOOKUP(_xlfn.XLOOKUP(Table1[[#This Row],[Account]],Accounts[Account nickname],Accounts[Institution ID]),Institutions[ID],Institutions[Institution nickname],"Unknown")</f>
        <v>Discover</v>
      </c>
      <c r="J1728" s="136" t="s">
        <v>3033</v>
      </c>
      <c r="K1728" s="137" t="s">
        <v>843</v>
      </c>
      <c r="L1728" s="137" t="s">
        <v>841</v>
      </c>
      <c r="M172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2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28" s="138" t="str" cm="1">
        <f t="array" ref="O1728">IFERROR(INDEX(CategoriesTable[Category type],MATCH(Table1[[#This Row],[Category]],CategoriesTable[Category name],0),0),"")</f>
        <v/>
      </c>
      <c r="P1728" s="138">
        <v>13</v>
      </c>
      <c r="Q1728" s="138">
        <f>MONTH(Table1[[#This Row],[Date]])</f>
        <v>9</v>
      </c>
      <c r="R1728" s="138">
        <v>2020</v>
      </c>
      <c r="S1728" s="139">
        <f>IF(ISBLANK(Table1[[#This Row],[Date]]),"",Table1[[#This Row],[Date]]-WEEKDAY(Table1[[#This Row],[Date]],2)+1)</f>
        <v>44081</v>
      </c>
      <c r="T1728" s="140">
        <f>IF(ISBLANK(Table1[[#This Row],[Date]]),"",DATE(Table1[[#This Row],[Date_Year]],Table1[[#This Row],[Date_Month]],1))</f>
        <v>44075</v>
      </c>
    </row>
    <row r="1729" spans="2:20" ht="15.75">
      <c r="B1729" s="154">
        <v>44087</v>
      </c>
      <c r="C1729" s="119" t="s">
        <v>718</v>
      </c>
      <c r="D1729" s="119"/>
      <c r="E1729" s="119"/>
      <c r="F1729" s="155">
        <v>-107.36</v>
      </c>
      <c r="G1729" s="133" t="str">
        <f>_xlfn.XLOOKUP(Table1[[#This Row],[Account_ID]], Accounts[ID], Accounts[Account nickname], "Unknown")</f>
        <v>Discover</v>
      </c>
      <c r="H1729" s="134" t="str">
        <f>_xlfn.XLOOKUP(Table1[[#This Row],[Account_ID]], Accounts[ID], Accounts[Account'#], "Unknown")</f>
        <v>4618</v>
      </c>
      <c r="I1729" s="135" t="str">
        <f>_xlfn.XLOOKUP(_xlfn.XLOOKUP(Table1[[#This Row],[Account]],Accounts[Account nickname],Accounts[Institution ID]),Institutions[ID],Institutions[Institution nickname],"Unknown")</f>
        <v>Discover</v>
      </c>
      <c r="J1729" s="136" t="s">
        <v>3034</v>
      </c>
      <c r="K1729" s="137" t="s">
        <v>843</v>
      </c>
      <c r="L1729" s="137" t="s">
        <v>841</v>
      </c>
      <c r="M172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2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29" s="138" t="str" cm="1">
        <f t="array" ref="O1729">IFERROR(INDEX(CategoriesTable[Category type],MATCH(Table1[[#This Row],[Category]],CategoriesTable[Category name],0),0),"")</f>
        <v/>
      </c>
      <c r="P1729" s="138">
        <v>13</v>
      </c>
      <c r="Q1729" s="138">
        <f>MONTH(Table1[[#This Row],[Date]])</f>
        <v>9</v>
      </c>
      <c r="R1729" s="138">
        <v>2020</v>
      </c>
      <c r="S1729" s="139">
        <f>IF(ISBLANK(Table1[[#This Row],[Date]]),"",Table1[[#This Row],[Date]]-WEEKDAY(Table1[[#This Row],[Date]],2)+1)</f>
        <v>44081</v>
      </c>
      <c r="T1729" s="140">
        <f>IF(ISBLANK(Table1[[#This Row],[Date]]),"",DATE(Table1[[#This Row],[Date_Year]],Table1[[#This Row],[Date_Month]],1))</f>
        <v>44075</v>
      </c>
    </row>
    <row r="1730" spans="2:20" ht="15.75">
      <c r="B1730" s="154">
        <v>44086</v>
      </c>
      <c r="C1730" s="119" t="s">
        <v>2912</v>
      </c>
      <c r="D1730" s="119"/>
      <c r="E1730" s="119"/>
      <c r="F1730" s="155">
        <v>-17.350000000000001</v>
      </c>
      <c r="G1730" s="133" t="str">
        <f>_xlfn.XLOOKUP(Table1[[#This Row],[Account_ID]], Accounts[ID], Accounts[Account nickname], "Unknown")</f>
        <v>Discover</v>
      </c>
      <c r="H1730" s="134" t="str">
        <f>_xlfn.XLOOKUP(Table1[[#This Row],[Account_ID]], Accounts[ID], Accounts[Account'#], "Unknown")</f>
        <v>4618</v>
      </c>
      <c r="I1730" s="135" t="str">
        <f>_xlfn.XLOOKUP(_xlfn.XLOOKUP(Table1[[#This Row],[Account]],Accounts[Account nickname],Accounts[Institution ID]),Institutions[ID],Institutions[Institution nickname],"Unknown")</f>
        <v>Discover</v>
      </c>
      <c r="J1730" s="136" t="s">
        <v>3040</v>
      </c>
      <c r="K1730" s="137" t="s">
        <v>843</v>
      </c>
      <c r="L1730" s="137" t="s">
        <v>841</v>
      </c>
      <c r="M173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3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30" s="138" t="str" cm="1">
        <f t="array" ref="O1730">IFERROR(INDEX(CategoriesTable[Category type],MATCH(Table1[[#This Row],[Category]],CategoriesTable[Category name],0),0),"")</f>
        <v/>
      </c>
      <c r="P1730" s="138">
        <v>12</v>
      </c>
      <c r="Q1730" s="138">
        <f>MONTH(Table1[[#This Row],[Date]])</f>
        <v>9</v>
      </c>
      <c r="R1730" s="138">
        <v>2020</v>
      </c>
      <c r="S1730" s="139">
        <f>IF(ISBLANK(Table1[[#This Row],[Date]]),"",Table1[[#This Row],[Date]]-WEEKDAY(Table1[[#This Row],[Date]],2)+1)</f>
        <v>44081</v>
      </c>
      <c r="T1730" s="140">
        <f>IF(ISBLANK(Table1[[#This Row],[Date]]),"",DATE(Table1[[#This Row],[Date_Year]],Table1[[#This Row],[Date_Month]],1))</f>
        <v>44075</v>
      </c>
    </row>
    <row r="1731" spans="2:20" ht="15.75">
      <c r="B1731" s="154">
        <v>44086</v>
      </c>
      <c r="C1731" s="119" t="s">
        <v>3041</v>
      </c>
      <c r="D1731" s="119"/>
      <c r="E1731" s="119"/>
      <c r="F1731" s="155">
        <v>-33.409999999999997</v>
      </c>
      <c r="G1731" s="133" t="str">
        <f>_xlfn.XLOOKUP(Table1[[#This Row],[Account_ID]], Accounts[ID], Accounts[Account nickname], "Unknown")</f>
        <v>Discover</v>
      </c>
      <c r="H1731" s="134" t="str">
        <f>_xlfn.XLOOKUP(Table1[[#This Row],[Account_ID]], Accounts[ID], Accounts[Account'#], "Unknown")</f>
        <v>4618</v>
      </c>
      <c r="I1731" s="135" t="str">
        <f>_xlfn.XLOOKUP(_xlfn.XLOOKUP(Table1[[#This Row],[Account]],Accounts[Account nickname],Accounts[Institution ID]),Institutions[ID],Institutions[Institution nickname],"Unknown")</f>
        <v>Discover</v>
      </c>
      <c r="J1731" s="136" t="s">
        <v>3042</v>
      </c>
      <c r="K1731" s="137" t="s">
        <v>843</v>
      </c>
      <c r="L1731" s="137" t="s">
        <v>841</v>
      </c>
      <c r="M173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3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31" s="138" t="str" cm="1">
        <f t="array" ref="O1731">IFERROR(INDEX(CategoriesTable[Category type],MATCH(Table1[[#This Row],[Category]],CategoriesTable[Category name],0),0),"")</f>
        <v/>
      </c>
      <c r="P1731" s="138">
        <v>12</v>
      </c>
      <c r="Q1731" s="138">
        <f>MONTH(Table1[[#This Row],[Date]])</f>
        <v>9</v>
      </c>
      <c r="R1731" s="138">
        <v>2020</v>
      </c>
      <c r="S1731" s="139">
        <f>IF(ISBLANK(Table1[[#This Row],[Date]]),"",Table1[[#This Row],[Date]]-WEEKDAY(Table1[[#This Row],[Date]],2)+1)</f>
        <v>44081</v>
      </c>
      <c r="T1731" s="140">
        <f>IF(ISBLANK(Table1[[#This Row],[Date]]),"",DATE(Table1[[#This Row],[Date_Year]],Table1[[#This Row],[Date_Month]],1))</f>
        <v>44075</v>
      </c>
    </row>
    <row r="1732" spans="2:20" ht="15.75">
      <c r="B1732" s="154">
        <v>44086</v>
      </c>
      <c r="C1732" s="119" t="s">
        <v>845</v>
      </c>
      <c r="D1732" s="119"/>
      <c r="E1732" s="119"/>
      <c r="F1732" s="155">
        <v>63.44</v>
      </c>
      <c r="G1732" s="133" t="str">
        <f>_xlfn.XLOOKUP(Table1[[#This Row],[Account_ID]], Accounts[ID], Accounts[Account nickname], "Unknown")</f>
        <v>Discover</v>
      </c>
      <c r="H1732" s="134" t="str">
        <f>_xlfn.XLOOKUP(Table1[[#This Row],[Account_ID]], Accounts[ID], Accounts[Account'#], "Unknown")</f>
        <v>4618</v>
      </c>
      <c r="I1732" s="135" t="str">
        <f>_xlfn.XLOOKUP(_xlfn.XLOOKUP(Table1[[#This Row],[Account]],Accounts[Account nickname],Accounts[Institution ID]),Institutions[ID],Institutions[Institution nickname],"Unknown")</f>
        <v>Discover</v>
      </c>
      <c r="J1732" s="136" t="s">
        <v>3037</v>
      </c>
      <c r="K1732" s="137" t="s">
        <v>843</v>
      </c>
      <c r="L1732" s="137" t="s">
        <v>841</v>
      </c>
      <c r="M173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3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32" s="138" t="str" cm="1">
        <f t="array" ref="O1732">IFERROR(INDEX(CategoriesTable[Category type],MATCH(Table1[[#This Row],[Category]],CategoriesTable[Category name],0),0),"")</f>
        <v/>
      </c>
      <c r="P1732" s="138">
        <v>12</v>
      </c>
      <c r="Q1732" s="138">
        <f>MONTH(Table1[[#This Row],[Date]])</f>
        <v>9</v>
      </c>
      <c r="R1732" s="138">
        <v>2020</v>
      </c>
      <c r="S1732" s="139">
        <f>IF(ISBLANK(Table1[[#This Row],[Date]]),"",Table1[[#This Row],[Date]]-WEEKDAY(Table1[[#This Row],[Date]],2)+1)</f>
        <v>44081</v>
      </c>
      <c r="T1732" s="140">
        <f>IF(ISBLANK(Table1[[#This Row],[Date]]),"",DATE(Table1[[#This Row],[Date_Year]],Table1[[#This Row],[Date_Month]],1))</f>
        <v>44075</v>
      </c>
    </row>
    <row r="1733" spans="2:20" ht="15.75">
      <c r="B1733" s="154">
        <v>44086</v>
      </c>
      <c r="C1733" s="119" t="s">
        <v>694</v>
      </c>
      <c r="D1733" s="119"/>
      <c r="E1733" s="119"/>
      <c r="F1733" s="155">
        <v>-16.670000000000002</v>
      </c>
      <c r="G1733" s="133" t="str">
        <f>_xlfn.XLOOKUP(Table1[[#This Row],[Account_ID]], Accounts[ID], Accounts[Account nickname], "Unknown")</f>
        <v>Discover</v>
      </c>
      <c r="H1733" s="134" t="str">
        <f>_xlfn.XLOOKUP(Table1[[#This Row],[Account_ID]], Accounts[ID], Accounts[Account'#], "Unknown")</f>
        <v>4618</v>
      </c>
      <c r="I1733" s="135" t="str">
        <f>_xlfn.XLOOKUP(_xlfn.XLOOKUP(Table1[[#This Row],[Account]],Accounts[Account nickname],Accounts[Institution ID]),Institutions[ID],Institutions[Institution nickname],"Unknown")</f>
        <v>Discover</v>
      </c>
      <c r="J1733" s="136" t="s">
        <v>3038</v>
      </c>
      <c r="K1733" s="137" t="s">
        <v>843</v>
      </c>
      <c r="L1733" s="137" t="s">
        <v>841</v>
      </c>
      <c r="M173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3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33" s="138" t="str" cm="1">
        <f t="array" ref="O1733">IFERROR(INDEX(CategoriesTable[Category type],MATCH(Table1[[#This Row],[Category]],CategoriesTable[Category name],0),0),"")</f>
        <v/>
      </c>
      <c r="P1733" s="138">
        <v>12</v>
      </c>
      <c r="Q1733" s="138">
        <f>MONTH(Table1[[#This Row],[Date]])</f>
        <v>9</v>
      </c>
      <c r="R1733" s="138">
        <v>2020</v>
      </c>
      <c r="S1733" s="139">
        <f>IF(ISBLANK(Table1[[#This Row],[Date]]),"",Table1[[#This Row],[Date]]-WEEKDAY(Table1[[#This Row],[Date]],2)+1)</f>
        <v>44081</v>
      </c>
      <c r="T1733" s="140">
        <f>IF(ISBLANK(Table1[[#This Row],[Date]]),"",DATE(Table1[[#This Row],[Date_Year]],Table1[[#This Row],[Date_Month]],1))</f>
        <v>44075</v>
      </c>
    </row>
    <row r="1734" spans="2:20" ht="15.75">
      <c r="B1734" s="154">
        <v>44086</v>
      </c>
      <c r="C1734" s="119" t="s">
        <v>3035</v>
      </c>
      <c r="D1734" s="119"/>
      <c r="E1734" s="119"/>
      <c r="F1734" s="155">
        <v>-36.840000000000003</v>
      </c>
      <c r="G1734" s="133" t="str">
        <f>_xlfn.XLOOKUP(Table1[[#This Row],[Account_ID]], Accounts[ID], Accounts[Account nickname], "Unknown")</f>
        <v>Discover</v>
      </c>
      <c r="H1734" s="134" t="str">
        <f>_xlfn.XLOOKUP(Table1[[#This Row],[Account_ID]], Accounts[ID], Accounts[Account'#], "Unknown")</f>
        <v>4618</v>
      </c>
      <c r="I1734" s="135" t="str">
        <f>_xlfn.XLOOKUP(_xlfn.XLOOKUP(Table1[[#This Row],[Account]],Accounts[Account nickname],Accounts[Institution ID]),Institutions[ID],Institutions[Institution nickname],"Unknown")</f>
        <v>Discover</v>
      </c>
      <c r="J1734" s="136" t="s">
        <v>3036</v>
      </c>
      <c r="K1734" s="137" t="s">
        <v>843</v>
      </c>
      <c r="L1734" s="137" t="s">
        <v>841</v>
      </c>
      <c r="M173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3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34" s="138" t="str" cm="1">
        <f t="array" ref="O1734">IFERROR(INDEX(CategoriesTable[Category type],MATCH(Table1[[#This Row],[Category]],CategoriesTable[Category name],0),0),"")</f>
        <v/>
      </c>
      <c r="P1734" s="138">
        <v>12</v>
      </c>
      <c r="Q1734" s="138">
        <f>MONTH(Table1[[#This Row],[Date]])</f>
        <v>9</v>
      </c>
      <c r="R1734" s="138">
        <v>2020</v>
      </c>
      <c r="S1734" s="139">
        <f>IF(ISBLANK(Table1[[#This Row],[Date]]),"",Table1[[#This Row],[Date]]-WEEKDAY(Table1[[#This Row],[Date]],2)+1)</f>
        <v>44081</v>
      </c>
      <c r="T1734" s="140">
        <f>IF(ISBLANK(Table1[[#This Row],[Date]]),"",DATE(Table1[[#This Row],[Date_Year]],Table1[[#This Row],[Date_Month]],1))</f>
        <v>44075</v>
      </c>
    </row>
    <row r="1735" spans="2:20" ht="15.75">
      <c r="B1735" s="154">
        <v>44086</v>
      </c>
      <c r="C1735" s="119" t="s">
        <v>2590</v>
      </c>
      <c r="D1735" s="119"/>
      <c r="E1735" s="119"/>
      <c r="F1735" s="155">
        <v>-28.74</v>
      </c>
      <c r="G1735" s="133" t="str">
        <f>_xlfn.XLOOKUP(Table1[[#This Row],[Account_ID]], Accounts[ID], Accounts[Account nickname], "Unknown")</f>
        <v>Discover</v>
      </c>
      <c r="H1735" s="134" t="str">
        <f>_xlfn.XLOOKUP(Table1[[#This Row],[Account_ID]], Accounts[ID], Accounts[Account'#], "Unknown")</f>
        <v>4618</v>
      </c>
      <c r="I1735" s="135" t="str">
        <f>_xlfn.XLOOKUP(_xlfn.XLOOKUP(Table1[[#This Row],[Account]],Accounts[Account nickname],Accounts[Institution ID]),Institutions[ID],Institutions[Institution nickname],"Unknown")</f>
        <v>Discover</v>
      </c>
      <c r="J1735" s="136" t="s">
        <v>3039</v>
      </c>
      <c r="K1735" s="137" t="s">
        <v>843</v>
      </c>
      <c r="L1735" s="137" t="s">
        <v>841</v>
      </c>
      <c r="M173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3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35" s="138" t="str" cm="1">
        <f t="array" ref="O1735">IFERROR(INDEX(CategoriesTable[Category type],MATCH(Table1[[#This Row],[Category]],CategoriesTable[Category name],0),0),"")</f>
        <v/>
      </c>
      <c r="P1735" s="138">
        <v>12</v>
      </c>
      <c r="Q1735" s="138">
        <f>MONTH(Table1[[#This Row],[Date]])</f>
        <v>9</v>
      </c>
      <c r="R1735" s="138">
        <v>2020</v>
      </c>
      <c r="S1735" s="139">
        <f>IF(ISBLANK(Table1[[#This Row],[Date]]),"",Table1[[#This Row],[Date]]-WEEKDAY(Table1[[#This Row],[Date]],2)+1)</f>
        <v>44081</v>
      </c>
      <c r="T1735" s="140">
        <f>IF(ISBLANK(Table1[[#This Row],[Date]]),"",DATE(Table1[[#This Row],[Date_Year]],Table1[[#This Row],[Date_Month]],1))</f>
        <v>44075</v>
      </c>
    </row>
    <row r="1736" spans="2:20" ht="15.75">
      <c r="B1736" s="154">
        <v>44085</v>
      </c>
      <c r="C1736" s="119" t="s">
        <v>686</v>
      </c>
      <c r="D1736" s="119"/>
      <c r="E1736" s="119"/>
      <c r="F1736" s="155">
        <v>-1437.1</v>
      </c>
      <c r="G1736" s="133" t="str">
        <f>_xlfn.XLOOKUP(Table1[[#This Row],[Account_ID]], Accounts[ID], Accounts[Account nickname], "Unknown")</f>
        <v>WF</v>
      </c>
      <c r="H1736" s="134" t="str">
        <f>_xlfn.XLOOKUP(Table1[[#This Row],[Account_ID]], Accounts[ID], Accounts[Account'#], "Unknown")</f>
        <v>4636</v>
      </c>
      <c r="I1736" s="135" t="str">
        <f>_xlfn.XLOOKUP(_xlfn.XLOOKUP(Table1[[#This Row],[Account]],Accounts[Account nickname],Accounts[Institution ID]),Institutions[ID],Institutions[Institution nickname],"Unknown")</f>
        <v>Wells Fargo</v>
      </c>
      <c r="J1736" s="136" t="s">
        <v>1316</v>
      </c>
      <c r="K1736" s="137" t="s">
        <v>808</v>
      </c>
      <c r="L1736" s="137" t="s">
        <v>807</v>
      </c>
      <c r="M173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3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36" s="138" t="str" cm="1">
        <f t="array" ref="O1736">IFERROR(INDEX(CategoriesTable[Category type],MATCH(Table1[[#This Row],[Category]],CategoriesTable[Category name],0),0),"")</f>
        <v/>
      </c>
      <c r="P1736" s="138">
        <v>11</v>
      </c>
      <c r="Q1736" s="138">
        <f>MONTH(Table1[[#This Row],[Date]])</f>
        <v>9</v>
      </c>
      <c r="R1736" s="138">
        <v>2020</v>
      </c>
      <c r="S1736" s="139">
        <f>IF(ISBLANK(Table1[[#This Row],[Date]]),"",Table1[[#This Row],[Date]]-WEEKDAY(Table1[[#This Row],[Date]],2)+1)</f>
        <v>44081</v>
      </c>
      <c r="T1736" s="140">
        <f>IF(ISBLANK(Table1[[#This Row],[Date]]),"",DATE(Table1[[#This Row],[Date_Year]],Table1[[#This Row],[Date_Month]],1))</f>
        <v>44075</v>
      </c>
    </row>
    <row r="1737" spans="2:20" ht="15.75">
      <c r="B1737" s="154">
        <v>44085</v>
      </c>
      <c r="C1737" s="119" t="s">
        <v>961</v>
      </c>
      <c r="D1737" s="119"/>
      <c r="E1737" s="119"/>
      <c r="F1737" s="155">
        <v>32.44</v>
      </c>
      <c r="G1737" s="133" t="str">
        <f>_xlfn.XLOOKUP(Table1[[#This Row],[Account_ID]], Accounts[ID], Accounts[Account nickname], "Unknown")</f>
        <v>Discover</v>
      </c>
      <c r="H1737" s="134" t="str">
        <f>_xlfn.XLOOKUP(Table1[[#This Row],[Account_ID]], Accounts[ID], Accounts[Account'#], "Unknown")</f>
        <v>4618</v>
      </c>
      <c r="I1737" s="135" t="str">
        <f>_xlfn.XLOOKUP(_xlfn.XLOOKUP(Table1[[#This Row],[Account]],Accounts[Account nickname],Accounts[Institution ID]),Institutions[ID],Institutions[Institution nickname],"Unknown")</f>
        <v>Discover</v>
      </c>
      <c r="J1737" s="136" t="s">
        <v>3044</v>
      </c>
      <c r="K1737" s="137" t="s">
        <v>843</v>
      </c>
      <c r="L1737" s="137" t="s">
        <v>841</v>
      </c>
      <c r="M173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3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37" s="138" t="str" cm="1">
        <f t="array" ref="O1737">IFERROR(INDEX(CategoriesTable[Category type],MATCH(Table1[[#This Row],[Category]],CategoriesTable[Category name],0),0),"")</f>
        <v/>
      </c>
      <c r="P1737" s="138">
        <v>11</v>
      </c>
      <c r="Q1737" s="138">
        <f>MONTH(Table1[[#This Row],[Date]])</f>
        <v>9</v>
      </c>
      <c r="R1737" s="138">
        <v>2020</v>
      </c>
      <c r="S1737" s="139">
        <f>IF(ISBLANK(Table1[[#This Row],[Date]]),"",Table1[[#This Row],[Date]]-WEEKDAY(Table1[[#This Row],[Date]],2)+1)</f>
        <v>44081</v>
      </c>
      <c r="T1737" s="140">
        <f>IF(ISBLANK(Table1[[#This Row],[Date]]),"",DATE(Table1[[#This Row],[Date_Year]],Table1[[#This Row],[Date_Month]],1))</f>
        <v>44075</v>
      </c>
    </row>
    <row r="1738" spans="2:20" ht="15.75">
      <c r="B1738" s="154">
        <v>44085</v>
      </c>
      <c r="C1738" s="119" t="s">
        <v>3048</v>
      </c>
      <c r="D1738" s="119"/>
      <c r="E1738" s="119"/>
      <c r="F1738" s="155">
        <v>-34.99</v>
      </c>
      <c r="G1738" s="133" t="str">
        <f>_xlfn.XLOOKUP(Table1[[#This Row],[Account_ID]], Accounts[ID], Accounts[Account nickname], "Unknown")</f>
        <v>Discover</v>
      </c>
      <c r="H1738" s="134" t="str">
        <f>_xlfn.XLOOKUP(Table1[[#This Row],[Account_ID]], Accounts[ID], Accounts[Account'#], "Unknown")</f>
        <v>4618</v>
      </c>
      <c r="I1738" s="135" t="str">
        <f>_xlfn.XLOOKUP(_xlfn.XLOOKUP(Table1[[#This Row],[Account]],Accounts[Account nickname],Accounts[Institution ID]),Institutions[ID],Institutions[Institution nickname],"Unknown")</f>
        <v>Discover</v>
      </c>
      <c r="J1738" s="136" t="s">
        <v>3049</v>
      </c>
      <c r="K1738" s="137" t="s">
        <v>843</v>
      </c>
      <c r="L1738" s="137" t="s">
        <v>841</v>
      </c>
      <c r="M173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3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38" s="138" t="str" cm="1">
        <f t="array" ref="O1738">IFERROR(INDEX(CategoriesTable[Category type],MATCH(Table1[[#This Row],[Category]],CategoriesTable[Category name],0),0),"")</f>
        <v/>
      </c>
      <c r="P1738" s="138">
        <v>11</v>
      </c>
      <c r="Q1738" s="138">
        <f>MONTH(Table1[[#This Row],[Date]])</f>
        <v>9</v>
      </c>
      <c r="R1738" s="138">
        <v>2020</v>
      </c>
      <c r="S1738" s="139">
        <f>IF(ISBLANK(Table1[[#This Row],[Date]]),"",Table1[[#This Row],[Date]]-WEEKDAY(Table1[[#This Row],[Date]],2)+1)</f>
        <v>44081</v>
      </c>
      <c r="T1738" s="140">
        <f>IF(ISBLANK(Table1[[#This Row],[Date]]),"",DATE(Table1[[#This Row],[Date_Year]],Table1[[#This Row],[Date_Month]],1))</f>
        <v>44075</v>
      </c>
    </row>
    <row r="1739" spans="2:20" ht="15.75">
      <c r="B1739" s="154">
        <v>44085</v>
      </c>
      <c r="C1739" s="119" t="s">
        <v>1403</v>
      </c>
      <c r="D1739" s="119"/>
      <c r="E1739" s="119"/>
      <c r="F1739" s="155">
        <v>-110.21</v>
      </c>
      <c r="G1739" s="133" t="str">
        <f>_xlfn.XLOOKUP(Table1[[#This Row],[Account_ID]], Accounts[ID], Accounts[Account nickname], "Unknown")</f>
        <v>Discover</v>
      </c>
      <c r="H1739" s="134" t="str">
        <f>_xlfn.XLOOKUP(Table1[[#This Row],[Account_ID]], Accounts[ID], Accounts[Account'#], "Unknown")</f>
        <v>4618</v>
      </c>
      <c r="I1739" s="135" t="str">
        <f>_xlfn.XLOOKUP(_xlfn.XLOOKUP(Table1[[#This Row],[Account]],Accounts[Account nickname],Accounts[Institution ID]),Institutions[ID],Institutions[Institution nickname],"Unknown")</f>
        <v>Discover</v>
      </c>
      <c r="J1739" s="152" t="s">
        <v>3047</v>
      </c>
      <c r="K1739" s="137" t="s">
        <v>843</v>
      </c>
      <c r="L1739" s="137" t="s">
        <v>841</v>
      </c>
      <c r="M173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3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39" s="138" t="str" cm="1">
        <f t="array" ref="O1739">IFERROR(INDEX(CategoriesTable[Category type],MATCH(Table1[[#This Row],[Category]],CategoriesTable[Category name],0),0),"")</f>
        <v/>
      </c>
      <c r="P1739" s="138">
        <v>11</v>
      </c>
      <c r="Q1739" s="138">
        <f>MONTH(Table1[[#This Row],[Date]])</f>
        <v>9</v>
      </c>
      <c r="R1739" s="138">
        <v>2020</v>
      </c>
      <c r="S1739" s="139">
        <f>IF(ISBLANK(Table1[[#This Row],[Date]]),"",Table1[[#This Row],[Date]]-WEEKDAY(Table1[[#This Row],[Date]],2)+1)</f>
        <v>44081</v>
      </c>
      <c r="T1739" s="140">
        <f>IF(ISBLANK(Table1[[#This Row],[Date]]),"",DATE(Table1[[#This Row],[Date_Year]],Table1[[#This Row],[Date_Month]],1))</f>
        <v>44075</v>
      </c>
    </row>
    <row r="1740" spans="2:20" ht="15.75">
      <c r="B1740" s="154">
        <v>44085</v>
      </c>
      <c r="C1740" s="119" t="s">
        <v>694</v>
      </c>
      <c r="D1740" s="119"/>
      <c r="E1740" s="119"/>
      <c r="F1740" s="155">
        <v>-14.99</v>
      </c>
      <c r="G1740" s="133" t="str">
        <f>_xlfn.XLOOKUP(Table1[[#This Row],[Account_ID]], Accounts[ID], Accounts[Account nickname], "Unknown")</f>
        <v>Discover</v>
      </c>
      <c r="H1740" s="134" t="str">
        <f>_xlfn.XLOOKUP(Table1[[#This Row],[Account_ID]], Accounts[ID], Accounts[Account'#], "Unknown")</f>
        <v>4618</v>
      </c>
      <c r="I1740" s="135" t="str">
        <f>_xlfn.XLOOKUP(_xlfn.XLOOKUP(Table1[[#This Row],[Account]],Accounts[Account nickname],Accounts[Institution ID]),Institutions[ID],Institutions[Institution nickname],"Unknown")</f>
        <v>Discover</v>
      </c>
      <c r="J1740" s="136" t="s">
        <v>3046</v>
      </c>
      <c r="K1740" s="137" t="s">
        <v>843</v>
      </c>
      <c r="L1740" s="137" t="s">
        <v>841</v>
      </c>
      <c r="M174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4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40" s="138" t="str" cm="1">
        <f t="array" ref="O1740">IFERROR(INDEX(CategoriesTable[Category type],MATCH(Table1[[#This Row],[Category]],CategoriesTable[Category name],0),0),"")</f>
        <v/>
      </c>
      <c r="P1740" s="138">
        <v>11</v>
      </c>
      <c r="Q1740" s="138">
        <f>MONTH(Table1[[#This Row],[Date]])</f>
        <v>9</v>
      </c>
      <c r="R1740" s="138">
        <v>2020</v>
      </c>
      <c r="S1740" s="139">
        <f>IF(ISBLANK(Table1[[#This Row],[Date]]),"",Table1[[#This Row],[Date]]-WEEKDAY(Table1[[#This Row],[Date]],2)+1)</f>
        <v>44081</v>
      </c>
      <c r="T1740" s="140">
        <f>IF(ISBLANK(Table1[[#This Row],[Date]]),"",DATE(Table1[[#This Row],[Date_Year]],Table1[[#This Row],[Date_Month]],1))</f>
        <v>44075</v>
      </c>
    </row>
    <row r="1741" spans="2:20" ht="15.75">
      <c r="B1741" s="154">
        <v>44085</v>
      </c>
      <c r="C1741" s="119" t="s">
        <v>845</v>
      </c>
      <c r="D1741" s="119"/>
      <c r="E1741" s="119"/>
      <c r="F1741" s="155">
        <v>1437.1</v>
      </c>
      <c r="G1741" s="133" t="str">
        <f>_xlfn.XLOOKUP(Table1[[#This Row],[Account_ID]], Accounts[ID], Accounts[Account nickname], "Unknown")</f>
        <v>Discover</v>
      </c>
      <c r="H1741" s="134" t="str">
        <f>_xlfn.XLOOKUP(Table1[[#This Row],[Account_ID]], Accounts[ID], Accounts[Account'#], "Unknown")</f>
        <v>4618</v>
      </c>
      <c r="I1741" s="135" t="str">
        <f>_xlfn.XLOOKUP(_xlfn.XLOOKUP(Table1[[#This Row],[Account]],Accounts[Account nickname],Accounts[Institution ID]),Institutions[ID],Institutions[Institution nickname],"Unknown")</f>
        <v>Discover</v>
      </c>
      <c r="J1741" s="136" t="s">
        <v>3045</v>
      </c>
      <c r="K1741" s="137" t="s">
        <v>843</v>
      </c>
      <c r="L1741" s="137" t="s">
        <v>841</v>
      </c>
      <c r="M174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4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41" s="138" t="str" cm="1">
        <f t="array" ref="O1741">IFERROR(INDEX(CategoriesTable[Category type],MATCH(Table1[[#This Row],[Category]],CategoriesTable[Category name],0),0),"")</f>
        <v/>
      </c>
      <c r="P1741" s="138">
        <v>11</v>
      </c>
      <c r="Q1741" s="138">
        <f>MONTH(Table1[[#This Row],[Date]])</f>
        <v>9</v>
      </c>
      <c r="R1741" s="138">
        <v>2020</v>
      </c>
      <c r="S1741" s="139">
        <f>IF(ISBLANK(Table1[[#This Row],[Date]]),"",Table1[[#This Row],[Date]]-WEEKDAY(Table1[[#This Row],[Date]],2)+1)</f>
        <v>44081</v>
      </c>
      <c r="T1741" s="140">
        <f>IF(ISBLANK(Table1[[#This Row],[Date]]),"",DATE(Table1[[#This Row],[Date_Year]],Table1[[#This Row],[Date_Month]],1))</f>
        <v>44075</v>
      </c>
    </row>
    <row r="1742" spans="2:20" ht="15.75">
      <c r="B1742" s="154">
        <v>44085</v>
      </c>
      <c r="C1742" s="119" t="s">
        <v>2982</v>
      </c>
      <c r="D1742" s="119"/>
      <c r="E1742" s="119"/>
      <c r="F1742" s="155">
        <v>-10</v>
      </c>
      <c r="G1742" s="133" t="str">
        <f>_xlfn.XLOOKUP(Table1[[#This Row],[Account_ID]], Accounts[ID], Accounts[Account nickname], "Unknown")</f>
        <v>Discover</v>
      </c>
      <c r="H1742" s="134" t="str">
        <f>_xlfn.XLOOKUP(Table1[[#This Row],[Account_ID]], Accounts[ID], Accounts[Account'#], "Unknown")</f>
        <v>4618</v>
      </c>
      <c r="I1742" s="135" t="str">
        <f>_xlfn.XLOOKUP(_xlfn.XLOOKUP(Table1[[#This Row],[Account]],Accounts[Account nickname],Accounts[Institution ID]),Institutions[ID],Institutions[Institution nickname],"Unknown")</f>
        <v>Discover</v>
      </c>
      <c r="J1742" s="136" t="s">
        <v>3043</v>
      </c>
      <c r="K1742" s="137" t="s">
        <v>843</v>
      </c>
      <c r="L1742" s="137" t="s">
        <v>841</v>
      </c>
      <c r="M174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4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42" s="138" t="str" cm="1">
        <f t="array" ref="O1742">IFERROR(INDEX(CategoriesTable[Category type],MATCH(Table1[[#This Row],[Category]],CategoriesTable[Category name],0),0),"")</f>
        <v/>
      </c>
      <c r="P1742" s="138">
        <v>11</v>
      </c>
      <c r="Q1742" s="138">
        <f>MONTH(Table1[[#This Row],[Date]])</f>
        <v>9</v>
      </c>
      <c r="R1742" s="138">
        <v>2020</v>
      </c>
      <c r="S1742" s="139">
        <f>IF(ISBLANK(Table1[[#This Row],[Date]]),"",Table1[[#This Row],[Date]]-WEEKDAY(Table1[[#This Row],[Date]],2)+1)</f>
        <v>44081</v>
      </c>
      <c r="T1742" s="140">
        <f>IF(ISBLANK(Table1[[#This Row],[Date]]),"",DATE(Table1[[#This Row],[Date_Year]],Table1[[#This Row],[Date_Month]],1))</f>
        <v>44075</v>
      </c>
    </row>
    <row r="1743" spans="2:20" ht="15.75">
      <c r="B1743" s="154">
        <v>44085</v>
      </c>
      <c r="C1743" s="119" t="s">
        <v>751</v>
      </c>
      <c r="D1743" s="119"/>
      <c r="E1743" s="119"/>
      <c r="F1743" s="155">
        <v>1450.14</v>
      </c>
      <c r="G1743" s="133" t="str">
        <f>_xlfn.XLOOKUP(Table1[[#This Row],[Account_ID]], Accounts[ID], Accounts[Account nickname], "Unknown")</f>
        <v>WF</v>
      </c>
      <c r="H1743" s="134" t="str">
        <f>_xlfn.XLOOKUP(Table1[[#This Row],[Account_ID]], Accounts[ID], Accounts[Account'#], "Unknown")</f>
        <v>4636</v>
      </c>
      <c r="I1743" s="135" t="str">
        <f>_xlfn.XLOOKUP(_xlfn.XLOOKUP(Table1[[#This Row],[Account]],Accounts[Account nickname],Accounts[Institution ID]),Institutions[ID],Institutions[Institution nickname],"Unknown")</f>
        <v>Wells Fargo</v>
      </c>
      <c r="J1743" s="136" t="s">
        <v>1317</v>
      </c>
      <c r="K1743" s="137" t="s">
        <v>808</v>
      </c>
      <c r="L1743" s="137" t="s">
        <v>807</v>
      </c>
      <c r="M174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4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43" s="138" t="str" cm="1">
        <f t="array" ref="O1743">IFERROR(INDEX(CategoriesTable[Category type],MATCH(Table1[[#This Row],[Category]],CategoriesTable[Category name],0),0),"")</f>
        <v/>
      </c>
      <c r="P1743" s="138">
        <v>11</v>
      </c>
      <c r="Q1743" s="138">
        <f>MONTH(Table1[[#This Row],[Date]])</f>
        <v>9</v>
      </c>
      <c r="R1743" s="138">
        <v>2020</v>
      </c>
      <c r="S1743" s="139">
        <f>IF(ISBLANK(Table1[[#This Row],[Date]]),"",Table1[[#This Row],[Date]]-WEEKDAY(Table1[[#This Row],[Date]],2)+1)</f>
        <v>44081</v>
      </c>
      <c r="T1743" s="140">
        <f>IF(ISBLANK(Table1[[#This Row],[Date]]),"",DATE(Table1[[#This Row],[Date_Year]],Table1[[#This Row],[Date_Month]],1))</f>
        <v>44075</v>
      </c>
    </row>
    <row r="1744" spans="2:20" ht="15.75">
      <c r="B1744" s="154">
        <v>44084</v>
      </c>
      <c r="C1744" s="119" t="s">
        <v>910</v>
      </c>
      <c r="D1744" s="119"/>
      <c r="E1744" s="119"/>
      <c r="F1744" s="155">
        <v>-14.99</v>
      </c>
      <c r="G1744" s="133" t="str">
        <f>_xlfn.XLOOKUP(Table1[[#This Row],[Account_ID]], Accounts[ID], Accounts[Account nickname], "Unknown")</f>
        <v>Discover</v>
      </c>
      <c r="H1744" s="134" t="str">
        <f>_xlfn.XLOOKUP(Table1[[#This Row],[Account_ID]], Accounts[ID], Accounts[Account'#], "Unknown")</f>
        <v>4618</v>
      </c>
      <c r="I1744" s="135" t="str">
        <f>_xlfn.XLOOKUP(_xlfn.XLOOKUP(Table1[[#This Row],[Account]],Accounts[Account nickname],Accounts[Institution ID]),Institutions[ID],Institutions[Institution nickname],"Unknown")</f>
        <v>Discover</v>
      </c>
      <c r="J1744" s="136" t="s">
        <v>3050</v>
      </c>
      <c r="K1744" s="137" t="s">
        <v>843</v>
      </c>
      <c r="L1744" s="137" t="s">
        <v>841</v>
      </c>
      <c r="M174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4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44" s="138" t="str" cm="1">
        <f t="array" ref="O1744">IFERROR(INDEX(CategoriesTable[Category type],MATCH(Table1[[#This Row],[Category]],CategoriesTable[Category name],0),0),"")</f>
        <v/>
      </c>
      <c r="P1744" s="138">
        <v>10</v>
      </c>
      <c r="Q1744" s="138">
        <f>MONTH(Table1[[#This Row],[Date]])</f>
        <v>9</v>
      </c>
      <c r="R1744" s="138">
        <v>2020</v>
      </c>
      <c r="S1744" s="139">
        <f>IF(ISBLANK(Table1[[#This Row],[Date]]),"",Table1[[#This Row],[Date]]-WEEKDAY(Table1[[#This Row],[Date]],2)+1)</f>
        <v>44081</v>
      </c>
      <c r="T1744" s="140">
        <f>IF(ISBLANK(Table1[[#This Row],[Date]]),"",DATE(Table1[[#This Row],[Date_Year]],Table1[[#This Row],[Date_Month]],1))</f>
        <v>44075</v>
      </c>
    </row>
    <row r="1745" spans="2:20" ht="15.75">
      <c r="B1745" s="154">
        <v>44084</v>
      </c>
      <c r="C1745" s="119" t="s">
        <v>2771</v>
      </c>
      <c r="D1745" s="119"/>
      <c r="E1745" s="119"/>
      <c r="F1745" s="155">
        <v>-12.98</v>
      </c>
      <c r="G1745" s="133" t="str">
        <f>_xlfn.XLOOKUP(Table1[[#This Row],[Account_ID]], Accounts[ID], Accounts[Account nickname], "Unknown")</f>
        <v>Discover</v>
      </c>
      <c r="H1745" s="134" t="str">
        <f>_xlfn.XLOOKUP(Table1[[#This Row],[Account_ID]], Accounts[ID], Accounts[Account'#], "Unknown")</f>
        <v>4618</v>
      </c>
      <c r="I1745" s="135" t="str">
        <f>_xlfn.XLOOKUP(_xlfn.XLOOKUP(Table1[[#This Row],[Account]],Accounts[Account nickname],Accounts[Institution ID]),Institutions[ID],Institutions[Institution nickname],"Unknown")</f>
        <v>Discover</v>
      </c>
      <c r="J1745" s="136" t="s">
        <v>3051</v>
      </c>
      <c r="K1745" s="137" t="s">
        <v>843</v>
      </c>
      <c r="L1745" s="137" t="s">
        <v>841</v>
      </c>
      <c r="M174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4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45" s="138" t="str" cm="1">
        <f t="array" ref="O1745">IFERROR(INDEX(CategoriesTable[Category type],MATCH(Table1[[#This Row],[Category]],CategoriesTable[Category name],0),0),"")</f>
        <v/>
      </c>
      <c r="P1745" s="138">
        <v>10</v>
      </c>
      <c r="Q1745" s="138">
        <f>MONTH(Table1[[#This Row],[Date]])</f>
        <v>9</v>
      </c>
      <c r="R1745" s="138">
        <v>2020</v>
      </c>
      <c r="S1745" s="139">
        <f>IF(ISBLANK(Table1[[#This Row],[Date]]),"",Table1[[#This Row],[Date]]-WEEKDAY(Table1[[#This Row],[Date]],2)+1)</f>
        <v>44081</v>
      </c>
      <c r="T1745" s="140">
        <f>IF(ISBLANK(Table1[[#This Row],[Date]]),"",DATE(Table1[[#This Row],[Date_Year]],Table1[[#This Row],[Date_Month]],1))</f>
        <v>44075</v>
      </c>
    </row>
    <row r="1746" spans="2:20" ht="15.75">
      <c r="B1746" s="154">
        <v>44082</v>
      </c>
      <c r="C1746" s="119" t="s">
        <v>753</v>
      </c>
      <c r="D1746" s="119"/>
      <c r="E1746" s="119"/>
      <c r="F1746" s="155">
        <v>160</v>
      </c>
      <c r="G1746" s="133" t="str">
        <f>_xlfn.XLOOKUP(Table1[[#This Row],[Account_ID]], Accounts[ID], Accounts[Account nickname], "Unknown")</f>
        <v>WF</v>
      </c>
      <c r="H1746" s="134" t="str">
        <f>_xlfn.XLOOKUP(Table1[[#This Row],[Account_ID]], Accounts[ID], Accounts[Account'#], "Unknown")</f>
        <v>4636</v>
      </c>
      <c r="I1746" s="135" t="str">
        <f>_xlfn.XLOOKUP(_xlfn.XLOOKUP(Table1[[#This Row],[Account]],Accounts[Account nickname],Accounts[Institution ID]),Institutions[ID],Institutions[Institution nickname],"Unknown")</f>
        <v>Wells Fargo</v>
      </c>
      <c r="J1746" s="152" t="s">
        <v>1318</v>
      </c>
      <c r="K1746" s="137" t="s">
        <v>808</v>
      </c>
      <c r="L1746" s="137" t="s">
        <v>807</v>
      </c>
      <c r="M174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4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46" s="138" t="str" cm="1">
        <f t="array" ref="O1746">IFERROR(INDEX(CategoriesTable[Category type],MATCH(Table1[[#This Row],[Category]],CategoriesTable[Category name],0),0),"")</f>
        <v/>
      </c>
      <c r="P1746" s="138">
        <v>8</v>
      </c>
      <c r="Q1746" s="138">
        <f>MONTH(Table1[[#This Row],[Date]])</f>
        <v>9</v>
      </c>
      <c r="R1746" s="138">
        <v>2020</v>
      </c>
      <c r="S1746" s="139">
        <f>IF(ISBLANK(Table1[[#This Row],[Date]]),"",Table1[[#This Row],[Date]]-WEEKDAY(Table1[[#This Row],[Date]],2)+1)</f>
        <v>44081</v>
      </c>
      <c r="T1746" s="140">
        <f>IF(ISBLANK(Table1[[#This Row],[Date]]),"",DATE(Table1[[#This Row],[Date_Year]],Table1[[#This Row],[Date_Month]],1))</f>
        <v>44075</v>
      </c>
    </row>
    <row r="1747" spans="2:20" ht="15.75">
      <c r="B1747" s="154">
        <v>44082</v>
      </c>
      <c r="C1747" s="119" t="s">
        <v>2952</v>
      </c>
      <c r="D1747" s="119"/>
      <c r="E1747" s="119"/>
      <c r="F1747" s="155">
        <v>-4.99</v>
      </c>
      <c r="G1747" s="133" t="str">
        <f>_xlfn.XLOOKUP(Table1[[#This Row],[Account_ID]], Accounts[ID], Accounts[Account nickname], "Unknown")</f>
        <v>Discover</v>
      </c>
      <c r="H1747" s="134" t="str">
        <f>_xlfn.XLOOKUP(Table1[[#This Row],[Account_ID]], Accounts[ID], Accounts[Account'#], "Unknown")</f>
        <v>4618</v>
      </c>
      <c r="I1747" s="135" t="str">
        <f>_xlfn.XLOOKUP(_xlfn.XLOOKUP(Table1[[#This Row],[Account]],Accounts[Account nickname],Accounts[Institution ID]),Institutions[ID],Institutions[Institution nickname],"Unknown")</f>
        <v>Discover</v>
      </c>
      <c r="J1747" s="136" t="s">
        <v>3055</v>
      </c>
      <c r="K1747" s="137" t="s">
        <v>843</v>
      </c>
      <c r="L1747" s="137" t="s">
        <v>841</v>
      </c>
      <c r="M174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4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47" s="138" t="str" cm="1">
        <f t="array" ref="O1747">IFERROR(INDEX(CategoriesTable[Category type],MATCH(Table1[[#This Row],[Category]],CategoriesTable[Category name],0),0),"")</f>
        <v/>
      </c>
      <c r="P1747" s="138">
        <v>8</v>
      </c>
      <c r="Q1747" s="138">
        <f>MONTH(Table1[[#This Row],[Date]])</f>
        <v>9</v>
      </c>
      <c r="R1747" s="138">
        <v>2020</v>
      </c>
      <c r="S1747" s="139">
        <f>IF(ISBLANK(Table1[[#This Row],[Date]]),"",Table1[[#This Row],[Date]]-WEEKDAY(Table1[[#This Row],[Date]],2)+1)</f>
        <v>44081</v>
      </c>
      <c r="T1747" s="140">
        <f>IF(ISBLANK(Table1[[#This Row],[Date]]),"",DATE(Table1[[#This Row],[Date_Year]],Table1[[#This Row],[Date_Month]],1))</f>
        <v>44075</v>
      </c>
    </row>
    <row r="1748" spans="2:20" ht="15.75">
      <c r="B1748" s="154">
        <v>44082</v>
      </c>
      <c r="C1748" s="119" t="s">
        <v>2982</v>
      </c>
      <c r="D1748" s="119"/>
      <c r="E1748" s="119"/>
      <c r="F1748" s="155">
        <v>-10</v>
      </c>
      <c r="G1748" s="133" t="str">
        <f>_xlfn.XLOOKUP(Table1[[#This Row],[Account_ID]], Accounts[ID], Accounts[Account nickname], "Unknown")</f>
        <v>Discover</v>
      </c>
      <c r="H1748" s="134" t="str">
        <f>_xlfn.XLOOKUP(Table1[[#This Row],[Account_ID]], Accounts[ID], Accounts[Account'#], "Unknown")</f>
        <v>4618</v>
      </c>
      <c r="I1748" s="135" t="str">
        <f>_xlfn.XLOOKUP(_xlfn.XLOOKUP(Table1[[#This Row],[Account]],Accounts[Account nickname],Accounts[Institution ID]),Institutions[ID],Institutions[Institution nickname],"Unknown")</f>
        <v>Discover</v>
      </c>
      <c r="J1748" s="136" t="s">
        <v>3052</v>
      </c>
      <c r="K1748" s="137" t="s">
        <v>843</v>
      </c>
      <c r="L1748" s="137" t="s">
        <v>841</v>
      </c>
      <c r="M174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4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48" s="138" t="str" cm="1">
        <f t="array" ref="O1748">IFERROR(INDEX(CategoriesTable[Category type],MATCH(Table1[[#This Row],[Category]],CategoriesTable[Category name],0),0),"")</f>
        <v/>
      </c>
      <c r="P1748" s="138">
        <v>8</v>
      </c>
      <c r="Q1748" s="138">
        <f>MONTH(Table1[[#This Row],[Date]])</f>
        <v>9</v>
      </c>
      <c r="R1748" s="138">
        <v>2020</v>
      </c>
      <c r="S1748" s="139">
        <f>IF(ISBLANK(Table1[[#This Row],[Date]]),"",Table1[[#This Row],[Date]]-WEEKDAY(Table1[[#This Row],[Date]],2)+1)</f>
        <v>44081</v>
      </c>
      <c r="T1748" s="140">
        <f>IF(ISBLANK(Table1[[#This Row],[Date]]),"",DATE(Table1[[#This Row],[Date_Year]],Table1[[#This Row],[Date_Month]],1))</f>
        <v>44075</v>
      </c>
    </row>
    <row r="1749" spans="2:20" ht="15.75">
      <c r="B1749" s="154">
        <v>44082</v>
      </c>
      <c r="C1749" s="119" t="s">
        <v>3053</v>
      </c>
      <c r="D1749" s="119"/>
      <c r="E1749" s="119"/>
      <c r="F1749" s="155">
        <v>-7.99</v>
      </c>
      <c r="G1749" s="133" t="str">
        <f>_xlfn.XLOOKUP(Table1[[#This Row],[Account_ID]], Accounts[ID], Accounts[Account nickname], "Unknown")</f>
        <v>Discover</v>
      </c>
      <c r="H1749" s="134" t="str">
        <f>_xlfn.XLOOKUP(Table1[[#This Row],[Account_ID]], Accounts[ID], Accounts[Account'#], "Unknown")</f>
        <v>4618</v>
      </c>
      <c r="I1749" s="135" t="str">
        <f>_xlfn.XLOOKUP(_xlfn.XLOOKUP(Table1[[#This Row],[Account]],Accounts[Account nickname],Accounts[Institution ID]),Institutions[ID],Institutions[Institution nickname],"Unknown")</f>
        <v>Discover</v>
      </c>
      <c r="J1749" s="136" t="s">
        <v>3054</v>
      </c>
      <c r="K1749" s="137" t="s">
        <v>843</v>
      </c>
      <c r="L1749" s="137" t="s">
        <v>841</v>
      </c>
      <c r="M174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4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49" s="138" t="str" cm="1">
        <f t="array" ref="O1749">IFERROR(INDEX(CategoriesTable[Category type],MATCH(Table1[[#This Row],[Category]],CategoriesTable[Category name],0),0),"")</f>
        <v/>
      </c>
      <c r="P1749" s="138">
        <v>8</v>
      </c>
      <c r="Q1749" s="138">
        <f>MONTH(Table1[[#This Row],[Date]])</f>
        <v>9</v>
      </c>
      <c r="R1749" s="138">
        <v>2020</v>
      </c>
      <c r="S1749" s="139">
        <f>IF(ISBLANK(Table1[[#This Row],[Date]]),"",Table1[[#This Row],[Date]]-WEEKDAY(Table1[[#This Row],[Date]],2)+1)</f>
        <v>44081</v>
      </c>
      <c r="T1749" s="140">
        <f>IF(ISBLANK(Table1[[#This Row],[Date]]),"",DATE(Table1[[#This Row],[Date_Year]],Table1[[#This Row],[Date_Month]],1))</f>
        <v>44075</v>
      </c>
    </row>
    <row r="1750" spans="2:20" ht="15.75">
      <c r="B1750" s="154">
        <v>44081</v>
      </c>
      <c r="C1750" s="119" t="s">
        <v>704</v>
      </c>
      <c r="D1750" s="119"/>
      <c r="E1750" s="119"/>
      <c r="F1750" s="155">
        <v>-16</v>
      </c>
      <c r="G1750" s="133" t="str">
        <f>_xlfn.XLOOKUP(Table1[[#This Row],[Account_ID]], Accounts[ID], Accounts[Account nickname], "Unknown")</f>
        <v>Discover</v>
      </c>
      <c r="H1750" s="134" t="str">
        <f>_xlfn.XLOOKUP(Table1[[#This Row],[Account_ID]], Accounts[ID], Accounts[Account'#], "Unknown")</f>
        <v>4618</v>
      </c>
      <c r="I1750" s="135" t="str">
        <f>_xlfn.XLOOKUP(_xlfn.XLOOKUP(Table1[[#This Row],[Account]],Accounts[Account nickname],Accounts[Institution ID]),Institutions[ID],Institutions[Institution nickname],"Unknown")</f>
        <v>Discover</v>
      </c>
      <c r="J1750" s="136" t="s">
        <v>3056</v>
      </c>
      <c r="K1750" s="137" t="s">
        <v>843</v>
      </c>
      <c r="L1750" s="137" t="s">
        <v>841</v>
      </c>
      <c r="M175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5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50" s="138" t="str" cm="1">
        <f t="array" ref="O1750">IFERROR(INDEX(CategoriesTable[Category type],MATCH(Table1[[#This Row],[Category]],CategoriesTable[Category name],0),0),"")</f>
        <v/>
      </c>
      <c r="P1750" s="138">
        <v>7</v>
      </c>
      <c r="Q1750" s="138">
        <f>MONTH(Table1[[#This Row],[Date]])</f>
        <v>9</v>
      </c>
      <c r="R1750" s="138">
        <v>2020</v>
      </c>
      <c r="S1750" s="139">
        <f>IF(ISBLANK(Table1[[#This Row],[Date]]),"",Table1[[#This Row],[Date]]-WEEKDAY(Table1[[#This Row],[Date]],2)+1)</f>
        <v>44081</v>
      </c>
      <c r="T1750" s="140">
        <f>IF(ISBLANK(Table1[[#This Row],[Date]]),"",DATE(Table1[[#This Row],[Date_Year]],Table1[[#This Row],[Date_Month]],1))</f>
        <v>44075</v>
      </c>
    </row>
    <row r="1751" spans="2:20" ht="15.75">
      <c r="B1751" s="154">
        <v>44080</v>
      </c>
      <c r="C1751" s="119" t="s">
        <v>3057</v>
      </c>
      <c r="D1751" s="119"/>
      <c r="E1751" s="119"/>
      <c r="F1751" s="155">
        <v>-15.47</v>
      </c>
      <c r="G1751" s="133" t="str">
        <f>_xlfn.XLOOKUP(Table1[[#This Row],[Account_ID]], Accounts[ID], Accounts[Account nickname], "Unknown")</f>
        <v>Discover</v>
      </c>
      <c r="H1751" s="134" t="str">
        <f>_xlfn.XLOOKUP(Table1[[#This Row],[Account_ID]], Accounts[ID], Accounts[Account'#], "Unknown")</f>
        <v>4618</v>
      </c>
      <c r="I1751" s="135" t="str">
        <f>_xlfn.XLOOKUP(_xlfn.XLOOKUP(Table1[[#This Row],[Account]],Accounts[Account nickname],Accounts[Institution ID]),Institutions[ID],Institutions[Institution nickname],"Unknown")</f>
        <v>Discover</v>
      </c>
      <c r="J1751" s="136" t="s">
        <v>3058</v>
      </c>
      <c r="K1751" s="137" t="s">
        <v>843</v>
      </c>
      <c r="L1751" s="137" t="s">
        <v>841</v>
      </c>
      <c r="M175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5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51" s="138" t="str" cm="1">
        <f t="array" ref="O1751">IFERROR(INDEX(CategoriesTable[Category type],MATCH(Table1[[#This Row],[Category]],CategoriesTable[Category name],0),0),"")</f>
        <v/>
      </c>
      <c r="P1751" s="138">
        <v>6</v>
      </c>
      <c r="Q1751" s="138">
        <f>MONTH(Table1[[#This Row],[Date]])</f>
        <v>9</v>
      </c>
      <c r="R1751" s="138">
        <v>2020</v>
      </c>
      <c r="S1751" s="139">
        <f>IF(ISBLANK(Table1[[#This Row],[Date]]),"",Table1[[#This Row],[Date]]-WEEKDAY(Table1[[#This Row],[Date]],2)+1)</f>
        <v>44074</v>
      </c>
      <c r="T1751" s="140">
        <f>IF(ISBLANK(Table1[[#This Row],[Date]]),"",DATE(Table1[[#This Row],[Date_Year]],Table1[[#This Row],[Date_Month]],1))</f>
        <v>44075</v>
      </c>
    </row>
    <row r="1752" spans="2:20" ht="15.75">
      <c r="B1752" s="154">
        <v>44080</v>
      </c>
      <c r="C1752" s="119" t="s">
        <v>3060</v>
      </c>
      <c r="D1752" s="119"/>
      <c r="E1752" s="119"/>
      <c r="F1752" s="155">
        <v>-15.57</v>
      </c>
      <c r="G1752" s="133" t="str">
        <f>_xlfn.XLOOKUP(Table1[[#This Row],[Account_ID]], Accounts[ID], Accounts[Account nickname], "Unknown")</f>
        <v>Discover</v>
      </c>
      <c r="H1752" s="134" t="str">
        <f>_xlfn.XLOOKUP(Table1[[#This Row],[Account_ID]], Accounts[ID], Accounts[Account'#], "Unknown")</f>
        <v>4618</v>
      </c>
      <c r="I1752" s="135" t="str">
        <f>_xlfn.XLOOKUP(_xlfn.XLOOKUP(Table1[[#This Row],[Account]],Accounts[Account nickname],Accounts[Institution ID]),Institutions[ID],Institutions[Institution nickname],"Unknown")</f>
        <v>Discover</v>
      </c>
      <c r="J1752" s="136" t="s">
        <v>3061</v>
      </c>
      <c r="K1752" s="137" t="s">
        <v>843</v>
      </c>
      <c r="L1752" s="137" t="s">
        <v>841</v>
      </c>
      <c r="M175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5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52" s="138" t="str" cm="1">
        <f t="array" ref="O1752">IFERROR(INDEX(CategoriesTable[Category type],MATCH(Table1[[#This Row],[Category]],CategoriesTable[Category name],0),0),"")</f>
        <v/>
      </c>
      <c r="P1752" s="138">
        <v>6</v>
      </c>
      <c r="Q1752" s="138">
        <f>MONTH(Table1[[#This Row],[Date]])</f>
        <v>9</v>
      </c>
      <c r="R1752" s="138">
        <v>2020</v>
      </c>
      <c r="S1752" s="139">
        <f>IF(ISBLANK(Table1[[#This Row],[Date]]),"",Table1[[#This Row],[Date]]-WEEKDAY(Table1[[#This Row],[Date]],2)+1)</f>
        <v>44074</v>
      </c>
      <c r="T1752" s="140">
        <f>IF(ISBLANK(Table1[[#This Row],[Date]]),"",DATE(Table1[[#This Row],[Date_Year]],Table1[[#This Row],[Date_Month]],1))</f>
        <v>44075</v>
      </c>
    </row>
    <row r="1753" spans="2:20" ht="15.75">
      <c r="B1753" s="154">
        <v>44080</v>
      </c>
      <c r="C1753" s="119" t="s">
        <v>745</v>
      </c>
      <c r="D1753" s="119"/>
      <c r="E1753" s="119"/>
      <c r="F1753" s="155">
        <v>-21.17</v>
      </c>
      <c r="G1753" s="133" t="str">
        <f>_xlfn.XLOOKUP(Table1[[#This Row],[Account_ID]], Accounts[ID], Accounts[Account nickname], "Unknown")</f>
        <v>Discover</v>
      </c>
      <c r="H1753" s="134" t="str">
        <f>_xlfn.XLOOKUP(Table1[[#This Row],[Account_ID]], Accounts[ID], Accounts[Account'#], "Unknown")</f>
        <v>4618</v>
      </c>
      <c r="I1753" s="135" t="str">
        <f>_xlfn.XLOOKUP(_xlfn.XLOOKUP(Table1[[#This Row],[Account]],Accounts[Account nickname],Accounts[Institution ID]),Institutions[ID],Institutions[Institution nickname],"Unknown")</f>
        <v>Discover</v>
      </c>
      <c r="J1753" s="136" t="s">
        <v>3059</v>
      </c>
      <c r="K1753" s="137" t="s">
        <v>843</v>
      </c>
      <c r="L1753" s="137" t="s">
        <v>841</v>
      </c>
      <c r="M175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5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53" s="138" t="str" cm="1">
        <f t="array" ref="O1753">IFERROR(INDEX(CategoriesTable[Category type],MATCH(Table1[[#This Row],[Category]],CategoriesTable[Category name],0),0),"")</f>
        <v/>
      </c>
      <c r="P1753" s="138">
        <v>6</v>
      </c>
      <c r="Q1753" s="138">
        <f>MONTH(Table1[[#This Row],[Date]])</f>
        <v>9</v>
      </c>
      <c r="R1753" s="138">
        <v>2020</v>
      </c>
      <c r="S1753" s="139">
        <f>IF(ISBLANK(Table1[[#This Row],[Date]]),"",Table1[[#This Row],[Date]]-WEEKDAY(Table1[[#This Row],[Date]],2)+1)</f>
        <v>44074</v>
      </c>
      <c r="T1753" s="140">
        <f>IF(ISBLANK(Table1[[#This Row],[Date]]),"",DATE(Table1[[#This Row],[Date_Year]],Table1[[#This Row],[Date_Month]],1))</f>
        <v>44075</v>
      </c>
    </row>
    <row r="1754" spans="2:20" ht="15.75">
      <c r="B1754" s="154">
        <v>44079</v>
      </c>
      <c r="C1754" s="119" t="s">
        <v>3064</v>
      </c>
      <c r="D1754" s="119"/>
      <c r="E1754" s="119"/>
      <c r="F1754" s="155">
        <v>-11.04</v>
      </c>
      <c r="G1754" s="133" t="str">
        <f>_xlfn.XLOOKUP(Table1[[#This Row],[Account_ID]], Accounts[ID], Accounts[Account nickname], "Unknown")</f>
        <v>Discover</v>
      </c>
      <c r="H1754" s="134" t="str">
        <f>_xlfn.XLOOKUP(Table1[[#This Row],[Account_ID]], Accounts[ID], Accounts[Account'#], "Unknown")</f>
        <v>4618</v>
      </c>
      <c r="I1754" s="135" t="str">
        <f>_xlfn.XLOOKUP(_xlfn.XLOOKUP(Table1[[#This Row],[Account]],Accounts[Account nickname],Accounts[Institution ID]),Institutions[ID],Institutions[Institution nickname],"Unknown")</f>
        <v>Discover</v>
      </c>
      <c r="J1754" s="136" t="s">
        <v>3065</v>
      </c>
      <c r="K1754" s="137" t="s">
        <v>843</v>
      </c>
      <c r="L1754" s="137" t="s">
        <v>841</v>
      </c>
      <c r="M175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5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54" s="138" t="str" cm="1">
        <f t="array" ref="O1754">IFERROR(INDEX(CategoriesTable[Category type],MATCH(Table1[[#This Row],[Category]],CategoriesTable[Category name],0),0),"")</f>
        <v/>
      </c>
      <c r="P1754" s="138">
        <v>5</v>
      </c>
      <c r="Q1754" s="138">
        <f>MONTH(Table1[[#This Row],[Date]])</f>
        <v>9</v>
      </c>
      <c r="R1754" s="138">
        <v>2020</v>
      </c>
      <c r="S1754" s="139">
        <f>IF(ISBLANK(Table1[[#This Row],[Date]]),"",Table1[[#This Row],[Date]]-WEEKDAY(Table1[[#This Row],[Date]],2)+1)</f>
        <v>44074</v>
      </c>
      <c r="T1754" s="140">
        <f>IF(ISBLANK(Table1[[#This Row],[Date]]),"",DATE(Table1[[#This Row],[Date_Year]],Table1[[#This Row],[Date_Month]],1))</f>
        <v>44075</v>
      </c>
    </row>
    <row r="1755" spans="2:20" ht="15.75">
      <c r="B1755" s="154">
        <v>44079</v>
      </c>
      <c r="C1755" s="119" t="s">
        <v>2666</v>
      </c>
      <c r="D1755" s="119"/>
      <c r="E1755" s="119"/>
      <c r="F1755" s="155">
        <v>-7.69</v>
      </c>
      <c r="G1755" s="133" t="str">
        <f>_xlfn.XLOOKUP(Table1[[#This Row],[Account_ID]], Accounts[ID], Accounts[Account nickname], "Unknown")</f>
        <v>Discover</v>
      </c>
      <c r="H1755" s="134" t="str">
        <f>_xlfn.XLOOKUP(Table1[[#This Row],[Account_ID]], Accounts[ID], Accounts[Account'#], "Unknown")</f>
        <v>4618</v>
      </c>
      <c r="I1755" s="135" t="str">
        <f>_xlfn.XLOOKUP(_xlfn.XLOOKUP(Table1[[#This Row],[Account]],Accounts[Account nickname],Accounts[Institution ID]),Institutions[ID],Institutions[Institution nickname],"Unknown")</f>
        <v>Discover</v>
      </c>
      <c r="J1755" s="136" t="s">
        <v>3062</v>
      </c>
      <c r="K1755" s="137" t="s">
        <v>843</v>
      </c>
      <c r="L1755" s="137" t="s">
        <v>841</v>
      </c>
      <c r="M175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5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55" s="138" t="str" cm="1">
        <f t="array" ref="O1755">IFERROR(INDEX(CategoriesTable[Category type],MATCH(Table1[[#This Row],[Category]],CategoriesTable[Category name],0),0),"")</f>
        <v/>
      </c>
      <c r="P1755" s="138">
        <v>5</v>
      </c>
      <c r="Q1755" s="138">
        <f>MONTH(Table1[[#This Row],[Date]])</f>
        <v>9</v>
      </c>
      <c r="R1755" s="138">
        <v>2020</v>
      </c>
      <c r="S1755" s="139">
        <f>IF(ISBLANK(Table1[[#This Row],[Date]]),"",Table1[[#This Row],[Date]]-WEEKDAY(Table1[[#This Row],[Date]],2)+1)</f>
        <v>44074</v>
      </c>
      <c r="T1755" s="140">
        <f>IF(ISBLANK(Table1[[#This Row],[Date]]),"",DATE(Table1[[#This Row],[Date_Year]],Table1[[#This Row],[Date_Month]],1))</f>
        <v>44075</v>
      </c>
    </row>
    <row r="1756" spans="2:20" ht="15.75">
      <c r="B1756" s="154">
        <v>44079</v>
      </c>
      <c r="C1756" s="119" t="s">
        <v>1618</v>
      </c>
      <c r="D1756" s="119"/>
      <c r="E1756" s="119"/>
      <c r="F1756" s="155">
        <v>-39.950000000000003</v>
      </c>
      <c r="G1756" s="133" t="str">
        <f>_xlfn.XLOOKUP(Table1[[#This Row],[Account_ID]], Accounts[ID], Accounts[Account nickname], "Unknown")</f>
        <v>Discover</v>
      </c>
      <c r="H1756" s="134" t="str">
        <f>_xlfn.XLOOKUP(Table1[[#This Row],[Account_ID]], Accounts[ID], Accounts[Account'#], "Unknown")</f>
        <v>4618</v>
      </c>
      <c r="I1756" s="135" t="str">
        <f>_xlfn.XLOOKUP(_xlfn.XLOOKUP(Table1[[#This Row],[Account]],Accounts[Account nickname],Accounts[Institution ID]),Institutions[ID],Institutions[Institution nickname],"Unknown")</f>
        <v>Discover</v>
      </c>
      <c r="J1756" s="136" t="s">
        <v>3063</v>
      </c>
      <c r="K1756" s="137" t="s">
        <v>843</v>
      </c>
      <c r="L1756" s="137" t="s">
        <v>841</v>
      </c>
      <c r="M175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5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56" s="138" t="str" cm="1">
        <f t="array" ref="O1756">IFERROR(INDEX(CategoriesTable[Category type],MATCH(Table1[[#This Row],[Category]],CategoriesTable[Category name],0),0),"")</f>
        <v/>
      </c>
      <c r="P1756" s="138">
        <v>5</v>
      </c>
      <c r="Q1756" s="138">
        <f>MONTH(Table1[[#This Row],[Date]])</f>
        <v>9</v>
      </c>
      <c r="R1756" s="138">
        <v>2020</v>
      </c>
      <c r="S1756" s="139">
        <f>IF(ISBLANK(Table1[[#This Row],[Date]]),"",Table1[[#This Row],[Date]]-WEEKDAY(Table1[[#This Row],[Date]],2)+1)</f>
        <v>44074</v>
      </c>
      <c r="T1756" s="140">
        <f>IF(ISBLANK(Table1[[#This Row],[Date]]),"",DATE(Table1[[#This Row],[Date_Year]],Table1[[#This Row],[Date_Month]],1))</f>
        <v>44075</v>
      </c>
    </row>
    <row r="1757" spans="2:20" ht="15.75">
      <c r="B1757" s="154">
        <v>44079</v>
      </c>
      <c r="C1757" s="119" t="s">
        <v>787</v>
      </c>
      <c r="D1757" s="119"/>
      <c r="E1757" s="119"/>
      <c r="F1757" s="155">
        <v>-0.88</v>
      </c>
      <c r="G1757" s="133" t="str">
        <f>_xlfn.XLOOKUP(Table1[[#This Row],[Account_ID]], Accounts[ID], Accounts[Account nickname], "Unknown")</f>
        <v>Discover</v>
      </c>
      <c r="H1757" s="134" t="str">
        <f>_xlfn.XLOOKUP(Table1[[#This Row],[Account_ID]], Accounts[ID], Accounts[Account'#], "Unknown")</f>
        <v>4618</v>
      </c>
      <c r="I1757" s="135" t="str">
        <f>_xlfn.XLOOKUP(_xlfn.XLOOKUP(Table1[[#This Row],[Account]],Accounts[Account nickname],Accounts[Institution ID]),Institutions[ID],Institutions[Institution nickname],"Unknown")</f>
        <v>Discover</v>
      </c>
      <c r="J1757" s="136" t="s">
        <v>3066</v>
      </c>
      <c r="K1757" s="137" t="s">
        <v>843</v>
      </c>
      <c r="L1757" s="137" t="s">
        <v>841</v>
      </c>
      <c r="M175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5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57" s="138" t="str" cm="1">
        <f t="array" ref="O1757">IFERROR(INDEX(CategoriesTable[Category type],MATCH(Table1[[#This Row],[Category]],CategoriesTable[Category name],0),0),"")</f>
        <v/>
      </c>
      <c r="P1757" s="138">
        <v>5</v>
      </c>
      <c r="Q1757" s="138">
        <f>MONTH(Table1[[#This Row],[Date]])</f>
        <v>9</v>
      </c>
      <c r="R1757" s="138">
        <v>2020</v>
      </c>
      <c r="S1757" s="139">
        <f>IF(ISBLANK(Table1[[#This Row],[Date]]),"",Table1[[#This Row],[Date]]-WEEKDAY(Table1[[#This Row],[Date]],2)+1)</f>
        <v>44074</v>
      </c>
      <c r="T1757" s="140">
        <f>IF(ISBLANK(Table1[[#This Row],[Date]]),"",DATE(Table1[[#This Row],[Date_Year]],Table1[[#This Row],[Date_Month]],1))</f>
        <v>44075</v>
      </c>
    </row>
    <row r="1758" spans="2:20" ht="15.75">
      <c r="B1758" s="154">
        <v>44079</v>
      </c>
      <c r="C1758" s="119" t="s">
        <v>787</v>
      </c>
      <c r="D1758" s="119"/>
      <c r="E1758" s="119"/>
      <c r="F1758" s="155">
        <v>-11.89</v>
      </c>
      <c r="G1758" s="133" t="str">
        <f>_xlfn.XLOOKUP(Table1[[#This Row],[Account_ID]], Accounts[ID], Accounts[Account nickname], "Unknown")</f>
        <v>Discover</v>
      </c>
      <c r="H1758" s="134" t="str">
        <f>_xlfn.XLOOKUP(Table1[[#This Row],[Account_ID]], Accounts[ID], Accounts[Account'#], "Unknown")</f>
        <v>4618</v>
      </c>
      <c r="I1758" s="135" t="str">
        <f>_xlfn.XLOOKUP(_xlfn.XLOOKUP(Table1[[#This Row],[Account]],Accounts[Account nickname],Accounts[Institution ID]),Institutions[ID],Institutions[Institution nickname],"Unknown")</f>
        <v>Discover</v>
      </c>
      <c r="J1758" s="136" t="s">
        <v>3067</v>
      </c>
      <c r="K1758" s="137" t="s">
        <v>843</v>
      </c>
      <c r="L1758" s="137" t="s">
        <v>841</v>
      </c>
      <c r="M175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5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58" s="138" t="str" cm="1">
        <f t="array" ref="O1758">IFERROR(INDEX(CategoriesTable[Category type],MATCH(Table1[[#This Row],[Category]],CategoriesTable[Category name],0),0),"")</f>
        <v/>
      </c>
      <c r="P1758" s="138">
        <v>5</v>
      </c>
      <c r="Q1758" s="138">
        <f>MONTH(Table1[[#This Row],[Date]])</f>
        <v>9</v>
      </c>
      <c r="R1758" s="138">
        <v>2020</v>
      </c>
      <c r="S1758" s="139">
        <f>IF(ISBLANK(Table1[[#This Row],[Date]]),"",Table1[[#This Row],[Date]]-WEEKDAY(Table1[[#This Row],[Date]],2)+1)</f>
        <v>44074</v>
      </c>
      <c r="T1758" s="140">
        <f>IF(ISBLANK(Table1[[#This Row],[Date]]),"",DATE(Table1[[#This Row],[Date_Year]],Table1[[#This Row],[Date_Month]],1))</f>
        <v>44075</v>
      </c>
    </row>
    <row r="1759" spans="2:20" ht="15.75">
      <c r="B1759" s="154">
        <v>44078</v>
      </c>
      <c r="C1759" s="119" t="s">
        <v>787</v>
      </c>
      <c r="D1759" s="119"/>
      <c r="E1759" s="119"/>
      <c r="F1759" s="155">
        <v>-14.85</v>
      </c>
      <c r="G1759" s="133" t="str">
        <f>_xlfn.XLOOKUP(Table1[[#This Row],[Account_ID]], Accounts[ID], Accounts[Account nickname], "Unknown")</f>
        <v>Discover</v>
      </c>
      <c r="H1759" s="134" t="str">
        <f>_xlfn.XLOOKUP(Table1[[#This Row],[Account_ID]], Accounts[ID], Accounts[Account'#], "Unknown")</f>
        <v>4618</v>
      </c>
      <c r="I1759" s="135" t="str">
        <f>_xlfn.XLOOKUP(_xlfn.XLOOKUP(Table1[[#This Row],[Account]],Accounts[Account nickname],Accounts[Institution ID]),Institutions[ID],Institutions[Institution nickname],"Unknown")</f>
        <v>Discover</v>
      </c>
      <c r="J1759" s="136" t="s">
        <v>3075</v>
      </c>
      <c r="K1759" s="137" t="s">
        <v>843</v>
      </c>
      <c r="L1759" s="137" t="s">
        <v>841</v>
      </c>
      <c r="M175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5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59" s="138" t="str" cm="1">
        <f t="array" ref="O1759">IFERROR(INDEX(CategoriesTable[Category type],MATCH(Table1[[#This Row],[Category]],CategoriesTable[Category name],0),0),"")</f>
        <v/>
      </c>
      <c r="P1759" s="138">
        <v>4</v>
      </c>
      <c r="Q1759" s="138">
        <f>MONTH(Table1[[#This Row],[Date]])</f>
        <v>9</v>
      </c>
      <c r="R1759" s="138">
        <v>2020</v>
      </c>
      <c r="S1759" s="139">
        <f>IF(ISBLANK(Table1[[#This Row],[Date]]),"",Table1[[#This Row],[Date]]-WEEKDAY(Table1[[#This Row],[Date]],2)+1)</f>
        <v>44074</v>
      </c>
      <c r="T1759" s="140">
        <f>IF(ISBLANK(Table1[[#This Row],[Date]]),"",DATE(Table1[[#This Row],[Date_Year]],Table1[[#This Row],[Date_Month]],1))</f>
        <v>44075</v>
      </c>
    </row>
    <row r="1760" spans="2:20" ht="15.75">
      <c r="B1760" s="154">
        <v>44078</v>
      </c>
      <c r="C1760" s="119" t="s">
        <v>787</v>
      </c>
      <c r="D1760" s="119"/>
      <c r="E1760" s="119"/>
      <c r="F1760" s="155">
        <v>-17.48</v>
      </c>
      <c r="G1760" s="133" t="str">
        <f>_xlfn.XLOOKUP(Table1[[#This Row],[Account_ID]], Accounts[ID], Accounts[Account nickname], "Unknown")</f>
        <v>Discover</v>
      </c>
      <c r="H1760" s="134" t="str">
        <f>_xlfn.XLOOKUP(Table1[[#This Row],[Account_ID]], Accounts[ID], Accounts[Account'#], "Unknown")</f>
        <v>4618</v>
      </c>
      <c r="I1760" s="135" t="str">
        <f>_xlfn.XLOOKUP(_xlfn.XLOOKUP(Table1[[#This Row],[Account]],Accounts[Account nickname],Accounts[Institution ID]),Institutions[ID],Institutions[Institution nickname],"Unknown")</f>
        <v>Discover</v>
      </c>
      <c r="J1760" s="136" t="s">
        <v>3076</v>
      </c>
      <c r="K1760" s="137" t="s">
        <v>843</v>
      </c>
      <c r="L1760" s="137" t="s">
        <v>841</v>
      </c>
      <c r="M176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6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60" s="138" t="str" cm="1">
        <f t="array" ref="O1760">IFERROR(INDEX(CategoriesTable[Category type],MATCH(Table1[[#This Row],[Category]],CategoriesTable[Category name],0),0),"")</f>
        <v/>
      </c>
      <c r="P1760" s="138">
        <v>4</v>
      </c>
      <c r="Q1760" s="138">
        <f>MONTH(Table1[[#This Row],[Date]])</f>
        <v>9</v>
      </c>
      <c r="R1760" s="138">
        <v>2020</v>
      </c>
      <c r="S1760" s="139">
        <f>IF(ISBLANK(Table1[[#This Row],[Date]]),"",Table1[[#This Row],[Date]]-WEEKDAY(Table1[[#This Row],[Date]],2)+1)</f>
        <v>44074</v>
      </c>
      <c r="T1760" s="140">
        <f>IF(ISBLANK(Table1[[#This Row],[Date]]),"",DATE(Table1[[#This Row],[Date_Year]],Table1[[#This Row],[Date_Month]],1))</f>
        <v>44075</v>
      </c>
    </row>
    <row r="1761" spans="2:20" ht="15.75">
      <c r="B1761" s="154">
        <v>44078</v>
      </c>
      <c r="C1761" s="119" t="s">
        <v>787</v>
      </c>
      <c r="D1761" s="119"/>
      <c r="E1761" s="119"/>
      <c r="F1761" s="155">
        <v>-3.29</v>
      </c>
      <c r="G1761" s="133" t="str">
        <f>_xlfn.XLOOKUP(Table1[[#This Row],[Account_ID]], Accounts[ID], Accounts[Account nickname], "Unknown")</f>
        <v>Discover</v>
      </c>
      <c r="H1761" s="134" t="str">
        <f>_xlfn.XLOOKUP(Table1[[#This Row],[Account_ID]], Accounts[ID], Accounts[Account'#], "Unknown")</f>
        <v>4618</v>
      </c>
      <c r="I1761" s="135" t="str">
        <f>_xlfn.XLOOKUP(_xlfn.XLOOKUP(Table1[[#This Row],[Account]],Accounts[Account nickname],Accounts[Institution ID]),Institutions[ID],Institutions[Institution nickname],"Unknown")</f>
        <v>Discover</v>
      </c>
      <c r="J1761" s="136" t="s">
        <v>3072</v>
      </c>
      <c r="K1761" s="137" t="s">
        <v>843</v>
      </c>
      <c r="L1761" s="137" t="s">
        <v>841</v>
      </c>
      <c r="M176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6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61" s="138" t="str" cm="1">
        <f t="array" ref="O1761">IFERROR(INDEX(CategoriesTable[Category type],MATCH(Table1[[#This Row],[Category]],CategoriesTable[Category name],0),0),"")</f>
        <v/>
      </c>
      <c r="P1761" s="138">
        <v>4</v>
      </c>
      <c r="Q1761" s="138">
        <f>MONTH(Table1[[#This Row],[Date]])</f>
        <v>9</v>
      </c>
      <c r="R1761" s="138">
        <v>2020</v>
      </c>
      <c r="S1761" s="139">
        <f>IF(ISBLANK(Table1[[#This Row],[Date]]),"",Table1[[#This Row],[Date]]-WEEKDAY(Table1[[#This Row],[Date]],2)+1)</f>
        <v>44074</v>
      </c>
      <c r="T1761" s="140">
        <f>IF(ISBLANK(Table1[[#This Row],[Date]]),"",DATE(Table1[[#This Row],[Date_Year]],Table1[[#This Row],[Date_Month]],1))</f>
        <v>44075</v>
      </c>
    </row>
    <row r="1762" spans="2:20" ht="15.75">
      <c r="B1762" s="154">
        <v>44078</v>
      </c>
      <c r="C1762" s="119" t="s">
        <v>2771</v>
      </c>
      <c r="D1762" s="119"/>
      <c r="E1762" s="119"/>
      <c r="F1762" s="155">
        <v>-1.99</v>
      </c>
      <c r="G1762" s="133" t="str">
        <f>_xlfn.XLOOKUP(Table1[[#This Row],[Account_ID]], Accounts[ID], Accounts[Account nickname], "Unknown")</f>
        <v>Discover</v>
      </c>
      <c r="H1762" s="134" t="str">
        <f>_xlfn.XLOOKUP(Table1[[#This Row],[Account_ID]], Accounts[ID], Accounts[Account'#], "Unknown")</f>
        <v>4618</v>
      </c>
      <c r="I1762" s="135" t="str">
        <f>_xlfn.XLOOKUP(_xlfn.XLOOKUP(Table1[[#This Row],[Account]],Accounts[Account nickname],Accounts[Institution ID]),Institutions[ID],Institutions[Institution nickname],"Unknown")</f>
        <v>Discover</v>
      </c>
      <c r="J1762" s="136" t="s">
        <v>3068</v>
      </c>
      <c r="K1762" s="137" t="s">
        <v>843</v>
      </c>
      <c r="L1762" s="137" t="s">
        <v>841</v>
      </c>
      <c r="M176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6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62" s="138" t="str" cm="1">
        <f t="array" ref="O1762">IFERROR(INDEX(CategoriesTable[Category type],MATCH(Table1[[#This Row],[Category]],CategoriesTable[Category name],0),0),"")</f>
        <v/>
      </c>
      <c r="P1762" s="138">
        <v>4</v>
      </c>
      <c r="Q1762" s="138">
        <f>MONTH(Table1[[#This Row],[Date]])</f>
        <v>9</v>
      </c>
      <c r="R1762" s="138">
        <v>2020</v>
      </c>
      <c r="S1762" s="139">
        <f>IF(ISBLANK(Table1[[#This Row],[Date]]),"",Table1[[#This Row],[Date]]-WEEKDAY(Table1[[#This Row],[Date]],2)+1)</f>
        <v>44074</v>
      </c>
      <c r="T1762" s="140">
        <f>IF(ISBLANK(Table1[[#This Row],[Date]]),"",DATE(Table1[[#This Row],[Date_Year]],Table1[[#This Row],[Date_Month]],1))</f>
        <v>44075</v>
      </c>
    </row>
    <row r="1763" spans="2:20" ht="15.75">
      <c r="B1763" s="154">
        <v>44078</v>
      </c>
      <c r="C1763" s="119" t="s">
        <v>3069</v>
      </c>
      <c r="D1763" s="119"/>
      <c r="E1763" s="119"/>
      <c r="F1763" s="155">
        <v>-7.37</v>
      </c>
      <c r="G1763" s="133" t="str">
        <f>_xlfn.XLOOKUP(Table1[[#This Row],[Account_ID]], Accounts[ID], Accounts[Account nickname], "Unknown")</f>
        <v>Discover</v>
      </c>
      <c r="H1763" s="134" t="str">
        <f>_xlfn.XLOOKUP(Table1[[#This Row],[Account_ID]], Accounts[ID], Accounts[Account'#], "Unknown")</f>
        <v>4618</v>
      </c>
      <c r="I1763" s="135" t="str">
        <f>_xlfn.XLOOKUP(_xlfn.XLOOKUP(Table1[[#This Row],[Account]],Accounts[Account nickname],Accounts[Institution ID]),Institutions[ID],Institutions[Institution nickname],"Unknown")</f>
        <v>Discover</v>
      </c>
      <c r="J1763" s="136" t="s">
        <v>3070</v>
      </c>
      <c r="K1763" s="137" t="s">
        <v>843</v>
      </c>
      <c r="L1763" s="137" t="s">
        <v>841</v>
      </c>
      <c r="M176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6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63" s="138" t="str" cm="1">
        <f t="array" ref="O1763">IFERROR(INDEX(CategoriesTable[Category type],MATCH(Table1[[#This Row],[Category]],CategoriesTable[Category name],0),0),"")</f>
        <v/>
      </c>
      <c r="P1763" s="138">
        <v>4</v>
      </c>
      <c r="Q1763" s="138">
        <f>MONTH(Table1[[#This Row],[Date]])</f>
        <v>9</v>
      </c>
      <c r="R1763" s="138">
        <v>2020</v>
      </c>
      <c r="S1763" s="139">
        <f>IF(ISBLANK(Table1[[#This Row],[Date]]),"",Table1[[#This Row],[Date]]-WEEKDAY(Table1[[#This Row],[Date]],2)+1)</f>
        <v>44074</v>
      </c>
      <c r="T1763" s="140">
        <f>IF(ISBLANK(Table1[[#This Row],[Date]]),"",DATE(Table1[[#This Row],[Date_Year]],Table1[[#This Row],[Date_Month]],1))</f>
        <v>44075</v>
      </c>
    </row>
    <row r="1764" spans="2:20" ht="15.75">
      <c r="B1764" s="154">
        <v>44078</v>
      </c>
      <c r="C1764" s="119" t="s">
        <v>787</v>
      </c>
      <c r="D1764" s="119"/>
      <c r="E1764" s="119"/>
      <c r="F1764" s="155">
        <v>-0.74</v>
      </c>
      <c r="G1764" s="133" t="str">
        <f>_xlfn.XLOOKUP(Table1[[#This Row],[Account_ID]], Accounts[ID], Accounts[Account nickname], "Unknown")</f>
        <v>Discover</v>
      </c>
      <c r="H1764" s="134" t="str">
        <f>_xlfn.XLOOKUP(Table1[[#This Row],[Account_ID]], Accounts[ID], Accounts[Account'#], "Unknown")</f>
        <v>4618</v>
      </c>
      <c r="I1764" s="135" t="str">
        <f>_xlfn.XLOOKUP(_xlfn.XLOOKUP(Table1[[#This Row],[Account]],Accounts[Account nickname],Accounts[Institution ID]),Institutions[ID],Institutions[Institution nickname],"Unknown")</f>
        <v>Discover</v>
      </c>
      <c r="J1764" s="136" t="s">
        <v>3071</v>
      </c>
      <c r="K1764" s="137" t="s">
        <v>843</v>
      </c>
      <c r="L1764" s="137" t="s">
        <v>841</v>
      </c>
      <c r="M176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6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64" s="138" t="str" cm="1">
        <f t="array" ref="O1764">IFERROR(INDEX(CategoriesTable[Category type],MATCH(Table1[[#This Row],[Category]],CategoriesTable[Category name],0),0),"")</f>
        <v/>
      </c>
      <c r="P1764" s="138">
        <v>4</v>
      </c>
      <c r="Q1764" s="138">
        <f>MONTH(Table1[[#This Row],[Date]])</f>
        <v>9</v>
      </c>
      <c r="R1764" s="138">
        <v>2020</v>
      </c>
      <c r="S1764" s="139">
        <f>IF(ISBLANK(Table1[[#This Row],[Date]]),"",Table1[[#This Row],[Date]]-WEEKDAY(Table1[[#This Row],[Date]],2)+1)</f>
        <v>44074</v>
      </c>
      <c r="T1764" s="140">
        <f>IF(ISBLANK(Table1[[#This Row],[Date]]),"",DATE(Table1[[#This Row],[Date_Year]],Table1[[#This Row],[Date_Month]],1))</f>
        <v>44075</v>
      </c>
    </row>
    <row r="1765" spans="2:20" ht="15.75">
      <c r="B1765" s="154">
        <v>44078</v>
      </c>
      <c r="C1765" s="119" t="s">
        <v>787</v>
      </c>
      <c r="D1765" s="119"/>
      <c r="E1765" s="119"/>
      <c r="F1765" s="155">
        <v>-5.25</v>
      </c>
      <c r="G1765" s="133" t="str">
        <f>_xlfn.XLOOKUP(Table1[[#This Row],[Account_ID]], Accounts[ID], Accounts[Account nickname], "Unknown")</f>
        <v>Discover</v>
      </c>
      <c r="H1765" s="134" t="str">
        <f>_xlfn.XLOOKUP(Table1[[#This Row],[Account_ID]], Accounts[ID], Accounts[Account'#], "Unknown")</f>
        <v>4618</v>
      </c>
      <c r="I1765" s="135" t="str">
        <f>_xlfn.XLOOKUP(_xlfn.XLOOKUP(Table1[[#This Row],[Account]],Accounts[Account nickname],Accounts[Institution ID]),Institutions[ID],Institutions[Institution nickname],"Unknown")</f>
        <v>Discover</v>
      </c>
      <c r="J1765" s="136" t="s">
        <v>3074</v>
      </c>
      <c r="K1765" s="137" t="s">
        <v>843</v>
      </c>
      <c r="L1765" s="137" t="s">
        <v>841</v>
      </c>
      <c r="M176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6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65" s="138" t="str" cm="1">
        <f t="array" ref="O1765">IFERROR(INDEX(CategoriesTable[Category type],MATCH(Table1[[#This Row],[Category]],CategoriesTable[Category name],0),0),"")</f>
        <v/>
      </c>
      <c r="P1765" s="138">
        <v>4</v>
      </c>
      <c r="Q1765" s="138">
        <f>MONTH(Table1[[#This Row],[Date]])</f>
        <v>9</v>
      </c>
      <c r="R1765" s="138">
        <v>2020</v>
      </c>
      <c r="S1765" s="139">
        <f>IF(ISBLANK(Table1[[#This Row],[Date]]),"",Table1[[#This Row],[Date]]-WEEKDAY(Table1[[#This Row],[Date]],2)+1)</f>
        <v>44074</v>
      </c>
      <c r="T1765" s="140">
        <f>IF(ISBLANK(Table1[[#This Row],[Date]]),"",DATE(Table1[[#This Row],[Date_Year]],Table1[[#This Row],[Date_Month]],1))</f>
        <v>44075</v>
      </c>
    </row>
    <row r="1766" spans="2:20" ht="15.75">
      <c r="B1766" s="154">
        <v>44078</v>
      </c>
      <c r="C1766" s="119" t="s">
        <v>787</v>
      </c>
      <c r="D1766" s="119"/>
      <c r="E1766" s="119"/>
      <c r="F1766" s="155">
        <v>-4.84</v>
      </c>
      <c r="G1766" s="133" t="str">
        <f>_xlfn.XLOOKUP(Table1[[#This Row],[Account_ID]], Accounts[ID], Accounts[Account nickname], "Unknown")</f>
        <v>Discover</v>
      </c>
      <c r="H1766" s="134" t="str">
        <f>_xlfn.XLOOKUP(Table1[[#This Row],[Account_ID]], Accounts[ID], Accounts[Account'#], "Unknown")</f>
        <v>4618</v>
      </c>
      <c r="I1766" s="135" t="str">
        <f>_xlfn.XLOOKUP(_xlfn.XLOOKUP(Table1[[#This Row],[Account]],Accounts[Account nickname],Accounts[Institution ID]),Institutions[ID],Institutions[Institution nickname],"Unknown")</f>
        <v>Discover</v>
      </c>
      <c r="J1766" s="136" t="s">
        <v>3073</v>
      </c>
      <c r="K1766" s="137" t="s">
        <v>843</v>
      </c>
      <c r="L1766" s="137" t="s">
        <v>841</v>
      </c>
      <c r="M176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6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66" s="138" t="str" cm="1">
        <f t="array" ref="O1766">IFERROR(INDEX(CategoriesTable[Category type],MATCH(Table1[[#This Row],[Category]],CategoriesTable[Category name],0),0),"")</f>
        <v/>
      </c>
      <c r="P1766" s="138">
        <v>4</v>
      </c>
      <c r="Q1766" s="138">
        <f>MONTH(Table1[[#This Row],[Date]])</f>
        <v>9</v>
      </c>
      <c r="R1766" s="138">
        <v>2020</v>
      </c>
      <c r="S1766" s="139">
        <f>IF(ISBLANK(Table1[[#This Row],[Date]]),"",Table1[[#This Row],[Date]]-WEEKDAY(Table1[[#This Row],[Date]],2)+1)</f>
        <v>44074</v>
      </c>
      <c r="T1766" s="140">
        <f>IF(ISBLANK(Table1[[#This Row],[Date]]),"",DATE(Table1[[#This Row],[Date_Year]],Table1[[#This Row],[Date_Month]],1))</f>
        <v>44075</v>
      </c>
    </row>
    <row r="1767" spans="2:20" ht="15.75">
      <c r="B1767" s="154">
        <v>44077</v>
      </c>
      <c r="C1767" s="119" t="s">
        <v>3077</v>
      </c>
      <c r="D1767" s="119"/>
      <c r="E1767" s="119"/>
      <c r="F1767" s="155">
        <v>-64.2</v>
      </c>
      <c r="G1767" s="133" t="str">
        <f>_xlfn.XLOOKUP(Table1[[#This Row],[Account_ID]], Accounts[ID], Accounts[Account nickname], "Unknown")</f>
        <v>Discover</v>
      </c>
      <c r="H1767" s="134" t="str">
        <f>_xlfn.XLOOKUP(Table1[[#This Row],[Account_ID]], Accounts[ID], Accounts[Account'#], "Unknown")</f>
        <v>4618</v>
      </c>
      <c r="I1767" s="135" t="str">
        <f>_xlfn.XLOOKUP(_xlfn.XLOOKUP(Table1[[#This Row],[Account]],Accounts[Account nickname],Accounts[Institution ID]),Institutions[ID],Institutions[Institution nickname],"Unknown")</f>
        <v>Discover</v>
      </c>
      <c r="J1767" s="136" t="s">
        <v>3078</v>
      </c>
      <c r="K1767" s="137" t="s">
        <v>843</v>
      </c>
      <c r="L1767" s="137" t="s">
        <v>841</v>
      </c>
      <c r="M176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6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67" s="138" t="str" cm="1">
        <f t="array" ref="O1767">IFERROR(INDEX(CategoriesTable[Category type],MATCH(Table1[[#This Row],[Category]],CategoriesTable[Category name],0),0),"")</f>
        <v/>
      </c>
      <c r="P1767" s="138">
        <v>3</v>
      </c>
      <c r="Q1767" s="138">
        <f>MONTH(Table1[[#This Row],[Date]])</f>
        <v>9</v>
      </c>
      <c r="R1767" s="138">
        <v>2020</v>
      </c>
      <c r="S1767" s="139">
        <f>IF(ISBLANK(Table1[[#This Row],[Date]]),"",Table1[[#This Row],[Date]]-WEEKDAY(Table1[[#This Row],[Date]],2)+1)</f>
        <v>44074</v>
      </c>
      <c r="T1767" s="140">
        <f>IF(ISBLANK(Table1[[#This Row],[Date]]),"",DATE(Table1[[#This Row],[Date_Year]],Table1[[#This Row],[Date_Month]],1))</f>
        <v>44075</v>
      </c>
    </row>
    <row r="1768" spans="2:20" ht="15.75">
      <c r="B1768" s="154">
        <v>44077</v>
      </c>
      <c r="C1768" s="119" t="s">
        <v>796</v>
      </c>
      <c r="D1768" s="119"/>
      <c r="E1768" s="119"/>
      <c r="F1768" s="155">
        <v>8.16</v>
      </c>
      <c r="G1768" s="133" t="str">
        <f>_xlfn.XLOOKUP(Table1[[#This Row],[Account_ID]], Accounts[ID], Accounts[Account nickname], "Unknown")</f>
        <v>WF</v>
      </c>
      <c r="H1768" s="134" t="str">
        <f>_xlfn.XLOOKUP(Table1[[#This Row],[Account_ID]], Accounts[ID], Accounts[Account'#], "Unknown")</f>
        <v>4636</v>
      </c>
      <c r="I1768" s="135" t="str">
        <f>_xlfn.XLOOKUP(_xlfn.XLOOKUP(Table1[[#This Row],[Account]],Accounts[Account nickname],Accounts[Institution ID]),Institutions[ID],Institutions[Institution nickname],"Unknown")</f>
        <v>Wells Fargo</v>
      </c>
      <c r="J1768" s="136" t="s">
        <v>1319</v>
      </c>
      <c r="K1768" s="137" t="s">
        <v>808</v>
      </c>
      <c r="L1768" s="137" t="s">
        <v>807</v>
      </c>
      <c r="M176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6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68" s="138" t="str" cm="1">
        <f t="array" ref="O1768">IFERROR(INDEX(CategoriesTable[Category type],MATCH(Table1[[#This Row],[Category]],CategoriesTable[Category name],0),0),"")</f>
        <v/>
      </c>
      <c r="P1768" s="138">
        <v>3</v>
      </c>
      <c r="Q1768" s="138">
        <f>MONTH(Table1[[#This Row],[Date]])</f>
        <v>9</v>
      </c>
      <c r="R1768" s="138">
        <v>2020</v>
      </c>
      <c r="S1768" s="139">
        <f>IF(ISBLANK(Table1[[#This Row],[Date]]),"",Table1[[#This Row],[Date]]-WEEKDAY(Table1[[#This Row],[Date]],2)+1)</f>
        <v>44074</v>
      </c>
      <c r="T1768" s="140">
        <f>IF(ISBLANK(Table1[[#This Row],[Date]]),"",DATE(Table1[[#This Row],[Date_Year]],Table1[[#This Row],[Date_Month]],1))</f>
        <v>44075</v>
      </c>
    </row>
    <row r="1769" spans="2:20" ht="15.75">
      <c r="B1769" s="154">
        <v>44076</v>
      </c>
      <c r="C1769" s="119" t="s">
        <v>2993</v>
      </c>
      <c r="D1769" s="119"/>
      <c r="E1769" s="119"/>
      <c r="F1769" s="155">
        <v>-5</v>
      </c>
      <c r="G1769" s="133" t="str">
        <f>_xlfn.XLOOKUP(Table1[[#This Row],[Account_ID]], Accounts[ID], Accounts[Account nickname], "Unknown")</f>
        <v>Discover</v>
      </c>
      <c r="H1769" s="134" t="str">
        <f>_xlfn.XLOOKUP(Table1[[#This Row],[Account_ID]], Accounts[ID], Accounts[Account'#], "Unknown")</f>
        <v>4618</v>
      </c>
      <c r="I1769" s="135" t="str">
        <f>_xlfn.XLOOKUP(_xlfn.XLOOKUP(Table1[[#This Row],[Account]],Accounts[Account nickname],Accounts[Institution ID]),Institutions[ID],Institutions[Institution nickname],"Unknown")</f>
        <v>Discover</v>
      </c>
      <c r="J1769" s="136" t="s">
        <v>3079</v>
      </c>
      <c r="K1769" s="137" t="s">
        <v>843</v>
      </c>
      <c r="L1769" s="137" t="s">
        <v>841</v>
      </c>
      <c r="M176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6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69" s="138" t="str" cm="1">
        <f t="array" ref="O1769">IFERROR(INDEX(CategoriesTable[Category type],MATCH(Table1[[#This Row],[Category]],CategoriesTable[Category name],0),0),"")</f>
        <v/>
      </c>
      <c r="P1769" s="138">
        <v>2</v>
      </c>
      <c r="Q1769" s="138">
        <f>MONTH(Table1[[#This Row],[Date]])</f>
        <v>9</v>
      </c>
      <c r="R1769" s="138">
        <v>2020</v>
      </c>
      <c r="S1769" s="139">
        <f>IF(ISBLANK(Table1[[#This Row],[Date]]),"",Table1[[#This Row],[Date]]-WEEKDAY(Table1[[#This Row],[Date]],2)+1)</f>
        <v>44074</v>
      </c>
      <c r="T1769" s="140">
        <f>IF(ISBLANK(Table1[[#This Row],[Date]]),"",DATE(Table1[[#This Row],[Date_Year]],Table1[[#This Row],[Date_Month]],1))</f>
        <v>44075</v>
      </c>
    </row>
    <row r="1770" spans="2:20" ht="15.75">
      <c r="B1770" s="154">
        <v>44075</v>
      </c>
      <c r="C1770" s="119" t="s">
        <v>752</v>
      </c>
      <c r="D1770" s="119"/>
      <c r="E1770" s="119"/>
      <c r="F1770" s="155">
        <v>-200</v>
      </c>
      <c r="G1770" s="133" t="str">
        <f>_xlfn.XLOOKUP(Table1[[#This Row],[Account_ID]], Accounts[ID], Accounts[Account nickname], "Unknown")</f>
        <v>WF</v>
      </c>
      <c r="H1770" s="134" t="str">
        <f>_xlfn.XLOOKUP(Table1[[#This Row],[Account_ID]], Accounts[ID], Accounts[Account'#], "Unknown")</f>
        <v>4636</v>
      </c>
      <c r="I1770" s="135" t="str">
        <f>_xlfn.XLOOKUP(_xlfn.XLOOKUP(Table1[[#This Row],[Account]],Accounts[Account nickname],Accounts[Institution ID]),Institutions[ID],Institutions[Institution nickname],"Unknown")</f>
        <v>Wells Fargo</v>
      </c>
      <c r="J1770" s="136" t="s">
        <v>1320</v>
      </c>
      <c r="K1770" s="137" t="s">
        <v>808</v>
      </c>
      <c r="L1770" s="137" t="s">
        <v>807</v>
      </c>
      <c r="M177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7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70" s="138" t="str" cm="1">
        <f t="array" ref="O1770">IFERROR(INDEX(CategoriesTable[Category type],MATCH(Table1[[#This Row],[Category]],CategoriesTable[Category name],0),0),"")</f>
        <v/>
      </c>
      <c r="P1770" s="138">
        <v>1</v>
      </c>
      <c r="Q1770" s="138">
        <f>MONTH(Table1[[#This Row],[Date]])</f>
        <v>9</v>
      </c>
      <c r="R1770" s="138">
        <v>2020</v>
      </c>
      <c r="S1770" s="139">
        <f>IF(ISBLANK(Table1[[#This Row],[Date]]),"",Table1[[#This Row],[Date]]-WEEKDAY(Table1[[#This Row],[Date]],2)+1)</f>
        <v>44074</v>
      </c>
      <c r="T1770" s="140">
        <f>IF(ISBLANK(Table1[[#This Row],[Date]]),"",DATE(Table1[[#This Row],[Date_Year]],Table1[[#This Row],[Date_Month]],1))</f>
        <v>44075</v>
      </c>
    </row>
    <row r="1771" spans="2:20" ht="15.75">
      <c r="B1771" s="154">
        <v>44075</v>
      </c>
      <c r="C1771" s="119" t="s">
        <v>697</v>
      </c>
      <c r="D1771" s="119"/>
      <c r="E1771" s="119"/>
      <c r="F1771" s="155">
        <v>-12.99</v>
      </c>
      <c r="G1771" s="133" t="str">
        <f>_xlfn.XLOOKUP(Table1[[#This Row],[Account_ID]], Accounts[ID], Accounts[Account nickname], "Unknown")</f>
        <v>Discover</v>
      </c>
      <c r="H1771" s="134" t="str">
        <f>_xlfn.XLOOKUP(Table1[[#This Row],[Account_ID]], Accounts[ID], Accounts[Account'#], "Unknown")</f>
        <v>4618</v>
      </c>
      <c r="I1771" s="135" t="str">
        <f>_xlfn.XLOOKUP(_xlfn.XLOOKUP(Table1[[#This Row],[Account]],Accounts[Account nickname],Accounts[Institution ID]),Institutions[ID],Institutions[Institution nickname],"Unknown")</f>
        <v>Discover</v>
      </c>
      <c r="J1771" s="136" t="s">
        <v>3083</v>
      </c>
      <c r="K1771" s="137" t="s">
        <v>843</v>
      </c>
      <c r="L1771" s="137" t="s">
        <v>841</v>
      </c>
      <c r="M177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7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71" s="138" t="str" cm="1">
        <f t="array" ref="O1771">IFERROR(INDEX(CategoriesTable[Category type],MATCH(Table1[[#This Row],[Category]],CategoriesTable[Category name],0),0),"")</f>
        <v/>
      </c>
      <c r="P1771" s="138">
        <v>1</v>
      </c>
      <c r="Q1771" s="138">
        <f>MONTH(Table1[[#This Row],[Date]])</f>
        <v>9</v>
      </c>
      <c r="R1771" s="138">
        <v>2020</v>
      </c>
      <c r="S1771" s="139">
        <f>IF(ISBLANK(Table1[[#This Row],[Date]]),"",Table1[[#This Row],[Date]]-WEEKDAY(Table1[[#This Row],[Date]],2)+1)</f>
        <v>44074</v>
      </c>
      <c r="T1771" s="140">
        <f>IF(ISBLANK(Table1[[#This Row],[Date]]),"",DATE(Table1[[#This Row],[Date_Year]],Table1[[#This Row],[Date_Month]],1))</f>
        <v>44075</v>
      </c>
    </row>
    <row r="1772" spans="2:20" ht="15.75">
      <c r="B1772" s="154">
        <v>44075</v>
      </c>
      <c r="C1772" s="119" t="s">
        <v>1810</v>
      </c>
      <c r="D1772" s="119"/>
      <c r="E1772" s="119"/>
      <c r="F1772" s="155">
        <v>-60.12</v>
      </c>
      <c r="G1772" s="133" t="str">
        <f>_xlfn.XLOOKUP(Table1[[#This Row],[Account_ID]], Accounts[ID], Accounts[Account nickname], "Unknown")</f>
        <v>Discover</v>
      </c>
      <c r="H1772" s="134" t="str">
        <f>_xlfn.XLOOKUP(Table1[[#This Row],[Account_ID]], Accounts[ID], Accounts[Account'#], "Unknown")</f>
        <v>4618</v>
      </c>
      <c r="I1772" s="135" t="str">
        <f>_xlfn.XLOOKUP(_xlfn.XLOOKUP(Table1[[#This Row],[Account]],Accounts[Account nickname],Accounts[Institution ID]),Institutions[ID],Institutions[Institution nickname],"Unknown")</f>
        <v>Discover</v>
      </c>
      <c r="J1772" s="136" t="s">
        <v>3082</v>
      </c>
      <c r="K1772" s="137" t="s">
        <v>843</v>
      </c>
      <c r="L1772" s="137" t="s">
        <v>841</v>
      </c>
      <c r="M177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7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72" s="138" t="str" cm="1">
        <f t="array" ref="O1772">IFERROR(INDEX(CategoriesTable[Category type],MATCH(Table1[[#This Row],[Category]],CategoriesTable[Category name],0),0),"")</f>
        <v/>
      </c>
      <c r="P1772" s="138">
        <v>1</v>
      </c>
      <c r="Q1772" s="138">
        <f>MONTH(Table1[[#This Row],[Date]])</f>
        <v>9</v>
      </c>
      <c r="R1772" s="138">
        <v>2020</v>
      </c>
      <c r="S1772" s="139">
        <f>IF(ISBLANK(Table1[[#This Row],[Date]]),"",Table1[[#This Row],[Date]]-WEEKDAY(Table1[[#This Row],[Date]],2)+1)</f>
        <v>44074</v>
      </c>
      <c r="T1772" s="140">
        <f>IF(ISBLANK(Table1[[#This Row],[Date]]),"",DATE(Table1[[#This Row],[Date_Year]],Table1[[#This Row],[Date_Month]],1))</f>
        <v>44075</v>
      </c>
    </row>
    <row r="1773" spans="2:20" ht="15.75">
      <c r="B1773" s="154">
        <v>44075</v>
      </c>
      <c r="C1773" s="119" t="s">
        <v>678</v>
      </c>
      <c r="D1773" s="119"/>
      <c r="E1773" s="119"/>
      <c r="F1773" s="155">
        <v>-700</v>
      </c>
      <c r="G1773" s="133" t="str">
        <f>_xlfn.XLOOKUP(Table1[[#This Row],[Account_ID]], Accounts[ID], Accounts[Account nickname], "Unknown")</f>
        <v>WF</v>
      </c>
      <c r="H1773" s="134" t="str">
        <f>_xlfn.XLOOKUP(Table1[[#This Row],[Account_ID]], Accounts[ID], Accounts[Account'#], "Unknown")</f>
        <v>4636</v>
      </c>
      <c r="I1773" s="135" t="str">
        <f>_xlfn.XLOOKUP(_xlfn.XLOOKUP(Table1[[#This Row],[Account]],Accounts[Account nickname],Accounts[Institution ID]),Institutions[ID],Institutions[Institution nickname],"Unknown")</f>
        <v>Wells Fargo</v>
      </c>
      <c r="J1773" s="136" t="s">
        <v>1321</v>
      </c>
      <c r="K1773" s="137" t="s">
        <v>808</v>
      </c>
      <c r="L1773" s="137" t="s">
        <v>807</v>
      </c>
      <c r="M177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7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73" s="138" t="str" cm="1">
        <f t="array" ref="O1773">IFERROR(INDEX(CategoriesTable[Category type],MATCH(Table1[[#This Row],[Category]],CategoriesTable[Category name],0),0),"")</f>
        <v/>
      </c>
      <c r="P1773" s="138">
        <v>1</v>
      </c>
      <c r="Q1773" s="138">
        <f>MONTH(Table1[[#This Row],[Date]])</f>
        <v>9</v>
      </c>
      <c r="R1773" s="138">
        <v>2020</v>
      </c>
      <c r="S1773" s="139">
        <f>IF(ISBLANK(Table1[[#This Row],[Date]]),"",Table1[[#This Row],[Date]]-WEEKDAY(Table1[[#This Row],[Date]],2)+1)</f>
        <v>44074</v>
      </c>
      <c r="T1773" s="140">
        <f>IF(ISBLANK(Table1[[#This Row],[Date]]),"",DATE(Table1[[#This Row],[Date_Year]],Table1[[#This Row],[Date_Month]],1))</f>
        <v>44075</v>
      </c>
    </row>
    <row r="1774" spans="2:20" ht="15.75">
      <c r="B1774" s="154">
        <v>44075</v>
      </c>
      <c r="C1774" s="119" t="s">
        <v>860</v>
      </c>
      <c r="D1774" s="119"/>
      <c r="E1774" s="119"/>
      <c r="F1774" s="155">
        <v>-73.7</v>
      </c>
      <c r="G1774" s="133" t="str">
        <f>_xlfn.XLOOKUP(Table1[[#This Row],[Account_ID]], Accounts[ID], Accounts[Account nickname], "Unknown")</f>
        <v>Discover</v>
      </c>
      <c r="H1774" s="134" t="str">
        <f>_xlfn.XLOOKUP(Table1[[#This Row],[Account_ID]], Accounts[ID], Accounts[Account'#], "Unknown")</f>
        <v>4618</v>
      </c>
      <c r="I1774" s="135" t="str">
        <f>_xlfn.XLOOKUP(_xlfn.XLOOKUP(Table1[[#This Row],[Account]],Accounts[Account nickname],Accounts[Institution ID]),Institutions[ID],Institutions[Institution nickname],"Unknown")</f>
        <v>Discover</v>
      </c>
      <c r="J1774" s="136" t="s">
        <v>3081</v>
      </c>
      <c r="K1774" s="137" t="s">
        <v>843</v>
      </c>
      <c r="L1774" s="137" t="s">
        <v>841</v>
      </c>
      <c r="M177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7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74" s="138" t="str" cm="1">
        <f t="array" ref="O1774">IFERROR(INDEX(CategoriesTable[Category type],MATCH(Table1[[#This Row],[Category]],CategoriesTable[Category name],0),0),"")</f>
        <v/>
      </c>
      <c r="P1774" s="138">
        <v>1</v>
      </c>
      <c r="Q1774" s="138">
        <f>MONTH(Table1[[#This Row],[Date]])</f>
        <v>9</v>
      </c>
      <c r="R1774" s="138">
        <v>2020</v>
      </c>
      <c r="S1774" s="139">
        <f>IF(ISBLANK(Table1[[#This Row],[Date]]),"",Table1[[#This Row],[Date]]-WEEKDAY(Table1[[#This Row],[Date]],2)+1)</f>
        <v>44074</v>
      </c>
      <c r="T1774" s="140">
        <f>IF(ISBLANK(Table1[[#This Row],[Date]]),"",DATE(Table1[[#This Row],[Date_Year]],Table1[[#This Row],[Date_Month]],1))</f>
        <v>44075</v>
      </c>
    </row>
    <row r="1775" spans="2:20" ht="15.75">
      <c r="B1775" s="154">
        <v>44075</v>
      </c>
      <c r="C1775" s="119" t="s">
        <v>860</v>
      </c>
      <c r="D1775" s="119"/>
      <c r="E1775" s="119"/>
      <c r="F1775" s="155">
        <v>-38</v>
      </c>
      <c r="G1775" s="133" t="str">
        <f>_xlfn.XLOOKUP(Table1[[#This Row],[Account_ID]], Accounts[ID], Accounts[Account nickname], "Unknown")</f>
        <v>Discover</v>
      </c>
      <c r="H1775" s="134" t="str">
        <f>_xlfn.XLOOKUP(Table1[[#This Row],[Account_ID]], Accounts[ID], Accounts[Account'#], "Unknown")</f>
        <v>4618</v>
      </c>
      <c r="I1775" s="135" t="str">
        <f>_xlfn.XLOOKUP(_xlfn.XLOOKUP(Table1[[#This Row],[Account]],Accounts[Account nickname],Accounts[Institution ID]),Institutions[ID],Institutions[Institution nickname],"Unknown")</f>
        <v>Discover</v>
      </c>
      <c r="J1775" s="136" t="s">
        <v>3080</v>
      </c>
      <c r="K1775" s="137" t="s">
        <v>843</v>
      </c>
      <c r="L1775" s="137" t="s">
        <v>841</v>
      </c>
      <c r="M177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7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75" s="138" t="str" cm="1">
        <f t="array" ref="O1775">IFERROR(INDEX(CategoriesTable[Category type],MATCH(Table1[[#This Row],[Category]],CategoriesTable[Category name],0),0),"")</f>
        <v/>
      </c>
      <c r="P1775" s="138">
        <v>1</v>
      </c>
      <c r="Q1775" s="138">
        <f>MONTH(Table1[[#This Row],[Date]])</f>
        <v>9</v>
      </c>
      <c r="R1775" s="138">
        <v>2020</v>
      </c>
      <c r="S1775" s="139">
        <f>IF(ISBLANK(Table1[[#This Row],[Date]]),"",Table1[[#This Row],[Date]]-WEEKDAY(Table1[[#This Row],[Date]],2)+1)</f>
        <v>44074</v>
      </c>
      <c r="T1775" s="140">
        <f>IF(ISBLANK(Table1[[#This Row],[Date]]),"",DATE(Table1[[#This Row],[Date_Year]],Table1[[#This Row],[Date_Month]],1))</f>
        <v>44075</v>
      </c>
    </row>
    <row r="1776" spans="2:20" ht="15.75">
      <c r="B1776" s="154">
        <v>44074</v>
      </c>
      <c r="C1776" s="119" t="s">
        <v>776</v>
      </c>
      <c r="D1776" s="119"/>
      <c r="E1776" s="119"/>
      <c r="F1776" s="155">
        <v>-300</v>
      </c>
      <c r="G1776" s="133" t="str">
        <f>_xlfn.XLOOKUP(Table1[[#This Row],[Account_ID]], Accounts[ID], Accounts[Account nickname], "Unknown")</f>
        <v>WF</v>
      </c>
      <c r="H1776" s="134" t="str">
        <f>_xlfn.XLOOKUP(Table1[[#This Row],[Account_ID]], Accounts[ID], Accounts[Account'#], "Unknown")</f>
        <v>4636</v>
      </c>
      <c r="I1776" s="135" t="str">
        <f>_xlfn.XLOOKUP(_xlfn.XLOOKUP(Table1[[#This Row],[Account]],Accounts[Account nickname],Accounts[Institution ID]),Institutions[ID],Institutions[Institution nickname],"Unknown")</f>
        <v>Wells Fargo</v>
      </c>
      <c r="J1776" s="136" t="s">
        <v>1324</v>
      </c>
      <c r="K1776" s="137" t="s">
        <v>808</v>
      </c>
      <c r="L1776" s="137" t="s">
        <v>807</v>
      </c>
      <c r="M177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7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76" s="138" t="str" cm="1">
        <f t="array" ref="O1776">IFERROR(INDEX(CategoriesTable[Category type],MATCH(Table1[[#This Row],[Category]],CategoriesTable[Category name],0),0),"")</f>
        <v/>
      </c>
      <c r="P1776" s="138">
        <v>31</v>
      </c>
      <c r="Q1776" s="138">
        <f>MONTH(Table1[[#This Row],[Date]])</f>
        <v>8</v>
      </c>
      <c r="R1776" s="138">
        <v>2020</v>
      </c>
      <c r="S1776" s="139">
        <f>IF(ISBLANK(Table1[[#This Row],[Date]]),"",Table1[[#This Row],[Date]]-WEEKDAY(Table1[[#This Row],[Date]],2)+1)</f>
        <v>44074</v>
      </c>
      <c r="T1776" s="140">
        <f>IF(ISBLANK(Table1[[#This Row],[Date]]),"",DATE(Table1[[#This Row],[Date_Year]],Table1[[#This Row],[Date_Month]],1))</f>
        <v>44044</v>
      </c>
    </row>
    <row r="1777" spans="2:20" ht="15.75">
      <c r="B1777" s="154">
        <v>44074</v>
      </c>
      <c r="C1777" s="119" t="s">
        <v>678</v>
      </c>
      <c r="D1777" s="119"/>
      <c r="E1777" s="119"/>
      <c r="F1777" s="155">
        <v>700</v>
      </c>
      <c r="G1777" s="133" t="str">
        <f>_xlfn.XLOOKUP(Table1[[#This Row],[Account_ID]], Accounts[ID], Accounts[Account nickname], "Unknown")</f>
        <v>WF</v>
      </c>
      <c r="H1777" s="134" t="str">
        <f>_xlfn.XLOOKUP(Table1[[#This Row],[Account_ID]], Accounts[ID], Accounts[Account'#], "Unknown")</f>
        <v>4636</v>
      </c>
      <c r="I1777" s="135" t="str">
        <f>_xlfn.XLOOKUP(_xlfn.XLOOKUP(Table1[[#This Row],[Account]],Accounts[Account nickname],Accounts[Institution ID]),Institutions[ID],Institutions[Institution nickname],"Unknown")</f>
        <v>Wells Fargo</v>
      </c>
      <c r="J1777" s="136" t="s">
        <v>1322</v>
      </c>
      <c r="K1777" s="137" t="s">
        <v>808</v>
      </c>
      <c r="L1777" s="137" t="s">
        <v>807</v>
      </c>
      <c r="M177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7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77" s="138" t="str" cm="1">
        <f t="array" ref="O1777">IFERROR(INDEX(CategoriesTable[Category type],MATCH(Table1[[#This Row],[Category]],CategoriesTable[Category name],0),0),"")</f>
        <v/>
      </c>
      <c r="P1777" s="138">
        <v>31</v>
      </c>
      <c r="Q1777" s="138">
        <f>MONTH(Table1[[#This Row],[Date]])</f>
        <v>8</v>
      </c>
      <c r="R1777" s="138">
        <v>2020</v>
      </c>
      <c r="S1777" s="139">
        <f>IF(ISBLANK(Table1[[#This Row],[Date]]),"",Table1[[#This Row],[Date]]-WEEKDAY(Table1[[#This Row],[Date]],2)+1)</f>
        <v>44074</v>
      </c>
      <c r="T1777" s="140">
        <f>IF(ISBLANK(Table1[[#This Row],[Date]]),"",DATE(Table1[[#This Row],[Date_Year]],Table1[[#This Row],[Date_Month]],1))</f>
        <v>44044</v>
      </c>
    </row>
    <row r="1778" spans="2:20" ht="15.75">
      <c r="B1778" s="154">
        <v>44074</v>
      </c>
      <c r="C1778" s="119" t="s">
        <v>752</v>
      </c>
      <c r="D1778" s="119"/>
      <c r="E1778" s="119"/>
      <c r="F1778" s="155">
        <v>-25</v>
      </c>
      <c r="G1778" s="133" t="str">
        <f>_xlfn.XLOOKUP(Table1[[#This Row],[Account_ID]], Accounts[ID], Accounts[Account nickname], "Unknown")</f>
        <v>WF</v>
      </c>
      <c r="H1778" s="134" t="str">
        <f>_xlfn.XLOOKUP(Table1[[#This Row],[Account_ID]], Accounts[ID], Accounts[Account'#], "Unknown")</f>
        <v>4636</v>
      </c>
      <c r="I1778" s="135" t="str">
        <f>_xlfn.XLOOKUP(_xlfn.XLOOKUP(Table1[[#This Row],[Account]],Accounts[Account nickname],Accounts[Institution ID]),Institutions[ID],Institutions[Institution nickname],"Unknown")</f>
        <v>Wells Fargo</v>
      </c>
      <c r="J1778" s="136" t="s">
        <v>1323</v>
      </c>
      <c r="K1778" s="137" t="s">
        <v>808</v>
      </c>
      <c r="L1778" s="137" t="s">
        <v>807</v>
      </c>
      <c r="M177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7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78" s="138" t="str" cm="1">
        <f t="array" ref="O1778">IFERROR(INDEX(CategoriesTable[Category type],MATCH(Table1[[#This Row],[Category]],CategoriesTable[Category name],0),0),"")</f>
        <v/>
      </c>
      <c r="P1778" s="138">
        <v>31</v>
      </c>
      <c r="Q1778" s="138">
        <f>MONTH(Table1[[#This Row],[Date]])</f>
        <v>8</v>
      </c>
      <c r="R1778" s="138">
        <v>2020</v>
      </c>
      <c r="S1778" s="139">
        <f>IF(ISBLANK(Table1[[#This Row],[Date]]),"",Table1[[#This Row],[Date]]-WEEKDAY(Table1[[#This Row],[Date]],2)+1)</f>
        <v>44074</v>
      </c>
      <c r="T1778" s="140">
        <f>IF(ISBLANK(Table1[[#This Row],[Date]]),"",DATE(Table1[[#This Row],[Date_Year]],Table1[[#This Row],[Date_Month]],1))</f>
        <v>44044</v>
      </c>
    </row>
    <row r="1779" spans="2:20" ht="15.75">
      <c r="B1779" s="154">
        <v>44072</v>
      </c>
      <c r="C1779" s="119" t="s">
        <v>3086</v>
      </c>
      <c r="D1779" s="119"/>
      <c r="E1779" s="119"/>
      <c r="F1779" s="155">
        <v>-29.95</v>
      </c>
      <c r="G1779" s="133" t="str">
        <f>_xlfn.XLOOKUP(Table1[[#This Row],[Account_ID]], Accounts[ID], Accounts[Account nickname], "Unknown")</f>
        <v>Discover</v>
      </c>
      <c r="H1779" s="134" t="str">
        <f>_xlfn.XLOOKUP(Table1[[#This Row],[Account_ID]], Accounts[ID], Accounts[Account'#], "Unknown")</f>
        <v>4618</v>
      </c>
      <c r="I1779" s="135" t="str">
        <f>_xlfn.XLOOKUP(_xlfn.XLOOKUP(Table1[[#This Row],[Account]],Accounts[Account nickname],Accounts[Institution ID]),Institutions[ID],Institutions[Institution nickname],"Unknown")</f>
        <v>Discover</v>
      </c>
      <c r="J1779" s="136" t="s">
        <v>3087</v>
      </c>
      <c r="K1779" s="137" t="s">
        <v>843</v>
      </c>
      <c r="L1779" s="137" t="s">
        <v>841</v>
      </c>
      <c r="M177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7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79" s="138" t="str" cm="1">
        <f t="array" ref="O1779">IFERROR(INDEX(CategoriesTable[Category type],MATCH(Table1[[#This Row],[Category]],CategoriesTable[Category name],0),0),"")</f>
        <v/>
      </c>
      <c r="P1779" s="138">
        <v>29</v>
      </c>
      <c r="Q1779" s="138">
        <f>MONTH(Table1[[#This Row],[Date]])</f>
        <v>8</v>
      </c>
      <c r="R1779" s="138">
        <v>2020</v>
      </c>
      <c r="S1779" s="139">
        <f>IF(ISBLANK(Table1[[#This Row],[Date]]),"",Table1[[#This Row],[Date]]-WEEKDAY(Table1[[#This Row],[Date]],2)+1)</f>
        <v>44067</v>
      </c>
      <c r="T1779" s="140">
        <f>IF(ISBLANK(Table1[[#This Row],[Date]]),"",DATE(Table1[[#This Row],[Date_Year]],Table1[[#This Row],[Date_Month]],1))</f>
        <v>44044</v>
      </c>
    </row>
    <row r="1780" spans="2:20" ht="15.75">
      <c r="B1780" s="154">
        <v>44072</v>
      </c>
      <c r="C1780" s="119" t="s">
        <v>2771</v>
      </c>
      <c r="D1780" s="119"/>
      <c r="E1780" s="119"/>
      <c r="F1780" s="155">
        <v>2.99</v>
      </c>
      <c r="G1780" s="133" t="str">
        <f>_xlfn.XLOOKUP(Table1[[#This Row],[Account_ID]], Accounts[ID], Accounts[Account nickname], "Unknown")</f>
        <v>Discover</v>
      </c>
      <c r="H1780" s="134" t="str">
        <f>_xlfn.XLOOKUP(Table1[[#This Row],[Account_ID]], Accounts[ID], Accounts[Account'#], "Unknown")</f>
        <v>4618</v>
      </c>
      <c r="I1780" s="135" t="str">
        <f>_xlfn.XLOOKUP(_xlfn.XLOOKUP(Table1[[#This Row],[Account]],Accounts[Account nickname],Accounts[Institution ID]),Institutions[ID],Institutions[Institution nickname],"Unknown")</f>
        <v>Discover</v>
      </c>
      <c r="J1780" s="136" t="s">
        <v>3084</v>
      </c>
      <c r="K1780" s="137" t="s">
        <v>843</v>
      </c>
      <c r="L1780" s="137" t="s">
        <v>841</v>
      </c>
      <c r="M178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8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80" s="138" t="str" cm="1">
        <f t="array" ref="O1780">IFERROR(INDEX(CategoriesTable[Category type],MATCH(Table1[[#This Row],[Category]],CategoriesTable[Category name],0),0),"")</f>
        <v/>
      </c>
      <c r="P1780" s="138">
        <v>29</v>
      </c>
      <c r="Q1780" s="138">
        <f>MONTH(Table1[[#This Row],[Date]])</f>
        <v>8</v>
      </c>
      <c r="R1780" s="138">
        <v>2020</v>
      </c>
      <c r="S1780" s="139">
        <f>IF(ISBLANK(Table1[[#This Row],[Date]]),"",Table1[[#This Row],[Date]]-WEEKDAY(Table1[[#This Row],[Date]],2)+1)</f>
        <v>44067</v>
      </c>
      <c r="T1780" s="140">
        <f>IF(ISBLANK(Table1[[#This Row],[Date]]),"",DATE(Table1[[#This Row],[Date_Year]],Table1[[#This Row],[Date_Month]],1))</f>
        <v>44044</v>
      </c>
    </row>
    <row r="1781" spans="2:20" ht="15.75">
      <c r="B1781" s="154">
        <v>44072</v>
      </c>
      <c r="C1781" s="119" t="s">
        <v>2771</v>
      </c>
      <c r="D1781" s="119"/>
      <c r="E1781" s="119"/>
      <c r="F1781" s="155">
        <v>-20.96</v>
      </c>
      <c r="G1781" s="133" t="str">
        <f>_xlfn.XLOOKUP(Table1[[#This Row],[Account_ID]], Accounts[ID], Accounts[Account nickname], "Unknown")</f>
        <v>Discover</v>
      </c>
      <c r="H1781" s="134" t="str">
        <f>_xlfn.XLOOKUP(Table1[[#This Row],[Account_ID]], Accounts[ID], Accounts[Account'#], "Unknown")</f>
        <v>4618</v>
      </c>
      <c r="I1781" s="135" t="str">
        <f>_xlfn.XLOOKUP(_xlfn.XLOOKUP(Table1[[#This Row],[Account]],Accounts[Account nickname],Accounts[Institution ID]),Institutions[ID],Institutions[Institution nickname],"Unknown")</f>
        <v>Discover</v>
      </c>
      <c r="J1781" s="136" t="s">
        <v>3085</v>
      </c>
      <c r="K1781" s="137" t="s">
        <v>843</v>
      </c>
      <c r="L1781" s="137" t="s">
        <v>841</v>
      </c>
      <c r="M178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8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81" s="138" t="str" cm="1">
        <f t="array" ref="O1781">IFERROR(INDEX(CategoriesTable[Category type],MATCH(Table1[[#This Row],[Category]],CategoriesTable[Category name],0),0),"")</f>
        <v/>
      </c>
      <c r="P1781" s="138">
        <v>29</v>
      </c>
      <c r="Q1781" s="138">
        <f>MONTH(Table1[[#This Row],[Date]])</f>
        <v>8</v>
      </c>
      <c r="R1781" s="138">
        <v>2020</v>
      </c>
      <c r="S1781" s="139">
        <f>IF(ISBLANK(Table1[[#This Row],[Date]]),"",Table1[[#This Row],[Date]]-WEEKDAY(Table1[[#This Row],[Date]],2)+1)</f>
        <v>44067</v>
      </c>
      <c r="T1781" s="140">
        <f>IF(ISBLANK(Table1[[#This Row],[Date]]),"",DATE(Table1[[#This Row],[Date_Year]],Table1[[#This Row],[Date_Month]],1))</f>
        <v>44044</v>
      </c>
    </row>
    <row r="1782" spans="2:20" ht="15.75">
      <c r="B1782" s="154">
        <v>44071</v>
      </c>
      <c r="C1782" s="119" t="s">
        <v>751</v>
      </c>
      <c r="D1782" s="119"/>
      <c r="E1782" s="119"/>
      <c r="F1782" s="155">
        <v>1450.15</v>
      </c>
      <c r="G1782" s="133" t="str">
        <f>_xlfn.XLOOKUP(Table1[[#This Row],[Account_ID]], Accounts[ID], Accounts[Account nickname], "Unknown")</f>
        <v>WF</v>
      </c>
      <c r="H1782" s="134" t="str">
        <f>_xlfn.XLOOKUP(Table1[[#This Row],[Account_ID]], Accounts[ID], Accounts[Account'#], "Unknown")</f>
        <v>4636</v>
      </c>
      <c r="I1782" s="135" t="str">
        <f>_xlfn.XLOOKUP(_xlfn.XLOOKUP(Table1[[#This Row],[Account]],Accounts[Account nickname],Accounts[Institution ID]),Institutions[ID],Institutions[Institution nickname],"Unknown")</f>
        <v>Wells Fargo</v>
      </c>
      <c r="J1782" s="136" t="s">
        <v>1327</v>
      </c>
      <c r="K1782" s="137" t="s">
        <v>808</v>
      </c>
      <c r="L1782" s="137" t="s">
        <v>807</v>
      </c>
      <c r="M178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8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82" s="138" t="str" cm="1">
        <f t="array" ref="O1782">IFERROR(INDEX(CategoriesTable[Category type],MATCH(Table1[[#This Row],[Category]],CategoriesTable[Category name],0),0),"")</f>
        <v/>
      </c>
      <c r="P1782" s="138">
        <v>28</v>
      </c>
      <c r="Q1782" s="138">
        <f>MONTH(Table1[[#This Row],[Date]])</f>
        <v>8</v>
      </c>
      <c r="R1782" s="138">
        <v>2020</v>
      </c>
      <c r="S1782" s="139">
        <f>IF(ISBLANK(Table1[[#This Row],[Date]]),"",Table1[[#This Row],[Date]]-WEEKDAY(Table1[[#This Row],[Date]],2)+1)</f>
        <v>44067</v>
      </c>
      <c r="T1782" s="140">
        <f>IF(ISBLANK(Table1[[#This Row],[Date]]),"",DATE(Table1[[#This Row],[Date_Year]],Table1[[#This Row],[Date_Month]],1))</f>
        <v>44044</v>
      </c>
    </row>
    <row r="1783" spans="2:20" ht="15.75">
      <c r="B1783" s="154">
        <v>44071</v>
      </c>
      <c r="C1783" s="119" t="s">
        <v>2590</v>
      </c>
      <c r="D1783" s="119"/>
      <c r="E1783" s="119"/>
      <c r="F1783" s="155">
        <v>-52.82</v>
      </c>
      <c r="G1783" s="133" t="str">
        <f>_xlfn.XLOOKUP(Table1[[#This Row],[Account_ID]], Accounts[ID], Accounts[Account nickname], "Unknown")</f>
        <v>Discover</v>
      </c>
      <c r="H1783" s="134" t="str">
        <f>_xlfn.XLOOKUP(Table1[[#This Row],[Account_ID]], Accounts[ID], Accounts[Account'#], "Unknown")</f>
        <v>4618</v>
      </c>
      <c r="I1783" s="135" t="str">
        <f>_xlfn.XLOOKUP(_xlfn.XLOOKUP(Table1[[#This Row],[Account]],Accounts[Account nickname],Accounts[Institution ID]),Institutions[ID],Institutions[Institution nickname],"Unknown")</f>
        <v>Discover</v>
      </c>
      <c r="J1783" s="136" t="s">
        <v>3094</v>
      </c>
      <c r="K1783" s="137" t="s">
        <v>843</v>
      </c>
      <c r="L1783" s="137" t="s">
        <v>841</v>
      </c>
      <c r="M178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8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83" s="138" t="str" cm="1">
        <f t="array" ref="O1783">IFERROR(INDEX(CategoriesTable[Category type],MATCH(Table1[[#This Row],[Category]],CategoriesTable[Category name],0),0),"")</f>
        <v/>
      </c>
      <c r="P1783" s="138">
        <v>28</v>
      </c>
      <c r="Q1783" s="138">
        <f>MONTH(Table1[[#This Row],[Date]])</f>
        <v>8</v>
      </c>
      <c r="R1783" s="138">
        <v>2020</v>
      </c>
      <c r="S1783" s="139">
        <f>IF(ISBLANK(Table1[[#This Row],[Date]]),"",Table1[[#This Row],[Date]]-WEEKDAY(Table1[[#This Row],[Date]],2)+1)</f>
        <v>44067</v>
      </c>
      <c r="T1783" s="140">
        <f>IF(ISBLANK(Table1[[#This Row],[Date]]),"",DATE(Table1[[#This Row],[Date_Year]],Table1[[#This Row],[Date_Month]],1))</f>
        <v>44044</v>
      </c>
    </row>
    <row r="1784" spans="2:20" ht="15.75">
      <c r="B1784" s="154">
        <v>44071</v>
      </c>
      <c r="C1784" s="119" t="s">
        <v>845</v>
      </c>
      <c r="D1784" s="119"/>
      <c r="E1784" s="119"/>
      <c r="F1784" s="155">
        <v>800</v>
      </c>
      <c r="G1784" s="133" t="str">
        <f>_xlfn.XLOOKUP(Table1[[#This Row],[Account_ID]], Accounts[ID], Accounts[Account nickname], "Unknown")</f>
        <v>Discover</v>
      </c>
      <c r="H1784" s="134" t="str">
        <f>_xlfn.XLOOKUP(Table1[[#This Row],[Account_ID]], Accounts[ID], Accounts[Account'#], "Unknown")</f>
        <v>4618</v>
      </c>
      <c r="I1784" s="135" t="str">
        <f>_xlfn.XLOOKUP(_xlfn.XLOOKUP(Table1[[#This Row],[Account]],Accounts[Account nickname],Accounts[Institution ID]),Institutions[ID],Institutions[Institution nickname],"Unknown")</f>
        <v>Discover</v>
      </c>
      <c r="J1784" s="136" t="s">
        <v>3091</v>
      </c>
      <c r="K1784" s="137" t="s">
        <v>843</v>
      </c>
      <c r="L1784" s="137" t="s">
        <v>841</v>
      </c>
      <c r="M178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8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84" s="138" t="str" cm="1">
        <f t="array" ref="O1784">IFERROR(INDEX(CategoriesTable[Category type],MATCH(Table1[[#This Row],[Category]],CategoriesTable[Category name],0),0),"")</f>
        <v/>
      </c>
      <c r="P1784" s="138">
        <v>28</v>
      </c>
      <c r="Q1784" s="138">
        <f>MONTH(Table1[[#This Row],[Date]])</f>
        <v>8</v>
      </c>
      <c r="R1784" s="138">
        <v>2020</v>
      </c>
      <c r="S1784" s="139">
        <f>IF(ISBLANK(Table1[[#This Row],[Date]]),"",Table1[[#This Row],[Date]]-WEEKDAY(Table1[[#This Row],[Date]],2)+1)</f>
        <v>44067</v>
      </c>
      <c r="T1784" s="140">
        <f>IF(ISBLANK(Table1[[#This Row],[Date]]),"",DATE(Table1[[#This Row],[Date_Year]],Table1[[#This Row],[Date_Month]],1))</f>
        <v>44044</v>
      </c>
    </row>
    <row r="1785" spans="2:20" ht="15.75">
      <c r="B1785" s="154">
        <v>44071</v>
      </c>
      <c r="C1785" s="119" t="s">
        <v>729</v>
      </c>
      <c r="D1785" s="119"/>
      <c r="E1785" s="119"/>
      <c r="F1785" s="155">
        <v>-50</v>
      </c>
      <c r="G1785" s="133" t="str">
        <f>_xlfn.XLOOKUP(Table1[[#This Row],[Account_ID]], Accounts[ID], Accounts[Account nickname], "Unknown")</f>
        <v>WF</v>
      </c>
      <c r="H1785" s="134" t="str">
        <f>_xlfn.XLOOKUP(Table1[[#This Row],[Account_ID]], Accounts[ID], Accounts[Account'#], "Unknown")</f>
        <v>4636</v>
      </c>
      <c r="I1785" s="135" t="str">
        <f>_xlfn.XLOOKUP(_xlfn.XLOOKUP(Table1[[#This Row],[Account]],Accounts[Account nickname],Accounts[Institution ID]),Institutions[ID],Institutions[Institution nickname],"Unknown")</f>
        <v>Wells Fargo</v>
      </c>
      <c r="J1785" s="136" t="s">
        <v>1329</v>
      </c>
      <c r="K1785" s="137" t="s">
        <v>808</v>
      </c>
      <c r="L1785" s="137" t="s">
        <v>807</v>
      </c>
      <c r="M178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8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85" s="138" t="str" cm="1">
        <f t="array" ref="O1785">IFERROR(INDEX(CategoriesTable[Category type],MATCH(Table1[[#This Row],[Category]],CategoriesTable[Category name],0),0),"")</f>
        <v/>
      </c>
      <c r="P1785" s="138">
        <v>28</v>
      </c>
      <c r="Q1785" s="138">
        <f>MONTH(Table1[[#This Row],[Date]])</f>
        <v>8</v>
      </c>
      <c r="R1785" s="138">
        <v>2020</v>
      </c>
      <c r="S1785" s="139">
        <f>IF(ISBLANK(Table1[[#This Row],[Date]]),"",Table1[[#This Row],[Date]]-WEEKDAY(Table1[[#This Row],[Date]],2)+1)</f>
        <v>44067</v>
      </c>
      <c r="T1785" s="140">
        <f>IF(ISBLANK(Table1[[#This Row],[Date]]),"",DATE(Table1[[#This Row],[Date_Year]],Table1[[#This Row],[Date_Month]],1))</f>
        <v>44044</v>
      </c>
    </row>
    <row r="1786" spans="2:20" ht="15.75">
      <c r="B1786" s="154">
        <v>44071</v>
      </c>
      <c r="C1786" s="119" t="s">
        <v>686</v>
      </c>
      <c r="D1786" s="119"/>
      <c r="E1786" s="119"/>
      <c r="F1786" s="155">
        <v>-800</v>
      </c>
      <c r="G1786" s="133" t="str">
        <f>_xlfn.XLOOKUP(Table1[[#This Row],[Account_ID]], Accounts[ID], Accounts[Account nickname], "Unknown")</f>
        <v>WF</v>
      </c>
      <c r="H1786" s="134" t="str">
        <f>_xlfn.XLOOKUP(Table1[[#This Row],[Account_ID]], Accounts[ID], Accounts[Account'#], "Unknown")</f>
        <v>4636</v>
      </c>
      <c r="I1786" s="135" t="str">
        <f>_xlfn.XLOOKUP(_xlfn.XLOOKUP(Table1[[#This Row],[Account]],Accounts[Account nickname],Accounts[Institution ID]),Institutions[ID],Institutions[Institution nickname],"Unknown")</f>
        <v>Wells Fargo</v>
      </c>
      <c r="J1786" s="136" t="s">
        <v>1326</v>
      </c>
      <c r="K1786" s="137" t="s">
        <v>808</v>
      </c>
      <c r="L1786" s="137" t="s">
        <v>807</v>
      </c>
      <c r="M178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8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86" s="138" t="str" cm="1">
        <f t="array" ref="O1786">IFERROR(INDEX(CategoriesTable[Category type],MATCH(Table1[[#This Row],[Category]],CategoriesTable[Category name],0),0),"")</f>
        <v/>
      </c>
      <c r="P1786" s="138">
        <v>28</v>
      </c>
      <c r="Q1786" s="138">
        <f>MONTH(Table1[[#This Row],[Date]])</f>
        <v>8</v>
      </c>
      <c r="R1786" s="138">
        <v>2020</v>
      </c>
      <c r="S1786" s="139">
        <f>IF(ISBLANK(Table1[[#This Row],[Date]]),"",Table1[[#This Row],[Date]]-WEEKDAY(Table1[[#This Row],[Date]],2)+1)</f>
        <v>44067</v>
      </c>
      <c r="T1786" s="140">
        <f>IF(ISBLANK(Table1[[#This Row],[Date]]),"",DATE(Table1[[#This Row],[Date_Year]],Table1[[#This Row],[Date_Month]],1))</f>
        <v>44044</v>
      </c>
    </row>
    <row r="1787" spans="2:20" ht="15.75">
      <c r="B1787" s="154">
        <v>44071</v>
      </c>
      <c r="C1787" s="119" t="s">
        <v>2590</v>
      </c>
      <c r="D1787" s="119"/>
      <c r="E1787" s="119"/>
      <c r="F1787" s="155">
        <v>-13.94</v>
      </c>
      <c r="G1787" s="133" t="str">
        <f>_xlfn.XLOOKUP(Table1[[#This Row],[Account_ID]], Accounts[ID], Accounts[Account nickname], "Unknown")</f>
        <v>Discover</v>
      </c>
      <c r="H1787" s="134" t="str">
        <f>_xlfn.XLOOKUP(Table1[[#This Row],[Account_ID]], Accounts[ID], Accounts[Account'#], "Unknown")</f>
        <v>4618</v>
      </c>
      <c r="I1787" s="135" t="str">
        <f>_xlfn.XLOOKUP(_xlfn.XLOOKUP(Table1[[#This Row],[Account]],Accounts[Account nickname],Accounts[Institution ID]),Institutions[ID],Institutions[Institution nickname],"Unknown")</f>
        <v>Discover</v>
      </c>
      <c r="J1787" s="136" t="s">
        <v>3092</v>
      </c>
      <c r="K1787" s="137" t="s">
        <v>843</v>
      </c>
      <c r="L1787" s="137" t="s">
        <v>841</v>
      </c>
      <c r="M178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8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87" s="138" t="str" cm="1">
        <f t="array" ref="O1787">IFERROR(INDEX(CategoriesTable[Category type],MATCH(Table1[[#This Row],[Category]],CategoriesTable[Category name],0),0),"")</f>
        <v/>
      </c>
      <c r="P1787" s="138">
        <v>28</v>
      </c>
      <c r="Q1787" s="138">
        <f>MONTH(Table1[[#This Row],[Date]])</f>
        <v>8</v>
      </c>
      <c r="R1787" s="138">
        <v>2020</v>
      </c>
      <c r="S1787" s="139">
        <f>IF(ISBLANK(Table1[[#This Row],[Date]]),"",Table1[[#This Row],[Date]]-WEEKDAY(Table1[[#This Row],[Date]],2)+1)</f>
        <v>44067</v>
      </c>
      <c r="T1787" s="140">
        <f>IF(ISBLANK(Table1[[#This Row],[Date]]),"",DATE(Table1[[#This Row],[Date_Year]],Table1[[#This Row],[Date_Month]],1))</f>
        <v>44044</v>
      </c>
    </row>
    <row r="1788" spans="2:20" ht="15.75">
      <c r="B1788" s="154">
        <v>44071</v>
      </c>
      <c r="C1788" s="119" t="s">
        <v>3089</v>
      </c>
      <c r="D1788" s="119"/>
      <c r="E1788" s="119"/>
      <c r="F1788" s="155">
        <v>-3.38</v>
      </c>
      <c r="G1788" s="133" t="str">
        <f>_xlfn.XLOOKUP(Table1[[#This Row],[Account_ID]], Accounts[ID], Accounts[Account nickname], "Unknown")</f>
        <v>Discover</v>
      </c>
      <c r="H1788" s="134" t="str">
        <f>_xlfn.XLOOKUP(Table1[[#This Row],[Account_ID]], Accounts[ID], Accounts[Account'#], "Unknown")</f>
        <v>4618</v>
      </c>
      <c r="I1788" s="135" t="str">
        <f>_xlfn.XLOOKUP(_xlfn.XLOOKUP(Table1[[#This Row],[Account]],Accounts[Account nickname],Accounts[Institution ID]),Institutions[ID],Institutions[Institution nickname],"Unknown")</f>
        <v>Discover</v>
      </c>
      <c r="J1788" s="136" t="s">
        <v>3090</v>
      </c>
      <c r="K1788" s="137" t="s">
        <v>843</v>
      </c>
      <c r="L1788" s="137" t="s">
        <v>841</v>
      </c>
      <c r="M178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8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88" s="138" t="str" cm="1">
        <f t="array" ref="O1788">IFERROR(INDEX(CategoriesTable[Category type],MATCH(Table1[[#This Row],[Category]],CategoriesTable[Category name],0),0),"")</f>
        <v/>
      </c>
      <c r="P1788" s="138">
        <v>28</v>
      </c>
      <c r="Q1788" s="138">
        <f>MONTH(Table1[[#This Row],[Date]])</f>
        <v>8</v>
      </c>
      <c r="R1788" s="138">
        <v>2020</v>
      </c>
      <c r="S1788" s="139">
        <f>IF(ISBLANK(Table1[[#This Row],[Date]]),"",Table1[[#This Row],[Date]]-WEEKDAY(Table1[[#This Row],[Date]],2)+1)</f>
        <v>44067</v>
      </c>
      <c r="T1788" s="140">
        <f>IF(ISBLANK(Table1[[#This Row],[Date]]),"",DATE(Table1[[#This Row],[Date_Year]],Table1[[#This Row],[Date_Month]],1))</f>
        <v>44044</v>
      </c>
    </row>
    <row r="1789" spans="2:20" ht="15.75">
      <c r="B1789" s="154">
        <v>44071</v>
      </c>
      <c r="C1789" s="119" t="s">
        <v>724</v>
      </c>
      <c r="D1789" s="119"/>
      <c r="E1789" s="119"/>
      <c r="F1789" s="155">
        <v>-67.38</v>
      </c>
      <c r="G1789" s="133" t="str">
        <f>_xlfn.XLOOKUP(Table1[[#This Row],[Account_ID]], Accounts[ID], Accounts[Account nickname], "Unknown")</f>
        <v>Discover</v>
      </c>
      <c r="H1789" s="134" t="str">
        <f>_xlfn.XLOOKUP(Table1[[#This Row],[Account_ID]], Accounts[ID], Accounts[Account'#], "Unknown")</f>
        <v>4618</v>
      </c>
      <c r="I1789" s="135" t="str">
        <f>_xlfn.XLOOKUP(_xlfn.XLOOKUP(Table1[[#This Row],[Account]],Accounts[Account nickname],Accounts[Institution ID]),Institutions[ID],Institutions[Institution nickname],"Unknown")</f>
        <v>Discover</v>
      </c>
      <c r="J1789" s="136" t="s">
        <v>3095</v>
      </c>
      <c r="K1789" s="137" t="s">
        <v>843</v>
      </c>
      <c r="L1789" s="137" t="s">
        <v>841</v>
      </c>
      <c r="M178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8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89" s="138" t="str" cm="1">
        <f t="array" ref="O1789">IFERROR(INDEX(CategoriesTable[Category type],MATCH(Table1[[#This Row],[Category]],CategoriesTable[Category name],0),0),"")</f>
        <v/>
      </c>
      <c r="P1789" s="138">
        <v>28</v>
      </c>
      <c r="Q1789" s="138">
        <f>MONTH(Table1[[#This Row],[Date]])</f>
        <v>8</v>
      </c>
      <c r="R1789" s="138">
        <v>2020</v>
      </c>
      <c r="S1789" s="139">
        <f>IF(ISBLANK(Table1[[#This Row],[Date]]),"",Table1[[#This Row],[Date]]-WEEKDAY(Table1[[#This Row],[Date]],2)+1)</f>
        <v>44067</v>
      </c>
      <c r="T1789" s="140">
        <f>IF(ISBLANK(Table1[[#This Row],[Date]]),"",DATE(Table1[[#This Row],[Date_Year]],Table1[[#This Row],[Date_Month]],1))</f>
        <v>44044</v>
      </c>
    </row>
    <row r="1790" spans="2:20" ht="15.75">
      <c r="B1790" s="154">
        <v>44071</v>
      </c>
      <c r="C1790" s="119" t="s">
        <v>2982</v>
      </c>
      <c r="D1790" s="119"/>
      <c r="E1790" s="119"/>
      <c r="F1790" s="155">
        <v>-10</v>
      </c>
      <c r="G1790" s="133" t="str">
        <f>_xlfn.XLOOKUP(Table1[[#This Row],[Account_ID]], Accounts[ID], Accounts[Account nickname], "Unknown")</f>
        <v>Discover</v>
      </c>
      <c r="H1790" s="134" t="str">
        <f>_xlfn.XLOOKUP(Table1[[#This Row],[Account_ID]], Accounts[ID], Accounts[Account'#], "Unknown")</f>
        <v>4618</v>
      </c>
      <c r="I1790" s="135" t="str">
        <f>_xlfn.XLOOKUP(_xlfn.XLOOKUP(Table1[[#This Row],[Account]],Accounts[Account nickname],Accounts[Institution ID]),Institutions[ID],Institutions[Institution nickname],"Unknown")</f>
        <v>Discover</v>
      </c>
      <c r="J1790" s="152" t="s">
        <v>3088</v>
      </c>
      <c r="K1790" s="137" t="s">
        <v>843</v>
      </c>
      <c r="L1790" s="137" t="s">
        <v>841</v>
      </c>
      <c r="M179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9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90" s="138" t="str" cm="1">
        <f t="array" ref="O1790">IFERROR(INDEX(CategoriesTable[Category type],MATCH(Table1[[#This Row],[Category]],CategoriesTable[Category name],0),0),"")</f>
        <v/>
      </c>
      <c r="P1790" s="138">
        <v>28</v>
      </c>
      <c r="Q1790" s="138">
        <f>MONTH(Table1[[#This Row],[Date]])</f>
        <v>8</v>
      </c>
      <c r="R1790" s="138">
        <v>2020</v>
      </c>
      <c r="S1790" s="139">
        <f>IF(ISBLANK(Table1[[#This Row],[Date]]),"",Table1[[#This Row],[Date]]-WEEKDAY(Table1[[#This Row],[Date]],2)+1)</f>
        <v>44067</v>
      </c>
      <c r="T1790" s="140">
        <f>IF(ISBLANK(Table1[[#This Row],[Date]]),"",DATE(Table1[[#This Row],[Date_Year]],Table1[[#This Row],[Date_Month]],1))</f>
        <v>44044</v>
      </c>
    </row>
    <row r="1791" spans="2:20" ht="15.75">
      <c r="B1791" s="154">
        <v>44071</v>
      </c>
      <c r="C1791" s="119" t="s">
        <v>791</v>
      </c>
      <c r="D1791" s="119"/>
      <c r="E1791" s="119"/>
      <c r="F1791" s="155">
        <v>-9.9499999999999993</v>
      </c>
      <c r="G1791" s="133" t="str">
        <f>_xlfn.XLOOKUP(Table1[[#This Row],[Account_ID]], Accounts[ID], Accounts[Account nickname], "Unknown")</f>
        <v>WF</v>
      </c>
      <c r="H1791" s="134" t="str">
        <f>_xlfn.XLOOKUP(Table1[[#This Row],[Account_ID]], Accounts[ID], Accounts[Account'#], "Unknown")</f>
        <v>4636</v>
      </c>
      <c r="I1791" s="135" t="str">
        <f>_xlfn.XLOOKUP(_xlfn.XLOOKUP(Table1[[#This Row],[Account]],Accounts[Account nickname],Accounts[Institution ID]),Institutions[ID],Institutions[Institution nickname],"Unknown")</f>
        <v>Wells Fargo</v>
      </c>
      <c r="J1791" s="136" t="s">
        <v>1325</v>
      </c>
      <c r="K1791" s="137" t="s">
        <v>808</v>
      </c>
      <c r="L1791" s="137" t="s">
        <v>807</v>
      </c>
      <c r="M179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9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91" s="138" t="str" cm="1">
        <f t="array" ref="O1791">IFERROR(INDEX(CategoriesTable[Category type],MATCH(Table1[[#This Row],[Category]],CategoriesTable[Category name],0),0),"")</f>
        <v/>
      </c>
      <c r="P1791" s="138">
        <v>28</v>
      </c>
      <c r="Q1791" s="138">
        <f>MONTH(Table1[[#This Row],[Date]])</f>
        <v>8</v>
      </c>
      <c r="R1791" s="138">
        <v>2020</v>
      </c>
      <c r="S1791" s="139">
        <f>IF(ISBLANK(Table1[[#This Row],[Date]]),"",Table1[[#This Row],[Date]]-WEEKDAY(Table1[[#This Row],[Date]],2)+1)</f>
        <v>44067</v>
      </c>
      <c r="T1791" s="140">
        <f>IF(ISBLANK(Table1[[#This Row],[Date]]),"",DATE(Table1[[#This Row],[Date_Year]],Table1[[#This Row],[Date_Month]],1))</f>
        <v>44044</v>
      </c>
    </row>
    <row r="1792" spans="2:20" ht="15.75">
      <c r="B1792" s="154">
        <v>44071</v>
      </c>
      <c r="C1792" s="119" t="s">
        <v>752</v>
      </c>
      <c r="D1792" s="119"/>
      <c r="E1792" s="119"/>
      <c r="F1792" s="155">
        <v>-10</v>
      </c>
      <c r="G1792" s="133" t="str">
        <f>_xlfn.XLOOKUP(Table1[[#This Row],[Account_ID]], Accounts[ID], Accounts[Account nickname], "Unknown")</f>
        <v>WF</v>
      </c>
      <c r="H1792" s="134" t="str">
        <f>_xlfn.XLOOKUP(Table1[[#This Row],[Account_ID]], Accounts[ID], Accounts[Account'#], "Unknown")</f>
        <v>4636</v>
      </c>
      <c r="I1792" s="135" t="str">
        <f>_xlfn.XLOOKUP(_xlfn.XLOOKUP(Table1[[#This Row],[Account]],Accounts[Account nickname],Accounts[Institution ID]),Institutions[ID],Institutions[Institution nickname],"Unknown")</f>
        <v>Wells Fargo</v>
      </c>
      <c r="J1792" s="136" t="s">
        <v>1328</v>
      </c>
      <c r="K1792" s="137" t="s">
        <v>808</v>
      </c>
      <c r="L1792" s="137" t="s">
        <v>807</v>
      </c>
      <c r="M179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9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92" s="138" t="str" cm="1">
        <f t="array" ref="O1792">IFERROR(INDEX(CategoriesTable[Category type],MATCH(Table1[[#This Row],[Category]],CategoriesTable[Category name],0),0),"")</f>
        <v/>
      </c>
      <c r="P1792" s="138">
        <v>28</v>
      </c>
      <c r="Q1792" s="138">
        <f>MONTH(Table1[[#This Row],[Date]])</f>
        <v>8</v>
      </c>
      <c r="R1792" s="138">
        <v>2020</v>
      </c>
      <c r="S1792" s="139">
        <f>IF(ISBLANK(Table1[[#This Row],[Date]]),"",Table1[[#This Row],[Date]]-WEEKDAY(Table1[[#This Row],[Date]],2)+1)</f>
        <v>44067</v>
      </c>
      <c r="T1792" s="140">
        <f>IF(ISBLANK(Table1[[#This Row],[Date]]),"",DATE(Table1[[#This Row],[Date_Year]],Table1[[#This Row],[Date_Month]],1))</f>
        <v>44044</v>
      </c>
    </row>
    <row r="1793" spans="2:20" ht="15.75">
      <c r="B1793" s="154">
        <v>44071</v>
      </c>
      <c r="C1793" s="119" t="s">
        <v>2590</v>
      </c>
      <c r="D1793" s="119"/>
      <c r="E1793" s="119"/>
      <c r="F1793" s="155">
        <v>-18.18</v>
      </c>
      <c r="G1793" s="133" t="str">
        <f>_xlfn.XLOOKUP(Table1[[#This Row],[Account_ID]], Accounts[ID], Accounts[Account nickname], "Unknown")</f>
        <v>Discover</v>
      </c>
      <c r="H1793" s="134" t="str">
        <f>_xlfn.XLOOKUP(Table1[[#This Row],[Account_ID]], Accounts[ID], Accounts[Account'#], "Unknown")</f>
        <v>4618</v>
      </c>
      <c r="I1793" s="135" t="str">
        <f>_xlfn.XLOOKUP(_xlfn.XLOOKUP(Table1[[#This Row],[Account]],Accounts[Account nickname],Accounts[Institution ID]),Institutions[ID],Institutions[Institution nickname],"Unknown")</f>
        <v>Discover</v>
      </c>
      <c r="J1793" s="136" t="s">
        <v>3093</v>
      </c>
      <c r="K1793" s="137" t="s">
        <v>843</v>
      </c>
      <c r="L1793" s="137" t="s">
        <v>841</v>
      </c>
      <c r="M179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9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93" s="138" t="str" cm="1">
        <f t="array" ref="O1793">IFERROR(INDEX(CategoriesTable[Category type],MATCH(Table1[[#This Row],[Category]],CategoriesTable[Category name],0),0),"")</f>
        <v/>
      </c>
      <c r="P1793" s="138">
        <v>28</v>
      </c>
      <c r="Q1793" s="138">
        <f>MONTH(Table1[[#This Row],[Date]])</f>
        <v>8</v>
      </c>
      <c r="R1793" s="138">
        <v>2020</v>
      </c>
      <c r="S1793" s="139">
        <f>IF(ISBLANK(Table1[[#This Row],[Date]]),"",Table1[[#This Row],[Date]]-WEEKDAY(Table1[[#This Row],[Date]],2)+1)</f>
        <v>44067</v>
      </c>
      <c r="T1793" s="140">
        <f>IF(ISBLANK(Table1[[#This Row],[Date]]),"",DATE(Table1[[#This Row],[Date_Year]],Table1[[#This Row],[Date_Month]],1))</f>
        <v>44044</v>
      </c>
    </row>
    <row r="1794" spans="2:20" ht="15.75">
      <c r="B1794" s="154">
        <v>44070</v>
      </c>
      <c r="C1794" s="119" t="s">
        <v>2771</v>
      </c>
      <c r="D1794" s="119"/>
      <c r="E1794" s="119"/>
      <c r="F1794" s="155">
        <v>-10.98</v>
      </c>
      <c r="G1794" s="133" t="str">
        <f>_xlfn.XLOOKUP(Table1[[#This Row],[Account_ID]], Accounts[ID], Accounts[Account nickname], "Unknown")</f>
        <v>Discover</v>
      </c>
      <c r="H1794" s="134" t="str">
        <f>_xlfn.XLOOKUP(Table1[[#This Row],[Account_ID]], Accounts[ID], Accounts[Account'#], "Unknown")</f>
        <v>4618</v>
      </c>
      <c r="I1794" s="135" t="str">
        <f>_xlfn.XLOOKUP(_xlfn.XLOOKUP(Table1[[#This Row],[Account]],Accounts[Account nickname],Accounts[Institution ID]),Institutions[ID],Institutions[Institution nickname],"Unknown")</f>
        <v>Discover</v>
      </c>
      <c r="J1794" s="136" t="s">
        <v>3098</v>
      </c>
      <c r="K1794" s="137" t="s">
        <v>843</v>
      </c>
      <c r="L1794" s="137" t="s">
        <v>841</v>
      </c>
      <c r="M179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9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94" s="138" t="str" cm="1">
        <f t="array" ref="O1794">IFERROR(INDEX(CategoriesTable[Category type],MATCH(Table1[[#This Row],[Category]],CategoriesTable[Category name],0),0),"")</f>
        <v/>
      </c>
      <c r="P1794" s="138">
        <v>27</v>
      </c>
      <c r="Q1794" s="138">
        <f>MONTH(Table1[[#This Row],[Date]])</f>
        <v>8</v>
      </c>
      <c r="R1794" s="138">
        <v>2020</v>
      </c>
      <c r="S1794" s="139">
        <f>IF(ISBLANK(Table1[[#This Row],[Date]]),"",Table1[[#This Row],[Date]]-WEEKDAY(Table1[[#This Row],[Date]],2)+1)</f>
        <v>44067</v>
      </c>
      <c r="T1794" s="140">
        <f>IF(ISBLANK(Table1[[#This Row],[Date]]),"",DATE(Table1[[#This Row],[Date_Year]],Table1[[#This Row],[Date_Month]],1))</f>
        <v>44044</v>
      </c>
    </row>
    <row r="1795" spans="2:20" ht="15.75">
      <c r="B1795" s="154">
        <v>44070</v>
      </c>
      <c r="C1795" s="119" t="s">
        <v>3096</v>
      </c>
      <c r="D1795" s="119"/>
      <c r="E1795" s="119"/>
      <c r="F1795" s="155">
        <v>-24.98</v>
      </c>
      <c r="G1795" s="133" t="str">
        <f>_xlfn.XLOOKUP(Table1[[#This Row],[Account_ID]], Accounts[ID], Accounts[Account nickname], "Unknown")</f>
        <v>Discover</v>
      </c>
      <c r="H1795" s="134" t="str">
        <f>_xlfn.XLOOKUP(Table1[[#This Row],[Account_ID]], Accounts[ID], Accounts[Account'#], "Unknown")</f>
        <v>4618</v>
      </c>
      <c r="I1795" s="135" t="str">
        <f>_xlfn.XLOOKUP(_xlfn.XLOOKUP(Table1[[#This Row],[Account]],Accounts[Account nickname],Accounts[Institution ID]),Institutions[ID],Institutions[Institution nickname],"Unknown")</f>
        <v>Discover</v>
      </c>
      <c r="J1795" s="136" t="s">
        <v>3097</v>
      </c>
      <c r="K1795" s="137" t="s">
        <v>843</v>
      </c>
      <c r="L1795" s="137" t="s">
        <v>841</v>
      </c>
      <c r="M179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9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95" s="138" t="str" cm="1">
        <f t="array" ref="O1795">IFERROR(INDEX(CategoriesTable[Category type],MATCH(Table1[[#This Row],[Category]],CategoriesTable[Category name],0),0),"")</f>
        <v/>
      </c>
      <c r="P1795" s="138">
        <v>27</v>
      </c>
      <c r="Q1795" s="138">
        <f>MONTH(Table1[[#This Row],[Date]])</f>
        <v>8</v>
      </c>
      <c r="R1795" s="138">
        <v>2020</v>
      </c>
      <c r="S1795" s="139">
        <f>IF(ISBLANK(Table1[[#This Row],[Date]]),"",Table1[[#This Row],[Date]]-WEEKDAY(Table1[[#This Row],[Date]],2)+1)</f>
        <v>44067</v>
      </c>
      <c r="T1795" s="140">
        <f>IF(ISBLANK(Table1[[#This Row],[Date]]),"",DATE(Table1[[#This Row],[Date_Year]],Table1[[#This Row],[Date_Month]],1))</f>
        <v>44044</v>
      </c>
    </row>
    <row r="1796" spans="2:20" ht="15.75">
      <c r="B1796" s="154">
        <v>44069</v>
      </c>
      <c r="C1796" s="119" t="s">
        <v>2666</v>
      </c>
      <c r="D1796" s="119"/>
      <c r="E1796" s="119"/>
      <c r="F1796" s="155">
        <v>-33.43</v>
      </c>
      <c r="G1796" s="133" t="str">
        <f>_xlfn.XLOOKUP(Table1[[#This Row],[Account_ID]], Accounts[ID], Accounts[Account nickname], "Unknown")</f>
        <v>Discover</v>
      </c>
      <c r="H1796" s="134" t="str">
        <f>_xlfn.XLOOKUP(Table1[[#This Row],[Account_ID]], Accounts[ID], Accounts[Account'#], "Unknown")</f>
        <v>4618</v>
      </c>
      <c r="I1796" s="135" t="str">
        <f>_xlfn.XLOOKUP(_xlfn.XLOOKUP(Table1[[#This Row],[Account]],Accounts[Account nickname],Accounts[Institution ID]),Institutions[ID],Institutions[Institution nickname],"Unknown")</f>
        <v>Discover</v>
      </c>
      <c r="J1796" s="136" t="s">
        <v>3100</v>
      </c>
      <c r="K1796" s="137" t="s">
        <v>843</v>
      </c>
      <c r="L1796" s="137" t="s">
        <v>841</v>
      </c>
      <c r="M179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9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96" s="138" t="str" cm="1">
        <f t="array" ref="O1796">IFERROR(INDEX(CategoriesTable[Category type],MATCH(Table1[[#This Row],[Category]],CategoriesTable[Category name],0),0),"")</f>
        <v/>
      </c>
      <c r="P1796" s="138">
        <v>26</v>
      </c>
      <c r="Q1796" s="138">
        <f>MONTH(Table1[[#This Row],[Date]])</f>
        <v>8</v>
      </c>
      <c r="R1796" s="138">
        <v>2020</v>
      </c>
      <c r="S1796" s="139">
        <f>IF(ISBLANK(Table1[[#This Row],[Date]]),"",Table1[[#This Row],[Date]]-WEEKDAY(Table1[[#This Row],[Date]],2)+1)</f>
        <v>44067</v>
      </c>
      <c r="T1796" s="140">
        <f>IF(ISBLANK(Table1[[#This Row],[Date]]),"",DATE(Table1[[#This Row],[Date_Year]],Table1[[#This Row],[Date_Month]],1))</f>
        <v>44044</v>
      </c>
    </row>
    <row r="1797" spans="2:20" ht="15.75">
      <c r="B1797" s="154">
        <v>44069</v>
      </c>
      <c r="C1797" s="119" t="s">
        <v>708</v>
      </c>
      <c r="D1797" s="119"/>
      <c r="E1797" s="119"/>
      <c r="F1797" s="155">
        <v>-24.01</v>
      </c>
      <c r="G1797" s="133" t="str">
        <f>_xlfn.XLOOKUP(Table1[[#This Row],[Account_ID]], Accounts[ID], Accounts[Account nickname], "Unknown")</f>
        <v>Discover</v>
      </c>
      <c r="H1797" s="134" t="str">
        <f>_xlfn.XLOOKUP(Table1[[#This Row],[Account_ID]], Accounts[ID], Accounts[Account'#], "Unknown")</f>
        <v>4618</v>
      </c>
      <c r="I1797" s="135" t="str">
        <f>_xlfn.XLOOKUP(_xlfn.XLOOKUP(Table1[[#This Row],[Account]],Accounts[Account nickname],Accounts[Institution ID]),Institutions[ID],Institutions[Institution nickname],"Unknown")</f>
        <v>Discover</v>
      </c>
      <c r="J1797" s="136" t="s">
        <v>3099</v>
      </c>
      <c r="K1797" s="137" t="s">
        <v>843</v>
      </c>
      <c r="L1797" s="137" t="s">
        <v>841</v>
      </c>
      <c r="M179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9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97" s="138" t="str" cm="1">
        <f t="array" ref="O1797">IFERROR(INDEX(CategoriesTable[Category type],MATCH(Table1[[#This Row],[Category]],CategoriesTable[Category name],0),0),"")</f>
        <v/>
      </c>
      <c r="P1797" s="138">
        <v>26</v>
      </c>
      <c r="Q1797" s="138">
        <f>MONTH(Table1[[#This Row],[Date]])</f>
        <v>8</v>
      </c>
      <c r="R1797" s="138">
        <v>2020</v>
      </c>
      <c r="S1797" s="139">
        <f>IF(ISBLANK(Table1[[#This Row],[Date]]),"",Table1[[#This Row],[Date]]-WEEKDAY(Table1[[#This Row],[Date]],2)+1)</f>
        <v>44067</v>
      </c>
      <c r="T1797" s="140">
        <f>IF(ISBLANK(Table1[[#This Row],[Date]]),"",DATE(Table1[[#This Row],[Date_Year]],Table1[[#This Row],[Date_Month]],1))</f>
        <v>44044</v>
      </c>
    </row>
    <row r="1798" spans="2:20" ht="15.75">
      <c r="B1798" s="154">
        <v>44069</v>
      </c>
      <c r="C1798" s="119" t="s">
        <v>2916</v>
      </c>
      <c r="D1798" s="119"/>
      <c r="E1798" s="119"/>
      <c r="F1798" s="155">
        <v>-70.22</v>
      </c>
      <c r="G1798" s="133" t="str">
        <f>_xlfn.XLOOKUP(Table1[[#This Row],[Account_ID]], Accounts[ID], Accounts[Account nickname], "Unknown")</f>
        <v>Discover</v>
      </c>
      <c r="H1798" s="134" t="str">
        <f>_xlfn.XLOOKUP(Table1[[#This Row],[Account_ID]], Accounts[ID], Accounts[Account'#], "Unknown")</f>
        <v>4618</v>
      </c>
      <c r="I1798" s="135" t="str">
        <f>_xlfn.XLOOKUP(_xlfn.XLOOKUP(Table1[[#This Row],[Account]],Accounts[Account nickname],Accounts[Institution ID]),Institutions[ID],Institutions[Institution nickname],"Unknown")</f>
        <v>Discover</v>
      </c>
      <c r="J1798" s="136" t="s">
        <v>3101</v>
      </c>
      <c r="K1798" s="137" t="s">
        <v>843</v>
      </c>
      <c r="L1798" s="137" t="s">
        <v>841</v>
      </c>
      <c r="M179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9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98" s="138" t="str" cm="1">
        <f t="array" ref="O1798">IFERROR(INDEX(CategoriesTable[Category type],MATCH(Table1[[#This Row],[Category]],CategoriesTable[Category name],0),0),"")</f>
        <v/>
      </c>
      <c r="P1798" s="138">
        <v>26</v>
      </c>
      <c r="Q1798" s="138">
        <f>MONTH(Table1[[#This Row],[Date]])</f>
        <v>8</v>
      </c>
      <c r="R1798" s="138">
        <v>2020</v>
      </c>
      <c r="S1798" s="139">
        <f>IF(ISBLANK(Table1[[#This Row],[Date]]),"",Table1[[#This Row],[Date]]-WEEKDAY(Table1[[#This Row],[Date]],2)+1)</f>
        <v>44067</v>
      </c>
      <c r="T1798" s="140">
        <f>IF(ISBLANK(Table1[[#This Row],[Date]]),"",DATE(Table1[[#This Row],[Date_Year]],Table1[[#This Row],[Date_Month]],1))</f>
        <v>44044</v>
      </c>
    </row>
    <row r="1799" spans="2:20" ht="15.75">
      <c r="B1799" s="154">
        <v>44068</v>
      </c>
      <c r="C1799" s="119" t="s">
        <v>2916</v>
      </c>
      <c r="D1799" s="119"/>
      <c r="E1799" s="119"/>
      <c r="F1799" s="155">
        <v>-103.75</v>
      </c>
      <c r="G1799" s="133" t="str">
        <f>_xlfn.XLOOKUP(Table1[[#This Row],[Account_ID]], Accounts[ID], Accounts[Account nickname], "Unknown")</f>
        <v>Discover</v>
      </c>
      <c r="H1799" s="134" t="str">
        <f>_xlfn.XLOOKUP(Table1[[#This Row],[Account_ID]], Accounts[ID], Accounts[Account'#], "Unknown")</f>
        <v>4618</v>
      </c>
      <c r="I1799" s="135" t="str">
        <f>_xlfn.XLOOKUP(_xlfn.XLOOKUP(Table1[[#This Row],[Account]],Accounts[Account nickname],Accounts[Institution ID]),Institutions[ID],Institutions[Institution nickname],"Unknown")</f>
        <v>Discover</v>
      </c>
      <c r="J1799" s="136" t="s">
        <v>3105</v>
      </c>
      <c r="K1799" s="137" t="s">
        <v>843</v>
      </c>
      <c r="L1799" s="137" t="s">
        <v>841</v>
      </c>
      <c r="M179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79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799" s="138" t="str" cm="1">
        <f t="array" ref="O1799">IFERROR(INDEX(CategoriesTable[Category type],MATCH(Table1[[#This Row],[Category]],CategoriesTable[Category name],0),0),"")</f>
        <v/>
      </c>
      <c r="P1799" s="138">
        <v>25</v>
      </c>
      <c r="Q1799" s="138">
        <f>MONTH(Table1[[#This Row],[Date]])</f>
        <v>8</v>
      </c>
      <c r="R1799" s="138">
        <v>2020</v>
      </c>
      <c r="S1799" s="139">
        <f>IF(ISBLANK(Table1[[#This Row],[Date]]),"",Table1[[#This Row],[Date]]-WEEKDAY(Table1[[#This Row],[Date]],2)+1)</f>
        <v>44067</v>
      </c>
      <c r="T1799" s="140">
        <f>IF(ISBLANK(Table1[[#This Row],[Date]]),"",DATE(Table1[[#This Row],[Date_Year]],Table1[[#This Row],[Date_Month]],1))</f>
        <v>44044</v>
      </c>
    </row>
    <row r="1800" spans="2:20" ht="15.75">
      <c r="B1800" s="154">
        <v>44068</v>
      </c>
      <c r="C1800" s="119" t="s">
        <v>860</v>
      </c>
      <c r="D1800" s="119"/>
      <c r="E1800" s="119"/>
      <c r="F1800" s="155">
        <v>-32.6</v>
      </c>
      <c r="G1800" s="133" t="str">
        <f>_xlfn.XLOOKUP(Table1[[#This Row],[Account_ID]], Accounts[ID], Accounts[Account nickname], "Unknown")</f>
        <v>Discover</v>
      </c>
      <c r="H1800" s="134" t="str">
        <f>_xlfn.XLOOKUP(Table1[[#This Row],[Account_ID]], Accounts[ID], Accounts[Account'#], "Unknown")</f>
        <v>4618</v>
      </c>
      <c r="I1800" s="135" t="str">
        <f>_xlfn.XLOOKUP(_xlfn.XLOOKUP(Table1[[#This Row],[Account]],Accounts[Account nickname],Accounts[Institution ID]),Institutions[ID],Institutions[Institution nickname],"Unknown")</f>
        <v>Discover</v>
      </c>
      <c r="J1800" s="136" t="s">
        <v>3104</v>
      </c>
      <c r="K1800" s="137" t="s">
        <v>843</v>
      </c>
      <c r="L1800" s="137" t="s">
        <v>841</v>
      </c>
      <c r="M180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0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00" s="138" t="str" cm="1">
        <f t="array" ref="O1800">IFERROR(INDEX(CategoriesTable[Category type],MATCH(Table1[[#This Row],[Category]],CategoriesTable[Category name],0),0),"")</f>
        <v/>
      </c>
      <c r="P1800" s="138">
        <v>25</v>
      </c>
      <c r="Q1800" s="138">
        <f>MONTH(Table1[[#This Row],[Date]])</f>
        <v>8</v>
      </c>
      <c r="R1800" s="138">
        <v>2020</v>
      </c>
      <c r="S1800" s="139">
        <f>IF(ISBLANK(Table1[[#This Row],[Date]]),"",Table1[[#This Row],[Date]]-WEEKDAY(Table1[[#This Row],[Date]],2)+1)</f>
        <v>44067</v>
      </c>
      <c r="T1800" s="140">
        <f>IF(ISBLANK(Table1[[#This Row],[Date]]),"",DATE(Table1[[#This Row],[Date_Year]],Table1[[#This Row],[Date_Month]],1))</f>
        <v>44044</v>
      </c>
    </row>
    <row r="1801" spans="2:20" ht="15.75">
      <c r="B1801" s="154">
        <v>44068</v>
      </c>
      <c r="C1801" s="119" t="s">
        <v>860</v>
      </c>
      <c r="D1801" s="119"/>
      <c r="E1801" s="119"/>
      <c r="F1801" s="155">
        <v>-26.33</v>
      </c>
      <c r="G1801" s="133" t="str">
        <f>_xlfn.XLOOKUP(Table1[[#This Row],[Account_ID]], Accounts[ID], Accounts[Account nickname], "Unknown")</f>
        <v>Discover</v>
      </c>
      <c r="H1801" s="134" t="str">
        <f>_xlfn.XLOOKUP(Table1[[#This Row],[Account_ID]], Accounts[ID], Accounts[Account'#], "Unknown")</f>
        <v>4618</v>
      </c>
      <c r="I1801" s="135" t="str">
        <f>_xlfn.XLOOKUP(_xlfn.XLOOKUP(Table1[[#This Row],[Account]],Accounts[Account nickname],Accounts[Institution ID]),Institutions[ID],Institutions[Institution nickname],"Unknown")</f>
        <v>Discover</v>
      </c>
      <c r="J1801" s="136" t="s">
        <v>3103</v>
      </c>
      <c r="K1801" s="137" t="s">
        <v>843</v>
      </c>
      <c r="L1801" s="137" t="s">
        <v>841</v>
      </c>
      <c r="M180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0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01" s="138" t="str" cm="1">
        <f t="array" ref="O1801">IFERROR(INDEX(CategoriesTable[Category type],MATCH(Table1[[#This Row],[Category]],CategoriesTable[Category name],0),0),"")</f>
        <v/>
      </c>
      <c r="P1801" s="138">
        <v>25</v>
      </c>
      <c r="Q1801" s="138">
        <f>MONTH(Table1[[#This Row],[Date]])</f>
        <v>8</v>
      </c>
      <c r="R1801" s="138">
        <v>2020</v>
      </c>
      <c r="S1801" s="139">
        <f>IF(ISBLANK(Table1[[#This Row],[Date]]),"",Table1[[#This Row],[Date]]-WEEKDAY(Table1[[#This Row],[Date]],2)+1)</f>
        <v>44067</v>
      </c>
      <c r="T1801" s="140">
        <f>IF(ISBLANK(Table1[[#This Row],[Date]]),"",DATE(Table1[[#This Row],[Date_Year]],Table1[[#This Row],[Date_Month]],1))</f>
        <v>44044</v>
      </c>
    </row>
    <row r="1802" spans="2:20" ht="15.75">
      <c r="B1802" s="154">
        <v>44068</v>
      </c>
      <c r="C1802" s="119" t="s">
        <v>686</v>
      </c>
      <c r="D1802" s="119"/>
      <c r="E1802" s="119"/>
      <c r="F1802" s="155">
        <v>-300</v>
      </c>
      <c r="G1802" s="133" t="str">
        <f>_xlfn.XLOOKUP(Table1[[#This Row],[Account_ID]], Accounts[ID], Accounts[Account nickname], "Unknown")</f>
        <v>WF</v>
      </c>
      <c r="H1802" s="134" t="str">
        <f>_xlfn.XLOOKUP(Table1[[#This Row],[Account_ID]], Accounts[ID], Accounts[Account'#], "Unknown")</f>
        <v>4636</v>
      </c>
      <c r="I1802" s="135" t="str">
        <f>_xlfn.XLOOKUP(_xlfn.XLOOKUP(Table1[[#This Row],[Account]],Accounts[Account nickname],Accounts[Institution ID]),Institutions[ID],Institutions[Institution nickname],"Unknown")</f>
        <v>Wells Fargo</v>
      </c>
      <c r="J1802" s="136" t="s">
        <v>1330</v>
      </c>
      <c r="K1802" s="137" t="s">
        <v>808</v>
      </c>
      <c r="L1802" s="137" t="s">
        <v>807</v>
      </c>
      <c r="M180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0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02" s="138" t="str" cm="1">
        <f t="array" ref="O1802">IFERROR(INDEX(CategoriesTable[Category type],MATCH(Table1[[#This Row],[Category]],CategoriesTable[Category name],0),0),"")</f>
        <v/>
      </c>
      <c r="P1802" s="138">
        <v>25</v>
      </c>
      <c r="Q1802" s="138">
        <f>MONTH(Table1[[#This Row],[Date]])</f>
        <v>8</v>
      </c>
      <c r="R1802" s="138">
        <v>2020</v>
      </c>
      <c r="S1802" s="139">
        <f>IF(ISBLANK(Table1[[#This Row],[Date]]),"",Table1[[#This Row],[Date]]-WEEKDAY(Table1[[#This Row],[Date]],2)+1)</f>
        <v>44067</v>
      </c>
      <c r="T1802" s="140">
        <f>IF(ISBLANK(Table1[[#This Row],[Date]]),"",DATE(Table1[[#This Row],[Date_Year]],Table1[[#This Row],[Date_Month]],1))</f>
        <v>44044</v>
      </c>
    </row>
    <row r="1803" spans="2:20" ht="15.75">
      <c r="B1803" s="154">
        <v>44068</v>
      </c>
      <c r="C1803" s="119" t="s">
        <v>753</v>
      </c>
      <c r="D1803" s="119"/>
      <c r="E1803" s="119"/>
      <c r="F1803" s="155">
        <v>234.1</v>
      </c>
      <c r="G1803" s="133" t="str">
        <f>_xlfn.XLOOKUP(Table1[[#This Row],[Account_ID]], Accounts[ID], Accounts[Account nickname], "Unknown")</f>
        <v>WF</v>
      </c>
      <c r="H1803" s="134" t="str">
        <f>_xlfn.XLOOKUP(Table1[[#This Row],[Account_ID]], Accounts[ID], Accounts[Account'#], "Unknown")</f>
        <v>4636</v>
      </c>
      <c r="I1803" s="135" t="str">
        <f>_xlfn.XLOOKUP(_xlfn.XLOOKUP(Table1[[#This Row],[Account]],Accounts[Account nickname],Accounts[Institution ID]),Institutions[ID],Institutions[Institution nickname],"Unknown")</f>
        <v>Wells Fargo</v>
      </c>
      <c r="J1803" s="136" t="s">
        <v>1331</v>
      </c>
      <c r="K1803" s="137" t="s">
        <v>808</v>
      </c>
      <c r="L1803" s="137" t="s">
        <v>807</v>
      </c>
      <c r="M180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0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03" s="138" t="str" cm="1">
        <f t="array" ref="O1803">IFERROR(INDEX(CategoriesTable[Category type],MATCH(Table1[[#This Row],[Category]],CategoriesTable[Category name],0),0),"")</f>
        <v/>
      </c>
      <c r="P1803" s="138">
        <v>25</v>
      </c>
      <c r="Q1803" s="138">
        <f>MONTH(Table1[[#This Row],[Date]])</f>
        <v>8</v>
      </c>
      <c r="R1803" s="138">
        <v>2020</v>
      </c>
      <c r="S1803" s="139">
        <f>IF(ISBLANK(Table1[[#This Row],[Date]]),"",Table1[[#This Row],[Date]]-WEEKDAY(Table1[[#This Row],[Date]],2)+1)</f>
        <v>44067</v>
      </c>
      <c r="T1803" s="140">
        <f>IF(ISBLANK(Table1[[#This Row],[Date]]),"",DATE(Table1[[#This Row],[Date_Year]],Table1[[#This Row],[Date_Month]],1))</f>
        <v>44044</v>
      </c>
    </row>
    <row r="1804" spans="2:20" ht="15.75">
      <c r="B1804" s="154">
        <v>44068</v>
      </c>
      <c r="C1804" s="119" t="s">
        <v>845</v>
      </c>
      <c r="D1804" s="119"/>
      <c r="E1804" s="119"/>
      <c r="F1804" s="155">
        <v>300</v>
      </c>
      <c r="G1804" s="133" t="str">
        <f>_xlfn.XLOOKUP(Table1[[#This Row],[Account_ID]], Accounts[ID], Accounts[Account nickname], "Unknown")</f>
        <v>Discover</v>
      </c>
      <c r="H1804" s="134" t="str">
        <f>_xlfn.XLOOKUP(Table1[[#This Row],[Account_ID]], Accounts[ID], Accounts[Account'#], "Unknown")</f>
        <v>4618</v>
      </c>
      <c r="I1804" s="135" t="str">
        <f>_xlfn.XLOOKUP(_xlfn.XLOOKUP(Table1[[#This Row],[Account]],Accounts[Account nickname],Accounts[Institution ID]),Institutions[ID],Institutions[Institution nickname],"Unknown")</f>
        <v>Discover</v>
      </c>
      <c r="J1804" s="136" t="s">
        <v>3102</v>
      </c>
      <c r="K1804" s="137" t="s">
        <v>843</v>
      </c>
      <c r="L1804" s="137" t="s">
        <v>841</v>
      </c>
      <c r="M180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0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04" s="138" t="str" cm="1">
        <f t="array" ref="O1804">IFERROR(INDEX(CategoriesTable[Category type],MATCH(Table1[[#This Row],[Category]],CategoriesTable[Category name],0),0),"")</f>
        <v/>
      </c>
      <c r="P1804" s="138">
        <v>25</v>
      </c>
      <c r="Q1804" s="138">
        <f>MONTH(Table1[[#This Row],[Date]])</f>
        <v>8</v>
      </c>
      <c r="R1804" s="138">
        <v>2020</v>
      </c>
      <c r="S1804" s="139">
        <f>IF(ISBLANK(Table1[[#This Row],[Date]]),"",Table1[[#This Row],[Date]]-WEEKDAY(Table1[[#This Row],[Date]],2)+1)</f>
        <v>44067</v>
      </c>
      <c r="T1804" s="140">
        <f>IF(ISBLANK(Table1[[#This Row],[Date]]),"",DATE(Table1[[#This Row],[Date_Year]],Table1[[#This Row],[Date_Month]],1))</f>
        <v>44044</v>
      </c>
    </row>
    <row r="1805" spans="2:20" ht="15.75">
      <c r="B1805" s="154">
        <v>44068</v>
      </c>
      <c r="C1805" s="119" t="s">
        <v>1423</v>
      </c>
      <c r="D1805" s="119"/>
      <c r="E1805" s="119"/>
      <c r="F1805" s="155">
        <v>-178.5</v>
      </c>
      <c r="G1805" s="133" t="str">
        <f>_xlfn.XLOOKUP(Table1[[#This Row],[Account_ID]], Accounts[ID], Accounts[Account nickname], "Unknown")</f>
        <v>Discover</v>
      </c>
      <c r="H1805" s="134" t="str">
        <f>_xlfn.XLOOKUP(Table1[[#This Row],[Account_ID]], Accounts[ID], Accounts[Account'#], "Unknown")</f>
        <v>4618</v>
      </c>
      <c r="I1805" s="135" t="str">
        <f>_xlfn.XLOOKUP(_xlfn.XLOOKUP(Table1[[#This Row],[Account]],Accounts[Account nickname],Accounts[Institution ID]),Institutions[ID],Institutions[Institution nickname],"Unknown")</f>
        <v>Discover</v>
      </c>
      <c r="J1805" s="136" t="s">
        <v>3106</v>
      </c>
      <c r="K1805" s="137" t="s">
        <v>843</v>
      </c>
      <c r="L1805" s="137" t="s">
        <v>841</v>
      </c>
      <c r="M180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0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05" s="138" t="str" cm="1">
        <f t="array" ref="O1805">IFERROR(INDEX(CategoriesTable[Category type],MATCH(Table1[[#This Row],[Category]],CategoriesTable[Category name],0),0),"")</f>
        <v/>
      </c>
      <c r="P1805" s="138">
        <v>25</v>
      </c>
      <c r="Q1805" s="138">
        <f>MONTH(Table1[[#This Row],[Date]])</f>
        <v>8</v>
      </c>
      <c r="R1805" s="138">
        <v>2020</v>
      </c>
      <c r="S1805" s="139">
        <f>IF(ISBLANK(Table1[[#This Row],[Date]]),"",Table1[[#This Row],[Date]]-WEEKDAY(Table1[[#This Row],[Date]],2)+1)</f>
        <v>44067</v>
      </c>
      <c r="T1805" s="140">
        <f>IF(ISBLANK(Table1[[#This Row],[Date]]),"",DATE(Table1[[#This Row],[Date_Year]],Table1[[#This Row],[Date_Month]],1))</f>
        <v>44044</v>
      </c>
    </row>
    <row r="1806" spans="2:20" ht="15.75">
      <c r="B1806" s="154">
        <v>44067</v>
      </c>
      <c r="C1806" s="119" t="s">
        <v>705</v>
      </c>
      <c r="D1806" s="119"/>
      <c r="E1806" s="119"/>
      <c r="F1806" s="155">
        <v>-26.15</v>
      </c>
      <c r="G1806" s="133" t="str">
        <f>_xlfn.XLOOKUP(Table1[[#This Row],[Account_ID]], Accounts[ID], Accounts[Account nickname], "Unknown")</f>
        <v>Discover</v>
      </c>
      <c r="H1806" s="134" t="str">
        <f>_xlfn.XLOOKUP(Table1[[#This Row],[Account_ID]], Accounts[ID], Accounts[Account'#], "Unknown")</f>
        <v>4618</v>
      </c>
      <c r="I1806" s="135" t="str">
        <f>_xlfn.XLOOKUP(_xlfn.XLOOKUP(Table1[[#This Row],[Account]],Accounts[Account nickname],Accounts[Institution ID]),Institutions[ID],Institutions[Institution nickname],"Unknown")</f>
        <v>Discover</v>
      </c>
      <c r="J1806" s="136" t="s">
        <v>3111</v>
      </c>
      <c r="K1806" s="137" t="s">
        <v>843</v>
      </c>
      <c r="L1806" s="137" t="s">
        <v>841</v>
      </c>
      <c r="M180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0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06" s="138" t="str" cm="1">
        <f t="array" ref="O1806">IFERROR(INDEX(CategoriesTable[Category type],MATCH(Table1[[#This Row],[Category]],CategoriesTable[Category name],0),0),"")</f>
        <v/>
      </c>
      <c r="P1806" s="138">
        <v>24</v>
      </c>
      <c r="Q1806" s="138">
        <f>MONTH(Table1[[#This Row],[Date]])</f>
        <v>8</v>
      </c>
      <c r="R1806" s="138">
        <v>2020</v>
      </c>
      <c r="S1806" s="139">
        <f>IF(ISBLANK(Table1[[#This Row],[Date]]),"",Table1[[#This Row],[Date]]-WEEKDAY(Table1[[#This Row],[Date]],2)+1)</f>
        <v>44067</v>
      </c>
      <c r="T1806" s="140">
        <f>IF(ISBLANK(Table1[[#This Row],[Date]]),"",DATE(Table1[[#This Row],[Date_Year]],Table1[[#This Row],[Date_Month]],1))</f>
        <v>44044</v>
      </c>
    </row>
    <row r="1807" spans="2:20" ht="15.75">
      <c r="B1807" s="154">
        <v>44067</v>
      </c>
      <c r="C1807" s="119" t="s">
        <v>2771</v>
      </c>
      <c r="D1807" s="119"/>
      <c r="E1807" s="119"/>
      <c r="F1807" s="155">
        <v>-19.989999999999998</v>
      </c>
      <c r="G1807" s="133" t="str">
        <f>_xlfn.XLOOKUP(Table1[[#This Row],[Account_ID]], Accounts[ID], Accounts[Account nickname], "Unknown")</f>
        <v>Discover</v>
      </c>
      <c r="H1807" s="134" t="str">
        <f>_xlfn.XLOOKUP(Table1[[#This Row],[Account_ID]], Accounts[ID], Accounts[Account'#], "Unknown")</f>
        <v>4618</v>
      </c>
      <c r="I1807" s="135" t="str">
        <f>_xlfn.XLOOKUP(_xlfn.XLOOKUP(Table1[[#This Row],[Account]],Accounts[Account nickname],Accounts[Institution ID]),Institutions[ID],Institutions[Institution nickname],"Unknown")</f>
        <v>Discover</v>
      </c>
      <c r="J1807" s="136" t="s">
        <v>3107</v>
      </c>
      <c r="K1807" s="137" t="s">
        <v>843</v>
      </c>
      <c r="L1807" s="137" t="s">
        <v>841</v>
      </c>
      <c r="M180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0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07" s="138" t="str" cm="1">
        <f t="array" ref="O1807">IFERROR(INDEX(CategoriesTable[Category type],MATCH(Table1[[#This Row],[Category]],CategoriesTable[Category name],0),0),"")</f>
        <v/>
      </c>
      <c r="P1807" s="138">
        <v>24</v>
      </c>
      <c r="Q1807" s="138">
        <f>MONTH(Table1[[#This Row],[Date]])</f>
        <v>8</v>
      </c>
      <c r="R1807" s="138">
        <v>2020</v>
      </c>
      <c r="S1807" s="139">
        <f>IF(ISBLANK(Table1[[#This Row],[Date]]),"",Table1[[#This Row],[Date]]-WEEKDAY(Table1[[#This Row],[Date]],2)+1)</f>
        <v>44067</v>
      </c>
      <c r="T1807" s="140">
        <f>IF(ISBLANK(Table1[[#This Row],[Date]]),"",DATE(Table1[[#This Row],[Date_Year]],Table1[[#This Row],[Date_Month]],1))</f>
        <v>44044</v>
      </c>
    </row>
    <row r="1808" spans="2:20" ht="15.75">
      <c r="B1808" s="154">
        <v>44067</v>
      </c>
      <c r="C1808" s="119" t="s">
        <v>724</v>
      </c>
      <c r="D1808" s="119"/>
      <c r="E1808" s="119"/>
      <c r="F1808" s="155">
        <v>-3.29</v>
      </c>
      <c r="G1808" s="133" t="str">
        <f>_xlfn.XLOOKUP(Table1[[#This Row],[Account_ID]], Accounts[ID], Accounts[Account nickname], "Unknown")</f>
        <v>Discover</v>
      </c>
      <c r="H1808" s="134" t="str">
        <f>_xlfn.XLOOKUP(Table1[[#This Row],[Account_ID]], Accounts[ID], Accounts[Account'#], "Unknown")</f>
        <v>4618</v>
      </c>
      <c r="I1808" s="135" t="str">
        <f>_xlfn.XLOOKUP(_xlfn.XLOOKUP(Table1[[#This Row],[Account]],Accounts[Account nickname],Accounts[Institution ID]),Institutions[ID],Institutions[Institution nickname],"Unknown")</f>
        <v>Discover</v>
      </c>
      <c r="J1808" s="136" t="s">
        <v>3114</v>
      </c>
      <c r="K1808" s="137" t="s">
        <v>843</v>
      </c>
      <c r="L1808" s="137" t="s">
        <v>841</v>
      </c>
      <c r="M180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0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08" s="138" t="str" cm="1">
        <f t="array" ref="O1808">IFERROR(INDEX(CategoriesTable[Category type],MATCH(Table1[[#This Row],[Category]],CategoriesTable[Category name],0),0),"")</f>
        <v/>
      </c>
      <c r="P1808" s="138">
        <v>24</v>
      </c>
      <c r="Q1808" s="138">
        <f>MONTH(Table1[[#This Row],[Date]])</f>
        <v>8</v>
      </c>
      <c r="R1808" s="138">
        <v>2020</v>
      </c>
      <c r="S1808" s="139">
        <f>IF(ISBLANK(Table1[[#This Row],[Date]]),"",Table1[[#This Row],[Date]]-WEEKDAY(Table1[[#This Row],[Date]],2)+1)</f>
        <v>44067</v>
      </c>
      <c r="T1808" s="140">
        <f>IF(ISBLANK(Table1[[#This Row],[Date]]),"",DATE(Table1[[#This Row],[Date_Year]],Table1[[#This Row],[Date_Month]],1))</f>
        <v>44044</v>
      </c>
    </row>
    <row r="1809" spans="2:20" ht="15.75">
      <c r="B1809" s="154">
        <v>44067</v>
      </c>
      <c r="C1809" s="119" t="s">
        <v>752</v>
      </c>
      <c r="D1809" s="119"/>
      <c r="E1809" s="119"/>
      <c r="F1809" s="155">
        <v>-200</v>
      </c>
      <c r="G1809" s="133" t="str">
        <f>_xlfn.XLOOKUP(Table1[[#This Row],[Account_ID]], Accounts[ID], Accounts[Account nickname], "Unknown")</f>
        <v>WF</v>
      </c>
      <c r="H1809" s="134" t="str">
        <f>_xlfn.XLOOKUP(Table1[[#This Row],[Account_ID]], Accounts[ID], Accounts[Account'#], "Unknown")</f>
        <v>4636</v>
      </c>
      <c r="I1809" s="135" t="str">
        <f>_xlfn.XLOOKUP(_xlfn.XLOOKUP(Table1[[#This Row],[Account]],Accounts[Account nickname],Accounts[Institution ID]),Institutions[ID],Institutions[Institution nickname],"Unknown")</f>
        <v>Wells Fargo</v>
      </c>
      <c r="J1809" s="136" t="s">
        <v>1332</v>
      </c>
      <c r="K1809" s="137" t="s">
        <v>808</v>
      </c>
      <c r="L1809" s="137" t="s">
        <v>807</v>
      </c>
      <c r="M180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0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09" s="138" t="str" cm="1">
        <f t="array" ref="O1809">IFERROR(INDEX(CategoriesTable[Category type],MATCH(Table1[[#This Row],[Category]],CategoriesTable[Category name],0),0),"")</f>
        <v/>
      </c>
      <c r="P1809" s="138">
        <v>24</v>
      </c>
      <c r="Q1809" s="138">
        <f>MONTH(Table1[[#This Row],[Date]])</f>
        <v>8</v>
      </c>
      <c r="R1809" s="138">
        <v>2020</v>
      </c>
      <c r="S1809" s="139">
        <f>IF(ISBLANK(Table1[[#This Row],[Date]]),"",Table1[[#This Row],[Date]]-WEEKDAY(Table1[[#This Row],[Date]],2)+1)</f>
        <v>44067</v>
      </c>
      <c r="T1809" s="140">
        <f>IF(ISBLANK(Table1[[#This Row],[Date]]),"",DATE(Table1[[#This Row],[Date_Year]],Table1[[#This Row],[Date_Month]],1))</f>
        <v>44044</v>
      </c>
    </row>
    <row r="1810" spans="2:20" ht="15.75">
      <c r="B1810" s="154">
        <v>44067</v>
      </c>
      <c r="C1810" s="119" t="s">
        <v>3112</v>
      </c>
      <c r="D1810" s="119"/>
      <c r="E1810" s="119"/>
      <c r="F1810" s="155">
        <v>-58.95</v>
      </c>
      <c r="G1810" s="133" t="str">
        <f>_xlfn.XLOOKUP(Table1[[#This Row],[Account_ID]], Accounts[ID], Accounts[Account nickname], "Unknown")</f>
        <v>Discover</v>
      </c>
      <c r="H1810" s="134" t="str">
        <f>_xlfn.XLOOKUP(Table1[[#This Row],[Account_ID]], Accounts[ID], Accounts[Account'#], "Unknown")</f>
        <v>4618</v>
      </c>
      <c r="I1810" s="135" t="str">
        <f>_xlfn.XLOOKUP(_xlfn.XLOOKUP(Table1[[#This Row],[Account]],Accounts[Account nickname],Accounts[Institution ID]),Institutions[ID],Institutions[Institution nickname],"Unknown")</f>
        <v>Discover</v>
      </c>
      <c r="J1810" s="136" t="s">
        <v>3113</v>
      </c>
      <c r="K1810" s="137" t="s">
        <v>843</v>
      </c>
      <c r="L1810" s="137" t="s">
        <v>841</v>
      </c>
      <c r="M181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1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10" s="138" t="str" cm="1">
        <f t="array" ref="O1810">IFERROR(INDEX(CategoriesTable[Category type],MATCH(Table1[[#This Row],[Category]],CategoriesTable[Category name],0),0),"")</f>
        <v/>
      </c>
      <c r="P1810" s="138">
        <v>24</v>
      </c>
      <c r="Q1810" s="138">
        <f>MONTH(Table1[[#This Row],[Date]])</f>
        <v>8</v>
      </c>
      <c r="R1810" s="138">
        <v>2020</v>
      </c>
      <c r="S1810" s="139">
        <f>IF(ISBLANK(Table1[[#This Row],[Date]]),"",Table1[[#This Row],[Date]]-WEEKDAY(Table1[[#This Row],[Date]],2)+1)</f>
        <v>44067</v>
      </c>
      <c r="T1810" s="140">
        <f>IF(ISBLANK(Table1[[#This Row],[Date]]),"",DATE(Table1[[#This Row],[Date_Year]],Table1[[#This Row],[Date_Month]],1))</f>
        <v>44044</v>
      </c>
    </row>
    <row r="1811" spans="2:20" ht="15.75">
      <c r="B1811" s="154">
        <v>44067</v>
      </c>
      <c r="C1811" s="119" t="s">
        <v>2604</v>
      </c>
      <c r="D1811" s="119"/>
      <c r="E1811" s="119"/>
      <c r="F1811" s="155">
        <v>-3.92</v>
      </c>
      <c r="G1811" s="133" t="str">
        <f>_xlfn.XLOOKUP(Table1[[#This Row],[Account_ID]], Accounts[ID], Accounts[Account nickname], "Unknown")</f>
        <v>Discover</v>
      </c>
      <c r="H1811" s="134" t="str">
        <f>_xlfn.XLOOKUP(Table1[[#This Row],[Account_ID]], Accounts[ID], Accounts[Account'#], "Unknown")</f>
        <v>4618</v>
      </c>
      <c r="I1811" s="135" t="str">
        <f>_xlfn.XLOOKUP(_xlfn.XLOOKUP(Table1[[#This Row],[Account]],Accounts[Account nickname],Accounts[Institution ID]),Institutions[ID],Institutions[Institution nickname],"Unknown")</f>
        <v>Discover</v>
      </c>
      <c r="J1811" s="136" t="s">
        <v>3108</v>
      </c>
      <c r="K1811" s="137" t="s">
        <v>843</v>
      </c>
      <c r="L1811" s="137" t="s">
        <v>841</v>
      </c>
      <c r="M181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1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11" s="138" t="str" cm="1">
        <f t="array" ref="O1811">IFERROR(INDEX(CategoriesTable[Category type],MATCH(Table1[[#This Row],[Category]],CategoriesTable[Category name],0),0),"")</f>
        <v/>
      </c>
      <c r="P1811" s="138">
        <v>24</v>
      </c>
      <c r="Q1811" s="138">
        <f>MONTH(Table1[[#This Row],[Date]])</f>
        <v>8</v>
      </c>
      <c r="R1811" s="138">
        <v>2020</v>
      </c>
      <c r="S1811" s="139">
        <f>IF(ISBLANK(Table1[[#This Row],[Date]]),"",Table1[[#This Row],[Date]]-WEEKDAY(Table1[[#This Row],[Date]],2)+1)</f>
        <v>44067</v>
      </c>
      <c r="T1811" s="140">
        <f>IF(ISBLANK(Table1[[#This Row],[Date]]),"",DATE(Table1[[#This Row],[Date_Year]],Table1[[#This Row],[Date_Month]],1))</f>
        <v>44044</v>
      </c>
    </row>
    <row r="1812" spans="2:20" ht="15.75">
      <c r="B1812" s="154">
        <v>44067</v>
      </c>
      <c r="C1812" s="119" t="s">
        <v>1489</v>
      </c>
      <c r="D1812" s="119"/>
      <c r="E1812" s="119"/>
      <c r="F1812" s="155">
        <v>-73.7</v>
      </c>
      <c r="G1812" s="133" t="str">
        <f>_xlfn.XLOOKUP(Table1[[#This Row],[Account_ID]], Accounts[ID], Accounts[Account nickname], "Unknown")</f>
        <v>Discover</v>
      </c>
      <c r="H1812" s="134" t="str">
        <f>_xlfn.XLOOKUP(Table1[[#This Row],[Account_ID]], Accounts[ID], Accounts[Account'#], "Unknown")</f>
        <v>4618</v>
      </c>
      <c r="I1812" s="135" t="str">
        <f>_xlfn.XLOOKUP(_xlfn.XLOOKUP(Table1[[#This Row],[Account]],Accounts[Account nickname],Accounts[Institution ID]),Institutions[ID],Institutions[Institution nickname],"Unknown")</f>
        <v>Discover</v>
      </c>
      <c r="J1812" s="136" t="s">
        <v>3110</v>
      </c>
      <c r="K1812" s="137" t="s">
        <v>843</v>
      </c>
      <c r="L1812" s="137" t="s">
        <v>841</v>
      </c>
      <c r="M181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1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12" s="138" t="str" cm="1">
        <f t="array" ref="O1812">IFERROR(INDEX(CategoriesTable[Category type],MATCH(Table1[[#This Row],[Category]],CategoriesTable[Category name],0),0),"")</f>
        <v/>
      </c>
      <c r="P1812" s="138">
        <v>24</v>
      </c>
      <c r="Q1812" s="138">
        <f>MONTH(Table1[[#This Row],[Date]])</f>
        <v>8</v>
      </c>
      <c r="R1812" s="138">
        <v>2020</v>
      </c>
      <c r="S1812" s="139">
        <f>IF(ISBLANK(Table1[[#This Row],[Date]]),"",Table1[[#This Row],[Date]]-WEEKDAY(Table1[[#This Row],[Date]],2)+1)</f>
        <v>44067</v>
      </c>
      <c r="T1812" s="140">
        <f>IF(ISBLANK(Table1[[#This Row],[Date]]),"",DATE(Table1[[#This Row],[Date_Year]],Table1[[#This Row],[Date_Month]],1))</f>
        <v>44044</v>
      </c>
    </row>
    <row r="1813" spans="2:20" ht="15.75">
      <c r="B1813" s="154">
        <v>44067</v>
      </c>
      <c r="C1813" s="119" t="s">
        <v>2666</v>
      </c>
      <c r="D1813" s="119"/>
      <c r="E1813" s="119"/>
      <c r="F1813" s="155">
        <v>-28.82</v>
      </c>
      <c r="G1813" s="133" t="str">
        <f>_xlfn.XLOOKUP(Table1[[#This Row],[Account_ID]], Accounts[ID], Accounts[Account nickname], "Unknown")</f>
        <v>Discover</v>
      </c>
      <c r="H1813" s="134" t="str">
        <f>_xlfn.XLOOKUP(Table1[[#This Row],[Account_ID]], Accounts[ID], Accounts[Account'#], "Unknown")</f>
        <v>4618</v>
      </c>
      <c r="I1813" s="135" t="str">
        <f>_xlfn.XLOOKUP(_xlfn.XLOOKUP(Table1[[#This Row],[Account]],Accounts[Account nickname],Accounts[Institution ID]),Institutions[ID],Institutions[Institution nickname],"Unknown")</f>
        <v>Discover</v>
      </c>
      <c r="J1813" s="136" t="s">
        <v>3109</v>
      </c>
      <c r="K1813" s="137" t="s">
        <v>843</v>
      </c>
      <c r="L1813" s="137" t="s">
        <v>841</v>
      </c>
      <c r="M181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1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13" s="138" t="str" cm="1">
        <f t="array" ref="O1813">IFERROR(INDEX(CategoriesTable[Category type],MATCH(Table1[[#This Row],[Category]],CategoriesTable[Category name],0),0),"")</f>
        <v/>
      </c>
      <c r="P1813" s="138">
        <v>24</v>
      </c>
      <c r="Q1813" s="138">
        <f>MONTH(Table1[[#This Row],[Date]])</f>
        <v>8</v>
      </c>
      <c r="R1813" s="138">
        <v>2020</v>
      </c>
      <c r="S1813" s="139">
        <f>IF(ISBLANK(Table1[[#This Row],[Date]]),"",Table1[[#This Row],[Date]]-WEEKDAY(Table1[[#This Row],[Date]],2)+1)</f>
        <v>44067</v>
      </c>
      <c r="T1813" s="140">
        <f>IF(ISBLANK(Table1[[#This Row],[Date]]),"",DATE(Table1[[#This Row],[Date_Year]],Table1[[#This Row],[Date_Month]],1))</f>
        <v>44044</v>
      </c>
    </row>
    <row r="1814" spans="2:20" ht="15.75">
      <c r="B1814" s="154">
        <v>44066</v>
      </c>
      <c r="C1814" s="119" t="s">
        <v>724</v>
      </c>
      <c r="D1814" s="119"/>
      <c r="E1814" s="119"/>
      <c r="F1814" s="155">
        <v>-17.87</v>
      </c>
      <c r="G1814" s="133" t="str">
        <f>_xlfn.XLOOKUP(Table1[[#This Row],[Account_ID]], Accounts[ID], Accounts[Account nickname], "Unknown")</f>
        <v>Discover</v>
      </c>
      <c r="H1814" s="134" t="str">
        <f>_xlfn.XLOOKUP(Table1[[#This Row],[Account_ID]], Accounts[ID], Accounts[Account'#], "Unknown")</f>
        <v>4618</v>
      </c>
      <c r="I1814" s="135" t="str">
        <f>_xlfn.XLOOKUP(_xlfn.XLOOKUP(Table1[[#This Row],[Account]],Accounts[Account nickname],Accounts[Institution ID]),Institutions[ID],Institutions[Institution nickname],"Unknown")</f>
        <v>Discover</v>
      </c>
      <c r="J1814" s="136" t="s">
        <v>3119</v>
      </c>
      <c r="K1814" s="137" t="s">
        <v>843</v>
      </c>
      <c r="L1814" s="137" t="s">
        <v>841</v>
      </c>
      <c r="M181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1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14" s="138" t="str" cm="1">
        <f t="array" ref="O1814">IFERROR(INDEX(CategoriesTable[Category type],MATCH(Table1[[#This Row],[Category]],CategoriesTable[Category name],0),0),"")</f>
        <v/>
      </c>
      <c r="P1814" s="138">
        <v>23</v>
      </c>
      <c r="Q1814" s="138">
        <f>MONTH(Table1[[#This Row],[Date]])</f>
        <v>8</v>
      </c>
      <c r="R1814" s="138">
        <v>2020</v>
      </c>
      <c r="S1814" s="139">
        <f>IF(ISBLANK(Table1[[#This Row],[Date]]),"",Table1[[#This Row],[Date]]-WEEKDAY(Table1[[#This Row],[Date]],2)+1)</f>
        <v>44060</v>
      </c>
      <c r="T1814" s="140">
        <f>IF(ISBLANK(Table1[[#This Row],[Date]]),"",DATE(Table1[[#This Row],[Date_Year]],Table1[[#This Row],[Date_Month]],1))</f>
        <v>44044</v>
      </c>
    </row>
    <row r="1815" spans="2:20" ht="15.75">
      <c r="B1815" s="154">
        <v>44066</v>
      </c>
      <c r="C1815" s="119" t="s">
        <v>685</v>
      </c>
      <c r="D1815" s="119"/>
      <c r="E1815" s="119"/>
      <c r="F1815" s="155">
        <v>-26.31</v>
      </c>
      <c r="G1815" s="133" t="str">
        <f>_xlfn.XLOOKUP(Table1[[#This Row],[Account_ID]], Accounts[ID], Accounts[Account nickname], "Unknown")</f>
        <v>Discover</v>
      </c>
      <c r="H1815" s="134" t="str">
        <f>_xlfn.XLOOKUP(Table1[[#This Row],[Account_ID]], Accounts[ID], Accounts[Account'#], "Unknown")</f>
        <v>4618</v>
      </c>
      <c r="I1815" s="135" t="str">
        <f>_xlfn.XLOOKUP(_xlfn.XLOOKUP(Table1[[#This Row],[Account]],Accounts[Account nickname],Accounts[Institution ID]),Institutions[ID],Institutions[Institution nickname],"Unknown")</f>
        <v>Discover</v>
      </c>
      <c r="J1815" s="136" t="s">
        <v>3116</v>
      </c>
      <c r="K1815" s="137" t="s">
        <v>843</v>
      </c>
      <c r="L1815" s="137" t="s">
        <v>841</v>
      </c>
      <c r="M181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1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15" s="138" t="str" cm="1">
        <f t="array" ref="O1815">IFERROR(INDEX(CategoriesTable[Category type],MATCH(Table1[[#This Row],[Category]],CategoriesTable[Category name],0),0),"")</f>
        <v/>
      </c>
      <c r="P1815" s="138">
        <v>23</v>
      </c>
      <c r="Q1815" s="138">
        <f>MONTH(Table1[[#This Row],[Date]])</f>
        <v>8</v>
      </c>
      <c r="R1815" s="138">
        <v>2020</v>
      </c>
      <c r="S1815" s="139">
        <f>IF(ISBLANK(Table1[[#This Row],[Date]]),"",Table1[[#This Row],[Date]]-WEEKDAY(Table1[[#This Row],[Date]],2)+1)</f>
        <v>44060</v>
      </c>
      <c r="T1815" s="140">
        <f>IF(ISBLANK(Table1[[#This Row],[Date]]),"",DATE(Table1[[#This Row],[Date_Year]],Table1[[#This Row],[Date_Month]],1))</f>
        <v>44044</v>
      </c>
    </row>
    <row r="1816" spans="2:20" ht="15.75">
      <c r="B1816" s="154">
        <v>44066</v>
      </c>
      <c r="C1816" s="119" t="s">
        <v>724</v>
      </c>
      <c r="D1816" s="119"/>
      <c r="E1816" s="119"/>
      <c r="F1816" s="155">
        <v>-138.56</v>
      </c>
      <c r="G1816" s="133" t="str">
        <f>_xlfn.XLOOKUP(Table1[[#This Row],[Account_ID]], Accounts[ID], Accounts[Account nickname], "Unknown")</f>
        <v>Discover</v>
      </c>
      <c r="H1816" s="134" t="str">
        <f>_xlfn.XLOOKUP(Table1[[#This Row],[Account_ID]], Accounts[ID], Accounts[Account'#], "Unknown")</f>
        <v>4618</v>
      </c>
      <c r="I1816" s="135" t="str">
        <f>_xlfn.XLOOKUP(_xlfn.XLOOKUP(Table1[[#This Row],[Account]],Accounts[Account nickname],Accounts[Institution ID]),Institutions[ID],Institutions[Institution nickname],"Unknown")</f>
        <v>Discover</v>
      </c>
      <c r="J1816" s="136" t="s">
        <v>3120</v>
      </c>
      <c r="K1816" s="137" t="s">
        <v>843</v>
      </c>
      <c r="L1816" s="137" t="s">
        <v>841</v>
      </c>
      <c r="M181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1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16" s="138" t="str" cm="1">
        <f t="array" ref="O1816">IFERROR(INDEX(CategoriesTable[Category type],MATCH(Table1[[#This Row],[Category]],CategoriesTable[Category name],0),0),"")</f>
        <v/>
      </c>
      <c r="P1816" s="138">
        <v>23</v>
      </c>
      <c r="Q1816" s="138">
        <f>MONTH(Table1[[#This Row],[Date]])</f>
        <v>8</v>
      </c>
      <c r="R1816" s="138">
        <v>2020</v>
      </c>
      <c r="S1816" s="139">
        <f>IF(ISBLANK(Table1[[#This Row],[Date]]),"",Table1[[#This Row],[Date]]-WEEKDAY(Table1[[#This Row],[Date]],2)+1)</f>
        <v>44060</v>
      </c>
      <c r="T1816" s="140">
        <f>IF(ISBLANK(Table1[[#This Row],[Date]]),"",DATE(Table1[[#This Row],[Date_Year]],Table1[[#This Row],[Date_Month]],1))</f>
        <v>44044</v>
      </c>
    </row>
    <row r="1817" spans="2:20" ht="15.75">
      <c r="B1817" s="154">
        <v>44066</v>
      </c>
      <c r="C1817" s="119" t="s">
        <v>2578</v>
      </c>
      <c r="D1817" s="119"/>
      <c r="E1817" s="119"/>
      <c r="F1817" s="155">
        <v>-599</v>
      </c>
      <c r="G1817" s="133" t="str">
        <f>_xlfn.XLOOKUP(Table1[[#This Row],[Account_ID]], Accounts[ID], Accounts[Account nickname], "Unknown")</f>
        <v>Discover</v>
      </c>
      <c r="H1817" s="134" t="str">
        <f>_xlfn.XLOOKUP(Table1[[#This Row],[Account_ID]], Accounts[ID], Accounts[Account'#], "Unknown")</f>
        <v>4618</v>
      </c>
      <c r="I1817" s="135" t="str">
        <f>_xlfn.XLOOKUP(_xlfn.XLOOKUP(Table1[[#This Row],[Account]],Accounts[Account nickname],Accounts[Institution ID]),Institutions[ID],Institutions[Institution nickname],"Unknown")</f>
        <v>Discover</v>
      </c>
      <c r="J1817" s="136" t="s">
        <v>3117</v>
      </c>
      <c r="K1817" s="137" t="s">
        <v>843</v>
      </c>
      <c r="L1817" s="137" t="s">
        <v>841</v>
      </c>
      <c r="M181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1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17" s="138" t="str" cm="1">
        <f t="array" ref="O1817">IFERROR(INDEX(CategoriesTable[Category type],MATCH(Table1[[#This Row],[Category]],CategoriesTable[Category name],0),0),"")</f>
        <v/>
      </c>
      <c r="P1817" s="138">
        <v>23</v>
      </c>
      <c r="Q1817" s="138">
        <f>MONTH(Table1[[#This Row],[Date]])</f>
        <v>8</v>
      </c>
      <c r="R1817" s="138">
        <v>2020</v>
      </c>
      <c r="S1817" s="139">
        <f>IF(ISBLANK(Table1[[#This Row],[Date]]),"",Table1[[#This Row],[Date]]-WEEKDAY(Table1[[#This Row],[Date]],2)+1)</f>
        <v>44060</v>
      </c>
      <c r="T1817" s="140">
        <f>IF(ISBLANK(Table1[[#This Row],[Date]]),"",DATE(Table1[[#This Row],[Date_Year]],Table1[[#This Row],[Date_Month]],1))</f>
        <v>44044</v>
      </c>
    </row>
    <row r="1818" spans="2:20" ht="15.75">
      <c r="B1818" s="154">
        <v>44066</v>
      </c>
      <c r="C1818" s="119" t="s">
        <v>3112</v>
      </c>
      <c r="D1818" s="119"/>
      <c r="E1818" s="119"/>
      <c r="F1818" s="155">
        <v>-15.95</v>
      </c>
      <c r="G1818" s="133" t="str">
        <f>_xlfn.XLOOKUP(Table1[[#This Row],[Account_ID]], Accounts[ID], Accounts[Account nickname], "Unknown")</f>
        <v>Discover</v>
      </c>
      <c r="H1818" s="134" t="str">
        <f>_xlfn.XLOOKUP(Table1[[#This Row],[Account_ID]], Accounts[ID], Accounts[Account'#], "Unknown")</f>
        <v>4618</v>
      </c>
      <c r="I1818" s="135" t="str">
        <f>_xlfn.XLOOKUP(_xlfn.XLOOKUP(Table1[[#This Row],[Account]],Accounts[Account nickname],Accounts[Institution ID]),Institutions[ID],Institutions[Institution nickname],"Unknown")</f>
        <v>Discover</v>
      </c>
      <c r="J1818" s="136" t="s">
        <v>3118</v>
      </c>
      <c r="K1818" s="137" t="s">
        <v>843</v>
      </c>
      <c r="L1818" s="137" t="s">
        <v>841</v>
      </c>
      <c r="M181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1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18" s="138" t="str" cm="1">
        <f t="array" ref="O1818">IFERROR(INDEX(CategoriesTable[Category type],MATCH(Table1[[#This Row],[Category]],CategoriesTable[Category name],0),0),"")</f>
        <v/>
      </c>
      <c r="P1818" s="138">
        <v>23</v>
      </c>
      <c r="Q1818" s="138">
        <f>MONTH(Table1[[#This Row],[Date]])</f>
        <v>8</v>
      </c>
      <c r="R1818" s="138">
        <v>2020</v>
      </c>
      <c r="S1818" s="139">
        <f>IF(ISBLANK(Table1[[#This Row],[Date]]),"",Table1[[#This Row],[Date]]-WEEKDAY(Table1[[#This Row],[Date]],2)+1)</f>
        <v>44060</v>
      </c>
      <c r="T1818" s="140">
        <f>IF(ISBLANK(Table1[[#This Row],[Date]]),"",DATE(Table1[[#This Row],[Date_Year]],Table1[[#This Row],[Date_Month]],1))</f>
        <v>44044</v>
      </c>
    </row>
    <row r="1819" spans="2:20" ht="15.75">
      <c r="B1819" s="154">
        <v>44066</v>
      </c>
      <c r="C1819" s="119" t="s">
        <v>2771</v>
      </c>
      <c r="D1819" s="119"/>
      <c r="E1819" s="119"/>
      <c r="F1819" s="155">
        <v>-19.989999999999998</v>
      </c>
      <c r="G1819" s="133" t="str">
        <f>_xlfn.XLOOKUP(Table1[[#This Row],[Account_ID]], Accounts[ID], Accounts[Account nickname], "Unknown")</f>
        <v>Discover</v>
      </c>
      <c r="H1819" s="134" t="str">
        <f>_xlfn.XLOOKUP(Table1[[#This Row],[Account_ID]], Accounts[ID], Accounts[Account'#], "Unknown")</f>
        <v>4618</v>
      </c>
      <c r="I1819" s="135" t="str">
        <f>_xlfn.XLOOKUP(_xlfn.XLOOKUP(Table1[[#This Row],[Account]],Accounts[Account nickname],Accounts[Institution ID]),Institutions[ID],Institutions[Institution nickname],"Unknown")</f>
        <v>Discover</v>
      </c>
      <c r="J1819" s="136" t="s">
        <v>3115</v>
      </c>
      <c r="K1819" s="137" t="s">
        <v>843</v>
      </c>
      <c r="L1819" s="137" t="s">
        <v>841</v>
      </c>
      <c r="M181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1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19" s="138" t="str" cm="1">
        <f t="array" ref="O1819">IFERROR(INDEX(CategoriesTable[Category type],MATCH(Table1[[#This Row],[Category]],CategoriesTable[Category name],0),0),"")</f>
        <v/>
      </c>
      <c r="P1819" s="138">
        <v>23</v>
      </c>
      <c r="Q1819" s="138">
        <f>MONTH(Table1[[#This Row],[Date]])</f>
        <v>8</v>
      </c>
      <c r="R1819" s="138">
        <v>2020</v>
      </c>
      <c r="S1819" s="139">
        <f>IF(ISBLANK(Table1[[#This Row],[Date]]),"",Table1[[#This Row],[Date]]-WEEKDAY(Table1[[#This Row],[Date]],2)+1)</f>
        <v>44060</v>
      </c>
      <c r="T1819" s="140">
        <f>IF(ISBLANK(Table1[[#This Row],[Date]]),"",DATE(Table1[[#This Row],[Date_Year]],Table1[[#This Row],[Date_Month]],1))</f>
        <v>44044</v>
      </c>
    </row>
    <row r="1820" spans="2:20" ht="15.75">
      <c r="B1820" s="154">
        <v>44065</v>
      </c>
      <c r="C1820" s="119" t="s">
        <v>3121</v>
      </c>
      <c r="D1820" s="119"/>
      <c r="E1820" s="119"/>
      <c r="F1820" s="155">
        <v>-17.010000000000002</v>
      </c>
      <c r="G1820" s="133" t="str">
        <f>_xlfn.XLOOKUP(Table1[[#This Row],[Account_ID]], Accounts[ID], Accounts[Account nickname], "Unknown")</f>
        <v>Discover</v>
      </c>
      <c r="H1820" s="134" t="str">
        <f>_xlfn.XLOOKUP(Table1[[#This Row],[Account_ID]], Accounts[ID], Accounts[Account'#], "Unknown")</f>
        <v>4618</v>
      </c>
      <c r="I1820" s="135" t="str">
        <f>_xlfn.XLOOKUP(_xlfn.XLOOKUP(Table1[[#This Row],[Account]],Accounts[Account nickname],Accounts[Institution ID]),Institutions[ID],Institutions[Institution nickname],"Unknown")</f>
        <v>Discover</v>
      </c>
      <c r="J1820" s="136" t="s">
        <v>3122</v>
      </c>
      <c r="K1820" s="137" t="s">
        <v>843</v>
      </c>
      <c r="L1820" s="137" t="s">
        <v>841</v>
      </c>
      <c r="M182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2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20" s="138" t="str" cm="1">
        <f t="array" ref="O1820">IFERROR(INDEX(CategoriesTable[Category type],MATCH(Table1[[#This Row],[Category]],CategoriesTable[Category name],0),0),"")</f>
        <v/>
      </c>
      <c r="P1820" s="138">
        <v>22</v>
      </c>
      <c r="Q1820" s="138">
        <f>MONTH(Table1[[#This Row],[Date]])</f>
        <v>8</v>
      </c>
      <c r="R1820" s="138">
        <v>2020</v>
      </c>
      <c r="S1820" s="139">
        <f>IF(ISBLANK(Table1[[#This Row],[Date]]),"",Table1[[#This Row],[Date]]-WEEKDAY(Table1[[#This Row],[Date]],2)+1)</f>
        <v>44060</v>
      </c>
      <c r="T1820" s="140">
        <f>IF(ISBLANK(Table1[[#This Row],[Date]]),"",DATE(Table1[[#This Row],[Date_Year]],Table1[[#This Row],[Date_Month]],1))</f>
        <v>44044</v>
      </c>
    </row>
    <row r="1821" spans="2:20" ht="15.75">
      <c r="B1821" s="154">
        <v>44065</v>
      </c>
      <c r="C1821" s="119" t="s">
        <v>694</v>
      </c>
      <c r="D1821" s="119"/>
      <c r="E1821" s="119"/>
      <c r="F1821" s="155">
        <v>-7.41</v>
      </c>
      <c r="G1821" s="133" t="str">
        <f>_xlfn.XLOOKUP(Table1[[#This Row],[Account_ID]], Accounts[ID], Accounts[Account nickname], "Unknown")</f>
        <v>Discover</v>
      </c>
      <c r="H1821" s="134" t="str">
        <f>_xlfn.XLOOKUP(Table1[[#This Row],[Account_ID]], Accounts[ID], Accounts[Account'#], "Unknown")</f>
        <v>4618</v>
      </c>
      <c r="I1821" s="135" t="str">
        <f>_xlfn.XLOOKUP(_xlfn.XLOOKUP(Table1[[#This Row],[Account]],Accounts[Account nickname],Accounts[Institution ID]),Institutions[ID],Institutions[Institution nickname],"Unknown")</f>
        <v>Discover</v>
      </c>
      <c r="J1821" s="136" t="s">
        <v>3131</v>
      </c>
      <c r="K1821" s="137" t="s">
        <v>843</v>
      </c>
      <c r="L1821" s="137" t="s">
        <v>841</v>
      </c>
      <c r="M182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2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21" s="138" t="str" cm="1">
        <f t="array" ref="O1821">IFERROR(INDEX(CategoriesTable[Category type],MATCH(Table1[[#This Row],[Category]],CategoriesTable[Category name],0),0),"")</f>
        <v/>
      </c>
      <c r="P1821" s="138">
        <v>22</v>
      </c>
      <c r="Q1821" s="138">
        <f>MONTH(Table1[[#This Row],[Date]])</f>
        <v>8</v>
      </c>
      <c r="R1821" s="138">
        <v>2020</v>
      </c>
      <c r="S1821" s="139">
        <f>IF(ISBLANK(Table1[[#This Row],[Date]]),"",Table1[[#This Row],[Date]]-WEEKDAY(Table1[[#This Row],[Date]],2)+1)</f>
        <v>44060</v>
      </c>
      <c r="T1821" s="140">
        <f>IF(ISBLANK(Table1[[#This Row],[Date]]),"",DATE(Table1[[#This Row],[Date_Year]],Table1[[#This Row],[Date_Month]],1))</f>
        <v>44044</v>
      </c>
    </row>
    <row r="1822" spans="2:20" ht="15.75">
      <c r="B1822" s="154">
        <v>44065</v>
      </c>
      <c r="C1822" s="119" t="s">
        <v>2604</v>
      </c>
      <c r="D1822" s="119"/>
      <c r="E1822" s="119"/>
      <c r="F1822" s="155">
        <v>-10</v>
      </c>
      <c r="G1822" s="133" t="str">
        <f>_xlfn.XLOOKUP(Table1[[#This Row],[Account_ID]], Accounts[ID], Accounts[Account nickname], "Unknown")</f>
        <v>Discover</v>
      </c>
      <c r="H1822" s="134" t="str">
        <f>_xlfn.XLOOKUP(Table1[[#This Row],[Account_ID]], Accounts[ID], Accounts[Account'#], "Unknown")</f>
        <v>4618</v>
      </c>
      <c r="I1822" s="135" t="str">
        <f>_xlfn.XLOOKUP(_xlfn.XLOOKUP(Table1[[#This Row],[Account]],Accounts[Account nickname],Accounts[Institution ID]),Institutions[ID],Institutions[Institution nickname],"Unknown")</f>
        <v>Discover</v>
      </c>
      <c r="J1822" s="136" t="s">
        <v>3127</v>
      </c>
      <c r="K1822" s="137" t="s">
        <v>843</v>
      </c>
      <c r="L1822" s="137" t="s">
        <v>841</v>
      </c>
      <c r="M182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2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22" s="138" t="str" cm="1">
        <f t="array" ref="O1822">IFERROR(INDEX(CategoriesTable[Category type],MATCH(Table1[[#This Row],[Category]],CategoriesTable[Category name],0),0),"")</f>
        <v/>
      </c>
      <c r="P1822" s="138">
        <v>22</v>
      </c>
      <c r="Q1822" s="138">
        <f>MONTH(Table1[[#This Row],[Date]])</f>
        <v>8</v>
      </c>
      <c r="R1822" s="138">
        <v>2020</v>
      </c>
      <c r="S1822" s="139">
        <f>IF(ISBLANK(Table1[[#This Row],[Date]]),"",Table1[[#This Row],[Date]]-WEEKDAY(Table1[[#This Row],[Date]],2)+1)</f>
        <v>44060</v>
      </c>
      <c r="T1822" s="140">
        <f>IF(ISBLANK(Table1[[#This Row],[Date]]),"",DATE(Table1[[#This Row],[Date_Year]],Table1[[#This Row],[Date_Month]],1))</f>
        <v>44044</v>
      </c>
    </row>
    <row r="1823" spans="2:20" ht="15.75">
      <c r="B1823" s="154">
        <v>44065</v>
      </c>
      <c r="C1823" s="119" t="s">
        <v>2771</v>
      </c>
      <c r="D1823" s="119"/>
      <c r="E1823" s="119"/>
      <c r="F1823" s="155">
        <v>-4.99</v>
      </c>
      <c r="G1823" s="133" t="str">
        <f>_xlfn.XLOOKUP(Table1[[#This Row],[Account_ID]], Accounts[ID], Accounts[Account nickname], "Unknown")</f>
        <v>Discover</v>
      </c>
      <c r="H1823" s="134" t="str">
        <f>_xlfn.XLOOKUP(Table1[[#This Row],[Account_ID]], Accounts[ID], Accounts[Account'#], "Unknown")</f>
        <v>4618</v>
      </c>
      <c r="I1823" s="135" t="str">
        <f>_xlfn.XLOOKUP(_xlfn.XLOOKUP(Table1[[#This Row],[Account]],Accounts[Account nickname],Accounts[Institution ID]),Institutions[ID],Institutions[Institution nickname],"Unknown")</f>
        <v>Discover</v>
      </c>
      <c r="J1823" s="136" t="s">
        <v>3126</v>
      </c>
      <c r="K1823" s="137" t="s">
        <v>843</v>
      </c>
      <c r="L1823" s="137" t="s">
        <v>841</v>
      </c>
      <c r="M182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2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23" s="138" t="str" cm="1">
        <f t="array" ref="O1823">IFERROR(INDEX(CategoriesTable[Category type],MATCH(Table1[[#This Row],[Category]],CategoriesTable[Category name],0),0),"")</f>
        <v/>
      </c>
      <c r="P1823" s="138">
        <v>22</v>
      </c>
      <c r="Q1823" s="138">
        <f>MONTH(Table1[[#This Row],[Date]])</f>
        <v>8</v>
      </c>
      <c r="R1823" s="138">
        <v>2020</v>
      </c>
      <c r="S1823" s="139">
        <f>IF(ISBLANK(Table1[[#This Row],[Date]]),"",Table1[[#This Row],[Date]]-WEEKDAY(Table1[[#This Row],[Date]],2)+1)</f>
        <v>44060</v>
      </c>
      <c r="T1823" s="140">
        <f>IF(ISBLANK(Table1[[#This Row],[Date]]),"",DATE(Table1[[#This Row],[Date_Year]],Table1[[#This Row],[Date_Month]],1))</f>
        <v>44044</v>
      </c>
    </row>
    <row r="1824" spans="2:20" ht="15.75">
      <c r="B1824" s="154">
        <v>44065</v>
      </c>
      <c r="C1824" s="119" t="s">
        <v>3123</v>
      </c>
      <c r="D1824" s="119"/>
      <c r="E1824" s="119"/>
      <c r="F1824" s="155">
        <v>-20</v>
      </c>
      <c r="G1824" s="133" t="str">
        <f>_xlfn.XLOOKUP(Table1[[#This Row],[Account_ID]], Accounts[ID], Accounts[Account nickname], "Unknown")</f>
        <v>Discover</v>
      </c>
      <c r="H1824" s="134" t="str">
        <f>_xlfn.XLOOKUP(Table1[[#This Row],[Account_ID]], Accounts[ID], Accounts[Account'#], "Unknown")</f>
        <v>4618</v>
      </c>
      <c r="I1824" s="135" t="str">
        <f>_xlfn.XLOOKUP(_xlfn.XLOOKUP(Table1[[#This Row],[Account]],Accounts[Account nickname],Accounts[Institution ID]),Institutions[ID],Institutions[Institution nickname],"Unknown")</f>
        <v>Discover</v>
      </c>
      <c r="J1824" s="136" t="s">
        <v>3124</v>
      </c>
      <c r="K1824" s="137" t="s">
        <v>843</v>
      </c>
      <c r="L1824" s="137" t="s">
        <v>841</v>
      </c>
      <c r="M182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2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24" s="138" t="str" cm="1">
        <f t="array" ref="O1824">IFERROR(INDEX(CategoriesTable[Category type],MATCH(Table1[[#This Row],[Category]],CategoriesTable[Category name],0),0),"")</f>
        <v/>
      </c>
      <c r="P1824" s="138">
        <v>22</v>
      </c>
      <c r="Q1824" s="138">
        <f>MONTH(Table1[[#This Row],[Date]])</f>
        <v>8</v>
      </c>
      <c r="R1824" s="138">
        <v>2020</v>
      </c>
      <c r="S1824" s="139">
        <f>IF(ISBLANK(Table1[[#This Row],[Date]]),"",Table1[[#This Row],[Date]]-WEEKDAY(Table1[[#This Row],[Date]],2)+1)</f>
        <v>44060</v>
      </c>
      <c r="T1824" s="140">
        <f>IF(ISBLANK(Table1[[#This Row],[Date]]),"",DATE(Table1[[#This Row],[Date_Year]],Table1[[#This Row],[Date_Month]],1))</f>
        <v>44044</v>
      </c>
    </row>
    <row r="1825" spans="2:20" ht="15.75">
      <c r="B1825" s="154">
        <v>44065</v>
      </c>
      <c r="C1825" s="119" t="s">
        <v>2771</v>
      </c>
      <c r="D1825" s="119"/>
      <c r="E1825" s="119"/>
      <c r="F1825" s="155">
        <v>-4.99</v>
      </c>
      <c r="G1825" s="133" t="str">
        <f>_xlfn.XLOOKUP(Table1[[#This Row],[Account_ID]], Accounts[ID], Accounts[Account nickname], "Unknown")</f>
        <v>Discover</v>
      </c>
      <c r="H1825" s="134" t="str">
        <f>_xlfn.XLOOKUP(Table1[[#This Row],[Account_ID]], Accounts[ID], Accounts[Account'#], "Unknown")</f>
        <v>4618</v>
      </c>
      <c r="I1825" s="135" t="str">
        <f>_xlfn.XLOOKUP(_xlfn.XLOOKUP(Table1[[#This Row],[Account]],Accounts[Account nickname],Accounts[Institution ID]),Institutions[ID],Institutions[Institution nickname],"Unknown")</f>
        <v>Discover</v>
      </c>
      <c r="J1825" s="136" t="s">
        <v>3125</v>
      </c>
      <c r="K1825" s="137" t="s">
        <v>843</v>
      </c>
      <c r="L1825" s="137" t="s">
        <v>841</v>
      </c>
      <c r="M182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2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25" s="138" t="str" cm="1">
        <f t="array" ref="O1825">IFERROR(INDEX(CategoriesTable[Category type],MATCH(Table1[[#This Row],[Category]],CategoriesTable[Category name],0),0),"")</f>
        <v/>
      </c>
      <c r="P1825" s="138">
        <v>22</v>
      </c>
      <c r="Q1825" s="138">
        <f>MONTH(Table1[[#This Row],[Date]])</f>
        <v>8</v>
      </c>
      <c r="R1825" s="138">
        <v>2020</v>
      </c>
      <c r="S1825" s="139">
        <f>IF(ISBLANK(Table1[[#This Row],[Date]]),"",Table1[[#This Row],[Date]]-WEEKDAY(Table1[[#This Row],[Date]],2)+1)</f>
        <v>44060</v>
      </c>
      <c r="T1825" s="140">
        <f>IF(ISBLANK(Table1[[#This Row],[Date]]),"",DATE(Table1[[#This Row],[Date_Year]],Table1[[#This Row],[Date_Month]],1))</f>
        <v>44044</v>
      </c>
    </row>
    <row r="1826" spans="2:20" ht="15.75">
      <c r="B1826" s="154">
        <v>44065</v>
      </c>
      <c r="C1826" s="119" t="s">
        <v>719</v>
      </c>
      <c r="D1826" s="119"/>
      <c r="E1826" s="119"/>
      <c r="F1826" s="155">
        <v>-2.04</v>
      </c>
      <c r="G1826" s="133" t="str">
        <f>_xlfn.XLOOKUP(Table1[[#This Row],[Account_ID]], Accounts[ID], Accounts[Account nickname], "Unknown")</f>
        <v>Discover</v>
      </c>
      <c r="H1826" s="134" t="str">
        <f>_xlfn.XLOOKUP(Table1[[#This Row],[Account_ID]], Accounts[ID], Accounts[Account'#], "Unknown")</f>
        <v>4618</v>
      </c>
      <c r="I1826" s="135" t="str">
        <f>_xlfn.XLOOKUP(_xlfn.XLOOKUP(Table1[[#This Row],[Account]],Accounts[Account nickname],Accounts[Institution ID]),Institutions[ID],Institutions[Institution nickname],"Unknown")</f>
        <v>Discover</v>
      </c>
      <c r="J1826" s="136" t="s">
        <v>3129</v>
      </c>
      <c r="K1826" s="137" t="s">
        <v>843</v>
      </c>
      <c r="L1826" s="137" t="s">
        <v>841</v>
      </c>
      <c r="M182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2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26" s="138" t="str" cm="1">
        <f t="array" ref="O1826">IFERROR(INDEX(CategoriesTable[Category type],MATCH(Table1[[#This Row],[Category]],CategoriesTable[Category name],0),0),"")</f>
        <v/>
      </c>
      <c r="P1826" s="138">
        <v>22</v>
      </c>
      <c r="Q1826" s="138">
        <f>MONTH(Table1[[#This Row],[Date]])</f>
        <v>8</v>
      </c>
      <c r="R1826" s="138">
        <v>2020</v>
      </c>
      <c r="S1826" s="139">
        <f>IF(ISBLANK(Table1[[#This Row],[Date]]),"",Table1[[#This Row],[Date]]-WEEKDAY(Table1[[#This Row],[Date]],2)+1)</f>
        <v>44060</v>
      </c>
      <c r="T1826" s="140">
        <f>IF(ISBLANK(Table1[[#This Row],[Date]]),"",DATE(Table1[[#This Row],[Date_Year]],Table1[[#This Row],[Date_Month]],1))</f>
        <v>44044</v>
      </c>
    </row>
    <row r="1827" spans="2:20" ht="15.75">
      <c r="B1827" s="154">
        <v>44065</v>
      </c>
      <c r="C1827" s="119" t="s">
        <v>2666</v>
      </c>
      <c r="D1827" s="119"/>
      <c r="E1827" s="119"/>
      <c r="F1827" s="155">
        <v>-9.32</v>
      </c>
      <c r="G1827" s="133" t="str">
        <f>_xlfn.XLOOKUP(Table1[[#This Row],[Account_ID]], Accounts[ID], Accounts[Account nickname], "Unknown")</f>
        <v>Discover</v>
      </c>
      <c r="H1827" s="134" t="str">
        <f>_xlfn.XLOOKUP(Table1[[#This Row],[Account_ID]], Accounts[ID], Accounts[Account'#], "Unknown")</f>
        <v>4618</v>
      </c>
      <c r="I1827" s="135" t="str">
        <f>_xlfn.XLOOKUP(_xlfn.XLOOKUP(Table1[[#This Row],[Account]],Accounts[Account nickname],Accounts[Institution ID]),Institutions[ID],Institutions[Institution nickname],"Unknown")</f>
        <v>Discover</v>
      </c>
      <c r="J1827" s="136" t="s">
        <v>3130</v>
      </c>
      <c r="K1827" s="137" t="s">
        <v>843</v>
      </c>
      <c r="L1827" s="137" t="s">
        <v>841</v>
      </c>
      <c r="M182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2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27" s="138" t="str" cm="1">
        <f t="array" ref="O1827">IFERROR(INDEX(CategoriesTable[Category type],MATCH(Table1[[#This Row],[Category]],CategoriesTable[Category name],0),0),"")</f>
        <v/>
      </c>
      <c r="P1827" s="138">
        <v>22</v>
      </c>
      <c r="Q1827" s="138">
        <f>MONTH(Table1[[#This Row],[Date]])</f>
        <v>8</v>
      </c>
      <c r="R1827" s="138">
        <v>2020</v>
      </c>
      <c r="S1827" s="139">
        <f>IF(ISBLANK(Table1[[#This Row],[Date]]),"",Table1[[#This Row],[Date]]-WEEKDAY(Table1[[#This Row],[Date]],2)+1)</f>
        <v>44060</v>
      </c>
      <c r="T1827" s="140">
        <f>IF(ISBLANK(Table1[[#This Row],[Date]]),"",DATE(Table1[[#This Row],[Date_Year]],Table1[[#This Row],[Date_Month]],1))</f>
        <v>44044</v>
      </c>
    </row>
    <row r="1828" spans="2:20" ht="15.75">
      <c r="B1828" s="154">
        <v>44065</v>
      </c>
      <c r="C1828" s="119" t="s">
        <v>2604</v>
      </c>
      <c r="D1828" s="119"/>
      <c r="E1828" s="119"/>
      <c r="F1828" s="155">
        <v>-10</v>
      </c>
      <c r="G1828" s="133" t="str">
        <f>_xlfn.XLOOKUP(Table1[[#This Row],[Account_ID]], Accounts[ID], Accounts[Account nickname], "Unknown")</f>
        <v>Discover</v>
      </c>
      <c r="H1828" s="134" t="str">
        <f>_xlfn.XLOOKUP(Table1[[#This Row],[Account_ID]], Accounts[ID], Accounts[Account'#], "Unknown")</f>
        <v>4618</v>
      </c>
      <c r="I1828" s="135" t="str">
        <f>_xlfn.XLOOKUP(_xlfn.XLOOKUP(Table1[[#This Row],[Account]],Accounts[Account nickname],Accounts[Institution ID]),Institutions[ID],Institutions[Institution nickname],"Unknown")</f>
        <v>Discover</v>
      </c>
      <c r="J1828" s="136" t="s">
        <v>3128</v>
      </c>
      <c r="K1828" s="137" t="s">
        <v>843</v>
      </c>
      <c r="L1828" s="137" t="s">
        <v>841</v>
      </c>
      <c r="M182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2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28" s="138" t="str" cm="1">
        <f t="array" ref="O1828">IFERROR(INDEX(CategoriesTable[Category type],MATCH(Table1[[#This Row],[Category]],CategoriesTable[Category name],0),0),"")</f>
        <v/>
      </c>
      <c r="P1828" s="138">
        <v>22</v>
      </c>
      <c r="Q1828" s="138">
        <f>MONTH(Table1[[#This Row],[Date]])</f>
        <v>8</v>
      </c>
      <c r="R1828" s="138">
        <v>2020</v>
      </c>
      <c r="S1828" s="139">
        <f>IF(ISBLANK(Table1[[#This Row],[Date]]),"",Table1[[#This Row],[Date]]-WEEKDAY(Table1[[#This Row],[Date]],2)+1)</f>
        <v>44060</v>
      </c>
      <c r="T1828" s="140">
        <f>IF(ISBLANK(Table1[[#This Row],[Date]]),"",DATE(Table1[[#This Row],[Date_Year]],Table1[[#This Row],[Date_Month]],1))</f>
        <v>44044</v>
      </c>
    </row>
    <row r="1829" spans="2:20" ht="15.75">
      <c r="B1829" s="154">
        <v>44065</v>
      </c>
      <c r="C1829" s="119" t="s">
        <v>2271</v>
      </c>
      <c r="D1829" s="119"/>
      <c r="E1829" s="119"/>
      <c r="F1829" s="155">
        <v>-9.4600000000000009</v>
      </c>
      <c r="G1829" s="133" t="str">
        <f>_xlfn.XLOOKUP(Table1[[#This Row],[Account_ID]], Accounts[ID], Accounts[Account nickname], "Unknown")</f>
        <v>Discover</v>
      </c>
      <c r="H1829" s="134" t="str">
        <f>_xlfn.XLOOKUP(Table1[[#This Row],[Account_ID]], Accounts[ID], Accounts[Account'#], "Unknown")</f>
        <v>4618</v>
      </c>
      <c r="I1829" s="135" t="str">
        <f>_xlfn.XLOOKUP(_xlfn.XLOOKUP(Table1[[#This Row],[Account]],Accounts[Account nickname],Accounts[Institution ID]),Institutions[ID],Institutions[Institution nickname],"Unknown")</f>
        <v>Discover</v>
      </c>
      <c r="J1829" s="136" t="s">
        <v>3132</v>
      </c>
      <c r="K1829" s="137" t="s">
        <v>843</v>
      </c>
      <c r="L1829" s="137" t="s">
        <v>841</v>
      </c>
      <c r="M182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2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29" s="138" t="str" cm="1">
        <f t="array" ref="O1829">IFERROR(INDEX(CategoriesTable[Category type],MATCH(Table1[[#This Row],[Category]],CategoriesTable[Category name],0),0),"")</f>
        <v/>
      </c>
      <c r="P1829" s="138">
        <v>22</v>
      </c>
      <c r="Q1829" s="138">
        <f>MONTH(Table1[[#This Row],[Date]])</f>
        <v>8</v>
      </c>
      <c r="R1829" s="138">
        <v>2020</v>
      </c>
      <c r="S1829" s="139">
        <f>IF(ISBLANK(Table1[[#This Row],[Date]]),"",Table1[[#This Row],[Date]]-WEEKDAY(Table1[[#This Row],[Date]],2)+1)</f>
        <v>44060</v>
      </c>
      <c r="T1829" s="140">
        <f>IF(ISBLANK(Table1[[#This Row],[Date]]),"",DATE(Table1[[#This Row],[Date_Year]],Table1[[#This Row],[Date_Month]],1))</f>
        <v>44044</v>
      </c>
    </row>
    <row r="1830" spans="2:20" ht="15.75">
      <c r="B1830" s="154">
        <v>44065</v>
      </c>
      <c r="C1830" s="119" t="s">
        <v>698</v>
      </c>
      <c r="D1830" s="119"/>
      <c r="E1830" s="119"/>
      <c r="F1830" s="155">
        <v>-9.99</v>
      </c>
      <c r="G1830" s="133" t="str">
        <f>_xlfn.XLOOKUP(Table1[[#This Row],[Account_ID]], Accounts[ID], Accounts[Account nickname], "Unknown")</f>
        <v>Discover</v>
      </c>
      <c r="H1830" s="134" t="str">
        <f>_xlfn.XLOOKUP(Table1[[#This Row],[Account_ID]], Accounts[ID], Accounts[Account'#], "Unknown")</f>
        <v>4618</v>
      </c>
      <c r="I1830" s="135" t="str">
        <f>_xlfn.XLOOKUP(_xlfn.XLOOKUP(Table1[[#This Row],[Account]],Accounts[Account nickname],Accounts[Institution ID]),Institutions[ID],Institutions[Institution nickname],"Unknown")</f>
        <v>Discover</v>
      </c>
      <c r="J1830" s="136" t="s">
        <v>3133</v>
      </c>
      <c r="K1830" s="137" t="s">
        <v>843</v>
      </c>
      <c r="L1830" s="137" t="s">
        <v>841</v>
      </c>
      <c r="M183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3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30" s="138" t="str" cm="1">
        <f t="array" ref="O1830">IFERROR(INDEX(CategoriesTable[Category type],MATCH(Table1[[#This Row],[Category]],CategoriesTable[Category name],0),0),"")</f>
        <v/>
      </c>
      <c r="P1830" s="138">
        <v>22</v>
      </c>
      <c r="Q1830" s="138">
        <f>MONTH(Table1[[#This Row],[Date]])</f>
        <v>8</v>
      </c>
      <c r="R1830" s="138">
        <v>2020</v>
      </c>
      <c r="S1830" s="139">
        <f>IF(ISBLANK(Table1[[#This Row],[Date]]),"",Table1[[#This Row],[Date]]-WEEKDAY(Table1[[#This Row],[Date]],2)+1)</f>
        <v>44060</v>
      </c>
      <c r="T1830" s="140">
        <f>IF(ISBLANK(Table1[[#This Row],[Date]]),"",DATE(Table1[[#This Row],[Date_Year]],Table1[[#This Row],[Date_Month]],1))</f>
        <v>44044</v>
      </c>
    </row>
    <row r="1831" spans="2:20" ht="15.75">
      <c r="B1831" s="154">
        <v>44064</v>
      </c>
      <c r="C1831" s="119" t="s">
        <v>704</v>
      </c>
      <c r="D1831" s="119"/>
      <c r="E1831" s="119"/>
      <c r="F1831" s="155">
        <v>-15</v>
      </c>
      <c r="G1831" s="133" t="str">
        <f>_xlfn.XLOOKUP(Table1[[#This Row],[Account_ID]], Accounts[ID], Accounts[Account nickname], "Unknown")</f>
        <v>Discover</v>
      </c>
      <c r="H1831" s="134" t="str">
        <f>_xlfn.XLOOKUP(Table1[[#This Row],[Account_ID]], Accounts[ID], Accounts[Account'#], "Unknown")</f>
        <v>4618</v>
      </c>
      <c r="I1831" s="135" t="str">
        <f>_xlfn.XLOOKUP(_xlfn.XLOOKUP(Table1[[#This Row],[Account]],Accounts[Account nickname],Accounts[Institution ID]),Institutions[ID],Institutions[Institution nickname],"Unknown")</f>
        <v>Discover</v>
      </c>
      <c r="J1831" s="136" t="s">
        <v>3134</v>
      </c>
      <c r="K1831" s="137" t="s">
        <v>843</v>
      </c>
      <c r="L1831" s="137" t="s">
        <v>841</v>
      </c>
      <c r="M183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3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31" s="138" t="str" cm="1">
        <f t="array" ref="O1831">IFERROR(INDEX(CategoriesTable[Category type],MATCH(Table1[[#This Row],[Category]],CategoriesTable[Category name],0),0),"")</f>
        <v/>
      </c>
      <c r="P1831" s="138">
        <v>21</v>
      </c>
      <c r="Q1831" s="138">
        <f>MONTH(Table1[[#This Row],[Date]])</f>
        <v>8</v>
      </c>
      <c r="R1831" s="138">
        <v>2020</v>
      </c>
      <c r="S1831" s="139">
        <f>IF(ISBLANK(Table1[[#This Row],[Date]]),"",Table1[[#This Row],[Date]]-WEEKDAY(Table1[[#This Row],[Date]],2)+1)</f>
        <v>44060</v>
      </c>
      <c r="T1831" s="140">
        <f>IF(ISBLANK(Table1[[#This Row],[Date]]),"",DATE(Table1[[#This Row],[Date_Year]],Table1[[#This Row],[Date_Month]],1))</f>
        <v>44044</v>
      </c>
    </row>
    <row r="1832" spans="2:20" ht="15.75">
      <c r="B1832" s="154">
        <v>44064</v>
      </c>
      <c r="C1832" s="119" t="s">
        <v>3135</v>
      </c>
      <c r="D1832" s="119"/>
      <c r="E1832" s="119"/>
      <c r="F1832" s="155">
        <v>-10</v>
      </c>
      <c r="G1832" s="133" t="str">
        <f>_xlfn.XLOOKUP(Table1[[#This Row],[Account_ID]], Accounts[ID], Accounts[Account nickname], "Unknown")</f>
        <v>Discover</v>
      </c>
      <c r="H1832" s="134" t="str">
        <f>_xlfn.XLOOKUP(Table1[[#This Row],[Account_ID]], Accounts[ID], Accounts[Account'#], "Unknown")</f>
        <v>4618</v>
      </c>
      <c r="I1832" s="135" t="str">
        <f>_xlfn.XLOOKUP(_xlfn.XLOOKUP(Table1[[#This Row],[Account]],Accounts[Account nickname],Accounts[Institution ID]),Institutions[ID],Institutions[Institution nickname],"Unknown")</f>
        <v>Discover</v>
      </c>
      <c r="J1832" s="136" t="s">
        <v>3136</v>
      </c>
      <c r="K1832" s="137" t="s">
        <v>843</v>
      </c>
      <c r="L1832" s="137" t="s">
        <v>841</v>
      </c>
      <c r="M183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3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32" s="138" t="str" cm="1">
        <f t="array" ref="O1832">IFERROR(INDEX(CategoriesTable[Category type],MATCH(Table1[[#This Row],[Category]],CategoriesTable[Category name],0),0),"")</f>
        <v/>
      </c>
      <c r="P1832" s="138">
        <v>21</v>
      </c>
      <c r="Q1832" s="138">
        <f>MONTH(Table1[[#This Row],[Date]])</f>
        <v>8</v>
      </c>
      <c r="R1832" s="138">
        <v>2020</v>
      </c>
      <c r="S1832" s="139">
        <f>IF(ISBLANK(Table1[[#This Row],[Date]]),"",Table1[[#This Row],[Date]]-WEEKDAY(Table1[[#This Row],[Date]],2)+1)</f>
        <v>44060</v>
      </c>
      <c r="T1832" s="140">
        <f>IF(ISBLANK(Table1[[#This Row],[Date]]),"",DATE(Table1[[#This Row],[Date_Year]],Table1[[#This Row],[Date_Month]],1))</f>
        <v>44044</v>
      </c>
    </row>
    <row r="1833" spans="2:20" ht="15.75">
      <c r="B1833" s="154">
        <v>44063</v>
      </c>
      <c r="C1833" s="119" t="s">
        <v>686</v>
      </c>
      <c r="D1833" s="119"/>
      <c r="E1833" s="119"/>
      <c r="F1833" s="155">
        <v>-393.63</v>
      </c>
      <c r="G1833" s="133" t="str">
        <f>_xlfn.XLOOKUP(Table1[[#This Row],[Account_ID]], Accounts[ID], Accounts[Account nickname], "Unknown")</f>
        <v>WF</v>
      </c>
      <c r="H1833" s="134" t="str">
        <f>_xlfn.XLOOKUP(Table1[[#This Row],[Account_ID]], Accounts[ID], Accounts[Account'#], "Unknown")</f>
        <v>4636</v>
      </c>
      <c r="I1833" s="135" t="str">
        <f>_xlfn.XLOOKUP(_xlfn.XLOOKUP(Table1[[#This Row],[Account]],Accounts[Account nickname],Accounts[Institution ID]),Institutions[ID],Institutions[Institution nickname],"Unknown")</f>
        <v>Wells Fargo</v>
      </c>
      <c r="J1833" s="136" t="s">
        <v>1333</v>
      </c>
      <c r="K1833" s="137" t="s">
        <v>808</v>
      </c>
      <c r="L1833" s="137" t="s">
        <v>807</v>
      </c>
      <c r="M183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3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33" s="138" t="str" cm="1">
        <f t="array" ref="O1833">IFERROR(INDEX(CategoriesTable[Category type],MATCH(Table1[[#This Row],[Category]],CategoriesTable[Category name],0),0),"")</f>
        <v/>
      </c>
      <c r="P1833" s="138">
        <v>20</v>
      </c>
      <c r="Q1833" s="138">
        <f>MONTH(Table1[[#This Row],[Date]])</f>
        <v>8</v>
      </c>
      <c r="R1833" s="138">
        <v>2020</v>
      </c>
      <c r="S1833" s="139">
        <f>IF(ISBLANK(Table1[[#This Row],[Date]]),"",Table1[[#This Row],[Date]]-WEEKDAY(Table1[[#This Row],[Date]],2)+1)</f>
        <v>44060</v>
      </c>
      <c r="T1833" s="140">
        <f>IF(ISBLANK(Table1[[#This Row],[Date]]),"",DATE(Table1[[#This Row],[Date_Year]],Table1[[#This Row],[Date_Month]],1))</f>
        <v>44044</v>
      </c>
    </row>
    <row r="1834" spans="2:20" ht="15.75">
      <c r="B1834" s="154">
        <v>44063</v>
      </c>
      <c r="C1834" s="119" t="s">
        <v>3147</v>
      </c>
      <c r="D1834" s="119"/>
      <c r="E1834" s="119"/>
      <c r="F1834" s="155">
        <v>-5.0999999999999996</v>
      </c>
      <c r="G1834" s="133" t="str">
        <f>_xlfn.XLOOKUP(Table1[[#This Row],[Account_ID]], Accounts[ID], Accounts[Account nickname], "Unknown")</f>
        <v>Discover</v>
      </c>
      <c r="H1834" s="134" t="str">
        <f>_xlfn.XLOOKUP(Table1[[#This Row],[Account_ID]], Accounts[ID], Accounts[Account'#], "Unknown")</f>
        <v>4618</v>
      </c>
      <c r="I1834" s="135" t="str">
        <f>_xlfn.XLOOKUP(_xlfn.XLOOKUP(Table1[[#This Row],[Account]],Accounts[Account nickname],Accounts[Institution ID]),Institutions[ID],Institutions[Institution nickname],"Unknown")</f>
        <v>Discover</v>
      </c>
      <c r="J1834" s="136" t="s">
        <v>3148</v>
      </c>
      <c r="K1834" s="137" t="s">
        <v>843</v>
      </c>
      <c r="L1834" s="137" t="s">
        <v>841</v>
      </c>
      <c r="M183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3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34" s="138" t="str" cm="1">
        <f t="array" ref="O1834">IFERROR(INDEX(CategoriesTable[Category type],MATCH(Table1[[#This Row],[Category]],CategoriesTable[Category name],0),0),"")</f>
        <v/>
      </c>
      <c r="P1834" s="138">
        <v>20</v>
      </c>
      <c r="Q1834" s="138">
        <f>MONTH(Table1[[#This Row],[Date]])</f>
        <v>8</v>
      </c>
      <c r="R1834" s="138">
        <v>2020</v>
      </c>
      <c r="S1834" s="139">
        <f>IF(ISBLANK(Table1[[#This Row],[Date]]),"",Table1[[#This Row],[Date]]-WEEKDAY(Table1[[#This Row],[Date]],2)+1)</f>
        <v>44060</v>
      </c>
      <c r="T1834" s="140">
        <f>IF(ISBLANK(Table1[[#This Row],[Date]]),"",DATE(Table1[[#This Row],[Date_Year]],Table1[[#This Row],[Date_Month]],1))</f>
        <v>44044</v>
      </c>
    </row>
    <row r="1835" spans="2:20" ht="15.75">
      <c r="B1835" s="154">
        <v>44063</v>
      </c>
      <c r="C1835" s="119" t="s">
        <v>2970</v>
      </c>
      <c r="D1835" s="119"/>
      <c r="E1835" s="119"/>
      <c r="F1835" s="155">
        <v>-1.99</v>
      </c>
      <c r="G1835" s="133" t="str">
        <f>_xlfn.XLOOKUP(Table1[[#This Row],[Account_ID]], Accounts[ID], Accounts[Account nickname], "Unknown")</f>
        <v>Discover</v>
      </c>
      <c r="H1835" s="134" t="str">
        <f>_xlfn.XLOOKUP(Table1[[#This Row],[Account_ID]], Accounts[ID], Accounts[Account'#], "Unknown")</f>
        <v>4618</v>
      </c>
      <c r="I1835" s="135" t="str">
        <f>_xlfn.XLOOKUP(_xlfn.XLOOKUP(Table1[[#This Row],[Account]],Accounts[Account nickname],Accounts[Institution ID]),Institutions[ID],Institutions[Institution nickname],"Unknown")</f>
        <v>Discover</v>
      </c>
      <c r="J1835" s="136" t="s">
        <v>3138</v>
      </c>
      <c r="K1835" s="137" t="s">
        <v>843</v>
      </c>
      <c r="L1835" s="137" t="s">
        <v>841</v>
      </c>
      <c r="M183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3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35" s="138" t="str" cm="1">
        <f t="array" ref="O1835">IFERROR(INDEX(CategoriesTable[Category type],MATCH(Table1[[#This Row],[Category]],CategoriesTable[Category name],0),0),"")</f>
        <v/>
      </c>
      <c r="P1835" s="138">
        <v>20</v>
      </c>
      <c r="Q1835" s="138">
        <f>MONTH(Table1[[#This Row],[Date]])</f>
        <v>8</v>
      </c>
      <c r="R1835" s="138">
        <v>2020</v>
      </c>
      <c r="S1835" s="139">
        <f>IF(ISBLANK(Table1[[#This Row],[Date]]),"",Table1[[#This Row],[Date]]-WEEKDAY(Table1[[#This Row],[Date]],2)+1)</f>
        <v>44060</v>
      </c>
      <c r="T1835" s="140">
        <f>IF(ISBLANK(Table1[[#This Row],[Date]]),"",DATE(Table1[[#This Row],[Date_Year]],Table1[[#This Row],[Date_Month]],1))</f>
        <v>44044</v>
      </c>
    </row>
    <row r="1836" spans="2:20" ht="15.75">
      <c r="B1836" s="154">
        <v>44063</v>
      </c>
      <c r="C1836" s="119" t="s">
        <v>2771</v>
      </c>
      <c r="D1836" s="119"/>
      <c r="E1836" s="119"/>
      <c r="F1836" s="155">
        <v>-14.99</v>
      </c>
      <c r="G1836" s="133" t="str">
        <f>_xlfn.XLOOKUP(Table1[[#This Row],[Account_ID]], Accounts[ID], Accounts[Account nickname], "Unknown")</f>
        <v>Discover</v>
      </c>
      <c r="H1836" s="134" t="str">
        <f>_xlfn.XLOOKUP(Table1[[#This Row],[Account_ID]], Accounts[ID], Accounts[Account'#], "Unknown")</f>
        <v>4618</v>
      </c>
      <c r="I1836" s="135" t="str">
        <f>_xlfn.XLOOKUP(_xlfn.XLOOKUP(Table1[[#This Row],[Account]],Accounts[Account nickname],Accounts[Institution ID]),Institutions[ID],Institutions[Institution nickname],"Unknown")</f>
        <v>Discover</v>
      </c>
      <c r="J1836" s="136" t="s">
        <v>3139</v>
      </c>
      <c r="K1836" s="137" t="s">
        <v>843</v>
      </c>
      <c r="L1836" s="137" t="s">
        <v>841</v>
      </c>
      <c r="M183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3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36" s="138" t="str" cm="1">
        <f t="array" ref="O1836">IFERROR(INDEX(CategoriesTable[Category type],MATCH(Table1[[#This Row],[Category]],CategoriesTable[Category name],0),0),"")</f>
        <v/>
      </c>
      <c r="P1836" s="138">
        <v>20</v>
      </c>
      <c r="Q1836" s="138">
        <f>MONTH(Table1[[#This Row],[Date]])</f>
        <v>8</v>
      </c>
      <c r="R1836" s="138">
        <v>2020</v>
      </c>
      <c r="S1836" s="139">
        <f>IF(ISBLANK(Table1[[#This Row],[Date]]),"",Table1[[#This Row],[Date]]-WEEKDAY(Table1[[#This Row],[Date]],2)+1)</f>
        <v>44060</v>
      </c>
      <c r="T1836" s="140">
        <f>IF(ISBLANK(Table1[[#This Row],[Date]]),"",DATE(Table1[[#This Row],[Date_Year]],Table1[[#This Row],[Date_Month]],1))</f>
        <v>44044</v>
      </c>
    </row>
    <row r="1837" spans="2:20" ht="15.75">
      <c r="B1837" s="154">
        <v>44063</v>
      </c>
      <c r="C1837" s="119" t="s">
        <v>3144</v>
      </c>
      <c r="D1837" s="119"/>
      <c r="E1837" s="119"/>
      <c r="F1837" s="155">
        <v>-15.53</v>
      </c>
      <c r="G1837" s="133" t="str">
        <f>_xlfn.XLOOKUP(Table1[[#This Row],[Account_ID]], Accounts[ID], Accounts[Account nickname], "Unknown")</f>
        <v>Discover</v>
      </c>
      <c r="H1837" s="134" t="str">
        <f>_xlfn.XLOOKUP(Table1[[#This Row],[Account_ID]], Accounts[ID], Accounts[Account'#], "Unknown")</f>
        <v>4618</v>
      </c>
      <c r="I1837" s="135" t="str">
        <f>_xlfn.XLOOKUP(_xlfn.XLOOKUP(Table1[[#This Row],[Account]],Accounts[Account nickname],Accounts[Institution ID]),Institutions[ID],Institutions[Institution nickname],"Unknown")</f>
        <v>Discover</v>
      </c>
      <c r="J1837" s="136" t="s">
        <v>3145</v>
      </c>
      <c r="K1837" s="137" t="s">
        <v>843</v>
      </c>
      <c r="L1837" s="137" t="s">
        <v>841</v>
      </c>
      <c r="M183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3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37" s="138" t="str" cm="1">
        <f t="array" ref="O1837">IFERROR(INDEX(CategoriesTable[Category type],MATCH(Table1[[#This Row],[Category]],CategoriesTable[Category name],0),0),"")</f>
        <v/>
      </c>
      <c r="P1837" s="138">
        <v>20</v>
      </c>
      <c r="Q1837" s="138">
        <f>MONTH(Table1[[#This Row],[Date]])</f>
        <v>8</v>
      </c>
      <c r="R1837" s="138">
        <v>2020</v>
      </c>
      <c r="S1837" s="139">
        <f>IF(ISBLANK(Table1[[#This Row],[Date]]),"",Table1[[#This Row],[Date]]-WEEKDAY(Table1[[#This Row],[Date]],2)+1)</f>
        <v>44060</v>
      </c>
      <c r="T1837" s="140">
        <f>IF(ISBLANK(Table1[[#This Row],[Date]]),"",DATE(Table1[[#This Row],[Date_Year]],Table1[[#This Row],[Date_Month]],1))</f>
        <v>44044</v>
      </c>
    </row>
    <row r="1838" spans="2:20" ht="15.75">
      <c r="B1838" s="154">
        <v>44063</v>
      </c>
      <c r="C1838" s="119" t="s">
        <v>3142</v>
      </c>
      <c r="D1838" s="119"/>
      <c r="E1838" s="119"/>
      <c r="F1838" s="155">
        <v>-7.4</v>
      </c>
      <c r="G1838" s="133" t="str">
        <f>_xlfn.XLOOKUP(Table1[[#This Row],[Account_ID]], Accounts[ID], Accounts[Account nickname], "Unknown")</f>
        <v>Discover</v>
      </c>
      <c r="H1838" s="134" t="str">
        <f>_xlfn.XLOOKUP(Table1[[#This Row],[Account_ID]], Accounts[ID], Accounts[Account'#], "Unknown")</f>
        <v>4618</v>
      </c>
      <c r="I1838" s="135" t="str">
        <f>_xlfn.XLOOKUP(_xlfn.XLOOKUP(Table1[[#This Row],[Account]],Accounts[Account nickname],Accounts[Institution ID]),Institutions[ID],Institutions[Institution nickname],"Unknown")</f>
        <v>Discover</v>
      </c>
      <c r="J1838" s="136" t="s">
        <v>3143</v>
      </c>
      <c r="K1838" s="137" t="s">
        <v>843</v>
      </c>
      <c r="L1838" s="137" t="s">
        <v>841</v>
      </c>
      <c r="M183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3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38" s="138" t="str" cm="1">
        <f t="array" ref="O1838">IFERROR(INDEX(CategoriesTable[Category type],MATCH(Table1[[#This Row],[Category]],CategoriesTable[Category name],0),0),"")</f>
        <v/>
      </c>
      <c r="P1838" s="138">
        <v>20</v>
      </c>
      <c r="Q1838" s="138">
        <f>MONTH(Table1[[#This Row],[Date]])</f>
        <v>8</v>
      </c>
      <c r="R1838" s="138">
        <v>2020</v>
      </c>
      <c r="S1838" s="139">
        <f>IF(ISBLANK(Table1[[#This Row],[Date]]),"",Table1[[#This Row],[Date]]-WEEKDAY(Table1[[#This Row],[Date]],2)+1)</f>
        <v>44060</v>
      </c>
      <c r="T1838" s="140">
        <f>IF(ISBLANK(Table1[[#This Row],[Date]]),"",DATE(Table1[[#This Row],[Date_Year]],Table1[[#This Row],[Date_Month]],1))</f>
        <v>44044</v>
      </c>
    </row>
    <row r="1839" spans="2:20" ht="15.75">
      <c r="B1839" s="154">
        <v>44063</v>
      </c>
      <c r="C1839" s="119" t="s">
        <v>845</v>
      </c>
      <c r="D1839" s="119"/>
      <c r="E1839" s="119"/>
      <c r="F1839" s="155">
        <v>393.63</v>
      </c>
      <c r="G1839" s="133" t="str">
        <f>_xlfn.XLOOKUP(Table1[[#This Row],[Account_ID]], Accounts[ID], Accounts[Account nickname], "Unknown")</f>
        <v>Discover</v>
      </c>
      <c r="H1839" s="134" t="str">
        <f>_xlfn.XLOOKUP(Table1[[#This Row],[Account_ID]], Accounts[ID], Accounts[Account'#], "Unknown")</f>
        <v>4618</v>
      </c>
      <c r="I1839" s="135" t="str">
        <f>_xlfn.XLOOKUP(_xlfn.XLOOKUP(Table1[[#This Row],[Account]],Accounts[Account nickname],Accounts[Institution ID]),Institutions[ID],Institutions[Institution nickname],"Unknown")</f>
        <v>Discover</v>
      </c>
      <c r="J1839" s="136" t="s">
        <v>3146</v>
      </c>
      <c r="K1839" s="137" t="s">
        <v>843</v>
      </c>
      <c r="L1839" s="137" t="s">
        <v>841</v>
      </c>
      <c r="M183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3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39" s="138" t="str" cm="1">
        <f t="array" ref="O1839">IFERROR(INDEX(CategoriesTable[Category type],MATCH(Table1[[#This Row],[Category]],CategoriesTable[Category name],0),0),"")</f>
        <v/>
      </c>
      <c r="P1839" s="138">
        <v>20</v>
      </c>
      <c r="Q1839" s="138">
        <f>MONTH(Table1[[#This Row],[Date]])</f>
        <v>8</v>
      </c>
      <c r="R1839" s="138">
        <v>2020</v>
      </c>
      <c r="S1839" s="139">
        <f>IF(ISBLANK(Table1[[#This Row],[Date]]),"",Table1[[#This Row],[Date]]-WEEKDAY(Table1[[#This Row],[Date]],2)+1)</f>
        <v>44060</v>
      </c>
      <c r="T1839" s="140">
        <f>IF(ISBLANK(Table1[[#This Row],[Date]]),"",DATE(Table1[[#This Row],[Date_Year]],Table1[[#This Row],[Date_Month]],1))</f>
        <v>44044</v>
      </c>
    </row>
    <row r="1840" spans="2:20" ht="15.75">
      <c r="B1840" s="154">
        <v>44063</v>
      </c>
      <c r="C1840" s="119" t="s">
        <v>2982</v>
      </c>
      <c r="D1840" s="119"/>
      <c r="E1840" s="119"/>
      <c r="F1840" s="155">
        <v>-10</v>
      </c>
      <c r="G1840" s="133" t="str">
        <f>_xlfn.XLOOKUP(Table1[[#This Row],[Account_ID]], Accounts[ID], Accounts[Account nickname], "Unknown")</f>
        <v>Discover</v>
      </c>
      <c r="H1840" s="134" t="str">
        <f>_xlfn.XLOOKUP(Table1[[#This Row],[Account_ID]], Accounts[ID], Accounts[Account'#], "Unknown")</f>
        <v>4618</v>
      </c>
      <c r="I1840" s="135" t="str">
        <f>_xlfn.XLOOKUP(_xlfn.XLOOKUP(Table1[[#This Row],[Account]],Accounts[Account nickname],Accounts[Institution ID]),Institutions[ID],Institutions[Institution nickname],"Unknown")</f>
        <v>Discover</v>
      </c>
      <c r="J1840" s="136" t="s">
        <v>3140</v>
      </c>
      <c r="K1840" s="137" t="s">
        <v>843</v>
      </c>
      <c r="L1840" s="137" t="s">
        <v>841</v>
      </c>
      <c r="M184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4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40" s="138" t="str" cm="1">
        <f t="array" ref="O1840">IFERROR(INDEX(CategoriesTable[Category type],MATCH(Table1[[#This Row],[Category]],CategoriesTable[Category name],0),0),"")</f>
        <v/>
      </c>
      <c r="P1840" s="138">
        <v>20</v>
      </c>
      <c r="Q1840" s="138">
        <f>MONTH(Table1[[#This Row],[Date]])</f>
        <v>8</v>
      </c>
      <c r="R1840" s="138">
        <v>2020</v>
      </c>
      <c r="S1840" s="139">
        <f>IF(ISBLANK(Table1[[#This Row],[Date]]),"",Table1[[#This Row],[Date]]-WEEKDAY(Table1[[#This Row],[Date]],2)+1)</f>
        <v>44060</v>
      </c>
      <c r="T1840" s="140">
        <f>IF(ISBLANK(Table1[[#This Row],[Date]]),"",DATE(Table1[[#This Row],[Date_Year]],Table1[[#This Row],[Date_Month]],1))</f>
        <v>44044</v>
      </c>
    </row>
    <row r="1841" spans="2:20" ht="15.75">
      <c r="B1841" s="154">
        <v>44063</v>
      </c>
      <c r="C1841" s="119" t="s">
        <v>2771</v>
      </c>
      <c r="D1841" s="119"/>
      <c r="E1841" s="119"/>
      <c r="F1841" s="155">
        <v>-19.989999999999998</v>
      </c>
      <c r="G1841" s="133" t="str">
        <f>_xlfn.XLOOKUP(Table1[[#This Row],[Account_ID]], Accounts[ID], Accounts[Account nickname], "Unknown")</f>
        <v>Discover</v>
      </c>
      <c r="H1841" s="134" t="str">
        <f>_xlfn.XLOOKUP(Table1[[#This Row],[Account_ID]], Accounts[ID], Accounts[Account'#], "Unknown")</f>
        <v>4618</v>
      </c>
      <c r="I1841" s="135" t="str">
        <f>_xlfn.XLOOKUP(_xlfn.XLOOKUP(Table1[[#This Row],[Account]],Accounts[Account nickname],Accounts[Institution ID]),Institutions[ID],Institutions[Institution nickname],"Unknown")</f>
        <v>Discover</v>
      </c>
      <c r="J1841" s="136" t="s">
        <v>3137</v>
      </c>
      <c r="K1841" s="137" t="s">
        <v>843</v>
      </c>
      <c r="L1841" s="137" t="s">
        <v>841</v>
      </c>
      <c r="M184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4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41" s="138" t="str" cm="1">
        <f t="array" ref="O1841">IFERROR(INDEX(CategoriesTable[Category type],MATCH(Table1[[#This Row],[Category]],CategoriesTable[Category name],0),0),"")</f>
        <v/>
      </c>
      <c r="P1841" s="138">
        <v>20</v>
      </c>
      <c r="Q1841" s="138">
        <f>MONTH(Table1[[#This Row],[Date]])</f>
        <v>8</v>
      </c>
      <c r="R1841" s="138">
        <v>2020</v>
      </c>
      <c r="S1841" s="139">
        <f>IF(ISBLANK(Table1[[#This Row],[Date]]),"",Table1[[#This Row],[Date]]-WEEKDAY(Table1[[#This Row],[Date]],2)+1)</f>
        <v>44060</v>
      </c>
      <c r="T1841" s="140">
        <f>IF(ISBLANK(Table1[[#This Row],[Date]]),"",DATE(Table1[[#This Row],[Date_Year]],Table1[[#This Row],[Date_Month]],1))</f>
        <v>44044</v>
      </c>
    </row>
    <row r="1842" spans="2:20" ht="15.75">
      <c r="B1842" s="154">
        <v>44063</v>
      </c>
      <c r="C1842" s="119" t="s">
        <v>2982</v>
      </c>
      <c r="D1842" s="119"/>
      <c r="E1842" s="119"/>
      <c r="F1842" s="155">
        <v>-10</v>
      </c>
      <c r="G1842" s="133" t="str">
        <f>_xlfn.XLOOKUP(Table1[[#This Row],[Account_ID]], Accounts[ID], Accounts[Account nickname], "Unknown")</f>
        <v>Discover</v>
      </c>
      <c r="H1842" s="134" t="str">
        <f>_xlfn.XLOOKUP(Table1[[#This Row],[Account_ID]], Accounts[ID], Accounts[Account'#], "Unknown")</f>
        <v>4618</v>
      </c>
      <c r="I1842" s="135" t="str">
        <f>_xlfn.XLOOKUP(_xlfn.XLOOKUP(Table1[[#This Row],[Account]],Accounts[Account nickname],Accounts[Institution ID]),Institutions[ID],Institutions[Institution nickname],"Unknown")</f>
        <v>Discover</v>
      </c>
      <c r="J1842" s="136" t="s">
        <v>3141</v>
      </c>
      <c r="K1842" s="137" t="s">
        <v>843</v>
      </c>
      <c r="L1842" s="137" t="s">
        <v>841</v>
      </c>
      <c r="M184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4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42" s="138" t="str" cm="1">
        <f t="array" ref="O1842">IFERROR(INDEX(CategoriesTable[Category type],MATCH(Table1[[#This Row],[Category]],CategoriesTable[Category name],0),0),"")</f>
        <v/>
      </c>
      <c r="P1842" s="138">
        <v>20</v>
      </c>
      <c r="Q1842" s="138">
        <f>MONTH(Table1[[#This Row],[Date]])</f>
        <v>8</v>
      </c>
      <c r="R1842" s="138">
        <v>2020</v>
      </c>
      <c r="S1842" s="139">
        <f>IF(ISBLANK(Table1[[#This Row],[Date]]),"",Table1[[#This Row],[Date]]-WEEKDAY(Table1[[#This Row],[Date]],2)+1)</f>
        <v>44060</v>
      </c>
      <c r="T1842" s="140">
        <f>IF(ISBLANK(Table1[[#This Row],[Date]]),"",DATE(Table1[[#This Row],[Date_Year]],Table1[[#This Row],[Date_Month]],1))</f>
        <v>44044</v>
      </c>
    </row>
    <row r="1843" spans="2:20" ht="15.75">
      <c r="B1843" s="154">
        <v>44062</v>
      </c>
      <c r="C1843" s="119" t="s">
        <v>678</v>
      </c>
      <c r="D1843" s="119"/>
      <c r="E1843" s="119"/>
      <c r="F1843" s="155">
        <v>300</v>
      </c>
      <c r="G1843" s="133" t="str">
        <f>_xlfn.XLOOKUP(Table1[[#This Row],[Account_ID]], Accounts[ID], Accounts[Account nickname], "Unknown")</f>
        <v>WF</v>
      </c>
      <c r="H1843" s="134" t="str">
        <f>_xlfn.XLOOKUP(Table1[[#This Row],[Account_ID]], Accounts[ID], Accounts[Account'#], "Unknown")</f>
        <v>4636</v>
      </c>
      <c r="I1843" s="135" t="str">
        <f>_xlfn.XLOOKUP(_xlfn.XLOOKUP(Table1[[#This Row],[Account]],Accounts[Account nickname],Accounts[Institution ID]),Institutions[ID],Institutions[Institution nickname],"Unknown")</f>
        <v>Wells Fargo</v>
      </c>
      <c r="J1843" s="136" t="s">
        <v>1336</v>
      </c>
      <c r="K1843" s="137" t="s">
        <v>808</v>
      </c>
      <c r="L1843" s="137" t="s">
        <v>807</v>
      </c>
      <c r="M184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4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43" s="138" t="str" cm="1">
        <f t="array" ref="O1843">IFERROR(INDEX(CategoriesTable[Category type],MATCH(Table1[[#This Row],[Category]],CategoriesTable[Category name],0),0),"")</f>
        <v/>
      </c>
      <c r="P1843" s="138">
        <v>19</v>
      </c>
      <c r="Q1843" s="138">
        <f>MONTH(Table1[[#This Row],[Date]])</f>
        <v>8</v>
      </c>
      <c r="R1843" s="138">
        <v>2020</v>
      </c>
      <c r="S1843" s="139">
        <f>IF(ISBLANK(Table1[[#This Row],[Date]]),"",Table1[[#This Row],[Date]]-WEEKDAY(Table1[[#This Row],[Date]],2)+1)</f>
        <v>44060</v>
      </c>
      <c r="T1843" s="140">
        <f>IF(ISBLANK(Table1[[#This Row],[Date]]),"",DATE(Table1[[#This Row],[Date_Year]],Table1[[#This Row],[Date_Month]],1))</f>
        <v>44044</v>
      </c>
    </row>
    <row r="1844" spans="2:20" ht="15.75">
      <c r="B1844" s="154">
        <v>44062</v>
      </c>
      <c r="C1844" s="119" t="s">
        <v>737</v>
      </c>
      <c r="D1844" s="119"/>
      <c r="E1844" s="119"/>
      <c r="F1844" s="155">
        <v>-10</v>
      </c>
      <c r="G1844" s="133" t="str">
        <f>_xlfn.XLOOKUP(Table1[[#This Row],[Account_ID]], Accounts[ID], Accounts[Account nickname], "Unknown")</f>
        <v>WF</v>
      </c>
      <c r="H1844" s="134" t="str">
        <f>_xlfn.XLOOKUP(Table1[[#This Row],[Account_ID]], Accounts[ID], Accounts[Account'#], "Unknown")</f>
        <v>4636</v>
      </c>
      <c r="I1844" s="135" t="str">
        <f>_xlfn.XLOOKUP(_xlfn.XLOOKUP(Table1[[#This Row],[Account]],Accounts[Account nickname],Accounts[Institution ID]),Institutions[ID],Institutions[Institution nickname],"Unknown")</f>
        <v>Wells Fargo</v>
      </c>
      <c r="J1844" s="136" t="s">
        <v>1334</v>
      </c>
      <c r="K1844" s="137" t="s">
        <v>808</v>
      </c>
      <c r="L1844" s="137" t="s">
        <v>807</v>
      </c>
      <c r="M184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4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44" s="138" t="str" cm="1">
        <f t="array" ref="O1844">IFERROR(INDEX(CategoriesTable[Category type],MATCH(Table1[[#This Row],[Category]],CategoriesTable[Category name],0),0),"")</f>
        <v/>
      </c>
      <c r="P1844" s="138">
        <v>19</v>
      </c>
      <c r="Q1844" s="138">
        <f>MONTH(Table1[[#This Row],[Date]])</f>
        <v>8</v>
      </c>
      <c r="R1844" s="138">
        <v>2020</v>
      </c>
      <c r="S1844" s="139">
        <f>IF(ISBLANK(Table1[[#This Row],[Date]]),"",Table1[[#This Row],[Date]]-WEEKDAY(Table1[[#This Row],[Date]],2)+1)</f>
        <v>44060</v>
      </c>
      <c r="T1844" s="140">
        <f>IF(ISBLANK(Table1[[#This Row],[Date]]),"",DATE(Table1[[#This Row],[Date_Year]],Table1[[#This Row],[Date_Month]],1))</f>
        <v>44044</v>
      </c>
    </row>
    <row r="1845" spans="2:20" ht="15.75">
      <c r="B1845" s="154">
        <v>44062</v>
      </c>
      <c r="C1845" s="119" t="s">
        <v>752</v>
      </c>
      <c r="D1845" s="119"/>
      <c r="E1845" s="119"/>
      <c r="F1845" s="155">
        <v>-500</v>
      </c>
      <c r="G1845" s="133" t="str">
        <f>_xlfn.XLOOKUP(Table1[[#This Row],[Account_ID]], Accounts[ID], Accounts[Account nickname], "Unknown")</f>
        <v>WF</v>
      </c>
      <c r="H1845" s="134" t="str">
        <f>_xlfn.XLOOKUP(Table1[[#This Row],[Account_ID]], Accounts[ID], Accounts[Account'#], "Unknown")</f>
        <v>4636</v>
      </c>
      <c r="I1845" s="135" t="str">
        <f>_xlfn.XLOOKUP(_xlfn.XLOOKUP(Table1[[#This Row],[Account]],Accounts[Account nickname],Accounts[Institution ID]),Institutions[ID],Institutions[Institution nickname],"Unknown")</f>
        <v>Wells Fargo</v>
      </c>
      <c r="J1845" s="136" t="s">
        <v>1335</v>
      </c>
      <c r="K1845" s="137" t="s">
        <v>808</v>
      </c>
      <c r="L1845" s="137" t="s">
        <v>807</v>
      </c>
      <c r="M184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4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45" s="138" t="str" cm="1">
        <f t="array" ref="O1845">IFERROR(INDEX(CategoriesTable[Category type],MATCH(Table1[[#This Row],[Category]],CategoriesTable[Category name],0),0),"")</f>
        <v/>
      </c>
      <c r="P1845" s="138">
        <v>19</v>
      </c>
      <c r="Q1845" s="138">
        <f>MONTH(Table1[[#This Row],[Date]])</f>
        <v>8</v>
      </c>
      <c r="R1845" s="138">
        <v>2020</v>
      </c>
      <c r="S1845" s="139">
        <f>IF(ISBLANK(Table1[[#This Row],[Date]]),"",Table1[[#This Row],[Date]]-WEEKDAY(Table1[[#This Row],[Date]],2)+1)</f>
        <v>44060</v>
      </c>
      <c r="T1845" s="140">
        <f>IF(ISBLANK(Table1[[#This Row],[Date]]),"",DATE(Table1[[#This Row],[Date_Year]],Table1[[#This Row],[Date_Month]],1))</f>
        <v>44044</v>
      </c>
    </row>
    <row r="1846" spans="2:20" ht="15.75">
      <c r="B1846" s="154">
        <v>44062</v>
      </c>
      <c r="C1846" s="119" t="s">
        <v>860</v>
      </c>
      <c r="D1846" s="119"/>
      <c r="E1846" s="119"/>
      <c r="F1846" s="155">
        <v>-38.42</v>
      </c>
      <c r="G1846" s="133" t="str">
        <f>_xlfn.XLOOKUP(Table1[[#This Row],[Account_ID]], Accounts[ID], Accounts[Account nickname], "Unknown")</f>
        <v>Discover</v>
      </c>
      <c r="H1846" s="134" t="str">
        <f>_xlfn.XLOOKUP(Table1[[#This Row],[Account_ID]], Accounts[ID], Accounts[Account'#], "Unknown")</f>
        <v>4618</v>
      </c>
      <c r="I1846" s="135" t="str">
        <f>_xlfn.XLOOKUP(_xlfn.XLOOKUP(Table1[[#This Row],[Account]],Accounts[Account nickname],Accounts[Institution ID]),Institutions[ID],Institutions[Institution nickname],"Unknown")</f>
        <v>Discover</v>
      </c>
      <c r="J1846" s="136" t="s">
        <v>3149</v>
      </c>
      <c r="K1846" s="137" t="s">
        <v>843</v>
      </c>
      <c r="L1846" s="137" t="s">
        <v>841</v>
      </c>
      <c r="M184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4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46" s="138" t="str" cm="1">
        <f t="array" ref="O1846">IFERROR(INDEX(CategoriesTable[Category type],MATCH(Table1[[#This Row],[Category]],CategoriesTable[Category name],0),0),"")</f>
        <v/>
      </c>
      <c r="P1846" s="138">
        <v>19</v>
      </c>
      <c r="Q1846" s="138">
        <f>MONTH(Table1[[#This Row],[Date]])</f>
        <v>8</v>
      </c>
      <c r="R1846" s="138">
        <v>2020</v>
      </c>
      <c r="S1846" s="139">
        <f>IF(ISBLANK(Table1[[#This Row],[Date]]),"",Table1[[#This Row],[Date]]-WEEKDAY(Table1[[#This Row],[Date]],2)+1)</f>
        <v>44060</v>
      </c>
      <c r="T1846" s="140">
        <f>IF(ISBLANK(Table1[[#This Row],[Date]]),"",DATE(Table1[[#This Row],[Date_Year]],Table1[[#This Row],[Date_Month]],1))</f>
        <v>44044</v>
      </c>
    </row>
    <row r="1847" spans="2:20" ht="15.75">
      <c r="B1847" s="154">
        <v>44061</v>
      </c>
      <c r="C1847" s="119" t="s">
        <v>678</v>
      </c>
      <c r="D1847" s="119"/>
      <c r="E1847" s="119"/>
      <c r="F1847" s="155">
        <v>-300</v>
      </c>
      <c r="G1847" s="133" t="str">
        <f>_xlfn.XLOOKUP(Table1[[#This Row],[Account_ID]], Accounts[ID], Accounts[Account nickname], "Unknown")</f>
        <v>WF</v>
      </c>
      <c r="H1847" s="134" t="str">
        <f>_xlfn.XLOOKUP(Table1[[#This Row],[Account_ID]], Accounts[ID], Accounts[Account'#], "Unknown")</f>
        <v>4636</v>
      </c>
      <c r="I1847" s="135" t="str">
        <f>_xlfn.XLOOKUP(_xlfn.XLOOKUP(Table1[[#This Row],[Account]],Accounts[Account nickname],Accounts[Institution ID]),Institutions[ID],Institutions[Institution nickname],"Unknown")</f>
        <v>Wells Fargo</v>
      </c>
      <c r="J1847" s="136" t="s">
        <v>1339</v>
      </c>
      <c r="K1847" s="137" t="s">
        <v>808</v>
      </c>
      <c r="L1847" s="137" t="s">
        <v>807</v>
      </c>
      <c r="M184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4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47" s="138" t="str" cm="1">
        <f t="array" ref="O1847">IFERROR(INDEX(CategoriesTable[Category type],MATCH(Table1[[#This Row],[Category]],CategoriesTable[Category name],0),0),"")</f>
        <v/>
      </c>
      <c r="P1847" s="138">
        <v>18</v>
      </c>
      <c r="Q1847" s="138">
        <f>MONTH(Table1[[#This Row],[Date]])</f>
        <v>8</v>
      </c>
      <c r="R1847" s="138">
        <v>2020</v>
      </c>
      <c r="S1847" s="139">
        <f>IF(ISBLANK(Table1[[#This Row],[Date]]),"",Table1[[#This Row],[Date]]-WEEKDAY(Table1[[#This Row],[Date]],2)+1)</f>
        <v>44060</v>
      </c>
      <c r="T1847" s="140">
        <f>IF(ISBLANK(Table1[[#This Row],[Date]]),"",DATE(Table1[[#This Row],[Date_Year]],Table1[[#This Row],[Date_Month]],1))</f>
        <v>44044</v>
      </c>
    </row>
    <row r="1848" spans="2:20" ht="15.75">
      <c r="B1848" s="154">
        <v>44061</v>
      </c>
      <c r="C1848" s="119" t="s">
        <v>724</v>
      </c>
      <c r="D1848" s="119"/>
      <c r="E1848" s="119"/>
      <c r="F1848" s="155">
        <v>-10.15</v>
      </c>
      <c r="G1848" s="133" t="str">
        <f>_xlfn.XLOOKUP(Table1[[#This Row],[Account_ID]], Accounts[ID], Accounts[Account nickname], "Unknown")</f>
        <v>Discover</v>
      </c>
      <c r="H1848" s="134" t="str">
        <f>_xlfn.XLOOKUP(Table1[[#This Row],[Account_ID]], Accounts[ID], Accounts[Account'#], "Unknown")</f>
        <v>4618</v>
      </c>
      <c r="I1848" s="135" t="str">
        <f>_xlfn.XLOOKUP(_xlfn.XLOOKUP(Table1[[#This Row],[Account]],Accounts[Account nickname],Accounts[Institution ID]),Institutions[ID],Institutions[Institution nickname],"Unknown")</f>
        <v>Discover</v>
      </c>
      <c r="J1848" s="136" t="s">
        <v>3150</v>
      </c>
      <c r="K1848" s="137" t="s">
        <v>843</v>
      </c>
      <c r="L1848" s="137" t="s">
        <v>841</v>
      </c>
      <c r="M184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4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48" s="138" t="str" cm="1">
        <f t="array" ref="O1848">IFERROR(INDEX(CategoriesTable[Category type],MATCH(Table1[[#This Row],[Category]],CategoriesTable[Category name],0),0),"")</f>
        <v/>
      </c>
      <c r="P1848" s="138">
        <v>18</v>
      </c>
      <c r="Q1848" s="138">
        <f>MONTH(Table1[[#This Row],[Date]])</f>
        <v>8</v>
      </c>
      <c r="R1848" s="138">
        <v>2020</v>
      </c>
      <c r="S1848" s="139">
        <f>IF(ISBLANK(Table1[[#This Row],[Date]]),"",Table1[[#This Row],[Date]]-WEEKDAY(Table1[[#This Row],[Date]],2)+1)</f>
        <v>44060</v>
      </c>
      <c r="T1848" s="140">
        <f>IF(ISBLANK(Table1[[#This Row],[Date]]),"",DATE(Table1[[#This Row],[Date_Year]],Table1[[#This Row],[Date_Month]],1))</f>
        <v>44044</v>
      </c>
    </row>
    <row r="1849" spans="2:20" ht="15.75">
      <c r="B1849" s="154">
        <v>44061</v>
      </c>
      <c r="C1849" s="119" t="s">
        <v>778</v>
      </c>
      <c r="D1849" s="119"/>
      <c r="E1849" s="119"/>
      <c r="F1849" s="155">
        <v>800</v>
      </c>
      <c r="G1849" s="133" t="str">
        <f>_xlfn.XLOOKUP(Table1[[#This Row],[Account_ID]], Accounts[ID], Accounts[Account nickname], "Unknown")</f>
        <v>WF</v>
      </c>
      <c r="H1849" s="134" t="str">
        <f>_xlfn.XLOOKUP(Table1[[#This Row],[Account_ID]], Accounts[ID], Accounts[Account'#], "Unknown")</f>
        <v>4636</v>
      </c>
      <c r="I1849" s="135" t="str">
        <f>_xlfn.XLOOKUP(_xlfn.XLOOKUP(Table1[[#This Row],[Account]],Accounts[Account nickname],Accounts[Institution ID]),Institutions[ID],Institutions[Institution nickname],"Unknown")</f>
        <v>Wells Fargo</v>
      </c>
      <c r="J1849" s="136" t="s">
        <v>1338</v>
      </c>
      <c r="K1849" s="137" t="s">
        <v>808</v>
      </c>
      <c r="L1849" s="137" t="s">
        <v>807</v>
      </c>
      <c r="M184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4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49" s="138" t="str" cm="1">
        <f t="array" ref="O1849">IFERROR(INDEX(CategoriesTable[Category type],MATCH(Table1[[#This Row],[Category]],CategoriesTable[Category name],0),0),"")</f>
        <v/>
      </c>
      <c r="P1849" s="138">
        <v>18</v>
      </c>
      <c r="Q1849" s="138">
        <f>MONTH(Table1[[#This Row],[Date]])</f>
        <v>8</v>
      </c>
      <c r="R1849" s="138">
        <v>2020</v>
      </c>
      <c r="S1849" s="139">
        <f>IF(ISBLANK(Table1[[#This Row],[Date]]),"",Table1[[#This Row],[Date]]-WEEKDAY(Table1[[#This Row],[Date]],2)+1)</f>
        <v>44060</v>
      </c>
      <c r="T1849" s="140">
        <f>IF(ISBLANK(Table1[[#This Row],[Date]]),"",DATE(Table1[[#This Row],[Date_Year]],Table1[[#This Row],[Date_Month]],1))</f>
        <v>44044</v>
      </c>
    </row>
    <row r="1850" spans="2:20" ht="15.75">
      <c r="B1850" s="154">
        <v>44061</v>
      </c>
      <c r="C1850" s="119" t="s">
        <v>769</v>
      </c>
      <c r="D1850" s="119"/>
      <c r="E1850" s="119"/>
      <c r="F1850" s="155">
        <v>-210</v>
      </c>
      <c r="G1850" s="133" t="str">
        <f>_xlfn.XLOOKUP(Table1[[#This Row],[Account_ID]], Accounts[ID], Accounts[Account nickname], "Unknown")</f>
        <v>WF</v>
      </c>
      <c r="H1850" s="134" t="str">
        <f>_xlfn.XLOOKUP(Table1[[#This Row],[Account_ID]], Accounts[ID], Accounts[Account'#], "Unknown")</f>
        <v>4636</v>
      </c>
      <c r="I1850" s="135" t="str">
        <f>_xlfn.XLOOKUP(_xlfn.XLOOKUP(Table1[[#This Row],[Account]],Accounts[Account nickname],Accounts[Institution ID]),Institutions[ID],Institutions[Institution nickname],"Unknown")</f>
        <v>Wells Fargo</v>
      </c>
      <c r="J1850" s="136" t="s">
        <v>1337</v>
      </c>
      <c r="K1850" s="137" t="s">
        <v>808</v>
      </c>
      <c r="L1850" s="137" t="s">
        <v>807</v>
      </c>
      <c r="M185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5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50" s="138" t="str" cm="1">
        <f t="array" ref="O1850">IFERROR(INDEX(CategoriesTable[Category type],MATCH(Table1[[#This Row],[Category]],CategoriesTable[Category name],0),0),"")</f>
        <v/>
      </c>
      <c r="P1850" s="138">
        <v>18</v>
      </c>
      <c r="Q1850" s="138">
        <f>MONTH(Table1[[#This Row],[Date]])</f>
        <v>8</v>
      </c>
      <c r="R1850" s="138">
        <v>2020</v>
      </c>
      <c r="S1850" s="139">
        <f>IF(ISBLANK(Table1[[#This Row],[Date]]),"",Table1[[#This Row],[Date]]-WEEKDAY(Table1[[#This Row],[Date]],2)+1)</f>
        <v>44060</v>
      </c>
      <c r="T1850" s="140">
        <f>IF(ISBLANK(Table1[[#This Row],[Date]]),"",DATE(Table1[[#This Row],[Date_Year]],Table1[[#This Row],[Date_Month]],1))</f>
        <v>44044</v>
      </c>
    </row>
    <row r="1851" spans="2:20" ht="15.75">
      <c r="B1851" s="154">
        <v>44061</v>
      </c>
      <c r="C1851" s="119" t="s">
        <v>724</v>
      </c>
      <c r="D1851" s="119"/>
      <c r="E1851" s="119"/>
      <c r="F1851" s="155">
        <v>-27.38</v>
      </c>
      <c r="G1851" s="133" t="str">
        <f>_xlfn.XLOOKUP(Table1[[#This Row],[Account_ID]], Accounts[ID], Accounts[Account nickname], "Unknown")</f>
        <v>Discover</v>
      </c>
      <c r="H1851" s="134" t="str">
        <f>_xlfn.XLOOKUP(Table1[[#This Row],[Account_ID]], Accounts[ID], Accounts[Account'#], "Unknown")</f>
        <v>4618</v>
      </c>
      <c r="I1851" s="135" t="str">
        <f>_xlfn.XLOOKUP(_xlfn.XLOOKUP(Table1[[#This Row],[Account]],Accounts[Account nickname],Accounts[Institution ID]),Institutions[ID],Institutions[Institution nickname],"Unknown")</f>
        <v>Discover</v>
      </c>
      <c r="J1851" s="136" t="s">
        <v>3151</v>
      </c>
      <c r="K1851" s="137" t="s">
        <v>843</v>
      </c>
      <c r="L1851" s="137" t="s">
        <v>841</v>
      </c>
      <c r="M185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5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51" s="138" t="str" cm="1">
        <f t="array" ref="O1851">IFERROR(INDEX(CategoriesTable[Category type],MATCH(Table1[[#This Row],[Category]],CategoriesTable[Category name],0),0),"")</f>
        <v/>
      </c>
      <c r="P1851" s="138">
        <v>18</v>
      </c>
      <c r="Q1851" s="138">
        <f>MONTH(Table1[[#This Row],[Date]])</f>
        <v>8</v>
      </c>
      <c r="R1851" s="138">
        <v>2020</v>
      </c>
      <c r="S1851" s="139">
        <f>IF(ISBLANK(Table1[[#This Row],[Date]]),"",Table1[[#This Row],[Date]]-WEEKDAY(Table1[[#This Row],[Date]],2)+1)</f>
        <v>44060</v>
      </c>
      <c r="T1851" s="140">
        <f>IF(ISBLANK(Table1[[#This Row],[Date]]),"",DATE(Table1[[#This Row],[Date_Year]],Table1[[#This Row],[Date_Month]],1))</f>
        <v>44044</v>
      </c>
    </row>
    <row r="1852" spans="2:20" ht="15.75">
      <c r="B1852" s="154">
        <v>44060</v>
      </c>
      <c r="C1852" s="119" t="s">
        <v>722</v>
      </c>
      <c r="D1852" s="119"/>
      <c r="E1852" s="119"/>
      <c r="F1852" s="155">
        <v>80</v>
      </c>
      <c r="G1852" s="133" t="str">
        <f>_xlfn.XLOOKUP(Table1[[#This Row],[Account_ID]], Accounts[ID], Accounts[Account nickname], "Unknown")</f>
        <v>WF</v>
      </c>
      <c r="H1852" s="134" t="str">
        <f>_xlfn.XLOOKUP(Table1[[#This Row],[Account_ID]], Accounts[ID], Accounts[Account'#], "Unknown")</f>
        <v>4636</v>
      </c>
      <c r="I1852" s="135" t="str">
        <f>_xlfn.XLOOKUP(_xlfn.XLOOKUP(Table1[[#This Row],[Account]],Accounts[Account nickname],Accounts[Institution ID]),Institutions[ID],Institutions[Institution nickname],"Unknown")</f>
        <v>Wells Fargo</v>
      </c>
      <c r="J1852" s="136" t="s">
        <v>1341</v>
      </c>
      <c r="K1852" s="137" t="s">
        <v>808</v>
      </c>
      <c r="L1852" s="137" t="s">
        <v>807</v>
      </c>
      <c r="M185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5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52" s="138" t="str" cm="1">
        <f t="array" ref="O1852">IFERROR(INDEX(CategoriesTable[Category type],MATCH(Table1[[#This Row],[Category]],CategoriesTable[Category name],0),0),"")</f>
        <v/>
      </c>
      <c r="P1852" s="138">
        <v>17</v>
      </c>
      <c r="Q1852" s="138">
        <f>MONTH(Table1[[#This Row],[Date]])</f>
        <v>8</v>
      </c>
      <c r="R1852" s="138">
        <v>2020</v>
      </c>
      <c r="S1852" s="139">
        <f>IF(ISBLANK(Table1[[#This Row],[Date]]),"",Table1[[#This Row],[Date]]-WEEKDAY(Table1[[#This Row],[Date]],2)+1)</f>
        <v>44060</v>
      </c>
      <c r="T1852" s="140">
        <f>IF(ISBLANK(Table1[[#This Row],[Date]]),"",DATE(Table1[[#This Row],[Date_Year]],Table1[[#This Row],[Date_Month]],1))</f>
        <v>44044</v>
      </c>
    </row>
    <row r="1853" spans="2:20" ht="15.75">
      <c r="B1853" s="154">
        <v>44060</v>
      </c>
      <c r="C1853" s="119" t="s">
        <v>776</v>
      </c>
      <c r="D1853" s="119"/>
      <c r="E1853" s="119"/>
      <c r="F1853" s="155">
        <v>-300</v>
      </c>
      <c r="G1853" s="133" t="str">
        <f>_xlfn.XLOOKUP(Table1[[#This Row],[Account_ID]], Accounts[ID], Accounts[Account nickname], "Unknown")</f>
        <v>WF</v>
      </c>
      <c r="H1853" s="134" t="str">
        <f>_xlfn.XLOOKUP(Table1[[#This Row],[Account_ID]], Accounts[ID], Accounts[Account'#], "Unknown")</f>
        <v>4636</v>
      </c>
      <c r="I1853" s="135" t="str">
        <f>_xlfn.XLOOKUP(_xlfn.XLOOKUP(Table1[[#This Row],[Account]],Accounts[Account nickname],Accounts[Institution ID]),Institutions[ID],Institutions[Institution nickname],"Unknown")</f>
        <v>Wells Fargo</v>
      </c>
      <c r="J1853" s="136" t="s">
        <v>1340</v>
      </c>
      <c r="K1853" s="137" t="s">
        <v>808</v>
      </c>
      <c r="L1853" s="137" t="s">
        <v>807</v>
      </c>
      <c r="M185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5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53" s="138" t="str" cm="1">
        <f t="array" ref="O1853">IFERROR(INDEX(CategoriesTable[Category type],MATCH(Table1[[#This Row],[Category]],CategoriesTable[Category name],0),0),"")</f>
        <v/>
      </c>
      <c r="P1853" s="138">
        <v>17</v>
      </c>
      <c r="Q1853" s="138">
        <f>MONTH(Table1[[#This Row],[Date]])</f>
        <v>8</v>
      </c>
      <c r="R1853" s="138">
        <v>2020</v>
      </c>
      <c r="S1853" s="139">
        <f>IF(ISBLANK(Table1[[#This Row],[Date]]),"",Table1[[#This Row],[Date]]-WEEKDAY(Table1[[#This Row],[Date]],2)+1)</f>
        <v>44060</v>
      </c>
      <c r="T1853" s="140">
        <f>IF(ISBLANK(Table1[[#This Row],[Date]]),"",DATE(Table1[[#This Row],[Date_Year]],Table1[[#This Row],[Date_Month]],1))</f>
        <v>44044</v>
      </c>
    </row>
    <row r="1854" spans="2:20" ht="15.75">
      <c r="B1854" s="154">
        <v>44059</v>
      </c>
      <c r="C1854" s="119" t="s">
        <v>724</v>
      </c>
      <c r="D1854" s="119"/>
      <c r="E1854" s="119"/>
      <c r="F1854" s="155">
        <v>-50.98</v>
      </c>
      <c r="G1854" s="133" t="str">
        <f>_xlfn.XLOOKUP(Table1[[#This Row],[Account_ID]], Accounts[ID], Accounts[Account nickname], "Unknown")</f>
        <v>Discover</v>
      </c>
      <c r="H1854" s="134" t="str">
        <f>_xlfn.XLOOKUP(Table1[[#This Row],[Account_ID]], Accounts[ID], Accounts[Account'#], "Unknown")</f>
        <v>4618</v>
      </c>
      <c r="I1854" s="135" t="str">
        <f>_xlfn.XLOOKUP(_xlfn.XLOOKUP(Table1[[#This Row],[Account]],Accounts[Account nickname],Accounts[Institution ID]),Institutions[ID],Institutions[Institution nickname],"Unknown")</f>
        <v>Discover</v>
      </c>
      <c r="J1854" s="136" t="s">
        <v>3154</v>
      </c>
      <c r="K1854" s="137" t="s">
        <v>843</v>
      </c>
      <c r="L1854" s="137" t="s">
        <v>841</v>
      </c>
      <c r="M185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5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54" s="138" t="str" cm="1">
        <f t="array" ref="O1854">IFERROR(INDEX(CategoriesTable[Category type],MATCH(Table1[[#This Row],[Category]],CategoriesTable[Category name],0),0),"")</f>
        <v/>
      </c>
      <c r="P1854" s="138">
        <v>16</v>
      </c>
      <c r="Q1854" s="138">
        <f>MONTH(Table1[[#This Row],[Date]])</f>
        <v>8</v>
      </c>
      <c r="R1854" s="138">
        <v>2020</v>
      </c>
      <c r="S1854" s="139">
        <f>IF(ISBLANK(Table1[[#This Row],[Date]]),"",Table1[[#This Row],[Date]]-WEEKDAY(Table1[[#This Row],[Date]],2)+1)</f>
        <v>44053</v>
      </c>
      <c r="T1854" s="140">
        <f>IF(ISBLANK(Table1[[#This Row],[Date]]),"",DATE(Table1[[#This Row],[Date_Year]],Table1[[#This Row],[Date_Month]],1))</f>
        <v>44044</v>
      </c>
    </row>
    <row r="1855" spans="2:20" ht="15.75">
      <c r="B1855" s="154">
        <v>44059</v>
      </c>
      <c r="C1855" s="119" t="s">
        <v>3152</v>
      </c>
      <c r="D1855" s="119"/>
      <c r="E1855" s="119"/>
      <c r="F1855" s="155">
        <v>-20.2</v>
      </c>
      <c r="G1855" s="133" t="str">
        <f>_xlfn.XLOOKUP(Table1[[#This Row],[Account_ID]], Accounts[ID], Accounts[Account nickname], "Unknown")</f>
        <v>Discover</v>
      </c>
      <c r="H1855" s="134" t="str">
        <f>_xlfn.XLOOKUP(Table1[[#This Row],[Account_ID]], Accounts[ID], Accounts[Account'#], "Unknown")</f>
        <v>4618</v>
      </c>
      <c r="I1855" s="135" t="str">
        <f>_xlfn.XLOOKUP(_xlfn.XLOOKUP(Table1[[#This Row],[Account]],Accounts[Account nickname],Accounts[Institution ID]),Institutions[ID],Institutions[Institution nickname],"Unknown")</f>
        <v>Discover</v>
      </c>
      <c r="J1855" s="136" t="s">
        <v>3153</v>
      </c>
      <c r="K1855" s="137" t="s">
        <v>843</v>
      </c>
      <c r="L1855" s="137" t="s">
        <v>841</v>
      </c>
      <c r="M185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5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55" s="138" t="str" cm="1">
        <f t="array" ref="O1855">IFERROR(INDEX(CategoriesTable[Category type],MATCH(Table1[[#This Row],[Category]],CategoriesTable[Category name],0),0),"")</f>
        <v/>
      </c>
      <c r="P1855" s="138">
        <v>16</v>
      </c>
      <c r="Q1855" s="138">
        <f>MONTH(Table1[[#This Row],[Date]])</f>
        <v>8</v>
      </c>
      <c r="R1855" s="138">
        <v>2020</v>
      </c>
      <c r="S1855" s="139">
        <f>IF(ISBLANK(Table1[[#This Row],[Date]]),"",Table1[[#This Row],[Date]]-WEEKDAY(Table1[[#This Row],[Date]],2)+1)</f>
        <v>44053</v>
      </c>
      <c r="T1855" s="140">
        <f>IF(ISBLANK(Table1[[#This Row],[Date]]),"",DATE(Table1[[#This Row],[Date_Year]],Table1[[#This Row],[Date_Month]],1))</f>
        <v>44044</v>
      </c>
    </row>
    <row r="1856" spans="2:20" ht="15.75">
      <c r="B1856" s="154">
        <v>44057</v>
      </c>
      <c r="C1856" s="119" t="s">
        <v>729</v>
      </c>
      <c r="D1856" s="119"/>
      <c r="E1856" s="119"/>
      <c r="F1856" s="155">
        <v>-80</v>
      </c>
      <c r="G1856" s="133" t="str">
        <f>_xlfn.XLOOKUP(Table1[[#This Row],[Account_ID]], Accounts[ID], Accounts[Account nickname], "Unknown")</f>
        <v>WF</v>
      </c>
      <c r="H1856" s="134" t="str">
        <f>_xlfn.XLOOKUP(Table1[[#This Row],[Account_ID]], Accounts[ID], Accounts[Account'#], "Unknown")</f>
        <v>4636</v>
      </c>
      <c r="I1856" s="135" t="str">
        <f>_xlfn.XLOOKUP(_xlfn.XLOOKUP(Table1[[#This Row],[Account]],Accounts[Account nickname],Accounts[Institution ID]),Institutions[ID],Institutions[Institution nickname],"Unknown")</f>
        <v>Wells Fargo</v>
      </c>
      <c r="J1856" s="136" t="s">
        <v>1344</v>
      </c>
      <c r="K1856" s="137" t="s">
        <v>808</v>
      </c>
      <c r="L1856" s="137" t="s">
        <v>807</v>
      </c>
      <c r="M185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5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56" s="138" t="str" cm="1">
        <f t="array" ref="O1856">IFERROR(INDEX(CategoriesTable[Category type],MATCH(Table1[[#This Row],[Category]],CategoriesTable[Category name],0),0),"")</f>
        <v/>
      </c>
      <c r="P1856" s="138">
        <v>14</v>
      </c>
      <c r="Q1856" s="138">
        <f>MONTH(Table1[[#This Row],[Date]])</f>
        <v>8</v>
      </c>
      <c r="R1856" s="138">
        <v>2020</v>
      </c>
      <c r="S1856" s="139">
        <f>IF(ISBLANK(Table1[[#This Row],[Date]]),"",Table1[[#This Row],[Date]]-WEEKDAY(Table1[[#This Row],[Date]],2)+1)</f>
        <v>44053</v>
      </c>
      <c r="T1856" s="140">
        <f>IF(ISBLANK(Table1[[#This Row],[Date]]),"",DATE(Table1[[#This Row],[Date_Year]],Table1[[#This Row],[Date_Month]],1))</f>
        <v>44044</v>
      </c>
    </row>
    <row r="1857" spans="2:20" ht="15.75">
      <c r="B1857" s="154">
        <v>44057</v>
      </c>
      <c r="C1857" s="119" t="s">
        <v>751</v>
      </c>
      <c r="D1857" s="119"/>
      <c r="E1857" s="119"/>
      <c r="F1857" s="155">
        <v>1454.6</v>
      </c>
      <c r="G1857" s="133" t="str">
        <f>_xlfn.XLOOKUP(Table1[[#This Row],[Account_ID]], Accounts[ID], Accounts[Account nickname], "Unknown")</f>
        <v>WF</v>
      </c>
      <c r="H1857" s="134" t="str">
        <f>_xlfn.XLOOKUP(Table1[[#This Row],[Account_ID]], Accounts[ID], Accounts[Account'#], "Unknown")</f>
        <v>4636</v>
      </c>
      <c r="I1857" s="135" t="str">
        <f>_xlfn.XLOOKUP(_xlfn.XLOOKUP(Table1[[#This Row],[Account]],Accounts[Account nickname],Accounts[Institution ID]),Institutions[ID],Institutions[Institution nickname],"Unknown")</f>
        <v>Wells Fargo</v>
      </c>
      <c r="J1857" s="136" t="s">
        <v>1343</v>
      </c>
      <c r="K1857" s="137" t="s">
        <v>808</v>
      </c>
      <c r="L1857" s="137" t="s">
        <v>807</v>
      </c>
      <c r="M185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5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57" s="138" t="str" cm="1">
        <f t="array" ref="O1857">IFERROR(INDEX(CategoriesTable[Category type],MATCH(Table1[[#This Row],[Category]],CategoriesTable[Category name],0),0),"")</f>
        <v/>
      </c>
      <c r="P1857" s="138">
        <v>14</v>
      </c>
      <c r="Q1857" s="138">
        <f>MONTH(Table1[[#This Row],[Date]])</f>
        <v>8</v>
      </c>
      <c r="R1857" s="138">
        <v>2020</v>
      </c>
      <c r="S1857" s="139">
        <f>IF(ISBLANK(Table1[[#This Row],[Date]]),"",Table1[[#This Row],[Date]]-WEEKDAY(Table1[[#This Row],[Date]],2)+1)</f>
        <v>44053</v>
      </c>
      <c r="T1857" s="140">
        <f>IF(ISBLANK(Table1[[#This Row],[Date]]),"",DATE(Table1[[#This Row],[Date_Year]],Table1[[#This Row],[Date_Month]],1))</f>
        <v>44044</v>
      </c>
    </row>
    <row r="1858" spans="2:20" ht="15.75">
      <c r="B1858" s="154">
        <v>44057</v>
      </c>
      <c r="C1858" s="119" t="s">
        <v>936</v>
      </c>
      <c r="D1858" s="119"/>
      <c r="E1858" s="119"/>
      <c r="F1858" s="155">
        <v>-36.200000000000003</v>
      </c>
      <c r="G1858" s="133" t="str">
        <f>_xlfn.XLOOKUP(Table1[[#This Row],[Account_ID]], Accounts[ID], Accounts[Account nickname], "Unknown")</f>
        <v>Discover</v>
      </c>
      <c r="H1858" s="134" t="str">
        <f>_xlfn.XLOOKUP(Table1[[#This Row],[Account_ID]], Accounts[ID], Accounts[Account'#], "Unknown")</f>
        <v>4618</v>
      </c>
      <c r="I1858" s="135" t="str">
        <f>_xlfn.XLOOKUP(_xlfn.XLOOKUP(Table1[[#This Row],[Account]],Accounts[Account nickname],Accounts[Institution ID]),Institutions[ID],Institutions[Institution nickname],"Unknown")</f>
        <v>Discover</v>
      </c>
      <c r="J1858" s="136" t="s">
        <v>3159</v>
      </c>
      <c r="K1858" s="137" t="s">
        <v>843</v>
      </c>
      <c r="L1858" s="137" t="s">
        <v>841</v>
      </c>
      <c r="M185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5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58" s="138" t="str" cm="1">
        <f t="array" ref="O1858">IFERROR(INDEX(CategoriesTable[Category type],MATCH(Table1[[#This Row],[Category]],CategoriesTable[Category name],0),0),"")</f>
        <v/>
      </c>
      <c r="P1858" s="138">
        <v>14</v>
      </c>
      <c r="Q1858" s="138">
        <f>MONTH(Table1[[#This Row],[Date]])</f>
        <v>8</v>
      </c>
      <c r="R1858" s="138">
        <v>2020</v>
      </c>
      <c r="S1858" s="139">
        <f>IF(ISBLANK(Table1[[#This Row],[Date]]),"",Table1[[#This Row],[Date]]-WEEKDAY(Table1[[#This Row],[Date]],2)+1)</f>
        <v>44053</v>
      </c>
      <c r="T1858" s="140">
        <f>IF(ISBLANK(Table1[[#This Row],[Date]]),"",DATE(Table1[[#This Row],[Date_Year]],Table1[[#This Row],[Date_Month]],1))</f>
        <v>44044</v>
      </c>
    </row>
    <row r="1859" spans="2:20" ht="15.75">
      <c r="B1859" s="154">
        <v>44057</v>
      </c>
      <c r="C1859" s="119" t="s">
        <v>686</v>
      </c>
      <c r="D1859" s="119"/>
      <c r="E1859" s="119"/>
      <c r="F1859" s="155">
        <v>-520.29</v>
      </c>
      <c r="G1859" s="133" t="str">
        <f>_xlfn.XLOOKUP(Table1[[#This Row],[Account_ID]], Accounts[ID], Accounts[Account nickname], "Unknown")</f>
        <v>WF</v>
      </c>
      <c r="H1859" s="134" t="str">
        <f>_xlfn.XLOOKUP(Table1[[#This Row],[Account_ID]], Accounts[ID], Accounts[Account'#], "Unknown")</f>
        <v>4636</v>
      </c>
      <c r="I1859" s="135" t="str">
        <f>_xlfn.XLOOKUP(_xlfn.XLOOKUP(Table1[[#This Row],[Account]],Accounts[Account nickname],Accounts[Institution ID]),Institutions[ID],Institutions[Institution nickname],"Unknown")</f>
        <v>Wells Fargo</v>
      </c>
      <c r="J1859" s="136" t="s">
        <v>1342</v>
      </c>
      <c r="K1859" s="137" t="s">
        <v>808</v>
      </c>
      <c r="L1859" s="137" t="s">
        <v>807</v>
      </c>
      <c r="M185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5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59" s="138" t="str" cm="1">
        <f t="array" ref="O1859">IFERROR(INDEX(CategoriesTable[Category type],MATCH(Table1[[#This Row],[Category]],CategoriesTable[Category name],0),0),"")</f>
        <v/>
      </c>
      <c r="P1859" s="138">
        <v>14</v>
      </c>
      <c r="Q1859" s="138">
        <f>MONTH(Table1[[#This Row],[Date]])</f>
        <v>8</v>
      </c>
      <c r="R1859" s="138">
        <v>2020</v>
      </c>
      <c r="S1859" s="139">
        <f>IF(ISBLANK(Table1[[#This Row],[Date]]),"",Table1[[#This Row],[Date]]-WEEKDAY(Table1[[#This Row],[Date]],2)+1)</f>
        <v>44053</v>
      </c>
      <c r="T1859" s="140">
        <f>IF(ISBLANK(Table1[[#This Row],[Date]]),"",DATE(Table1[[#This Row],[Date_Year]],Table1[[#This Row],[Date_Month]],1))</f>
        <v>44044</v>
      </c>
    </row>
    <row r="1860" spans="2:20" ht="15.75">
      <c r="B1860" s="154">
        <v>44057</v>
      </c>
      <c r="C1860" s="119" t="s">
        <v>700</v>
      </c>
      <c r="D1860" s="119"/>
      <c r="E1860" s="119"/>
      <c r="F1860" s="155">
        <v>-86.25</v>
      </c>
      <c r="G1860" s="133" t="str">
        <f>_xlfn.XLOOKUP(Table1[[#This Row],[Account_ID]], Accounts[ID], Accounts[Account nickname], "Unknown")</f>
        <v>Discover</v>
      </c>
      <c r="H1860" s="134" t="str">
        <f>_xlfn.XLOOKUP(Table1[[#This Row],[Account_ID]], Accounts[ID], Accounts[Account'#], "Unknown")</f>
        <v>4618</v>
      </c>
      <c r="I1860" s="135" t="str">
        <f>_xlfn.XLOOKUP(_xlfn.XLOOKUP(Table1[[#This Row],[Account]],Accounts[Account nickname],Accounts[Institution ID]),Institutions[ID],Institutions[Institution nickname],"Unknown")</f>
        <v>Discover</v>
      </c>
      <c r="J1860" s="136" t="s">
        <v>3158</v>
      </c>
      <c r="K1860" s="137" t="s">
        <v>843</v>
      </c>
      <c r="L1860" s="137" t="s">
        <v>841</v>
      </c>
      <c r="M186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6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60" s="138" t="str" cm="1">
        <f t="array" ref="O1860">IFERROR(INDEX(CategoriesTable[Category type],MATCH(Table1[[#This Row],[Category]],CategoriesTable[Category name],0),0),"")</f>
        <v/>
      </c>
      <c r="P1860" s="138">
        <v>14</v>
      </c>
      <c r="Q1860" s="138">
        <f>MONTH(Table1[[#This Row],[Date]])</f>
        <v>8</v>
      </c>
      <c r="R1860" s="138">
        <v>2020</v>
      </c>
      <c r="S1860" s="139">
        <f>IF(ISBLANK(Table1[[#This Row],[Date]]),"",Table1[[#This Row],[Date]]-WEEKDAY(Table1[[#This Row],[Date]],2)+1)</f>
        <v>44053</v>
      </c>
      <c r="T1860" s="140">
        <f>IF(ISBLANK(Table1[[#This Row],[Date]]),"",DATE(Table1[[#This Row],[Date_Year]],Table1[[#This Row],[Date_Month]],1))</f>
        <v>44044</v>
      </c>
    </row>
    <row r="1861" spans="2:20" ht="15.75">
      <c r="B1861" s="154">
        <v>44057</v>
      </c>
      <c r="C1861" s="119" t="s">
        <v>678</v>
      </c>
      <c r="D1861" s="119"/>
      <c r="E1861" s="119"/>
      <c r="F1861" s="155">
        <v>-50</v>
      </c>
      <c r="G1861" s="133" t="str">
        <f>_xlfn.XLOOKUP(Table1[[#This Row],[Account_ID]], Accounts[ID], Accounts[Account nickname], "Unknown")</f>
        <v>WF</v>
      </c>
      <c r="H1861" s="134" t="str">
        <f>_xlfn.XLOOKUP(Table1[[#This Row],[Account_ID]], Accounts[ID], Accounts[Account'#], "Unknown")</f>
        <v>4636</v>
      </c>
      <c r="I1861" s="135" t="str">
        <f>_xlfn.XLOOKUP(_xlfn.XLOOKUP(Table1[[#This Row],[Account]],Accounts[Account nickname],Accounts[Institution ID]),Institutions[ID],Institutions[Institution nickname],"Unknown")</f>
        <v>Wells Fargo</v>
      </c>
      <c r="J1861" s="136" t="s">
        <v>1345</v>
      </c>
      <c r="K1861" s="137" t="s">
        <v>808</v>
      </c>
      <c r="L1861" s="137" t="s">
        <v>807</v>
      </c>
      <c r="M186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6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61" s="138" t="str" cm="1">
        <f t="array" ref="O1861">IFERROR(INDEX(CategoriesTable[Category type],MATCH(Table1[[#This Row],[Category]],CategoriesTable[Category name],0),0),"")</f>
        <v/>
      </c>
      <c r="P1861" s="138">
        <v>14</v>
      </c>
      <c r="Q1861" s="138">
        <f>MONTH(Table1[[#This Row],[Date]])</f>
        <v>8</v>
      </c>
      <c r="R1861" s="138">
        <v>2020</v>
      </c>
      <c r="S1861" s="139">
        <f>IF(ISBLANK(Table1[[#This Row],[Date]]),"",Table1[[#This Row],[Date]]-WEEKDAY(Table1[[#This Row],[Date]],2)+1)</f>
        <v>44053</v>
      </c>
      <c r="T1861" s="140">
        <f>IF(ISBLANK(Table1[[#This Row],[Date]]),"",DATE(Table1[[#This Row],[Date_Year]],Table1[[#This Row],[Date_Month]],1))</f>
        <v>44044</v>
      </c>
    </row>
    <row r="1862" spans="2:20" ht="15.75">
      <c r="B1862" s="154">
        <v>44057</v>
      </c>
      <c r="C1862" s="119" t="s">
        <v>724</v>
      </c>
      <c r="D1862" s="119"/>
      <c r="E1862" s="119"/>
      <c r="F1862" s="155">
        <v>-7.1</v>
      </c>
      <c r="G1862" s="133" t="str">
        <f>_xlfn.XLOOKUP(Table1[[#This Row],[Account_ID]], Accounts[ID], Accounts[Account nickname], "Unknown")</f>
        <v>WF</v>
      </c>
      <c r="H1862" s="134" t="str">
        <f>_xlfn.XLOOKUP(Table1[[#This Row],[Account_ID]], Accounts[ID], Accounts[Account'#], "Unknown")</f>
        <v>4636</v>
      </c>
      <c r="I1862" s="135" t="str">
        <f>_xlfn.XLOOKUP(_xlfn.XLOOKUP(Table1[[#This Row],[Account]],Accounts[Account nickname],Accounts[Institution ID]),Institutions[ID],Institutions[Institution nickname],"Unknown")</f>
        <v>Wells Fargo</v>
      </c>
      <c r="J1862" s="136" t="s">
        <v>1346</v>
      </c>
      <c r="K1862" s="137" t="s">
        <v>808</v>
      </c>
      <c r="L1862" s="137" t="s">
        <v>807</v>
      </c>
      <c r="M186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6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62" s="138" t="str" cm="1">
        <f t="array" ref="O1862">IFERROR(INDEX(CategoriesTable[Category type],MATCH(Table1[[#This Row],[Category]],CategoriesTable[Category name],0),0),"")</f>
        <v/>
      </c>
      <c r="P1862" s="138">
        <v>14</v>
      </c>
      <c r="Q1862" s="138">
        <f>MONTH(Table1[[#This Row],[Date]])</f>
        <v>8</v>
      </c>
      <c r="R1862" s="138">
        <v>2020</v>
      </c>
      <c r="S1862" s="139">
        <f>IF(ISBLANK(Table1[[#This Row],[Date]]),"",Table1[[#This Row],[Date]]-WEEKDAY(Table1[[#This Row],[Date]],2)+1)</f>
        <v>44053</v>
      </c>
      <c r="T1862" s="140">
        <f>IF(ISBLANK(Table1[[#This Row],[Date]]),"",DATE(Table1[[#This Row],[Date_Year]],Table1[[#This Row],[Date_Month]],1))</f>
        <v>44044</v>
      </c>
    </row>
    <row r="1863" spans="2:20" ht="15.75">
      <c r="B1863" s="154">
        <v>44057</v>
      </c>
      <c r="C1863" s="119" t="s">
        <v>3156</v>
      </c>
      <c r="D1863" s="119"/>
      <c r="E1863" s="119"/>
      <c r="F1863" s="155">
        <v>-200</v>
      </c>
      <c r="G1863" s="133" t="str">
        <f>_xlfn.XLOOKUP(Table1[[#This Row],[Account_ID]], Accounts[ID], Accounts[Account nickname], "Unknown")</f>
        <v>Discover</v>
      </c>
      <c r="H1863" s="134" t="str">
        <f>_xlfn.XLOOKUP(Table1[[#This Row],[Account_ID]], Accounts[ID], Accounts[Account'#], "Unknown")</f>
        <v>4618</v>
      </c>
      <c r="I1863" s="135" t="str">
        <f>_xlfn.XLOOKUP(_xlfn.XLOOKUP(Table1[[#This Row],[Account]],Accounts[Account nickname],Accounts[Institution ID]),Institutions[ID],Institutions[Institution nickname],"Unknown")</f>
        <v>Discover</v>
      </c>
      <c r="J1863" s="136" t="s">
        <v>3157</v>
      </c>
      <c r="K1863" s="137" t="s">
        <v>843</v>
      </c>
      <c r="L1863" s="137" t="s">
        <v>841</v>
      </c>
      <c r="M186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6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63" s="138" t="str" cm="1">
        <f t="array" ref="O1863">IFERROR(INDEX(CategoriesTable[Category type],MATCH(Table1[[#This Row],[Category]],CategoriesTable[Category name],0),0),"")</f>
        <v/>
      </c>
      <c r="P1863" s="138">
        <v>14</v>
      </c>
      <c r="Q1863" s="138">
        <f>MONTH(Table1[[#This Row],[Date]])</f>
        <v>8</v>
      </c>
      <c r="R1863" s="138">
        <v>2020</v>
      </c>
      <c r="S1863" s="139">
        <f>IF(ISBLANK(Table1[[#This Row],[Date]]),"",Table1[[#This Row],[Date]]-WEEKDAY(Table1[[#This Row],[Date]],2)+1)</f>
        <v>44053</v>
      </c>
      <c r="T1863" s="140">
        <f>IF(ISBLANK(Table1[[#This Row],[Date]]),"",DATE(Table1[[#This Row],[Date_Year]],Table1[[#This Row],[Date_Month]],1))</f>
        <v>44044</v>
      </c>
    </row>
    <row r="1864" spans="2:20" ht="15.75">
      <c r="B1864" s="154">
        <v>44057</v>
      </c>
      <c r="C1864" s="119" t="s">
        <v>845</v>
      </c>
      <c r="D1864" s="119"/>
      <c r="E1864" s="119"/>
      <c r="F1864" s="155">
        <v>520.29</v>
      </c>
      <c r="G1864" s="133" t="str">
        <f>_xlfn.XLOOKUP(Table1[[#This Row],[Account_ID]], Accounts[ID], Accounts[Account nickname], "Unknown")</f>
        <v>Discover</v>
      </c>
      <c r="H1864" s="134" t="str">
        <f>_xlfn.XLOOKUP(Table1[[#This Row],[Account_ID]], Accounts[ID], Accounts[Account'#], "Unknown")</f>
        <v>4618</v>
      </c>
      <c r="I1864" s="135" t="str">
        <f>_xlfn.XLOOKUP(_xlfn.XLOOKUP(Table1[[#This Row],[Account]],Accounts[Account nickname],Accounts[Institution ID]),Institutions[ID],Institutions[Institution nickname],"Unknown")</f>
        <v>Discover</v>
      </c>
      <c r="J1864" s="136" t="s">
        <v>3155</v>
      </c>
      <c r="K1864" s="137" t="s">
        <v>843</v>
      </c>
      <c r="L1864" s="137" t="s">
        <v>841</v>
      </c>
      <c r="M186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6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64" s="138" t="str" cm="1">
        <f t="array" ref="O1864">IFERROR(INDEX(CategoriesTable[Category type],MATCH(Table1[[#This Row],[Category]],CategoriesTable[Category name],0),0),"")</f>
        <v/>
      </c>
      <c r="P1864" s="138">
        <v>14</v>
      </c>
      <c r="Q1864" s="138">
        <f>MONTH(Table1[[#This Row],[Date]])</f>
        <v>8</v>
      </c>
      <c r="R1864" s="138">
        <v>2020</v>
      </c>
      <c r="S1864" s="139">
        <f>IF(ISBLANK(Table1[[#This Row],[Date]]),"",Table1[[#This Row],[Date]]-WEEKDAY(Table1[[#This Row],[Date]],2)+1)</f>
        <v>44053</v>
      </c>
      <c r="T1864" s="140">
        <f>IF(ISBLANK(Table1[[#This Row],[Date]]),"",DATE(Table1[[#This Row],[Date_Year]],Table1[[#This Row],[Date_Month]],1))</f>
        <v>44044</v>
      </c>
    </row>
    <row r="1865" spans="2:20" ht="15.75">
      <c r="B1865" s="154">
        <v>44055</v>
      </c>
      <c r="C1865" s="119" t="s">
        <v>3163</v>
      </c>
      <c r="D1865" s="119"/>
      <c r="E1865" s="119"/>
      <c r="F1865" s="155">
        <v>-35</v>
      </c>
      <c r="G1865" s="133" t="str">
        <f>_xlfn.XLOOKUP(Table1[[#This Row],[Account_ID]], Accounts[ID], Accounts[Account nickname], "Unknown")</f>
        <v>Discover</v>
      </c>
      <c r="H1865" s="134" t="str">
        <f>_xlfn.XLOOKUP(Table1[[#This Row],[Account_ID]], Accounts[ID], Accounts[Account'#], "Unknown")</f>
        <v>4618</v>
      </c>
      <c r="I1865" s="135" t="str">
        <f>_xlfn.XLOOKUP(_xlfn.XLOOKUP(Table1[[#This Row],[Account]],Accounts[Account nickname],Accounts[Institution ID]),Institutions[ID],Institutions[Institution nickname],"Unknown")</f>
        <v>Discover</v>
      </c>
      <c r="J1865" s="136" t="s">
        <v>3164</v>
      </c>
      <c r="K1865" s="137" t="s">
        <v>843</v>
      </c>
      <c r="L1865" s="137" t="s">
        <v>841</v>
      </c>
      <c r="M186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6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65" s="138" t="str" cm="1">
        <f t="array" ref="O1865">IFERROR(INDEX(CategoriesTable[Category type],MATCH(Table1[[#This Row],[Category]],CategoriesTable[Category name],0),0),"")</f>
        <v/>
      </c>
      <c r="P1865" s="138">
        <v>12</v>
      </c>
      <c r="Q1865" s="138">
        <f>MONTH(Table1[[#This Row],[Date]])</f>
        <v>8</v>
      </c>
      <c r="R1865" s="138">
        <v>2020</v>
      </c>
      <c r="S1865" s="139">
        <f>IF(ISBLANK(Table1[[#This Row],[Date]]),"",Table1[[#This Row],[Date]]-WEEKDAY(Table1[[#This Row],[Date]],2)+1)</f>
        <v>44053</v>
      </c>
      <c r="T1865" s="140">
        <f>IF(ISBLANK(Table1[[#This Row],[Date]]),"",DATE(Table1[[#This Row],[Date_Year]],Table1[[#This Row],[Date_Month]],1))</f>
        <v>44044</v>
      </c>
    </row>
    <row r="1866" spans="2:20" ht="15.75">
      <c r="B1866" s="154">
        <v>44055</v>
      </c>
      <c r="C1866" s="119" t="s">
        <v>3161</v>
      </c>
      <c r="D1866" s="119"/>
      <c r="E1866" s="119"/>
      <c r="F1866" s="155">
        <v>200</v>
      </c>
      <c r="G1866" s="133" t="str">
        <f>_xlfn.XLOOKUP(Table1[[#This Row],[Account_ID]], Accounts[ID], Accounts[Account nickname], "Unknown")</f>
        <v>Discover</v>
      </c>
      <c r="H1866" s="134" t="str">
        <f>_xlfn.XLOOKUP(Table1[[#This Row],[Account_ID]], Accounts[ID], Accounts[Account'#], "Unknown")</f>
        <v>4618</v>
      </c>
      <c r="I1866" s="135" t="str">
        <f>_xlfn.XLOOKUP(_xlfn.XLOOKUP(Table1[[#This Row],[Account]],Accounts[Account nickname],Accounts[Institution ID]),Institutions[ID],Institutions[Institution nickname],"Unknown")</f>
        <v>Discover</v>
      </c>
      <c r="J1866" s="136" t="s">
        <v>3162</v>
      </c>
      <c r="K1866" s="137" t="s">
        <v>843</v>
      </c>
      <c r="L1866" s="137" t="s">
        <v>841</v>
      </c>
      <c r="M186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6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66" s="138" t="str" cm="1">
        <f t="array" ref="O1866">IFERROR(INDEX(CategoriesTable[Category type],MATCH(Table1[[#This Row],[Category]],CategoriesTable[Category name],0),0),"")</f>
        <v/>
      </c>
      <c r="P1866" s="138">
        <v>12</v>
      </c>
      <c r="Q1866" s="138">
        <f>MONTH(Table1[[#This Row],[Date]])</f>
        <v>8</v>
      </c>
      <c r="R1866" s="138">
        <v>2020</v>
      </c>
      <c r="S1866" s="139">
        <f>IF(ISBLANK(Table1[[#This Row],[Date]]),"",Table1[[#This Row],[Date]]-WEEKDAY(Table1[[#This Row],[Date]],2)+1)</f>
        <v>44053</v>
      </c>
      <c r="T1866" s="140">
        <f>IF(ISBLANK(Table1[[#This Row],[Date]]),"",DATE(Table1[[#This Row],[Date_Year]],Table1[[#This Row],[Date_Month]],1))</f>
        <v>44044</v>
      </c>
    </row>
    <row r="1867" spans="2:20" ht="15.75">
      <c r="B1867" s="154">
        <v>44055</v>
      </c>
      <c r="C1867" s="119" t="s">
        <v>1726</v>
      </c>
      <c r="D1867" s="119"/>
      <c r="E1867" s="119"/>
      <c r="F1867" s="155">
        <v>-22.16</v>
      </c>
      <c r="G1867" s="133" t="str">
        <f>_xlfn.XLOOKUP(Table1[[#This Row],[Account_ID]], Accounts[ID], Accounts[Account nickname], "Unknown")</f>
        <v>Discover</v>
      </c>
      <c r="H1867" s="134" t="str">
        <f>_xlfn.XLOOKUP(Table1[[#This Row],[Account_ID]], Accounts[ID], Accounts[Account'#], "Unknown")</f>
        <v>4618</v>
      </c>
      <c r="I1867" s="135" t="str">
        <f>_xlfn.XLOOKUP(_xlfn.XLOOKUP(Table1[[#This Row],[Account]],Accounts[Account nickname],Accounts[Institution ID]),Institutions[ID],Institutions[Institution nickname],"Unknown")</f>
        <v>Discover</v>
      </c>
      <c r="J1867" s="136" t="s">
        <v>3160</v>
      </c>
      <c r="K1867" s="137" t="s">
        <v>843</v>
      </c>
      <c r="L1867" s="137" t="s">
        <v>841</v>
      </c>
      <c r="M186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6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67" s="138" t="str" cm="1">
        <f t="array" ref="O1867">IFERROR(INDEX(CategoriesTable[Category type],MATCH(Table1[[#This Row],[Category]],CategoriesTable[Category name],0),0),"")</f>
        <v/>
      </c>
      <c r="P1867" s="138">
        <v>12</v>
      </c>
      <c r="Q1867" s="138">
        <f>MONTH(Table1[[#This Row],[Date]])</f>
        <v>8</v>
      </c>
      <c r="R1867" s="138">
        <v>2020</v>
      </c>
      <c r="S1867" s="139">
        <f>IF(ISBLANK(Table1[[#This Row],[Date]]),"",Table1[[#This Row],[Date]]-WEEKDAY(Table1[[#This Row],[Date]],2)+1)</f>
        <v>44053</v>
      </c>
      <c r="T1867" s="140">
        <f>IF(ISBLANK(Table1[[#This Row],[Date]]),"",DATE(Table1[[#This Row],[Date_Year]],Table1[[#This Row],[Date_Month]],1))</f>
        <v>44044</v>
      </c>
    </row>
    <row r="1868" spans="2:20" ht="15.75">
      <c r="B1868" s="154">
        <v>44055</v>
      </c>
      <c r="C1868" s="119" t="s">
        <v>3156</v>
      </c>
      <c r="D1868" s="119"/>
      <c r="E1868" s="119"/>
      <c r="F1868" s="155">
        <v>-200</v>
      </c>
      <c r="G1868" s="133" t="str">
        <f>_xlfn.XLOOKUP(Table1[[#This Row],[Account_ID]], Accounts[ID], Accounts[Account nickname], "Unknown")</f>
        <v>Discover</v>
      </c>
      <c r="H1868" s="134" t="str">
        <f>_xlfn.XLOOKUP(Table1[[#This Row],[Account_ID]], Accounts[ID], Accounts[Account'#], "Unknown")</f>
        <v>4618</v>
      </c>
      <c r="I1868" s="135" t="str">
        <f>_xlfn.XLOOKUP(_xlfn.XLOOKUP(Table1[[#This Row],[Account]],Accounts[Account nickname],Accounts[Institution ID]),Institutions[ID],Institutions[Institution nickname],"Unknown")</f>
        <v>Discover</v>
      </c>
      <c r="J1868" s="136" t="s">
        <v>3165</v>
      </c>
      <c r="K1868" s="137" t="s">
        <v>843</v>
      </c>
      <c r="L1868" s="137" t="s">
        <v>841</v>
      </c>
      <c r="M186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6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68" s="138" t="str" cm="1">
        <f t="array" ref="O1868">IFERROR(INDEX(CategoriesTable[Category type],MATCH(Table1[[#This Row],[Category]],CategoriesTable[Category name],0),0),"")</f>
        <v/>
      </c>
      <c r="P1868" s="138">
        <v>12</v>
      </c>
      <c r="Q1868" s="138">
        <f>MONTH(Table1[[#This Row],[Date]])</f>
        <v>8</v>
      </c>
      <c r="R1868" s="138">
        <v>2020</v>
      </c>
      <c r="S1868" s="139">
        <f>IF(ISBLANK(Table1[[#This Row],[Date]]),"",Table1[[#This Row],[Date]]-WEEKDAY(Table1[[#This Row],[Date]],2)+1)</f>
        <v>44053</v>
      </c>
      <c r="T1868" s="140">
        <f>IF(ISBLANK(Table1[[#This Row],[Date]]),"",DATE(Table1[[#This Row],[Date_Year]],Table1[[#This Row],[Date_Month]],1))</f>
        <v>44044</v>
      </c>
    </row>
    <row r="1869" spans="2:20" ht="15.75">
      <c r="B1869" s="154">
        <v>44054</v>
      </c>
      <c r="C1869" s="119" t="s">
        <v>3167</v>
      </c>
      <c r="D1869" s="119"/>
      <c r="E1869" s="119"/>
      <c r="F1869" s="155">
        <v>-18.649999999999999</v>
      </c>
      <c r="G1869" s="133" t="str">
        <f>_xlfn.XLOOKUP(Table1[[#This Row],[Account_ID]], Accounts[ID], Accounts[Account nickname], "Unknown")</f>
        <v>Discover</v>
      </c>
      <c r="H1869" s="134" t="str">
        <f>_xlfn.XLOOKUP(Table1[[#This Row],[Account_ID]], Accounts[ID], Accounts[Account'#], "Unknown")</f>
        <v>4618</v>
      </c>
      <c r="I1869" s="135" t="str">
        <f>_xlfn.XLOOKUP(_xlfn.XLOOKUP(Table1[[#This Row],[Account]],Accounts[Account nickname],Accounts[Institution ID]),Institutions[ID],Institutions[Institution nickname],"Unknown")</f>
        <v>Discover</v>
      </c>
      <c r="J1869" s="136" t="s">
        <v>3168</v>
      </c>
      <c r="K1869" s="137" t="s">
        <v>843</v>
      </c>
      <c r="L1869" s="137" t="s">
        <v>841</v>
      </c>
      <c r="M186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6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69" s="138" t="str" cm="1">
        <f t="array" ref="O1869">IFERROR(INDEX(CategoriesTable[Category type],MATCH(Table1[[#This Row],[Category]],CategoriesTable[Category name],0),0),"")</f>
        <v/>
      </c>
      <c r="P1869" s="138">
        <v>11</v>
      </c>
      <c r="Q1869" s="138">
        <f>MONTH(Table1[[#This Row],[Date]])</f>
        <v>8</v>
      </c>
      <c r="R1869" s="138">
        <v>2020</v>
      </c>
      <c r="S1869" s="139">
        <f>IF(ISBLANK(Table1[[#This Row],[Date]]),"",Table1[[#This Row],[Date]]-WEEKDAY(Table1[[#This Row],[Date]],2)+1)</f>
        <v>44053</v>
      </c>
      <c r="T1869" s="140">
        <f>IF(ISBLANK(Table1[[#This Row],[Date]]),"",DATE(Table1[[#This Row],[Date_Year]],Table1[[#This Row],[Date_Month]],1))</f>
        <v>44044</v>
      </c>
    </row>
    <row r="1870" spans="2:20" ht="15.75">
      <c r="B1870" s="154">
        <v>44054</v>
      </c>
      <c r="C1870" s="119" t="s">
        <v>3035</v>
      </c>
      <c r="D1870" s="119"/>
      <c r="E1870" s="119"/>
      <c r="F1870" s="155">
        <v>-15</v>
      </c>
      <c r="G1870" s="133" t="str">
        <f>_xlfn.XLOOKUP(Table1[[#This Row],[Account_ID]], Accounts[ID], Accounts[Account nickname], "Unknown")</f>
        <v>Discover</v>
      </c>
      <c r="H1870" s="134" t="str">
        <f>_xlfn.XLOOKUP(Table1[[#This Row],[Account_ID]], Accounts[ID], Accounts[Account'#], "Unknown")</f>
        <v>4618</v>
      </c>
      <c r="I1870" s="135" t="str">
        <f>_xlfn.XLOOKUP(_xlfn.XLOOKUP(Table1[[#This Row],[Account]],Accounts[Account nickname],Accounts[Institution ID]),Institutions[ID],Institutions[Institution nickname],"Unknown")</f>
        <v>Discover</v>
      </c>
      <c r="J1870" s="136" t="s">
        <v>3169</v>
      </c>
      <c r="K1870" s="137" t="s">
        <v>843</v>
      </c>
      <c r="L1870" s="137" t="s">
        <v>841</v>
      </c>
      <c r="M187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7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70" s="138" t="str" cm="1">
        <f t="array" ref="O1870">IFERROR(INDEX(CategoriesTable[Category type],MATCH(Table1[[#This Row],[Category]],CategoriesTable[Category name],0),0),"")</f>
        <v/>
      </c>
      <c r="P1870" s="138">
        <v>11</v>
      </c>
      <c r="Q1870" s="138">
        <f>MONTH(Table1[[#This Row],[Date]])</f>
        <v>8</v>
      </c>
      <c r="R1870" s="138">
        <v>2020</v>
      </c>
      <c r="S1870" s="139">
        <f>IF(ISBLANK(Table1[[#This Row],[Date]]),"",Table1[[#This Row],[Date]]-WEEKDAY(Table1[[#This Row],[Date]],2)+1)</f>
        <v>44053</v>
      </c>
      <c r="T1870" s="140">
        <f>IF(ISBLANK(Table1[[#This Row],[Date]]),"",DATE(Table1[[#This Row],[Date_Year]],Table1[[#This Row],[Date_Month]],1))</f>
        <v>44044</v>
      </c>
    </row>
    <row r="1871" spans="2:20" ht="15.75">
      <c r="B1871" s="154">
        <v>44054</v>
      </c>
      <c r="C1871" s="119" t="s">
        <v>699</v>
      </c>
      <c r="D1871" s="119"/>
      <c r="E1871" s="119"/>
      <c r="F1871" s="155">
        <v>-0.62</v>
      </c>
      <c r="G1871" s="133" t="str">
        <f>_xlfn.XLOOKUP(Table1[[#This Row],[Account_ID]], Accounts[ID], Accounts[Account nickname], "Unknown")</f>
        <v>Discover</v>
      </c>
      <c r="H1871" s="134" t="str">
        <f>_xlfn.XLOOKUP(Table1[[#This Row],[Account_ID]], Accounts[ID], Accounts[Account'#], "Unknown")</f>
        <v>4618</v>
      </c>
      <c r="I1871" s="135" t="str">
        <f>_xlfn.XLOOKUP(_xlfn.XLOOKUP(Table1[[#This Row],[Account]],Accounts[Account nickname],Accounts[Institution ID]),Institutions[ID],Institutions[Institution nickname],"Unknown")</f>
        <v>Discover</v>
      </c>
      <c r="J1871" s="136" t="s">
        <v>3166</v>
      </c>
      <c r="K1871" s="137" t="s">
        <v>843</v>
      </c>
      <c r="L1871" s="137" t="s">
        <v>841</v>
      </c>
      <c r="M187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7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71" s="138" t="str" cm="1">
        <f t="array" ref="O1871">IFERROR(INDEX(CategoriesTable[Category type],MATCH(Table1[[#This Row],[Category]],CategoriesTable[Category name],0),0),"")</f>
        <v/>
      </c>
      <c r="P1871" s="138">
        <v>11</v>
      </c>
      <c r="Q1871" s="138">
        <f>MONTH(Table1[[#This Row],[Date]])</f>
        <v>8</v>
      </c>
      <c r="R1871" s="138">
        <v>2020</v>
      </c>
      <c r="S1871" s="139">
        <f>IF(ISBLANK(Table1[[#This Row],[Date]]),"",Table1[[#This Row],[Date]]-WEEKDAY(Table1[[#This Row],[Date]],2)+1)</f>
        <v>44053</v>
      </c>
      <c r="T1871" s="140">
        <f>IF(ISBLANK(Table1[[#This Row],[Date]]),"",DATE(Table1[[#This Row],[Date_Year]],Table1[[#This Row],[Date_Month]],1))</f>
        <v>44044</v>
      </c>
    </row>
    <row r="1872" spans="2:20" ht="15.75">
      <c r="B1872" s="154">
        <v>44054</v>
      </c>
      <c r="C1872" s="119" t="s">
        <v>2526</v>
      </c>
      <c r="D1872" s="119"/>
      <c r="E1872" s="119"/>
      <c r="F1872" s="155">
        <v>-3.78</v>
      </c>
      <c r="G1872" s="133" t="str">
        <f>_xlfn.XLOOKUP(Table1[[#This Row],[Account_ID]], Accounts[ID], Accounts[Account nickname], "Unknown")</f>
        <v>Discover</v>
      </c>
      <c r="H1872" s="134" t="str">
        <f>_xlfn.XLOOKUP(Table1[[#This Row],[Account_ID]], Accounts[ID], Accounts[Account'#], "Unknown")</f>
        <v>4618</v>
      </c>
      <c r="I1872" s="135" t="str">
        <f>_xlfn.XLOOKUP(_xlfn.XLOOKUP(Table1[[#This Row],[Account]],Accounts[Account nickname],Accounts[Institution ID]),Institutions[ID],Institutions[Institution nickname],"Unknown")</f>
        <v>Discover</v>
      </c>
      <c r="J1872" s="136" t="s">
        <v>3170</v>
      </c>
      <c r="K1872" s="137" t="s">
        <v>843</v>
      </c>
      <c r="L1872" s="137" t="s">
        <v>841</v>
      </c>
      <c r="M187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7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72" s="138" t="str" cm="1">
        <f t="array" ref="O1872">IFERROR(INDEX(CategoriesTable[Category type],MATCH(Table1[[#This Row],[Category]],CategoriesTable[Category name],0),0),"")</f>
        <v/>
      </c>
      <c r="P1872" s="138">
        <v>11</v>
      </c>
      <c r="Q1872" s="138">
        <f>MONTH(Table1[[#This Row],[Date]])</f>
        <v>8</v>
      </c>
      <c r="R1872" s="138">
        <v>2020</v>
      </c>
      <c r="S1872" s="139">
        <f>IF(ISBLANK(Table1[[#This Row],[Date]]),"",Table1[[#This Row],[Date]]-WEEKDAY(Table1[[#This Row],[Date]],2)+1)</f>
        <v>44053</v>
      </c>
      <c r="T1872" s="140">
        <f>IF(ISBLANK(Table1[[#This Row],[Date]]),"",DATE(Table1[[#This Row],[Date_Year]],Table1[[#This Row],[Date_Month]],1))</f>
        <v>44044</v>
      </c>
    </row>
    <row r="1873" spans="2:20" ht="15.75">
      <c r="B1873" s="154">
        <v>44054</v>
      </c>
      <c r="C1873" s="119" t="s">
        <v>3048</v>
      </c>
      <c r="D1873" s="119"/>
      <c r="E1873" s="119"/>
      <c r="F1873" s="155">
        <v>-34.99</v>
      </c>
      <c r="G1873" s="133" t="str">
        <f>_xlfn.XLOOKUP(Table1[[#This Row],[Account_ID]], Accounts[ID], Accounts[Account nickname], "Unknown")</f>
        <v>Discover</v>
      </c>
      <c r="H1873" s="134" t="str">
        <f>_xlfn.XLOOKUP(Table1[[#This Row],[Account_ID]], Accounts[ID], Accounts[Account'#], "Unknown")</f>
        <v>4618</v>
      </c>
      <c r="I1873" s="135" t="str">
        <f>_xlfn.XLOOKUP(_xlfn.XLOOKUP(Table1[[#This Row],[Account]],Accounts[Account nickname],Accounts[Institution ID]),Institutions[ID],Institutions[Institution nickname],"Unknown")</f>
        <v>Discover</v>
      </c>
      <c r="J1873" s="136" t="s">
        <v>3172</v>
      </c>
      <c r="K1873" s="137" t="s">
        <v>843</v>
      </c>
      <c r="L1873" s="137" t="s">
        <v>841</v>
      </c>
      <c r="M187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7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73" s="138" t="str" cm="1">
        <f t="array" ref="O1873">IFERROR(INDEX(CategoriesTable[Category type],MATCH(Table1[[#This Row],[Category]],CategoriesTable[Category name],0),0),"")</f>
        <v/>
      </c>
      <c r="P1873" s="138">
        <v>11</v>
      </c>
      <c r="Q1873" s="138">
        <f>MONTH(Table1[[#This Row],[Date]])</f>
        <v>8</v>
      </c>
      <c r="R1873" s="138">
        <v>2020</v>
      </c>
      <c r="S1873" s="139">
        <f>IF(ISBLANK(Table1[[#This Row],[Date]]),"",Table1[[#This Row],[Date]]-WEEKDAY(Table1[[#This Row],[Date]],2)+1)</f>
        <v>44053</v>
      </c>
      <c r="T1873" s="140">
        <f>IF(ISBLANK(Table1[[#This Row],[Date]]),"",DATE(Table1[[#This Row],[Date_Year]],Table1[[#This Row],[Date_Month]],1))</f>
        <v>44044</v>
      </c>
    </row>
    <row r="1874" spans="2:20" ht="15.75">
      <c r="B1874" s="154">
        <v>44054</v>
      </c>
      <c r="C1874" s="119" t="s">
        <v>1403</v>
      </c>
      <c r="D1874" s="119"/>
      <c r="E1874" s="119"/>
      <c r="F1874" s="155">
        <v>-117.01</v>
      </c>
      <c r="G1874" s="133" t="str">
        <f>_xlfn.XLOOKUP(Table1[[#This Row],[Account_ID]], Accounts[ID], Accounts[Account nickname], "Unknown")</f>
        <v>Discover</v>
      </c>
      <c r="H1874" s="134" t="str">
        <f>_xlfn.XLOOKUP(Table1[[#This Row],[Account_ID]], Accounts[ID], Accounts[Account'#], "Unknown")</f>
        <v>4618</v>
      </c>
      <c r="I1874" s="135" t="str">
        <f>_xlfn.XLOOKUP(_xlfn.XLOOKUP(Table1[[#This Row],[Account]],Accounts[Account nickname],Accounts[Institution ID]),Institutions[ID],Institutions[Institution nickname],"Unknown")</f>
        <v>Discover</v>
      </c>
      <c r="J1874" s="152" t="s">
        <v>3171</v>
      </c>
      <c r="K1874" s="137" t="s">
        <v>843</v>
      </c>
      <c r="L1874" s="137" t="s">
        <v>841</v>
      </c>
      <c r="M187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7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74" s="138" t="str" cm="1">
        <f t="array" ref="O1874">IFERROR(INDEX(CategoriesTable[Category type],MATCH(Table1[[#This Row],[Category]],CategoriesTable[Category name],0),0),"")</f>
        <v/>
      </c>
      <c r="P1874" s="138">
        <v>11</v>
      </c>
      <c r="Q1874" s="138">
        <f>MONTH(Table1[[#This Row],[Date]])</f>
        <v>8</v>
      </c>
      <c r="R1874" s="138">
        <v>2020</v>
      </c>
      <c r="S1874" s="139">
        <f>IF(ISBLANK(Table1[[#This Row],[Date]]),"",Table1[[#This Row],[Date]]-WEEKDAY(Table1[[#This Row],[Date]],2)+1)</f>
        <v>44053</v>
      </c>
      <c r="T1874" s="140">
        <f>IF(ISBLANK(Table1[[#This Row],[Date]]),"",DATE(Table1[[#This Row],[Date_Year]],Table1[[#This Row],[Date_Month]],1))</f>
        <v>44044</v>
      </c>
    </row>
    <row r="1875" spans="2:20" ht="15.75">
      <c r="B1875" s="154">
        <v>44053</v>
      </c>
      <c r="C1875" s="119" t="s">
        <v>845</v>
      </c>
      <c r="D1875" s="119"/>
      <c r="E1875" s="119"/>
      <c r="F1875" s="155">
        <v>200</v>
      </c>
      <c r="G1875" s="133" t="str">
        <f>_xlfn.XLOOKUP(Table1[[#This Row],[Account_ID]], Accounts[ID], Accounts[Account nickname], "Unknown")</f>
        <v>Discover</v>
      </c>
      <c r="H1875" s="134" t="str">
        <f>_xlfn.XLOOKUP(Table1[[#This Row],[Account_ID]], Accounts[ID], Accounts[Account'#], "Unknown")</f>
        <v>4618</v>
      </c>
      <c r="I1875" s="135" t="str">
        <f>_xlfn.XLOOKUP(_xlfn.XLOOKUP(Table1[[#This Row],[Account]],Accounts[Account nickname],Accounts[Institution ID]),Institutions[ID],Institutions[Institution nickname],"Unknown")</f>
        <v>Discover</v>
      </c>
      <c r="J1875" s="136" t="s">
        <v>3176</v>
      </c>
      <c r="K1875" s="137" t="s">
        <v>843</v>
      </c>
      <c r="L1875" s="137" t="s">
        <v>841</v>
      </c>
      <c r="M187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7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75" s="138" t="str" cm="1">
        <f t="array" ref="O1875">IFERROR(INDEX(CategoriesTable[Category type],MATCH(Table1[[#This Row],[Category]],CategoriesTable[Category name],0),0),"")</f>
        <v/>
      </c>
      <c r="P1875" s="138">
        <v>10</v>
      </c>
      <c r="Q1875" s="138">
        <f>MONTH(Table1[[#This Row],[Date]])</f>
        <v>8</v>
      </c>
      <c r="R1875" s="138">
        <v>2020</v>
      </c>
      <c r="S1875" s="139">
        <f>IF(ISBLANK(Table1[[#This Row],[Date]]),"",Table1[[#This Row],[Date]]-WEEKDAY(Table1[[#This Row],[Date]],2)+1)</f>
        <v>44053</v>
      </c>
      <c r="T1875" s="140">
        <f>IF(ISBLANK(Table1[[#This Row],[Date]]),"",DATE(Table1[[#This Row],[Date_Year]],Table1[[#This Row],[Date_Month]],1))</f>
        <v>44044</v>
      </c>
    </row>
    <row r="1876" spans="2:20" ht="15.75">
      <c r="B1876" s="154">
        <v>44053</v>
      </c>
      <c r="C1876" s="119" t="s">
        <v>910</v>
      </c>
      <c r="D1876" s="119"/>
      <c r="E1876" s="119"/>
      <c r="F1876" s="155">
        <v>-14.99</v>
      </c>
      <c r="G1876" s="133" t="str">
        <f>_xlfn.XLOOKUP(Table1[[#This Row],[Account_ID]], Accounts[ID], Accounts[Account nickname], "Unknown")</f>
        <v>Discover</v>
      </c>
      <c r="H1876" s="134" t="str">
        <f>_xlfn.XLOOKUP(Table1[[#This Row],[Account_ID]], Accounts[ID], Accounts[Account'#], "Unknown")</f>
        <v>4618</v>
      </c>
      <c r="I1876" s="135" t="str">
        <f>_xlfn.XLOOKUP(_xlfn.XLOOKUP(Table1[[#This Row],[Account]],Accounts[Account nickname],Accounts[Institution ID]),Institutions[ID],Institutions[Institution nickname],"Unknown")</f>
        <v>Discover</v>
      </c>
      <c r="J1876" s="136" t="s">
        <v>3175</v>
      </c>
      <c r="K1876" s="137" t="s">
        <v>843</v>
      </c>
      <c r="L1876" s="137" t="s">
        <v>841</v>
      </c>
      <c r="M187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7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76" s="138" t="str" cm="1">
        <f t="array" ref="O1876">IFERROR(INDEX(CategoriesTable[Category type],MATCH(Table1[[#This Row],[Category]],CategoriesTable[Category name],0),0),"")</f>
        <v/>
      </c>
      <c r="P1876" s="138">
        <v>10</v>
      </c>
      <c r="Q1876" s="138">
        <f>MONTH(Table1[[#This Row],[Date]])</f>
        <v>8</v>
      </c>
      <c r="R1876" s="138">
        <v>2020</v>
      </c>
      <c r="S1876" s="139">
        <f>IF(ISBLANK(Table1[[#This Row],[Date]]),"",Table1[[#This Row],[Date]]-WEEKDAY(Table1[[#This Row],[Date]],2)+1)</f>
        <v>44053</v>
      </c>
      <c r="T1876" s="140">
        <f>IF(ISBLANK(Table1[[#This Row],[Date]]),"",DATE(Table1[[#This Row],[Date_Year]],Table1[[#This Row],[Date_Month]],1))</f>
        <v>44044</v>
      </c>
    </row>
    <row r="1877" spans="2:20" ht="15.75">
      <c r="B1877" s="154">
        <v>44053</v>
      </c>
      <c r="C1877" s="119" t="s">
        <v>1674</v>
      </c>
      <c r="D1877" s="119"/>
      <c r="E1877" s="119"/>
      <c r="F1877" s="155">
        <v>-1.05</v>
      </c>
      <c r="G1877" s="133" t="str">
        <f>_xlfn.XLOOKUP(Table1[[#This Row],[Account_ID]], Accounts[ID], Accounts[Account nickname], "Unknown")</f>
        <v>Discover</v>
      </c>
      <c r="H1877" s="134" t="str">
        <f>_xlfn.XLOOKUP(Table1[[#This Row],[Account_ID]], Accounts[ID], Accounts[Account'#], "Unknown")</f>
        <v>4618</v>
      </c>
      <c r="I1877" s="135" t="str">
        <f>_xlfn.XLOOKUP(_xlfn.XLOOKUP(Table1[[#This Row],[Account]],Accounts[Account nickname],Accounts[Institution ID]),Institutions[ID],Institutions[Institution nickname],"Unknown")</f>
        <v>Discover</v>
      </c>
      <c r="J1877" s="136" t="s">
        <v>3177</v>
      </c>
      <c r="K1877" s="137" t="s">
        <v>843</v>
      </c>
      <c r="L1877" s="137" t="s">
        <v>841</v>
      </c>
      <c r="M187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7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77" s="138" t="str" cm="1">
        <f t="array" ref="O1877">IFERROR(INDEX(CategoriesTable[Category type],MATCH(Table1[[#This Row],[Category]],CategoriesTable[Category name],0),0),"")</f>
        <v/>
      </c>
      <c r="P1877" s="138">
        <v>10</v>
      </c>
      <c r="Q1877" s="138">
        <f>MONTH(Table1[[#This Row],[Date]])</f>
        <v>8</v>
      </c>
      <c r="R1877" s="138">
        <v>2020</v>
      </c>
      <c r="S1877" s="139">
        <f>IF(ISBLANK(Table1[[#This Row],[Date]]),"",Table1[[#This Row],[Date]]-WEEKDAY(Table1[[#This Row],[Date]],2)+1)</f>
        <v>44053</v>
      </c>
      <c r="T1877" s="140">
        <f>IF(ISBLANK(Table1[[#This Row],[Date]]),"",DATE(Table1[[#This Row],[Date_Year]],Table1[[#This Row],[Date_Month]],1))</f>
        <v>44044</v>
      </c>
    </row>
    <row r="1878" spans="2:20" ht="15.75">
      <c r="B1878" s="154">
        <v>44053</v>
      </c>
      <c r="C1878" s="119" t="s">
        <v>3173</v>
      </c>
      <c r="D1878" s="119"/>
      <c r="E1878" s="119"/>
      <c r="F1878" s="155">
        <v>-6.25</v>
      </c>
      <c r="G1878" s="133" t="str">
        <f>_xlfn.XLOOKUP(Table1[[#This Row],[Account_ID]], Accounts[ID], Accounts[Account nickname], "Unknown")</f>
        <v>Discover</v>
      </c>
      <c r="H1878" s="134" t="str">
        <f>_xlfn.XLOOKUP(Table1[[#This Row],[Account_ID]], Accounts[ID], Accounts[Account'#], "Unknown")</f>
        <v>4618</v>
      </c>
      <c r="I1878" s="135" t="str">
        <f>_xlfn.XLOOKUP(_xlfn.XLOOKUP(Table1[[#This Row],[Account]],Accounts[Account nickname],Accounts[Institution ID]),Institutions[ID],Institutions[Institution nickname],"Unknown")</f>
        <v>Discover</v>
      </c>
      <c r="J1878" s="136" t="s">
        <v>3174</v>
      </c>
      <c r="K1878" s="137" t="s">
        <v>843</v>
      </c>
      <c r="L1878" s="137" t="s">
        <v>841</v>
      </c>
      <c r="M187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7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78" s="138" t="str" cm="1">
        <f t="array" ref="O1878">IFERROR(INDEX(CategoriesTable[Category type],MATCH(Table1[[#This Row],[Category]],CategoriesTable[Category name],0),0),"")</f>
        <v/>
      </c>
      <c r="P1878" s="138">
        <v>10</v>
      </c>
      <c r="Q1878" s="138">
        <f>MONTH(Table1[[#This Row],[Date]])</f>
        <v>8</v>
      </c>
      <c r="R1878" s="138">
        <v>2020</v>
      </c>
      <c r="S1878" s="139">
        <f>IF(ISBLANK(Table1[[#This Row],[Date]]),"",Table1[[#This Row],[Date]]-WEEKDAY(Table1[[#This Row],[Date]],2)+1)</f>
        <v>44053</v>
      </c>
      <c r="T1878" s="140">
        <f>IF(ISBLANK(Table1[[#This Row],[Date]]),"",DATE(Table1[[#This Row],[Date_Year]],Table1[[#This Row],[Date_Month]],1))</f>
        <v>44044</v>
      </c>
    </row>
    <row r="1879" spans="2:20" ht="15.75">
      <c r="B1879" s="154">
        <v>44053</v>
      </c>
      <c r="C1879" s="119" t="s">
        <v>752</v>
      </c>
      <c r="D1879" s="119"/>
      <c r="E1879" s="119"/>
      <c r="F1879" s="155">
        <v>-400</v>
      </c>
      <c r="G1879" s="133" t="str">
        <f>_xlfn.XLOOKUP(Table1[[#This Row],[Account_ID]], Accounts[ID], Accounts[Account nickname], "Unknown")</f>
        <v>WF</v>
      </c>
      <c r="H1879" s="134" t="str">
        <f>_xlfn.XLOOKUP(Table1[[#This Row],[Account_ID]], Accounts[ID], Accounts[Account'#], "Unknown")</f>
        <v>4636</v>
      </c>
      <c r="I1879" s="135" t="str">
        <f>_xlfn.XLOOKUP(_xlfn.XLOOKUP(Table1[[#This Row],[Account]],Accounts[Account nickname],Accounts[Institution ID]),Institutions[ID],Institutions[Institution nickname],"Unknown")</f>
        <v>Wells Fargo</v>
      </c>
      <c r="J1879" s="136" t="s">
        <v>1347</v>
      </c>
      <c r="K1879" s="137" t="s">
        <v>808</v>
      </c>
      <c r="L1879" s="137" t="s">
        <v>807</v>
      </c>
      <c r="M187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7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79" s="138" t="str" cm="1">
        <f t="array" ref="O1879">IFERROR(INDEX(CategoriesTable[Category type],MATCH(Table1[[#This Row],[Category]],CategoriesTable[Category name],0),0),"")</f>
        <v/>
      </c>
      <c r="P1879" s="138">
        <v>10</v>
      </c>
      <c r="Q1879" s="138">
        <f>MONTH(Table1[[#This Row],[Date]])</f>
        <v>8</v>
      </c>
      <c r="R1879" s="138">
        <v>2020</v>
      </c>
      <c r="S1879" s="139">
        <f>IF(ISBLANK(Table1[[#This Row],[Date]]),"",Table1[[#This Row],[Date]]-WEEKDAY(Table1[[#This Row],[Date]],2)+1)</f>
        <v>44053</v>
      </c>
      <c r="T1879" s="140">
        <f>IF(ISBLANK(Table1[[#This Row],[Date]]),"",DATE(Table1[[#This Row],[Date_Year]],Table1[[#This Row],[Date_Month]],1))</f>
        <v>44044</v>
      </c>
    </row>
    <row r="1880" spans="2:20" ht="15.75">
      <c r="B1880" s="154">
        <v>44052</v>
      </c>
      <c r="C1880" s="119" t="s">
        <v>3178</v>
      </c>
      <c r="D1880" s="119"/>
      <c r="E1880" s="119"/>
      <c r="F1880" s="155">
        <v>-35.72</v>
      </c>
      <c r="G1880" s="133" t="str">
        <f>_xlfn.XLOOKUP(Table1[[#This Row],[Account_ID]], Accounts[ID], Accounts[Account nickname], "Unknown")</f>
        <v>Discover</v>
      </c>
      <c r="H1880" s="134" t="str">
        <f>_xlfn.XLOOKUP(Table1[[#This Row],[Account_ID]], Accounts[ID], Accounts[Account'#], "Unknown")</f>
        <v>4618</v>
      </c>
      <c r="I1880" s="135" t="str">
        <f>_xlfn.XLOOKUP(_xlfn.XLOOKUP(Table1[[#This Row],[Account]],Accounts[Account nickname],Accounts[Institution ID]),Institutions[ID],Institutions[Institution nickname],"Unknown")</f>
        <v>Discover</v>
      </c>
      <c r="J1880" s="136" t="s">
        <v>3179</v>
      </c>
      <c r="K1880" s="137" t="s">
        <v>843</v>
      </c>
      <c r="L1880" s="137" t="s">
        <v>841</v>
      </c>
      <c r="M188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8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80" s="138" t="str" cm="1">
        <f t="array" ref="O1880">IFERROR(INDEX(CategoriesTable[Category type],MATCH(Table1[[#This Row],[Category]],CategoriesTable[Category name],0),0),"")</f>
        <v/>
      </c>
      <c r="P1880" s="138">
        <v>9</v>
      </c>
      <c r="Q1880" s="138">
        <f>MONTH(Table1[[#This Row],[Date]])</f>
        <v>8</v>
      </c>
      <c r="R1880" s="138">
        <v>2020</v>
      </c>
      <c r="S1880" s="139">
        <f>IF(ISBLANK(Table1[[#This Row],[Date]]),"",Table1[[#This Row],[Date]]-WEEKDAY(Table1[[#This Row],[Date]],2)+1)</f>
        <v>44046</v>
      </c>
      <c r="T1880" s="140">
        <f>IF(ISBLANK(Table1[[#This Row],[Date]]),"",DATE(Table1[[#This Row],[Date_Year]],Table1[[#This Row],[Date_Month]],1))</f>
        <v>44044</v>
      </c>
    </row>
    <row r="1881" spans="2:20" ht="15.75">
      <c r="B1881" s="154">
        <v>44052</v>
      </c>
      <c r="C1881" s="119" t="s">
        <v>2246</v>
      </c>
      <c r="D1881" s="119"/>
      <c r="E1881" s="119"/>
      <c r="F1881" s="155">
        <v>-5.01</v>
      </c>
      <c r="G1881" s="133" t="str">
        <f>_xlfn.XLOOKUP(Table1[[#This Row],[Account_ID]], Accounts[ID], Accounts[Account nickname], "Unknown")</f>
        <v>Discover</v>
      </c>
      <c r="H1881" s="134" t="str">
        <f>_xlfn.XLOOKUP(Table1[[#This Row],[Account_ID]], Accounts[ID], Accounts[Account'#], "Unknown")</f>
        <v>4618</v>
      </c>
      <c r="I1881" s="135" t="str">
        <f>_xlfn.XLOOKUP(_xlfn.XLOOKUP(Table1[[#This Row],[Account]],Accounts[Account nickname],Accounts[Institution ID]),Institutions[ID],Institutions[Institution nickname],"Unknown")</f>
        <v>Discover</v>
      </c>
      <c r="J1881" s="136" t="s">
        <v>3180</v>
      </c>
      <c r="K1881" s="137" t="s">
        <v>843</v>
      </c>
      <c r="L1881" s="137" t="s">
        <v>841</v>
      </c>
      <c r="M188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8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81" s="138" t="str" cm="1">
        <f t="array" ref="O1881">IFERROR(INDEX(CategoriesTable[Category type],MATCH(Table1[[#This Row],[Category]],CategoriesTable[Category name],0),0),"")</f>
        <v/>
      </c>
      <c r="P1881" s="138">
        <v>9</v>
      </c>
      <c r="Q1881" s="138">
        <f>MONTH(Table1[[#This Row],[Date]])</f>
        <v>8</v>
      </c>
      <c r="R1881" s="138">
        <v>2020</v>
      </c>
      <c r="S1881" s="139">
        <f>IF(ISBLANK(Table1[[#This Row],[Date]]),"",Table1[[#This Row],[Date]]-WEEKDAY(Table1[[#This Row],[Date]],2)+1)</f>
        <v>44046</v>
      </c>
      <c r="T1881" s="140">
        <f>IF(ISBLANK(Table1[[#This Row],[Date]]),"",DATE(Table1[[#This Row],[Date_Year]],Table1[[#This Row],[Date_Month]],1))</f>
        <v>44044</v>
      </c>
    </row>
    <row r="1882" spans="2:20" ht="15.75">
      <c r="B1882" s="154">
        <v>44052</v>
      </c>
      <c r="C1882" s="119" t="s">
        <v>3053</v>
      </c>
      <c r="D1882" s="119"/>
      <c r="E1882" s="119"/>
      <c r="F1882" s="155">
        <v>-7.99</v>
      </c>
      <c r="G1882" s="133" t="str">
        <f>_xlfn.XLOOKUP(Table1[[#This Row],[Account_ID]], Accounts[ID], Accounts[Account nickname], "Unknown")</f>
        <v>Discover</v>
      </c>
      <c r="H1882" s="134" t="str">
        <f>_xlfn.XLOOKUP(Table1[[#This Row],[Account_ID]], Accounts[ID], Accounts[Account'#], "Unknown")</f>
        <v>4618</v>
      </c>
      <c r="I1882" s="135" t="str">
        <f>_xlfn.XLOOKUP(_xlfn.XLOOKUP(Table1[[#This Row],[Account]],Accounts[Account nickname],Accounts[Institution ID]),Institutions[ID],Institutions[Institution nickname],"Unknown")</f>
        <v>Discover</v>
      </c>
      <c r="J1882" s="136" t="s">
        <v>3181</v>
      </c>
      <c r="K1882" s="137" t="s">
        <v>843</v>
      </c>
      <c r="L1882" s="137" t="s">
        <v>841</v>
      </c>
      <c r="M188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8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82" s="138" t="str" cm="1">
        <f t="array" ref="O1882">IFERROR(INDEX(CategoriesTable[Category type],MATCH(Table1[[#This Row],[Category]],CategoriesTable[Category name],0),0),"")</f>
        <v/>
      </c>
      <c r="P1882" s="138">
        <v>9</v>
      </c>
      <c r="Q1882" s="138">
        <f>MONTH(Table1[[#This Row],[Date]])</f>
        <v>8</v>
      </c>
      <c r="R1882" s="138">
        <v>2020</v>
      </c>
      <c r="S1882" s="139">
        <f>IF(ISBLANK(Table1[[#This Row],[Date]]),"",Table1[[#This Row],[Date]]-WEEKDAY(Table1[[#This Row],[Date]],2)+1)</f>
        <v>44046</v>
      </c>
      <c r="T1882" s="140">
        <f>IF(ISBLANK(Table1[[#This Row],[Date]]),"",DATE(Table1[[#This Row],[Date_Year]],Table1[[#This Row],[Date_Month]],1))</f>
        <v>44044</v>
      </c>
    </row>
    <row r="1883" spans="2:20" ht="15.75">
      <c r="B1883" s="154">
        <v>44052</v>
      </c>
      <c r="C1883" s="119" t="s">
        <v>798</v>
      </c>
      <c r="D1883" s="119"/>
      <c r="E1883" s="119"/>
      <c r="F1883" s="155">
        <v>-35.43</v>
      </c>
      <c r="G1883" s="133" t="str">
        <f>_xlfn.XLOOKUP(Table1[[#This Row],[Account_ID]], Accounts[ID], Accounts[Account nickname], "Unknown")</f>
        <v>Discover</v>
      </c>
      <c r="H1883" s="134" t="str">
        <f>_xlfn.XLOOKUP(Table1[[#This Row],[Account_ID]], Accounts[ID], Accounts[Account'#], "Unknown")</f>
        <v>4618</v>
      </c>
      <c r="I1883" s="135" t="str">
        <f>_xlfn.XLOOKUP(_xlfn.XLOOKUP(Table1[[#This Row],[Account]],Accounts[Account nickname],Accounts[Institution ID]),Institutions[ID],Institutions[Institution nickname],"Unknown")</f>
        <v>Discover</v>
      </c>
      <c r="J1883" s="136" t="s">
        <v>3182</v>
      </c>
      <c r="K1883" s="137" t="s">
        <v>843</v>
      </c>
      <c r="L1883" s="137" t="s">
        <v>841</v>
      </c>
      <c r="M188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8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83" s="138" t="str" cm="1">
        <f t="array" ref="O1883">IFERROR(INDEX(CategoriesTable[Category type],MATCH(Table1[[#This Row],[Category]],CategoriesTable[Category name],0),0),"")</f>
        <v/>
      </c>
      <c r="P1883" s="138">
        <v>9</v>
      </c>
      <c r="Q1883" s="138">
        <f>MONTH(Table1[[#This Row],[Date]])</f>
        <v>8</v>
      </c>
      <c r="R1883" s="138">
        <v>2020</v>
      </c>
      <c r="S1883" s="139">
        <f>IF(ISBLANK(Table1[[#This Row],[Date]]),"",Table1[[#This Row],[Date]]-WEEKDAY(Table1[[#This Row],[Date]],2)+1)</f>
        <v>44046</v>
      </c>
      <c r="T1883" s="140">
        <f>IF(ISBLANK(Table1[[#This Row],[Date]]),"",DATE(Table1[[#This Row],[Date_Year]],Table1[[#This Row],[Date_Month]],1))</f>
        <v>44044</v>
      </c>
    </row>
    <row r="1884" spans="2:20" ht="15.75">
      <c r="B1884" s="154">
        <v>44051</v>
      </c>
      <c r="C1884" s="119" t="s">
        <v>3183</v>
      </c>
      <c r="D1884" s="119"/>
      <c r="E1884" s="119"/>
      <c r="F1884" s="155">
        <v>-16.91</v>
      </c>
      <c r="G1884" s="133" t="str">
        <f>_xlfn.XLOOKUP(Table1[[#This Row],[Account_ID]], Accounts[ID], Accounts[Account nickname], "Unknown")</f>
        <v>Discover</v>
      </c>
      <c r="H1884" s="134" t="str">
        <f>_xlfn.XLOOKUP(Table1[[#This Row],[Account_ID]], Accounts[ID], Accounts[Account'#], "Unknown")</f>
        <v>4618</v>
      </c>
      <c r="I1884" s="135" t="str">
        <f>_xlfn.XLOOKUP(_xlfn.XLOOKUP(Table1[[#This Row],[Account]],Accounts[Account nickname],Accounts[Institution ID]),Institutions[ID],Institutions[Institution nickname],"Unknown")</f>
        <v>Discover</v>
      </c>
      <c r="J1884" s="136" t="s">
        <v>3184</v>
      </c>
      <c r="K1884" s="137" t="s">
        <v>843</v>
      </c>
      <c r="L1884" s="137" t="s">
        <v>841</v>
      </c>
      <c r="M188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8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84" s="138" t="str" cm="1">
        <f t="array" ref="O1884">IFERROR(INDEX(CategoriesTable[Category type],MATCH(Table1[[#This Row],[Category]],CategoriesTable[Category name],0),0),"")</f>
        <v/>
      </c>
      <c r="P1884" s="138">
        <v>8</v>
      </c>
      <c r="Q1884" s="138">
        <f>MONTH(Table1[[#This Row],[Date]])</f>
        <v>8</v>
      </c>
      <c r="R1884" s="138">
        <v>2020</v>
      </c>
      <c r="S1884" s="139">
        <f>IF(ISBLANK(Table1[[#This Row],[Date]]),"",Table1[[#This Row],[Date]]-WEEKDAY(Table1[[#This Row],[Date]],2)+1)</f>
        <v>44046</v>
      </c>
      <c r="T1884" s="140">
        <f>IF(ISBLANK(Table1[[#This Row],[Date]]),"",DATE(Table1[[#This Row],[Date_Year]],Table1[[#This Row],[Date_Month]],1))</f>
        <v>44044</v>
      </c>
    </row>
    <row r="1885" spans="2:20" ht="15.75">
      <c r="B1885" s="154">
        <v>44051</v>
      </c>
      <c r="C1885" s="119" t="s">
        <v>702</v>
      </c>
      <c r="D1885" s="119"/>
      <c r="E1885" s="119"/>
      <c r="F1885" s="155">
        <v>-8.3000000000000007</v>
      </c>
      <c r="G1885" s="133" t="str">
        <f>_xlfn.XLOOKUP(Table1[[#This Row],[Account_ID]], Accounts[ID], Accounts[Account nickname], "Unknown")</f>
        <v>Discover</v>
      </c>
      <c r="H1885" s="134" t="str">
        <f>_xlfn.XLOOKUP(Table1[[#This Row],[Account_ID]], Accounts[ID], Accounts[Account'#], "Unknown")</f>
        <v>4618</v>
      </c>
      <c r="I1885" s="135" t="str">
        <f>_xlfn.XLOOKUP(_xlfn.XLOOKUP(Table1[[#This Row],[Account]],Accounts[Account nickname],Accounts[Institution ID]),Institutions[ID],Institutions[Institution nickname],"Unknown")</f>
        <v>Discover</v>
      </c>
      <c r="J1885" s="136" t="s">
        <v>3185</v>
      </c>
      <c r="K1885" s="137" t="s">
        <v>843</v>
      </c>
      <c r="L1885" s="137" t="s">
        <v>841</v>
      </c>
      <c r="M188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8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85" s="138" t="str" cm="1">
        <f t="array" ref="O1885">IFERROR(INDEX(CategoriesTable[Category type],MATCH(Table1[[#This Row],[Category]],CategoriesTable[Category name],0),0),"")</f>
        <v/>
      </c>
      <c r="P1885" s="138">
        <v>8</v>
      </c>
      <c r="Q1885" s="138">
        <f>MONTH(Table1[[#This Row],[Date]])</f>
        <v>8</v>
      </c>
      <c r="R1885" s="138">
        <v>2020</v>
      </c>
      <c r="S1885" s="139">
        <f>IF(ISBLANK(Table1[[#This Row],[Date]]),"",Table1[[#This Row],[Date]]-WEEKDAY(Table1[[#This Row],[Date]],2)+1)</f>
        <v>44046</v>
      </c>
      <c r="T1885" s="140">
        <f>IF(ISBLANK(Table1[[#This Row],[Date]]),"",DATE(Table1[[#This Row],[Date_Year]],Table1[[#This Row],[Date_Month]],1))</f>
        <v>44044</v>
      </c>
    </row>
    <row r="1886" spans="2:20" ht="15.75">
      <c r="B1886" s="154">
        <v>44050</v>
      </c>
      <c r="C1886" s="119" t="s">
        <v>753</v>
      </c>
      <c r="D1886" s="119"/>
      <c r="E1886" s="119"/>
      <c r="F1886" s="155">
        <v>300</v>
      </c>
      <c r="G1886" s="133" t="str">
        <f>_xlfn.XLOOKUP(Table1[[#This Row],[Account_ID]], Accounts[ID], Accounts[Account nickname], "Unknown")</f>
        <v>WF</v>
      </c>
      <c r="H1886" s="134" t="str">
        <f>_xlfn.XLOOKUP(Table1[[#This Row],[Account_ID]], Accounts[ID], Accounts[Account'#], "Unknown")</f>
        <v>4636</v>
      </c>
      <c r="I1886" s="135" t="str">
        <f>_xlfn.XLOOKUP(_xlfn.XLOOKUP(Table1[[#This Row],[Account]],Accounts[Account nickname],Accounts[Institution ID]),Institutions[ID],Institutions[Institution nickname],"Unknown")</f>
        <v>Wells Fargo</v>
      </c>
      <c r="J1886" s="136" t="s">
        <v>1348</v>
      </c>
      <c r="K1886" s="137" t="s">
        <v>808</v>
      </c>
      <c r="L1886" s="137" t="s">
        <v>807</v>
      </c>
      <c r="M188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8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86" s="138" t="str" cm="1">
        <f t="array" ref="O1886">IFERROR(INDEX(CategoriesTable[Category type],MATCH(Table1[[#This Row],[Category]],CategoriesTable[Category name],0),0),"")</f>
        <v/>
      </c>
      <c r="P1886" s="138">
        <v>7</v>
      </c>
      <c r="Q1886" s="138">
        <f>MONTH(Table1[[#This Row],[Date]])</f>
        <v>8</v>
      </c>
      <c r="R1886" s="138">
        <v>2020</v>
      </c>
      <c r="S1886" s="139">
        <f>IF(ISBLANK(Table1[[#This Row],[Date]]),"",Table1[[#This Row],[Date]]-WEEKDAY(Table1[[#This Row],[Date]],2)+1)</f>
        <v>44046</v>
      </c>
      <c r="T1886" s="140">
        <f>IF(ISBLANK(Table1[[#This Row],[Date]]),"",DATE(Table1[[#This Row],[Date_Year]],Table1[[#This Row],[Date_Month]],1))</f>
        <v>44044</v>
      </c>
    </row>
    <row r="1887" spans="2:20" ht="15.75">
      <c r="B1887" s="154">
        <v>44049</v>
      </c>
      <c r="C1887" s="119" t="s">
        <v>705</v>
      </c>
      <c r="D1887" s="119"/>
      <c r="E1887" s="119"/>
      <c r="F1887" s="155">
        <v>-14.98</v>
      </c>
      <c r="G1887" s="133" t="str">
        <f>_xlfn.XLOOKUP(Table1[[#This Row],[Account_ID]], Accounts[ID], Accounts[Account nickname], "Unknown")</f>
        <v>Discover</v>
      </c>
      <c r="H1887" s="134" t="str">
        <f>_xlfn.XLOOKUP(Table1[[#This Row],[Account_ID]], Accounts[ID], Accounts[Account'#], "Unknown")</f>
        <v>4618</v>
      </c>
      <c r="I1887" s="135" t="str">
        <f>_xlfn.XLOOKUP(_xlfn.XLOOKUP(Table1[[#This Row],[Account]],Accounts[Account nickname],Accounts[Institution ID]),Institutions[ID],Institutions[Institution nickname],"Unknown")</f>
        <v>Discover</v>
      </c>
      <c r="J1887" s="136" t="s">
        <v>3186</v>
      </c>
      <c r="K1887" s="137" t="s">
        <v>843</v>
      </c>
      <c r="L1887" s="137" t="s">
        <v>841</v>
      </c>
      <c r="M188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8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87" s="138" t="str" cm="1">
        <f t="array" ref="O1887">IFERROR(INDEX(CategoriesTable[Category type],MATCH(Table1[[#This Row],[Category]],CategoriesTable[Category name],0),0),"")</f>
        <v/>
      </c>
      <c r="P1887" s="138">
        <v>6</v>
      </c>
      <c r="Q1887" s="138">
        <f>MONTH(Table1[[#This Row],[Date]])</f>
        <v>8</v>
      </c>
      <c r="R1887" s="138">
        <v>2020</v>
      </c>
      <c r="S1887" s="139">
        <f>IF(ISBLANK(Table1[[#This Row],[Date]]),"",Table1[[#This Row],[Date]]-WEEKDAY(Table1[[#This Row],[Date]],2)+1)</f>
        <v>44046</v>
      </c>
      <c r="T1887" s="140">
        <f>IF(ISBLANK(Table1[[#This Row],[Date]]),"",DATE(Table1[[#This Row],[Date_Year]],Table1[[#This Row],[Date_Month]],1))</f>
        <v>44044</v>
      </c>
    </row>
    <row r="1888" spans="2:20" ht="15.75">
      <c r="B1888" s="154">
        <v>44049</v>
      </c>
      <c r="C1888" s="119" t="s">
        <v>797</v>
      </c>
      <c r="D1888" s="119"/>
      <c r="E1888" s="119"/>
      <c r="F1888" s="155">
        <v>-4.99</v>
      </c>
      <c r="G1888" s="133" t="str">
        <f>_xlfn.XLOOKUP(Table1[[#This Row],[Account_ID]], Accounts[ID], Accounts[Account nickname], "Unknown")</f>
        <v>WF</v>
      </c>
      <c r="H1888" s="134" t="str">
        <f>_xlfn.XLOOKUP(Table1[[#This Row],[Account_ID]], Accounts[ID], Accounts[Account'#], "Unknown")</f>
        <v>4636</v>
      </c>
      <c r="I1888" s="135" t="str">
        <f>_xlfn.XLOOKUP(_xlfn.XLOOKUP(Table1[[#This Row],[Account]],Accounts[Account nickname],Accounts[Institution ID]),Institutions[ID],Institutions[Institution nickname],"Unknown")</f>
        <v>Wells Fargo</v>
      </c>
      <c r="J1888" s="136" t="s">
        <v>1349</v>
      </c>
      <c r="K1888" s="137" t="s">
        <v>808</v>
      </c>
      <c r="L1888" s="137" t="s">
        <v>807</v>
      </c>
      <c r="M188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8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88" s="138" t="str" cm="1">
        <f t="array" ref="O1888">IFERROR(INDEX(CategoriesTable[Category type],MATCH(Table1[[#This Row],[Category]],CategoriesTable[Category name],0),0),"")</f>
        <v/>
      </c>
      <c r="P1888" s="138">
        <v>6</v>
      </c>
      <c r="Q1888" s="138">
        <f>MONTH(Table1[[#This Row],[Date]])</f>
        <v>8</v>
      </c>
      <c r="R1888" s="138">
        <v>2020</v>
      </c>
      <c r="S1888" s="139">
        <f>IF(ISBLANK(Table1[[#This Row],[Date]]),"",Table1[[#This Row],[Date]]-WEEKDAY(Table1[[#This Row],[Date]],2)+1)</f>
        <v>44046</v>
      </c>
      <c r="T1888" s="140">
        <f>IF(ISBLANK(Table1[[#This Row],[Date]]),"",DATE(Table1[[#This Row],[Date_Year]],Table1[[#This Row],[Date_Month]],1))</f>
        <v>44044</v>
      </c>
    </row>
    <row r="1889" spans="2:20" ht="15.75">
      <c r="B1889" s="154">
        <v>44049</v>
      </c>
      <c r="C1889" s="119" t="s">
        <v>724</v>
      </c>
      <c r="D1889" s="119"/>
      <c r="E1889" s="119"/>
      <c r="F1889" s="155">
        <v>-57.36</v>
      </c>
      <c r="G1889" s="133" t="str">
        <f>_xlfn.XLOOKUP(Table1[[#This Row],[Account_ID]], Accounts[ID], Accounts[Account nickname], "Unknown")</f>
        <v>Discover</v>
      </c>
      <c r="H1889" s="134" t="str">
        <f>_xlfn.XLOOKUP(Table1[[#This Row],[Account_ID]], Accounts[ID], Accounts[Account'#], "Unknown")</f>
        <v>4618</v>
      </c>
      <c r="I1889" s="135" t="str">
        <f>_xlfn.XLOOKUP(_xlfn.XLOOKUP(Table1[[#This Row],[Account]],Accounts[Account nickname],Accounts[Institution ID]),Institutions[ID],Institutions[Institution nickname],"Unknown")</f>
        <v>Discover</v>
      </c>
      <c r="J1889" s="136" t="s">
        <v>3187</v>
      </c>
      <c r="K1889" s="137" t="s">
        <v>843</v>
      </c>
      <c r="L1889" s="137" t="s">
        <v>841</v>
      </c>
      <c r="M188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8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89" s="138" t="str" cm="1">
        <f t="array" ref="O1889">IFERROR(INDEX(CategoriesTable[Category type],MATCH(Table1[[#This Row],[Category]],CategoriesTable[Category name],0),0),"")</f>
        <v/>
      </c>
      <c r="P1889" s="138">
        <v>6</v>
      </c>
      <c r="Q1889" s="138">
        <f>MONTH(Table1[[#This Row],[Date]])</f>
        <v>8</v>
      </c>
      <c r="R1889" s="138">
        <v>2020</v>
      </c>
      <c r="S1889" s="139">
        <f>IF(ISBLANK(Table1[[#This Row],[Date]]),"",Table1[[#This Row],[Date]]-WEEKDAY(Table1[[#This Row],[Date]],2)+1)</f>
        <v>44046</v>
      </c>
      <c r="T1889" s="140">
        <f>IF(ISBLANK(Table1[[#This Row],[Date]]),"",DATE(Table1[[#This Row],[Date_Year]],Table1[[#This Row],[Date_Month]],1))</f>
        <v>44044</v>
      </c>
    </row>
    <row r="1890" spans="2:20" ht="15.75">
      <c r="B1890" s="154">
        <v>44048</v>
      </c>
      <c r="C1890" s="119" t="s">
        <v>776</v>
      </c>
      <c r="D1890" s="119"/>
      <c r="E1890" s="119"/>
      <c r="F1890" s="155">
        <v>-300</v>
      </c>
      <c r="G1890" s="133" t="str">
        <f>_xlfn.XLOOKUP(Table1[[#This Row],[Account_ID]], Accounts[ID], Accounts[Account nickname], "Unknown")</f>
        <v>WF</v>
      </c>
      <c r="H1890" s="134" t="str">
        <f>_xlfn.XLOOKUP(Table1[[#This Row],[Account_ID]], Accounts[ID], Accounts[Account'#], "Unknown")</f>
        <v>4636</v>
      </c>
      <c r="I1890" s="135" t="str">
        <f>_xlfn.XLOOKUP(_xlfn.XLOOKUP(Table1[[#This Row],[Account]],Accounts[Account nickname],Accounts[Institution ID]),Institutions[ID],Institutions[Institution nickname],"Unknown")</f>
        <v>Wells Fargo</v>
      </c>
      <c r="J1890" s="136" t="s">
        <v>1350</v>
      </c>
      <c r="K1890" s="137" t="s">
        <v>808</v>
      </c>
      <c r="L1890" s="137" t="s">
        <v>807</v>
      </c>
      <c r="M189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9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90" s="138" t="str" cm="1">
        <f t="array" ref="O1890">IFERROR(INDEX(CategoriesTable[Category type],MATCH(Table1[[#This Row],[Category]],CategoriesTable[Category name],0),0),"")</f>
        <v/>
      </c>
      <c r="P1890" s="138">
        <v>5</v>
      </c>
      <c r="Q1890" s="138">
        <f>MONTH(Table1[[#This Row],[Date]])</f>
        <v>8</v>
      </c>
      <c r="R1890" s="138">
        <v>2020</v>
      </c>
      <c r="S1890" s="139">
        <f>IF(ISBLANK(Table1[[#This Row],[Date]]),"",Table1[[#This Row],[Date]]-WEEKDAY(Table1[[#This Row],[Date]],2)+1)</f>
        <v>44046</v>
      </c>
      <c r="T1890" s="140">
        <f>IF(ISBLANK(Table1[[#This Row],[Date]]),"",DATE(Table1[[#This Row],[Date_Year]],Table1[[#This Row],[Date_Month]],1))</f>
        <v>44044</v>
      </c>
    </row>
    <row r="1891" spans="2:20" ht="15.75">
      <c r="B1891" s="154">
        <v>44048</v>
      </c>
      <c r="C1891" s="119" t="s">
        <v>1618</v>
      </c>
      <c r="D1891" s="119"/>
      <c r="E1891" s="119"/>
      <c r="F1891" s="155">
        <v>-39.950000000000003</v>
      </c>
      <c r="G1891" s="133" t="str">
        <f>_xlfn.XLOOKUP(Table1[[#This Row],[Account_ID]], Accounts[ID], Accounts[Account nickname], "Unknown")</f>
        <v>Discover</v>
      </c>
      <c r="H1891" s="134" t="str">
        <f>_xlfn.XLOOKUP(Table1[[#This Row],[Account_ID]], Accounts[ID], Accounts[Account'#], "Unknown")</f>
        <v>4618</v>
      </c>
      <c r="I1891" s="135" t="str">
        <f>_xlfn.XLOOKUP(_xlfn.XLOOKUP(Table1[[#This Row],[Account]],Accounts[Account nickname],Accounts[Institution ID]),Institutions[ID],Institutions[Institution nickname],"Unknown")</f>
        <v>Discover</v>
      </c>
      <c r="J1891" s="136" t="s">
        <v>3188</v>
      </c>
      <c r="K1891" s="137" t="s">
        <v>843</v>
      </c>
      <c r="L1891" s="137" t="s">
        <v>841</v>
      </c>
      <c r="M189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9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91" s="138" t="str" cm="1">
        <f t="array" ref="O1891">IFERROR(INDEX(CategoriesTable[Category type],MATCH(Table1[[#This Row],[Category]],CategoriesTable[Category name],0),0),"")</f>
        <v/>
      </c>
      <c r="P1891" s="138">
        <v>5</v>
      </c>
      <c r="Q1891" s="138">
        <f>MONTH(Table1[[#This Row],[Date]])</f>
        <v>8</v>
      </c>
      <c r="R1891" s="138">
        <v>2020</v>
      </c>
      <c r="S1891" s="139">
        <f>IF(ISBLANK(Table1[[#This Row],[Date]]),"",Table1[[#This Row],[Date]]-WEEKDAY(Table1[[#This Row],[Date]],2)+1)</f>
        <v>44046</v>
      </c>
      <c r="T1891" s="140">
        <f>IF(ISBLANK(Table1[[#This Row],[Date]]),"",DATE(Table1[[#This Row],[Date_Year]],Table1[[#This Row],[Date_Month]],1))</f>
        <v>44044</v>
      </c>
    </row>
    <row r="1892" spans="2:20" ht="15.75">
      <c r="B1892" s="154">
        <v>44047</v>
      </c>
      <c r="C1892" s="119" t="s">
        <v>778</v>
      </c>
      <c r="D1892" s="119"/>
      <c r="E1892" s="119"/>
      <c r="F1892" s="155">
        <v>210</v>
      </c>
      <c r="G1892" s="133" t="str">
        <f>_xlfn.XLOOKUP(Table1[[#This Row],[Account_ID]], Accounts[ID], Accounts[Account nickname], "Unknown")</f>
        <v>WF</v>
      </c>
      <c r="H1892" s="134" t="str">
        <f>_xlfn.XLOOKUP(Table1[[#This Row],[Account_ID]], Accounts[ID], Accounts[Account'#], "Unknown")</f>
        <v>4636</v>
      </c>
      <c r="I1892" s="135" t="str">
        <f>_xlfn.XLOOKUP(_xlfn.XLOOKUP(Table1[[#This Row],[Account]],Accounts[Account nickname],Accounts[Institution ID]),Institutions[ID],Institutions[Institution nickname],"Unknown")</f>
        <v>Wells Fargo</v>
      </c>
      <c r="J1892" s="152" t="s">
        <v>1351</v>
      </c>
      <c r="K1892" s="137" t="s">
        <v>808</v>
      </c>
      <c r="L1892" s="137" t="s">
        <v>807</v>
      </c>
      <c r="M189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9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92" s="138" t="str" cm="1">
        <f t="array" ref="O1892">IFERROR(INDEX(CategoriesTable[Category type],MATCH(Table1[[#This Row],[Category]],CategoriesTable[Category name],0),0),"")</f>
        <v/>
      </c>
      <c r="P1892" s="138">
        <v>4</v>
      </c>
      <c r="Q1892" s="138">
        <f>MONTH(Table1[[#This Row],[Date]])</f>
        <v>8</v>
      </c>
      <c r="R1892" s="138">
        <v>2020</v>
      </c>
      <c r="S1892" s="139">
        <f>IF(ISBLANK(Table1[[#This Row],[Date]]),"",Table1[[#This Row],[Date]]-WEEKDAY(Table1[[#This Row],[Date]],2)+1)</f>
        <v>44046</v>
      </c>
      <c r="T1892" s="140">
        <f>IF(ISBLANK(Table1[[#This Row],[Date]]),"",DATE(Table1[[#This Row],[Date_Year]],Table1[[#This Row],[Date_Month]],1))</f>
        <v>44044</v>
      </c>
    </row>
    <row r="1893" spans="2:20" ht="15.75">
      <c r="B1893" s="154">
        <v>44046</v>
      </c>
      <c r="C1893" s="119" t="s">
        <v>3189</v>
      </c>
      <c r="D1893" s="119"/>
      <c r="E1893" s="119"/>
      <c r="F1893" s="155">
        <v>-63.17</v>
      </c>
      <c r="G1893" s="133" t="str">
        <f>_xlfn.XLOOKUP(Table1[[#This Row],[Account_ID]], Accounts[ID], Accounts[Account nickname], "Unknown")</f>
        <v>Discover</v>
      </c>
      <c r="H1893" s="134" t="str">
        <f>_xlfn.XLOOKUP(Table1[[#This Row],[Account_ID]], Accounts[ID], Accounts[Account'#], "Unknown")</f>
        <v>4618</v>
      </c>
      <c r="I1893" s="135" t="str">
        <f>_xlfn.XLOOKUP(_xlfn.XLOOKUP(Table1[[#This Row],[Account]],Accounts[Account nickname],Accounts[Institution ID]),Institutions[ID],Institutions[Institution nickname],"Unknown")</f>
        <v>Discover</v>
      </c>
      <c r="J1893" s="136" t="s">
        <v>3190</v>
      </c>
      <c r="K1893" s="137" t="s">
        <v>843</v>
      </c>
      <c r="L1893" s="137" t="s">
        <v>841</v>
      </c>
      <c r="M189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9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93" s="138" t="str" cm="1">
        <f t="array" ref="O1893">IFERROR(INDEX(CategoriesTable[Category type],MATCH(Table1[[#This Row],[Category]],CategoriesTable[Category name],0),0),"")</f>
        <v/>
      </c>
      <c r="P1893" s="138">
        <v>3</v>
      </c>
      <c r="Q1893" s="138">
        <f>MONTH(Table1[[#This Row],[Date]])</f>
        <v>8</v>
      </c>
      <c r="R1893" s="138">
        <v>2020</v>
      </c>
      <c r="S1893" s="139">
        <f>IF(ISBLANK(Table1[[#This Row],[Date]]),"",Table1[[#This Row],[Date]]-WEEKDAY(Table1[[#This Row],[Date]],2)+1)</f>
        <v>44046</v>
      </c>
      <c r="T1893" s="140">
        <f>IF(ISBLANK(Table1[[#This Row],[Date]]),"",DATE(Table1[[#This Row],[Date_Year]],Table1[[#This Row],[Date_Month]],1))</f>
        <v>44044</v>
      </c>
    </row>
    <row r="1894" spans="2:20" ht="15.75">
      <c r="B1894" s="154">
        <v>44046</v>
      </c>
      <c r="C1894" s="119" t="s">
        <v>678</v>
      </c>
      <c r="D1894" s="119"/>
      <c r="E1894" s="119"/>
      <c r="F1894" s="155">
        <v>-407.24</v>
      </c>
      <c r="G1894" s="133" t="str">
        <f>_xlfn.XLOOKUP(Table1[[#This Row],[Account_ID]], Accounts[ID], Accounts[Account nickname], "Unknown")</f>
        <v>WF</v>
      </c>
      <c r="H1894" s="134" t="str">
        <f>_xlfn.XLOOKUP(Table1[[#This Row],[Account_ID]], Accounts[ID], Accounts[Account'#], "Unknown")</f>
        <v>4636</v>
      </c>
      <c r="I1894" s="135" t="str">
        <f>_xlfn.XLOOKUP(_xlfn.XLOOKUP(Table1[[#This Row],[Account]],Accounts[Account nickname],Accounts[Institution ID]),Institutions[ID],Institutions[Institution nickname],"Unknown")</f>
        <v>Wells Fargo</v>
      </c>
      <c r="J1894" s="136" t="s">
        <v>1352</v>
      </c>
      <c r="K1894" s="137" t="s">
        <v>808</v>
      </c>
      <c r="L1894" s="137" t="s">
        <v>807</v>
      </c>
      <c r="M189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9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94" s="138" t="str" cm="1">
        <f t="array" ref="O1894">IFERROR(INDEX(CategoriesTable[Category type],MATCH(Table1[[#This Row],[Category]],CategoriesTable[Category name],0),0),"")</f>
        <v/>
      </c>
      <c r="P1894" s="138">
        <v>3</v>
      </c>
      <c r="Q1894" s="138">
        <f>MONTH(Table1[[#This Row],[Date]])</f>
        <v>8</v>
      </c>
      <c r="R1894" s="138">
        <v>2020</v>
      </c>
      <c r="S1894" s="139">
        <f>IF(ISBLANK(Table1[[#This Row],[Date]]),"",Table1[[#This Row],[Date]]-WEEKDAY(Table1[[#This Row],[Date]],2)+1)</f>
        <v>44046</v>
      </c>
      <c r="T1894" s="140">
        <f>IF(ISBLANK(Table1[[#This Row],[Date]]),"",DATE(Table1[[#This Row],[Date_Year]],Table1[[#This Row],[Date_Month]],1))</f>
        <v>44044</v>
      </c>
    </row>
    <row r="1895" spans="2:20" ht="15.75">
      <c r="B1895" s="154">
        <v>44045</v>
      </c>
      <c r="C1895" s="119" t="s">
        <v>718</v>
      </c>
      <c r="D1895" s="119"/>
      <c r="E1895" s="119"/>
      <c r="F1895" s="155">
        <v>-122.19</v>
      </c>
      <c r="G1895" s="133" t="str">
        <f>_xlfn.XLOOKUP(Table1[[#This Row],[Account_ID]], Accounts[ID], Accounts[Account nickname], "Unknown")</f>
        <v>Discover</v>
      </c>
      <c r="H1895" s="134" t="str">
        <f>_xlfn.XLOOKUP(Table1[[#This Row],[Account_ID]], Accounts[ID], Accounts[Account'#], "Unknown")</f>
        <v>4618</v>
      </c>
      <c r="I1895" s="135" t="str">
        <f>_xlfn.XLOOKUP(_xlfn.XLOOKUP(Table1[[#This Row],[Account]],Accounts[Account nickname],Accounts[Institution ID]),Institutions[ID],Institutions[Institution nickname],"Unknown")</f>
        <v>Discover</v>
      </c>
      <c r="J1895" s="136" t="s">
        <v>3191</v>
      </c>
      <c r="K1895" s="137" t="s">
        <v>843</v>
      </c>
      <c r="L1895" s="137" t="s">
        <v>841</v>
      </c>
      <c r="M189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9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95" s="138" t="str" cm="1">
        <f t="array" ref="O1895">IFERROR(INDEX(CategoriesTable[Category type],MATCH(Table1[[#This Row],[Category]],CategoriesTable[Category name],0),0),"")</f>
        <v/>
      </c>
      <c r="P1895" s="138">
        <v>2</v>
      </c>
      <c r="Q1895" s="138">
        <f>MONTH(Table1[[#This Row],[Date]])</f>
        <v>8</v>
      </c>
      <c r="R1895" s="138">
        <v>2020</v>
      </c>
      <c r="S1895" s="139">
        <f>IF(ISBLANK(Table1[[#This Row],[Date]]),"",Table1[[#This Row],[Date]]-WEEKDAY(Table1[[#This Row],[Date]],2)+1)</f>
        <v>44039</v>
      </c>
      <c r="T1895" s="140">
        <f>IF(ISBLANK(Table1[[#This Row],[Date]]),"",DATE(Table1[[#This Row],[Date_Year]],Table1[[#This Row],[Date_Month]],1))</f>
        <v>44044</v>
      </c>
    </row>
    <row r="1896" spans="2:20" ht="15.75">
      <c r="B1896" s="154">
        <v>44044</v>
      </c>
      <c r="C1896" s="119" t="s">
        <v>697</v>
      </c>
      <c r="D1896" s="119"/>
      <c r="E1896" s="119"/>
      <c r="F1896" s="155">
        <v>-12.99</v>
      </c>
      <c r="G1896" s="133" t="str">
        <f>_xlfn.XLOOKUP(Table1[[#This Row],[Account_ID]], Accounts[ID], Accounts[Account nickname], "Unknown")</f>
        <v>Discover</v>
      </c>
      <c r="H1896" s="134" t="str">
        <f>_xlfn.XLOOKUP(Table1[[#This Row],[Account_ID]], Accounts[ID], Accounts[Account'#], "Unknown")</f>
        <v>4618</v>
      </c>
      <c r="I1896" s="135" t="str">
        <f>_xlfn.XLOOKUP(_xlfn.XLOOKUP(Table1[[#This Row],[Account]],Accounts[Account nickname],Accounts[Institution ID]),Institutions[ID],Institutions[Institution nickname],"Unknown")</f>
        <v>Discover</v>
      </c>
      <c r="J1896" s="136" t="s">
        <v>3192</v>
      </c>
      <c r="K1896" s="137" t="s">
        <v>843</v>
      </c>
      <c r="L1896" s="137" t="s">
        <v>841</v>
      </c>
      <c r="M189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9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96" s="138" t="str" cm="1">
        <f t="array" ref="O1896">IFERROR(INDEX(CategoriesTable[Category type],MATCH(Table1[[#This Row],[Category]],CategoriesTable[Category name],0),0),"")</f>
        <v/>
      </c>
      <c r="P1896" s="138">
        <v>1</v>
      </c>
      <c r="Q1896" s="138">
        <f>MONTH(Table1[[#This Row],[Date]])</f>
        <v>8</v>
      </c>
      <c r="R1896" s="138">
        <v>2020</v>
      </c>
      <c r="S1896" s="139">
        <f>IF(ISBLANK(Table1[[#This Row],[Date]]),"",Table1[[#This Row],[Date]]-WEEKDAY(Table1[[#This Row],[Date]],2)+1)</f>
        <v>44039</v>
      </c>
      <c r="T1896" s="140">
        <f>IF(ISBLANK(Table1[[#This Row],[Date]]),"",DATE(Table1[[#This Row],[Date_Year]],Table1[[#This Row],[Date_Month]],1))</f>
        <v>44044</v>
      </c>
    </row>
    <row r="1897" spans="2:20" ht="15.75">
      <c r="B1897" s="154">
        <v>44043</v>
      </c>
      <c r="C1897" s="119" t="s">
        <v>845</v>
      </c>
      <c r="D1897" s="119"/>
      <c r="E1897" s="119"/>
      <c r="F1897" s="155">
        <v>620.02</v>
      </c>
      <c r="G1897" s="133" t="str">
        <f>_xlfn.XLOOKUP(Table1[[#This Row],[Account_ID]], Accounts[ID], Accounts[Account nickname], "Unknown")</f>
        <v>Discover</v>
      </c>
      <c r="H1897" s="134" t="str">
        <f>_xlfn.XLOOKUP(Table1[[#This Row],[Account_ID]], Accounts[ID], Accounts[Account'#], "Unknown")</f>
        <v>4618</v>
      </c>
      <c r="I1897" s="135" t="str">
        <f>_xlfn.XLOOKUP(_xlfn.XLOOKUP(Table1[[#This Row],[Account]],Accounts[Account nickname],Accounts[Institution ID]),Institutions[ID],Institutions[Institution nickname],"Unknown")</f>
        <v>Discover</v>
      </c>
      <c r="J1897" s="136" t="s">
        <v>3193</v>
      </c>
      <c r="K1897" s="137" t="s">
        <v>843</v>
      </c>
      <c r="L1897" s="137" t="s">
        <v>841</v>
      </c>
      <c r="M189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9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97" s="138" t="str" cm="1">
        <f t="array" ref="O1897">IFERROR(INDEX(CategoriesTable[Category type],MATCH(Table1[[#This Row],[Category]],CategoriesTable[Category name],0),0),"")</f>
        <v/>
      </c>
      <c r="P1897" s="138">
        <v>31</v>
      </c>
      <c r="Q1897" s="138">
        <f>MONTH(Table1[[#This Row],[Date]])</f>
        <v>7</v>
      </c>
      <c r="R1897" s="138">
        <v>2020</v>
      </c>
      <c r="S1897" s="139">
        <f>IF(ISBLANK(Table1[[#This Row],[Date]]),"",Table1[[#This Row],[Date]]-WEEKDAY(Table1[[#This Row],[Date]],2)+1)</f>
        <v>44039</v>
      </c>
      <c r="T1897" s="140">
        <f>IF(ISBLANK(Table1[[#This Row],[Date]]),"",DATE(Table1[[#This Row],[Date_Year]],Table1[[#This Row],[Date_Month]],1))</f>
        <v>44013</v>
      </c>
    </row>
    <row r="1898" spans="2:20" ht="15.75">
      <c r="B1898" s="154">
        <v>44043</v>
      </c>
      <c r="C1898" s="119" t="s">
        <v>751</v>
      </c>
      <c r="D1898" s="119"/>
      <c r="E1898" s="119"/>
      <c r="F1898" s="155">
        <v>1450.14</v>
      </c>
      <c r="G1898" s="133" t="str">
        <f>_xlfn.XLOOKUP(Table1[[#This Row],[Account_ID]], Accounts[ID], Accounts[Account nickname], "Unknown")</f>
        <v>WF</v>
      </c>
      <c r="H1898" s="134" t="str">
        <f>_xlfn.XLOOKUP(Table1[[#This Row],[Account_ID]], Accounts[ID], Accounts[Account'#], "Unknown")</f>
        <v>4636</v>
      </c>
      <c r="I1898" s="135" t="str">
        <f>_xlfn.XLOOKUP(_xlfn.XLOOKUP(Table1[[#This Row],[Account]],Accounts[Account nickname],Accounts[Institution ID]),Institutions[ID],Institutions[Institution nickname],"Unknown")</f>
        <v>Wells Fargo</v>
      </c>
      <c r="J1898" s="136" t="s">
        <v>1354</v>
      </c>
      <c r="K1898" s="137" t="s">
        <v>808</v>
      </c>
      <c r="L1898" s="137" t="s">
        <v>807</v>
      </c>
      <c r="M189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9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98" s="138" t="str" cm="1">
        <f t="array" ref="O1898">IFERROR(INDEX(CategoriesTable[Category type],MATCH(Table1[[#This Row],[Category]],CategoriesTable[Category name],0),0),"")</f>
        <v/>
      </c>
      <c r="P1898" s="138">
        <v>31</v>
      </c>
      <c r="Q1898" s="138">
        <f>MONTH(Table1[[#This Row],[Date]])</f>
        <v>7</v>
      </c>
      <c r="R1898" s="138">
        <v>2020</v>
      </c>
      <c r="S1898" s="139">
        <f>IF(ISBLANK(Table1[[#This Row],[Date]]),"",Table1[[#This Row],[Date]]-WEEKDAY(Table1[[#This Row],[Date]],2)+1)</f>
        <v>44039</v>
      </c>
      <c r="T1898" s="140">
        <f>IF(ISBLANK(Table1[[#This Row],[Date]]),"",DATE(Table1[[#This Row],[Date_Year]],Table1[[#This Row],[Date_Month]],1))</f>
        <v>44013</v>
      </c>
    </row>
    <row r="1899" spans="2:20" ht="15.75">
      <c r="B1899" s="154">
        <v>44043</v>
      </c>
      <c r="C1899" s="119" t="s">
        <v>678</v>
      </c>
      <c r="D1899" s="119"/>
      <c r="E1899" s="119"/>
      <c r="F1899" s="155">
        <v>-700</v>
      </c>
      <c r="G1899" s="133" t="str">
        <f>_xlfn.XLOOKUP(Table1[[#This Row],[Account_ID]], Accounts[ID], Accounts[Account nickname], "Unknown")</f>
        <v>WF</v>
      </c>
      <c r="H1899" s="134" t="str">
        <f>_xlfn.XLOOKUP(Table1[[#This Row],[Account_ID]], Accounts[ID], Accounts[Account'#], "Unknown")</f>
        <v>4636</v>
      </c>
      <c r="I1899" s="135" t="str">
        <f>_xlfn.XLOOKUP(_xlfn.XLOOKUP(Table1[[#This Row],[Account]],Accounts[Account nickname],Accounts[Institution ID]),Institutions[ID],Institutions[Institution nickname],"Unknown")</f>
        <v>Wells Fargo</v>
      </c>
      <c r="J1899" s="136" t="s">
        <v>1355</v>
      </c>
      <c r="K1899" s="137" t="s">
        <v>808</v>
      </c>
      <c r="L1899" s="137" t="s">
        <v>807</v>
      </c>
      <c r="M189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89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899" s="138" t="str" cm="1">
        <f t="array" ref="O1899">IFERROR(INDEX(CategoriesTable[Category type],MATCH(Table1[[#This Row],[Category]],CategoriesTable[Category name],0),0),"")</f>
        <v/>
      </c>
      <c r="P1899" s="138">
        <v>31</v>
      </c>
      <c r="Q1899" s="138">
        <f>MONTH(Table1[[#This Row],[Date]])</f>
        <v>7</v>
      </c>
      <c r="R1899" s="138">
        <v>2020</v>
      </c>
      <c r="S1899" s="139">
        <f>IF(ISBLANK(Table1[[#This Row],[Date]]),"",Table1[[#This Row],[Date]]-WEEKDAY(Table1[[#This Row],[Date]],2)+1)</f>
        <v>44039</v>
      </c>
      <c r="T1899" s="140">
        <f>IF(ISBLANK(Table1[[#This Row],[Date]]),"",DATE(Table1[[#This Row],[Date_Year]],Table1[[#This Row],[Date_Month]],1))</f>
        <v>44013</v>
      </c>
    </row>
    <row r="1900" spans="2:20" ht="15.75">
      <c r="B1900" s="154">
        <v>44043</v>
      </c>
      <c r="C1900" s="119" t="s">
        <v>686</v>
      </c>
      <c r="D1900" s="119"/>
      <c r="E1900" s="119"/>
      <c r="F1900" s="155">
        <v>-620.02</v>
      </c>
      <c r="G1900" s="133" t="str">
        <f>_xlfn.XLOOKUP(Table1[[#This Row],[Account_ID]], Accounts[ID], Accounts[Account nickname], "Unknown")</f>
        <v>WF</v>
      </c>
      <c r="H1900" s="134" t="str">
        <f>_xlfn.XLOOKUP(Table1[[#This Row],[Account_ID]], Accounts[ID], Accounts[Account'#], "Unknown")</f>
        <v>4636</v>
      </c>
      <c r="I1900" s="135" t="str">
        <f>_xlfn.XLOOKUP(_xlfn.XLOOKUP(Table1[[#This Row],[Account]],Accounts[Account nickname],Accounts[Institution ID]),Institutions[ID],Institutions[Institution nickname],"Unknown")</f>
        <v>Wells Fargo</v>
      </c>
      <c r="J1900" s="136" t="s">
        <v>1353</v>
      </c>
      <c r="K1900" s="137" t="s">
        <v>808</v>
      </c>
      <c r="L1900" s="137" t="s">
        <v>807</v>
      </c>
      <c r="M190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0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00" s="138" t="str" cm="1">
        <f t="array" ref="O1900">IFERROR(INDEX(CategoriesTable[Category type],MATCH(Table1[[#This Row],[Category]],CategoriesTable[Category name],0),0),"")</f>
        <v/>
      </c>
      <c r="P1900" s="138">
        <v>31</v>
      </c>
      <c r="Q1900" s="138">
        <f>MONTH(Table1[[#This Row],[Date]])</f>
        <v>7</v>
      </c>
      <c r="R1900" s="138">
        <v>2020</v>
      </c>
      <c r="S1900" s="139">
        <f>IF(ISBLANK(Table1[[#This Row],[Date]]),"",Table1[[#This Row],[Date]]-WEEKDAY(Table1[[#This Row],[Date]],2)+1)</f>
        <v>44039</v>
      </c>
      <c r="T1900" s="140">
        <f>IF(ISBLANK(Table1[[#This Row],[Date]]),"",DATE(Table1[[#This Row],[Date_Year]],Table1[[#This Row],[Date_Month]],1))</f>
        <v>44013</v>
      </c>
    </row>
    <row r="1901" spans="2:20" ht="15.75">
      <c r="B1901" s="154">
        <v>44042</v>
      </c>
      <c r="C1901" s="119" t="s">
        <v>769</v>
      </c>
      <c r="D1901" s="119"/>
      <c r="E1901" s="119"/>
      <c r="F1901" s="155">
        <v>-50</v>
      </c>
      <c r="G1901" s="133" t="str">
        <f>_xlfn.XLOOKUP(Table1[[#This Row],[Account_ID]], Accounts[ID], Accounts[Account nickname], "Unknown")</f>
        <v>WF</v>
      </c>
      <c r="H1901" s="134" t="str">
        <f>_xlfn.XLOOKUP(Table1[[#This Row],[Account_ID]], Accounts[ID], Accounts[Account'#], "Unknown")</f>
        <v>4636</v>
      </c>
      <c r="I1901" s="135" t="str">
        <f>_xlfn.XLOOKUP(_xlfn.XLOOKUP(Table1[[#This Row],[Account]],Accounts[Account nickname],Accounts[Institution ID]),Institutions[ID],Institutions[Institution nickname],"Unknown")</f>
        <v>Wells Fargo</v>
      </c>
      <c r="J1901" s="136" t="s">
        <v>1356</v>
      </c>
      <c r="K1901" s="137" t="s">
        <v>808</v>
      </c>
      <c r="L1901" s="137" t="s">
        <v>807</v>
      </c>
      <c r="M190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0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01" s="138" t="str" cm="1">
        <f t="array" ref="O1901">IFERROR(INDEX(CategoriesTable[Category type],MATCH(Table1[[#This Row],[Category]],CategoriesTable[Category name],0),0),"")</f>
        <v/>
      </c>
      <c r="P1901" s="138">
        <v>30</v>
      </c>
      <c r="Q1901" s="138">
        <f>MONTH(Table1[[#This Row],[Date]])</f>
        <v>7</v>
      </c>
      <c r="R1901" s="138">
        <v>2020</v>
      </c>
      <c r="S1901" s="139">
        <f>IF(ISBLANK(Table1[[#This Row],[Date]]),"",Table1[[#This Row],[Date]]-WEEKDAY(Table1[[#This Row],[Date]],2)+1)</f>
        <v>44039</v>
      </c>
      <c r="T1901" s="140">
        <f>IF(ISBLANK(Table1[[#This Row],[Date]]),"",DATE(Table1[[#This Row],[Date_Year]],Table1[[#This Row],[Date_Month]],1))</f>
        <v>44013</v>
      </c>
    </row>
    <row r="1902" spans="2:20" ht="15.75">
      <c r="B1902" s="154">
        <v>44042</v>
      </c>
      <c r="C1902" s="119" t="s">
        <v>3194</v>
      </c>
      <c r="D1902" s="119"/>
      <c r="E1902" s="119"/>
      <c r="F1902" s="155">
        <v>-25.28</v>
      </c>
      <c r="G1902" s="133" t="str">
        <f>_xlfn.XLOOKUP(Table1[[#This Row],[Account_ID]], Accounts[ID], Accounts[Account nickname], "Unknown")</f>
        <v>Discover</v>
      </c>
      <c r="H1902" s="134" t="str">
        <f>_xlfn.XLOOKUP(Table1[[#This Row],[Account_ID]], Accounts[ID], Accounts[Account'#], "Unknown")</f>
        <v>4618</v>
      </c>
      <c r="I1902" s="135" t="str">
        <f>_xlfn.XLOOKUP(_xlfn.XLOOKUP(Table1[[#This Row],[Account]],Accounts[Account nickname],Accounts[Institution ID]),Institutions[ID],Institutions[Institution nickname],"Unknown")</f>
        <v>Discover</v>
      </c>
      <c r="J1902" s="136" t="s">
        <v>3195</v>
      </c>
      <c r="K1902" s="137" t="s">
        <v>843</v>
      </c>
      <c r="L1902" s="137" t="s">
        <v>841</v>
      </c>
      <c r="M190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0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02" s="138" t="str" cm="1">
        <f t="array" ref="O1902">IFERROR(INDEX(CategoriesTable[Category type],MATCH(Table1[[#This Row],[Category]],CategoriesTable[Category name],0),0),"")</f>
        <v/>
      </c>
      <c r="P1902" s="138">
        <v>30</v>
      </c>
      <c r="Q1902" s="138">
        <f>MONTH(Table1[[#This Row],[Date]])</f>
        <v>7</v>
      </c>
      <c r="R1902" s="138">
        <v>2020</v>
      </c>
      <c r="S1902" s="139">
        <f>IF(ISBLANK(Table1[[#This Row],[Date]]),"",Table1[[#This Row],[Date]]-WEEKDAY(Table1[[#This Row],[Date]],2)+1)</f>
        <v>44039</v>
      </c>
      <c r="T1902" s="140">
        <f>IF(ISBLANK(Table1[[#This Row],[Date]]),"",DATE(Table1[[#This Row],[Date_Year]],Table1[[#This Row],[Date_Month]],1))</f>
        <v>44013</v>
      </c>
    </row>
    <row r="1903" spans="2:20" ht="15.75">
      <c r="B1903" s="154">
        <v>44041</v>
      </c>
      <c r="C1903" s="119" t="s">
        <v>724</v>
      </c>
      <c r="D1903" s="119"/>
      <c r="E1903" s="119"/>
      <c r="F1903" s="155">
        <v>-11.51</v>
      </c>
      <c r="G1903" s="133" t="str">
        <f>_xlfn.XLOOKUP(Table1[[#This Row],[Account_ID]], Accounts[ID], Accounts[Account nickname], "Unknown")</f>
        <v>Discover</v>
      </c>
      <c r="H1903" s="134" t="str">
        <f>_xlfn.XLOOKUP(Table1[[#This Row],[Account_ID]], Accounts[ID], Accounts[Account'#], "Unknown")</f>
        <v>4618</v>
      </c>
      <c r="I1903" s="135" t="str">
        <f>_xlfn.XLOOKUP(_xlfn.XLOOKUP(Table1[[#This Row],[Account]],Accounts[Account nickname],Accounts[Institution ID]),Institutions[ID],Institutions[Institution nickname],"Unknown")</f>
        <v>Discover</v>
      </c>
      <c r="J1903" s="136" t="s">
        <v>3196</v>
      </c>
      <c r="K1903" s="137" t="s">
        <v>843</v>
      </c>
      <c r="L1903" s="137" t="s">
        <v>841</v>
      </c>
      <c r="M190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0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03" s="138" t="str" cm="1">
        <f t="array" ref="O1903">IFERROR(INDEX(CategoriesTable[Category type],MATCH(Table1[[#This Row],[Category]],CategoriesTable[Category name],0),0),"")</f>
        <v/>
      </c>
      <c r="P1903" s="138">
        <v>29</v>
      </c>
      <c r="Q1903" s="138">
        <f>MONTH(Table1[[#This Row],[Date]])</f>
        <v>7</v>
      </c>
      <c r="R1903" s="138">
        <v>2020</v>
      </c>
      <c r="S1903" s="139">
        <f>IF(ISBLANK(Table1[[#This Row],[Date]]),"",Table1[[#This Row],[Date]]-WEEKDAY(Table1[[#This Row],[Date]],2)+1)</f>
        <v>44039</v>
      </c>
      <c r="T1903" s="140">
        <f>IF(ISBLANK(Table1[[#This Row],[Date]]),"",DATE(Table1[[#This Row],[Date_Year]],Table1[[#This Row],[Date_Month]],1))</f>
        <v>44013</v>
      </c>
    </row>
    <row r="1904" spans="2:20" ht="15.75">
      <c r="B1904" s="154">
        <v>44040</v>
      </c>
      <c r="C1904" s="119" t="s">
        <v>791</v>
      </c>
      <c r="D1904" s="119"/>
      <c r="E1904" s="119"/>
      <c r="F1904" s="155">
        <v>-9.9499999999999993</v>
      </c>
      <c r="G1904" s="133" t="str">
        <f>_xlfn.XLOOKUP(Table1[[#This Row],[Account_ID]], Accounts[ID], Accounts[Account nickname], "Unknown")</f>
        <v>WF</v>
      </c>
      <c r="H1904" s="134" t="str">
        <f>_xlfn.XLOOKUP(Table1[[#This Row],[Account_ID]], Accounts[ID], Accounts[Account'#], "Unknown")</f>
        <v>4636</v>
      </c>
      <c r="I1904" s="135" t="str">
        <f>_xlfn.XLOOKUP(_xlfn.XLOOKUP(Table1[[#This Row],[Account]],Accounts[Account nickname],Accounts[Institution ID]),Institutions[ID],Institutions[Institution nickname],"Unknown")</f>
        <v>Wells Fargo</v>
      </c>
      <c r="J1904" s="136" t="s">
        <v>1358</v>
      </c>
      <c r="K1904" s="137" t="s">
        <v>808</v>
      </c>
      <c r="L1904" s="137" t="s">
        <v>807</v>
      </c>
      <c r="M190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0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04" s="138" t="str" cm="1">
        <f t="array" ref="O1904">IFERROR(INDEX(CategoriesTable[Category type],MATCH(Table1[[#This Row],[Category]],CategoriesTable[Category name],0),0),"")</f>
        <v/>
      </c>
      <c r="P1904" s="138">
        <v>28</v>
      </c>
      <c r="Q1904" s="138">
        <f>MONTH(Table1[[#This Row],[Date]])</f>
        <v>7</v>
      </c>
      <c r="R1904" s="138">
        <v>2020</v>
      </c>
      <c r="S1904" s="139">
        <f>IF(ISBLANK(Table1[[#This Row],[Date]]),"",Table1[[#This Row],[Date]]-WEEKDAY(Table1[[#This Row],[Date]],2)+1)</f>
        <v>44039</v>
      </c>
      <c r="T1904" s="140">
        <f>IF(ISBLANK(Table1[[#This Row],[Date]]),"",DATE(Table1[[#This Row],[Date_Year]],Table1[[#This Row],[Date_Month]],1))</f>
        <v>44013</v>
      </c>
    </row>
    <row r="1905" spans="2:20" ht="15.75">
      <c r="B1905" s="154">
        <v>44040</v>
      </c>
      <c r="C1905" s="119" t="s">
        <v>769</v>
      </c>
      <c r="D1905" s="119"/>
      <c r="E1905" s="119"/>
      <c r="F1905" s="155">
        <v>-210</v>
      </c>
      <c r="G1905" s="133" t="str">
        <f>_xlfn.XLOOKUP(Table1[[#This Row],[Account_ID]], Accounts[ID], Accounts[Account nickname], "Unknown")</f>
        <v>WF</v>
      </c>
      <c r="H1905" s="134" t="str">
        <f>_xlfn.XLOOKUP(Table1[[#This Row],[Account_ID]], Accounts[ID], Accounts[Account'#], "Unknown")</f>
        <v>4636</v>
      </c>
      <c r="I1905" s="135" t="str">
        <f>_xlfn.XLOOKUP(_xlfn.XLOOKUP(Table1[[#This Row],[Account]],Accounts[Account nickname],Accounts[Institution ID]),Institutions[ID],Institutions[Institution nickname],"Unknown")</f>
        <v>Wells Fargo</v>
      </c>
      <c r="J1905" s="136" t="s">
        <v>1357</v>
      </c>
      <c r="K1905" s="137" t="s">
        <v>808</v>
      </c>
      <c r="L1905" s="137" t="s">
        <v>807</v>
      </c>
      <c r="M190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0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05" s="138" t="str" cm="1">
        <f t="array" ref="O1905">IFERROR(INDEX(CategoriesTable[Category type],MATCH(Table1[[#This Row],[Category]],CategoriesTable[Category name],0),0),"")</f>
        <v/>
      </c>
      <c r="P1905" s="138">
        <v>28</v>
      </c>
      <c r="Q1905" s="138">
        <f>MONTH(Table1[[#This Row],[Date]])</f>
        <v>7</v>
      </c>
      <c r="R1905" s="138">
        <v>2020</v>
      </c>
      <c r="S1905" s="139">
        <f>IF(ISBLANK(Table1[[#This Row],[Date]]),"",Table1[[#This Row],[Date]]-WEEKDAY(Table1[[#This Row],[Date]],2)+1)</f>
        <v>44039</v>
      </c>
      <c r="T1905" s="140">
        <f>IF(ISBLANK(Table1[[#This Row],[Date]]),"",DATE(Table1[[#This Row],[Date_Year]],Table1[[#This Row],[Date_Month]],1))</f>
        <v>44013</v>
      </c>
    </row>
    <row r="1906" spans="2:20" ht="15.75">
      <c r="B1906" s="154">
        <v>44038</v>
      </c>
      <c r="C1906" s="119" t="s">
        <v>798</v>
      </c>
      <c r="D1906" s="119"/>
      <c r="E1906" s="119"/>
      <c r="F1906" s="155">
        <v>-112.1</v>
      </c>
      <c r="G1906" s="133" t="str">
        <f>_xlfn.XLOOKUP(Table1[[#This Row],[Account_ID]], Accounts[ID], Accounts[Account nickname], "Unknown")</f>
        <v>WF</v>
      </c>
      <c r="H1906" s="134" t="str">
        <f>_xlfn.XLOOKUP(Table1[[#This Row],[Account_ID]], Accounts[ID], Accounts[Account'#], "Unknown")</f>
        <v>4636</v>
      </c>
      <c r="I1906" s="135" t="str">
        <f>_xlfn.XLOOKUP(_xlfn.XLOOKUP(Table1[[#This Row],[Account]],Accounts[Account nickname],Accounts[Institution ID]),Institutions[ID],Institutions[Institution nickname],"Unknown")</f>
        <v>Wells Fargo</v>
      </c>
      <c r="J1906" s="136" t="s">
        <v>1359</v>
      </c>
      <c r="K1906" s="137" t="s">
        <v>808</v>
      </c>
      <c r="L1906" s="137" t="s">
        <v>807</v>
      </c>
      <c r="M190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0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06" s="138" t="str" cm="1">
        <f t="array" ref="O1906">IFERROR(INDEX(CategoriesTable[Category type],MATCH(Table1[[#This Row],[Category]],CategoriesTable[Category name],0),0),"")</f>
        <v/>
      </c>
      <c r="P1906" s="138">
        <v>26</v>
      </c>
      <c r="Q1906" s="138">
        <f>MONTH(Table1[[#This Row],[Date]])</f>
        <v>7</v>
      </c>
      <c r="R1906" s="138">
        <v>2020</v>
      </c>
      <c r="S1906" s="139">
        <f>IF(ISBLANK(Table1[[#This Row],[Date]]),"",Table1[[#This Row],[Date]]-WEEKDAY(Table1[[#This Row],[Date]],2)+1)</f>
        <v>44032</v>
      </c>
      <c r="T1906" s="140">
        <f>IF(ISBLANK(Table1[[#This Row],[Date]]),"",DATE(Table1[[#This Row],[Date_Year]],Table1[[#This Row],[Date_Month]],1))</f>
        <v>44013</v>
      </c>
    </row>
    <row r="1907" spans="2:20" ht="15.75">
      <c r="B1907" s="154">
        <v>44038</v>
      </c>
      <c r="C1907" s="119" t="s">
        <v>724</v>
      </c>
      <c r="D1907" s="119"/>
      <c r="E1907" s="119"/>
      <c r="F1907" s="155">
        <v>-62.75</v>
      </c>
      <c r="G1907" s="133" t="str">
        <f>_xlfn.XLOOKUP(Table1[[#This Row],[Account_ID]], Accounts[ID], Accounts[Account nickname], "Unknown")</f>
        <v>Discover</v>
      </c>
      <c r="H1907" s="134" t="str">
        <f>_xlfn.XLOOKUP(Table1[[#This Row],[Account_ID]], Accounts[ID], Accounts[Account'#], "Unknown")</f>
        <v>4618</v>
      </c>
      <c r="I1907" s="135" t="str">
        <f>_xlfn.XLOOKUP(_xlfn.XLOOKUP(Table1[[#This Row],[Account]],Accounts[Account nickname],Accounts[Institution ID]),Institutions[ID],Institutions[Institution nickname],"Unknown")</f>
        <v>Discover</v>
      </c>
      <c r="J1907" s="136" t="s">
        <v>3197</v>
      </c>
      <c r="K1907" s="137" t="s">
        <v>843</v>
      </c>
      <c r="L1907" s="137" t="s">
        <v>841</v>
      </c>
      <c r="M190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0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07" s="138" t="str" cm="1">
        <f t="array" ref="O1907">IFERROR(INDEX(CategoriesTable[Category type],MATCH(Table1[[#This Row],[Category]],CategoriesTable[Category name],0),0),"")</f>
        <v/>
      </c>
      <c r="P1907" s="138">
        <v>26</v>
      </c>
      <c r="Q1907" s="138">
        <f>MONTH(Table1[[#This Row],[Date]])</f>
        <v>7</v>
      </c>
      <c r="R1907" s="138">
        <v>2020</v>
      </c>
      <c r="S1907" s="139">
        <f>IF(ISBLANK(Table1[[#This Row],[Date]]),"",Table1[[#This Row],[Date]]-WEEKDAY(Table1[[#This Row],[Date]],2)+1)</f>
        <v>44032</v>
      </c>
      <c r="T1907" s="140">
        <f>IF(ISBLANK(Table1[[#This Row],[Date]]),"",DATE(Table1[[#This Row],[Date_Year]],Table1[[#This Row],[Date_Month]],1))</f>
        <v>44013</v>
      </c>
    </row>
    <row r="1908" spans="2:20" ht="15.75">
      <c r="B1908" s="154">
        <v>44037</v>
      </c>
      <c r="C1908" s="119" t="s">
        <v>799</v>
      </c>
      <c r="D1908" s="119"/>
      <c r="E1908" s="119"/>
      <c r="F1908" s="155">
        <v>-25.77</v>
      </c>
      <c r="G1908" s="133" t="str">
        <f>_xlfn.XLOOKUP(Table1[[#This Row],[Account_ID]], Accounts[ID], Accounts[Account nickname], "Unknown")</f>
        <v>WF</v>
      </c>
      <c r="H1908" s="134" t="str">
        <f>_xlfn.XLOOKUP(Table1[[#This Row],[Account_ID]], Accounts[ID], Accounts[Account'#], "Unknown")</f>
        <v>4636</v>
      </c>
      <c r="I1908" s="135" t="str">
        <f>_xlfn.XLOOKUP(_xlfn.XLOOKUP(Table1[[#This Row],[Account]],Accounts[Account nickname],Accounts[Institution ID]),Institutions[ID],Institutions[Institution nickname],"Unknown")</f>
        <v>Wells Fargo</v>
      </c>
      <c r="J1908" s="136" t="s">
        <v>1361</v>
      </c>
      <c r="K1908" s="137" t="s">
        <v>808</v>
      </c>
      <c r="L1908" s="137" t="s">
        <v>807</v>
      </c>
      <c r="M190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0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08" s="138" t="str" cm="1">
        <f t="array" ref="O1908">IFERROR(INDEX(CategoriesTable[Category type],MATCH(Table1[[#This Row],[Category]],CategoriesTable[Category name],0),0),"")</f>
        <v/>
      </c>
      <c r="P1908" s="138">
        <v>25</v>
      </c>
      <c r="Q1908" s="138">
        <f>MONTH(Table1[[#This Row],[Date]])</f>
        <v>7</v>
      </c>
      <c r="R1908" s="138">
        <v>2020</v>
      </c>
      <c r="S1908" s="139">
        <f>IF(ISBLANK(Table1[[#This Row],[Date]]),"",Table1[[#This Row],[Date]]-WEEKDAY(Table1[[#This Row],[Date]],2)+1)</f>
        <v>44032</v>
      </c>
      <c r="T1908" s="140">
        <f>IF(ISBLANK(Table1[[#This Row],[Date]]),"",DATE(Table1[[#This Row],[Date_Year]],Table1[[#This Row],[Date_Month]],1))</f>
        <v>44013</v>
      </c>
    </row>
    <row r="1909" spans="2:20" ht="15.75">
      <c r="B1909" s="154">
        <v>44037</v>
      </c>
      <c r="C1909" s="119" t="s">
        <v>799</v>
      </c>
      <c r="D1909" s="119"/>
      <c r="E1909" s="119"/>
      <c r="F1909" s="155">
        <v>-11.31</v>
      </c>
      <c r="G1909" s="133" t="str">
        <f>_xlfn.XLOOKUP(Table1[[#This Row],[Account_ID]], Accounts[ID], Accounts[Account nickname], "Unknown")</f>
        <v>WF</v>
      </c>
      <c r="H1909" s="134" t="str">
        <f>_xlfn.XLOOKUP(Table1[[#This Row],[Account_ID]], Accounts[ID], Accounts[Account'#], "Unknown")</f>
        <v>4636</v>
      </c>
      <c r="I1909" s="135" t="str">
        <f>_xlfn.XLOOKUP(_xlfn.XLOOKUP(Table1[[#This Row],[Account]],Accounts[Account nickname],Accounts[Institution ID]),Institutions[ID],Institutions[Institution nickname],"Unknown")</f>
        <v>Wells Fargo</v>
      </c>
      <c r="J1909" s="136" t="s">
        <v>1360</v>
      </c>
      <c r="K1909" s="137" t="s">
        <v>808</v>
      </c>
      <c r="L1909" s="137" t="s">
        <v>807</v>
      </c>
      <c r="M190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0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09" s="138" t="str" cm="1">
        <f t="array" ref="O1909">IFERROR(INDEX(CategoriesTable[Category type],MATCH(Table1[[#This Row],[Category]],CategoriesTable[Category name],0),0),"")</f>
        <v/>
      </c>
      <c r="P1909" s="138">
        <v>25</v>
      </c>
      <c r="Q1909" s="138">
        <f>MONTH(Table1[[#This Row],[Date]])</f>
        <v>7</v>
      </c>
      <c r="R1909" s="138">
        <v>2020</v>
      </c>
      <c r="S1909" s="139">
        <f>IF(ISBLANK(Table1[[#This Row],[Date]]),"",Table1[[#This Row],[Date]]-WEEKDAY(Table1[[#This Row],[Date]],2)+1)</f>
        <v>44032</v>
      </c>
      <c r="T1909" s="140">
        <f>IF(ISBLANK(Table1[[#This Row],[Date]]),"",DATE(Table1[[#This Row],[Date_Year]],Table1[[#This Row],[Date_Month]],1))</f>
        <v>44013</v>
      </c>
    </row>
    <row r="1910" spans="2:20" ht="15.75">
      <c r="B1910" s="154">
        <v>44037</v>
      </c>
      <c r="C1910" s="119" t="s">
        <v>3199</v>
      </c>
      <c r="D1910" s="119"/>
      <c r="E1910" s="119"/>
      <c r="F1910" s="155">
        <v>-43.2</v>
      </c>
      <c r="G1910" s="133" t="str">
        <f>_xlfn.XLOOKUP(Table1[[#This Row],[Account_ID]], Accounts[ID], Accounts[Account nickname], "Unknown")</f>
        <v>Discover</v>
      </c>
      <c r="H1910" s="134" t="str">
        <f>_xlfn.XLOOKUP(Table1[[#This Row],[Account_ID]], Accounts[ID], Accounts[Account'#], "Unknown")</f>
        <v>4618</v>
      </c>
      <c r="I1910" s="135" t="str">
        <f>_xlfn.XLOOKUP(_xlfn.XLOOKUP(Table1[[#This Row],[Account]],Accounts[Account nickname],Accounts[Institution ID]),Institutions[ID],Institutions[Institution nickname],"Unknown")</f>
        <v>Discover</v>
      </c>
      <c r="J1910" s="136" t="s">
        <v>3200</v>
      </c>
      <c r="K1910" s="137" t="s">
        <v>843</v>
      </c>
      <c r="L1910" s="137" t="s">
        <v>841</v>
      </c>
      <c r="M191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1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10" s="138" t="str" cm="1">
        <f t="array" ref="O1910">IFERROR(INDEX(CategoriesTable[Category type],MATCH(Table1[[#This Row],[Category]],CategoriesTable[Category name],0),0),"")</f>
        <v/>
      </c>
      <c r="P1910" s="138">
        <v>25</v>
      </c>
      <c r="Q1910" s="138">
        <f>MONTH(Table1[[#This Row],[Date]])</f>
        <v>7</v>
      </c>
      <c r="R1910" s="138">
        <v>2020</v>
      </c>
      <c r="S1910" s="139">
        <f>IF(ISBLANK(Table1[[#This Row],[Date]]),"",Table1[[#This Row],[Date]]-WEEKDAY(Table1[[#This Row],[Date]],2)+1)</f>
        <v>44032</v>
      </c>
      <c r="T1910" s="140">
        <f>IF(ISBLANK(Table1[[#This Row],[Date]]),"",DATE(Table1[[#This Row],[Date_Year]],Table1[[#This Row],[Date_Month]],1))</f>
        <v>44013</v>
      </c>
    </row>
    <row r="1911" spans="2:20" ht="15.75">
      <c r="B1911" s="154">
        <v>44037</v>
      </c>
      <c r="C1911" s="119" t="s">
        <v>708</v>
      </c>
      <c r="D1911" s="119"/>
      <c r="E1911" s="119"/>
      <c r="F1911" s="155">
        <v>-20.05</v>
      </c>
      <c r="G1911" s="133" t="str">
        <f>_xlfn.XLOOKUP(Table1[[#This Row],[Account_ID]], Accounts[ID], Accounts[Account nickname], "Unknown")</f>
        <v>Discover</v>
      </c>
      <c r="H1911" s="134" t="str">
        <f>_xlfn.XLOOKUP(Table1[[#This Row],[Account_ID]], Accounts[ID], Accounts[Account'#], "Unknown")</f>
        <v>4618</v>
      </c>
      <c r="I1911" s="135" t="str">
        <f>_xlfn.XLOOKUP(_xlfn.XLOOKUP(Table1[[#This Row],[Account]],Accounts[Account nickname],Accounts[Institution ID]),Institutions[ID],Institutions[Institution nickname],"Unknown")</f>
        <v>Discover</v>
      </c>
      <c r="J1911" s="136" t="s">
        <v>3198</v>
      </c>
      <c r="K1911" s="137" t="s">
        <v>843</v>
      </c>
      <c r="L1911" s="137" t="s">
        <v>841</v>
      </c>
      <c r="M191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1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11" s="138" t="str" cm="1">
        <f t="array" ref="O1911">IFERROR(INDEX(CategoriesTable[Category type],MATCH(Table1[[#This Row],[Category]],CategoriesTable[Category name],0),0),"")</f>
        <v/>
      </c>
      <c r="P1911" s="138">
        <v>25</v>
      </c>
      <c r="Q1911" s="138">
        <f>MONTH(Table1[[#This Row],[Date]])</f>
        <v>7</v>
      </c>
      <c r="R1911" s="138">
        <v>2020</v>
      </c>
      <c r="S1911" s="139">
        <f>IF(ISBLANK(Table1[[#This Row],[Date]]),"",Table1[[#This Row],[Date]]-WEEKDAY(Table1[[#This Row],[Date]],2)+1)</f>
        <v>44032</v>
      </c>
      <c r="T1911" s="140">
        <f>IF(ISBLANK(Table1[[#This Row],[Date]]),"",DATE(Table1[[#This Row],[Date_Year]],Table1[[#This Row],[Date_Month]],1))</f>
        <v>44013</v>
      </c>
    </row>
    <row r="1912" spans="2:20" ht="15.75">
      <c r="B1912" s="154">
        <v>44036</v>
      </c>
      <c r="C1912" s="119" t="s">
        <v>678</v>
      </c>
      <c r="D1912" s="119"/>
      <c r="E1912" s="119"/>
      <c r="F1912" s="155">
        <v>-150</v>
      </c>
      <c r="G1912" s="133" t="str">
        <f>_xlfn.XLOOKUP(Table1[[#This Row],[Account_ID]], Accounts[ID], Accounts[Account nickname], "Unknown")</f>
        <v>WF</v>
      </c>
      <c r="H1912" s="134" t="str">
        <f>_xlfn.XLOOKUP(Table1[[#This Row],[Account_ID]], Accounts[ID], Accounts[Account'#], "Unknown")</f>
        <v>4636</v>
      </c>
      <c r="I1912" s="135" t="str">
        <f>_xlfn.XLOOKUP(_xlfn.XLOOKUP(Table1[[#This Row],[Account]],Accounts[Account nickname],Accounts[Institution ID]),Institutions[ID],Institutions[Institution nickname],"Unknown")</f>
        <v>Wells Fargo</v>
      </c>
      <c r="J1912" s="136" t="s">
        <v>1363</v>
      </c>
      <c r="K1912" s="137" t="s">
        <v>808</v>
      </c>
      <c r="L1912" s="137" t="s">
        <v>807</v>
      </c>
      <c r="M191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1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12" s="138" t="str" cm="1">
        <f t="array" ref="O1912">IFERROR(INDEX(CategoriesTable[Category type],MATCH(Table1[[#This Row],[Category]],CategoriesTable[Category name],0),0),"")</f>
        <v/>
      </c>
      <c r="P1912" s="138">
        <v>24</v>
      </c>
      <c r="Q1912" s="138">
        <f>MONTH(Table1[[#This Row],[Date]])</f>
        <v>7</v>
      </c>
      <c r="R1912" s="138">
        <v>2020</v>
      </c>
      <c r="S1912" s="139">
        <f>IF(ISBLANK(Table1[[#This Row],[Date]]),"",Table1[[#This Row],[Date]]-WEEKDAY(Table1[[#This Row],[Date]],2)+1)</f>
        <v>44032</v>
      </c>
      <c r="T1912" s="140">
        <f>IF(ISBLANK(Table1[[#This Row],[Date]]),"",DATE(Table1[[#This Row],[Date_Year]],Table1[[#This Row],[Date_Month]],1))</f>
        <v>44013</v>
      </c>
    </row>
    <row r="1913" spans="2:20" ht="15.75">
      <c r="B1913" s="154">
        <v>44036</v>
      </c>
      <c r="C1913" s="119" t="s">
        <v>686</v>
      </c>
      <c r="D1913" s="119"/>
      <c r="E1913" s="119"/>
      <c r="F1913" s="155">
        <v>-197.57</v>
      </c>
      <c r="G1913" s="133" t="str">
        <f>_xlfn.XLOOKUP(Table1[[#This Row],[Account_ID]], Accounts[ID], Accounts[Account nickname], "Unknown")</f>
        <v>WF</v>
      </c>
      <c r="H1913" s="134" t="str">
        <f>_xlfn.XLOOKUP(Table1[[#This Row],[Account_ID]], Accounts[ID], Accounts[Account'#], "Unknown")</f>
        <v>4636</v>
      </c>
      <c r="I1913" s="135" t="str">
        <f>_xlfn.XLOOKUP(_xlfn.XLOOKUP(Table1[[#This Row],[Account]],Accounts[Account nickname],Accounts[Institution ID]),Institutions[ID],Institutions[Institution nickname],"Unknown")</f>
        <v>Wells Fargo</v>
      </c>
      <c r="J1913" s="136" t="s">
        <v>1362</v>
      </c>
      <c r="K1913" s="137" t="s">
        <v>808</v>
      </c>
      <c r="L1913" s="137" t="s">
        <v>807</v>
      </c>
      <c r="M191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1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13" s="138" t="str" cm="1">
        <f t="array" ref="O1913">IFERROR(INDEX(CategoriesTable[Category type],MATCH(Table1[[#This Row],[Category]],CategoriesTable[Category name],0),0),"")</f>
        <v/>
      </c>
      <c r="P1913" s="138">
        <v>24</v>
      </c>
      <c r="Q1913" s="138">
        <f>MONTH(Table1[[#This Row],[Date]])</f>
        <v>7</v>
      </c>
      <c r="R1913" s="138">
        <v>2020</v>
      </c>
      <c r="S1913" s="139">
        <f>IF(ISBLANK(Table1[[#This Row],[Date]]),"",Table1[[#This Row],[Date]]-WEEKDAY(Table1[[#This Row],[Date]],2)+1)</f>
        <v>44032</v>
      </c>
      <c r="T1913" s="140">
        <f>IF(ISBLANK(Table1[[#This Row],[Date]]),"",DATE(Table1[[#This Row],[Date_Year]],Table1[[#This Row],[Date_Month]],1))</f>
        <v>44013</v>
      </c>
    </row>
    <row r="1914" spans="2:20" ht="15.75">
      <c r="B1914" s="154">
        <v>44036</v>
      </c>
      <c r="C1914" s="119" t="s">
        <v>845</v>
      </c>
      <c r="D1914" s="119"/>
      <c r="E1914" s="119"/>
      <c r="F1914" s="155">
        <v>197.57</v>
      </c>
      <c r="G1914" s="133" t="str">
        <f>_xlfn.XLOOKUP(Table1[[#This Row],[Account_ID]], Accounts[ID], Accounts[Account nickname], "Unknown")</f>
        <v>Discover</v>
      </c>
      <c r="H1914" s="134" t="str">
        <f>_xlfn.XLOOKUP(Table1[[#This Row],[Account_ID]], Accounts[ID], Accounts[Account'#], "Unknown")</f>
        <v>4618</v>
      </c>
      <c r="I1914" s="135" t="str">
        <f>_xlfn.XLOOKUP(_xlfn.XLOOKUP(Table1[[#This Row],[Account]],Accounts[Account nickname],Accounts[Institution ID]),Institutions[ID],Institutions[Institution nickname],"Unknown")</f>
        <v>Discover</v>
      </c>
      <c r="J1914" s="136" t="s">
        <v>3201</v>
      </c>
      <c r="K1914" s="137" t="s">
        <v>843</v>
      </c>
      <c r="L1914" s="137" t="s">
        <v>841</v>
      </c>
      <c r="M191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1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14" s="138" t="str" cm="1">
        <f t="array" ref="O1914">IFERROR(INDEX(CategoriesTable[Category type],MATCH(Table1[[#This Row],[Category]],CategoriesTable[Category name],0),0),"")</f>
        <v/>
      </c>
      <c r="P1914" s="138">
        <v>24</v>
      </c>
      <c r="Q1914" s="138">
        <f>MONTH(Table1[[#This Row],[Date]])</f>
        <v>7</v>
      </c>
      <c r="R1914" s="138">
        <v>2020</v>
      </c>
      <c r="S1914" s="139">
        <f>IF(ISBLANK(Table1[[#This Row],[Date]]),"",Table1[[#This Row],[Date]]-WEEKDAY(Table1[[#This Row],[Date]],2)+1)</f>
        <v>44032</v>
      </c>
      <c r="T1914" s="140">
        <f>IF(ISBLANK(Table1[[#This Row],[Date]]),"",DATE(Table1[[#This Row],[Date_Year]],Table1[[#This Row],[Date_Month]],1))</f>
        <v>44013</v>
      </c>
    </row>
    <row r="1915" spans="2:20" ht="15.75">
      <c r="B1915" s="154">
        <v>44035</v>
      </c>
      <c r="C1915" s="119" t="s">
        <v>699</v>
      </c>
      <c r="D1915" s="119"/>
      <c r="E1915" s="119"/>
      <c r="F1915" s="155">
        <v>-20.87</v>
      </c>
      <c r="G1915" s="133" t="str">
        <f>_xlfn.XLOOKUP(Table1[[#This Row],[Account_ID]], Accounts[ID], Accounts[Account nickname], "Unknown")</f>
        <v>Discover</v>
      </c>
      <c r="H1915" s="134" t="str">
        <f>_xlfn.XLOOKUP(Table1[[#This Row],[Account_ID]], Accounts[ID], Accounts[Account'#], "Unknown")</f>
        <v>4618</v>
      </c>
      <c r="I1915" s="135" t="str">
        <f>_xlfn.XLOOKUP(_xlfn.XLOOKUP(Table1[[#This Row],[Account]],Accounts[Account nickname],Accounts[Institution ID]),Institutions[ID],Institutions[Institution nickname],"Unknown")</f>
        <v>Discover</v>
      </c>
      <c r="J1915" s="136" t="s">
        <v>3202</v>
      </c>
      <c r="K1915" s="137" t="s">
        <v>843</v>
      </c>
      <c r="L1915" s="137" t="s">
        <v>841</v>
      </c>
      <c r="M191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1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15" s="138" t="str" cm="1">
        <f t="array" ref="O1915">IFERROR(INDEX(CategoriesTable[Category type],MATCH(Table1[[#This Row],[Category]],CategoriesTable[Category name],0),0),"")</f>
        <v/>
      </c>
      <c r="P1915" s="138">
        <v>23</v>
      </c>
      <c r="Q1915" s="138">
        <f>MONTH(Table1[[#This Row],[Date]])</f>
        <v>7</v>
      </c>
      <c r="R1915" s="138">
        <v>2020</v>
      </c>
      <c r="S1915" s="139">
        <f>IF(ISBLANK(Table1[[#This Row],[Date]]),"",Table1[[#This Row],[Date]]-WEEKDAY(Table1[[#This Row],[Date]],2)+1)</f>
        <v>44032</v>
      </c>
      <c r="T1915" s="140">
        <f>IF(ISBLANK(Table1[[#This Row],[Date]]),"",DATE(Table1[[#This Row],[Date_Year]],Table1[[#This Row],[Date_Month]],1))</f>
        <v>44013</v>
      </c>
    </row>
    <row r="1916" spans="2:20" ht="15.75">
      <c r="B1916" s="154">
        <v>44035</v>
      </c>
      <c r="C1916" s="119" t="s">
        <v>3203</v>
      </c>
      <c r="D1916" s="119"/>
      <c r="E1916" s="119"/>
      <c r="F1916" s="155">
        <v>-280</v>
      </c>
      <c r="G1916" s="133" t="str">
        <f>_xlfn.XLOOKUP(Table1[[#This Row],[Account_ID]], Accounts[ID], Accounts[Account nickname], "Unknown")</f>
        <v>Discover</v>
      </c>
      <c r="H1916" s="134" t="str">
        <f>_xlfn.XLOOKUP(Table1[[#This Row],[Account_ID]], Accounts[ID], Accounts[Account'#], "Unknown")</f>
        <v>4618</v>
      </c>
      <c r="I1916" s="135" t="str">
        <f>_xlfn.XLOOKUP(_xlfn.XLOOKUP(Table1[[#This Row],[Account]],Accounts[Account nickname],Accounts[Institution ID]),Institutions[ID],Institutions[Institution nickname],"Unknown")</f>
        <v>Discover</v>
      </c>
      <c r="J1916" s="136" t="s">
        <v>3204</v>
      </c>
      <c r="K1916" s="137" t="s">
        <v>843</v>
      </c>
      <c r="L1916" s="137" t="s">
        <v>841</v>
      </c>
      <c r="M191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1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16" s="138" t="str" cm="1">
        <f t="array" ref="O1916">IFERROR(INDEX(CategoriesTable[Category type],MATCH(Table1[[#This Row],[Category]],CategoriesTable[Category name],0),0),"")</f>
        <v/>
      </c>
      <c r="P1916" s="138">
        <v>23</v>
      </c>
      <c r="Q1916" s="138">
        <f>MONTH(Table1[[#This Row],[Date]])</f>
        <v>7</v>
      </c>
      <c r="R1916" s="138">
        <v>2020</v>
      </c>
      <c r="S1916" s="139">
        <f>IF(ISBLANK(Table1[[#This Row],[Date]]),"",Table1[[#This Row],[Date]]-WEEKDAY(Table1[[#This Row],[Date]],2)+1)</f>
        <v>44032</v>
      </c>
      <c r="T1916" s="140">
        <f>IF(ISBLANK(Table1[[#This Row],[Date]]),"",DATE(Table1[[#This Row],[Date_Year]],Table1[[#This Row],[Date_Month]],1))</f>
        <v>44013</v>
      </c>
    </row>
    <row r="1917" spans="2:20" ht="15.75">
      <c r="B1917" s="154">
        <v>44035</v>
      </c>
      <c r="C1917" s="119" t="s">
        <v>718</v>
      </c>
      <c r="D1917" s="119"/>
      <c r="E1917" s="119"/>
      <c r="F1917" s="155">
        <v>-193.15</v>
      </c>
      <c r="G1917" s="133" t="str">
        <f>_xlfn.XLOOKUP(Table1[[#This Row],[Account_ID]], Accounts[ID], Accounts[Account nickname], "Unknown")</f>
        <v>Discover</v>
      </c>
      <c r="H1917" s="134" t="str">
        <f>_xlfn.XLOOKUP(Table1[[#This Row],[Account_ID]], Accounts[ID], Accounts[Account'#], "Unknown")</f>
        <v>4618</v>
      </c>
      <c r="I1917" s="135" t="str">
        <f>_xlfn.XLOOKUP(_xlfn.XLOOKUP(Table1[[#This Row],[Account]],Accounts[Account nickname],Accounts[Institution ID]),Institutions[ID],Institutions[Institution nickname],"Unknown")</f>
        <v>Discover</v>
      </c>
      <c r="J1917" s="136" t="s">
        <v>3205</v>
      </c>
      <c r="K1917" s="137" t="s">
        <v>843</v>
      </c>
      <c r="L1917" s="137" t="s">
        <v>841</v>
      </c>
      <c r="M191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1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17" s="138" t="str" cm="1">
        <f t="array" ref="O1917">IFERROR(INDEX(CategoriesTable[Category type],MATCH(Table1[[#This Row],[Category]],CategoriesTable[Category name],0),0),"")</f>
        <v/>
      </c>
      <c r="P1917" s="138">
        <v>23</v>
      </c>
      <c r="Q1917" s="138">
        <f>MONTH(Table1[[#This Row],[Date]])</f>
        <v>7</v>
      </c>
      <c r="R1917" s="138">
        <v>2020</v>
      </c>
      <c r="S1917" s="139">
        <f>IF(ISBLANK(Table1[[#This Row],[Date]]),"",Table1[[#This Row],[Date]]-WEEKDAY(Table1[[#This Row],[Date]],2)+1)</f>
        <v>44032</v>
      </c>
      <c r="T1917" s="140">
        <f>IF(ISBLANK(Table1[[#This Row],[Date]]),"",DATE(Table1[[#This Row],[Date_Year]],Table1[[#This Row],[Date_Month]],1))</f>
        <v>44013</v>
      </c>
    </row>
    <row r="1918" spans="2:20" ht="15.75">
      <c r="B1918" s="154">
        <v>44034</v>
      </c>
      <c r="C1918" s="119" t="s">
        <v>724</v>
      </c>
      <c r="D1918" s="119"/>
      <c r="E1918" s="119"/>
      <c r="F1918" s="155">
        <v>-65.540000000000006</v>
      </c>
      <c r="G1918" s="133" t="str">
        <f>_xlfn.XLOOKUP(Table1[[#This Row],[Account_ID]], Accounts[ID], Accounts[Account nickname], "Unknown")</f>
        <v>Discover</v>
      </c>
      <c r="H1918" s="134" t="str">
        <f>_xlfn.XLOOKUP(Table1[[#This Row],[Account_ID]], Accounts[ID], Accounts[Account'#], "Unknown")</f>
        <v>4618</v>
      </c>
      <c r="I1918" s="135" t="str">
        <f>_xlfn.XLOOKUP(_xlfn.XLOOKUP(Table1[[#This Row],[Account]],Accounts[Account nickname],Accounts[Institution ID]),Institutions[ID],Institutions[Institution nickname],"Unknown")</f>
        <v>Discover</v>
      </c>
      <c r="J1918" s="136" t="s">
        <v>3207</v>
      </c>
      <c r="K1918" s="137" t="s">
        <v>843</v>
      </c>
      <c r="L1918" s="137" t="s">
        <v>841</v>
      </c>
      <c r="M191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1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18" s="138" t="str" cm="1">
        <f t="array" ref="O1918">IFERROR(INDEX(CategoriesTable[Category type],MATCH(Table1[[#This Row],[Category]],CategoriesTable[Category name],0),0),"")</f>
        <v/>
      </c>
      <c r="P1918" s="138">
        <v>22</v>
      </c>
      <c r="Q1918" s="138">
        <f>MONTH(Table1[[#This Row],[Date]])</f>
        <v>7</v>
      </c>
      <c r="R1918" s="138">
        <v>2020</v>
      </c>
      <c r="S1918" s="139">
        <f>IF(ISBLANK(Table1[[#This Row],[Date]]),"",Table1[[#This Row],[Date]]-WEEKDAY(Table1[[#This Row],[Date]],2)+1)</f>
        <v>44032</v>
      </c>
      <c r="T1918" s="140">
        <f>IF(ISBLANK(Table1[[#This Row],[Date]]),"",DATE(Table1[[#This Row],[Date_Year]],Table1[[#This Row],[Date_Month]],1))</f>
        <v>44013</v>
      </c>
    </row>
    <row r="1919" spans="2:20" ht="15.75">
      <c r="B1919" s="154">
        <v>44034</v>
      </c>
      <c r="C1919" s="119" t="s">
        <v>698</v>
      </c>
      <c r="D1919" s="119"/>
      <c r="E1919" s="119"/>
      <c r="F1919" s="155">
        <v>-9.99</v>
      </c>
      <c r="G1919" s="133" t="str">
        <f>_xlfn.XLOOKUP(Table1[[#This Row],[Account_ID]], Accounts[ID], Accounts[Account nickname], "Unknown")</f>
        <v>Discover</v>
      </c>
      <c r="H1919" s="134" t="str">
        <f>_xlfn.XLOOKUP(Table1[[#This Row],[Account_ID]], Accounts[ID], Accounts[Account'#], "Unknown")</f>
        <v>4618</v>
      </c>
      <c r="I1919" s="135" t="str">
        <f>_xlfn.XLOOKUP(_xlfn.XLOOKUP(Table1[[#This Row],[Account]],Accounts[Account nickname],Accounts[Institution ID]),Institutions[ID],Institutions[Institution nickname],"Unknown")</f>
        <v>Discover</v>
      </c>
      <c r="J1919" s="136" t="s">
        <v>3206</v>
      </c>
      <c r="K1919" s="137" t="s">
        <v>843</v>
      </c>
      <c r="L1919" s="137" t="s">
        <v>841</v>
      </c>
      <c r="M191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1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19" s="138" t="str" cm="1">
        <f t="array" ref="O1919">IFERROR(INDEX(CategoriesTable[Category type],MATCH(Table1[[#This Row],[Category]],CategoriesTable[Category name],0),0),"")</f>
        <v/>
      </c>
      <c r="P1919" s="138">
        <v>22</v>
      </c>
      <c r="Q1919" s="138">
        <f>MONTH(Table1[[#This Row],[Date]])</f>
        <v>7</v>
      </c>
      <c r="R1919" s="138">
        <v>2020</v>
      </c>
      <c r="S1919" s="139">
        <f>IF(ISBLANK(Table1[[#This Row],[Date]]),"",Table1[[#This Row],[Date]]-WEEKDAY(Table1[[#This Row],[Date]],2)+1)</f>
        <v>44032</v>
      </c>
      <c r="T1919" s="140">
        <f>IF(ISBLANK(Table1[[#This Row],[Date]]),"",DATE(Table1[[#This Row],[Date_Year]],Table1[[#This Row],[Date_Month]],1))</f>
        <v>44013</v>
      </c>
    </row>
    <row r="1920" spans="2:20" ht="15.75">
      <c r="B1920" s="154">
        <v>44032</v>
      </c>
      <c r="C1920" s="119" t="s">
        <v>800</v>
      </c>
      <c r="D1920" s="119"/>
      <c r="E1920" s="119"/>
      <c r="F1920" s="155">
        <v>-103.93</v>
      </c>
      <c r="G1920" s="133" t="str">
        <f>_xlfn.XLOOKUP(Table1[[#This Row],[Account_ID]], Accounts[ID], Accounts[Account nickname], "Unknown")</f>
        <v>WF</v>
      </c>
      <c r="H1920" s="134" t="str">
        <f>_xlfn.XLOOKUP(Table1[[#This Row],[Account_ID]], Accounts[ID], Accounts[Account'#], "Unknown")</f>
        <v>4636</v>
      </c>
      <c r="I1920" s="135" t="str">
        <f>_xlfn.XLOOKUP(_xlfn.XLOOKUP(Table1[[#This Row],[Account]],Accounts[Account nickname],Accounts[Institution ID]),Institutions[ID],Institutions[Institution nickname],"Unknown")</f>
        <v>Wells Fargo</v>
      </c>
      <c r="J1920" s="136" t="s">
        <v>1364</v>
      </c>
      <c r="K1920" s="137" t="s">
        <v>808</v>
      </c>
      <c r="L1920" s="137" t="s">
        <v>807</v>
      </c>
      <c r="M192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2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20" s="138" t="str" cm="1">
        <f t="array" ref="O1920">IFERROR(INDEX(CategoriesTable[Category type],MATCH(Table1[[#This Row],[Category]],CategoriesTable[Category name],0),0),"")</f>
        <v/>
      </c>
      <c r="P1920" s="138">
        <v>20</v>
      </c>
      <c r="Q1920" s="138">
        <f>MONTH(Table1[[#This Row],[Date]])</f>
        <v>7</v>
      </c>
      <c r="R1920" s="138">
        <v>2020</v>
      </c>
      <c r="S1920" s="139">
        <f>IF(ISBLANK(Table1[[#This Row],[Date]]),"",Table1[[#This Row],[Date]]-WEEKDAY(Table1[[#This Row],[Date]],2)+1)</f>
        <v>44032</v>
      </c>
      <c r="T1920" s="140">
        <f>IF(ISBLANK(Table1[[#This Row],[Date]]),"",DATE(Table1[[#This Row],[Date_Year]],Table1[[#This Row],[Date_Month]],1))</f>
        <v>44013</v>
      </c>
    </row>
    <row r="1921" spans="2:20" ht="15.75">
      <c r="B1921" s="154">
        <v>44031</v>
      </c>
      <c r="C1921" s="119" t="s">
        <v>801</v>
      </c>
      <c r="D1921" s="119"/>
      <c r="E1921" s="119"/>
      <c r="F1921" s="155">
        <v>-5.64</v>
      </c>
      <c r="G1921" s="133" t="str">
        <f>_xlfn.XLOOKUP(Table1[[#This Row],[Account_ID]], Accounts[ID], Accounts[Account nickname], "Unknown")</f>
        <v>WF</v>
      </c>
      <c r="H1921" s="134" t="str">
        <f>_xlfn.XLOOKUP(Table1[[#This Row],[Account_ID]], Accounts[ID], Accounts[Account'#], "Unknown")</f>
        <v>4636</v>
      </c>
      <c r="I1921" s="135" t="str">
        <f>_xlfn.XLOOKUP(_xlfn.XLOOKUP(Table1[[#This Row],[Account]],Accounts[Account nickname],Accounts[Institution ID]),Institutions[ID],Institutions[Institution nickname],"Unknown")</f>
        <v>Wells Fargo</v>
      </c>
      <c r="J1921" s="136" t="s">
        <v>1365</v>
      </c>
      <c r="K1921" s="137" t="s">
        <v>808</v>
      </c>
      <c r="L1921" s="137" t="s">
        <v>807</v>
      </c>
      <c r="M192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2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21" s="138" t="str" cm="1">
        <f t="array" ref="O1921">IFERROR(INDEX(CategoriesTable[Category type],MATCH(Table1[[#This Row],[Category]],CategoriesTable[Category name],0),0),"")</f>
        <v/>
      </c>
      <c r="P1921" s="138">
        <v>19</v>
      </c>
      <c r="Q1921" s="138">
        <f>MONTH(Table1[[#This Row],[Date]])</f>
        <v>7</v>
      </c>
      <c r="R1921" s="138">
        <v>2020</v>
      </c>
      <c r="S1921" s="139">
        <f>IF(ISBLANK(Table1[[#This Row],[Date]]),"",Table1[[#This Row],[Date]]-WEEKDAY(Table1[[#This Row],[Date]],2)+1)</f>
        <v>44025</v>
      </c>
      <c r="T1921" s="140">
        <f>IF(ISBLANK(Table1[[#This Row],[Date]]),"",DATE(Table1[[#This Row],[Date_Year]],Table1[[#This Row],[Date_Month]],1))</f>
        <v>44013</v>
      </c>
    </row>
    <row r="1922" spans="2:20" ht="15.75">
      <c r="B1922" s="154">
        <v>44030</v>
      </c>
      <c r="C1922" s="119" t="s">
        <v>794</v>
      </c>
      <c r="D1922" s="119"/>
      <c r="E1922" s="119"/>
      <c r="F1922" s="155">
        <v>-100</v>
      </c>
      <c r="G1922" s="133" t="str">
        <f>_xlfn.XLOOKUP(Table1[[#This Row],[Account_ID]], Accounts[ID], Accounts[Account nickname], "Unknown")</f>
        <v>WF</v>
      </c>
      <c r="H1922" s="134" t="str">
        <f>_xlfn.XLOOKUP(Table1[[#This Row],[Account_ID]], Accounts[ID], Accounts[Account'#], "Unknown")</f>
        <v>4636</v>
      </c>
      <c r="I1922" s="135" t="str">
        <f>_xlfn.XLOOKUP(_xlfn.XLOOKUP(Table1[[#This Row],[Account]],Accounts[Account nickname],Accounts[Institution ID]),Institutions[ID],Institutions[Institution nickname],"Unknown")</f>
        <v>Wells Fargo</v>
      </c>
      <c r="J1922" s="136" t="s">
        <v>1366</v>
      </c>
      <c r="K1922" s="137" t="s">
        <v>808</v>
      </c>
      <c r="L1922" s="137" t="s">
        <v>807</v>
      </c>
      <c r="M192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2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22" s="138" t="str" cm="1">
        <f t="array" ref="O1922">IFERROR(INDEX(CategoriesTable[Category type],MATCH(Table1[[#This Row],[Category]],CategoriesTable[Category name],0),0),"")</f>
        <v/>
      </c>
      <c r="P1922" s="138">
        <v>18</v>
      </c>
      <c r="Q1922" s="138">
        <f>MONTH(Table1[[#This Row],[Date]])</f>
        <v>7</v>
      </c>
      <c r="R1922" s="138">
        <v>2020</v>
      </c>
      <c r="S1922" s="139">
        <f>IF(ISBLANK(Table1[[#This Row],[Date]]),"",Table1[[#This Row],[Date]]-WEEKDAY(Table1[[#This Row],[Date]],2)+1)</f>
        <v>44025</v>
      </c>
      <c r="T1922" s="140">
        <f>IF(ISBLANK(Table1[[#This Row],[Date]]),"",DATE(Table1[[#This Row],[Date_Year]],Table1[[#This Row],[Date_Month]],1))</f>
        <v>44013</v>
      </c>
    </row>
    <row r="1923" spans="2:20" ht="15.75">
      <c r="B1923" s="154">
        <v>44030</v>
      </c>
      <c r="C1923" s="119" t="s">
        <v>2381</v>
      </c>
      <c r="D1923" s="119"/>
      <c r="E1923" s="119"/>
      <c r="F1923" s="155">
        <v>-122.04</v>
      </c>
      <c r="G1923" s="133" t="str">
        <f>_xlfn.XLOOKUP(Table1[[#This Row],[Account_ID]], Accounts[ID], Accounts[Account nickname], "Unknown")</f>
        <v>Discover</v>
      </c>
      <c r="H1923" s="134" t="str">
        <f>_xlfn.XLOOKUP(Table1[[#This Row],[Account_ID]], Accounts[ID], Accounts[Account'#], "Unknown")</f>
        <v>4618</v>
      </c>
      <c r="I1923" s="135" t="str">
        <f>_xlfn.XLOOKUP(_xlfn.XLOOKUP(Table1[[#This Row],[Account]],Accounts[Account nickname],Accounts[Institution ID]),Institutions[ID],Institutions[Institution nickname],"Unknown")</f>
        <v>Discover</v>
      </c>
      <c r="J1923" s="136" t="s">
        <v>3208</v>
      </c>
      <c r="K1923" s="137" t="s">
        <v>843</v>
      </c>
      <c r="L1923" s="137" t="s">
        <v>841</v>
      </c>
      <c r="M192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2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23" s="138" t="str" cm="1">
        <f t="array" ref="O1923">IFERROR(INDEX(CategoriesTable[Category type],MATCH(Table1[[#This Row],[Category]],CategoriesTable[Category name],0),0),"")</f>
        <v/>
      </c>
      <c r="P1923" s="138">
        <v>18</v>
      </c>
      <c r="Q1923" s="138">
        <f>MONTH(Table1[[#This Row],[Date]])</f>
        <v>7</v>
      </c>
      <c r="R1923" s="138">
        <v>2020</v>
      </c>
      <c r="S1923" s="139">
        <f>IF(ISBLANK(Table1[[#This Row],[Date]]),"",Table1[[#This Row],[Date]]-WEEKDAY(Table1[[#This Row],[Date]],2)+1)</f>
        <v>44025</v>
      </c>
      <c r="T1923" s="140">
        <f>IF(ISBLANK(Table1[[#This Row],[Date]]),"",DATE(Table1[[#This Row],[Date_Year]],Table1[[#This Row],[Date_Month]],1))</f>
        <v>44013</v>
      </c>
    </row>
    <row r="1924" spans="2:20" ht="15.75">
      <c r="B1924" s="154">
        <v>44029</v>
      </c>
      <c r="C1924" s="119" t="s">
        <v>686</v>
      </c>
      <c r="D1924" s="119"/>
      <c r="E1924" s="119"/>
      <c r="F1924" s="155">
        <v>-234</v>
      </c>
      <c r="G1924" s="133" t="str">
        <f>_xlfn.XLOOKUP(Table1[[#This Row],[Account_ID]], Accounts[ID], Accounts[Account nickname], "Unknown")</f>
        <v>WF</v>
      </c>
      <c r="H1924" s="134" t="str">
        <f>_xlfn.XLOOKUP(Table1[[#This Row],[Account_ID]], Accounts[ID], Accounts[Account'#], "Unknown")</f>
        <v>4636</v>
      </c>
      <c r="I1924" s="135" t="str">
        <f>_xlfn.XLOOKUP(_xlfn.XLOOKUP(Table1[[#This Row],[Account]],Accounts[Account nickname],Accounts[Institution ID]),Institutions[ID],Institutions[Institution nickname],"Unknown")</f>
        <v>Wells Fargo</v>
      </c>
      <c r="J1924" s="136" t="s">
        <v>1368</v>
      </c>
      <c r="K1924" s="137" t="s">
        <v>808</v>
      </c>
      <c r="L1924" s="137" t="s">
        <v>807</v>
      </c>
      <c r="M192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2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24" s="138" t="str" cm="1">
        <f t="array" ref="O1924">IFERROR(INDEX(CategoriesTable[Category type],MATCH(Table1[[#This Row],[Category]],CategoriesTable[Category name],0),0),"")</f>
        <v/>
      </c>
      <c r="P1924" s="138">
        <v>17</v>
      </c>
      <c r="Q1924" s="138">
        <f>MONTH(Table1[[#This Row],[Date]])</f>
        <v>7</v>
      </c>
      <c r="R1924" s="138">
        <v>2020</v>
      </c>
      <c r="S1924" s="139">
        <f>IF(ISBLANK(Table1[[#This Row],[Date]]),"",Table1[[#This Row],[Date]]-WEEKDAY(Table1[[#This Row],[Date]],2)+1)</f>
        <v>44025</v>
      </c>
      <c r="T1924" s="140">
        <f>IF(ISBLANK(Table1[[#This Row],[Date]]),"",DATE(Table1[[#This Row],[Date_Year]],Table1[[#This Row],[Date_Month]],1))</f>
        <v>44013</v>
      </c>
    </row>
    <row r="1925" spans="2:20" ht="15.75">
      <c r="B1925" s="154">
        <v>44029</v>
      </c>
      <c r="C1925" s="119" t="s">
        <v>751</v>
      </c>
      <c r="D1925" s="119"/>
      <c r="E1925" s="119"/>
      <c r="F1925" s="155">
        <v>974.28</v>
      </c>
      <c r="G1925" s="133" t="str">
        <f>_xlfn.XLOOKUP(Table1[[#This Row],[Account_ID]], Accounts[ID], Accounts[Account nickname], "Unknown")</f>
        <v>WF</v>
      </c>
      <c r="H1925" s="134" t="str">
        <f>_xlfn.XLOOKUP(Table1[[#This Row],[Account_ID]], Accounts[ID], Accounts[Account'#], "Unknown")</f>
        <v>4636</v>
      </c>
      <c r="I1925" s="135" t="str">
        <f>_xlfn.XLOOKUP(_xlfn.XLOOKUP(Table1[[#This Row],[Account]],Accounts[Account nickname],Accounts[Institution ID]),Institutions[ID],Institutions[Institution nickname],"Unknown")</f>
        <v>Wells Fargo</v>
      </c>
      <c r="J1925" s="136" t="s">
        <v>1369</v>
      </c>
      <c r="K1925" s="137" t="s">
        <v>808</v>
      </c>
      <c r="L1925" s="137" t="s">
        <v>807</v>
      </c>
      <c r="M192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2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25" s="138" t="str" cm="1">
        <f t="array" ref="O1925">IFERROR(INDEX(CategoriesTable[Category type],MATCH(Table1[[#This Row],[Category]],CategoriesTable[Category name],0),0),"")</f>
        <v/>
      </c>
      <c r="P1925" s="138">
        <v>17</v>
      </c>
      <c r="Q1925" s="138">
        <f>MONTH(Table1[[#This Row],[Date]])</f>
        <v>7</v>
      </c>
      <c r="R1925" s="138">
        <v>2020</v>
      </c>
      <c r="S1925" s="139">
        <f>IF(ISBLANK(Table1[[#This Row],[Date]]),"",Table1[[#This Row],[Date]]-WEEKDAY(Table1[[#This Row],[Date]],2)+1)</f>
        <v>44025</v>
      </c>
      <c r="T1925" s="140">
        <f>IF(ISBLANK(Table1[[#This Row],[Date]]),"",DATE(Table1[[#This Row],[Date_Year]],Table1[[#This Row],[Date_Month]],1))</f>
        <v>44013</v>
      </c>
    </row>
    <row r="1926" spans="2:20" ht="15.75">
      <c r="B1926" s="154">
        <v>44029</v>
      </c>
      <c r="C1926" s="119" t="s">
        <v>693</v>
      </c>
      <c r="D1926" s="119"/>
      <c r="E1926" s="119"/>
      <c r="F1926" s="155">
        <v>-150</v>
      </c>
      <c r="G1926" s="133" t="str">
        <f>_xlfn.XLOOKUP(Table1[[#This Row],[Account_ID]], Accounts[ID], Accounts[Account nickname], "Unknown")</f>
        <v>WF</v>
      </c>
      <c r="H1926" s="134" t="str">
        <f>_xlfn.XLOOKUP(Table1[[#This Row],[Account_ID]], Accounts[ID], Accounts[Account'#], "Unknown")</f>
        <v>4636</v>
      </c>
      <c r="I1926" s="135" t="str">
        <f>_xlfn.XLOOKUP(_xlfn.XLOOKUP(Table1[[#This Row],[Account]],Accounts[Account nickname],Accounts[Institution ID]),Institutions[ID],Institutions[Institution nickname],"Unknown")</f>
        <v>Wells Fargo</v>
      </c>
      <c r="J1926" s="136" t="s">
        <v>1367</v>
      </c>
      <c r="K1926" s="137" t="s">
        <v>808</v>
      </c>
      <c r="L1926" s="137" t="s">
        <v>807</v>
      </c>
      <c r="M192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2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26" s="138" t="str" cm="1">
        <f t="array" ref="O1926">IFERROR(INDEX(CategoriesTable[Category type],MATCH(Table1[[#This Row],[Category]],CategoriesTable[Category name],0),0),"")</f>
        <v/>
      </c>
      <c r="P1926" s="138">
        <v>17</v>
      </c>
      <c r="Q1926" s="138">
        <f>MONTH(Table1[[#This Row],[Date]])</f>
        <v>7</v>
      </c>
      <c r="R1926" s="138">
        <v>2020</v>
      </c>
      <c r="S1926" s="139">
        <f>IF(ISBLANK(Table1[[#This Row],[Date]]),"",Table1[[#This Row],[Date]]-WEEKDAY(Table1[[#This Row],[Date]],2)+1)</f>
        <v>44025</v>
      </c>
      <c r="T1926" s="140">
        <f>IF(ISBLANK(Table1[[#This Row],[Date]]),"",DATE(Table1[[#This Row],[Date_Year]],Table1[[#This Row],[Date_Month]],1))</f>
        <v>44013</v>
      </c>
    </row>
    <row r="1927" spans="2:20" ht="15.75">
      <c r="B1927" s="154">
        <v>44029</v>
      </c>
      <c r="C1927" s="119" t="s">
        <v>845</v>
      </c>
      <c r="D1927" s="119"/>
      <c r="E1927" s="119"/>
      <c r="F1927" s="155">
        <v>234</v>
      </c>
      <c r="G1927" s="133" t="str">
        <f>_xlfn.XLOOKUP(Table1[[#This Row],[Account_ID]], Accounts[ID], Accounts[Account nickname], "Unknown")</f>
        <v>Discover</v>
      </c>
      <c r="H1927" s="134" t="str">
        <f>_xlfn.XLOOKUP(Table1[[#This Row],[Account_ID]], Accounts[ID], Accounts[Account'#], "Unknown")</f>
        <v>4618</v>
      </c>
      <c r="I1927" s="135" t="str">
        <f>_xlfn.XLOOKUP(_xlfn.XLOOKUP(Table1[[#This Row],[Account]],Accounts[Account nickname],Accounts[Institution ID]),Institutions[ID],Institutions[Institution nickname],"Unknown")</f>
        <v>Discover</v>
      </c>
      <c r="J1927" s="136" t="s">
        <v>3209</v>
      </c>
      <c r="K1927" s="137" t="s">
        <v>843</v>
      </c>
      <c r="L1927" s="137" t="s">
        <v>841</v>
      </c>
      <c r="M192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2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27" s="138" t="str" cm="1">
        <f t="array" ref="O1927">IFERROR(INDEX(CategoriesTable[Category type],MATCH(Table1[[#This Row],[Category]],CategoriesTable[Category name],0),0),"")</f>
        <v/>
      </c>
      <c r="P1927" s="138">
        <v>17</v>
      </c>
      <c r="Q1927" s="138">
        <f>MONTH(Table1[[#This Row],[Date]])</f>
        <v>7</v>
      </c>
      <c r="R1927" s="138">
        <v>2020</v>
      </c>
      <c r="S1927" s="139">
        <f>IF(ISBLANK(Table1[[#This Row],[Date]]),"",Table1[[#This Row],[Date]]-WEEKDAY(Table1[[#This Row],[Date]],2)+1)</f>
        <v>44025</v>
      </c>
      <c r="T1927" s="140">
        <f>IF(ISBLANK(Table1[[#This Row],[Date]]),"",DATE(Table1[[#This Row],[Date_Year]],Table1[[#This Row],[Date_Month]],1))</f>
        <v>44013</v>
      </c>
    </row>
    <row r="1928" spans="2:20" ht="15.75">
      <c r="B1928" s="154">
        <v>44027</v>
      </c>
      <c r="C1928" s="119" t="s">
        <v>1479</v>
      </c>
      <c r="D1928" s="119"/>
      <c r="E1928" s="119"/>
      <c r="F1928" s="155">
        <v>407.24</v>
      </c>
      <c r="G1928" s="133" t="str">
        <f>_xlfn.XLOOKUP(Table1[[#This Row],[Account_ID]], Accounts[ID], Accounts[Account nickname], "Unknown")</f>
        <v>Discover</v>
      </c>
      <c r="H1928" s="134" t="str">
        <f>_xlfn.XLOOKUP(Table1[[#This Row],[Account_ID]], Accounts[ID], Accounts[Account'#], "Unknown")</f>
        <v>4618</v>
      </c>
      <c r="I1928" s="135" t="str">
        <f>_xlfn.XLOOKUP(_xlfn.XLOOKUP(Table1[[#This Row],[Account]],Accounts[Account nickname],Accounts[Institution ID]),Institutions[ID],Institutions[Institution nickname],"Unknown")</f>
        <v>Discover</v>
      </c>
      <c r="J1928" s="136" t="s">
        <v>3210</v>
      </c>
      <c r="K1928" s="137" t="s">
        <v>843</v>
      </c>
      <c r="L1928" s="137" t="s">
        <v>841</v>
      </c>
      <c r="M192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2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28" s="138" t="str" cm="1">
        <f t="array" ref="O1928">IFERROR(INDEX(CategoriesTable[Category type],MATCH(Table1[[#This Row],[Category]],CategoriesTable[Category name],0),0),"")</f>
        <v/>
      </c>
      <c r="P1928" s="138">
        <v>15</v>
      </c>
      <c r="Q1928" s="138">
        <f>MONTH(Table1[[#This Row],[Date]])</f>
        <v>7</v>
      </c>
      <c r="R1928" s="138">
        <v>2020</v>
      </c>
      <c r="S1928" s="139">
        <f>IF(ISBLANK(Table1[[#This Row],[Date]]),"",Table1[[#This Row],[Date]]-WEEKDAY(Table1[[#This Row],[Date]],2)+1)</f>
        <v>44025</v>
      </c>
      <c r="T1928" s="140">
        <f>IF(ISBLANK(Table1[[#This Row],[Date]]),"",DATE(Table1[[#This Row],[Date_Year]],Table1[[#This Row],[Date_Month]],1))</f>
        <v>44013</v>
      </c>
    </row>
    <row r="1929" spans="2:20" ht="15.75">
      <c r="B1929" s="154">
        <v>44025</v>
      </c>
      <c r="C1929" s="119" t="s">
        <v>2590</v>
      </c>
      <c r="D1929" s="119"/>
      <c r="E1929" s="119"/>
      <c r="F1929" s="155">
        <v>-59.33</v>
      </c>
      <c r="G1929" s="133" t="str">
        <f>_xlfn.XLOOKUP(Table1[[#This Row],[Account_ID]], Accounts[ID], Accounts[Account nickname], "Unknown")</f>
        <v>Discover</v>
      </c>
      <c r="H1929" s="134" t="str">
        <f>_xlfn.XLOOKUP(Table1[[#This Row],[Account_ID]], Accounts[ID], Accounts[Account'#], "Unknown")</f>
        <v>4618</v>
      </c>
      <c r="I1929" s="135" t="str">
        <f>_xlfn.XLOOKUP(_xlfn.XLOOKUP(Table1[[#This Row],[Account]],Accounts[Account nickname],Accounts[Institution ID]),Institutions[ID],Institutions[Institution nickname],"Unknown")</f>
        <v>Discover</v>
      </c>
      <c r="J1929" s="136" t="s">
        <v>3211</v>
      </c>
      <c r="K1929" s="137" t="s">
        <v>843</v>
      </c>
      <c r="L1929" s="137" t="s">
        <v>841</v>
      </c>
      <c r="M192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2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29" s="138" t="str" cm="1">
        <f t="array" ref="O1929">IFERROR(INDEX(CategoriesTable[Category type],MATCH(Table1[[#This Row],[Category]],CategoriesTable[Category name],0),0),"")</f>
        <v/>
      </c>
      <c r="P1929" s="138">
        <v>13</v>
      </c>
      <c r="Q1929" s="138">
        <f>MONTH(Table1[[#This Row],[Date]])</f>
        <v>7</v>
      </c>
      <c r="R1929" s="138">
        <v>2020</v>
      </c>
      <c r="S1929" s="139">
        <f>IF(ISBLANK(Table1[[#This Row],[Date]]),"",Table1[[#This Row],[Date]]-WEEKDAY(Table1[[#This Row],[Date]],2)+1)</f>
        <v>44025</v>
      </c>
      <c r="T1929" s="140">
        <f>IF(ISBLANK(Table1[[#This Row],[Date]]),"",DATE(Table1[[#This Row],[Date_Year]],Table1[[#This Row],[Date_Month]],1))</f>
        <v>44013</v>
      </c>
    </row>
    <row r="1930" spans="2:20" ht="15.75">
      <c r="B1930" s="154">
        <v>44023</v>
      </c>
      <c r="C1930" s="119" t="s">
        <v>1403</v>
      </c>
      <c r="D1930" s="119"/>
      <c r="E1930" s="119"/>
      <c r="F1930" s="155">
        <v>-29.37</v>
      </c>
      <c r="G1930" s="133" t="str">
        <f>_xlfn.XLOOKUP(Table1[[#This Row],[Account_ID]], Accounts[ID], Accounts[Account nickname], "Unknown")</f>
        <v>Discover</v>
      </c>
      <c r="H1930" s="134" t="str">
        <f>_xlfn.XLOOKUP(Table1[[#This Row],[Account_ID]], Accounts[ID], Accounts[Account'#], "Unknown")</f>
        <v>4618</v>
      </c>
      <c r="I1930" s="135" t="str">
        <f>_xlfn.XLOOKUP(_xlfn.XLOOKUP(Table1[[#This Row],[Account]],Accounts[Account nickname],Accounts[Institution ID]),Institutions[ID],Institutions[Institution nickname],"Unknown")</f>
        <v>Discover</v>
      </c>
      <c r="J1930" s="152" t="s">
        <v>3212</v>
      </c>
      <c r="K1930" s="137" t="s">
        <v>843</v>
      </c>
      <c r="L1930" s="137" t="s">
        <v>841</v>
      </c>
      <c r="M193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3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30" s="138" t="str" cm="1">
        <f t="array" ref="O1930">IFERROR(INDEX(CategoriesTable[Category type],MATCH(Table1[[#This Row],[Category]],CategoriesTable[Category name],0),0),"")</f>
        <v/>
      </c>
      <c r="P1930" s="138">
        <v>11</v>
      </c>
      <c r="Q1930" s="138">
        <f>MONTH(Table1[[#This Row],[Date]])</f>
        <v>7</v>
      </c>
      <c r="R1930" s="138">
        <v>2020</v>
      </c>
      <c r="S1930" s="139">
        <f>IF(ISBLANK(Table1[[#This Row],[Date]]),"",Table1[[#This Row],[Date]]-WEEKDAY(Table1[[#This Row],[Date]],2)+1)</f>
        <v>44018</v>
      </c>
      <c r="T1930" s="140">
        <f>IF(ISBLANK(Table1[[#This Row],[Date]]),"",DATE(Table1[[#This Row],[Date_Year]],Table1[[#This Row],[Date_Month]],1))</f>
        <v>44013</v>
      </c>
    </row>
    <row r="1931" spans="2:20" ht="15.75">
      <c r="B1931" s="154">
        <v>44023</v>
      </c>
      <c r="C1931" s="119" t="s">
        <v>693</v>
      </c>
      <c r="D1931" s="119"/>
      <c r="E1931" s="119"/>
      <c r="F1931" s="155">
        <v>-180</v>
      </c>
      <c r="G1931" s="133" t="str">
        <f>_xlfn.XLOOKUP(Table1[[#This Row],[Account_ID]], Accounts[ID], Accounts[Account nickname], "Unknown")</f>
        <v>WF</v>
      </c>
      <c r="H1931" s="134" t="str">
        <f>_xlfn.XLOOKUP(Table1[[#This Row],[Account_ID]], Accounts[ID], Accounts[Account'#], "Unknown")</f>
        <v>4636</v>
      </c>
      <c r="I1931" s="135" t="str">
        <f>_xlfn.XLOOKUP(_xlfn.XLOOKUP(Table1[[#This Row],[Account]],Accounts[Account nickname],Accounts[Institution ID]),Institutions[ID],Institutions[Institution nickname],"Unknown")</f>
        <v>Wells Fargo</v>
      </c>
      <c r="J1931" s="136" t="s">
        <v>1370</v>
      </c>
      <c r="K1931" s="137" t="s">
        <v>808</v>
      </c>
      <c r="L1931" s="137" t="s">
        <v>807</v>
      </c>
      <c r="M193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3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31" s="138" t="str" cm="1">
        <f t="array" ref="O1931">IFERROR(INDEX(CategoriesTable[Category type],MATCH(Table1[[#This Row],[Category]],CategoriesTable[Category name],0),0),"")</f>
        <v/>
      </c>
      <c r="P1931" s="138">
        <v>11</v>
      </c>
      <c r="Q1931" s="138">
        <f>MONTH(Table1[[#This Row],[Date]])</f>
        <v>7</v>
      </c>
      <c r="R1931" s="138">
        <v>2020</v>
      </c>
      <c r="S1931" s="139">
        <f>IF(ISBLANK(Table1[[#This Row],[Date]]),"",Table1[[#This Row],[Date]]-WEEKDAY(Table1[[#This Row],[Date]],2)+1)</f>
        <v>44018</v>
      </c>
      <c r="T1931" s="140">
        <f>IF(ISBLANK(Table1[[#This Row],[Date]]),"",DATE(Table1[[#This Row],[Date_Year]],Table1[[#This Row],[Date_Month]],1))</f>
        <v>44013</v>
      </c>
    </row>
    <row r="1932" spans="2:20" ht="15.75">
      <c r="B1932" s="154">
        <v>44022</v>
      </c>
      <c r="C1932" s="119" t="s">
        <v>910</v>
      </c>
      <c r="D1932" s="119"/>
      <c r="E1932" s="119"/>
      <c r="F1932" s="155">
        <v>-14.99</v>
      </c>
      <c r="G1932" s="133" t="str">
        <f>_xlfn.XLOOKUP(Table1[[#This Row],[Account_ID]], Accounts[ID], Accounts[Account nickname], "Unknown")</f>
        <v>Discover</v>
      </c>
      <c r="H1932" s="134" t="str">
        <f>_xlfn.XLOOKUP(Table1[[#This Row],[Account_ID]], Accounts[ID], Accounts[Account'#], "Unknown")</f>
        <v>4618</v>
      </c>
      <c r="I1932" s="135" t="str">
        <f>_xlfn.XLOOKUP(_xlfn.XLOOKUP(Table1[[#This Row],[Account]],Accounts[Account nickname],Accounts[Institution ID]),Institutions[ID],Institutions[Institution nickname],"Unknown")</f>
        <v>Discover</v>
      </c>
      <c r="J1932" s="136" t="s">
        <v>3213</v>
      </c>
      <c r="K1932" s="137" t="s">
        <v>843</v>
      </c>
      <c r="L1932" s="137" t="s">
        <v>841</v>
      </c>
      <c r="M193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3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32" s="138" t="str" cm="1">
        <f t="array" ref="O1932">IFERROR(INDEX(CategoriesTable[Category type],MATCH(Table1[[#This Row],[Category]],CategoriesTable[Category name],0),0),"")</f>
        <v/>
      </c>
      <c r="P1932" s="138">
        <v>10</v>
      </c>
      <c r="Q1932" s="138">
        <f>MONTH(Table1[[#This Row],[Date]])</f>
        <v>7</v>
      </c>
      <c r="R1932" s="138">
        <v>2020</v>
      </c>
      <c r="S1932" s="139">
        <f>IF(ISBLANK(Table1[[#This Row],[Date]]),"",Table1[[#This Row],[Date]]-WEEKDAY(Table1[[#This Row],[Date]],2)+1)</f>
        <v>44018</v>
      </c>
      <c r="T1932" s="140">
        <f>IF(ISBLANK(Table1[[#This Row],[Date]]),"",DATE(Table1[[#This Row],[Date_Year]],Table1[[#This Row],[Date_Month]],1))</f>
        <v>44013</v>
      </c>
    </row>
    <row r="1933" spans="2:20" ht="15.75">
      <c r="B1933" s="154">
        <v>44022</v>
      </c>
      <c r="C1933" s="119" t="s">
        <v>3053</v>
      </c>
      <c r="D1933" s="119"/>
      <c r="E1933" s="119"/>
      <c r="F1933" s="155">
        <v>-7.99</v>
      </c>
      <c r="G1933" s="133" t="str">
        <f>_xlfn.XLOOKUP(Table1[[#This Row],[Account_ID]], Accounts[ID], Accounts[Account nickname], "Unknown")</f>
        <v>Discover</v>
      </c>
      <c r="H1933" s="134" t="str">
        <f>_xlfn.XLOOKUP(Table1[[#This Row],[Account_ID]], Accounts[ID], Accounts[Account'#], "Unknown")</f>
        <v>4618</v>
      </c>
      <c r="I1933" s="135" t="str">
        <f>_xlfn.XLOOKUP(_xlfn.XLOOKUP(Table1[[#This Row],[Account]],Accounts[Account nickname],Accounts[Institution ID]),Institutions[ID],Institutions[Institution nickname],"Unknown")</f>
        <v>Discover</v>
      </c>
      <c r="J1933" s="136" t="s">
        <v>3214</v>
      </c>
      <c r="K1933" s="137" t="s">
        <v>843</v>
      </c>
      <c r="L1933" s="137" t="s">
        <v>841</v>
      </c>
      <c r="M193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3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33" s="138" t="str" cm="1">
        <f t="array" ref="O1933">IFERROR(INDEX(CategoriesTable[Category type],MATCH(Table1[[#This Row],[Category]],CategoriesTable[Category name],0),0),"")</f>
        <v/>
      </c>
      <c r="P1933" s="138">
        <v>10</v>
      </c>
      <c r="Q1933" s="138">
        <f>MONTH(Table1[[#This Row],[Date]])</f>
        <v>7</v>
      </c>
      <c r="R1933" s="138">
        <v>2020</v>
      </c>
      <c r="S1933" s="139">
        <f>IF(ISBLANK(Table1[[#This Row],[Date]]),"",Table1[[#This Row],[Date]]-WEEKDAY(Table1[[#This Row],[Date]],2)+1)</f>
        <v>44018</v>
      </c>
      <c r="T1933" s="140">
        <f>IF(ISBLANK(Table1[[#This Row],[Date]]),"",DATE(Table1[[#This Row],[Date_Year]],Table1[[#This Row],[Date_Month]],1))</f>
        <v>44013</v>
      </c>
    </row>
    <row r="1934" spans="2:20" ht="15.75">
      <c r="B1934" s="154">
        <v>44021</v>
      </c>
      <c r="C1934" s="119" t="s">
        <v>860</v>
      </c>
      <c r="D1934" s="119"/>
      <c r="E1934" s="119"/>
      <c r="F1934" s="155">
        <v>-25.5</v>
      </c>
      <c r="G1934" s="133" t="str">
        <f>_xlfn.XLOOKUP(Table1[[#This Row],[Account_ID]], Accounts[ID], Accounts[Account nickname], "Unknown")</f>
        <v>Discover</v>
      </c>
      <c r="H1934" s="134" t="str">
        <f>_xlfn.XLOOKUP(Table1[[#This Row],[Account_ID]], Accounts[ID], Accounts[Account'#], "Unknown")</f>
        <v>4618</v>
      </c>
      <c r="I1934" s="135" t="str">
        <f>_xlfn.XLOOKUP(_xlfn.XLOOKUP(Table1[[#This Row],[Account]],Accounts[Account nickname],Accounts[Institution ID]),Institutions[ID],Institutions[Institution nickname],"Unknown")</f>
        <v>Discover</v>
      </c>
      <c r="J1934" s="136" t="s">
        <v>3215</v>
      </c>
      <c r="K1934" s="137" t="s">
        <v>843</v>
      </c>
      <c r="L1934" s="137" t="s">
        <v>841</v>
      </c>
      <c r="M193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3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34" s="138" t="str" cm="1">
        <f t="array" ref="O1934">IFERROR(INDEX(CategoriesTable[Category type],MATCH(Table1[[#This Row],[Category]],CategoriesTable[Category name],0),0),"")</f>
        <v/>
      </c>
      <c r="P1934" s="138">
        <v>9</v>
      </c>
      <c r="Q1934" s="138">
        <f>MONTH(Table1[[#This Row],[Date]])</f>
        <v>7</v>
      </c>
      <c r="R1934" s="138">
        <v>2020</v>
      </c>
      <c r="S1934" s="139">
        <f>IF(ISBLANK(Table1[[#This Row],[Date]]),"",Table1[[#This Row],[Date]]-WEEKDAY(Table1[[#This Row],[Date]],2)+1)</f>
        <v>44018</v>
      </c>
      <c r="T1934" s="140">
        <f>IF(ISBLANK(Table1[[#This Row],[Date]]),"",DATE(Table1[[#This Row],[Date_Year]],Table1[[#This Row],[Date_Month]],1))</f>
        <v>44013</v>
      </c>
    </row>
    <row r="1935" spans="2:20" ht="15.75">
      <c r="B1935" s="154">
        <v>44020</v>
      </c>
      <c r="C1935" s="119" t="s">
        <v>3161</v>
      </c>
      <c r="D1935" s="119"/>
      <c r="E1935" s="119"/>
      <c r="F1935" s="155">
        <v>108</v>
      </c>
      <c r="G1935" s="133" t="str">
        <f>_xlfn.XLOOKUP(Table1[[#This Row],[Account_ID]], Accounts[ID], Accounts[Account nickname], "Unknown")</f>
        <v>Discover</v>
      </c>
      <c r="H1935" s="134" t="str">
        <f>_xlfn.XLOOKUP(Table1[[#This Row],[Account_ID]], Accounts[ID], Accounts[Account'#], "Unknown")</f>
        <v>4618</v>
      </c>
      <c r="I1935" s="135" t="str">
        <f>_xlfn.XLOOKUP(_xlfn.XLOOKUP(Table1[[#This Row],[Account]],Accounts[Account nickname],Accounts[Institution ID]),Institutions[ID],Institutions[Institution nickname],"Unknown")</f>
        <v>Discover</v>
      </c>
      <c r="J1935" s="136" t="s">
        <v>3217</v>
      </c>
      <c r="K1935" s="137" t="s">
        <v>843</v>
      </c>
      <c r="L1935" s="137" t="s">
        <v>841</v>
      </c>
      <c r="M193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3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35" s="138" t="str" cm="1">
        <f t="array" ref="O1935">IFERROR(INDEX(CategoriesTable[Category type],MATCH(Table1[[#This Row],[Category]],CategoriesTable[Category name],0),0),"")</f>
        <v/>
      </c>
      <c r="P1935" s="138">
        <v>8</v>
      </c>
      <c r="Q1935" s="138">
        <f>MONTH(Table1[[#This Row],[Date]])</f>
        <v>7</v>
      </c>
      <c r="R1935" s="138">
        <v>2020</v>
      </c>
      <c r="S1935" s="139">
        <f>IF(ISBLANK(Table1[[#This Row],[Date]]),"",Table1[[#This Row],[Date]]-WEEKDAY(Table1[[#This Row],[Date]],2)+1)</f>
        <v>44018</v>
      </c>
      <c r="T1935" s="140">
        <f>IF(ISBLANK(Table1[[#This Row],[Date]]),"",DATE(Table1[[#This Row],[Date_Year]],Table1[[#This Row],[Date_Month]],1))</f>
        <v>44013</v>
      </c>
    </row>
    <row r="1936" spans="2:20" ht="15.75">
      <c r="B1936" s="154">
        <v>44020</v>
      </c>
      <c r="C1936" s="119" t="s">
        <v>3163</v>
      </c>
      <c r="D1936" s="119"/>
      <c r="E1936" s="119"/>
      <c r="F1936" s="155">
        <v>-29</v>
      </c>
      <c r="G1936" s="133" t="str">
        <f>_xlfn.XLOOKUP(Table1[[#This Row],[Account_ID]], Accounts[ID], Accounts[Account nickname], "Unknown")</f>
        <v>Discover</v>
      </c>
      <c r="H1936" s="134" t="str">
        <f>_xlfn.XLOOKUP(Table1[[#This Row],[Account_ID]], Accounts[ID], Accounts[Account'#], "Unknown")</f>
        <v>4618</v>
      </c>
      <c r="I1936" s="135" t="str">
        <f>_xlfn.XLOOKUP(_xlfn.XLOOKUP(Table1[[#This Row],[Account]],Accounts[Account nickname],Accounts[Institution ID]),Institutions[ID],Institutions[Institution nickname],"Unknown")</f>
        <v>Discover</v>
      </c>
      <c r="J1936" s="136" t="s">
        <v>3218</v>
      </c>
      <c r="K1936" s="137" t="s">
        <v>843</v>
      </c>
      <c r="L1936" s="137" t="s">
        <v>841</v>
      </c>
      <c r="M193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3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36" s="138" t="str" cm="1">
        <f t="array" ref="O1936">IFERROR(INDEX(CategoriesTable[Category type],MATCH(Table1[[#This Row],[Category]],CategoriesTable[Category name],0),0),"")</f>
        <v/>
      </c>
      <c r="P1936" s="138">
        <v>8</v>
      </c>
      <c r="Q1936" s="138">
        <f>MONTH(Table1[[#This Row],[Date]])</f>
        <v>7</v>
      </c>
      <c r="R1936" s="138">
        <v>2020</v>
      </c>
      <c r="S1936" s="139">
        <f>IF(ISBLANK(Table1[[#This Row],[Date]]),"",Table1[[#This Row],[Date]]-WEEKDAY(Table1[[#This Row],[Date]],2)+1)</f>
        <v>44018</v>
      </c>
      <c r="T1936" s="140">
        <f>IF(ISBLANK(Table1[[#This Row],[Date]]),"",DATE(Table1[[#This Row],[Date_Year]],Table1[[#This Row],[Date_Month]],1))</f>
        <v>44013</v>
      </c>
    </row>
    <row r="1937" spans="2:20" ht="15.75">
      <c r="B1937" s="154">
        <v>44020</v>
      </c>
      <c r="C1937" s="119" t="s">
        <v>845</v>
      </c>
      <c r="D1937" s="119"/>
      <c r="E1937" s="119"/>
      <c r="F1937" s="155">
        <v>80</v>
      </c>
      <c r="G1937" s="133" t="str">
        <f>_xlfn.XLOOKUP(Table1[[#This Row],[Account_ID]], Accounts[ID], Accounts[Account nickname], "Unknown")</f>
        <v>Discover</v>
      </c>
      <c r="H1937" s="134" t="str">
        <f>_xlfn.XLOOKUP(Table1[[#This Row],[Account_ID]], Accounts[ID], Accounts[Account'#], "Unknown")</f>
        <v>4618</v>
      </c>
      <c r="I1937" s="135" t="str">
        <f>_xlfn.XLOOKUP(_xlfn.XLOOKUP(Table1[[#This Row],[Account]],Accounts[Account nickname],Accounts[Institution ID]),Institutions[ID],Institutions[Institution nickname],"Unknown")</f>
        <v>Discover</v>
      </c>
      <c r="J1937" s="136" t="s">
        <v>3216</v>
      </c>
      <c r="K1937" s="137" t="s">
        <v>843</v>
      </c>
      <c r="L1937" s="137" t="s">
        <v>841</v>
      </c>
      <c r="M193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3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37" s="138" t="str" cm="1">
        <f t="array" ref="O1937">IFERROR(INDEX(CategoriesTable[Category type],MATCH(Table1[[#This Row],[Category]],CategoriesTable[Category name],0),0),"")</f>
        <v/>
      </c>
      <c r="P1937" s="138">
        <v>8</v>
      </c>
      <c r="Q1937" s="138">
        <f>MONTH(Table1[[#This Row],[Date]])</f>
        <v>7</v>
      </c>
      <c r="R1937" s="138">
        <v>2020</v>
      </c>
      <c r="S1937" s="139">
        <f>IF(ISBLANK(Table1[[#This Row],[Date]]),"",Table1[[#This Row],[Date]]-WEEKDAY(Table1[[#This Row],[Date]],2)+1)</f>
        <v>44018</v>
      </c>
      <c r="T1937" s="140">
        <f>IF(ISBLANK(Table1[[#This Row],[Date]]),"",DATE(Table1[[#This Row],[Date_Year]],Table1[[#This Row],[Date_Month]],1))</f>
        <v>44013</v>
      </c>
    </row>
    <row r="1938" spans="2:20" ht="15.75">
      <c r="B1938" s="154">
        <v>44020</v>
      </c>
      <c r="C1938" s="119" t="s">
        <v>3156</v>
      </c>
      <c r="D1938" s="119"/>
      <c r="E1938" s="119"/>
      <c r="F1938" s="155">
        <v>-108</v>
      </c>
      <c r="G1938" s="133" t="str">
        <f>_xlfn.XLOOKUP(Table1[[#This Row],[Account_ID]], Accounts[ID], Accounts[Account nickname], "Unknown")</f>
        <v>Discover</v>
      </c>
      <c r="H1938" s="134" t="str">
        <f>_xlfn.XLOOKUP(Table1[[#This Row],[Account_ID]], Accounts[ID], Accounts[Account'#], "Unknown")</f>
        <v>4618</v>
      </c>
      <c r="I1938" s="135" t="str">
        <f>_xlfn.XLOOKUP(_xlfn.XLOOKUP(Table1[[#This Row],[Account]],Accounts[Account nickname],Accounts[Institution ID]),Institutions[ID],Institutions[Institution nickname],"Unknown")</f>
        <v>Discover</v>
      </c>
      <c r="J1938" s="136" t="s">
        <v>3219</v>
      </c>
      <c r="K1938" s="137" t="s">
        <v>843</v>
      </c>
      <c r="L1938" s="137" t="s">
        <v>841</v>
      </c>
      <c r="M193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3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38" s="138" t="str" cm="1">
        <f t="array" ref="O1938">IFERROR(INDEX(CategoriesTable[Category type],MATCH(Table1[[#This Row],[Category]],CategoriesTable[Category name],0),0),"")</f>
        <v/>
      </c>
      <c r="P1938" s="138">
        <v>8</v>
      </c>
      <c r="Q1938" s="138">
        <f>MONTH(Table1[[#This Row],[Date]])</f>
        <v>7</v>
      </c>
      <c r="R1938" s="138">
        <v>2020</v>
      </c>
      <c r="S1938" s="139">
        <f>IF(ISBLANK(Table1[[#This Row],[Date]]),"",Table1[[#This Row],[Date]]-WEEKDAY(Table1[[#This Row],[Date]],2)+1)</f>
        <v>44018</v>
      </c>
      <c r="T1938" s="140">
        <f>IF(ISBLANK(Table1[[#This Row],[Date]]),"",DATE(Table1[[#This Row],[Date_Year]],Table1[[#This Row],[Date_Month]],1))</f>
        <v>44013</v>
      </c>
    </row>
    <row r="1939" spans="2:20" ht="15.75">
      <c r="B1939" s="154">
        <v>44018</v>
      </c>
      <c r="C1939" s="119" t="s">
        <v>797</v>
      </c>
      <c r="D1939" s="119"/>
      <c r="E1939" s="119"/>
      <c r="F1939" s="155">
        <v>-4.99</v>
      </c>
      <c r="G1939" s="133" t="str">
        <f>_xlfn.XLOOKUP(Table1[[#This Row],[Account_ID]], Accounts[ID], Accounts[Account nickname], "Unknown")</f>
        <v>WF</v>
      </c>
      <c r="H1939" s="134" t="str">
        <f>_xlfn.XLOOKUP(Table1[[#This Row],[Account_ID]], Accounts[ID], Accounts[Account'#], "Unknown")</f>
        <v>4636</v>
      </c>
      <c r="I1939" s="135" t="str">
        <f>_xlfn.XLOOKUP(_xlfn.XLOOKUP(Table1[[#This Row],[Account]],Accounts[Account nickname],Accounts[Institution ID]),Institutions[ID],Institutions[Institution nickname],"Unknown")</f>
        <v>Wells Fargo</v>
      </c>
      <c r="J1939" s="136" t="s">
        <v>1371</v>
      </c>
      <c r="K1939" s="137" t="s">
        <v>808</v>
      </c>
      <c r="L1939" s="137" t="s">
        <v>807</v>
      </c>
      <c r="M193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3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39" s="138" t="str" cm="1">
        <f t="array" ref="O1939">IFERROR(INDEX(CategoriesTable[Category type],MATCH(Table1[[#This Row],[Category]],CategoriesTable[Category name],0),0),"")</f>
        <v/>
      </c>
      <c r="P1939" s="138">
        <v>6</v>
      </c>
      <c r="Q1939" s="138">
        <f>MONTH(Table1[[#This Row],[Date]])</f>
        <v>7</v>
      </c>
      <c r="R1939" s="138">
        <v>2020</v>
      </c>
      <c r="S1939" s="139">
        <f>IF(ISBLANK(Table1[[#This Row],[Date]]),"",Table1[[#This Row],[Date]]-WEEKDAY(Table1[[#This Row],[Date]],2)+1)</f>
        <v>44018</v>
      </c>
      <c r="T1939" s="140">
        <f>IF(ISBLANK(Table1[[#This Row],[Date]]),"",DATE(Table1[[#This Row],[Date_Year]],Table1[[#This Row],[Date_Month]],1))</f>
        <v>44013</v>
      </c>
    </row>
    <row r="1940" spans="2:20" ht="15.75">
      <c r="B1940" s="154">
        <v>44017</v>
      </c>
      <c r="C1940" s="119" t="s">
        <v>1618</v>
      </c>
      <c r="D1940" s="119"/>
      <c r="E1940" s="119"/>
      <c r="F1940" s="155">
        <v>-39.950000000000003</v>
      </c>
      <c r="G1940" s="133" t="str">
        <f>_xlfn.XLOOKUP(Table1[[#This Row],[Account_ID]], Accounts[ID], Accounts[Account nickname], "Unknown")</f>
        <v>Discover</v>
      </c>
      <c r="H1940" s="134" t="str">
        <f>_xlfn.XLOOKUP(Table1[[#This Row],[Account_ID]], Accounts[ID], Accounts[Account'#], "Unknown")</f>
        <v>4618</v>
      </c>
      <c r="I1940" s="135" t="str">
        <f>_xlfn.XLOOKUP(_xlfn.XLOOKUP(Table1[[#This Row],[Account]],Accounts[Account nickname],Accounts[Institution ID]),Institutions[ID],Institutions[Institution nickname],"Unknown")</f>
        <v>Discover</v>
      </c>
      <c r="J1940" s="136" t="s">
        <v>3220</v>
      </c>
      <c r="K1940" s="137" t="s">
        <v>843</v>
      </c>
      <c r="L1940" s="137" t="s">
        <v>841</v>
      </c>
      <c r="M194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4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40" s="138" t="str" cm="1">
        <f t="array" ref="O1940">IFERROR(INDEX(CategoriesTable[Category type],MATCH(Table1[[#This Row],[Category]],CategoriesTable[Category name],0),0),"")</f>
        <v/>
      </c>
      <c r="P1940" s="138">
        <v>5</v>
      </c>
      <c r="Q1940" s="138">
        <f>MONTH(Table1[[#This Row],[Date]])</f>
        <v>7</v>
      </c>
      <c r="R1940" s="138">
        <v>2020</v>
      </c>
      <c r="S1940" s="139">
        <f>IF(ISBLANK(Table1[[#This Row],[Date]]),"",Table1[[#This Row],[Date]]-WEEKDAY(Table1[[#This Row],[Date]],2)+1)</f>
        <v>44011</v>
      </c>
      <c r="T1940" s="140">
        <f>IF(ISBLANK(Table1[[#This Row],[Date]]),"",DATE(Table1[[#This Row],[Date_Year]],Table1[[#This Row],[Date_Month]],1))</f>
        <v>44013</v>
      </c>
    </row>
    <row r="1941" spans="2:20" ht="15.75">
      <c r="B1941" s="154">
        <v>44016</v>
      </c>
      <c r="C1941" s="119" t="s">
        <v>1850</v>
      </c>
      <c r="D1941" s="119"/>
      <c r="E1941" s="119"/>
      <c r="F1941" s="155">
        <v>-7.5</v>
      </c>
      <c r="G1941" s="133" t="str">
        <f>_xlfn.XLOOKUP(Table1[[#This Row],[Account_ID]], Accounts[ID], Accounts[Account nickname], "Unknown")</f>
        <v>Discover</v>
      </c>
      <c r="H1941" s="134" t="str">
        <f>_xlfn.XLOOKUP(Table1[[#This Row],[Account_ID]], Accounts[ID], Accounts[Account'#], "Unknown")</f>
        <v>4618</v>
      </c>
      <c r="I1941" s="135" t="str">
        <f>_xlfn.XLOOKUP(_xlfn.XLOOKUP(Table1[[#This Row],[Account]],Accounts[Account nickname],Accounts[Institution ID]),Institutions[ID],Institutions[Institution nickname],"Unknown")</f>
        <v>Discover</v>
      </c>
      <c r="J1941" s="136" t="s">
        <v>3223</v>
      </c>
      <c r="K1941" s="137" t="s">
        <v>843</v>
      </c>
      <c r="L1941" s="137" t="s">
        <v>841</v>
      </c>
      <c r="M194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4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41" s="138" t="str" cm="1">
        <f t="array" ref="O1941">IFERROR(INDEX(CategoriesTable[Category type],MATCH(Table1[[#This Row],[Category]],CategoriesTable[Category name],0),0),"")</f>
        <v/>
      </c>
      <c r="P1941" s="138">
        <v>4</v>
      </c>
      <c r="Q1941" s="138">
        <f>MONTH(Table1[[#This Row],[Date]])</f>
        <v>7</v>
      </c>
      <c r="R1941" s="138">
        <v>2020</v>
      </c>
      <c r="S1941" s="139">
        <f>IF(ISBLANK(Table1[[#This Row],[Date]]),"",Table1[[#This Row],[Date]]-WEEKDAY(Table1[[#This Row],[Date]],2)+1)</f>
        <v>44011</v>
      </c>
      <c r="T1941" s="140">
        <f>IF(ISBLANK(Table1[[#This Row],[Date]]),"",DATE(Table1[[#This Row],[Date_Year]],Table1[[#This Row],[Date_Month]],1))</f>
        <v>44013</v>
      </c>
    </row>
    <row r="1942" spans="2:20" ht="15.75">
      <c r="B1942" s="154">
        <v>44016</v>
      </c>
      <c r="C1942" s="119" t="s">
        <v>3221</v>
      </c>
      <c r="D1942" s="119"/>
      <c r="E1942" s="119"/>
      <c r="F1942" s="155">
        <v>-7.49</v>
      </c>
      <c r="G1942" s="133" t="str">
        <f>_xlfn.XLOOKUP(Table1[[#This Row],[Account_ID]], Accounts[ID], Accounts[Account nickname], "Unknown")</f>
        <v>Discover</v>
      </c>
      <c r="H1942" s="134" t="str">
        <f>_xlfn.XLOOKUP(Table1[[#This Row],[Account_ID]], Accounts[ID], Accounts[Account'#], "Unknown")</f>
        <v>4618</v>
      </c>
      <c r="I1942" s="135" t="str">
        <f>_xlfn.XLOOKUP(_xlfn.XLOOKUP(Table1[[#This Row],[Account]],Accounts[Account nickname],Accounts[Institution ID]),Institutions[ID],Institutions[Institution nickname],"Unknown")</f>
        <v>Discover</v>
      </c>
      <c r="J1942" s="136" t="s">
        <v>3222</v>
      </c>
      <c r="K1942" s="137" t="s">
        <v>843</v>
      </c>
      <c r="L1942" s="137" t="s">
        <v>841</v>
      </c>
      <c r="M194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4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42" s="138" t="str" cm="1">
        <f t="array" ref="O1942">IFERROR(INDEX(CategoriesTable[Category type],MATCH(Table1[[#This Row],[Category]],CategoriesTable[Category name],0),0),"")</f>
        <v/>
      </c>
      <c r="P1942" s="138">
        <v>4</v>
      </c>
      <c r="Q1942" s="138">
        <f>MONTH(Table1[[#This Row],[Date]])</f>
        <v>7</v>
      </c>
      <c r="R1942" s="138">
        <v>2020</v>
      </c>
      <c r="S1942" s="139">
        <f>IF(ISBLANK(Table1[[#This Row],[Date]]),"",Table1[[#This Row],[Date]]-WEEKDAY(Table1[[#This Row],[Date]],2)+1)</f>
        <v>44011</v>
      </c>
      <c r="T1942" s="140">
        <f>IF(ISBLANK(Table1[[#This Row],[Date]]),"",DATE(Table1[[#This Row],[Date_Year]],Table1[[#This Row],[Date_Month]],1))</f>
        <v>44013</v>
      </c>
    </row>
    <row r="1943" spans="2:20" ht="15.75">
      <c r="B1943" s="154">
        <v>44016</v>
      </c>
      <c r="C1943" s="119" t="s">
        <v>706</v>
      </c>
      <c r="D1943" s="119"/>
      <c r="E1943" s="119"/>
      <c r="F1943" s="155">
        <v>-0.94</v>
      </c>
      <c r="G1943" s="133" t="str">
        <f>_xlfn.XLOOKUP(Table1[[#This Row],[Account_ID]], Accounts[ID], Accounts[Account nickname], "Unknown")</f>
        <v>Discover</v>
      </c>
      <c r="H1943" s="134" t="str">
        <f>_xlfn.XLOOKUP(Table1[[#This Row],[Account_ID]], Accounts[ID], Accounts[Account'#], "Unknown")</f>
        <v>4618</v>
      </c>
      <c r="I1943" s="135" t="str">
        <f>_xlfn.XLOOKUP(_xlfn.XLOOKUP(Table1[[#This Row],[Account]],Accounts[Account nickname],Accounts[Institution ID]),Institutions[ID],Institutions[Institution nickname],"Unknown")</f>
        <v>Discover</v>
      </c>
      <c r="J1943" s="136" t="s">
        <v>3224</v>
      </c>
      <c r="K1943" s="137" t="s">
        <v>843</v>
      </c>
      <c r="L1943" s="137" t="s">
        <v>841</v>
      </c>
      <c r="M194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4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43" s="138" t="str" cm="1">
        <f t="array" ref="O1943">IFERROR(INDEX(CategoriesTable[Category type],MATCH(Table1[[#This Row],[Category]],CategoriesTable[Category name],0),0),"")</f>
        <v/>
      </c>
      <c r="P1943" s="138">
        <v>4</v>
      </c>
      <c r="Q1943" s="138">
        <f>MONTH(Table1[[#This Row],[Date]])</f>
        <v>7</v>
      </c>
      <c r="R1943" s="138">
        <v>2020</v>
      </c>
      <c r="S1943" s="139">
        <f>IF(ISBLANK(Table1[[#This Row],[Date]]),"",Table1[[#This Row],[Date]]-WEEKDAY(Table1[[#This Row],[Date]],2)+1)</f>
        <v>44011</v>
      </c>
      <c r="T1943" s="140">
        <f>IF(ISBLANK(Table1[[#This Row],[Date]]),"",DATE(Table1[[#This Row],[Date_Year]],Table1[[#This Row],[Date_Month]],1))</f>
        <v>44013</v>
      </c>
    </row>
    <row r="1944" spans="2:20" ht="15.75">
      <c r="B1944" s="154">
        <v>44016</v>
      </c>
      <c r="C1944" s="119" t="s">
        <v>706</v>
      </c>
      <c r="D1944" s="119"/>
      <c r="E1944" s="119"/>
      <c r="F1944" s="155">
        <v>-25.5</v>
      </c>
      <c r="G1944" s="133" t="str">
        <f>_xlfn.XLOOKUP(Table1[[#This Row],[Account_ID]], Accounts[ID], Accounts[Account nickname], "Unknown")</f>
        <v>Discover</v>
      </c>
      <c r="H1944" s="134" t="str">
        <f>_xlfn.XLOOKUP(Table1[[#This Row],[Account_ID]], Accounts[ID], Accounts[Account'#], "Unknown")</f>
        <v>4618</v>
      </c>
      <c r="I1944" s="135" t="str">
        <f>_xlfn.XLOOKUP(_xlfn.XLOOKUP(Table1[[#This Row],[Account]],Accounts[Account nickname],Accounts[Institution ID]),Institutions[ID],Institutions[Institution nickname],"Unknown")</f>
        <v>Discover</v>
      </c>
      <c r="J1944" s="136" t="s">
        <v>3225</v>
      </c>
      <c r="K1944" s="137" t="s">
        <v>843</v>
      </c>
      <c r="L1944" s="137" t="s">
        <v>841</v>
      </c>
      <c r="M194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4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44" s="138" t="str" cm="1">
        <f t="array" ref="O1944">IFERROR(INDEX(CategoriesTable[Category type],MATCH(Table1[[#This Row],[Category]],CategoriesTable[Category name],0),0),"")</f>
        <v/>
      </c>
      <c r="P1944" s="138">
        <v>4</v>
      </c>
      <c r="Q1944" s="138">
        <f>MONTH(Table1[[#This Row],[Date]])</f>
        <v>7</v>
      </c>
      <c r="R1944" s="138">
        <v>2020</v>
      </c>
      <c r="S1944" s="139">
        <f>IF(ISBLANK(Table1[[#This Row],[Date]]),"",Table1[[#This Row],[Date]]-WEEKDAY(Table1[[#This Row],[Date]],2)+1)</f>
        <v>44011</v>
      </c>
      <c r="T1944" s="140">
        <f>IF(ISBLANK(Table1[[#This Row],[Date]]),"",DATE(Table1[[#This Row],[Date_Year]],Table1[[#This Row],[Date_Month]],1))</f>
        <v>44013</v>
      </c>
    </row>
    <row r="1945" spans="2:20" ht="15.75">
      <c r="B1945" s="154">
        <v>44015</v>
      </c>
      <c r="C1945" s="119" t="s">
        <v>845</v>
      </c>
      <c r="D1945" s="119"/>
      <c r="E1945" s="119"/>
      <c r="F1945" s="155">
        <v>89.95</v>
      </c>
      <c r="G1945" s="133" t="str">
        <f>_xlfn.XLOOKUP(Table1[[#This Row],[Account_ID]], Accounts[ID], Accounts[Account nickname], "Unknown")</f>
        <v>Discover</v>
      </c>
      <c r="H1945" s="134" t="str">
        <f>_xlfn.XLOOKUP(Table1[[#This Row],[Account_ID]], Accounts[ID], Accounts[Account'#], "Unknown")</f>
        <v>4618</v>
      </c>
      <c r="I1945" s="135" t="str">
        <f>_xlfn.XLOOKUP(_xlfn.XLOOKUP(Table1[[#This Row],[Account]],Accounts[Account nickname],Accounts[Institution ID]),Institutions[ID],Institutions[Institution nickname],"Unknown")</f>
        <v>Discover</v>
      </c>
      <c r="J1945" s="136" t="s">
        <v>3228</v>
      </c>
      <c r="K1945" s="137" t="s">
        <v>843</v>
      </c>
      <c r="L1945" s="137" t="s">
        <v>841</v>
      </c>
      <c r="M194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4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45" s="138" t="str" cm="1">
        <f t="array" ref="O1945">IFERROR(INDEX(CategoriesTable[Category type],MATCH(Table1[[#This Row],[Category]],CategoriesTable[Category name],0),0),"")</f>
        <v/>
      </c>
      <c r="P1945" s="138">
        <v>3</v>
      </c>
      <c r="Q1945" s="138">
        <f>MONTH(Table1[[#This Row],[Date]])</f>
        <v>7</v>
      </c>
      <c r="R1945" s="138">
        <v>2020</v>
      </c>
      <c r="S1945" s="139">
        <f>IF(ISBLANK(Table1[[#This Row],[Date]]),"",Table1[[#This Row],[Date]]-WEEKDAY(Table1[[#This Row],[Date]],2)+1)</f>
        <v>44011</v>
      </c>
      <c r="T1945" s="140">
        <f>IF(ISBLANK(Table1[[#This Row],[Date]]),"",DATE(Table1[[#This Row],[Date_Year]],Table1[[#This Row],[Date_Month]],1))</f>
        <v>44013</v>
      </c>
    </row>
    <row r="1946" spans="2:20" ht="15.75">
      <c r="B1946" s="154">
        <v>44015</v>
      </c>
      <c r="C1946" s="119" t="s">
        <v>704</v>
      </c>
      <c r="D1946" s="119"/>
      <c r="E1946" s="119"/>
      <c r="F1946" s="155">
        <v>-7.6</v>
      </c>
      <c r="G1946" s="133" t="str">
        <f>_xlfn.XLOOKUP(Table1[[#This Row],[Account_ID]], Accounts[ID], Accounts[Account nickname], "Unknown")</f>
        <v>Discover</v>
      </c>
      <c r="H1946" s="134" t="str">
        <f>_xlfn.XLOOKUP(Table1[[#This Row],[Account_ID]], Accounts[ID], Accounts[Account'#], "Unknown")</f>
        <v>4618</v>
      </c>
      <c r="I1946" s="135" t="str">
        <f>_xlfn.XLOOKUP(_xlfn.XLOOKUP(Table1[[#This Row],[Account]],Accounts[Account nickname],Accounts[Institution ID]),Institutions[ID],Institutions[Institution nickname],"Unknown")</f>
        <v>Discover</v>
      </c>
      <c r="J1946" s="136" t="s">
        <v>3227</v>
      </c>
      <c r="K1946" s="137" t="s">
        <v>843</v>
      </c>
      <c r="L1946" s="137" t="s">
        <v>841</v>
      </c>
      <c r="M194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4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46" s="138" t="str" cm="1">
        <f t="array" ref="O1946">IFERROR(INDEX(CategoriesTable[Category type],MATCH(Table1[[#This Row],[Category]],CategoriesTable[Category name],0),0),"")</f>
        <v/>
      </c>
      <c r="P1946" s="138">
        <v>3</v>
      </c>
      <c r="Q1946" s="138">
        <f>MONTH(Table1[[#This Row],[Date]])</f>
        <v>7</v>
      </c>
      <c r="R1946" s="138">
        <v>2020</v>
      </c>
      <c r="S1946" s="139">
        <f>IF(ISBLANK(Table1[[#This Row],[Date]]),"",Table1[[#This Row],[Date]]-WEEKDAY(Table1[[#This Row],[Date]],2)+1)</f>
        <v>44011</v>
      </c>
      <c r="T1946" s="140">
        <f>IF(ISBLANK(Table1[[#This Row],[Date]]),"",DATE(Table1[[#This Row],[Date_Year]],Table1[[#This Row],[Date_Month]],1))</f>
        <v>44013</v>
      </c>
    </row>
    <row r="1947" spans="2:20" ht="15.75">
      <c r="B1947" s="154">
        <v>44015</v>
      </c>
      <c r="C1947" s="119" t="s">
        <v>961</v>
      </c>
      <c r="D1947" s="119"/>
      <c r="E1947" s="119"/>
      <c r="F1947" s="155">
        <v>25.96</v>
      </c>
      <c r="G1947" s="133" t="str">
        <f>_xlfn.XLOOKUP(Table1[[#This Row],[Account_ID]], Accounts[ID], Accounts[Account nickname], "Unknown")</f>
        <v>Discover</v>
      </c>
      <c r="H1947" s="134" t="str">
        <f>_xlfn.XLOOKUP(Table1[[#This Row],[Account_ID]], Accounts[ID], Accounts[Account'#], "Unknown")</f>
        <v>4618</v>
      </c>
      <c r="I1947" s="135" t="str">
        <f>_xlfn.XLOOKUP(_xlfn.XLOOKUP(Table1[[#This Row],[Account]],Accounts[Account nickname],Accounts[Institution ID]),Institutions[ID],Institutions[Institution nickname],"Unknown")</f>
        <v>Discover</v>
      </c>
      <c r="J1947" s="136" t="s">
        <v>3226</v>
      </c>
      <c r="K1947" s="137" t="s">
        <v>843</v>
      </c>
      <c r="L1947" s="137" t="s">
        <v>841</v>
      </c>
      <c r="M194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4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47" s="138" t="str" cm="1">
        <f t="array" ref="O1947">IFERROR(INDEX(CategoriesTable[Category type],MATCH(Table1[[#This Row],[Category]],CategoriesTable[Category name],0),0),"")</f>
        <v/>
      </c>
      <c r="P1947" s="138">
        <v>3</v>
      </c>
      <c r="Q1947" s="138">
        <f>MONTH(Table1[[#This Row],[Date]])</f>
        <v>7</v>
      </c>
      <c r="R1947" s="138">
        <v>2020</v>
      </c>
      <c r="S1947" s="139">
        <f>IF(ISBLANK(Table1[[#This Row],[Date]]),"",Table1[[#This Row],[Date]]-WEEKDAY(Table1[[#This Row],[Date]],2)+1)</f>
        <v>44011</v>
      </c>
      <c r="T1947" s="140">
        <f>IF(ISBLANK(Table1[[#This Row],[Date]]),"",DATE(Table1[[#This Row],[Date_Year]],Table1[[#This Row],[Date_Month]],1))</f>
        <v>44013</v>
      </c>
    </row>
    <row r="1948" spans="2:20" ht="15.75">
      <c r="B1948" s="154">
        <v>44015</v>
      </c>
      <c r="C1948" s="119" t="s">
        <v>1850</v>
      </c>
      <c r="D1948" s="119"/>
      <c r="E1948" s="119"/>
      <c r="F1948" s="155">
        <v>-7.84</v>
      </c>
      <c r="G1948" s="133" t="str">
        <f>_xlfn.XLOOKUP(Table1[[#This Row],[Account_ID]], Accounts[ID], Accounts[Account nickname], "Unknown")</f>
        <v>Discover</v>
      </c>
      <c r="H1948" s="134" t="str">
        <f>_xlfn.XLOOKUP(Table1[[#This Row],[Account_ID]], Accounts[ID], Accounts[Account'#], "Unknown")</f>
        <v>4618</v>
      </c>
      <c r="I1948" s="135" t="str">
        <f>_xlfn.XLOOKUP(_xlfn.XLOOKUP(Table1[[#This Row],[Account]],Accounts[Account nickname],Accounts[Institution ID]),Institutions[ID],Institutions[Institution nickname],"Unknown")</f>
        <v>Discover</v>
      </c>
      <c r="J1948" s="136" t="s">
        <v>3229</v>
      </c>
      <c r="K1948" s="137" t="s">
        <v>843</v>
      </c>
      <c r="L1948" s="137" t="s">
        <v>841</v>
      </c>
      <c r="M194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4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48" s="138" t="str" cm="1">
        <f t="array" ref="O1948">IFERROR(INDEX(CategoriesTable[Category type],MATCH(Table1[[#This Row],[Category]],CategoriesTable[Category name],0),0),"")</f>
        <v/>
      </c>
      <c r="P1948" s="138">
        <v>3</v>
      </c>
      <c r="Q1948" s="138">
        <f>MONTH(Table1[[#This Row],[Date]])</f>
        <v>7</v>
      </c>
      <c r="R1948" s="138">
        <v>2020</v>
      </c>
      <c r="S1948" s="139">
        <f>IF(ISBLANK(Table1[[#This Row],[Date]]),"",Table1[[#This Row],[Date]]-WEEKDAY(Table1[[#This Row],[Date]],2)+1)</f>
        <v>44011</v>
      </c>
      <c r="T1948" s="140">
        <f>IF(ISBLANK(Table1[[#This Row],[Date]]),"",DATE(Table1[[#This Row],[Date_Year]],Table1[[#This Row],[Date_Month]],1))</f>
        <v>44013</v>
      </c>
    </row>
    <row r="1949" spans="2:20" ht="15.75">
      <c r="B1949" s="154">
        <v>44013</v>
      </c>
      <c r="C1949" s="119" t="s">
        <v>697</v>
      </c>
      <c r="D1949" s="119"/>
      <c r="E1949" s="119"/>
      <c r="F1949" s="155">
        <v>-12.99</v>
      </c>
      <c r="G1949" s="133" t="str">
        <f>_xlfn.XLOOKUP(Table1[[#This Row],[Account_ID]], Accounts[ID], Accounts[Account nickname], "Unknown")</f>
        <v>Discover</v>
      </c>
      <c r="H1949" s="134" t="str">
        <f>_xlfn.XLOOKUP(Table1[[#This Row],[Account_ID]], Accounts[ID], Accounts[Account'#], "Unknown")</f>
        <v>4618</v>
      </c>
      <c r="I1949" s="135" t="str">
        <f>_xlfn.XLOOKUP(_xlfn.XLOOKUP(Table1[[#This Row],[Account]],Accounts[Account nickname],Accounts[Institution ID]),Institutions[ID],Institutions[Institution nickname],"Unknown")</f>
        <v>Discover</v>
      </c>
      <c r="J1949" s="136" t="s">
        <v>3230</v>
      </c>
      <c r="K1949" s="137" t="s">
        <v>843</v>
      </c>
      <c r="L1949" s="137" t="s">
        <v>841</v>
      </c>
      <c r="M194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4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49" s="138" t="str" cm="1">
        <f t="array" ref="O1949">IFERROR(INDEX(CategoriesTable[Category type],MATCH(Table1[[#This Row],[Category]],CategoriesTable[Category name],0),0),"")</f>
        <v/>
      </c>
      <c r="P1949" s="138">
        <v>1</v>
      </c>
      <c r="Q1949" s="138">
        <f>MONTH(Table1[[#This Row],[Date]])</f>
        <v>7</v>
      </c>
      <c r="R1949" s="138">
        <v>2020</v>
      </c>
      <c r="S1949" s="139">
        <f>IF(ISBLANK(Table1[[#This Row],[Date]]),"",Table1[[#This Row],[Date]]-WEEKDAY(Table1[[#This Row],[Date]],2)+1)</f>
        <v>44011</v>
      </c>
      <c r="T1949" s="140">
        <f>IF(ISBLANK(Table1[[#This Row],[Date]]),"",DATE(Table1[[#This Row],[Date_Year]],Table1[[#This Row],[Date_Month]],1))</f>
        <v>44013</v>
      </c>
    </row>
    <row r="1950" spans="2:20" ht="15.75">
      <c r="B1950" s="154">
        <v>44011</v>
      </c>
      <c r="C1950" s="119" t="s">
        <v>2381</v>
      </c>
      <c r="D1950" s="119"/>
      <c r="E1950" s="119"/>
      <c r="F1950" s="155">
        <v>-50.55</v>
      </c>
      <c r="G1950" s="133" t="str">
        <f>_xlfn.XLOOKUP(Table1[[#This Row],[Account_ID]], Accounts[ID], Accounts[Account nickname], "Unknown")</f>
        <v>Discover</v>
      </c>
      <c r="H1950" s="134" t="str">
        <f>_xlfn.XLOOKUP(Table1[[#This Row],[Account_ID]], Accounts[ID], Accounts[Account'#], "Unknown")</f>
        <v>4618</v>
      </c>
      <c r="I1950" s="135" t="str">
        <f>_xlfn.XLOOKUP(_xlfn.XLOOKUP(Table1[[#This Row],[Account]],Accounts[Account nickname],Accounts[Institution ID]),Institutions[ID],Institutions[Institution nickname],"Unknown")</f>
        <v>Discover</v>
      </c>
      <c r="J1950" s="136" t="s">
        <v>3236</v>
      </c>
      <c r="K1950" s="137" t="s">
        <v>843</v>
      </c>
      <c r="L1950" s="137" t="s">
        <v>841</v>
      </c>
      <c r="M195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5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50" s="138" t="str" cm="1">
        <f t="array" ref="O1950">IFERROR(INDEX(CategoriesTable[Category type],MATCH(Table1[[#This Row],[Category]],CategoriesTable[Category name],0),0),"")</f>
        <v/>
      </c>
      <c r="P1950" s="138">
        <v>29</v>
      </c>
      <c r="Q1950" s="138">
        <f>MONTH(Table1[[#This Row],[Date]])</f>
        <v>6</v>
      </c>
      <c r="R1950" s="138">
        <v>2020</v>
      </c>
      <c r="S1950" s="139">
        <f>IF(ISBLANK(Table1[[#This Row],[Date]]),"",Table1[[#This Row],[Date]]-WEEKDAY(Table1[[#This Row],[Date]],2)+1)</f>
        <v>44011</v>
      </c>
      <c r="T1950" s="140">
        <f>IF(ISBLANK(Table1[[#This Row],[Date]]),"",DATE(Table1[[#This Row],[Date_Year]],Table1[[#This Row],[Date_Month]],1))</f>
        <v>43983</v>
      </c>
    </row>
    <row r="1951" spans="2:20" ht="15.75">
      <c r="B1951" s="154">
        <v>44011</v>
      </c>
      <c r="C1951" s="119" t="s">
        <v>2266</v>
      </c>
      <c r="D1951" s="119"/>
      <c r="E1951" s="119"/>
      <c r="F1951" s="155">
        <v>-21.05</v>
      </c>
      <c r="G1951" s="133" t="str">
        <f>_xlfn.XLOOKUP(Table1[[#This Row],[Account_ID]], Accounts[ID], Accounts[Account nickname], "Unknown")</f>
        <v>Discover</v>
      </c>
      <c r="H1951" s="134" t="str">
        <f>_xlfn.XLOOKUP(Table1[[#This Row],[Account_ID]], Accounts[ID], Accounts[Account'#], "Unknown")</f>
        <v>4618</v>
      </c>
      <c r="I1951" s="135" t="str">
        <f>_xlfn.XLOOKUP(_xlfn.XLOOKUP(Table1[[#This Row],[Account]],Accounts[Account nickname],Accounts[Institution ID]),Institutions[ID],Institutions[Institution nickname],"Unknown")</f>
        <v>Discover</v>
      </c>
      <c r="J1951" s="136" t="s">
        <v>3231</v>
      </c>
      <c r="K1951" s="137" t="s">
        <v>843</v>
      </c>
      <c r="L1951" s="137" t="s">
        <v>841</v>
      </c>
      <c r="M195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5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51" s="138" t="str" cm="1">
        <f t="array" ref="O1951">IFERROR(INDEX(CategoriesTable[Category type],MATCH(Table1[[#This Row],[Category]],CategoriesTable[Category name],0),0),"")</f>
        <v/>
      </c>
      <c r="P1951" s="138">
        <v>29</v>
      </c>
      <c r="Q1951" s="138">
        <f>MONTH(Table1[[#This Row],[Date]])</f>
        <v>6</v>
      </c>
      <c r="R1951" s="138">
        <v>2020</v>
      </c>
      <c r="S1951" s="139">
        <f>IF(ISBLANK(Table1[[#This Row],[Date]]),"",Table1[[#This Row],[Date]]-WEEKDAY(Table1[[#This Row],[Date]],2)+1)</f>
        <v>44011</v>
      </c>
      <c r="T1951" s="140">
        <f>IF(ISBLANK(Table1[[#This Row],[Date]]),"",DATE(Table1[[#This Row],[Date_Year]],Table1[[#This Row],[Date_Month]],1))</f>
        <v>43983</v>
      </c>
    </row>
    <row r="1952" spans="2:20" ht="15.75">
      <c r="B1952" s="154">
        <v>44011</v>
      </c>
      <c r="C1952" s="119" t="s">
        <v>3234</v>
      </c>
      <c r="D1952" s="119"/>
      <c r="E1952" s="119"/>
      <c r="F1952" s="155">
        <v>-5.99</v>
      </c>
      <c r="G1952" s="133" t="str">
        <f>_xlfn.XLOOKUP(Table1[[#This Row],[Account_ID]], Accounts[ID], Accounts[Account nickname], "Unknown")</f>
        <v>Discover</v>
      </c>
      <c r="H1952" s="134" t="str">
        <f>_xlfn.XLOOKUP(Table1[[#This Row],[Account_ID]], Accounts[ID], Accounts[Account'#], "Unknown")</f>
        <v>4618</v>
      </c>
      <c r="I1952" s="135" t="str">
        <f>_xlfn.XLOOKUP(_xlfn.XLOOKUP(Table1[[#This Row],[Account]],Accounts[Account nickname],Accounts[Institution ID]),Institutions[ID],Institutions[Institution nickname],"Unknown")</f>
        <v>Discover</v>
      </c>
      <c r="J1952" s="136" t="s">
        <v>3235</v>
      </c>
      <c r="K1952" s="137" t="s">
        <v>843</v>
      </c>
      <c r="L1952" s="137" t="s">
        <v>841</v>
      </c>
      <c r="M195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5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52" s="138" t="str" cm="1">
        <f t="array" ref="O1952">IFERROR(INDEX(CategoriesTable[Category type],MATCH(Table1[[#This Row],[Category]],CategoriesTable[Category name],0),0),"")</f>
        <v/>
      </c>
      <c r="P1952" s="138">
        <v>29</v>
      </c>
      <c r="Q1952" s="138">
        <f>MONTH(Table1[[#This Row],[Date]])</f>
        <v>6</v>
      </c>
      <c r="R1952" s="138">
        <v>2020</v>
      </c>
      <c r="S1952" s="139">
        <f>IF(ISBLANK(Table1[[#This Row],[Date]]),"",Table1[[#This Row],[Date]]-WEEKDAY(Table1[[#This Row],[Date]],2)+1)</f>
        <v>44011</v>
      </c>
      <c r="T1952" s="140">
        <f>IF(ISBLANK(Table1[[#This Row],[Date]]),"",DATE(Table1[[#This Row],[Date_Year]],Table1[[#This Row],[Date_Month]],1))</f>
        <v>43983</v>
      </c>
    </row>
    <row r="1953" spans="2:20" ht="15.75">
      <c r="B1953" s="154">
        <v>44011</v>
      </c>
      <c r="C1953" s="119" t="s">
        <v>3232</v>
      </c>
      <c r="D1953" s="119"/>
      <c r="E1953" s="119"/>
      <c r="F1953" s="155">
        <v>-18.78</v>
      </c>
      <c r="G1953" s="133" t="str">
        <f>_xlfn.XLOOKUP(Table1[[#This Row],[Account_ID]], Accounts[ID], Accounts[Account nickname], "Unknown")</f>
        <v>Discover</v>
      </c>
      <c r="H1953" s="134" t="str">
        <f>_xlfn.XLOOKUP(Table1[[#This Row],[Account_ID]], Accounts[ID], Accounts[Account'#], "Unknown")</f>
        <v>4618</v>
      </c>
      <c r="I1953" s="135" t="str">
        <f>_xlfn.XLOOKUP(_xlfn.XLOOKUP(Table1[[#This Row],[Account]],Accounts[Account nickname],Accounts[Institution ID]),Institutions[ID],Institutions[Institution nickname],"Unknown")</f>
        <v>Discover</v>
      </c>
      <c r="J1953" s="136" t="s">
        <v>3233</v>
      </c>
      <c r="K1953" s="137" t="s">
        <v>843</v>
      </c>
      <c r="L1953" s="137" t="s">
        <v>841</v>
      </c>
      <c r="M195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5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53" s="138" t="str" cm="1">
        <f t="array" ref="O1953">IFERROR(INDEX(CategoriesTable[Category type],MATCH(Table1[[#This Row],[Category]],CategoriesTable[Category name],0),0),"")</f>
        <v/>
      </c>
      <c r="P1953" s="138">
        <v>29</v>
      </c>
      <c r="Q1953" s="138">
        <f>MONTH(Table1[[#This Row],[Date]])</f>
        <v>6</v>
      </c>
      <c r="R1953" s="138">
        <v>2020</v>
      </c>
      <c r="S1953" s="139">
        <f>IF(ISBLANK(Table1[[#This Row],[Date]]),"",Table1[[#This Row],[Date]]-WEEKDAY(Table1[[#This Row],[Date]],2)+1)</f>
        <v>44011</v>
      </c>
      <c r="T1953" s="140">
        <f>IF(ISBLANK(Table1[[#This Row],[Date]]),"",DATE(Table1[[#This Row],[Date_Year]],Table1[[#This Row],[Date_Month]],1))</f>
        <v>43983</v>
      </c>
    </row>
    <row r="1954" spans="2:20" ht="15.75">
      <c r="B1954" s="154">
        <v>44009</v>
      </c>
      <c r="C1954" s="119" t="s">
        <v>857</v>
      </c>
      <c r="D1954" s="119"/>
      <c r="E1954" s="119"/>
      <c r="F1954" s="155">
        <v>-23.89</v>
      </c>
      <c r="G1954" s="133" t="str">
        <f>_xlfn.XLOOKUP(Table1[[#This Row],[Account_ID]], Accounts[ID], Accounts[Account nickname], "Unknown")</f>
        <v>Discover</v>
      </c>
      <c r="H1954" s="134" t="str">
        <f>_xlfn.XLOOKUP(Table1[[#This Row],[Account_ID]], Accounts[ID], Accounts[Account'#], "Unknown")</f>
        <v>4618</v>
      </c>
      <c r="I1954" s="135" t="str">
        <f>_xlfn.XLOOKUP(_xlfn.XLOOKUP(Table1[[#This Row],[Account]],Accounts[Account nickname],Accounts[Institution ID]),Institutions[ID],Institutions[Institution nickname],"Unknown")</f>
        <v>Discover</v>
      </c>
      <c r="J1954" s="136" t="s">
        <v>3238</v>
      </c>
      <c r="K1954" s="137" t="s">
        <v>843</v>
      </c>
      <c r="L1954" s="137" t="s">
        <v>841</v>
      </c>
      <c r="M195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5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54" s="138" t="str" cm="1">
        <f t="array" ref="O1954">IFERROR(INDEX(CategoriesTable[Category type],MATCH(Table1[[#This Row],[Category]],CategoriesTable[Category name],0),0),"")</f>
        <v/>
      </c>
      <c r="P1954" s="138">
        <v>27</v>
      </c>
      <c r="Q1954" s="138">
        <f>MONTH(Table1[[#This Row],[Date]])</f>
        <v>6</v>
      </c>
      <c r="R1954" s="138">
        <v>2020</v>
      </c>
      <c r="S1954" s="139">
        <f>IF(ISBLANK(Table1[[#This Row],[Date]]),"",Table1[[#This Row],[Date]]-WEEKDAY(Table1[[#This Row],[Date]],2)+1)</f>
        <v>44004</v>
      </c>
      <c r="T1954" s="140">
        <f>IF(ISBLANK(Table1[[#This Row],[Date]]),"",DATE(Table1[[#This Row],[Date_Year]],Table1[[#This Row],[Date_Month]],1))</f>
        <v>43983</v>
      </c>
    </row>
    <row r="1955" spans="2:20" ht="15.75">
      <c r="B1955" s="154">
        <v>44009</v>
      </c>
      <c r="C1955" s="119" t="s">
        <v>706</v>
      </c>
      <c r="D1955" s="119"/>
      <c r="E1955" s="119"/>
      <c r="F1955" s="155">
        <v>-5.13</v>
      </c>
      <c r="G1955" s="133" t="str">
        <f>_xlfn.XLOOKUP(Table1[[#This Row],[Account_ID]], Accounts[ID], Accounts[Account nickname], "Unknown")</f>
        <v>Discover</v>
      </c>
      <c r="H1955" s="134" t="str">
        <f>_xlfn.XLOOKUP(Table1[[#This Row],[Account_ID]], Accounts[ID], Accounts[Account'#], "Unknown")</f>
        <v>4618</v>
      </c>
      <c r="I1955" s="135" t="str">
        <f>_xlfn.XLOOKUP(_xlfn.XLOOKUP(Table1[[#This Row],[Account]],Accounts[Account nickname],Accounts[Institution ID]),Institutions[ID],Institutions[Institution nickname],"Unknown")</f>
        <v>Discover</v>
      </c>
      <c r="J1955" s="136" t="s">
        <v>3239</v>
      </c>
      <c r="K1955" s="137" t="s">
        <v>843</v>
      </c>
      <c r="L1955" s="137" t="s">
        <v>841</v>
      </c>
      <c r="M195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5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55" s="138" t="str" cm="1">
        <f t="array" ref="O1955">IFERROR(INDEX(CategoriesTable[Category type],MATCH(Table1[[#This Row],[Category]],CategoriesTable[Category name],0),0),"")</f>
        <v/>
      </c>
      <c r="P1955" s="138">
        <v>27</v>
      </c>
      <c r="Q1955" s="138">
        <f>MONTH(Table1[[#This Row],[Date]])</f>
        <v>6</v>
      </c>
      <c r="R1955" s="138">
        <v>2020</v>
      </c>
      <c r="S1955" s="139">
        <f>IF(ISBLANK(Table1[[#This Row],[Date]]),"",Table1[[#This Row],[Date]]-WEEKDAY(Table1[[#This Row],[Date]],2)+1)</f>
        <v>44004</v>
      </c>
      <c r="T1955" s="140">
        <f>IF(ISBLANK(Table1[[#This Row],[Date]]),"",DATE(Table1[[#This Row],[Date_Year]],Table1[[#This Row],[Date_Month]],1))</f>
        <v>43983</v>
      </c>
    </row>
    <row r="1956" spans="2:20" ht="15.75">
      <c r="B1956" s="154">
        <v>44009</v>
      </c>
      <c r="C1956" s="119" t="s">
        <v>745</v>
      </c>
      <c r="D1956" s="119"/>
      <c r="E1956" s="119"/>
      <c r="F1956" s="155">
        <v>-15.76</v>
      </c>
      <c r="G1956" s="133" t="str">
        <f>_xlfn.XLOOKUP(Table1[[#This Row],[Account_ID]], Accounts[ID], Accounts[Account nickname], "Unknown")</f>
        <v>Discover</v>
      </c>
      <c r="H1956" s="134" t="str">
        <f>_xlfn.XLOOKUP(Table1[[#This Row],[Account_ID]], Accounts[ID], Accounts[Account'#], "Unknown")</f>
        <v>4618</v>
      </c>
      <c r="I1956" s="135" t="str">
        <f>_xlfn.XLOOKUP(_xlfn.XLOOKUP(Table1[[#This Row],[Account]],Accounts[Account nickname],Accounts[Institution ID]),Institutions[ID],Institutions[Institution nickname],"Unknown")</f>
        <v>Discover</v>
      </c>
      <c r="J1956" s="136" t="s">
        <v>3237</v>
      </c>
      <c r="K1956" s="137" t="s">
        <v>843</v>
      </c>
      <c r="L1956" s="137" t="s">
        <v>841</v>
      </c>
      <c r="M195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5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56" s="138" t="str" cm="1">
        <f t="array" ref="O1956">IFERROR(INDEX(CategoriesTable[Category type],MATCH(Table1[[#This Row],[Category]],CategoriesTable[Category name],0),0),"")</f>
        <v/>
      </c>
      <c r="P1956" s="138">
        <v>27</v>
      </c>
      <c r="Q1956" s="138">
        <f>MONTH(Table1[[#This Row],[Date]])</f>
        <v>6</v>
      </c>
      <c r="R1956" s="138">
        <v>2020</v>
      </c>
      <c r="S1956" s="139">
        <f>IF(ISBLANK(Table1[[#This Row],[Date]]),"",Table1[[#This Row],[Date]]-WEEKDAY(Table1[[#This Row],[Date]],2)+1)</f>
        <v>44004</v>
      </c>
      <c r="T1956" s="140">
        <f>IF(ISBLANK(Table1[[#This Row],[Date]]),"",DATE(Table1[[#This Row],[Date_Year]],Table1[[#This Row],[Date_Month]],1))</f>
        <v>43983</v>
      </c>
    </row>
    <row r="1957" spans="2:20" ht="15.75">
      <c r="B1957" s="154">
        <v>44008</v>
      </c>
      <c r="C1957" s="119" t="s">
        <v>3243</v>
      </c>
      <c r="D1957" s="119"/>
      <c r="E1957" s="119"/>
      <c r="F1957" s="155">
        <v>1</v>
      </c>
      <c r="G1957" s="133" t="str">
        <f>_xlfn.XLOOKUP(Table1[[#This Row],[Account_ID]], Accounts[ID], Accounts[Account nickname], "Unknown")</f>
        <v>Discover</v>
      </c>
      <c r="H1957" s="134" t="str">
        <f>_xlfn.XLOOKUP(Table1[[#This Row],[Account_ID]], Accounts[ID], Accounts[Account'#], "Unknown")</f>
        <v>4618</v>
      </c>
      <c r="I1957" s="135" t="str">
        <f>_xlfn.XLOOKUP(_xlfn.XLOOKUP(Table1[[#This Row],[Account]],Accounts[Account nickname],Accounts[Institution ID]),Institutions[ID],Institutions[Institution nickname],"Unknown")</f>
        <v>Discover</v>
      </c>
      <c r="J1957" s="136" t="s">
        <v>3244</v>
      </c>
      <c r="K1957" s="137" t="s">
        <v>843</v>
      </c>
      <c r="L1957" s="137" t="s">
        <v>841</v>
      </c>
      <c r="M195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5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57" s="138" t="str" cm="1">
        <f t="array" ref="O1957">IFERROR(INDEX(CategoriesTable[Category type],MATCH(Table1[[#This Row],[Category]],CategoriesTable[Category name],0),0),"")</f>
        <v/>
      </c>
      <c r="P1957" s="138">
        <v>26</v>
      </c>
      <c r="Q1957" s="138">
        <f>MONTH(Table1[[#This Row],[Date]])</f>
        <v>6</v>
      </c>
      <c r="R1957" s="138">
        <v>2020</v>
      </c>
      <c r="S1957" s="139">
        <f>IF(ISBLANK(Table1[[#This Row],[Date]]),"",Table1[[#This Row],[Date]]-WEEKDAY(Table1[[#This Row],[Date]],2)+1)</f>
        <v>44004</v>
      </c>
      <c r="T1957" s="140">
        <f>IF(ISBLANK(Table1[[#This Row],[Date]]),"",DATE(Table1[[#This Row],[Date_Year]],Table1[[#This Row],[Date_Month]],1))</f>
        <v>43983</v>
      </c>
    </row>
    <row r="1958" spans="2:20" ht="15.75">
      <c r="B1958" s="154">
        <v>44008</v>
      </c>
      <c r="C1958" s="119" t="s">
        <v>3240</v>
      </c>
      <c r="D1958" s="119"/>
      <c r="E1958" s="119"/>
      <c r="F1958" s="155">
        <v>1</v>
      </c>
      <c r="G1958" s="133" t="str">
        <f>_xlfn.XLOOKUP(Table1[[#This Row],[Account_ID]], Accounts[ID], Accounts[Account nickname], "Unknown")</f>
        <v>Discover</v>
      </c>
      <c r="H1958" s="134" t="str">
        <f>_xlfn.XLOOKUP(Table1[[#This Row],[Account_ID]], Accounts[ID], Accounts[Account'#], "Unknown")</f>
        <v>4618</v>
      </c>
      <c r="I1958" s="135" t="str">
        <f>_xlfn.XLOOKUP(_xlfn.XLOOKUP(Table1[[#This Row],[Account]],Accounts[Account nickname],Accounts[Institution ID]),Institutions[ID],Institutions[Institution nickname],"Unknown")</f>
        <v>Discover</v>
      </c>
      <c r="J1958" s="136" t="s">
        <v>3241</v>
      </c>
      <c r="K1958" s="137" t="s">
        <v>843</v>
      </c>
      <c r="L1958" s="137" t="s">
        <v>841</v>
      </c>
      <c r="M195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5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58" s="138" t="str" cm="1">
        <f t="array" ref="O1958">IFERROR(INDEX(CategoriesTable[Category type],MATCH(Table1[[#This Row],[Category]],CategoriesTable[Category name],0),0),"")</f>
        <v/>
      </c>
      <c r="P1958" s="138">
        <v>26</v>
      </c>
      <c r="Q1958" s="138">
        <f>MONTH(Table1[[#This Row],[Date]])</f>
        <v>6</v>
      </c>
      <c r="R1958" s="138">
        <v>2020</v>
      </c>
      <c r="S1958" s="139">
        <f>IF(ISBLANK(Table1[[#This Row],[Date]]),"",Table1[[#This Row],[Date]]-WEEKDAY(Table1[[#This Row],[Date]],2)+1)</f>
        <v>44004</v>
      </c>
      <c r="T1958" s="140">
        <f>IF(ISBLANK(Table1[[#This Row],[Date]]),"",DATE(Table1[[#This Row],[Date_Year]],Table1[[#This Row],[Date_Month]],1))</f>
        <v>43983</v>
      </c>
    </row>
    <row r="1959" spans="2:20" ht="15.75">
      <c r="B1959" s="154">
        <v>44008</v>
      </c>
      <c r="C1959" s="119" t="s">
        <v>3240</v>
      </c>
      <c r="D1959" s="119"/>
      <c r="E1959" s="119"/>
      <c r="F1959" s="155">
        <v>1</v>
      </c>
      <c r="G1959" s="133" t="str">
        <f>_xlfn.XLOOKUP(Table1[[#This Row],[Account_ID]], Accounts[ID], Accounts[Account nickname], "Unknown")</f>
        <v>Discover</v>
      </c>
      <c r="H1959" s="134" t="str">
        <f>_xlfn.XLOOKUP(Table1[[#This Row],[Account_ID]], Accounts[ID], Accounts[Account'#], "Unknown")</f>
        <v>4618</v>
      </c>
      <c r="I1959" s="135" t="str">
        <f>_xlfn.XLOOKUP(_xlfn.XLOOKUP(Table1[[#This Row],[Account]],Accounts[Account nickname],Accounts[Institution ID]),Institutions[ID],Institutions[Institution nickname],"Unknown")</f>
        <v>Discover</v>
      </c>
      <c r="J1959" s="136" t="s">
        <v>3242</v>
      </c>
      <c r="K1959" s="137" t="s">
        <v>843</v>
      </c>
      <c r="L1959" s="137" t="s">
        <v>841</v>
      </c>
      <c r="M195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5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59" s="138" t="str" cm="1">
        <f t="array" ref="O1959">IFERROR(INDEX(CategoriesTable[Category type],MATCH(Table1[[#This Row],[Category]],CategoriesTable[Category name],0),0),"")</f>
        <v/>
      </c>
      <c r="P1959" s="138">
        <v>26</v>
      </c>
      <c r="Q1959" s="138">
        <f>MONTH(Table1[[#This Row],[Date]])</f>
        <v>6</v>
      </c>
      <c r="R1959" s="138">
        <v>2020</v>
      </c>
      <c r="S1959" s="139">
        <f>IF(ISBLANK(Table1[[#This Row],[Date]]),"",Table1[[#This Row],[Date]]-WEEKDAY(Table1[[#This Row],[Date]],2)+1)</f>
        <v>44004</v>
      </c>
      <c r="T1959" s="140">
        <f>IF(ISBLANK(Table1[[#This Row],[Date]]),"",DATE(Table1[[#This Row],[Date_Year]],Table1[[#This Row],[Date_Month]],1))</f>
        <v>43983</v>
      </c>
    </row>
    <row r="1960" spans="2:20" ht="15.75">
      <c r="B1960" s="154">
        <v>44008</v>
      </c>
      <c r="C1960" s="119" t="s">
        <v>2381</v>
      </c>
      <c r="D1960" s="119"/>
      <c r="E1960" s="119"/>
      <c r="F1960" s="155">
        <v>-39.47</v>
      </c>
      <c r="G1960" s="133" t="str">
        <f>_xlfn.XLOOKUP(Table1[[#This Row],[Account_ID]], Accounts[ID], Accounts[Account nickname], "Unknown")</f>
        <v>Discover</v>
      </c>
      <c r="H1960" s="134" t="str">
        <f>_xlfn.XLOOKUP(Table1[[#This Row],[Account_ID]], Accounts[ID], Accounts[Account'#], "Unknown")</f>
        <v>4618</v>
      </c>
      <c r="I1960" s="135" t="str">
        <f>_xlfn.XLOOKUP(_xlfn.XLOOKUP(Table1[[#This Row],[Account]],Accounts[Account nickname],Accounts[Institution ID]),Institutions[ID],Institutions[Institution nickname],"Unknown")</f>
        <v>Discover</v>
      </c>
      <c r="J1960" s="136" t="s">
        <v>3245</v>
      </c>
      <c r="K1960" s="137" t="s">
        <v>843</v>
      </c>
      <c r="L1960" s="137" t="s">
        <v>841</v>
      </c>
      <c r="M196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6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60" s="138" t="str" cm="1">
        <f t="array" ref="O1960">IFERROR(INDEX(CategoriesTable[Category type],MATCH(Table1[[#This Row],[Category]],CategoriesTable[Category name],0),0),"")</f>
        <v/>
      </c>
      <c r="P1960" s="138">
        <v>26</v>
      </c>
      <c r="Q1960" s="138">
        <f>MONTH(Table1[[#This Row],[Date]])</f>
        <v>6</v>
      </c>
      <c r="R1960" s="138">
        <v>2020</v>
      </c>
      <c r="S1960" s="139">
        <f>IF(ISBLANK(Table1[[#This Row],[Date]]),"",Table1[[#This Row],[Date]]-WEEKDAY(Table1[[#This Row],[Date]],2)+1)</f>
        <v>44004</v>
      </c>
      <c r="T1960" s="140">
        <f>IF(ISBLANK(Table1[[#This Row],[Date]]),"",DATE(Table1[[#This Row],[Date_Year]],Table1[[#This Row],[Date_Month]],1))</f>
        <v>43983</v>
      </c>
    </row>
    <row r="1961" spans="2:20" ht="15.75">
      <c r="B1961" s="154">
        <v>44007</v>
      </c>
      <c r="C1961" s="119" t="s">
        <v>724</v>
      </c>
      <c r="D1961" s="119"/>
      <c r="E1961" s="119"/>
      <c r="F1961" s="155">
        <v>-35.39</v>
      </c>
      <c r="G1961" s="133" t="str">
        <f>_xlfn.XLOOKUP(Table1[[#This Row],[Account_ID]], Accounts[ID], Accounts[Account nickname], "Unknown")</f>
        <v>Discover</v>
      </c>
      <c r="H1961" s="134" t="str">
        <f>_xlfn.XLOOKUP(Table1[[#This Row],[Account_ID]], Accounts[ID], Accounts[Account'#], "Unknown")</f>
        <v>4618</v>
      </c>
      <c r="I1961" s="135" t="str">
        <f>_xlfn.XLOOKUP(_xlfn.XLOOKUP(Table1[[#This Row],[Account]],Accounts[Account nickname],Accounts[Institution ID]),Institutions[ID],Institutions[Institution nickname],"Unknown")</f>
        <v>Discover</v>
      </c>
      <c r="J1961" s="136" t="s">
        <v>3247</v>
      </c>
      <c r="K1961" s="137" t="s">
        <v>843</v>
      </c>
      <c r="L1961" s="137" t="s">
        <v>841</v>
      </c>
      <c r="M196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6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61" s="138" t="str" cm="1">
        <f t="array" ref="O1961">IFERROR(INDEX(CategoriesTable[Category type],MATCH(Table1[[#This Row],[Category]],CategoriesTable[Category name],0),0),"")</f>
        <v/>
      </c>
      <c r="P1961" s="138">
        <v>25</v>
      </c>
      <c r="Q1961" s="138">
        <f>MONTH(Table1[[#This Row],[Date]])</f>
        <v>6</v>
      </c>
      <c r="R1961" s="138">
        <v>2020</v>
      </c>
      <c r="S1961" s="139">
        <f>IF(ISBLANK(Table1[[#This Row],[Date]]),"",Table1[[#This Row],[Date]]-WEEKDAY(Table1[[#This Row],[Date]],2)+1)</f>
        <v>44004</v>
      </c>
      <c r="T1961" s="140">
        <f>IF(ISBLANK(Table1[[#This Row],[Date]]),"",DATE(Table1[[#This Row],[Date_Year]],Table1[[#This Row],[Date_Month]],1))</f>
        <v>43983</v>
      </c>
    </row>
    <row r="1962" spans="2:20" ht="15.75">
      <c r="B1962" s="154">
        <v>44007</v>
      </c>
      <c r="C1962" s="119" t="s">
        <v>724</v>
      </c>
      <c r="D1962" s="119"/>
      <c r="E1962" s="119"/>
      <c r="F1962" s="155">
        <v>-8.52</v>
      </c>
      <c r="G1962" s="133" t="str">
        <f>_xlfn.XLOOKUP(Table1[[#This Row],[Account_ID]], Accounts[ID], Accounts[Account nickname], "Unknown")</f>
        <v>Discover</v>
      </c>
      <c r="H1962" s="134" t="str">
        <f>_xlfn.XLOOKUP(Table1[[#This Row],[Account_ID]], Accounts[ID], Accounts[Account'#], "Unknown")</f>
        <v>4618</v>
      </c>
      <c r="I1962" s="135" t="str">
        <f>_xlfn.XLOOKUP(_xlfn.XLOOKUP(Table1[[#This Row],[Account]],Accounts[Account nickname],Accounts[Institution ID]),Institutions[ID],Institutions[Institution nickname],"Unknown")</f>
        <v>Discover</v>
      </c>
      <c r="J1962" s="136" t="s">
        <v>3246</v>
      </c>
      <c r="K1962" s="137" t="s">
        <v>843</v>
      </c>
      <c r="L1962" s="137" t="s">
        <v>841</v>
      </c>
      <c r="M196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6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62" s="138" t="str" cm="1">
        <f t="array" ref="O1962">IFERROR(INDEX(CategoriesTable[Category type],MATCH(Table1[[#This Row],[Category]],CategoriesTable[Category name],0),0),"")</f>
        <v/>
      </c>
      <c r="P1962" s="138">
        <v>25</v>
      </c>
      <c r="Q1962" s="138">
        <f>MONTH(Table1[[#This Row],[Date]])</f>
        <v>6</v>
      </c>
      <c r="R1962" s="138">
        <v>2020</v>
      </c>
      <c r="S1962" s="139">
        <f>IF(ISBLANK(Table1[[#This Row],[Date]]),"",Table1[[#This Row],[Date]]-WEEKDAY(Table1[[#This Row],[Date]],2)+1)</f>
        <v>44004</v>
      </c>
      <c r="T1962" s="140">
        <f>IF(ISBLANK(Table1[[#This Row],[Date]]),"",DATE(Table1[[#This Row],[Date_Year]],Table1[[#This Row],[Date_Month]],1))</f>
        <v>43983</v>
      </c>
    </row>
    <row r="1963" spans="2:20" ht="15.75">
      <c r="B1963" s="154">
        <v>44004</v>
      </c>
      <c r="C1963" s="119" t="s">
        <v>698</v>
      </c>
      <c r="D1963" s="119"/>
      <c r="E1963" s="119"/>
      <c r="F1963" s="155">
        <v>-9.99</v>
      </c>
      <c r="G1963" s="133" t="str">
        <f>_xlfn.XLOOKUP(Table1[[#This Row],[Account_ID]], Accounts[ID], Accounts[Account nickname], "Unknown")</f>
        <v>Discover</v>
      </c>
      <c r="H1963" s="134" t="str">
        <f>_xlfn.XLOOKUP(Table1[[#This Row],[Account_ID]], Accounts[ID], Accounts[Account'#], "Unknown")</f>
        <v>4618</v>
      </c>
      <c r="I1963" s="135" t="str">
        <f>_xlfn.XLOOKUP(_xlfn.XLOOKUP(Table1[[#This Row],[Account]],Accounts[Account nickname],Accounts[Institution ID]),Institutions[ID],Institutions[Institution nickname],"Unknown")</f>
        <v>Discover</v>
      </c>
      <c r="J1963" s="136" t="s">
        <v>3248</v>
      </c>
      <c r="K1963" s="137" t="s">
        <v>843</v>
      </c>
      <c r="L1963" s="137" t="s">
        <v>841</v>
      </c>
      <c r="M196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6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63" s="138" t="str" cm="1">
        <f t="array" ref="O1963">IFERROR(INDEX(CategoriesTable[Category type],MATCH(Table1[[#This Row],[Category]],CategoriesTable[Category name],0),0),"")</f>
        <v/>
      </c>
      <c r="P1963" s="138">
        <v>22</v>
      </c>
      <c r="Q1963" s="138">
        <f>MONTH(Table1[[#This Row],[Date]])</f>
        <v>6</v>
      </c>
      <c r="R1963" s="138">
        <v>2020</v>
      </c>
      <c r="S1963" s="139">
        <f>IF(ISBLANK(Table1[[#This Row],[Date]]),"",Table1[[#This Row],[Date]]-WEEKDAY(Table1[[#This Row],[Date]],2)+1)</f>
        <v>44004</v>
      </c>
      <c r="T1963" s="140">
        <f>IF(ISBLANK(Table1[[#This Row],[Date]]),"",DATE(Table1[[#This Row],[Date_Year]],Table1[[#This Row],[Date_Month]],1))</f>
        <v>43983</v>
      </c>
    </row>
    <row r="1964" spans="2:20" ht="15.75">
      <c r="B1964" s="154">
        <v>44003</v>
      </c>
      <c r="C1964" s="119" t="s">
        <v>3253</v>
      </c>
      <c r="D1964" s="119"/>
      <c r="E1964" s="119"/>
      <c r="F1964" s="155">
        <v>-18.02</v>
      </c>
      <c r="G1964" s="133" t="str">
        <f>_xlfn.XLOOKUP(Table1[[#This Row],[Account_ID]], Accounts[ID], Accounts[Account nickname], "Unknown")</f>
        <v>Discover</v>
      </c>
      <c r="H1964" s="134" t="str">
        <f>_xlfn.XLOOKUP(Table1[[#This Row],[Account_ID]], Accounts[ID], Accounts[Account'#], "Unknown")</f>
        <v>4618</v>
      </c>
      <c r="I1964" s="135" t="str">
        <f>_xlfn.XLOOKUP(_xlfn.XLOOKUP(Table1[[#This Row],[Account]],Accounts[Account nickname],Accounts[Institution ID]),Institutions[ID],Institutions[Institution nickname],"Unknown")</f>
        <v>Discover</v>
      </c>
      <c r="J1964" s="136" t="s">
        <v>3254</v>
      </c>
      <c r="K1964" s="137" t="s">
        <v>843</v>
      </c>
      <c r="L1964" s="137" t="s">
        <v>841</v>
      </c>
      <c r="M196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6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64" s="138" t="str" cm="1">
        <f t="array" ref="O1964">IFERROR(INDEX(CategoriesTable[Category type],MATCH(Table1[[#This Row],[Category]],CategoriesTable[Category name],0),0),"")</f>
        <v/>
      </c>
      <c r="P1964" s="138">
        <v>21</v>
      </c>
      <c r="Q1964" s="138">
        <f>MONTH(Table1[[#This Row],[Date]])</f>
        <v>6</v>
      </c>
      <c r="R1964" s="138">
        <v>2020</v>
      </c>
      <c r="S1964" s="139">
        <f>IF(ISBLANK(Table1[[#This Row],[Date]]),"",Table1[[#This Row],[Date]]-WEEKDAY(Table1[[#This Row],[Date]],2)+1)</f>
        <v>43997</v>
      </c>
      <c r="T1964" s="140">
        <f>IF(ISBLANK(Table1[[#This Row],[Date]]),"",DATE(Table1[[#This Row],[Date_Year]],Table1[[#This Row],[Date_Month]],1))</f>
        <v>43983</v>
      </c>
    </row>
    <row r="1965" spans="2:20" ht="15.75">
      <c r="B1965" s="154">
        <v>44003</v>
      </c>
      <c r="C1965" s="119" t="s">
        <v>3249</v>
      </c>
      <c r="D1965" s="119"/>
      <c r="E1965" s="119"/>
      <c r="F1965" s="155">
        <v>-46.32</v>
      </c>
      <c r="G1965" s="133" t="str">
        <f>_xlfn.XLOOKUP(Table1[[#This Row],[Account_ID]], Accounts[ID], Accounts[Account nickname], "Unknown")</f>
        <v>Discover</v>
      </c>
      <c r="H1965" s="134" t="str">
        <f>_xlfn.XLOOKUP(Table1[[#This Row],[Account_ID]], Accounts[ID], Accounts[Account'#], "Unknown")</f>
        <v>4618</v>
      </c>
      <c r="I1965" s="135" t="str">
        <f>_xlfn.XLOOKUP(_xlfn.XLOOKUP(Table1[[#This Row],[Account]],Accounts[Account nickname],Accounts[Institution ID]),Institutions[ID],Institutions[Institution nickname],"Unknown")</f>
        <v>Discover</v>
      </c>
      <c r="J1965" s="136" t="s">
        <v>3250</v>
      </c>
      <c r="K1965" s="137" t="s">
        <v>843</v>
      </c>
      <c r="L1965" s="137" t="s">
        <v>841</v>
      </c>
      <c r="M196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6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65" s="138" t="str" cm="1">
        <f t="array" ref="O1965">IFERROR(INDEX(CategoriesTable[Category type],MATCH(Table1[[#This Row],[Category]],CategoriesTable[Category name],0),0),"")</f>
        <v/>
      </c>
      <c r="P1965" s="138">
        <v>21</v>
      </c>
      <c r="Q1965" s="138">
        <f>MONTH(Table1[[#This Row],[Date]])</f>
        <v>6</v>
      </c>
      <c r="R1965" s="138">
        <v>2020</v>
      </c>
      <c r="S1965" s="139">
        <f>IF(ISBLANK(Table1[[#This Row],[Date]]),"",Table1[[#This Row],[Date]]-WEEKDAY(Table1[[#This Row],[Date]],2)+1)</f>
        <v>43997</v>
      </c>
      <c r="T1965" s="140">
        <f>IF(ISBLANK(Table1[[#This Row],[Date]]),"",DATE(Table1[[#This Row],[Date_Year]],Table1[[#This Row],[Date_Month]],1))</f>
        <v>43983</v>
      </c>
    </row>
    <row r="1966" spans="2:20" ht="15.75">
      <c r="B1966" s="154">
        <v>44003</v>
      </c>
      <c r="C1966" s="119" t="s">
        <v>3251</v>
      </c>
      <c r="D1966" s="119"/>
      <c r="E1966" s="119"/>
      <c r="F1966" s="155">
        <v>-43.95</v>
      </c>
      <c r="G1966" s="133" t="str">
        <f>_xlfn.XLOOKUP(Table1[[#This Row],[Account_ID]], Accounts[ID], Accounts[Account nickname], "Unknown")</f>
        <v>Discover</v>
      </c>
      <c r="H1966" s="134" t="str">
        <f>_xlfn.XLOOKUP(Table1[[#This Row],[Account_ID]], Accounts[ID], Accounts[Account'#], "Unknown")</f>
        <v>4618</v>
      </c>
      <c r="I1966" s="135" t="str">
        <f>_xlfn.XLOOKUP(_xlfn.XLOOKUP(Table1[[#This Row],[Account]],Accounts[Account nickname],Accounts[Institution ID]),Institutions[ID],Institutions[Institution nickname],"Unknown")</f>
        <v>Discover</v>
      </c>
      <c r="J1966" s="136" t="s">
        <v>3252</v>
      </c>
      <c r="K1966" s="137" t="s">
        <v>843</v>
      </c>
      <c r="L1966" s="137" t="s">
        <v>841</v>
      </c>
      <c r="M196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6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66" s="138" t="str" cm="1">
        <f t="array" ref="O1966">IFERROR(INDEX(CategoriesTable[Category type],MATCH(Table1[[#This Row],[Category]],CategoriesTable[Category name],0),0),"")</f>
        <v/>
      </c>
      <c r="P1966" s="138">
        <v>21</v>
      </c>
      <c r="Q1966" s="138">
        <f>MONTH(Table1[[#This Row],[Date]])</f>
        <v>6</v>
      </c>
      <c r="R1966" s="138">
        <v>2020</v>
      </c>
      <c r="S1966" s="139">
        <f>IF(ISBLANK(Table1[[#This Row],[Date]]),"",Table1[[#This Row],[Date]]-WEEKDAY(Table1[[#This Row],[Date]],2)+1)</f>
        <v>43997</v>
      </c>
      <c r="T1966" s="140">
        <f>IF(ISBLANK(Table1[[#This Row],[Date]]),"",DATE(Table1[[#This Row],[Date_Year]],Table1[[#This Row],[Date_Month]],1))</f>
        <v>43983</v>
      </c>
    </row>
    <row r="1967" spans="2:20" ht="15.75">
      <c r="B1967" s="154">
        <v>44002</v>
      </c>
      <c r="C1967" s="119" t="s">
        <v>1968</v>
      </c>
      <c r="D1967" s="119"/>
      <c r="E1967" s="119"/>
      <c r="F1967" s="155">
        <v>-22.69</v>
      </c>
      <c r="G1967" s="133" t="str">
        <f>_xlfn.XLOOKUP(Table1[[#This Row],[Account_ID]], Accounts[ID], Accounts[Account nickname], "Unknown")</f>
        <v>Discover</v>
      </c>
      <c r="H1967" s="134" t="str">
        <f>_xlfn.XLOOKUP(Table1[[#This Row],[Account_ID]], Accounts[ID], Accounts[Account'#], "Unknown")</f>
        <v>4618</v>
      </c>
      <c r="I1967" s="135" t="str">
        <f>_xlfn.XLOOKUP(_xlfn.XLOOKUP(Table1[[#This Row],[Account]],Accounts[Account nickname],Accounts[Institution ID]),Institutions[ID],Institutions[Institution nickname],"Unknown")</f>
        <v>Discover</v>
      </c>
      <c r="J1967" s="136" t="s">
        <v>3256</v>
      </c>
      <c r="K1967" s="137" t="s">
        <v>843</v>
      </c>
      <c r="L1967" s="137" t="s">
        <v>841</v>
      </c>
      <c r="M196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6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67" s="138" t="str" cm="1">
        <f t="array" ref="O1967">IFERROR(INDEX(CategoriesTable[Category type],MATCH(Table1[[#This Row],[Category]],CategoriesTable[Category name],0),0),"")</f>
        <v/>
      </c>
      <c r="P1967" s="138">
        <v>20</v>
      </c>
      <c r="Q1967" s="138">
        <f>MONTH(Table1[[#This Row],[Date]])</f>
        <v>6</v>
      </c>
      <c r="R1967" s="138">
        <v>2020</v>
      </c>
      <c r="S1967" s="139">
        <f>IF(ISBLANK(Table1[[#This Row],[Date]]),"",Table1[[#This Row],[Date]]-WEEKDAY(Table1[[#This Row],[Date]],2)+1)</f>
        <v>43997</v>
      </c>
      <c r="T1967" s="140">
        <f>IF(ISBLANK(Table1[[#This Row],[Date]]),"",DATE(Table1[[#This Row],[Date_Year]],Table1[[#This Row],[Date_Month]],1))</f>
        <v>43983</v>
      </c>
    </row>
    <row r="1968" spans="2:20" ht="15.75">
      <c r="B1968" s="154">
        <v>44002</v>
      </c>
      <c r="C1968" s="119" t="s">
        <v>3257</v>
      </c>
      <c r="D1968" s="119"/>
      <c r="E1968" s="119"/>
      <c r="F1968" s="155">
        <v>-10</v>
      </c>
      <c r="G1968" s="133" t="str">
        <f>_xlfn.XLOOKUP(Table1[[#This Row],[Account_ID]], Accounts[ID], Accounts[Account nickname], "Unknown")</f>
        <v>Discover</v>
      </c>
      <c r="H1968" s="134" t="str">
        <f>_xlfn.XLOOKUP(Table1[[#This Row],[Account_ID]], Accounts[ID], Accounts[Account'#], "Unknown")</f>
        <v>4618</v>
      </c>
      <c r="I1968" s="135" t="str">
        <f>_xlfn.XLOOKUP(_xlfn.XLOOKUP(Table1[[#This Row],[Account]],Accounts[Account nickname],Accounts[Institution ID]),Institutions[ID],Institutions[Institution nickname],"Unknown")</f>
        <v>Discover</v>
      </c>
      <c r="J1968" s="136" t="s">
        <v>3258</v>
      </c>
      <c r="K1968" s="137" t="s">
        <v>843</v>
      </c>
      <c r="L1968" s="137" t="s">
        <v>841</v>
      </c>
      <c r="M196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6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68" s="138" t="str" cm="1">
        <f t="array" ref="O1968">IFERROR(INDEX(CategoriesTable[Category type],MATCH(Table1[[#This Row],[Category]],CategoriesTable[Category name],0),0),"")</f>
        <v/>
      </c>
      <c r="P1968" s="138">
        <v>20</v>
      </c>
      <c r="Q1968" s="138">
        <f>MONTH(Table1[[#This Row],[Date]])</f>
        <v>6</v>
      </c>
      <c r="R1968" s="138">
        <v>2020</v>
      </c>
      <c r="S1968" s="139">
        <f>IF(ISBLANK(Table1[[#This Row],[Date]]),"",Table1[[#This Row],[Date]]-WEEKDAY(Table1[[#This Row],[Date]],2)+1)</f>
        <v>43997</v>
      </c>
      <c r="T1968" s="140">
        <f>IF(ISBLANK(Table1[[#This Row],[Date]]),"",DATE(Table1[[#This Row],[Date_Year]],Table1[[#This Row],[Date_Month]],1))</f>
        <v>43983</v>
      </c>
    </row>
    <row r="1969" spans="2:20" ht="15.75">
      <c r="B1969" s="154">
        <v>44002</v>
      </c>
      <c r="C1969" s="119" t="s">
        <v>1726</v>
      </c>
      <c r="D1969" s="119"/>
      <c r="E1969" s="119"/>
      <c r="F1969" s="155">
        <v>-2.04</v>
      </c>
      <c r="G1969" s="133" t="str">
        <f>_xlfn.XLOOKUP(Table1[[#This Row],[Account_ID]], Accounts[ID], Accounts[Account nickname], "Unknown")</f>
        <v>Discover</v>
      </c>
      <c r="H1969" s="134" t="str">
        <f>_xlfn.XLOOKUP(Table1[[#This Row],[Account_ID]], Accounts[ID], Accounts[Account'#], "Unknown")</f>
        <v>4618</v>
      </c>
      <c r="I1969" s="135" t="str">
        <f>_xlfn.XLOOKUP(_xlfn.XLOOKUP(Table1[[#This Row],[Account]],Accounts[Account nickname],Accounts[Institution ID]),Institutions[ID],Institutions[Institution nickname],"Unknown")</f>
        <v>Discover</v>
      </c>
      <c r="J1969" s="136" t="s">
        <v>3259</v>
      </c>
      <c r="K1969" s="137" t="s">
        <v>843</v>
      </c>
      <c r="L1969" s="137" t="s">
        <v>841</v>
      </c>
      <c r="M196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6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69" s="138" t="str" cm="1">
        <f t="array" ref="O1969">IFERROR(INDEX(CategoriesTable[Category type],MATCH(Table1[[#This Row],[Category]],CategoriesTable[Category name],0),0),"")</f>
        <v/>
      </c>
      <c r="P1969" s="138">
        <v>20</v>
      </c>
      <c r="Q1969" s="138">
        <f>MONTH(Table1[[#This Row],[Date]])</f>
        <v>6</v>
      </c>
      <c r="R1969" s="138">
        <v>2020</v>
      </c>
      <c r="S1969" s="139">
        <f>IF(ISBLANK(Table1[[#This Row],[Date]]),"",Table1[[#This Row],[Date]]-WEEKDAY(Table1[[#This Row],[Date]],2)+1)</f>
        <v>43997</v>
      </c>
      <c r="T1969" s="140">
        <f>IF(ISBLANK(Table1[[#This Row],[Date]]),"",DATE(Table1[[#This Row],[Date_Year]],Table1[[#This Row],[Date_Month]],1))</f>
        <v>43983</v>
      </c>
    </row>
    <row r="1970" spans="2:20" ht="15.75">
      <c r="B1970" s="154">
        <v>44002</v>
      </c>
      <c r="C1970" s="119" t="s">
        <v>1726</v>
      </c>
      <c r="D1970" s="119"/>
      <c r="E1970" s="119"/>
      <c r="F1970" s="155">
        <v>-19.600000000000001</v>
      </c>
      <c r="G1970" s="133" t="str">
        <f>_xlfn.XLOOKUP(Table1[[#This Row],[Account_ID]], Accounts[ID], Accounts[Account nickname], "Unknown")</f>
        <v>Discover</v>
      </c>
      <c r="H1970" s="134" t="str">
        <f>_xlfn.XLOOKUP(Table1[[#This Row],[Account_ID]], Accounts[ID], Accounts[Account'#], "Unknown")</f>
        <v>4618</v>
      </c>
      <c r="I1970" s="135" t="str">
        <f>_xlfn.XLOOKUP(_xlfn.XLOOKUP(Table1[[#This Row],[Account]],Accounts[Account nickname],Accounts[Institution ID]),Institutions[ID],Institutions[Institution nickname],"Unknown")</f>
        <v>Discover</v>
      </c>
      <c r="J1970" s="136" t="s">
        <v>3260</v>
      </c>
      <c r="K1970" s="137" t="s">
        <v>843</v>
      </c>
      <c r="L1970" s="137" t="s">
        <v>841</v>
      </c>
      <c r="M197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7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70" s="138" t="str" cm="1">
        <f t="array" ref="O1970">IFERROR(INDEX(CategoriesTable[Category type],MATCH(Table1[[#This Row],[Category]],CategoriesTable[Category name],0),0),"")</f>
        <v/>
      </c>
      <c r="P1970" s="138">
        <v>20</v>
      </c>
      <c r="Q1970" s="138">
        <f>MONTH(Table1[[#This Row],[Date]])</f>
        <v>6</v>
      </c>
      <c r="R1970" s="138">
        <v>2020</v>
      </c>
      <c r="S1970" s="139">
        <f>IF(ISBLANK(Table1[[#This Row],[Date]]),"",Table1[[#This Row],[Date]]-WEEKDAY(Table1[[#This Row],[Date]],2)+1)</f>
        <v>43997</v>
      </c>
      <c r="T1970" s="140">
        <f>IF(ISBLANK(Table1[[#This Row],[Date]]),"",DATE(Table1[[#This Row],[Date_Year]],Table1[[#This Row],[Date_Month]],1))</f>
        <v>43983</v>
      </c>
    </row>
    <row r="1971" spans="2:20" ht="15.75">
      <c r="B1971" s="154">
        <v>44002</v>
      </c>
      <c r="C1971" s="119" t="s">
        <v>2246</v>
      </c>
      <c r="D1971" s="119"/>
      <c r="E1971" s="119"/>
      <c r="F1971" s="155">
        <v>-42.88</v>
      </c>
      <c r="G1971" s="133" t="str">
        <f>_xlfn.XLOOKUP(Table1[[#This Row],[Account_ID]], Accounts[ID], Accounts[Account nickname], "Unknown")</f>
        <v>Discover</v>
      </c>
      <c r="H1971" s="134" t="str">
        <f>_xlfn.XLOOKUP(Table1[[#This Row],[Account_ID]], Accounts[ID], Accounts[Account'#], "Unknown")</f>
        <v>4618</v>
      </c>
      <c r="I1971" s="135" t="str">
        <f>_xlfn.XLOOKUP(_xlfn.XLOOKUP(Table1[[#This Row],[Account]],Accounts[Account nickname],Accounts[Institution ID]),Institutions[ID],Institutions[Institution nickname],"Unknown")</f>
        <v>Discover</v>
      </c>
      <c r="J1971" s="136" t="s">
        <v>3255</v>
      </c>
      <c r="K1971" s="137" t="s">
        <v>843</v>
      </c>
      <c r="L1971" s="137" t="s">
        <v>841</v>
      </c>
      <c r="M197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7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71" s="138" t="str" cm="1">
        <f t="array" ref="O1971">IFERROR(INDEX(CategoriesTable[Category type],MATCH(Table1[[#This Row],[Category]],CategoriesTable[Category name],0),0),"")</f>
        <v/>
      </c>
      <c r="P1971" s="138">
        <v>20</v>
      </c>
      <c r="Q1971" s="138">
        <f>MONTH(Table1[[#This Row],[Date]])</f>
        <v>6</v>
      </c>
      <c r="R1971" s="138">
        <v>2020</v>
      </c>
      <c r="S1971" s="139">
        <f>IF(ISBLANK(Table1[[#This Row],[Date]]),"",Table1[[#This Row],[Date]]-WEEKDAY(Table1[[#This Row],[Date]],2)+1)</f>
        <v>43997</v>
      </c>
      <c r="T1971" s="140">
        <f>IF(ISBLANK(Table1[[#This Row],[Date]]),"",DATE(Table1[[#This Row],[Date_Year]],Table1[[#This Row],[Date_Month]],1))</f>
        <v>43983</v>
      </c>
    </row>
    <row r="1972" spans="2:20" ht="15.75">
      <c r="B1972" s="154">
        <v>44001</v>
      </c>
      <c r="C1972" s="119" t="s">
        <v>845</v>
      </c>
      <c r="D1972" s="119"/>
      <c r="E1972" s="119"/>
      <c r="F1972" s="155">
        <v>608.48</v>
      </c>
      <c r="G1972" s="133" t="str">
        <f>_xlfn.XLOOKUP(Table1[[#This Row],[Account_ID]], Accounts[ID], Accounts[Account nickname], "Unknown")</f>
        <v>Discover</v>
      </c>
      <c r="H1972" s="134" t="str">
        <f>_xlfn.XLOOKUP(Table1[[#This Row],[Account_ID]], Accounts[ID], Accounts[Account'#], "Unknown")</f>
        <v>4618</v>
      </c>
      <c r="I1972" s="135" t="str">
        <f>_xlfn.XLOOKUP(_xlfn.XLOOKUP(Table1[[#This Row],[Account]],Accounts[Account nickname],Accounts[Institution ID]),Institutions[ID],Institutions[Institution nickname],"Unknown")</f>
        <v>Discover</v>
      </c>
      <c r="J1972" s="136" t="s">
        <v>3263</v>
      </c>
      <c r="K1972" s="137" t="s">
        <v>843</v>
      </c>
      <c r="L1972" s="137" t="s">
        <v>841</v>
      </c>
      <c r="M197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7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72" s="138" t="str" cm="1">
        <f t="array" ref="O1972">IFERROR(INDEX(CategoriesTable[Category type],MATCH(Table1[[#This Row],[Category]],CategoriesTable[Category name],0),0),"")</f>
        <v/>
      </c>
      <c r="P1972" s="138">
        <v>19</v>
      </c>
      <c r="Q1972" s="138">
        <f>MONTH(Table1[[#This Row],[Date]])</f>
        <v>6</v>
      </c>
      <c r="R1972" s="138">
        <v>2020</v>
      </c>
      <c r="S1972" s="139">
        <f>IF(ISBLANK(Table1[[#This Row],[Date]]),"",Table1[[#This Row],[Date]]-WEEKDAY(Table1[[#This Row],[Date]],2)+1)</f>
        <v>43997</v>
      </c>
      <c r="T1972" s="140">
        <f>IF(ISBLANK(Table1[[#This Row],[Date]]),"",DATE(Table1[[#This Row],[Date_Year]],Table1[[#This Row],[Date_Month]],1))</f>
        <v>43983</v>
      </c>
    </row>
    <row r="1973" spans="2:20" ht="15.75">
      <c r="B1973" s="154">
        <v>44001</v>
      </c>
      <c r="C1973" s="119" t="s">
        <v>2050</v>
      </c>
      <c r="D1973" s="119"/>
      <c r="E1973" s="119"/>
      <c r="F1973" s="155">
        <v>-15.49</v>
      </c>
      <c r="G1973" s="133" t="str">
        <f>_xlfn.XLOOKUP(Table1[[#This Row],[Account_ID]], Accounts[ID], Accounts[Account nickname], "Unknown")</f>
        <v>Discover</v>
      </c>
      <c r="H1973" s="134" t="str">
        <f>_xlfn.XLOOKUP(Table1[[#This Row],[Account_ID]], Accounts[ID], Accounts[Account'#], "Unknown")</f>
        <v>4618</v>
      </c>
      <c r="I1973" s="135" t="str">
        <f>_xlfn.XLOOKUP(_xlfn.XLOOKUP(Table1[[#This Row],[Account]],Accounts[Account nickname],Accounts[Institution ID]),Institutions[ID],Institutions[Institution nickname],"Unknown")</f>
        <v>Discover</v>
      </c>
      <c r="J1973" s="136" t="s">
        <v>3261</v>
      </c>
      <c r="K1973" s="137" t="s">
        <v>843</v>
      </c>
      <c r="L1973" s="137" t="s">
        <v>841</v>
      </c>
      <c r="M197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7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73" s="138" t="str" cm="1">
        <f t="array" ref="O1973">IFERROR(INDEX(CategoriesTable[Category type],MATCH(Table1[[#This Row],[Category]],CategoriesTable[Category name],0),0),"")</f>
        <v/>
      </c>
      <c r="P1973" s="138">
        <v>19</v>
      </c>
      <c r="Q1973" s="138">
        <f>MONTH(Table1[[#This Row],[Date]])</f>
        <v>6</v>
      </c>
      <c r="R1973" s="138">
        <v>2020</v>
      </c>
      <c r="S1973" s="139">
        <f>IF(ISBLANK(Table1[[#This Row],[Date]]),"",Table1[[#This Row],[Date]]-WEEKDAY(Table1[[#This Row],[Date]],2)+1)</f>
        <v>43997</v>
      </c>
      <c r="T1973" s="140">
        <f>IF(ISBLANK(Table1[[#This Row],[Date]]),"",DATE(Table1[[#This Row],[Date_Year]],Table1[[#This Row],[Date_Month]],1))</f>
        <v>43983</v>
      </c>
    </row>
    <row r="1974" spans="2:20" ht="15.75">
      <c r="B1974" s="154">
        <v>44001</v>
      </c>
      <c r="C1974" s="119" t="s">
        <v>724</v>
      </c>
      <c r="D1974" s="119"/>
      <c r="E1974" s="119"/>
      <c r="F1974" s="155">
        <v>-92.97</v>
      </c>
      <c r="G1974" s="133" t="str">
        <f>_xlfn.XLOOKUP(Table1[[#This Row],[Account_ID]], Accounts[ID], Accounts[Account nickname], "Unknown")</f>
        <v>Discover</v>
      </c>
      <c r="H1974" s="134" t="str">
        <f>_xlfn.XLOOKUP(Table1[[#This Row],[Account_ID]], Accounts[ID], Accounts[Account'#], "Unknown")</f>
        <v>4618</v>
      </c>
      <c r="I1974" s="135" t="str">
        <f>_xlfn.XLOOKUP(_xlfn.XLOOKUP(Table1[[#This Row],[Account]],Accounts[Account nickname],Accounts[Institution ID]),Institutions[ID],Institutions[Institution nickname],"Unknown")</f>
        <v>Discover</v>
      </c>
      <c r="J1974" s="136" t="s">
        <v>3265</v>
      </c>
      <c r="K1974" s="137" t="s">
        <v>843</v>
      </c>
      <c r="L1974" s="137" t="s">
        <v>841</v>
      </c>
      <c r="M197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7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74" s="138" t="str" cm="1">
        <f t="array" ref="O1974">IFERROR(INDEX(CategoriesTable[Category type],MATCH(Table1[[#This Row],[Category]],CategoriesTable[Category name],0),0),"")</f>
        <v/>
      </c>
      <c r="P1974" s="138">
        <v>19</v>
      </c>
      <c r="Q1974" s="138">
        <f>MONTH(Table1[[#This Row],[Date]])</f>
        <v>6</v>
      </c>
      <c r="R1974" s="138">
        <v>2020</v>
      </c>
      <c r="S1974" s="139">
        <f>IF(ISBLANK(Table1[[#This Row],[Date]]),"",Table1[[#This Row],[Date]]-WEEKDAY(Table1[[#This Row],[Date]],2)+1)</f>
        <v>43997</v>
      </c>
      <c r="T1974" s="140">
        <f>IF(ISBLANK(Table1[[#This Row],[Date]]),"",DATE(Table1[[#This Row],[Date_Year]],Table1[[#This Row],[Date_Month]],1))</f>
        <v>43983</v>
      </c>
    </row>
    <row r="1975" spans="2:20" ht="15.75">
      <c r="B1975" s="154">
        <v>44001</v>
      </c>
      <c r="C1975" s="119" t="s">
        <v>1726</v>
      </c>
      <c r="D1975" s="119"/>
      <c r="E1975" s="119"/>
      <c r="F1975" s="155">
        <v>-22.25</v>
      </c>
      <c r="G1975" s="133" t="str">
        <f>_xlfn.XLOOKUP(Table1[[#This Row],[Account_ID]], Accounts[ID], Accounts[Account nickname], "Unknown")</f>
        <v>Discover</v>
      </c>
      <c r="H1975" s="134" t="str">
        <f>_xlfn.XLOOKUP(Table1[[#This Row],[Account_ID]], Accounts[ID], Accounts[Account'#], "Unknown")</f>
        <v>4618</v>
      </c>
      <c r="I1975" s="135" t="str">
        <f>_xlfn.XLOOKUP(_xlfn.XLOOKUP(Table1[[#This Row],[Account]],Accounts[Account nickname],Accounts[Institution ID]),Institutions[ID],Institutions[Institution nickname],"Unknown")</f>
        <v>Discover</v>
      </c>
      <c r="J1975" s="136" t="s">
        <v>3264</v>
      </c>
      <c r="K1975" s="137" t="s">
        <v>843</v>
      </c>
      <c r="L1975" s="137" t="s">
        <v>841</v>
      </c>
      <c r="M197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7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75" s="138" t="str" cm="1">
        <f t="array" ref="O1975">IFERROR(INDEX(CategoriesTable[Category type],MATCH(Table1[[#This Row],[Category]],CategoriesTable[Category name],0),0),"")</f>
        <v/>
      </c>
      <c r="P1975" s="138">
        <v>19</v>
      </c>
      <c r="Q1975" s="138">
        <f>MONTH(Table1[[#This Row],[Date]])</f>
        <v>6</v>
      </c>
      <c r="R1975" s="138">
        <v>2020</v>
      </c>
      <c r="S1975" s="139">
        <f>IF(ISBLANK(Table1[[#This Row],[Date]]),"",Table1[[#This Row],[Date]]-WEEKDAY(Table1[[#This Row],[Date]],2)+1)</f>
        <v>43997</v>
      </c>
      <c r="T1975" s="140">
        <f>IF(ISBLANK(Table1[[#This Row],[Date]]),"",DATE(Table1[[#This Row],[Date_Year]],Table1[[#This Row],[Date_Month]],1))</f>
        <v>43983</v>
      </c>
    </row>
    <row r="1976" spans="2:20" ht="15.75">
      <c r="B1976" s="154">
        <v>44001</v>
      </c>
      <c r="C1976" s="119" t="s">
        <v>961</v>
      </c>
      <c r="D1976" s="119"/>
      <c r="E1976" s="119"/>
      <c r="F1976" s="155">
        <v>4.1100000000000003</v>
      </c>
      <c r="G1976" s="133" t="str">
        <f>_xlfn.XLOOKUP(Table1[[#This Row],[Account_ID]], Accounts[ID], Accounts[Account nickname], "Unknown")</f>
        <v>Discover</v>
      </c>
      <c r="H1976" s="134" t="str">
        <f>_xlfn.XLOOKUP(Table1[[#This Row],[Account_ID]], Accounts[ID], Accounts[Account'#], "Unknown")</f>
        <v>4618</v>
      </c>
      <c r="I1976" s="135" t="str">
        <f>_xlfn.XLOOKUP(_xlfn.XLOOKUP(Table1[[#This Row],[Account]],Accounts[Account nickname],Accounts[Institution ID]),Institutions[ID],Institutions[Institution nickname],"Unknown")</f>
        <v>Discover</v>
      </c>
      <c r="J1976" s="136" t="s">
        <v>3262</v>
      </c>
      <c r="K1976" s="137" t="s">
        <v>843</v>
      </c>
      <c r="L1976" s="137" t="s">
        <v>841</v>
      </c>
      <c r="M197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7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76" s="138" t="str" cm="1">
        <f t="array" ref="O1976">IFERROR(INDEX(CategoriesTable[Category type],MATCH(Table1[[#This Row],[Category]],CategoriesTable[Category name],0),0),"")</f>
        <v/>
      </c>
      <c r="P1976" s="138">
        <v>19</v>
      </c>
      <c r="Q1976" s="138">
        <f>MONTH(Table1[[#This Row],[Date]])</f>
        <v>6</v>
      </c>
      <c r="R1976" s="138">
        <v>2020</v>
      </c>
      <c r="S1976" s="139">
        <f>IF(ISBLANK(Table1[[#This Row],[Date]]),"",Table1[[#This Row],[Date]]-WEEKDAY(Table1[[#This Row],[Date]],2)+1)</f>
        <v>43997</v>
      </c>
      <c r="T1976" s="140">
        <f>IF(ISBLANK(Table1[[#This Row],[Date]]),"",DATE(Table1[[#This Row],[Date_Year]],Table1[[#This Row],[Date_Month]],1))</f>
        <v>43983</v>
      </c>
    </row>
    <row r="1977" spans="2:20" ht="15.75">
      <c r="B1977" s="154">
        <v>44000</v>
      </c>
      <c r="C1977" s="119" t="s">
        <v>2308</v>
      </c>
      <c r="D1977" s="119"/>
      <c r="E1977" s="119"/>
      <c r="F1977" s="155">
        <v>-3.59</v>
      </c>
      <c r="G1977" s="133" t="str">
        <f>_xlfn.XLOOKUP(Table1[[#This Row],[Account_ID]], Accounts[ID], Accounts[Account nickname], "Unknown")</f>
        <v>Discover</v>
      </c>
      <c r="H1977" s="134" t="str">
        <f>_xlfn.XLOOKUP(Table1[[#This Row],[Account_ID]], Accounts[ID], Accounts[Account'#], "Unknown")</f>
        <v>4618</v>
      </c>
      <c r="I1977" s="135" t="str">
        <f>_xlfn.XLOOKUP(_xlfn.XLOOKUP(Table1[[#This Row],[Account]],Accounts[Account nickname],Accounts[Institution ID]),Institutions[ID],Institutions[Institution nickname],"Unknown")</f>
        <v>Discover</v>
      </c>
      <c r="J1977" s="136" t="s">
        <v>3267</v>
      </c>
      <c r="K1977" s="137" t="s">
        <v>843</v>
      </c>
      <c r="L1977" s="137" t="s">
        <v>841</v>
      </c>
      <c r="M197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7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77" s="138" t="str" cm="1">
        <f t="array" ref="O1977">IFERROR(INDEX(CategoriesTable[Category type],MATCH(Table1[[#This Row],[Category]],CategoriesTable[Category name],0),0),"")</f>
        <v/>
      </c>
      <c r="P1977" s="138">
        <v>18</v>
      </c>
      <c r="Q1977" s="138">
        <f>MONTH(Table1[[#This Row],[Date]])</f>
        <v>6</v>
      </c>
      <c r="R1977" s="138">
        <v>2020</v>
      </c>
      <c r="S1977" s="139">
        <f>IF(ISBLANK(Table1[[#This Row],[Date]]),"",Table1[[#This Row],[Date]]-WEEKDAY(Table1[[#This Row],[Date]],2)+1)</f>
        <v>43997</v>
      </c>
      <c r="T1977" s="140">
        <f>IF(ISBLANK(Table1[[#This Row],[Date]]),"",DATE(Table1[[#This Row],[Date_Year]],Table1[[#This Row],[Date_Month]],1))</f>
        <v>43983</v>
      </c>
    </row>
    <row r="1978" spans="2:20" ht="15.75">
      <c r="B1978" s="154">
        <v>44000</v>
      </c>
      <c r="C1978" s="119" t="s">
        <v>700</v>
      </c>
      <c r="D1978" s="119"/>
      <c r="E1978" s="119"/>
      <c r="F1978" s="155">
        <v>-86.25</v>
      </c>
      <c r="G1978" s="133" t="str">
        <f>_xlfn.XLOOKUP(Table1[[#This Row],[Account_ID]], Accounts[ID], Accounts[Account nickname], "Unknown")</f>
        <v>Discover</v>
      </c>
      <c r="H1978" s="134" t="str">
        <f>_xlfn.XLOOKUP(Table1[[#This Row],[Account_ID]], Accounts[ID], Accounts[Account'#], "Unknown")</f>
        <v>4618</v>
      </c>
      <c r="I1978" s="135" t="str">
        <f>_xlfn.XLOOKUP(_xlfn.XLOOKUP(Table1[[#This Row],[Account]],Accounts[Account nickname],Accounts[Institution ID]),Institutions[ID],Institutions[Institution nickname],"Unknown")</f>
        <v>Discover</v>
      </c>
      <c r="J1978" s="136" t="s">
        <v>3266</v>
      </c>
      <c r="K1978" s="137" t="s">
        <v>843</v>
      </c>
      <c r="L1978" s="137" t="s">
        <v>841</v>
      </c>
      <c r="M197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7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78" s="138" t="str" cm="1">
        <f t="array" ref="O1978">IFERROR(INDEX(CategoriesTable[Category type],MATCH(Table1[[#This Row],[Category]],CategoriesTable[Category name],0),0),"")</f>
        <v/>
      </c>
      <c r="P1978" s="138">
        <v>18</v>
      </c>
      <c r="Q1978" s="138">
        <f>MONTH(Table1[[#This Row],[Date]])</f>
        <v>6</v>
      </c>
      <c r="R1978" s="138">
        <v>2020</v>
      </c>
      <c r="S1978" s="139">
        <f>IF(ISBLANK(Table1[[#This Row],[Date]]),"",Table1[[#This Row],[Date]]-WEEKDAY(Table1[[#This Row],[Date]],2)+1)</f>
        <v>43997</v>
      </c>
      <c r="T1978" s="140">
        <f>IF(ISBLANK(Table1[[#This Row],[Date]]),"",DATE(Table1[[#This Row],[Date_Year]],Table1[[#This Row],[Date_Month]],1))</f>
        <v>43983</v>
      </c>
    </row>
    <row r="1979" spans="2:20" ht="15.75">
      <c r="B1979" s="154">
        <v>44000</v>
      </c>
      <c r="C1979" s="119" t="s">
        <v>2308</v>
      </c>
      <c r="D1979" s="119"/>
      <c r="E1979" s="119"/>
      <c r="F1979" s="155">
        <v>-22.97</v>
      </c>
      <c r="G1979" s="133" t="str">
        <f>_xlfn.XLOOKUP(Table1[[#This Row],[Account_ID]], Accounts[ID], Accounts[Account nickname], "Unknown")</f>
        <v>Discover</v>
      </c>
      <c r="H1979" s="134" t="str">
        <f>_xlfn.XLOOKUP(Table1[[#This Row],[Account_ID]], Accounts[ID], Accounts[Account'#], "Unknown")</f>
        <v>4618</v>
      </c>
      <c r="I1979" s="135" t="str">
        <f>_xlfn.XLOOKUP(_xlfn.XLOOKUP(Table1[[#This Row],[Account]],Accounts[Account nickname],Accounts[Institution ID]),Institutions[ID],Institutions[Institution nickname],"Unknown")</f>
        <v>Discover</v>
      </c>
      <c r="J1979" s="136" t="s">
        <v>3268</v>
      </c>
      <c r="K1979" s="137" t="s">
        <v>843</v>
      </c>
      <c r="L1979" s="137" t="s">
        <v>841</v>
      </c>
      <c r="M197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7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79" s="138" t="str" cm="1">
        <f t="array" ref="O1979">IFERROR(INDEX(CategoriesTable[Category type],MATCH(Table1[[#This Row],[Category]],CategoriesTable[Category name],0),0),"")</f>
        <v/>
      </c>
      <c r="P1979" s="138">
        <v>18</v>
      </c>
      <c r="Q1979" s="138">
        <f>MONTH(Table1[[#This Row],[Date]])</f>
        <v>6</v>
      </c>
      <c r="R1979" s="138">
        <v>2020</v>
      </c>
      <c r="S1979" s="139">
        <f>IF(ISBLANK(Table1[[#This Row],[Date]]),"",Table1[[#This Row],[Date]]-WEEKDAY(Table1[[#This Row],[Date]],2)+1)</f>
        <v>43997</v>
      </c>
      <c r="T1979" s="140">
        <f>IF(ISBLANK(Table1[[#This Row],[Date]]),"",DATE(Table1[[#This Row],[Date_Year]],Table1[[#This Row],[Date_Month]],1))</f>
        <v>43983</v>
      </c>
    </row>
    <row r="1980" spans="2:20" ht="15.75">
      <c r="B1980" s="154">
        <v>43999</v>
      </c>
      <c r="C1980" s="119" t="s">
        <v>2464</v>
      </c>
      <c r="D1980" s="119"/>
      <c r="E1980" s="119"/>
      <c r="F1980" s="155">
        <v>-17.62</v>
      </c>
      <c r="G1980" s="133" t="str">
        <f>_xlfn.XLOOKUP(Table1[[#This Row],[Account_ID]], Accounts[ID], Accounts[Account nickname], "Unknown")</f>
        <v>Discover</v>
      </c>
      <c r="H1980" s="134" t="str">
        <f>_xlfn.XLOOKUP(Table1[[#This Row],[Account_ID]], Accounts[ID], Accounts[Account'#], "Unknown")</f>
        <v>4618</v>
      </c>
      <c r="I1980" s="135" t="str">
        <f>_xlfn.XLOOKUP(_xlfn.XLOOKUP(Table1[[#This Row],[Account]],Accounts[Account nickname],Accounts[Institution ID]),Institutions[ID],Institutions[Institution nickname],"Unknown")</f>
        <v>Discover</v>
      </c>
      <c r="J1980" s="136" t="s">
        <v>3269</v>
      </c>
      <c r="K1980" s="137" t="s">
        <v>843</v>
      </c>
      <c r="L1980" s="137" t="s">
        <v>841</v>
      </c>
      <c r="M198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8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80" s="138" t="str" cm="1">
        <f t="array" ref="O1980">IFERROR(INDEX(CategoriesTable[Category type],MATCH(Table1[[#This Row],[Category]],CategoriesTable[Category name],0),0),"")</f>
        <v/>
      </c>
      <c r="P1980" s="138">
        <v>17</v>
      </c>
      <c r="Q1980" s="138">
        <f>MONTH(Table1[[#This Row],[Date]])</f>
        <v>6</v>
      </c>
      <c r="R1980" s="138">
        <v>2020</v>
      </c>
      <c r="S1980" s="139">
        <f>IF(ISBLANK(Table1[[#This Row],[Date]]),"",Table1[[#This Row],[Date]]-WEEKDAY(Table1[[#This Row],[Date]],2)+1)</f>
        <v>43997</v>
      </c>
      <c r="T1980" s="140">
        <f>IF(ISBLANK(Table1[[#This Row],[Date]]),"",DATE(Table1[[#This Row],[Date_Year]],Table1[[#This Row],[Date_Month]],1))</f>
        <v>43983</v>
      </c>
    </row>
    <row r="1981" spans="2:20" ht="15.75">
      <c r="B1981" s="154">
        <v>43997</v>
      </c>
      <c r="C1981" s="119" t="s">
        <v>718</v>
      </c>
      <c r="D1981" s="119"/>
      <c r="E1981" s="119"/>
      <c r="F1981" s="155">
        <v>-55.72</v>
      </c>
      <c r="G1981" s="133" t="str">
        <f>_xlfn.XLOOKUP(Table1[[#This Row],[Account_ID]], Accounts[ID], Accounts[Account nickname], "Unknown")</f>
        <v>Discover</v>
      </c>
      <c r="H1981" s="134" t="str">
        <f>_xlfn.XLOOKUP(Table1[[#This Row],[Account_ID]], Accounts[ID], Accounts[Account'#], "Unknown")</f>
        <v>4618</v>
      </c>
      <c r="I1981" s="135" t="str">
        <f>_xlfn.XLOOKUP(_xlfn.XLOOKUP(Table1[[#This Row],[Account]],Accounts[Account nickname],Accounts[Institution ID]),Institutions[ID],Institutions[Institution nickname],"Unknown")</f>
        <v>Discover</v>
      </c>
      <c r="J1981" s="136" t="s">
        <v>3271</v>
      </c>
      <c r="K1981" s="137" t="s">
        <v>843</v>
      </c>
      <c r="L1981" s="137" t="s">
        <v>841</v>
      </c>
      <c r="M198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8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81" s="138" t="str" cm="1">
        <f t="array" ref="O1981">IFERROR(INDEX(CategoriesTable[Category type],MATCH(Table1[[#This Row],[Category]],CategoriesTable[Category name],0),0),"")</f>
        <v/>
      </c>
      <c r="P1981" s="138">
        <v>15</v>
      </c>
      <c r="Q1981" s="138">
        <f>MONTH(Table1[[#This Row],[Date]])</f>
        <v>6</v>
      </c>
      <c r="R1981" s="138">
        <v>2020</v>
      </c>
      <c r="S1981" s="139">
        <f>IF(ISBLANK(Table1[[#This Row],[Date]]),"",Table1[[#This Row],[Date]]-WEEKDAY(Table1[[#This Row],[Date]],2)+1)</f>
        <v>43997</v>
      </c>
      <c r="T1981" s="140">
        <f>IF(ISBLANK(Table1[[#This Row],[Date]]),"",DATE(Table1[[#This Row],[Date_Year]],Table1[[#This Row],[Date_Month]],1))</f>
        <v>43983</v>
      </c>
    </row>
    <row r="1982" spans="2:20" ht="15.75">
      <c r="B1982" s="154">
        <v>43997</v>
      </c>
      <c r="C1982" s="119" t="s">
        <v>2266</v>
      </c>
      <c r="D1982" s="119"/>
      <c r="E1982" s="119"/>
      <c r="F1982" s="155">
        <v>-55.79</v>
      </c>
      <c r="G1982" s="133" t="str">
        <f>_xlfn.XLOOKUP(Table1[[#This Row],[Account_ID]], Accounts[ID], Accounts[Account nickname], "Unknown")</f>
        <v>Discover</v>
      </c>
      <c r="H1982" s="134" t="str">
        <f>_xlfn.XLOOKUP(Table1[[#This Row],[Account_ID]], Accounts[ID], Accounts[Account'#], "Unknown")</f>
        <v>4618</v>
      </c>
      <c r="I1982" s="135" t="str">
        <f>_xlfn.XLOOKUP(_xlfn.XLOOKUP(Table1[[#This Row],[Account]],Accounts[Account nickname],Accounts[Institution ID]),Institutions[ID],Institutions[Institution nickname],"Unknown")</f>
        <v>Discover</v>
      </c>
      <c r="J1982" s="136" t="s">
        <v>3270</v>
      </c>
      <c r="K1982" s="137" t="s">
        <v>843</v>
      </c>
      <c r="L1982" s="137" t="s">
        <v>841</v>
      </c>
      <c r="M198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8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82" s="138" t="str" cm="1">
        <f t="array" ref="O1982">IFERROR(INDEX(CategoriesTable[Category type],MATCH(Table1[[#This Row],[Category]],CategoriesTable[Category name],0),0),"")</f>
        <v/>
      </c>
      <c r="P1982" s="138">
        <v>15</v>
      </c>
      <c r="Q1982" s="138">
        <f>MONTH(Table1[[#This Row],[Date]])</f>
        <v>6</v>
      </c>
      <c r="R1982" s="138">
        <v>2020</v>
      </c>
      <c r="S1982" s="139">
        <f>IF(ISBLANK(Table1[[#This Row],[Date]]),"",Table1[[#This Row],[Date]]-WEEKDAY(Table1[[#This Row],[Date]],2)+1)</f>
        <v>43997</v>
      </c>
      <c r="T1982" s="140">
        <f>IF(ISBLANK(Table1[[#This Row],[Date]]),"",DATE(Table1[[#This Row],[Date_Year]],Table1[[#This Row],[Date_Month]],1))</f>
        <v>43983</v>
      </c>
    </row>
    <row r="1983" spans="2:20" ht="15.75">
      <c r="B1983" s="154">
        <v>43996</v>
      </c>
      <c r="C1983" s="119" t="s">
        <v>718</v>
      </c>
      <c r="D1983" s="119"/>
      <c r="E1983" s="119"/>
      <c r="F1983" s="155">
        <v>-72.5</v>
      </c>
      <c r="G1983" s="133" t="str">
        <f>_xlfn.XLOOKUP(Table1[[#This Row],[Account_ID]], Accounts[ID], Accounts[Account nickname], "Unknown")</f>
        <v>Discover</v>
      </c>
      <c r="H1983" s="134" t="str">
        <f>_xlfn.XLOOKUP(Table1[[#This Row],[Account_ID]], Accounts[ID], Accounts[Account'#], "Unknown")</f>
        <v>4618</v>
      </c>
      <c r="I1983" s="135" t="str">
        <f>_xlfn.XLOOKUP(_xlfn.XLOOKUP(Table1[[#This Row],[Account]],Accounts[Account nickname],Accounts[Institution ID]),Institutions[ID],Institutions[Institution nickname],"Unknown")</f>
        <v>Discover</v>
      </c>
      <c r="J1983" s="136" t="s">
        <v>3272</v>
      </c>
      <c r="K1983" s="137" t="s">
        <v>843</v>
      </c>
      <c r="L1983" s="137" t="s">
        <v>841</v>
      </c>
      <c r="M198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8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83" s="138" t="str" cm="1">
        <f t="array" ref="O1983">IFERROR(INDEX(CategoriesTable[Category type],MATCH(Table1[[#This Row],[Category]],CategoriesTable[Category name],0),0),"")</f>
        <v/>
      </c>
      <c r="P1983" s="138">
        <v>14</v>
      </c>
      <c r="Q1983" s="138">
        <f>MONTH(Table1[[#This Row],[Date]])</f>
        <v>6</v>
      </c>
      <c r="R1983" s="138">
        <v>2020</v>
      </c>
      <c r="S1983" s="139">
        <f>IF(ISBLANK(Table1[[#This Row],[Date]]),"",Table1[[#This Row],[Date]]-WEEKDAY(Table1[[#This Row],[Date]],2)+1)</f>
        <v>43990</v>
      </c>
      <c r="T1983" s="140">
        <f>IF(ISBLANK(Table1[[#This Row],[Date]]),"",DATE(Table1[[#This Row],[Date_Year]],Table1[[#This Row],[Date_Month]],1))</f>
        <v>43983</v>
      </c>
    </row>
    <row r="1984" spans="2:20" ht="15.75">
      <c r="B1984" s="154">
        <v>43995</v>
      </c>
      <c r="C1984" s="119" t="s">
        <v>724</v>
      </c>
      <c r="D1984" s="119"/>
      <c r="E1984" s="119"/>
      <c r="F1984" s="155">
        <v>-18.75</v>
      </c>
      <c r="G1984" s="133" t="str">
        <f>_xlfn.XLOOKUP(Table1[[#This Row],[Account_ID]], Accounts[ID], Accounts[Account nickname], "Unknown")</f>
        <v>Discover</v>
      </c>
      <c r="H1984" s="134" t="str">
        <f>_xlfn.XLOOKUP(Table1[[#This Row],[Account_ID]], Accounts[ID], Accounts[Account'#], "Unknown")</f>
        <v>4618</v>
      </c>
      <c r="I1984" s="135" t="str">
        <f>_xlfn.XLOOKUP(_xlfn.XLOOKUP(Table1[[#This Row],[Account]],Accounts[Account nickname],Accounts[Institution ID]),Institutions[ID],Institutions[Institution nickname],"Unknown")</f>
        <v>Discover</v>
      </c>
      <c r="J1984" s="136" t="s">
        <v>3274</v>
      </c>
      <c r="K1984" s="137" t="s">
        <v>843</v>
      </c>
      <c r="L1984" s="137" t="s">
        <v>841</v>
      </c>
      <c r="M198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8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84" s="138" t="str" cm="1">
        <f t="array" ref="O1984">IFERROR(INDEX(CategoriesTable[Category type],MATCH(Table1[[#This Row],[Category]],CategoriesTable[Category name],0),0),"")</f>
        <v/>
      </c>
      <c r="P1984" s="138">
        <v>13</v>
      </c>
      <c r="Q1984" s="138">
        <f>MONTH(Table1[[#This Row],[Date]])</f>
        <v>6</v>
      </c>
      <c r="R1984" s="138">
        <v>2020</v>
      </c>
      <c r="S1984" s="139">
        <f>IF(ISBLANK(Table1[[#This Row],[Date]]),"",Table1[[#This Row],[Date]]-WEEKDAY(Table1[[#This Row],[Date]],2)+1)</f>
        <v>43990</v>
      </c>
      <c r="T1984" s="140">
        <f>IF(ISBLANK(Table1[[#This Row],[Date]]),"",DATE(Table1[[#This Row],[Date_Year]],Table1[[#This Row],[Date_Month]],1))</f>
        <v>43983</v>
      </c>
    </row>
    <row r="1985" spans="2:20" ht="15.75">
      <c r="B1985" s="154">
        <v>43995</v>
      </c>
      <c r="C1985" s="119" t="s">
        <v>2939</v>
      </c>
      <c r="D1985" s="119"/>
      <c r="E1985" s="119"/>
      <c r="F1985" s="155">
        <v>-86.42</v>
      </c>
      <c r="G1985" s="133" t="str">
        <f>_xlfn.XLOOKUP(Table1[[#This Row],[Account_ID]], Accounts[ID], Accounts[Account nickname], "Unknown")</f>
        <v>Discover</v>
      </c>
      <c r="H1985" s="134" t="str">
        <f>_xlfn.XLOOKUP(Table1[[#This Row],[Account_ID]], Accounts[ID], Accounts[Account'#], "Unknown")</f>
        <v>4618</v>
      </c>
      <c r="I1985" s="135" t="str">
        <f>_xlfn.XLOOKUP(_xlfn.XLOOKUP(Table1[[#This Row],[Account]],Accounts[Account nickname],Accounts[Institution ID]),Institutions[ID],Institutions[Institution nickname],"Unknown")</f>
        <v>Discover</v>
      </c>
      <c r="J1985" s="136" t="s">
        <v>3273</v>
      </c>
      <c r="K1985" s="137" t="s">
        <v>843</v>
      </c>
      <c r="L1985" s="137" t="s">
        <v>841</v>
      </c>
      <c r="M198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8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85" s="138" t="str" cm="1">
        <f t="array" ref="O1985">IFERROR(INDEX(CategoriesTable[Category type],MATCH(Table1[[#This Row],[Category]],CategoriesTable[Category name],0),0),"")</f>
        <v/>
      </c>
      <c r="P1985" s="138">
        <v>13</v>
      </c>
      <c r="Q1985" s="138">
        <f>MONTH(Table1[[#This Row],[Date]])</f>
        <v>6</v>
      </c>
      <c r="R1985" s="138">
        <v>2020</v>
      </c>
      <c r="S1985" s="139">
        <f>IF(ISBLANK(Table1[[#This Row],[Date]]),"",Table1[[#This Row],[Date]]-WEEKDAY(Table1[[#This Row],[Date]],2)+1)</f>
        <v>43990</v>
      </c>
      <c r="T1985" s="140">
        <f>IF(ISBLANK(Table1[[#This Row],[Date]]),"",DATE(Table1[[#This Row],[Date_Year]],Table1[[#This Row],[Date_Month]],1))</f>
        <v>43983</v>
      </c>
    </row>
    <row r="1986" spans="2:20" ht="15.75">
      <c r="B1986" s="154">
        <v>43994</v>
      </c>
      <c r="C1986" s="119" t="s">
        <v>3276</v>
      </c>
      <c r="D1986" s="119"/>
      <c r="E1986" s="119"/>
      <c r="F1986" s="155">
        <v>-35.950000000000003</v>
      </c>
      <c r="G1986" s="133" t="str">
        <f>_xlfn.XLOOKUP(Table1[[#This Row],[Account_ID]], Accounts[ID], Accounts[Account nickname], "Unknown")</f>
        <v>Discover</v>
      </c>
      <c r="H1986" s="134" t="str">
        <f>_xlfn.XLOOKUP(Table1[[#This Row],[Account_ID]], Accounts[ID], Accounts[Account'#], "Unknown")</f>
        <v>4618</v>
      </c>
      <c r="I1986" s="135" t="str">
        <f>_xlfn.XLOOKUP(_xlfn.XLOOKUP(Table1[[#This Row],[Account]],Accounts[Account nickname],Accounts[Institution ID]),Institutions[ID],Institutions[Institution nickname],"Unknown")</f>
        <v>Discover</v>
      </c>
      <c r="J1986" s="136" t="s">
        <v>3277</v>
      </c>
      <c r="K1986" s="137" t="s">
        <v>843</v>
      </c>
      <c r="L1986" s="137" t="s">
        <v>841</v>
      </c>
      <c r="M198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8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86" s="138" t="str" cm="1">
        <f t="array" ref="O1986">IFERROR(INDEX(CategoriesTable[Category type],MATCH(Table1[[#This Row],[Category]],CategoriesTable[Category name],0),0),"")</f>
        <v/>
      </c>
      <c r="P1986" s="138">
        <v>12</v>
      </c>
      <c r="Q1986" s="138">
        <f>MONTH(Table1[[#This Row],[Date]])</f>
        <v>6</v>
      </c>
      <c r="R1986" s="138">
        <v>2020</v>
      </c>
      <c r="S1986" s="139">
        <f>IF(ISBLANK(Table1[[#This Row],[Date]]),"",Table1[[#This Row],[Date]]-WEEKDAY(Table1[[#This Row],[Date]],2)+1)</f>
        <v>43990</v>
      </c>
      <c r="T1986" s="140">
        <f>IF(ISBLANK(Table1[[#This Row],[Date]]),"",DATE(Table1[[#This Row],[Date_Year]],Table1[[#This Row],[Date_Month]],1))</f>
        <v>43983</v>
      </c>
    </row>
    <row r="1987" spans="2:20" ht="15.75">
      <c r="B1987" s="154">
        <v>43994</v>
      </c>
      <c r="C1987" s="119" t="s">
        <v>2841</v>
      </c>
      <c r="D1987" s="119"/>
      <c r="E1987" s="119"/>
      <c r="F1987" s="155">
        <v>-17.61</v>
      </c>
      <c r="G1987" s="133" t="str">
        <f>_xlfn.XLOOKUP(Table1[[#This Row],[Account_ID]], Accounts[ID], Accounts[Account nickname], "Unknown")</f>
        <v>Discover</v>
      </c>
      <c r="H1987" s="134" t="str">
        <f>_xlfn.XLOOKUP(Table1[[#This Row],[Account_ID]], Accounts[ID], Accounts[Account'#], "Unknown")</f>
        <v>4618</v>
      </c>
      <c r="I1987" s="135" t="str">
        <f>_xlfn.XLOOKUP(_xlfn.XLOOKUP(Table1[[#This Row],[Account]],Accounts[Account nickname],Accounts[Institution ID]),Institutions[ID],Institutions[Institution nickname],"Unknown")</f>
        <v>Discover</v>
      </c>
      <c r="J1987" s="136" t="s">
        <v>3278</v>
      </c>
      <c r="K1987" s="137" t="s">
        <v>843</v>
      </c>
      <c r="L1987" s="137" t="s">
        <v>841</v>
      </c>
      <c r="M198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8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87" s="138" t="str" cm="1">
        <f t="array" ref="O1987">IFERROR(INDEX(CategoriesTable[Category type],MATCH(Table1[[#This Row],[Category]],CategoriesTable[Category name],0),0),"")</f>
        <v/>
      </c>
      <c r="P1987" s="138">
        <v>12</v>
      </c>
      <c r="Q1987" s="138">
        <f>MONTH(Table1[[#This Row],[Date]])</f>
        <v>6</v>
      </c>
      <c r="R1987" s="138">
        <v>2020</v>
      </c>
      <c r="S1987" s="139">
        <f>IF(ISBLANK(Table1[[#This Row],[Date]]),"",Table1[[#This Row],[Date]]-WEEKDAY(Table1[[#This Row],[Date]],2)+1)</f>
        <v>43990</v>
      </c>
      <c r="T1987" s="140">
        <f>IF(ISBLANK(Table1[[#This Row],[Date]]),"",DATE(Table1[[#This Row],[Date_Year]],Table1[[#This Row],[Date_Month]],1))</f>
        <v>43983</v>
      </c>
    </row>
    <row r="1988" spans="2:20" ht="15.75">
      <c r="B1988" s="154">
        <v>43994</v>
      </c>
      <c r="C1988" s="119" t="s">
        <v>910</v>
      </c>
      <c r="D1988" s="119"/>
      <c r="E1988" s="119"/>
      <c r="F1988" s="155">
        <v>-14.99</v>
      </c>
      <c r="G1988" s="133" t="str">
        <f>_xlfn.XLOOKUP(Table1[[#This Row],[Account_ID]], Accounts[ID], Accounts[Account nickname], "Unknown")</f>
        <v>Discover</v>
      </c>
      <c r="H1988" s="134" t="str">
        <f>_xlfn.XLOOKUP(Table1[[#This Row],[Account_ID]], Accounts[ID], Accounts[Account'#], "Unknown")</f>
        <v>4618</v>
      </c>
      <c r="I1988" s="135" t="str">
        <f>_xlfn.XLOOKUP(_xlfn.XLOOKUP(Table1[[#This Row],[Account]],Accounts[Account nickname],Accounts[Institution ID]),Institutions[ID],Institutions[Institution nickname],"Unknown")</f>
        <v>Discover</v>
      </c>
      <c r="J1988" s="136" t="s">
        <v>3275</v>
      </c>
      <c r="K1988" s="137" t="s">
        <v>843</v>
      </c>
      <c r="L1988" s="137" t="s">
        <v>841</v>
      </c>
      <c r="M198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8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88" s="138" t="str" cm="1">
        <f t="array" ref="O1988">IFERROR(INDEX(CategoriesTable[Category type],MATCH(Table1[[#This Row],[Category]],CategoriesTable[Category name],0),0),"")</f>
        <v/>
      </c>
      <c r="P1988" s="138">
        <v>12</v>
      </c>
      <c r="Q1988" s="138">
        <f>MONTH(Table1[[#This Row],[Date]])</f>
        <v>6</v>
      </c>
      <c r="R1988" s="138">
        <v>2020</v>
      </c>
      <c r="S1988" s="139">
        <f>IF(ISBLANK(Table1[[#This Row],[Date]]),"",Table1[[#This Row],[Date]]-WEEKDAY(Table1[[#This Row],[Date]],2)+1)</f>
        <v>43990</v>
      </c>
      <c r="T1988" s="140">
        <f>IF(ISBLANK(Table1[[#This Row],[Date]]),"",DATE(Table1[[#This Row],[Date_Year]],Table1[[#This Row],[Date_Month]],1))</f>
        <v>43983</v>
      </c>
    </row>
    <row r="1989" spans="2:20" ht="15.75">
      <c r="B1989" s="154">
        <v>43992</v>
      </c>
      <c r="C1989" s="119" t="s">
        <v>3279</v>
      </c>
      <c r="D1989" s="119"/>
      <c r="E1989" s="119"/>
      <c r="F1989" s="155">
        <v>-42.54</v>
      </c>
      <c r="G1989" s="133" t="str">
        <f>_xlfn.XLOOKUP(Table1[[#This Row],[Account_ID]], Accounts[ID], Accounts[Account nickname], "Unknown")</f>
        <v>Discover</v>
      </c>
      <c r="H1989" s="134" t="str">
        <f>_xlfn.XLOOKUP(Table1[[#This Row],[Account_ID]], Accounts[ID], Accounts[Account'#], "Unknown")</f>
        <v>4618</v>
      </c>
      <c r="I1989" s="135" t="str">
        <f>_xlfn.XLOOKUP(_xlfn.XLOOKUP(Table1[[#This Row],[Account]],Accounts[Account nickname],Accounts[Institution ID]),Institutions[ID],Institutions[Institution nickname],"Unknown")</f>
        <v>Discover</v>
      </c>
      <c r="J1989" s="136" t="s">
        <v>3280</v>
      </c>
      <c r="K1989" s="137" t="s">
        <v>843</v>
      </c>
      <c r="L1989" s="137" t="s">
        <v>841</v>
      </c>
      <c r="M198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8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89" s="138" t="str" cm="1">
        <f t="array" ref="O1989">IFERROR(INDEX(CategoriesTable[Category type],MATCH(Table1[[#This Row],[Category]],CategoriesTable[Category name],0),0),"")</f>
        <v/>
      </c>
      <c r="P1989" s="138">
        <v>10</v>
      </c>
      <c r="Q1989" s="138">
        <f>MONTH(Table1[[#This Row],[Date]])</f>
        <v>6</v>
      </c>
      <c r="R1989" s="138">
        <v>2020</v>
      </c>
      <c r="S1989" s="139">
        <f>IF(ISBLANK(Table1[[#This Row],[Date]]),"",Table1[[#This Row],[Date]]-WEEKDAY(Table1[[#This Row],[Date]],2)+1)</f>
        <v>43990</v>
      </c>
      <c r="T1989" s="140">
        <f>IF(ISBLANK(Table1[[#This Row],[Date]]),"",DATE(Table1[[#This Row],[Date_Year]],Table1[[#This Row],[Date_Month]],1))</f>
        <v>43983</v>
      </c>
    </row>
    <row r="1990" spans="2:20" ht="15.75">
      <c r="B1990" s="154">
        <v>43991</v>
      </c>
      <c r="C1990" s="119" t="s">
        <v>1611</v>
      </c>
      <c r="D1990" s="119"/>
      <c r="E1990" s="119"/>
      <c r="F1990" s="155">
        <v>-47.36</v>
      </c>
      <c r="G1990" s="133" t="str">
        <f>_xlfn.XLOOKUP(Table1[[#This Row],[Account_ID]], Accounts[ID], Accounts[Account nickname], "Unknown")</f>
        <v>Discover</v>
      </c>
      <c r="H1990" s="134" t="str">
        <f>_xlfn.XLOOKUP(Table1[[#This Row],[Account_ID]], Accounts[ID], Accounts[Account'#], "Unknown")</f>
        <v>4618</v>
      </c>
      <c r="I1990" s="135" t="str">
        <f>_xlfn.XLOOKUP(_xlfn.XLOOKUP(Table1[[#This Row],[Account]],Accounts[Account nickname],Accounts[Institution ID]),Institutions[ID],Institutions[Institution nickname],"Unknown")</f>
        <v>Discover</v>
      </c>
      <c r="J1990" s="136" t="s">
        <v>3281</v>
      </c>
      <c r="K1990" s="137" t="s">
        <v>843</v>
      </c>
      <c r="L1990" s="137" t="s">
        <v>841</v>
      </c>
      <c r="M199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9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90" s="138" t="str" cm="1">
        <f t="array" ref="O1990">IFERROR(INDEX(CategoriesTable[Category type],MATCH(Table1[[#This Row],[Category]],CategoriesTable[Category name],0),0),"")</f>
        <v/>
      </c>
      <c r="P1990" s="138">
        <v>9</v>
      </c>
      <c r="Q1990" s="138">
        <f>MONTH(Table1[[#This Row],[Date]])</f>
        <v>6</v>
      </c>
      <c r="R1990" s="138">
        <v>2020</v>
      </c>
      <c r="S1990" s="139">
        <f>IF(ISBLANK(Table1[[#This Row],[Date]]),"",Table1[[#This Row],[Date]]-WEEKDAY(Table1[[#This Row],[Date]],2)+1)</f>
        <v>43990</v>
      </c>
      <c r="T1990" s="140">
        <f>IF(ISBLANK(Table1[[#This Row],[Date]]),"",DATE(Table1[[#This Row],[Date_Year]],Table1[[#This Row],[Date_Month]],1))</f>
        <v>43983</v>
      </c>
    </row>
    <row r="1991" spans="2:20" ht="15.75">
      <c r="B1991" s="154">
        <v>43990</v>
      </c>
      <c r="C1991" s="119" t="s">
        <v>3283</v>
      </c>
      <c r="D1991" s="119"/>
      <c r="E1991" s="119"/>
      <c r="F1991" s="155">
        <v>-29.95</v>
      </c>
      <c r="G1991" s="133" t="str">
        <f>_xlfn.XLOOKUP(Table1[[#This Row],[Account_ID]], Accounts[ID], Accounts[Account nickname], "Unknown")</f>
        <v>Discover</v>
      </c>
      <c r="H1991" s="134" t="str">
        <f>_xlfn.XLOOKUP(Table1[[#This Row],[Account_ID]], Accounts[ID], Accounts[Account'#], "Unknown")</f>
        <v>4618</v>
      </c>
      <c r="I1991" s="135" t="str">
        <f>_xlfn.XLOOKUP(_xlfn.XLOOKUP(Table1[[#This Row],[Account]],Accounts[Account nickname],Accounts[Institution ID]),Institutions[ID],Institutions[Institution nickname],"Unknown")</f>
        <v>Discover</v>
      </c>
      <c r="J1991" s="136" t="s">
        <v>3285</v>
      </c>
      <c r="K1991" s="137" t="s">
        <v>843</v>
      </c>
      <c r="L1991" s="137" t="s">
        <v>841</v>
      </c>
      <c r="M199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9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91" s="138" t="str" cm="1">
        <f t="array" ref="O1991">IFERROR(INDEX(CategoriesTable[Category type],MATCH(Table1[[#This Row],[Category]],CategoriesTable[Category name],0),0),"")</f>
        <v/>
      </c>
      <c r="P1991" s="138">
        <v>8</v>
      </c>
      <c r="Q1991" s="138">
        <f>MONTH(Table1[[#This Row],[Date]])</f>
        <v>6</v>
      </c>
      <c r="R1991" s="138">
        <v>2020</v>
      </c>
      <c r="S1991" s="139">
        <f>IF(ISBLANK(Table1[[#This Row],[Date]]),"",Table1[[#This Row],[Date]]-WEEKDAY(Table1[[#This Row],[Date]],2)+1)</f>
        <v>43990</v>
      </c>
      <c r="T1991" s="140">
        <f>IF(ISBLANK(Table1[[#This Row],[Date]]),"",DATE(Table1[[#This Row],[Date_Year]],Table1[[#This Row],[Date_Month]],1))</f>
        <v>43983</v>
      </c>
    </row>
    <row r="1992" spans="2:20" ht="15.75">
      <c r="B1992" s="154">
        <v>43990</v>
      </c>
      <c r="C1992" s="119" t="s">
        <v>2464</v>
      </c>
      <c r="D1992" s="119"/>
      <c r="E1992" s="119"/>
      <c r="F1992" s="155">
        <v>-16.68</v>
      </c>
      <c r="G1992" s="133" t="str">
        <f>_xlfn.XLOOKUP(Table1[[#This Row],[Account_ID]], Accounts[ID], Accounts[Account nickname], "Unknown")</f>
        <v>Discover</v>
      </c>
      <c r="H1992" s="134" t="str">
        <f>_xlfn.XLOOKUP(Table1[[#This Row],[Account_ID]], Accounts[ID], Accounts[Account'#], "Unknown")</f>
        <v>4618</v>
      </c>
      <c r="I1992" s="135" t="str">
        <f>_xlfn.XLOOKUP(_xlfn.XLOOKUP(Table1[[#This Row],[Account]],Accounts[Account nickname],Accounts[Institution ID]),Institutions[ID],Institutions[Institution nickname],"Unknown")</f>
        <v>Discover</v>
      </c>
      <c r="J1992" s="136" t="s">
        <v>3282</v>
      </c>
      <c r="K1992" s="137" t="s">
        <v>843</v>
      </c>
      <c r="L1992" s="137" t="s">
        <v>841</v>
      </c>
      <c r="M199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9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92" s="138" t="str" cm="1">
        <f t="array" ref="O1992">IFERROR(INDEX(CategoriesTable[Category type],MATCH(Table1[[#This Row],[Category]],CategoriesTable[Category name],0),0),"")</f>
        <v/>
      </c>
      <c r="P1992" s="138">
        <v>8</v>
      </c>
      <c r="Q1992" s="138">
        <f>MONTH(Table1[[#This Row],[Date]])</f>
        <v>6</v>
      </c>
      <c r="R1992" s="138">
        <v>2020</v>
      </c>
      <c r="S1992" s="139">
        <f>IF(ISBLANK(Table1[[#This Row],[Date]]),"",Table1[[#This Row],[Date]]-WEEKDAY(Table1[[#This Row],[Date]],2)+1)</f>
        <v>43990</v>
      </c>
      <c r="T1992" s="140">
        <f>IF(ISBLANK(Table1[[#This Row],[Date]]),"",DATE(Table1[[#This Row],[Date_Year]],Table1[[#This Row],[Date_Month]],1))</f>
        <v>43983</v>
      </c>
    </row>
    <row r="1993" spans="2:20" ht="15.75">
      <c r="B1993" s="154">
        <v>43990</v>
      </c>
      <c r="C1993" s="119" t="s">
        <v>3283</v>
      </c>
      <c r="D1993" s="119"/>
      <c r="E1993" s="119"/>
      <c r="F1993" s="155">
        <v>-24.95</v>
      </c>
      <c r="G1993" s="133" t="str">
        <f>_xlfn.XLOOKUP(Table1[[#This Row],[Account_ID]], Accounts[ID], Accounts[Account nickname], "Unknown")</f>
        <v>Discover</v>
      </c>
      <c r="H1993" s="134" t="str">
        <f>_xlfn.XLOOKUP(Table1[[#This Row],[Account_ID]], Accounts[ID], Accounts[Account'#], "Unknown")</f>
        <v>4618</v>
      </c>
      <c r="I1993" s="135" t="str">
        <f>_xlfn.XLOOKUP(_xlfn.XLOOKUP(Table1[[#This Row],[Account]],Accounts[Account nickname],Accounts[Institution ID]),Institutions[ID],Institutions[Institution nickname],"Unknown")</f>
        <v>Discover</v>
      </c>
      <c r="J1993" s="136" t="s">
        <v>3284</v>
      </c>
      <c r="K1993" s="137" t="s">
        <v>843</v>
      </c>
      <c r="L1993" s="137" t="s">
        <v>841</v>
      </c>
      <c r="M199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9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93" s="138" t="str" cm="1">
        <f t="array" ref="O1993">IFERROR(INDEX(CategoriesTable[Category type],MATCH(Table1[[#This Row],[Category]],CategoriesTable[Category name],0),0),"")</f>
        <v/>
      </c>
      <c r="P1993" s="138">
        <v>8</v>
      </c>
      <c r="Q1993" s="138">
        <f>MONTH(Table1[[#This Row],[Date]])</f>
        <v>6</v>
      </c>
      <c r="R1993" s="138">
        <v>2020</v>
      </c>
      <c r="S1993" s="139">
        <f>IF(ISBLANK(Table1[[#This Row],[Date]]),"",Table1[[#This Row],[Date]]-WEEKDAY(Table1[[#This Row],[Date]],2)+1)</f>
        <v>43990</v>
      </c>
      <c r="T1993" s="140">
        <f>IF(ISBLANK(Table1[[#This Row],[Date]]),"",DATE(Table1[[#This Row],[Date_Year]],Table1[[#This Row],[Date_Month]],1))</f>
        <v>43983</v>
      </c>
    </row>
    <row r="1994" spans="2:20" ht="15.75">
      <c r="B1994" s="154">
        <v>43987</v>
      </c>
      <c r="C1994" s="119" t="s">
        <v>1403</v>
      </c>
      <c r="D1994" s="119"/>
      <c r="E1994" s="119"/>
      <c r="F1994" s="155">
        <v>-90.79</v>
      </c>
      <c r="G1994" s="133" t="str">
        <f>_xlfn.XLOOKUP(Table1[[#This Row],[Account_ID]], Accounts[ID], Accounts[Account nickname], "Unknown")</f>
        <v>Discover</v>
      </c>
      <c r="H1994" s="134" t="str">
        <f>_xlfn.XLOOKUP(Table1[[#This Row],[Account_ID]], Accounts[ID], Accounts[Account'#], "Unknown")</f>
        <v>4618</v>
      </c>
      <c r="I1994" s="135" t="str">
        <f>_xlfn.XLOOKUP(_xlfn.XLOOKUP(Table1[[#This Row],[Account]],Accounts[Account nickname],Accounts[Institution ID]),Institutions[ID],Institutions[Institution nickname],"Unknown")</f>
        <v>Discover</v>
      </c>
      <c r="J1994" s="136" t="s">
        <v>3288</v>
      </c>
      <c r="K1994" s="137" t="s">
        <v>843</v>
      </c>
      <c r="L1994" s="137" t="s">
        <v>841</v>
      </c>
      <c r="M199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9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94" s="138" t="str" cm="1">
        <f t="array" ref="O1994">IFERROR(INDEX(CategoriesTable[Category type],MATCH(Table1[[#This Row],[Category]],CategoriesTable[Category name],0),0),"")</f>
        <v/>
      </c>
      <c r="P1994" s="138">
        <v>5</v>
      </c>
      <c r="Q1994" s="138">
        <f>MONTH(Table1[[#This Row],[Date]])</f>
        <v>6</v>
      </c>
      <c r="R1994" s="138">
        <v>2020</v>
      </c>
      <c r="S1994" s="139">
        <f>IF(ISBLANK(Table1[[#This Row],[Date]]),"",Table1[[#This Row],[Date]]-WEEKDAY(Table1[[#This Row],[Date]],2)+1)</f>
        <v>43983</v>
      </c>
      <c r="T1994" s="140">
        <f>IF(ISBLANK(Table1[[#This Row],[Date]]),"",DATE(Table1[[#This Row],[Date_Year]],Table1[[#This Row],[Date_Month]],1))</f>
        <v>43983</v>
      </c>
    </row>
    <row r="1995" spans="2:20" ht="15.75">
      <c r="B1995" s="154">
        <v>43987</v>
      </c>
      <c r="C1995" s="119" t="s">
        <v>697</v>
      </c>
      <c r="D1995" s="119"/>
      <c r="E1995" s="119"/>
      <c r="F1995" s="155">
        <v>-2.59</v>
      </c>
      <c r="G1995" s="133" t="str">
        <f>_xlfn.XLOOKUP(Table1[[#This Row],[Account_ID]], Accounts[ID], Accounts[Account nickname], "Unknown")</f>
        <v>Discover</v>
      </c>
      <c r="H1995" s="134" t="str">
        <f>_xlfn.XLOOKUP(Table1[[#This Row],[Account_ID]], Accounts[ID], Accounts[Account'#], "Unknown")</f>
        <v>4618</v>
      </c>
      <c r="I1995" s="135" t="str">
        <f>_xlfn.XLOOKUP(_xlfn.XLOOKUP(Table1[[#This Row],[Account]],Accounts[Account nickname],Accounts[Institution ID]),Institutions[ID],Institutions[Institution nickname],"Unknown")</f>
        <v>Discover</v>
      </c>
      <c r="J1995" s="136" t="s">
        <v>3287</v>
      </c>
      <c r="K1995" s="137" t="s">
        <v>843</v>
      </c>
      <c r="L1995" s="137" t="s">
        <v>841</v>
      </c>
      <c r="M199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9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95" s="138" t="str" cm="1">
        <f t="array" ref="O1995">IFERROR(INDEX(CategoriesTable[Category type],MATCH(Table1[[#This Row],[Category]],CategoriesTable[Category name],0),0),"")</f>
        <v/>
      </c>
      <c r="P1995" s="138">
        <v>5</v>
      </c>
      <c r="Q1995" s="138">
        <f>MONTH(Table1[[#This Row],[Date]])</f>
        <v>6</v>
      </c>
      <c r="R1995" s="138">
        <v>2020</v>
      </c>
      <c r="S1995" s="139">
        <f>IF(ISBLANK(Table1[[#This Row],[Date]]),"",Table1[[#This Row],[Date]]-WEEKDAY(Table1[[#This Row],[Date]],2)+1)</f>
        <v>43983</v>
      </c>
      <c r="T1995" s="140">
        <f>IF(ISBLANK(Table1[[#This Row],[Date]]),"",DATE(Table1[[#This Row],[Date_Year]],Table1[[#This Row],[Date_Month]],1))</f>
        <v>43983</v>
      </c>
    </row>
    <row r="1996" spans="2:20" ht="15.75">
      <c r="B1996" s="154">
        <v>43987</v>
      </c>
      <c r="C1996" s="119" t="s">
        <v>845</v>
      </c>
      <c r="D1996" s="119"/>
      <c r="E1996" s="119"/>
      <c r="F1996" s="155">
        <v>646.17999999999995</v>
      </c>
      <c r="G1996" s="133" t="str">
        <f>_xlfn.XLOOKUP(Table1[[#This Row],[Account_ID]], Accounts[ID], Accounts[Account nickname], "Unknown")</f>
        <v>Discover</v>
      </c>
      <c r="H1996" s="134" t="str">
        <f>_xlfn.XLOOKUP(Table1[[#This Row],[Account_ID]], Accounts[ID], Accounts[Account'#], "Unknown")</f>
        <v>4618</v>
      </c>
      <c r="I1996" s="135" t="str">
        <f>_xlfn.XLOOKUP(_xlfn.XLOOKUP(Table1[[#This Row],[Account]],Accounts[Account nickname],Accounts[Institution ID]),Institutions[ID],Institutions[Institution nickname],"Unknown")</f>
        <v>Discover</v>
      </c>
      <c r="J1996" s="136" t="s">
        <v>3286</v>
      </c>
      <c r="K1996" s="137" t="s">
        <v>843</v>
      </c>
      <c r="L1996" s="137" t="s">
        <v>841</v>
      </c>
      <c r="M199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9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96" s="138" t="str" cm="1">
        <f t="array" ref="O1996">IFERROR(INDEX(CategoriesTable[Category type],MATCH(Table1[[#This Row],[Category]],CategoriesTable[Category name],0),0),"")</f>
        <v/>
      </c>
      <c r="P1996" s="138">
        <v>5</v>
      </c>
      <c r="Q1996" s="138">
        <f>MONTH(Table1[[#This Row],[Date]])</f>
        <v>6</v>
      </c>
      <c r="R1996" s="138">
        <v>2020</v>
      </c>
      <c r="S1996" s="139">
        <f>IF(ISBLANK(Table1[[#This Row],[Date]]),"",Table1[[#This Row],[Date]]-WEEKDAY(Table1[[#This Row],[Date]],2)+1)</f>
        <v>43983</v>
      </c>
      <c r="T1996" s="140">
        <f>IF(ISBLANK(Table1[[#This Row],[Date]]),"",DATE(Table1[[#This Row],[Date_Year]],Table1[[#This Row],[Date_Month]],1))</f>
        <v>43983</v>
      </c>
    </row>
    <row r="1997" spans="2:20" ht="15.75">
      <c r="B1997" s="154">
        <v>43985</v>
      </c>
      <c r="C1997" s="119" t="s">
        <v>718</v>
      </c>
      <c r="D1997" s="119"/>
      <c r="E1997" s="119"/>
      <c r="F1997" s="155">
        <v>-73.7</v>
      </c>
      <c r="G1997" s="133" t="str">
        <f>_xlfn.XLOOKUP(Table1[[#This Row],[Account_ID]], Accounts[ID], Accounts[Account nickname], "Unknown")</f>
        <v>Discover</v>
      </c>
      <c r="H1997" s="134" t="str">
        <f>_xlfn.XLOOKUP(Table1[[#This Row],[Account_ID]], Accounts[ID], Accounts[Account'#], "Unknown")</f>
        <v>4618</v>
      </c>
      <c r="I1997" s="135" t="str">
        <f>_xlfn.XLOOKUP(_xlfn.XLOOKUP(Table1[[#This Row],[Account]],Accounts[Account nickname],Accounts[Institution ID]),Institutions[ID],Institutions[Institution nickname],"Unknown")</f>
        <v>Discover</v>
      </c>
      <c r="J1997" s="136" t="s">
        <v>3289</v>
      </c>
      <c r="K1997" s="137" t="s">
        <v>843</v>
      </c>
      <c r="L1997" s="137" t="s">
        <v>841</v>
      </c>
      <c r="M199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9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97" s="138" t="str" cm="1">
        <f t="array" ref="O1997">IFERROR(INDEX(CategoriesTable[Category type],MATCH(Table1[[#This Row],[Category]],CategoriesTable[Category name],0),0),"")</f>
        <v/>
      </c>
      <c r="P1997" s="138">
        <v>3</v>
      </c>
      <c r="Q1997" s="138">
        <f>MONTH(Table1[[#This Row],[Date]])</f>
        <v>6</v>
      </c>
      <c r="R1997" s="138">
        <v>2020</v>
      </c>
      <c r="S1997" s="139">
        <f>IF(ISBLANK(Table1[[#This Row],[Date]]),"",Table1[[#This Row],[Date]]-WEEKDAY(Table1[[#This Row],[Date]],2)+1)</f>
        <v>43983</v>
      </c>
      <c r="T1997" s="140">
        <f>IF(ISBLANK(Table1[[#This Row],[Date]]),"",DATE(Table1[[#This Row],[Date_Year]],Table1[[#This Row],[Date_Month]],1))</f>
        <v>43983</v>
      </c>
    </row>
    <row r="1998" spans="2:20" ht="15.75">
      <c r="B1998" s="154">
        <v>43984</v>
      </c>
      <c r="C1998" s="119" t="s">
        <v>1674</v>
      </c>
      <c r="D1998" s="119"/>
      <c r="E1998" s="119"/>
      <c r="F1998" s="155">
        <v>-1.05</v>
      </c>
      <c r="G1998" s="133" t="str">
        <f>_xlfn.XLOOKUP(Table1[[#This Row],[Account_ID]], Accounts[ID], Accounts[Account nickname], "Unknown")</f>
        <v>Discover</v>
      </c>
      <c r="H1998" s="134" t="str">
        <f>_xlfn.XLOOKUP(Table1[[#This Row],[Account_ID]], Accounts[ID], Accounts[Account'#], "Unknown")</f>
        <v>4618</v>
      </c>
      <c r="I1998" s="135" t="str">
        <f>_xlfn.XLOOKUP(_xlfn.XLOOKUP(Table1[[#This Row],[Account]],Accounts[Account nickname],Accounts[Institution ID]),Institutions[ID],Institutions[Institution nickname],"Unknown")</f>
        <v>Discover</v>
      </c>
      <c r="J1998" s="136" t="s">
        <v>3290</v>
      </c>
      <c r="K1998" s="137" t="s">
        <v>843</v>
      </c>
      <c r="L1998" s="137" t="s">
        <v>841</v>
      </c>
      <c r="M199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9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98" s="138" t="str" cm="1">
        <f t="array" ref="O1998">IFERROR(INDEX(CategoriesTable[Category type],MATCH(Table1[[#This Row],[Category]],CategoriesTable[Category name],0),0),"")</f>
        <v/>
      </c>
      <c r="P1998" s="138">
        <v>2</v>
      </c>
      <c r="Q1998" s="138">
        <f>MONTH(Table1[[#This Row],[Date]])</f>
        <v>6</v>
      </c>
      <c r="R1998" s="138">
        <v>2020</v>
      </c>
      <c r="S1998" s="139">
        <f>IF(ISBLANK(Table1[[#This Row],[Date]]),"",Table1[[#This Row],[Date]]-WEEKDAY(Table1[[#This Row],[Date]],2)+1)</f>
        <v>43983</v>
      </c>
      <c r="T1998" s="140">
        <f>IF(ISBLANK(Table1[[#This Row],[Date]]),"",DATE(Table1[[#This Row],[Date_Year]],Table1[[#This Row],[Date_Month]],1))</f>
        <v>43983</v>
      </c>
    </row>
    <row r="1999" spans="2:20" ht="15.75">
      <c r="B1999" s="154">
        <v>43983</v>
      </c>
      <c r="C1999" s="119" t="s">
        <v>718</v>
      </c>
      <c r="D1999" s="119"/>
      <c r="E1999" s="119"/>
      <c r="F1999" s="155">
        <v>-9.9700000000000006</v>
      </c>
      <c r="G1999" s="133" t="str">
        <f>_xlfn.XLOOKUP(Table1[[#This Row],[Account_ID]], Accounts[ID], Accounts[Account nickname], "Unknown")</f>
        <v>Discover</v>
      </c>
      <c r="H1999" s="134" t="str">
        <f>_xlfn.XLOOKUP(Table1[[#This Row],[Account_ID]], Accounts[ID], Accounts[Account'#], "Unknown")</f>
        <v>4618</v>
      </c>
      <c r="I1999" s="135" t="str">
        <f>_xlfn.XLOOKUP(_xlfn.XLOOKUP(Table1[[#This Row],[Account]],Accounts[Account nickname],Accounts[Institution ID]),Institutions[ID],Institutions[Institution nickname],"Unknown")</f>
        <v>Discover</v>
      </c>
      <c r="J1999" s="136" t="s">
        <v>3291</v>
      </c>
      <c r="K1999" s="137" t="s">
        <v>843</v>
      </c>
      <c r="L1999" s="137" t="s">
        <v>841</v>
      </c>
      <c r="M199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199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1999" s="138" t="str" cm="1">
        <f t="array" ref="O1999">IFERROR(INDEX(CategoriesTable[Category type],MATCH(Table1[[#This Row],[Category]],CategoriesTable[Category name],0),0),"")</f>
        <v/>
      </c>
      <c r="P1999" s="138">
        <v>1</v>
      </c>
      <c r="Q1999" s="138">
        <f>MONTH(Table1[[#This Row],[Date]])</f>
        <v>6</v>
      </c>
      <c r="R1999" s="138">
        <v>2020</v>
      </c>
      <c r="S1999" s="139">
        <f>IF(ISBLANK(Table1[[#This Row],[Date]]),"",Table1[[#This Row],[Date]]-WEEKDAY(Table1[[#This Row],[Date]],2)+1)</f>
        <v>43983</v>
      </c>
      <c r="T1999" s="140">
        <f>IF(ISBLANK(Table1[[#This Row],[Date]]),"",DATE(Table1[[#This Row],[Date_Year]],Table1[[#This Row],[Date_Month]],1))</f>
        <v>43983</v>
      </c>
    </row>
    <row r="2000" spans="2:20" ht="15.75">
      <c r="B2000" s="154">
        <v>43982</v>
      </c>
      <c r="C2000" s="119" t="s">
        <v>3294</v>
      </c>
      <c r="D2000" s="119"/>
      <c r="E2000" s="119"/>
      <c r="F2000" s="155">
        <v>-63.41</v>
      </c>
      <c r="G2000" s="133" t="str">
        <f>_xlfn.XLOOKUP(Table1[[#This Row],[Account_ID]], Accounts[ID], Accounts[Account nickname], "Unknown")</f>
        <v>Discover</v>
      </c>
      <c r="H2000" s="134" t="str">
        <f>_xlfn.XLOOKUP(Table1[[#This Row],[Account_ID]], Accounts[ID], Accounts[Account'#], "Unknown")</f>
        <v>4618</v>
      </c>
      <c r="I2000" s="135" t="str">
        <f>_xlfn.XLOOKUP(_xlfn.XLOOKUP(Table1[[#This Row],[Account]],Accounts[Account nickname],Accounts[Institution ID]),Institutions[ID],Institutions[Institution nickname],"Unknown")</f>
        <v>Discover</v>
      </c>
      <c r="J2000" s="136" t="s">
        <v>3295</v>
      </c>
      <c r="K2000" s="137" t="s">
        <v>843</v>
      </c>
      <c r="L2000" s="137" t="s">
        <v>841</v>
      </c>
      <c r="M200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0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00" s="138" t="str" cm="1">
        <f t="array" ref="O2000">IFERROR(INDEX(CategoriesTable[Category type],MATCH(Table1[[#This Row],[Category]],CategoriesTable[Category name],0),0),"")</f>
        <v/>
      </c>
      <c r="P2000" s="138">
        <v>31</v>
      </c>
      <c r="Q2000" s="138">
        <f>MONTH(Table1[[#This Row],[Date]])</f>
        <v>5</v>
      </c>
      <c r="R2000" s="138">
        <v>2020</v>
      </c>
      <c r="S2000" s="139">
        <f>IF(ISBLANK(Table1[[#This Row],[Date]]),"",Table1[[#This Row],[Date]]-WEEKDAY(Table1[[#This Row],[Date]],2)+1)</f>
        <v>43976</v>
      </c>
      <c r="T2000" s="140">
        <f>IF(ISBLANK(Table1[[#This Row],[Date]]),"",DATE(Table1[[#This Row],[Date_Year]],Table1[[#This Row],[Date_Month]],1))</f>
        <v>43952</v>
      </c>
    </row>
    <row r="2001" spans="2:20" ht="15.75">
      <c r="B2001" s="154">
        <v>43982</v>
      </c>
      <c r="C2001" s="119" t="s">
        <v>702</v>
      </c>
      <c r="D2001" s="119"/>
      <c r="E2001" s="119"/>
      <c r="F2001" s="155">
        <v>-11.67</v>
      </c>
      <c r="G2001" s="133" t="str">
        <f>_xlfn.XLOOKUP(Table1[[#This Row],[Account_ID]], Accounts[ID], Accounts[Account nickname], "Unknown")</f>
        <v>Discover</v>
      </c>
      <c r="H2001" s="134" t="str">
        <f>_xlfn.XLOOKUP(Table1[[#This Row],[Account_ID]], Accounts[ID], Accounts[Account'#], "Unknown")</f>
        <v>4618</v>
      </c>
      <c r="I2001" s="135" t="str">
        <f>_xlfn.XLOOKUP(_xlfn.XLOOKUP(Table1[[#This Row],[Account]],Accounts[Account nickname],Accounts[Institution ID]),Institutions[ID],Institutions[Institution nickname],"Unknown")</f>
        <v>Discover</v>
      </c>
      <c r="J2001" s="136" t="s">
        <v>3293</v>
      </c>
      <c r="K2001" s="137" t="s">
        <v>843</v>
      </c>
      <c r="L2001" s="137" t="s">
        <v>841</v>
      </c>
      <c r="M200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0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01" s="138" t="str" cm="1">
        <f t="array" ref="O2001">IFERROR(INDEX(CategoriesTable[Category type],MATCH(Table1[[#This Row],[Category]],CategoriesTable[Category name],0),0),"")</f>
        <v/>
      </c>
      <c r="P2001" s="138">
        <v>31</v>
      </c>
      <c r="Q2001" s="138">
        <f>MONTH(Table1[[#This Row],[Date]])</f>
        <v>5</v>
      </c>
      <c r="R2001" s="138">
        <v>2020</v>
      </c>
      <c r="S2001" s="139">
        <f>IF(ISBLANK(Table1[[#This Row],[Date]]),"",Table1[[#This Row],[Date]]-WEEKDAY(Table1[[#This Row],[Date]],2)+1)</f>
        <v>43976</v>
      </c>
      <c r="T2001" s="140">
        <f>IF(ISBLANK(Table1[[#This Row],[Date]]),"",DATE(Table1[[#This Row],[Date_Year]],Table1[[#This Row],[Date_Month]],1))</f>
        <v>43952</v>
      </c>
    </row>
    <row r="2002" spans="2:20" ht="15.75">
      <c r="B2002" s="154">
        <v>43982</v>
      </c>
      <c r="C2002" s="119" t="s">
        <v>724</v>
      </c>
      <c r="D2002" s="119"/>
      <c r="E2002" s="119"/>
      <c r="F2002" s="155">
        <v>-14.68</v>
      </c>
      <c r="G2002" s="133" t="str">
        <f>_xlfn.XLOOKUP(Table1[[#This Row],[Account_ID]], Accounts[ID], Accounts[Account nickname], "Unknown")</f>
        <v>Discover</v>
      </c>
      <c r="H2002" s="134" t="str">
        <f>_xlfn.XLOOKUP(Table1[[#This Row],[Account_ID]], Accounts[ID], Accounts[Account'#], "Unknown")</f>
        <v>4618</v>
      </c>
      <c r="I2002" s="135" t="str">
        <f>_xlfn.XLOOKUP(_xlfn.XLOOKUP(Table1[[#This Row],[Account]],Accounts[Account nickname],Accounts[Institution ID]),Institutions[ID],Institutions[Institution nickname],"Unknown")</f>
        <v>Discover</v>
      </c>
      <c r="J2002" s="152" t="s">
        <v>3296</v>
      </c>
      <c r="K2002" s="137" t="s">
        <v>843</v>
      </c>
      <c r="L2002" s="137" t="s">
        <v>841</v>
      </c>
      <c r="M200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0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02" s="138" t="str" cm="1">
        <f t="array" ref="O2002">IFERROR(INDEX(CategoriesTable[Category type],MATCH(Table1[[#This Row],[Category]],CategoriesTable[Category name],0),0),"")</f>
        <v/>
      </c>
      <c r="P2002" s="138">
        <v>31</v>
      </c>
      <c r="Q2002" s="138">
        <f>MONTH(Table1[[#This Row],[Date]])</f>
        <v>5</v>
      </c>
      <c r="R2002" s="138">
        <v>2020</v>
      </c>
      <c r="S2002" s="139">
        <f>IF(ISBLANK(Table1[[#This Row],[Date]]),"",Table1[[#This Row],[Date]]-WEEKDAY(Table1[[#This Row],[Date]],2)+1)</f>
        <v>43976</v>
      </c>
      <c r="T2002" s="140">
        <f>IF(ISBLANK(Table1[[#This Row],[Date]]),"",DATE(Table1[[#This Row],[Date_Year]],Table1[[#This Row],[Date_Month]],1))</f>
        <v>43952</v>
      </c>
    </row>
    <row r="2003" spans="2:20" ht="15.75">
      <c r="B2003" s="154">
        <v>43982</v>
      </c>
      <c r="C2003" s="119" t="s">
        <v>1611</v>
      </c>
      <c r="D2003" s="119"/>
      <c r="E2003" s="119"/>
      <c r="F2003" s="155">
        <v>-13.84</v>
      </c>
      <c r="G2003" s="133" t="str">
        <f>_xlfn.XLOOKUP(Table1[[#This Row],[Account_ID]], Accounts[ID], Accounts[Account nickname], "Unknown")</f>
        <v>Discover</v>
      </c>
      <c r="H2003" s="134" t="str">
        <f>_xlfn.XLOOKUP(Table1[[#This Row],[Account_ID]], Accounts[ID], Accounts[Account'#], "Unknown")</f>
        <v>4618</v>
      </c>
      <c r="I2003" s="135" t="str">
        <f>_xlfn.XLOOKUP(_xlfn.XLOOKUP(Table1[[#This Row],[Account]],Accounts[Account nickname],Accounts[Institution ID]),Institutions[ID],Institutions[Institution nickname],"Unknown")</f>
        <v>Discover</v>
      </c>
      <c r="J2003" s="136" t="s">
        <v>3292</v>
      </c>
      <c r="K2003" s="137" t="s">
        <v>843</v>
      </c>
      <c r="L2003" s="137" t="s">
        <v>841</v>
      </c>
      <c r="M200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0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03" s="138" t="str" cm="1">
        <f t="array" ref="O2003">IFERROR(INDEX(CategoriesTable[Category type],MATCH(Table1[[#This Row],[Category]],CategoriesTable[Category name],0),0),"")</f>
        <v/>
      </c>
      <c r="P2003" s="138">
        <v>31</v>
      </c>
      <c r="Q2003" s="138">
        <f>MONTH(Table1[[#This Row],[Date]])</f>
        <v>5</v>
      </c>
      <c r="R2003" s="138">
        <v>2020</v>
      </c>
      <c r="S2003" s="139">
        <f>IF(ISBLANK(Table1[[#This Row],[Date]]),"",Table1[[#This Row],[Date]]-WEEKDAY(Table1[[#This Row],[Date]],2)+1)</f>
        <v>43976</v>
      </c>
      <c r="T2003" s="140">
        <f>IF(ISBLANK(Table1[[#This Row],[Date]]),"",DATE(Table1[[#This Row],[Date_Year]],Table1[[#This Row],[Date_Month]],1))</f>
        <v>43952</v>
      </c>
    </row>
    <row r="2004" spans="2:20" ht="15.75">
      <c r="B2004" s="154">
        <v>43981</v>
      </c>
      <c r="C2004" s="119" t="s">
        <v>3297</v>
      </c>
      <c r="D2004" s="119"/>
      <c r="E2004" s="119"/>
      <c r="F2004" s="155">
        <v>-2.5499999999999998</v>
      </c>
      <c r="G2004" s="133" t="str">
        <f>_xlfn.XLOOKUP(Table1[[#This Row],[Account_ID]], Accounts[ID], Accounts[Account nickname], "Unknown")</f>
        <v>Discover</v>
      </c>
      <c r="H2004" s="134" t="str">
        <f>_xlfn.XLOOKUP(Table1[[#This Row],[Account_ID]], Accounts[ID], Accounts[Account'#], "Unknown")</f>
        <v>4618</v>
      </c>
      <c r="I2004" s="135" t="str">
        <f>_xlfn.XLOOKUP(_xlfn.XLOOKUP(Table1[[#This Row],[Account]],Accounts[Account nickname],Accounts[Institution ID]),Institutions[ID],Institutions[Institution nickname],"Unknown")</f>
        <v>Discover</v>
      </c>
      <c r="J2004" s="136" t="s">
        <v>3298</v>
      </c>
      <c r="K2004" s="137" t="s">
        <v>843</v>
      </c>
      <c r="L2004" s="137" t="s">
        <v>841</v>
      </c>
      <c r="M200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0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04" s="138" t="str" cm="1">
        <f t="array" ref="O2004">IFERROR(INDEX(CategoriesTable[Category type],MATCH(Table1[[#This Row],[Category]],CategoriesTable[Category name],0),0),"")</f>
        <v/>
      </c>
      <c r="P2004" s="138">
        <v>30</v>
      </c>
      <c r="Q2004" s="138">
        <f>MONTH(Table1[[#This Row],[Date]])</f>
        <v>5</v>
      </c>
      <c r="R2004" s="138">
        <v>2020</v>
      </c>
      <c r="S2004" s="139">
        <f>IF(ISBLANK(Table1[[#This Row],[Date]]),"",Table1[[#This Row],[Date]]-WEEKDAY(Table1[[#This Row],[Date]],2)+1)</f>
        <v>43976</v>
      </c>
      <c r="T2004" s="140">
        <f>IF(ISBLANK(Table1[[#This Row],[Date]]),"",DATE(Table1[[#This Row],[Date_Year]],Table1[[#This Row],[Date_Month]],1))</f>
        <v>43952</v>
      </c>
    </row>
    <row r="2005" spans="2:20" ht="15.75">
      <c r="B2005" s="154">
        <v>43981</v>
      </c>
      <c r="C2005" s="119" t="s">
        <v>936</v>
      </c>
      <c r="D2005" s="119"/>
      <c r="E2005" s="119"/>
      <c r="F2005" s="155">
        <v>-61.98</v>
      </c>
      <c r="G2005" s="133" t="str">
        <f>_xlfn.XLOOKUP(Table1[[#This Row],[Account_ID]], Accounts[ID], Accounts[Account nickname], "Unknown")</f>
        <v>Discover</v>
      </c>
      <c r="H2005" s="134" t="str">
        <f>_xlfn.XLOOKUP(Table1[[#This Row],[Account_ID]], Accounts[ID], Accounts[Account'#], "Unknown")</f>
        <v>4618</v>
      </c>
      <c r="I2005" s="135" t="str">
        <f>_xlfn.XLOOKUP(_xlfn.XLOOKUP(Table1[[#This Row],[Account]],Accounts[Account nickname],Accounts[Institution ID]),Institutions[ID],Institutions[Institution nickname],"Unknown")</f>
        <v>Discover</v>
      </c>
      <c r="J2005" s="136" t="s">
        <v>3302</v>
      </c>
      <c r="K2005" s="137" t="s">
        <v>843</v>
      </c>
      <c r="L2005" s="137" t="s">
        <v>841</v>
      </c>
      <c r="M200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0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05" s="138" t="str" cm="1">
        <f t="array" ref="O2005">IFERROR(INDEX(CategoriesTable[Category type],MATCH(Table1[[#This Row],[Category]],CategoriesTable[Category name],0),0),"")</f>
        <v/>
      </c>
      <c r="P2005" s="138">
        <v>30</v>
      </c>
      <c r="Q2005" s="138">
        <f>MONTH(Table1[[#This Row],[Date]])</f>
        <v>5</v>
      </c>
      <c r="R2005" s="138">
        <v>2020</v>
      </c>
      <c r="S2005" s="139">
        <f>IF(ISBLANK(Table1[[#This Row],[Date]]),"",Table1[[#This Row],[Date]]-WEEKDAY(Table1[[#This Row],[Date]],2)+1)</f>
        <v>43976</v>
      </c>
      <c r="T2005" s="140">
        <f>IF(ISBLANK(Table1[[#This Row],[Date]]),"",DATE(Table1[[#This Row],[Date_Year]],Table1[[#This Row],[Date_Month]],1))</f>
        <v>43952</v>
      </c>
    </row>
    <row r="2006" spans="2:20" ht="15.75">
      <c r="B2006" s="154">
        <v>43981</v>
      </c>
      <c r="C2006" s="119" t="s">
        <v>702</v>
      </c>
      <c r="D2006" s="119"/>
      <c r="E2006" s="119"/>
      <c r="F2006" s="155">
        <v>-22.25</v>
      </c>
      <c r="G2006" s="133" t="str">
        <f>_xlfn.XLOOKUP(Table1[[#This Row],[Account_ID]], Accounts[ID], Accounts[Account nickname], "Unknown")</f>
        <v>Discover</v>
      </c>
      <c r="H2006" s="134" t="str">
        <f>_xlfn.XLOOKUP(Table1[[#This Row],[Account_ID]], Accounts[ID], Accounts[Account'#], "Unknown")</f>
        <v>4618</v>
      </c>
      <c r="I2006" s="135" t="str">
        <f>_xlfn.XLOOKUP(_xlfn.XLOOKUP(Table1[[#This Row],[Account]],Accounts[Account nickname],Accounts[Institution ID]),Institutions[ID],Institutions[Institution nickname],"Unknown")</f>
        <v>Discover</v>
      </c>
      <c r="J2006" s="136" t="s">
        <v>3301</v>
      </c>
      <c r="K2006" s="137" t="s">
        <v>843</v>
      </c>
      <c r="L2006" s="137" t="s">
        <v>841</v>
      </c>
      <c r="M200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0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06" s="138" t="str" cm="1">
        <f t="array" ref="O2006">IFERROR(INDEX(CategoriesTable[Category type],MATCH(Table1[[#This Row],[Category]],CategoriesTable[Category name],0),0),"")</f>
        <v/>
      </c>
      <c r="P2006" s="138">
        <v>30</v>
      </c>
      <c r="Q2006" s="138">
        <f>MONTH(Table1[[#This Row],[Date]])</f>
        <v>5</v>
      </c>
      <c r="R2006" s="138">
        <v>2020</v>
      </c>
      <c r="S2006" s="139">
        <f>IF(ISBLANK(Table1[[#This Row],[Date]]),"",Table1[[#This Row],[Date]]-WEEKDAY(Table1[[#This Row],[Date]],2)+1)</f>
        <v>43976</v>
      </c>
      <c r="T2006" s="140">
        <f>IF(ISBLANK(Table1[[#This Row],[Date]]),"",DATE(Table1[[#This Row],[Date_Year]],Table1[[#This Row],[Date_Month]],1))</f>
        <v>43952</v>
      </c>
    </row>
    <row r="2007" spans="2:20" ht="15.75">
      <c r="B2007" s="154">
        <v>43981</v>
      </c>
      <c r="C2007" s="119" t="s">
        <v>704</v>
      </c>
      <c r="D2007" s="119"/>
      <c r="E2007" s="119"/>
      <c r="F2007" s="155">
        <v>-63.56</v>
      </c>
      <c r="G2007" s="133" t="str">
        <f>_xlfn.XLOOKUP(Table1[[#This Row],[Account_ID]], Accounts[ID], Accounts[Account nickname], "Unknown")</f>
        <v>Discover</v>
      </c>
      <c r="H2007" s="134" t="str">
        <f>_xlfn.XLOOKUP(Table1[[#This Row],[Account_ID]], Accounts[ID], Accounts[Account'#], "Unknown")</f>
        <v>4618</v>
      </c>
      <c r="I2007" s="135" t="str">
        <f>_xlfn.XLOOKUP(_xlfn.XLOOKUP(Table1[[#This Row],[Account]],Accounts[Account nickname],Accounts[Institution ID]),Institutions[ID],Institutions[Institution nickname],"Unknown")</f>
        <v>Discover</v>
      </c>
      <c r="J2007" s="136" t="s">
        <v>3300</v>
      </c>
      <c r="K2007" s="137" t="s">
        <v>843</v>
      </c>
      <c r="L2007" s="137" t="s">
        <v>841</v>
      </c>
      <c r="M200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0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07" s="138" t="str" cm="1">
        <f t="array" ref="O2007">IFERROR(INDEX(CategoriesTable[Category type],MATCH(Table1[[#This Row],[Category]],CategoriesTable[Category name],0),0),"")</f>
        <v/>
      </c>
      <c r="P2007" s="138">
        <v>30</v>
      </c>
      <c r="Q2007" s="138">
        <f>MONTH(Table1[[#This Row],[Date]])</f>
        <v>5</v>
      </c>
      <c r="R2007" s="138">
        <v>2020</v>
      </c>
      <c r="S2007" s="139">
        <f>IF(ISBLANK(Table1[[#This Row],[Date]]),"",Table1[[#This Row],[Date]]-WEEKDAY(Table1[[#This Row],[Date]],2)+1)</f>
        <v>43976</v>
      </c>
      <c r="T2007" s="140">
        <f>IF(ISBLANK(Table1[[#This Row],[Date]]),"",DATE(Table1[[#This Row],[Date_Year]],Table1[[#This Row],[Date_Month]],1))</f>
        <v>43952</v>
      </c>
    </row>
    <row r="2008" spans="2:20" ht="15.75">
      <c r="B2008" s="154">
        <v>43981</v>
      </c>
      <c r="C2008" s="119" t="s">
        <v>3297</v>
      </c>
      <c r="D2008" s="119"/>
      <c r="E2008" s="119"/>
      <c r="F2008" s="155">
        <v>-17.78</v>
      </c>
      <c r="G2008" s="133" t="str">
        <f>_xlfn.XLOOKUP(Table1[[#This Row],[Account_ID]], Accounts[ID], Accounts[Account nickname], "Unknown")</f>
        <v>Discover</v>
      </c>
      <c r="H2008" s="134" t="str">
        <f>_xlfn.XLOOKUP(Table1[[#This Row],[Account_ID]], Accounts[ID], Accounts[Account'#], "Unknown")</f>
        <v>4618</v>
      </c>
      <c r="I2008" s="135" t="str">
        <f>_xlfn.XLOOKUP(_xlfn.XLOOKUP(Table1[[#This Row],[Account]],Accounts[Account nickname],Accounts[Institution ID]),Institutions[ID],Institutions[Institution nickname],"Unknown")</f>
        <v>Discover</v>
      </c>
      <c r="J2008" s="136" t="s">
        <v>3299</v>
      </c>
      <c r="K2008" s="137" t="s">
        <v>843</v>
      </c>
      <c r="L2008" s="137" t="s">
        <v>841</v>
      </c>
      <c r="M200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0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08" s="138" t="str" cm="1">
        <f t="array" ref="O2008">IFERROR(INDEX(CategoriesTable[Category type],MATCH(Table1[[#This Row],[Category]],CategoriesTable[Category name],0),0),"")</f>
        <v/>
      </c>
      <c r="P2008" s="138">
        <v>30</v>
      </c>
      <c r="Q2008" s="138">
        <f>MONTH(Table1[[#This Row],[Date]])</f>
        <v>5</v>
      </c>
      <c r="R2008" s="138">
        <v>2020</v>
      </c>
      <c r="S2008" s="139">
        <f>IF(ISBLANK(Table1[[#This Row],[Date]]),"",Table1[[#This Row],[Date]]-WEEKDAY(Table1[[#This Row],[Date]],2)+1)</f>
        <v>43976</v>
      </c>
      <c r="T2008" s="140">
        <f>IF(ISBLANK(Table1[[#This Row],[Date]]),"",DATE(Table1[[#This Row],[Date_Year]],Table1[[#This Row],[Date_Month]],1))</f>
        <v>43952</v>
      </c>
    </row>
    <row r="2009" spans="2:20" ht="15.75">
      <c r="B2009" s="154">
        <v>43980</v>
      </c>
      <c r="C2009" s="119" t="s">
        <v>3294</v>
      </c>
      <c r="D2009" s="119"/>
      <c r="E2009" s="119"/>
      <c r="F2009" s="155">
        <v>-83</v>
      </c>
      <c r="G2009" s="133" t="str">
        <f>_xlfn.XLOOKUP(Table1[[#This Row],[Account_ID]], Accounts[ID], Accounts[Account nickname], "Unknown")</f>
        <v>Discover</v>
      </c>
      <c r="H2009" s="134" t="str">
        <f>_xlfn.XLOOKUP(Table1[[#This Row],[Account_ID]], Accounts[ID], Accounts[Account'#], "Unknown")</f>
        <v>4618</v>
      </c>
      <c r="I2009" s="135" t="str">
        <f>_xlfn.XLOOKUP(_xlfn.XLOOKUP(Table1[[#This Row],[Account]],Accounts[Account nickname],Accounts[Institution ID]),Institutions[ID],Institutions[Institution nickname],"Unknown")</f>
        <v>Discover</v>
      </c>
      <c r="J2009" s="136" t="s">
        <v>3304</v>
      </c>
      <c r="K2009" s="137" t="s">
        <v>843</v>
      </c>
      <c r="L2009" s="137" t="s">
        <v>841</v>
      </c>
      <c r="M200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0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09" s="138" t="str" cm="1">
        <f t="array" ref="O2009">IFERROR(INDEX(CategoriesTable[Category type],MATCH(Table1[[#This Row],[Category]],CategoriesTable[Category name],0),0),"")</f>
        <v/>
      </c>
      <c r="P2009" s="138">
        <v>29</v>
      </c>
      <c r="Q2009" s="138">
        <f>MONTH(Table1[[#This Row],[Date]])</f>
        <v>5</v>
      </c>
      <c r="R2009" s="138">
        <v>2020</v>
      </c>
      <c r="S2009" s="139">
        <f>IF(ISBLANK(Table1[[#This Row],[Date]]),"",Table1[[#This Row],[Date]]-WEEKDAY(Table1[[#This Row],[Date]],2)+1)</f>
        <v>43976</v>
      </c>
      <c r="T2009" s="140">
        <f>IF(ISBLANK(Table1[[#This Row],[Date]]),"",DATE(Table1[[#This Row],[Date_Year]],Table1[[#This Row],[Date_Month]],1))</f>
        <v>43952</v>
      </c>
    </row>
    <row r="2010" spans="2:20" ht="15.75">
      <c r="B2010" s="154">
        <v>43980</v>
      </c>
      <c r="C2010" s="119" t="s">
        <v>1611</v>
      </c>
      <c r="D2010" s="119"/>
      <c r="E2010" s="119"/>
      <c r="F2010" s="155">
        <v>-13.2</v>
      </c>
      <c r="G2010" s="133" t="str">
        <f>_xlfn.XLOOKUP(Table1[[#This Row],[Account_ID]], Accounts[ID], Accounts[Account nickname], "Unknown")</f>
        <v>Discover</v>
      </c>
      <c r="H2010" s="134" t="str">
        <f>_xlfn.XLOOKUP(Table1[[#This Row],[Account_ID]], Accounts[ID], Accounts[Account'#], "Unknown")</f>
        <v>4618</v>
      </c>
      <c r="I2010" s="135" t="str">
        <f>_xlfn.XLOOKUP(_xlfn.XLOOKUP(Table1[[#This Row],[Account]],Accounts[Account nickname],Accounts[Institution ID]),Institutions[ID],Institutions[Institution nickname],"Unknown")</f>
        <v>Discover</v>
      </c>
      <c r="J2010" s="152" t="s">
        <v>3303</v>
      </c>
      <c r="K2010" s="137" t="s">
        <v>843</v>
      </c>
      <c r="L2010" s="137" t="s">
        <v>841</v>
      </c>
      <c r="M201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1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10" s="138" t="str" cm="1">
        <f t="array" ref="O2010">IFERROR(INDEX(CategoriesTable[Category type],MATCH(Table1[[#This Row],[Category]],CategoriesTable[Category name],0),0),"")</f>
        <v/>
      </c>
      <c r="P2010" s="138">
        <v>29</v>
      </c>
      <c r="Q2010" s="138">
        <f>MONTH(Table1[[#This Row],[Date]])</f>
        <v>5</v>
      </c>
      <c r="R2010" s="138">
        <v>2020</v>
      </c>
      <c r="S2010" s="139">
        <f>IF(ISBLANK(Table1[[#This Row],[Date]]),"",Table1[[#This Row],[Date]]-WEEKDAY(Table1[[#This Row],[Date]],2)+1)</f>
        <v>43976</v>
      </c>
      <c r="T2010" s="140">
        <f>IF(ISBLANK(Table1[[#This Row],[Date]]),"",DATE(Table1[[#This Row],[Date_Year]],Table1[[#This Row],[Date_Month]],1))</f>
        <v>43952</v>
      </c>
    </row>
    <row r="2011" spans="2:20" ht="15.75">
      <c r="B2011" s="154">
        <v>43978</v>
      </c>
      <c r="C2011" s="119" t="s">
        <v>3305</v>
      </c>
      <c r="D2011" s="119"/>
      <c r="E2011" s="119"/>
      <c r="F2011" s="155">
        <v>-23.9</v>
      </c>
      <c r="G2011" s="133" t="str">
        <f>_xlfn.XLOOKUP(Table1[[#This Row],[Account_ID]], Accounts[ID], Accounts[Account nickname], "Unknown")</f>
        <v>Discover</v>
      </c>
      <c r="H2011" s="134" t="str">
        <f>_xlfn.XLOOKUP(Table1[[#This Row],[Account_ID]], Accounts[ID], Accounts[Account'#], "Unknown")</f>
        <v>4618</v>
      </c>
      <c r="I2011" s="135" t="str">
        <f>_xlfn.XLOOKUP(_xlfn.XLOOKUP(Table1[[#This Row],[Account]],Accounts[Account nickname],Accounts[Institution ID]),Institutions[ID],Institutions[Institution nickname],"Unknown")</f>
        <v>Discover</v>
      </c>
      <c r="J2011" s="136" t="s">
        <v>3306</v>
      </c>
      <c r="K2011" s="137" t="s">
        <v>843</v>
      </c>
      <c r="L2011" s="137" t="s">
        <v>841</v>
      </c>
      <c r="M201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1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11" s="138" t="str" cm="1">
        <f t="array" ref="O2011">IFERROR(INDEX(CategoriesTable[Category type],MATCH(Table1[[#This Row],[Category]],CategoriesTable[Category name],0),0),"")</f>
        <v/>
      </c>
      <c r="P2011" s="138">
        <v>27</v>
      </c>
      <c r="Q2011" s="138">
        <f>MONTH(Table1[[#This Row],[Date]])</f>
        <v>5</v>
      </c>
      <c r="R2011" s="138">
        <v>2020</v>
      </c>
      <c r="S2011" s="139">
        <f>IF(ISBLANK(Table1[[#This Row],[Date]]),"",Table1[[#This Row],[Date]]-WEEKDAY(Table1[[#This Row],[Date]],2)+1)</f>
        <v>43976</v>
      </c>
      <c r="T2011" s="140">
        <f>IF(ISBLANK(Table1[[#This Row],[Date]]),"",DATE(Table1[[#This Row],[Date_Year]],Table1[[#This Row],[Date_Month]],1))</f>
        <v>43952</v>
      </c>
    </row>
    <row r="2012" spans="2:20" ht="15.75">
      <c r="B2012" s="154">
        <v>43975</v>
      </c>
      <c r="C2012" s="119" t="s">
        <v>706</v>
      </c>
      <c r="D2012" s="119"/>
      <c r="E2012" s="119"/>
      <c r="F2012" s="155">
        <v>-18.329999999999998</v>
      </c>
      <c r="G2012" s="133" t="str">
        <f>_xlfn.XLOOKUP(Table1[[#This Row],[Account_ID]], Accounts[ID], Accounts[Account nickname], "Unknown")</f>
        <v>Discover</v>
      </c>
      <c r="H2012" s="134" t="str">
        <f>_xlfn.XLOOKUP(Table1[[#This Row],[Account_ID]], Accounts[ID], Accounts[Account'#], "Unknown")</f>
        <v>4618</v>
      </c>
      <c r="I2012" s="135" t="str">
        <f>_xlfn.XLOOKUP(_xlfn.XLOOKUP(Table1[[#This Row],[Account]],Accounts[Account nickname],Accounts[Institution ID]),Institutions[ID],Institutions[Institution nickname],"Unknown")</f>
        <v>Discover</v>
      </c>
      <c r="J2012" s="136" t="s">
        <v>3308</v>
      </c>
      <c r="K2012" s="137" t="s">
        <v>843</v>
      </c>
      <c r="L2012" s="137" t="s">
        <v>841</v>
      </c>
      <c r="M201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1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12" s="138" t="str" cm="1">
        <f t="array" ref="O2012">IFERROR(INDEX(CategoriesTable[Category type],MATCH(Table1[[#This Row],[Category]],CategoriesTable[Category name],0),0),"")</f>
        <v/>
      </c>
      <c r="P2012" s="138">
        <v>24</v>
      </c>
      <c r="Q2012" s="138">
        <f>MONTH(Table1[[#This Row],[Date]])</f>
        <v>5</v>
      </c>
      <c r="R2012" s="138">
        <v>2020</v>
      </c>
      <c r="S2012" s="139">
        <f>IF(ISBLANK(Table1[[#This Row],[Date]]),"",Table1[[#This Row],[Date]]-WEEKDAY(Table1[[#This Row],[Date]],2)+1)</f>
        <v>43969</v>
      </c>
      <c r="T2012" s="140">
        <f>IF(ISBLANK(Table1[[#This Row],[Date]]),"",DATE(Table1[[#This Row],[Date_Year]],Table1[[#This Row],[Date_Month]],1))</f>
        <v>43952</v>
      </c>
    </row>
    <row r="2013" spans="2:20" ht="15.75">
      <c r="B2013" s="154">
        <v>43975</v>
      </c>
      <c r="C2013" s="119" t="s">
        <v>706</v>
      </c>
      <c r="D2013" s="119"/>
      <c r="E2013" s="119"/>
      <c r="F2013" s="155">
        <v>-4.2300000000000004</v>
      </c>
      <c r="G2013" s="133" t="str">
        <f>_xlfn.XLOOKUP(Table1[[#This Row],[Account_ID]], Accounts[ID], Accounts[Account nickname], "Unknown")</f>
        <v>Discover</v>
      </c>
      <c r="H2013" s="134" t="str">
        <f>_xlfn.XLOOKUP(Table1[[#This Row],[Account_ID]], Accounts[ID], Accounts[Account'#], "Unknown")</f>
        <v>4618</v>
      </c>
      <c r="I2013" s="135" t="str">
        <f>_xlfn.XLOOKUP(_xlfn.XLOOKUP(Table1[[#This Row],[Account]],Accounts[Account nickname],Accounts[Institution ID]),Institutions[ID],Institutions[Institution nickname],"Unknown")</f>
        <v>Discover</v>
      </c>
      <c r="J2013" s="136" t="s">
        <v>3307</v>
      </c>
      <c r="K2013" s="137" t="s">
        <v>843</v>
      </c>
      <c r="L2013" s="137" t="s">
        <v>841</v>
      </c>
      <c r="M201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1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13" s="138" t="str" cm="1">
        <f t="array" ref="O2013">IFERROR(INDEX(CategoriesTable[Category type],MATCH(Table1[[#This Row],[Category]],CategoriesTable[Category name],0),0),"")</f>
        <v/>
      </c>
      <c r="P2013" s="138">
        <v>24</v>
      </c>
      <c r="Q2013" s="138">
        <f>MONTH(Table1[[#This Row],[Date]])</f>
        <v>5</v>
      </c>
      <c r="R2013" s="138">
        <v>2020</v>
      </c>
      <c r="S2013" s="139">
        <f>IF(ISBLANK(Table1[[#This Row],[Date]]),"",Table1[[#This Row],[Date]]-WEEKDAY(Table1[[#This Row],[Date]],2)+1)</f>
        <v>43969</v>
      </c>
      <c r="T2013" s="140">
        <f>IF(ISBLANK(Table1[[#This Row],[Date]]),"",DATE(Table1[[#This Row],[Date_Year]],Table1[[#This Row],[Date_Month]],1))</f>
        <v>43952</v>
      </c>
    </row>
    <row r="2014" spans="2:20" ht="15.75">
      <c r="B2014" s="154">
        <v>43975</v>
      </c>
      <c r="C2014" s="119" t="s">
        <v>2308</v>
      </c>
      <c r="D2014" s="119"/>
      <c r="E2014" s="119"/>
      <c r="F2014" s="155">
        <v>-61.09</v>
      </c>
      <c r="G2014" s="133" t="str">
        <f>_xlfn.XLOOKUP(Table1[[#This Row],[Account_ID]], Accounts[ID], Accounts[Account nickname], "Unknown")</f>
        <v>Discover</v>
      </c>
      <c r="H2014" s="134" t="str">
        <f>_xlfn.XLOOKUP(Table1[[#This Row],[Account_ID]], Accounts[ID], Accounts[Account'#], "Unknown")</f>
        <v>4618</v>
      </c>
      <c r="I2014" s="135" t="str">
        <f>_xlfn.XLOOKUP(_xlfn.XLOOKUP(Table1[[#This Row],[Account]],Accounts[Account nickname],Accounts[Institution ID]),Institutions[ID],Institutions[Institution nickname],"Unknown")</f>
        <v>Discover</v>
      </c>
      <c r="J2014" s="136" t="s">
        <v>3309</v>
      </c>
      <c r="K2014" s="137" t="s">
        <v>843</v>
      </c>
      <c r="L2014" s="137" t="s">
        <v>841</v>
      </c>
      <c r="M201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1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14" s="138" t="str" cm="1">
        <f t="array" ref="O2014">IFERROR(INDEX(CategoriesTable[Category type],MATCH(Table1[[#This Row],[Category]],CategoriesTable[Category name],0),0),"")</f>
        <v/>
      </c>
      <c r="P2014" s="138">
        <v>24</v>
      </c>
      <c r="Q2014" s="138">
        <f>MONTH(Table1[[#This Row],[Date]])</f>
        <v>5</v>
      </c>
      <c r="R2014" s="138">
        <v>2020</v>
      </c>
      <c r="S2014" s="139">
        <f>IF(ISBLANK(Table1[[#This Row],[Date]]),"",Table1[[#This Row],[Date]]-WEEKDAY(Table1[[#This Row],[Date]],2)+1)</f>
        <v>43969</v>
      </c>
      <c r="T2014" s="140">
        <f>IF(ISBLANK(Table1[[#This Row],[Date]]),"",DATE(Table1[[#This Row],[Date_Year]],Table1[[#This Row],[Date_Month]],1))</f>
        <v>43952</v>
      </c>
    </row>
    <row r="2015" spans="2:20" ht="15.75">
      <c r="B2015" s="154">
        <v>43973</v>
      </c>
      <c r="C2015" s="119" t="s">
        <v>857</v>
      </c>
      <c r="D2015" s="119"/>
      <c r="E2015" s="119"/>
      <c r="F2015" s="155">
        <v>-23.06</v>
      </c>
      <c r="G2015" s="133" t="str">
        <f>_xlfn.XLOOKUP(Table1[[#This Row],[Account_ID]], Accounts[ID], Accounts[Account nickname], "Unknown")</f>
        <v>Discover</v>
      </c>
      <c r="H2015" s="134" t="str">
        <f>_xlfn.XLOOKUP(Table1[[#This Row],[Account_ID]], Accounts[ID], Accounts[Account'#], "Unknown")</f>
        <v>4618</v>
      </c>
      <c r="I2015" s="135" t="str">
        <f>_xlfn.XLOOKUP(_xlfn.XLOOKUP(Table1[[#This Row],[Account]],Accounts[Account nickname],Accounts[Institution ID]),Institutions[ID],Institutions[Institution nickname],"Unknown")</f>
        <v>Discover</v>
      </c>
      <c r="J2015" s="136" t="s">
        <v>3312</v>
      </c>
      <c r="K2015" s="137" t="s">
        <v>843</v>
      </c>
      <c r="L2015" s="137" t="s">
        <v>841</v>
      </c>
      <c r="M201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1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15" s="138" t="str" cm="1">
        <f t="array" ref="O2015">IFERROR(INDEX(CategoriesTable[Category type],MATCH(Table1[[#This Row],[Category]],CategoriesTable[Category name],0),0),"")</f>
        <v/>
      </c>
      <c r="P2015" s="138">
        <v>22</v>
      </c>
      <c r="Q2015" s="138">
        <f>MONTH(Table1[[#This Row],[Date]])</f>
        <v>5</v>
      </c>
      <c r="R2015" s="138">
        <v>2020</v>
      </c>
      <c r="S2015" s="139">
        <f>IF(ISBLANK(Table1[[#This Row],[Date]]),"",Table1[[#This Row],[Date]]-WEEKDAY(Table1[[#This Row],[Date]],2)+1)</f>
        <v>43969</v>
      </c>
      <c r="T2015" s="140">
        <f>IF(ISBLANK(Table1[[#This Row],[Date]]),"",DATE(Table1[[#This Row],[Date_Year]],Table1[[#This Row],[Date_Month]],1))</f>
        <v>43952</v>
      </c>
    </row>
    <row r="2016" spans="2:20" ht="15.75">
      <c r="B2016" s="154">
        <v>43973</v>
      </c>
      <c r="C2016" s="119" t="s">
        <v>845</v>
      </c>
      <c r="D2016" s="119"/>
      <c r="E2016" s="119"/>
      <c r="F2016" s="155">
        <v>447.94</v>
      </c>
      <c r="G2016" s="133" t="str">
        <f>_xlfn.XLOOKUP(Table1[[#This Row],[Account_ID]], Accounts[ID], Accounts[Account nickname], "Unknown")</f>
        <v>Discover</v>
      </c>
      <c r="H2016" s="134" t="str">
        <f>_xlfn.XLOOKUP(Table1[[#This Row],[Account_ID]], Accounts[ID], Accounts[Account'#], "Unknown")</f>
        <v>4618</v>
      </c>
      <c r="I2016" s="135" t="str">
        <f>_xlfn.XLOOKUP(_xlfn.XLOOKUP(Table1[[#This Row],[Account]],Accounts[Account nickname],Accounts[Institution ID]),Institutions[ID],Institutions[Institution nickname],"Unknown")</f>
        <v>Discover</v>
      </c>
      <c r="J2016" s="136" t="s">
        <v>3310</v>
      </c>
      <c r="K2016" s="137" t="s">
        <v>843</v>
      </c>
      <c r="L2016" s="137" t="s">
        <v>841</v>
      </c>
      <c r="M201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1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16" s="138" t="str" cm="1">
        <f t="array" ref="O2016">IFERROR(INDEX(CategoriesTable[Category type],MATCH(Table1[[#This Row],[Category]],CategoriesTable[Category name],0),0),"")</f>
        <v/>
      </c>
      <c r="P2016" s="138">
        <v>22</v>
      </c>
      <c r="Q2016" s="138">
        <f>MONTH(Table1[[#This Row],[Date]])</f>
        <v>5</v>
      </c>
      <c r="R2016" s="138">
        <v>2020</v>
      </c>
      <c r="S2016" s="139">
        <f>IF(ISBLANK(Table1[[#This Row],[Date]]),"",Table1[[#This Row],[Date]]-WEEKDAY(Table1[[#This Row],[Date]],2)+1)</f>
        <v>43969</v>
      </c>
      <c r="T2016" s="140">
        <f>IF(ISBLANK(Table1[[#This Row],[Date]]),"",DATE(Table1[[#This Row],[Date_Year]],Table1[[#This Row],[Date_Month]],1))</f>
        <v>43952</v>
      </c>
    </row>
    <row r="2017" spans="2:20" ht="15.75">
      <c r="B2017" s="154">
        <v>43973</v>
      </c>
      <c r="C2017" s="119" t="s">
        <v>745</v>
      </c>
      <c r="D2017" s="119"/>
      <c r="E2017" s="119"/>
      <c r="F2017" s="155">
        <v>-18</v>
      </c>
      <c r="G2017" s="133" t="str">
        <f>_xlfn.XLOOKUP(Table1[[#This Row],[Account_ID]], Accounts[ID], Accounts[Account nickname], "Unknown")</f>
        <v>Discover</v>
      </c>
      <c r="H2017" s="134" t="str">
        <f>_xlfn.XLOOKUP(Table1[[#This Row],[Account_ID]], Accounts[ID], Accounts[Account'#], "Unknown")</f>
        <v>4618</v>
      </c>
      <c r="I2017" s="135" t="str">
        <f>_xlfn.XLOOKUP(_xlfn.XLOOKUP(Table1[[#This Row],[Account]],Accounts[Account nickname],Accounts[Institution ID]),Institutions[ID],Institutions[Institution nickname],"Unknown")</f>
        <v>Discover</v>
      </c>
      <c r="J2017" s="136" t="s">
        <v>3311</v>
      </c>
      <c r="K2017" s="137" t="s">
        <v>843</v>
      </c>
      <c r="L2017" s="137" t="s">
        <v>841</v>
      </c>
      <c r="M201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1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17" s="138" t="str" cm="1">
        <f t="array" ref="O2017">IFERROR(INDEX(CategoriesTable[Category type],MATCH(Table1[[#This Row],[Category]],CategoriesTable[Category name],0),0),"")</f>
        <v/>
      </c>
      <c r="P2017" s="138">
        <v>22</v>
      </c>
      <c r="Q2017" s="138">
        <f>MONTH(Table1[[#This Row],[Date]])</f>
        <v>5</v>
      </c>
      <c r="R2017" s="138">
        <v>2020</v>
      </c>
      <c r="S2017" s="139">
        <f>IF(ISBLANK(Table1[[#This Row],[Date]]),"",Table1[[#This Row],[Date]]-WEEKDAY(Table1[[#This Row],[Date]],2)+1)</f>
        <v>43969</v>
      </c>
      <c r="T2017" s="140">
        <f>IF(ISBLANK(Table1[[#This Row],[Date]]),"",DATE(Table1[[#This Row],[Date_Year]],Table1[[#This Row],[Date_Month]],1))</f>
        <v>43952</v>
      </c>
    </row>
    <row r="2018" spans="2:20" ht="15.75">
      <c r="B2018" s="154">
        <v>43971</v>
      </c>
      <c r="C2018" s="119" t="s">
        <v>718</v>
      </c>
      <c r="D2018" s="119"/>
      <c r="E2018" s="119"/>
      <c r="F2018" s="155">
        <v>-58.73</v>
      </c>
      <c r="G2018" s="133" t="str">
        <f>_xlfn.XLOOKUP(Table1[[#This Row],[Account_ID]], Accounts[ID], Accounts[Account nickname], "Unknown")</f>
        <v>Discover</v>
      </c>
      <c r="H2018" s="134" t="str">
        <f>_xlfn.XLOOKUP(Table1[[#This Row],[Account_ID]], Accounts[ID], Accounts[Account'#], "Unknown")</f>
        <v>4618</v>
      </c>
      <c r="I2018" s="135" t="str">
        <f>_xlfn.XLOOKUP(_xlfn.XLOOKUP(Table1[[#This Row],[Account]],Accounts[Account nickname],Accounts[Institution ID]),Institutions[ID],Institutions[Institution nickname],"Unknown")</f>
        <v>Discover</v>
      </c>
      <c r="J2018" s="136" t="s">
        <v>3315</v>
      </c>
      <c r="K2018" s="137" t="s">
        <v>843</v>
      </c>
      <c r="L2018" s="137" t="s">
        <v>841</v>
      </c>
      <c r="M201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1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18" s="138" t="str" cm="1">
        <f t="array" ref="O2018">IFERROR(INDEX(CategoriesTable[Category type],MATCH(Table1[[#This Row],[Category]],CategoriesTable[Category name],0),0),"")</f>
        <v/>
      </c>
      <c r="P2018" s="138">
        <v>20</v>
      </c>
      <c r="Q2018" s="138">
        <f>MONTH(Table1[[#This Row],[Date]])</f>
        <v>5</v>
      </c>
      <c r="R2018" s="138">
        <v>2020</v>
      </c>
      <c r="S2018" s="139">
        <f>IF(ISBLANK(Table1[[#This Row],[Date]]),"",Table1[[#This Row],[Date]]-WEEKDAY(Table1[[#This Row],[Date]],2)+1)</f>
        <v>43969</v>
      </c>
      <c r="T2018" s="140">
        <f>IF(ISBLANK(Table1[[#This Row],[Date]]),"",DATE(Table1[[#This Row],[Date_Year]],Table1[[#This Row],[Date_Month]],1))</f>
        <v>43952</v>
      </c>
    </row>
    <row r="2019" spans="2:20" ht="15.75">
      <c r="B2019" s="154">
        <v>43971</v>
      </c>
      <c r="C2019" s="119" t="s">
        <v>3313</v>
      </c>
      <c r="D2019" s="119"/>
      <c r="E2019" s="119"/>
      <c r="F2019" s="155">
        <v>-44.93</v>
      </c>
      <c r="G2019" s="133" t="str">
        <f>_xlfn.XLOOKUP(Table1[[#This Row],[Account_ID]], Accounts[ID], Accounts[Account nickname], "Unknown")</f>
        <v>Discover</v>
      </c>
      <c r="H2019" s="134" t="str">
        <f>_xlfn.XLOOKUP(Table1[[#This Row],[Account_ID]], Accounts[ID], Accounts[Account'#], "Unknown")</f>
        <v>4618</v>
      </c>
      <c r="I2019" s="135" t="str">
        <f>_xlfn.XLOOKUP(_xlfn.XLOOKUP(Table1[[#This Row],[Account]],Accounts[Account nickname],Accounts[Institution ID]),Institutions[ID],Institutions[Institution nickname],"Unknown")</f>
        <v>Discover</v>
      </c>
      <c r="J2019" s="136" t="s">
        <v>3314</v>
      </c>
      <c r="K2019" s="137" t="s">
        <v>843</v>
      </c>
      <c r="L2019" s="137" t="s">
        <v>841</v>
      </c>
      <c r="M201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1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19" s="138" t="str" cm="1">
        <f t="array" ref="O2019">IFERROR(INDEX(CategoriesTable[Category type],MATCH(Table1[[#This Row],[Category]],CategoriesTable[Category name],0),0),"")</f>
        <v/>
      </c>
      <c r="P2019" s="138">
        <v>20</v>
      </c>
      <c r="Q2019" s="138">
        <f>MONTH(Table1[[#This Row],[Date]])</f>
        <v>5</v>
      </c>
      <c r="R2019" s="138">
        <v>2020</v>
      </c>
      <c r="S2019" s="139">
        <f>IF(ISBLANK(Table1[[#This Row],[Date]]),"",Table1[[#This Row],[Date]]-WEEKDAY(Table1[[#This Row],[Date]],2)+1)</f>
        <v>43969</v>
      </c>
      <c r="T2019" s="140">
        <f>IF(ISBLANK(Table1[[#This Row],[Date]]),"",DATE(Table1[[#This Row],[Date_Year]],Table1[[#This Row],[Date_Month]],1))</f>
        <v>43952</v>
      </c>
    </row>
    <row r="2020" spans="2:20" ht="15.75">
      <c r="B2020" s="154">
        <v>43971</v>
      </c>
      <c r="C2020" s="119" t="s">
        <v>718</v>
      </c>
      <c r="D2020" s="119"/>
      <c r="E2020" s="119"/>
      <c r="F2020" s="155">
        <v>-66.959999999999994</v>
      </c>
      <c r="G2020" s="133" t="str">
        <f>_xlfn.XLOOKUP(Table1[[#This Row],[Account_ID]], Accounts[ID], Accounts[Account nickname], "Unknown")</f>
        <v>Discover</v>
      </c>
      <c r="H2020" s="134" t="str">
        <f>_xlfn.XLOOKUP(Table1[[#This Row],[Account_ID]], Accounts[ID], Accounts[Account'#], "Unknown")</f>
        <v>4618</v>
      </c>
      <c r="I2020" s="135" t="str">
        <f>_xlfn.XLOOKUP(_xlfn.XLOOKUP(Table1[[#This Row],[Account]],Accounts[Account nickname],Accounts[Institution ID]),Institutions[ID],Institutions[Institution nickname],"Unknown")</f>
        <v>Discover</v>
      </c>
      <c r="J2020" s="136" t="s">
        <v>3316</v>
      </c>
      <c r="K2020" s="137" t="s">
        <v>843</v>
      </c>
      <c r="L2020" s="137" t="s">
        <v>841</v>
      </c>
      <c r="M202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2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20" s="138" t="str" cm="1">
        <f t="array" ref="O2020">IFERROR(INDEX(CategoriesTable[Category type],MATCH(Table1[[#This Row],[Category]],CategoriesTable[Category name],0),0),"")</f>
        <v/>
      </c>
      <c r="P2020" s="138">
        <v>20</v>
      </c>
      <c r="Q2020" s="138">
        <f>MONTH(Table1[[#This Row],[Date]])</f>
        <v>5</v>
      </c>
      <c r="R2020" s="138">
        <v>2020</v>
      </c>
      <c r="S2020" s="139">
        <f>IF(ISBLANK(Table1[[#This Row],[Date]]),"",Table1[[#This Row],[Date]]-WEEKDAY(Table1[[#This Row],[Date]],2)+1)</f>
        <v>43969</v>
      </c>
      <c r="T2020" s="140">
        <f>IF(ISBLANK(Table1[[#This Row],[Date]]),"",DATE(Table1[[#This Row],[Date_Year]],Table1[[#This Row],[Date_Month]],1))</f>
        <v>43952</v>
      </c>
    </row>
    <row r="2021" spans="2:20" ht="15.75">
      <c r="B2021" s="154">
        <v>43970</v>
      </c>
      <c r="C2021" s="119" t="s">
        <v>703</v>
      </c>
      <c r="D2021" s="119"/>
      <c r="E2021" s="119"/>
      <c r="F2021" s="155">
        <v>-7.09</v>
      </c>
      <c r="G2021" s="133" t="str">
        <f>_xlfn.XLOOKUP(Table1[[#This Row],[Account_ID]], Accounts[ID], Accounts[Account nickname], "Unknown")</f>
        <v>Discover</v>
      </c>
      <c r="H2021" s="134" t="str">
        <f>_xlfn.XLOOKUP(Table1[[#This Row],[Account_ID]], Accounts[ID], Accounts[Account'#], "Unknown")</f>
        <v>4618</v>
      </c>
      <c r="I2021" s="135" t="str">
        <f>_xlfn.XLOOKUP(_xlfn.XLOOKUP(Table1[[#This Row],[Account]],Accounts[Account nickname],Accounts[Institution ID]),Institutions[ID],Institutions[Institution nickname],"Unknown")</f>
        <v>Discover</v>
      </c>
      <c r="J2021" s="136" t="s">
        <v>3317</v>
      </c>
      <c r="K2021" s="137" t="s">
        <v>843</v>
      </c>
      <c r="L2021" s="137" t="s">
        <v>841</v>
      </c>
      <c r="M202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2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21" s="138" t="str" cm="1">
        <f t="array" ref="O2021">IFERROR(INDEX(CategoriesTable[Category type],MATCH(Table1[[#This Row],[Category]],CategoriesTable[Category name],0),0),"")</f>
        <v/>
      </c>
      <c r="P2021" s="138">
        <v>19</v>
      </c>
      <c r="Q2021" s="138">
        <f>MONTH(Table1[[#This Row],[Date]])</f>
        <v>5</v>
      </c>
      <c r="R2021" s="138">
        <v>2020</v>
      </c>
      <c r="S2021" s="139">
        <f>IF(ISBLANK(Table1[[#This Row],[Date]]),"",Table1[[#This Row],[Date]]-WEEKDAY(Table1[[#This Row],[Date]],2)+1)</f>
        <v>43969</v>
      </c>
      <c r="T2021" s="140">
        <f>IF(ISBLANK(Table1[[#This Row],[Date]]),"",DATE(Table1[[#This Row],[Date_Year]],Table1[[#This Row],[Date_Month]],1))</f>
        <v>43952</v>
      </c>
    </row>
    <row r="2022" spans="2:20" ht="15.75">
      <c r="B2022" s="154">
        <v>43969</v>
      </c>
      <c r="C2022" s="119" t="s">
        <v>718</v>
      </c>
      <c r="D2022" s="119"/>
      <c r="E2022" s="119"/>
      <c r="F2022" s="155">
        <v>-30.58</v>
      </c>
      <c r="G2022" s="133" t="str">
        <f>_xlfn.XLOOKUP(Table1[[#This Row],[Account_ID]], Accounts[ID], Accounts[Account nickname], "Unknown")</f>
        <v>Discover</v>
      </c>
      <c r="H2022" s="134" t="str">
        <f>_xlfn.XLOOKUP(Table1[[#This Row],[Account_ID]], Accounts[ID], Accounts[Account'#], "Unknown")</f>
        <v>4618</v>
      </c>
      <c r="I2022" s="135" t="str">
        <f>_xlfn.XLOOKUP(_xlfn.XLOOKUP(Table1[[#This Row],[Account]],Accounts[Account nickname],Accounts[Institution ID]),Institutions[ID],Institutions[Institution nickname],"Unknown")</f>
        <v>Discover</v>
      </c>
      <c r="J2022" s="136" t="s">
        <v>3318</v>
      </c>
      <c r="K2022" s="137" t="s">
        <v>843</v>
      </c>
      <c r="L2022" s="137" t="s">
        <v>841</v>
      </c>
      <c r="M202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2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22" s="138" t="str" cm="1">
        <f t="array" ref="O2022">IFERROR(INDEX(CategoriesTable[Category type],MATCH(Table1[[#This Row],[Category]],CategoriesTable[Category name],0),0),"")</f>
        <v/>
      </c>
      <c r="P2022" s="138">
        <v>18</v>
      </c>
      <c r="Q2022" s="138">
        <f>MONTH(Table1[[#This Row],[Date]])</f>
        <v>5</v>
      </c>
      <c r="R2022" s="138">
        <v>2020</v>
      </c>
      <c r="S2022" s="139">
        <f>IF(ISBLANK(Table1[[#This Row],[Date]]),"",Table1[[#This Row],[Date]]-WEEKDAY(Table1[[#This Row],[Date]],2)+1)</f>
        <v>43969</v>
      </c>
      <c r="T2022" s="140">
        <f>IF(ISBLANK(Table1[[#This Row],[Date]]),"",DATE(Table1[[#This Row],[Date_Year]],Table1[[#This Row],[Date_Month]],1))</f>
        <v>43952</v>
      </c>
    </row>
    <row r="2023" spans="2:20" ht="15.75">
      <c r="B2023" s="154">
        <v>43968</v>
      </c>
      <c r="C2023" s="119" t="s">
        <v>2962</v>
      </c>
      <c r="D2023" s="119"/>
      <c r="E2023" s="119"/>
      <c r="F2023" s="155">
        <v>-110.87</v>
      </c>
      <c r="G2023" s="133" t="str">
        <f>_xlfn.XLOOKUP(Table1[[#This Row],[Account_ID]], Accounts[ID], Accounts[Account nickname], "Unknown")</f>
        <v>Discover</v>
      </c>
      <c r="H2023" s="134" t="str">
        <f>_xlfn.XLOOKUP(Table1[[#This Row],[Account_ID]], Accounts[ID], Accounts[Account'#], "Unknown")</f>
        <v>4618</v>
      </c>
      <c r="I2023" s="135" t="str">
        <f>_xlfn.XLOOKUP(_xlfn.XLOOKUP(Table1[[#This Row],[Account]],Accounts[Account nickname],Accounts[Institution ID]),Institutions[ID],Institutions[Institution nickname],"Unknown")</f>
        <v>Discover</v>
      </c>
      <c r="J2023" s="136" t="s">
        <v>3320</v>
      </c>
      <c r="K2023" s="137" t="s">
        <v>843</v>
      </c>
      <c r="L2023" s="137" t="s">
        <v>841</v>
      </c>
      <c r="M202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2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23" s="138" t="str" cm="1">
        <f t="array" ref="O2023">IFERROR(INDEX(CategoriesTable[Category type],MATCH(Table1[[#This Row],[Category]],CategoriesTable[Category name],0),0),"")</f>
        <v/>
      </c>
      <c r="P2023" s="138">
        <v>17</v>
      </c>
      <c r="Q2023" s="138">
        <f>MONTH(Table1[[#This Row],[Date]])</f>
        <v>5</v>
      </c>
      <c r="R2023" s="138">
        <v>2020</v>
      </c>
      <c r="S2023" s="139">
        <f>IF(ISBLANK(Table1[[#This Row],[Date]]),"",Table1[[#This Row],[Date]]-WEEKDAY(Table1[[#This Row],[Date]],2)+1)</f>
        <v>43962</v>
      </c>
      <c r="T2023" s="140">
        <f>IF(ISBLANK(Table1[[#This Row],[Date]]),"",DATE(Table1[[#This Row],[Date_Year]],Table1[[#This Row],[Date_Month]],1))</f>
        <v>43952</v>
      </c>
    </row>
    <row r="2024" spans="2:20" ht="15.75">
      <c r="B2024" s="154">
        <v>43968</v>
      </c>
      <c r="C2024" s="119" t="s">
        <v>1812</v>
      </c>
      <c r="D2024" s="119"/>
      <c r="E2024" s="119"/>
      <c r="F2024" s="155">
        <v>-86.25</v>
      </c>
      <c r="G2024" s="133" t="str">
        <f>_xlfn.XLOOKUP(Table1[[#This Row],[Account_ID]], Accounts[ID], Accounts[Account nickname], "Unknown")</f>
        <v>Discover</v>
      </c>
      <c r="H2024" s="134" t="str">
        <f>_xlfn.XLOOKUP(Table1[[#This Row],[Account_ID]], Accounts[ID], Accounts[Account'#], "Unknown")</f>
        <v>4618</v>
      </c>
      <c r="I2024" s="135" t="str">
        <f>_xlfn.XLOOKUP(_xlfn.XLOOKUP(Table1[[#This Row],[Account]],Accounts[Account nickname],Accounts[Institution ID]),Institutions[ID],Institutions[Institution nickname],"Unknown")</f>
        <v>Discover</v>
      </c>
      <c r="J2024" s="136" t="s">
        <v>3319</v>
      </c>
      <c r="K2024" s="137" t="s">
        <v>843</v>
      </c>
      <c r="L2024" s="137" t="s">
        <v>841</v>
      </c>
      <c r="M202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2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24" s="138" t="str" cm="1">
        <f t="array" ref="O2024">IFERROR(INDEX(CategoriesTable[Category type],MATCH(Table1[[#This Row],[Category]],CategoriesTable[Category name],0),0),"")</f>
        <v/>
      </c>
      <c r="P2024" s="138">
        <v>17</v>
      </c>
      <c r="Q2024" s="138">
        <f>MONTH(Table1[[#This Row],[Date]])</f>
        <v>5</v>
      </c>
      <c r="R2024" s="138">
        <v>2020</v>
      </c>
      <c r="S2024" s="139">
        <f>IF(ISBLANK(Table1[[#This Row],[Date]]),"",Table1[[#This Row],[Date]]-WEEKDAY(Table1[[#This Row],[Date]],2)+1)</f>
        <v>43962</v>
      </c>
      <c r="T2024" s="140">
        <f>IF(ISBLANK(Table1[[#This Row],[Date]]),"",DATE(Table1[[#This Row],[Date_Year]],Table1[[#This Row],[Date_Month]],1))</f>
        <v>43952</v>
      </c>
    </row>
    <row r="2025" spans="2:20" ht="15.75">
      <c r="B2025" s="154">
        <v>43967</v>
      </c>
      <c r="C2025" s="119" t="s">
        <v>702</v>
      </c>
      <c r="D2025" s="119"/>
      <c r="E2025" s="119"/>
      <c r="F2025" s="155">
        <v>-9.52</v>
      </c>
      <c r="G2025" s="133" t="str">
        <f>_xlfn.XLOOKUP(Table1[[#This Row],[Account_ID]], Accounts[ID], Accounts[Account nickname], "Unknown")</f>
        <v>Discover</v>
      </c>
      <c r="H2025" s="134" t="str">
        <f>_xlfn.XLOOKUP(Table1[[#This Row],[Account_ID]], Accounts[ID], Accounts[Account'#], "Unknown")</f>
        <v>4618</v>
      </c>
      <c r="I2025" s="135" t="str">
        <f>_xlfn.XLOOKUP(_xlfn.XLOOKUP(Table1[[#This Row],[Account]],Accounts[Account nickname],Accounts[Institution ID]),Institutions[ID],Institutions[Institution nickname],"Unknown")</f>
        <v>Discover</v>
      </c>
      <c r="J2025" s="136" t="s">
        <v>3321</v>
      </c>
      <c r="K2025" s="137" t="s">
        <v>843</v>
      </c>
      <c r="L2025" s="137" t="s">
        <v>841</v>
      </c>
      <c r="M202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2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25" s="138" t="str" cm="1">
        <f t="array" ref="O2025">IFERROR(INDEX(CategoriesTable[Category type],MATCH(Table1[[#This Row],[Category]],CategoriesTable[Category name],0),0),"")</f>
        <v/>
      </c>
      <c r="P2025" s="138">
        <v>16</v>
      </c>
      <c r="Q2025" s="138">
        <f>MONTH(Table1[[#This Row],[Date]])</f>
        <v>5</v>
      </c>
      <c r="R2025" s="138">
        <v>2020</v>
      </c>
      <c r="S2025" s="139">
        <f>IF(ISBLANK(Table1[[#This Row],[Date]]),"",Table1[[#This Row],[Date]]-WEEKDAY(Table1[[#This Row],[Date]],2)+1)</f>
        <v>43962</v>
      </c>
      <c r="T2025" s="140">
        <f>IF(ISBLANK(Table1[[#This Row],[Date]]),"",DATE(Table1[[#This Row],[Date_Year]],Table1[[#This Row],[Date_Month]],1))</f>
        <v>43952</v>
      </c>
    </row>
    <row r="2026" spans="2:20" ht="15.75">
      <c r="B2026" s="154">
        <v>43965</v>
      </c>
      <c r="C2026" s="119" t="s">
        <v>2366</v>
      </c>
      <c r="D2026" s="119"/>
      <c r="E2026" s="119"/>
      <c r="F2026" s="155">
        <v>-77.94</v>
      </c>
      <c r="G2026" s="133" t="str">
        <f>_xlfn.XLOOKUP(Table1[[#This Row],[Account_ID]], Accounts[ID], Accounts[Account nickname], "Unknown")</f>
        <v>Discover</v>
      </c>
      <c r="H2026" s="134" t="str">
        <f>_xlfn.XLOOKUP(Table1[[#This Row],[Account_ID]], Accounts[ID], Accounts[Account'#], "Unknown")</f>
        <v>4618</v>
      </c>
      <c r="I2026" s="135" t="str">
        <f>_xlfn.XLOOKUP(_xlfn.XLOOKUP(Table1[[#This Row],[Account]],Accounts[Account nickname],Accounts[Institution ID]),Institutions[ID],Institutions[Institution nickname],"Unknown")</f>
        <v>Discover</v>
      </c>
      <c r="J2026" s="136" t="s">
        <v>3322</v>
      </c>
      <c r="K2026" s="137" t="s">
        <v>843</v>
      </c>
      <c r="L2026" s="137" t="s">
        <v>841</v>
      </c>
      <c r="M202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2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26" s="138" t="str" cm="1">
        <f t="array" ref="O2026">IFERROR(INDEX(CategoriesTable[Category type],MATCH(Table1[[#This Row],[Category]],CategoriesTable[Category name],0),0),"")</f>
        <v/>
      </c>
      <c r="P2026" s="138">
        <v>14</v>
      </c>
      <c r="Q2026" s="138">
        <f>MONTH(Table1[[#This Row],[Date]])</f>
        <v>5</v>
      </c>
      <c r="R2026" s="138">
        <v>2020</v>
      </c>
      <c r="S2026" s="139">
        <f>IF(ISBLANK(Table1[[#This Row],[Date]]),"",Table1[[#This Row],[Date]]-WEEKDAY(Table1[[#This Row],[Date]],2)+1)</f>
        <v>43962</v>
      </c>
      <c r="T2026" s="140">
        <f>IF(ISBLANK(Table1[[#This Row],[Date]]),"",DATE(Table1[[#This Row],[Date_Year]],Table1[[#This Row],[Date_Month]],1))</f>
        <v>43952</v>
      </c>
    </row>
    <row r="2027" spans="2:20" ht="15.75">
      <c r="B2027" s="154">
        <v>43954</v>
      </c>
      <c r="C2027" s="119" t="s">
        <v>3323</v>
      </c>
      <c r="D2027" s="119"/>
      <c r="E2027" s="119"/>
      <c r="F2027" s="155">
        <v>-157.59</v>
      </c>
      <c r="G2027" s="133" t="str">
        <f>_xlfn.XLOOKUP(Table1[[#This Row],[Account_ID]], Accounts[ID], Accounts[Account nickname], "Unknown")</f>
        <v>Discover</v>
      </c>
      <c r="H2027" s="134" t="str">
        <f>_xlfn.XLOOKUP(Table1[[#This Row],[Account_ID]], Accounts[ID], Accounts[Account'#], "Unknown")</f>
        <v>4618</v>
      </c>
      <c r="I2027" s="135" t="str">
        <f>_xlfn.XLOOKUP(_xlfn.XLOOKUP(Table1[[#This Row],[Account]],Accounts[Account nickname],Accounts[Institution ID]),Institutions[ID],Institutions[Institution nickname],"Unknown")</f>
        <v>Discover</v>
      </c>
      <c r="J2027" s="136" t="s">
        <v>3324</v>
      </c>
      <c r="K2027" s="137" t="s">
        <v>843</v>
      </c>
      <c r="L2027" s="137" t="s">
        <v>841</v>
      </c>
      <c r="M202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2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27" s="138" t="str" cm="1">
        <f t="array" ref="O2027">IFERROR(INDEX(CategoriesTable[Category type],MATCH(Table1[[#This Row],[Category]],CategoriesTable[Category name],0),0),"")</f>
        <v/>
      </c>
      <c r="P2027" s="138">
        <v>3</v>
      </c>
      <c r="Q2027" s="138">
        <f>MONTH(Table1[[#This Row],[Date]])</f>
        <v>5</v>
      </c>
      <c r="R2027" s="138">
        <v>2020</v>
      </c>
      <c r="S2027" s="139">
        <f>IF(ISBLANK(Table1[[#This Row],[Date]]),"",Table1[[#This Row],[Date]]-WEEKDAY(Table1[[#This Row],[Date]],2)+1)</f>
        <v>43948</v>
      </c>
      <c r="T2027" s="140">
        <f>IF(ISBLANK(Table1[[#This Row],[Date]]),"",DATE(Table1[[#This Row],[Date_Year]],Table1[[#This Row],[Date_Month]],1))</f>
        <v>43952</v>
      </c>
    </row>
    <row r="2028" spans="2:20" ht="15.75">
      <c r="B2028" s="154">
        <v>43936</v>
      </c>
      <c r="C2028" s="119" t="s">
        <v>845</v>
      </c>
      <c r="D2028" s="119"/>
      <c r="E2028" s="119"/>
      <c r="F2028" s="155">
        <v>243.76</v>
      </c>
      <c r="G2028" s="133" t="str">
        <f>_xlfn.XLOOKUP(Table1[[#This Row],[Account_ID]], Accounts[ID], Accounts[Account nickname], "Unknown")</f>
        <v>Discover</v>
      </c>
      <c r="H2028" s="134" t="str">
        <f>_xlfn.XLOOKUP(Table1[[#This Row],[Account_ID]], Accounts[ID], Accounts[Account'#], "Unknown")</f>
        <v>4618</v>
      </c>
      <c r="I2028" s="135" t="str">
        <f>_xlfn.XLOOKUP(_xlfn.XLOOKUP(Table1[[#This Row],[Account]],Accounts[Account nickname],Accounts[Institution ID]),Institutions[ID],Institutions[Institution nickname],"Unknown")</f>
        <v>Discover</v>
      </c>
      <c r="J2028" s="136" t="s">
        <v>3326</v>
      </c>
      <c r="K2028" s="137" t="s">
        <v>843</v>
      </c>
      <c r="L2028" s="137" t="s">
        <v>841</v>
      </c>
      <c r="M202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2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28" s="138" t="str" cm="1">
        <f t="array" ref="O2028">IFERROR(INDEX(CategoriesTable[Category type],MATCH(Table1[[#This Row],[Category]],CategoriesTable[Category name],0),0),"")</f>
        <v/>
      </c>
      <c r="P2028" s="138">
        <v>15</v>
      </c>
      <c r="Q2028" s="138">
        <f>MONTH(Table1[[#This Row],[Date]])</f>
        <v>4</v>
      </c>
      <c r="R2028" s="138">
        <v>2020</v>
      </c>
      <c r="S2028" s="139">
        <f>IF(ISBLANK(Table1[[#This Row],[Date]]),"",Table1[[#This Row],[Date]]-WEEKDAY(Table1[[#This Row],[Date]],2)+1)</f>
        <v>43934</v>
      </c>
      <c r="T2028" s="140">
        <f>IF(ISBLANK(Table1[[#This Row],[Date]]),"",DATE(Table1[[#This Row],[Date_Year]],Table1[[#This Row],[Date_Month]],1))</f>
        <v>43922</v>
      </c>
    </row>
    <row r="2029" spans="2:20" ht="15.75">
      <c r="B2029" s="154">
        <v>43936</v>
      </c>
      <c r="C2029" s="119" t="s">
        <v>1479</v>
      </c>
      <c r="D2029" s="119"/>
      <c r="E2029" s="119"/>
      <c r="F2029" s="155">
        <v>157.59</v>
      </c>
      <c r="G2029" s="133" t="str">
        <f>_xlfn.XLOOKUP(Table1[[#This Row],[Account_ID]], Accounts[ID], Accounts[Account nickname], "Unknown")</f>
        <v>Discover</v>
      </c>
      <c r="H2029" s="134" t="str">
        <f>_xlfn.XLOOKUP(Table1[[#This Row],[Account_ID]], Accounts[ID], Accounts[Account'#], "Unknown")</f>
        <v>4618</v>
      </c>
      <c r="I2029" s="135" t="str">
        <f>_xlfn.XLOOKUP(_xlfn.XLOOKUP(Table1[[#This Row],[Account]],Accounts[Account nickname],Accounts[Institution ID]),Institutions[ID],Institutions[Institution nickname],"Unknown")</f>
        <v>Discover</v>
      </c>
      <c r="J2029" s="136" t="s">
        <v>3325</v>
      </c>
      <c r="K2029" s="137" t="s">
        <v>843</v>
      </c>
      <c r="L2029" s="137" t="s">
        <v>841</v>
      </c>
      <c r="M202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2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29" s="138" t="str" cm="1">
        <f t="array" ref="O2029">IFERROR(INDEX(CategoriesTable[Category type],MATCH(Table1[[#This Row],[Category]],CategoriesTable[Category name],0),0),"")</f>
        <v/>
      </c>
      <c r="P2029" s="138">
        <v>15</v>
      </c>
      <c r="Q2029" s="138">
        <f>MONTH(Table1[[#This Row],[Date]])</f>
        <v>4</v>
      </c>
      <c r="R2029" s="138">
        <v>2020</v>
      </c>
      <c r="S2029" s="139">
        <f>IF(ISBLANK(Table1[[#This Row],[Date]]),"",Table1[[#This Row],[Date]]-WEEKDAY(Table1[[#This Row],[Date]],2)+1)</f>
        <v>43934</v>
      </c>
      <c r="T2029" s="140">
        <f>IF(ISBLANK(Table1[[#This Row],[Date]]),"",DATE(Table1[[#This Row],[Date_Year]],Table1[[#This Row],[Date_Month]],1))</f>
        <v>43922</v>
      </c>
    </row>
    <row r="2030" spans="2:20" ht="15.75">
      <c r="B2030" s="154">
        <v>43934</v>
      </c>
      <c r="C2030" s="119" t="s">
        <v>845</v>
      </c>
      <c r="D2030" s="119"/>
      <c r="E2030" s="119"/>
      <c r="F2030" s="155">
        <v>486.55</v>
      </c>
      <c r="G2030" s="133" t="str">
        <f>_xlfn.XLOOKUP(Table1[[#This Row],[Account_ID]], Accounts[ID], Accounts[Account nickname], "Unknown")</f>
        <v>Discover</v>
      </c>
      <c r="H2030" s="134" t="str">
        <f>_xlfn.XLOOKUP(Table1[[#This Row],[Account_ID]], Accounts[ID], Accounts[Account'#], "Unknown")</f>
        <v>4618</v>
      </c>
      <c r="I2030" s="135" t="str">
        <f>_xlfn.XLOOKUP(_xlfn.XLOOKUP(Table1[[#This Row],[Account]],Accounts[Account nickname],Accounts[Institution ID]),Institutions[ID],Institutions[Institution nickname],"Unknown")</f>
        <v>Discover</v>
      </c>
      <c r="J2030" s="136" t="s">
        <v>3328</v>
      </c>
      <c r="K2030" s="137" t="s">
        <v>843</v>
      </c>
      <c r="L2030" s="137" t="s">
        <v>841</v>
      </c>
      <c r="M203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3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30" s="138" t="str" cm="1">
        <f t="array" ref="O2030">IFERROR(INDEX(CategoriesTable[Category type],MATCH(Table1[[#This Row],[Category]],CategoriesTable[Category name],0),0),"")</f>
        <v/>
      </c>
      <c r="P2030" s="138">
        <v>13</v>
      </c>
      <c r="Q2030" s="138">
        <f>MONTH(Table1[[#This Row],[Date]])</f>
        <v>4</v>
      </c>
      <c r="R2030" s="138">
        <v>2020</v>
      </c>
      <c r="S2030" s="139">
        <f>IF(ISBLANK(Table1[[#This Row],[Date]]),"",Table1[[#This Row],[Date]]-WEEKDAY(Table1[[#This Row],[Date]],2)+1)</f>
        <v>43934</v>
      </c>
      <c r="T2030" s="140">
        <f>IF(ISBLANK(Table1[[#This Row],[Date]]),"",DATE(Table1[[#This Row],[Date_Year]],Table1[[#This Row],[Date_Month]],1))</f>
        <v>43922</v>
      </c>
    </row>
    <row r="2031" spans="2:20" ht="15.75">
      <c r="B2031" s="154">
        <v>43934</v>
      </c>
      <c r="C2031" s="119" t="s">
        <v>961</v>
      </c>
      <c r="D2031" s="119"/>
      <c r="E2031" s="119"/>
      <c r="F2031" s="155">
        <v>13.45</v>
      </c>
      <c r="G2031" s="133" t="str">
        <f>_xlfn.XLOOKUP(Table1[[#This Row],[Account_ID]], Accounts[ID], Accounts[Account nickname], "Unknown")</f>
        <v>Discover</v>
      </c>
      <c r="H2031" s="134" t="str">
        <f>_xlfn.XLOOKUP(Table1[[#This Row],[Account_ID]], Accounts[ID], Accounts[Account'#], "Unknown")</f>
        <v>4618</v>
      </c>
      <c r="I2031" s="135" t="str">
        <f>_xlfn.XLOOKUP(_xlfn.XLOOKUP(Table1[[#This Row],[Account]],Accounts[Account nickname],Accounts[Institution ID]),Institutions[ID],Institutions[Institution nickname],"Unknown")</f>
        <v>Discover</v>
      </c>
      <c r="J2031" s="136" t="s">
        <v>3327</v>
      </c>
      <c r="K2031" s="137" t="s">
        <v>843</v>
      </c>
      <c r="L2031" s="137" t="s">
        <v>841</v>
      </c>
      <c r="M203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3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31" s="138" t="str" cm="1">
        <f t="array" ref="O2031">IFERROR(INDEX(CategoriesTable[Category type],MATCH(Table1[[#This Row],[Category]],CategoriesTable[Category name],0),0),"")</f>
        <v/>
      </c>
      <c r="P2031" s="138">
        <v>13</v>
      </c>
      <c r="Q2031" s="138">
        <f>MONTH(Table1[[#This Row],[Date]])</f>
        <v>4</v>
      </c>
      <c r="R2031" s="138">
        <v>2020</v>
      </c>
      <c r="S2031" s="139">
        <f>IF(ISBLANK(Table1[[#This Row],[Date]]),"",Table1[[#This Row],[Date]]-WEEKDAY(Table1[[#This Row],[Date]],2)+1)</f>
        <v>43934</v>
      </c>
      <c r="T2031" s="140">
        <f>IF(ISBLANK(Table1[[#This Row],[Date]]),"",DATE(Table1[[#This Row],[Date_Year]],Table1[[#This Row],[Date_Month]],1))</f>
        <v>43922</v>
      </c>
    </row>
    <row r="2032" spans="2:20" ht="15.75">
      <c r="B2032" s="154">
        <v>43930</v>
      </c>
      <c r="C2032" s="119" t="s">
        <v>689</v>
      </c>
      <c r="D2032" s="119"/>
      <c r="E2032" s="119"/>
      <c r="F2032" s="155">
        <v>-0.36</v>
      </c>
      <c r="G2032" s="133" t="str">
        <f>_xlfn.XLOOKUP(Table1[[#This Row],[Account_ID]], Accounts[ID], Accounts[Account nickname], "Unknown")</f>
        <v>Discover</v>
      </c>
      <c r="H2032" s="134" t="str">
        <f>_xlfn.XLOOKUP(Table1[[#This Row],[Account_ID]], Accounts[ID], Accounts[Account'#], "Unknown")</f>
        <v>4618</v>
      </c>
      <c r="I2032" s="135" t="str">
        <f>_xlfn.XLOOKUP(_xlfn.XLOOKUP(Table1[[#This Row],[Account]],Accounts[Account nickname],Accounts[Institution ID]),Institutions[ID],Institutions[Institution nickname],"Unknown")</f>
        <v>Discover</v>
      </c>
      <c r="J2032" s="136" t="s">
        <v>3329</v>
      </c>
      <c r="K2032" s="137" t="s">
        <v>843</v>
      </c>
      <c r="L2032" s="137" t="s">
        <v>841</v>
      </c>
      <c r="M203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3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32" s="138" t="str" cm="1">
        <f t="array" ref="O2032">IFERROR(INDEX(CategoriesTable[Category type],MATCH(Table1[[#This Row],[Category]],CategoriesTable[Category name],0),0),"")</f>
        <v/>
      </c>
      <c r="P2032" s="138">
        <v>9</v>
      </c>
      <c r="Q2032" s="138">
        <f>MONTH(Table1[[#This Row],[Date]])</f>
        <v>4</v>
      </c>
      <c r="R2032" s="138">
        <v>2020</v>
      </c>
      <c r="S2032" s="139">
        <f>IF(ISBLANK(Table1[[#This Row],[Date]]),"",Table1[[#This Row],[Date]]-WEEKDAY(Table1[[#This Row],[Date]],2)+1)</f>
        <v>43927</v>
      </c>
      <c r="T2032" s="140">
        <f>IF(ISBLANK(Table1[[#This Row],[Date]]),"",DATE(Table1[[#This Row],[Date_Year]],Table1[[#This Row],[Date_Month]],1))</f>
        <v>43922</v>
      </c>
    </row>
    <row r="2033" spans="2:20" ht="15.75">
      <c r="B2033" s="154">
        <v>43916</v>
      </c>
      <c r="C2033" s="119" t="s">
        <v>3330</v>
      </c>
      <c r="D2033" s="119"/>
      <c r="E2033" s="119"/>
      <c r="F2033" s="155">
        <v>-57.89</v>
      </c>
      <c r="G2033" s="133" t="str">
        <f>_xlfn.XLOOKUP(Table1[[#This Row],[Account_ID]], Accounts[ID], Accounts[Account nickname], "Unknown")</f>
        <v>Discover</v>
      </c>
      <c r="H2033" s="134" t="str">
        <f>_xlfn.XLOOKUP(Table1[[#This Row],[Account_ID]], Accounts[ID], Accounts[Account'#], "Unknown")</f>
        <v>4618</v>
      </c>
      <c r="I2033" s="135" t="str">
        <f>_xlfn.XLOOKUP(_xlfn.XLOOKUP(Table1[[#This Row],[Account]],Accounts[Account nickname],Accounts[Institution ID]),Institutions[ID],Institutions[Institution nickname],"Unknown")</f>
        <v>Discover</v>
      </c>
      <c r="J2033" s="136" t="s">
        <v>3331</v>
      </c>
      <c r="K2033" s="137" t="s">
        <v>843</v>
      </c>
      <c r="L2033" s="137" t="s">
        <v>841</v>
      </c>
      <c r="M203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3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33" s="138" t="str" cm="1">
        <f t="array" ref="O2033">IFERROR(INDEX(CategoriesTable[Category type],MATCH(Table1[[#This Row],[Category]],CategoriesTable[Category name],0),0),"")</f>
        <v/>
      </c>
      <c r="P2033" s="138">
        <v>26</v>
      </c>
      <c r="Q2033" s="138">
        <f>MONTH(Table1[[#This Row],[Date]])</f>
        <v>3</v>
      </c>
      <c r="R2033" s="138">
        <v>2020</v>
      </c>
      <c r="S2033" s="139">
        <f>IF(ISBLANK(Table1[[#This Row],[Date]]),"",Table1[[#This Row],[Date]]-WEEKDAY(Table1[[#This Row],[Date]],2)+1)</f>
        <v>43913</v>
      </c>
      <c r="T2033" s="140">
        <f>IF(ISBLANK(Table1[[#This Row],[Date]]),"",DATE(Table1[[#This Row],[Date_Year]],Table1[[#This Row],[Date_Month]],1))</f>
        <v>43891</v>
      </c>
    </row>
    <row r="2034" spans="2:20" ht="15.75">
      <c r="B2034" s="154">
        <v>43916</v>
      </c>
      <c r="C2034" s="119" t="s">
        <v>689</v>
      </c>
      <c r="D2034" s="119"/>
      <c r="E2034" s="119"/>
      <c r="F2034" s="155">
        <v>-19.43</v>
      </c>
      <c r="G2034" s="133" t="str">
        <f>_xlfn.XLOOKUP(Table1[[#This Row],[Account_ID]], Accounts[ID], Accounts[Account nickname], "Unknown")</f>
        <v>Discover</v>
      </c>
      <c r="H2034" s="134" t="str">
        <f>_xlfn.XLOOKUP(Table1[[#This Row],[Account_ID]], Accounts[ID], Accounts[Account'#], "Unknown")</f>
        <v>4618</v>
      </c>
      <c r="I2034" s="135" t="str">
        <f>_xlfn.XLOOKUP(_xlfn.XLOOKUP(Table1[[#This Row],[Account]],Accounts[Account nickname],Accounts[Institution ID]),Institutions[ID],Institutions[Institution nickname],"Unknown")</f>
        <v>Discover</v>
      </c>
      <c r="J2034" s="136" t="s">
        <v>3332</v>
      </c>
      <c r="K2034" s="137" t="s">
        <v>843</v>
      </c>
      <c r="L2034" s="137" t="s">
        <v>841</v>
      </c>
      <c r="M203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3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34" s="138" t="str" cm="1">
        <f t="array" ref="O2034">IFERROR(INDEX(CategoriesTable[Category type],MATCH(Table1[[#This Row],[Category]],CategoriesTable[Category name],0),0),"")</f>
        <v/>
      </c>
      <c r="P2034" s="138">
        <v>26</v>
      </c>
      <c r="Q2034" s="138">
        <f>MONTH(Table1[[#This Row],[Date]])</f>
        <v>3</v>
      </c>
      <c r="R2034" s="138">
        <v>2020</v>
      </c>
      <c r="S2034" s="139">
        <f>IF(ISBLANK(Table1[[#This Row],[Date]]),"",Table1[[#This Row],[Date]]-WEEKDAY(Table1[[#This Row],[Date]],2)+1)</f>
        <v>43913</v>
      </c>
      <c r="T2034" s="140">
        <f>IF(ISBLANK(Table1[[#This Row],[Date]]),"",DATE(Table1[[#This Row],[Date_Year]],Table1[[#This Row],[Date_Month]],1))</f>
        <v>43891</v>
      </c>
    </row>
    <row r="2035" spans="2:20" ht="15.75">
      <c r="B2035" s="154">
        <v>43915</v>
      </c>
      <c r="C2035" s="119" t="s">
        <v>689</v>
      </c>
      <c r="D2035" s="119"/>
      <c r="E2035" s="119"/>
      <c r="F2035" s="155">
        <v>-8.49</v>
      </c>
      <c r="G2035" s="133" t="str">
        <f>_xlfn.XLOOKUP(Table1[[#This Row],[Account_ID]], Accounts[ID], Accounts[Account nickname], "Unknown")</f>
        <v>Discover</v>
      </c>
      <c r="H2035" s="134" t="str">
        <f>_xlfn.XLOOKUP(Table1[[#This Row],[Account_ID]], Accounts[ID], Accounts[Account'#], "Unknown")</f>
        <v>4618</v>
      </c>
      <c r="I2035" s="135" t="str">
        <f>_xlfn.XLOOKUP(_xlfn.XLOOKUP(Table1[[#This Row],[Account]],Accounts[Account nickname],Accounts[Institution ID]),Institutions[ID],Institutions[Institution nickname],"Unknown")</f>
        <v>Discover</v>
      </c>
      <c r="J2035" s="136" t="s">
        <v>3333</v>
      </c>
      <c r="K2035" s="137" t="s">
        <v>843</v>
      </c>
      <c r="L2035" s="137" t="s">
        <v>841</v>
      </c>
      <c r="M203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3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35" s="138" t="str" cm="1">
        <f t="array" ref="O2035">IFERROR(INDEX(CategoriesTable[Category type],MATCH(Table1[[#This Row],[Category]],CategoriesTable[Category name],0),0),"")</f>
        <v/>
      </c>
      <c r="P2035" s="138">
        <v>25</v>
      </c>
      <c r="Q2035" s="138">
        <f>MONTH(Table1[[#This Row],[Date]])</f>
        <v>3</v>
      </c>
      <c r="R2035" s="138">
        <v>2020</v>
      </c>
      <c r="S2035" s="139">
        <f>IF(ISBLANK(Table1[[#This Row],[Date]]),"",Table1[[#This Row],[Date]]-WEEKDAY(Table1[[#This Row],[Date]],2)+1)</f>
        <v>43913</v>
      </c>
      <c r="T2035" s="140">
        <f>IF(ISBLANK(Table1[[#This Row],[Date]]),"",DATE(Table1[[#This Row],[Date_Year]],Table1[[#This Row],[Date_Month]],1))</f>
        <v>43891</v>
      </c>
    </row>
    <row r="2036" spans="2:20" ht="15.75">
      <c r="B2036" s="154">
        <v>43905</v>
      </c>
      <c r="C2036" s="119" t="s">
        <v>1479</v>
      </c>
      <c r="D2036" s="119"/>
      <c r="E2036" s="119"/>
      <c r="F2036" s="155">
        <v>52.96</v>
      </c>
      <c r="G2036" s="133" t="str">
        <f>_xlfn.XLOOKUP(Table1[[#This Row],[Account_ID]], Accounts[ID], Accounts[Account nickname], "Unknown")</f>
        <v>Discover</v>
      </c>
      <c r="H2036" s="134" t="str">
        <f>_xlfn.XLOOKUP(Table1[[#This Row],[Account_ID]], Accounts[ID], Accounts[Account'#], "Unknown")</f>
        <v>4618</v>
      </c>
      <c r="I2036" s="135" t="str">
        <f>_xlfn.XLOOKUP(_xlfn.XLOOKUP(Table1[[#This Row],[Account]],Accounts[Account nickname],Accounts[Institution ID]),Institutions[ID],Institutions[Institution nickname],"Unknown")</f>
        <v>Discover</v>
      </c>
      <c r="J2036" s="136" t="s">
        <v>3334</v>
      </c>
      <c r="K2036" s="137" t="s">
        <v>843</v>
      </c>
      <c r="L2036" s="137" t="s">
        <v>841</v>
      </c>
      <c r="M203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3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36" s="138" t="str" cm="1">
        <f t="array" ref="O2036">IFERROR(INDEX(CategoriesTable[Category type],MATCH(Table1[[#This Row],[Category]],CategoriesTable[Category name],0),0),"")</f>
        <v/>
      </c>
      <c r="P2036" s="138">
        <v>15</v>
      </c>
      <c r="Q2036" s="138">
        <f>MONTH(Table1[[#This Row],[Date]])</f>
        <v>3</v>
      </c>
      <c r="R2036" s="138">
        <v>2020</v>
      </c>
      <c r="S2036" s="139">
        <f>IF(ISBLANK(Table1[[#This Row],[Date]]),"",Table1[[#This Row],[Date]]-WEEKDAY(Table1[[#This Row],[Date]],2)+1)</f>
        <v>43899</v>
      </c>
      <c r="T2036" s="140">
        <f>IF(ISBLANK(Table1[[#This Row],[Date]]),"",DATE(Table1[[#This Row],[Date_Year]],Table1[[#This Row],[Date_Month]],1))</f>
        <v>43891</v>
      </c>
    </row>
    <row r="2037" spans="2:20" ht="15.75">
      <c r="B2037" s="154">
        <v>43903</v>
      </c>
      <c r="C2037" s="119" t="s">
        <v>3335</v>
      </c>
      <c r="D2037" s="119"/>
      <c r="E2037" s="119"/>
      <c r="F2037" s="155">
        <v>-5</v>
      </c>
      <c r="G2037" s="133" t="str">
        <f>_xlfn.XLOOKUP(Table1[[#This Row],[Account_ID]], Accounts[ID], Accounts[Account nickname], "Unknown")</f>
        <v>Discover</v>
      </c>
      <c r="H2037" s="134" t="str">
        <f>_xlfn.XLOOKUP(Table1[[#This Row],[Account_ID]], Accounts[ID], Accounts[Account'#], "Unknown")</f>
        <v>4618</v>
      </c>
      <c r="I2037" s="135" t="str">
        <f>_xlfn.XLOOKUP(_xlfn.XLOOKUP(Table1[[#This Row],[Account]],Accounts[Account nickname],Accounts[Institution ID]),Institutions[ID],Institutions[Institution nickname],"Unknown")</f>
        <v>Discover</v>
      </c>
      <c r="J2037" s="152" t="s">
        <v>3336</v>
      </c>
      <c r="K2037" s="137" t="s">
        <v>843</v>
      </c>
      <c r="L2037" s="137" t="s">
        <v>841</v>
      </c>
      <c r="M203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3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37" s="138" t="str" cm="1">
        <f t="array" ref="O2037">IFERROR(INDEX(CategoriesTable[Category type],MATCH(Table1[[#This Row],[Category]],CategoriesTable[Category name],0),0),"")</f>
        <v/>
      </c>
      <c r="P2037" s="138">
        <v>13</v>
      </c>
      <c r="Q2037" s="138">
        <f>MONTH(Table1[[#This Row],[Date]])</f>
        <v>3</v>
      </c>
      <c r="R2037" s="138">
        <v>2020</v>
      </c>
      <c r="S2037" s="139">
        <f>IF(ISBLANK(Table1[[#This Row],[Date]]),"",Table1[[#This Row],[Date]]-WEEKDAY(Table1[[#This Row],[Date]],2)+1)</f>
        <v>43899</v>
      </c>
      <c r="T2037" s="140">
        <f>IF(ISBLANK(Table1[[#This Row],[Date]]),"",DATE(Table1[[#This Row],[Date_Year]],Table1[[#This Row],[Date_Month]],1))</f>
        <v>43891</v>
      </c>
    </row>
    <row r="2038" spans="2:20" ht="15.75">
      <c r="B2038" s="154">
        <v>43902</v>
      </c>
      <c r="C2038" s="119" t="s">
        <v>3337</v>
      </c>
      <c r="D2038" s="119"/>
      <c r="E2038" s="119"/>
      <c r="F2038" s="155">
        <v>-65.38</v>
      </c>
      <c r="G2038" s="133" t="str">
        <f>_xlfn.XLOOKUP(Table1[[#This Row],[Account_ID]], Accounts[ID], Accounts[Account nickname], "Unknown")</f>
        <v>Discover</v>
      </c>
      <c r="H2038" s="134" t="str">
        <f>_xlfn.XLOOKUP(Table1[[#This Row],[Account_ID]], Accounts[ID], Accounts[Account'#], "Unknown")</f>
        <v>4618</v>
      </c>
      <c r="I2038" s="135" t="str">
        <f>_xlfn.XLOOKUP(_xlfn.XLOOKUP(Table1[[#This Row],[Account]],Accounts[Account nickname],Accounts[Institution ID]),Institutions[ID],Institutions[Institution nickname],"Unknown")</f>
        <v>Discover</v>
      </c>
      <c r="J2038" s="136" t="s">
        <v>3338</v>
      </c>
      <c r="K2038" s="137" t="s">
        <v>843</v>
      </c>
      <c r="L2038" s="137" t="s">
        <v>841</v>
      </c>
      <c r="M203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3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38" s="138" t="str" cm="1">
        <f t="array" ref="O2038">IFERROR(INDEX(CategoriesTable[Category type],MATCH(Table1[[#This Row],[Category]],CategoriesTable[Category name],0),0),"")</f>
        <v/>
      </c>
      <c r="P2038" s="138">
        <v>12</v>
      </c>
      <c r="Q2038" s="138">
        <f>MONTH(Table1[[#This Row],[Date]])</f>
        <v>3</v>
      </c>
      <c r="R2038" s="138">
        <v>2020</v>
      </c>
      <c r="S2038" s="139">
        <f>IF(ISBLANK(Table1[[#This Row],[Date]]),"",Table1[[#This Row],[Date]]-WEEKDAY(Table1[[#This Row],[Date]],2)+1)</f>
        <v>43899</v>
      </c>
      <c r="T2038" s="140">
        <f>IF(ISBLANK(Table1[[#This Row],[Date]]),"",DATE(Table1[[#This Row],[Date_Year]],Table1[[#This Row],[Date_Month]],1))</f>
        <v>43891</v>
      </c>
    </row>
    <row r="2039" spans="2:20" ht="15.75">
      <c r="B2039" s="154">
        <v>43900</v>
      </c>
      <c r="C2039" s="119" t="s">
        <v>2381</v>
      </c>
      <c r="D2039" s="119"/>
      <c r="E2039" s="119"/>
      <c r="F2039" s="155">
        <v>-19.600000000000001</v>
      </c>
      <c r="G2039" s="133" t="str">
        <f>_xlfn.XLOOKUP(Table1[[#This Row],[Account_ID]], Accounts[ID], Accounts[Account nickname], "Unknown")</f>
        <v>Discover</v>
      </c>
      <c r="H2039" s="134" t="str">
        <f>_xlfn.XLOOKUP(Table1[[#This Row],[Account_ID]], Accounts[ID], Accounts[Account'#], "Unknown")</f>
        <v>4618</v>
      </c>
      <c r="I2039" s="135" t="str">
        <f>_xlfn.XLOOKUP(_xlfn.XLOOKUP(Table1[[#This Row],[Account]],Accounts[Account nickname],Accounts[Institution ID]),Institutions[ID],Institutions[Institution nickname],"Unknown")</f>
        <v>Discover</v>
      </c>
      <c r="J2039" s="136" t="s">
        <v>3339</v>
      </c>
      <c r="K2039" s="137" t="s">
        <v>843</v>
      </c>
      <c r="L2039" s="137" t="s">
        <v>841</v>
      </c>
      <c r="M203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3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39" s="138" t="str" cm="1">
        <f t="array" ref="O2039">IFERROR(INDEX(CategoriesTable[Category type],MATCH(Table1[[#This Row],[Category]],CategoriesTable[Category name],0),0),"")</f>
        <v/>
      </c>
      <c r="P2039" s="138">
        <v>10</v>
      </c>
      <c r="Q2039" s="138">
        <f>MONTH(Table1[[#This Row],[Date]])</f>
        <v>3</v>
      </c>
      <c r="R2039" s="138">
        <v>2020</v>
      </c>
      <c r="S2039" s="139">
        <f>IF(ISBLANK(Table1[[#This Row],[Date]]),"",Table1[[#This Row],[Date]]-WEEKDAY(Table1[[#This Row],[Date]],2)+1)</f>
        <v>43899</v>
      </c>
      <c r="T2039" s="140">
        <f>IF(ISBLANK(Table1[[#This Row],[Date]]),"",DATE(Table1[[#This Row],[Date_Year]],Table1[[#This Row],[Date_Month]],1))</f>
        <v>43891</v>
      </c>
    </row>
    <row r="2040" spans="2:20" ht="15.75">
      <c r="B2040" s="154">
        <v>43891</v>
      </c>
      <c r="C2040" s="119" t="s">
        <v>3123</v>
      </c>
      <c r="D2040" s="119"/>
      <c r="E2040" s="119"/>
      <c r="F2040" s="155">
        <v>-31</v>
      </c>
      <c r="G2040" s="133" t="str">
        <f>_xlfn.XLOOKUP(Table1[[#This Row],[Account_ID]], Accounts[ID], Accounts[Account nickname], "Unknown")</f>
        <v>Discover</v>
      </c>
      <c r="H2040" s="134" t="str">
        <f>_xlfn.XLOOKUP(Table1[[#This Row],[Account_ID]], Accounts[ID], Accounts[Account'#], "Unknown")</f>
        <v>4618</v>
      </c>
      <c r="I2040" s="135" t="str">
        <f>_xlfn.XLOOKUP(_xlfn.XLOOKUP(Table1[[#This Row],[Account]],Accounts[Account nickname],Accounts[Institution ID]),Institutions[ID],Institutions[Institution nickname],"Unknown")</f>
        <v>Discover</v>
      </c>
      <c r="J2040" s="136" t="s">
        <v>3340</v>
      </c>
      <c r="K2040" s="137" t="s">
        <v>843</v>
      </c>
      <c r="L2040" s="137" t="s">
        <v>841</v>
      </c>
      <c r="M204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4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40" s="138" t="str" cm="1">
        <f t="array" ref="O2040">IFERROR(INDEX(CategoriesTable[Category type],MATCH(Table1[[#This Row],[Category]],CategoriesTable[Category name],0),0),"")</f>
        <v/>
      </c>
      <c r="P2040" s="138">
        <v>1</v>
      </c>
      <c r="Q2040" s="138">
        <f>MONTH(Table1[[#This Row],[Date]])</f>
        <v>3</v>
      </c>
      <c r="R2040" s="138">
        <v>2020</v>
      </c>
      <c r="S2040" s="139">
        <f>IF(ISBLANK(Table1[[#This Row],[Date]]),"",Table1[[#This Row],[Date]]-WEEKDAY(Table1[[#This Row],[Date]],2)+1)</f>
        <v>43885</v>
      </c>
      <c r="T2040" s="140">
        <f>IF(ISBLANK(Table1[[#This Row],[Date]]),"",DATE(Table1[[#This Row],[Date_Year]],Table1[[#This Row],[Date_Month]],1))</f>
        <v>43891</v>
      </c>
    </row>
    <row r="2041" spans="2:20" ht="15.75">
      <c r="B2041" s="154">
        <v>43891</v>
      </c>
      <c r="C2041" s="119" t="s">
        <v>718</v>
      </c>
      <c r="D2041" s="119"/>
      <c r="E2041" s="119"/>
      <c r="F2041" s="155">
        <v>-112.99</v>
      </c>
      <c r="G2041" s="133" t="str">
        <f>_xlfn.XLOOKUP(Table1[[#This Row],[Account_ID]], Accounts[ID], Accounts[Account nickname], "Unknown")</f>
        <v>Discover</v>
      </c>
      <c r="H2041" s="134" t="str">
        <f>_xlfn.XLOOKUP(Table1[[#This Row],[Account_ID]], Accounts[ID], Accounts[Account'#], "Unknown")</f>
        <v>4618</v>
      </c>
      <c r="I2041" s="135" t="str">
        <f>_xlfn.XLOOKUP(_xlfn.XLOOKUP(Table1[[#This Row],[Account]],Accounts[Account nickname],Accounts[Institution ID]),Institutions[ID],Institutions[Institution nickname],"Unknown")</f>
        <v>Discover</v>
      </c>
      <c r="J2041" s="136" t="s">
        <v>3342</v>
      </c>
      <c r="K2041" s="137" t="s">
        <v>843</v>
      </c>
      <c r="L2041" s="137" t="s">
        <v>841</v>
      </c>
      <c r="M204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4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41" s="138" t="str" cm="1">
        <f t="array" ref="O2041">IFERROR(INDEX(CategoriesTable[Category type],MATCH(Table1[[#This Row],[Category]],CategoriesTable[Category name],0),0),"")</f>
        <v/>
      </c>
      <c r="P2041" s="138">
        <v>1</v>
      </c>
      <c r="Q2041" s="138">
        <f>MONTH(Table1[[#This Row],[Date]])</f>
        <v>3</v>
      </c>
      <c r="R2041" s="138">
        <v>2020</v>
      </c>
      <c r="S2041" s="139">
        <f>IF(ISBLANK(Table1[[#This Row],[Date]]),"",Table1[[#This Row],[Date]]-WEEKDAY(Table1[[#This Row],[Date]],2)+1)</f>
        <v>43885</v>
      </c>
      <c r="T2041" s="140">
        <f>IF(ISBLANK(Table1[[#This Row],[Date]]),"",DATE(Table1[[#This Row],[Date_Year]],Table1[[#This Row],[Date_Month]],1))</f>
        <v>43891</v>
      </c>
    </row>
    <row r="2042" spans="2:20" ht="15.75">
      <c r="B2042" s="154">
        <v>43891</v>
      </c>
      <c r="C2042" s="119" t="s">
        <v>2296</v>
      </c>
      <c r="D2042" s="119"/>
      <c r="E2042" s="119"/>
      <c r="F2042" s="155">
        <v>-15.11</v>
      </c>
      <c r="G2042" s="133" t="str">
        <f>_xlfn.XLOOKUP(Table1[[#This Row],[Account_ID]], Accounts[ID], Accounts[Account nickname], "Unknown")</f>
        <v>Discover</v>
      </c>
      <c r="H2042" s="134" t="str">
        <f>_xlfn.XLOOKUP(Table1[[#This Row],[Account_ID]], Accounts[ID], Accounts[Account'#], "Unknown")</f>
        <v>4618</v>
      </c>
      <c r="I2042" s="135" t="str">
        <f>_xlfn.XLOOKUP(_xlfn.XLOOKUP(Table1[[#This Row],[Account]],Accounts[Account nickname],Accounts[Institution ID]),Institutions[ID],Institutions[Institution nickname],"Unknown")</f>
        <v>Discover</v>
      </c>
      <c r="J2042" s="152" t="s">
        <v>3341</v>
      </c>
      <c r="K2042" s="137" t="s">
        <v>843</v>
      </c>
      <c r="L2042" s="137" t="s">
        <v>841</v>
      </c>
      <c r="M204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4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42" s="138" t="str" cm="1">
        <f t="array" ref="O2042">IFERROR(INDEX(CategoriesTable[Category type],MATCH(Table1[[#This Row],[Category]],CategoriesTable[Category name],0),0),"")</f>
        <v/>
      </c>
      <c r="P2042" s="138">
        <v>1</v>
      </c>
      <c r="Q2042" s="138">
        <f>MONTH(Table1[[#This Row],[Date]])</f>
        <v>3</v>
      </c>
      <c r="R2042" s="138">
        <v>2020</v>
      </c>
      <c r="S2042" s="139">
        <f>IF(ISBLANK(Table1[[#This Row],[Date]]),"",Table1[[#This Row],[Date]]-WEEKDAY(Table1[[#This Row],[Date]],2)+1)</f>
        <v>43885</v>
      </c>
      <c r="T2042" s="140">
        <f>IF(ISBLANK(Table1[[#This Row],[Date]]),"",DATE(Table1[[#This Row],[Date_Year]],Table1[[#This Row],[Date_Month]],1))</f>
        <v>43891</v>
      </c>
    </row>
    <row r="2043" spans="2:20" ht="15.75">
      <c r="B2043" s="154">
        <v>43889</v>
      </c>
      <c r="C2043" s="119" t="s">
        <v>716</v>
      </c>
      <c r="D2043" s="119"/>
      <c r="E2043" s="119"/>
      <c r="F2043" s="155">
        <v>-13.33</v>
      </c>
      <c r="G2043" s="133" t="str">
        <f>_xlfn.XLOOKUP(Table1[[#This Row],[Account_ID]], Accounts[ID], Accounts[Account nickname], "Unknown")</f>
        <v>Discover</v>
      </c>
      <c r="H2043" s="134" t="str">
        <f>_xlfn.XLOOKUP(Table1[[#This Row],[Account_ID]], Accounts[ID], Accounts[Account'#], "Unknown")</f>
        <v>4618</v>
      </c>
      <c r="I2043" s="135" t="str">
        <f>_xlfn.XLOOKUP(_xlfn.XLOOKUP(Table1[[#This Row],[Account]],Accounts[Account nickname],Accounts[Institution ID]),Institutions[ID],Institutions[Institution nickname],"Unknown")</f>
        <v>Discover</v>
      </c>
      <c r="J2043" s="136" t="s">
        <v>3343</v>
      </c>
      <c r="K2043" s="137" t="s">
        <v>843</v>
      </c>
      <c r="L2043" s="137" t="s">
        <v>841</v>
      </c>
      <c r="M204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4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43" s="138" t="str" cm="1">
        <f t="array" ref="O2043">IFERROR(INDEX(CategoriesTable[Category type],MATCH(Table1[[#This Row],[Category]],CategoriesTable[Category name],0),0),"")</f>
        <v/>
      </c>
      <c r="P2043" s="138">
        <v>28</v>
      </c>
      <c r="Q2043" s="138">
        <f>MONTH(Table1[[#This Row],[Date]])</f>
        <v>2</v>
      </c>
      <c r="R2043" s="138">
        <v>2020</v>
      </c>
      <c r="S2043" s="139">
        <f>IF(ISBLANK(Table1[[#This Row],[Date]]),"",Table1[[#This Row],[Date]]-WEEKDAY(Table1[[#This Row],[Date]],2)+1)</f>
        <v>43885</v>
      </c>
      <c r="T2043" s="140">
        <f>IF(ISBLANK(Table1[[#This Row],[Date]]),"",DATE(Table1[[#This Row],[Date_Year]],Table1[[#This Row],[Date_Month]],1))</f>
        <v>43862</v>
      </c>
    </row>
    <row r="2044" spans="2:20" ht="15.75">
      <c r="B2044" s="154">
        <v>43889</v>
      </c>
      <c r="C2044" s="119" t="s">
        <v>3344</v>
      </c>
      <c r="D2044" s="119"/>
      <c r="E2044" s="119"/>
      <c r="F2044" s="155">
        <v>-4.3899999999999997</v>
      </c>
      <c r="G2044" s="133" t="str">
        <f>_xlfn.XLOOKUP(Table1[[#This Row],[Account_ID]], Accounts[ID], Accounts[Account nickname], "Unknown")</f>
        <v>Discover</v>
      </c>
      <c r="H2044" s="134" t="str">
        <f>_xlfn.XLOOKUP(Table1[[#This Row],[Account_ID]], Accounts[ID], Accounts[Account'#], "Unknown")</f>
        <v>4618</v>
      </c>
      <c r="I2044" s="135" t="str">
        <f>_xlfn.XLOOKUP(_xlfn.XLOOKUP(Table1[[#This Row],[Account]],Accounts[Account nickname],Accounts[Institution ID]),Institutions[ID],Institutions[Institution nickname],"Unknown")</f>
        <v>Discover</v>
      </c>
      <c r="J2044" s="136" t="s">
        <v>3345</v>
      </c>
      <c r="K2044" s="137" t="s">
        <v>843</v>
      </c>
      <c r="L2044" s="137" t="s">
        <v>841</v>
      </c>
      <c r="M204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4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44" s="138" t="str" cm="1">
        <f t="array" ref="O2044">IFERROR(INDEX(CategoriesTable[Category type],MATCH(Table1[[#This Row],[Category]],CategoriesTable[Category name],0),0),"")</f>
        <v/>
      </c>
      <c r="P2044" s="138">
        <v>28</v>
      </c>
      <c r="Q2044" s="138">
        <f>MONTH(Table1[[#This Row],[Date]])</f>
        <v>2</v>
      </c>
      <c r="R2044" s="138">
        <v>2020</v>
      </c>
      <c r="S2044" s="139">
        <f>IF(ISBLANK(Table1[[#This Row],[Date]]),"",Table1[[#This Row],[Date]]-WEEKDAY(Table1[[#This Row],[Date]],2)+1)</f>
        <v>43885</v>
      </c>
      <c r="T2044" s="140">
        <f>IF(ISBLANK(Table1[[#This Row],[Date]]),"",DATE(Table1[[#This Row],[Date_Year]],Table1[[#This Row],[Date_Month]],1))</f>
        <v>43862</v>
      </c>
    </row>
    <row r="2045" spans="2:20" ht="15.75">
      <c r="B2045" s="154">
        <v>43888</v>
      </c>
      <c r="C2045" s="119" t="s">
        <v>2907</v>
      </c>
      <c r="D2045" s="119"/>
      <c r="E2045" s="119"/>
      <c r="F2045" s="155">
        <v>-9.39</v>
      </c>
      <c r="G2045" s="133" t="str">
        <f>_xlfn.XLOOKUP(Table1[[#This Row],[Account_ID]], Accounts[ID], Accounts[Account nickname], "Unknown")</f>
        <v>Discover</v>
      </c>
      <c r="H2045" s="134" t="str">
        <f>_xlfn.XLOOKUP(Table1[[#This Row],[Account_ID]], Accounts[ID], Accounts[Account'#], "Unknown")</f>
        <v>4618</v>
      </c>
      <c r="I2045" s="135" t="str">
        <f>_xlfn.XLOOKUP(_xlfn.XLOOKUP(Table1[[#This Row],[Account]],Accounts[Account nickname],Accounts[Institution ID]),Institutions[ID],Institutions[Institution nickname],"Unknown")</f>
        <v>Discover</v>
      </c>
      <c r="J2045" s="136" t="s">
        <v>3346</v>
      </c>
      <c r="K2045" s="137" t="s">
        <v>843</v>
      </c>
      <c r="L2045" s="137" t="s">
        <v>841</v>
      </c>
      <c r="M204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4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45" s="138" t="str" cm="1">
        <f t="array" ref="O2045">IFERROR(INDEX(CategoriesTable[Category type],MATCH(Table1[[#This Row],[Category]],CategoriesTable[Category name],0),0),"")</f>
        <v/>
      </c>
      <c r="P2045" s="138">
        <v>27</v>
      </c>
      <c r="Q2045" s="138">
        <f>MONTH(Table1[[#This Row],[Date]])</f>
        <v>2</v>
      </c>
      <c r="R2045" s="138">
        <v>2020</v>
      </c>
      <c r="S2045" s="139">
        <f>IF(ISBLANK(Table1[[#This Row],[Date]]),"",Table1[[#This Row],[Date]]-WEEKDAY(Table1[[#This Row],[Date]],2)+1)</f>
        <v>43885</v>
      </c>
      <c r="T2045" s="140">
        <f>IF(ISBLANK(Table1[[#This Row],[Date]]),"",DATE(Table1[[#This Row],[Date_Year]],Table1[[#This Row],[Date_Month]],1))</f>
        <v>43862</v>
      </c>
    </row>
    <row r="2046" spans="2:20" ht="15.75">
      <c r="B2046" s="154">
        <v>43888</v>
      </c>
      <c r="C2046" s="119" t="s">
        <v>718</v>
      </c>
      <c r="D2046" s="119"/>
      <c r="E2046" s="119"/>
      <c r="F2046" s="155">
        <v>-45.26</v>
      </c>
      <c r="G2046" s="133" t="str">
        <f>_xlfn.XLOOKUP(Table1[[#This Row],[Account_ID]], Accounts[ID], Accounts[Account nickname], "Unknown")</f>
        <v>Discover</v>
      </c>
      <c r="H2046" s="134" t="str">
        <f>_xlfn.XLOOKUP(Table1[[#This Row],[Account_ID]], Accounts[ID], Accounts[Account'#], "Unknown")</f>
        <v>4618</v>
      </c>
      <c r="I2046" s="135" t="str">
        <f>_xlfn.XLOOKUP(_xlfn.XLOOKUP(Table1[[#This Row],[Account]],Accounts[Account nickname],Accounts[Institution ID]),Institutions[ID],Institutions[Institution nickname],"Unknown")</f>
        <v>Discover</v>
      </c>
      <c r="J2046" s="136" t="s">
        <v>3347</v>
      </c>
      <c r="K2046" s="137" t="s">
        <v>843</v>
      </c>
      <c r="L2046" s="137" t="s">
        <v>841</v>
      </c>
      <c r="M204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4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46" s="138" t="str" cm="1">
        <f t="array" ref="O2046">IFERROR(INDEX(CategoriesTable[Category type],MATCH(Table1[[#This Row],[Category]],CategoriesTable[Category name],0),0),"")</f>
        <v/>
      </c>
      <c r="P2046" s="138">
        <v>27</v>
      </c>
      <c r="Q2046" s="138">
        <f>MONTH(Table1[[#This Row],[Date]])</f>
        <v>2</v>
      </c>
      <c r="R2046" s="138">
        <v>2020</v>
      </c>
      <c r="S2046" s="139">
        <f>IF(ISBLANK(Table1[[#This Row],[Date]]),"",Table1[[#This Row],[Date]]-WEEKDAY(Table1[[#This Row],[Date]],2)+1)</f>
        <v>43885</v>
      </c>
      <c r="T2046" s="140">
        <f>IF(ISBLANK(Table1[[#This Row],[Date]]),"",DATE(Table1[[#This Row],[Date_Year]],Table1[[#This Row],[Date_Month]],1))</f>
        <v>43862</v>
      </c>
    </row>
    <row r="2047" spans="2:20" ht="15.75">
      <c r="B2047" s="154">
        <v>43887</v>
      </c>
      <c r="C2047" s="119" t="s">
        <v>3348</v>
      </c>
      <c r="D2047" s="119"/>
      <c r="E2047" s="119"/>
      <c r="F2047" s="155">
        <v>-22.31</v>
      </c>
      <c r="G2047" s="133" t="str">
        <f>_xlfn.XLOOKUP(Table1[[#This Row],[Account_ID]], Accounts[ID], Accounts[Account nickname], "Unknown")</f>
        <v>Discover</v>
      </c>
      <c r="H2047" s="134" t="str">
        <f>_xlfn.XLOOKUP(Table1[[#This Row],[Account_ID]], Accounts[ID], Accounts[Account'#], "Unknown")</f>
        <v>4618</v>
      </c>
      <c r="I2047" s="135" t="str">
        <f>_xlfn.XLOOKUP(_xlfn.XLOOKUP(Table1[[#This Row],[Account]],Accounts[Account nickname],Accounts[Institution ID]),Institutions[ID],Institutions[Institution nickname],"Unknown")</f>
        <v>Discover</v>
      </c>
      <c r="J2047" s="136" t="s">
        <v>3349</v>
      </c>
      <c r="K2047" s="137" t="s">
        <v>843</v>
      </c>
      <c r="L2047" s="137" t="s">
        <v>841</v>
      </c>
      <c r="M204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4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47" s="138" t="str" cm="1">
        <f t="array" ref="O2047">IFERROR(INDEX(CategoriesTable[Category type],MATCH(Table1[[#This Row],[Category]],CategoriesTable[Category name],0),0),"")</f>
        <v/>
      </c>
      <c r="P2047" s="138">
        <v>26</v>
      </c>
      <c r="Q2047" s="138">
        <f>MONTH(Table1[[#This Row],[Date]])</f>
        <v>2</v>
      </c>
      <c r="R2047" s="138">
        <v>2020</v>
      </c>
      <c r="S2047" s="139">
        <f>IF(ISBLANK(Table1[[#This Row],[Date]]),"",Table1[[#This Row],[Date]]-WEEKDAY(Table1[[#This Row],[Date]],2)+1)</f>
        <v>43885</v>
      </c>
      <c r="T2047" s="140">
        <f>IF(ISBLANK(Table1[[#This Row],[Date]]),"",DATE(Table1[[#This Row],[Date_Year]],Table1[[#This Row],[Date_Month]],1))</f>
        <v>43862</v>
      </c>
    </row>
    <row r="2048" spans="2:20" ht="15.75">
      <c r="B2048" s="154">
        <v>43887</v>
      </c>
      <c r="C2048" s="119" t="s">
        <v>1990</v>
      </c>
      <c r="D2048" s="119"/>
      <c r="E2048" s="119"/>
      <c r="F2048" s="155">
        <v>-15</v>
      </c>
      <c r="G2048" s="133" t="str">
        <f>_xlfn.XLOOKUP(Table1[[#This Row],[Account_ID]], Accounts[ID], Accounts[Account nickname], "Unknown")</f>
        <v>Discover</v>
      </c>
      <c r="H2048" s="134" t="str">
        <f>_xlfn.XLOOKUP(Table1[[#This Row],[Account_ID]], Accounts[ID], Accounts[Account'#], "Unknown")</f>
        <v>4618</v>
      </c>
      <c r="I2048" s="135" t="str">
        <f>_xlfn.XLOOKUP(_xlfn.XLOOKUP(Table1[[#This Row],[Account]],Accounts[Account nickname],Accounts[Institution ID]),Institutions[ID],Institutions[Institution nickname],"Unknown")</f>
        <v>Discover</v>
      </c>
      <c r="J2048" s="136" t="s">
        <v>3351</v>
      </c>
      <c r="K2048" s="137" t="s">
        <v>843</v>
      </c>
      <c r="L2048" s="137" t="s">
        <v>841</v>
      </c>
      <c r="M204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4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48" s="138" t="str" cm="1">
        <f t="array" ref="O2048">IFERROR(INDEX(CategoriesTable[Category type],MATCH(Table1[[#This Row],[Category]],CategoriesTable[Category name],0),0),"")</f>
        <v/>
      </c>
      <c r="P2048" s="138">
        <v>26</v>
      </c>
      <c r="Q2048" s="138">
        <f>MONTH(Table1[[#This Row],[Date]])</f>
        <v>2</v>
      </c>
      <c r="R2048" s="138">
        <v>2020</v>
      </c>
      <c r="S2048" s="139">
        <f>IF(ISBLANK(Table1[[#This Row],[Date]]),"",Table1[[#This Row],[Date]]-WEEKDAY(Table1[[#This Row],[Date]],2)+1)</f>
        <v>43885</v>
      </c>
      <c r="T2048" s="140">
        <f>IF(ISBLANK(Table1[[#This Row],[Date]]),"",DATE(Table1[[#This Row],[Date_Year]],Table1[[#This Row],[Date_Month]],1))</f>
        <v>43862</v>
      </c>
    </row>
    <row r="2049" spans="2:20" ht="15.75">
      <c r="B2049" s="154">
        <v>43887</v>
      </c>
      <c r="C2049" s="119" t="s">
        <v>3064</v>
      </c>
      <c r="D2049" s="119"/>
      <c r="E2049" s="119"/>
      <c r="F2049" s="155">
        <v>-11.04</v>
      </c>
      <c r="G2049" s="133" t="str">
        <f>_xlfn.XLOOKUP(Table1[[#This Row],[Account_ID]], Accounts[ID], Accounts[Account nickname], "Unknown")</f>
        <v>Discover</v>
      </c>
      <c r="H2049" s="134" t="str">
        <f>_xlfn.XLOOKUP(Table1[[#This Row],[Account_ID]], Accounts[ID], Accounts[Account'#], "Unknown")</f>
        <v>4618</v>
      </c>
      <c r="I2049" s="135" t="str">
        <f>_xlfn.XLOOKUP(_xlfn.XLOOKUP(Table1[[#This Row],[Account]],Accounts[Account nickname],Accounts[Institution ID]),Institutions[ID],Institutions[Institution nickname],"Unknown")</f>
        <v>Discover</v>
      </c>
      <c r="J2049" s="136" t="s">
        <v>3350</v>
      </c>
      <c r="K2049" s="137" t="s">
        <v>843</v>
      </c>
      <c r="L2049" s="137" t="s">
        <v>841</v>
      </c>
      <c r="M204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4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49" s="138" t="str" cm="1">
        <f t="array" ref="O2049">IFERROR(INDEX(CategoriesTable[Category type],MATCH(Table1[[#This Row],[Category]],CategoriesTable[Category name],0),0),"")</f>
        <v/>
      </c>
      <c r="P2049" s="138">
        <v>26</v>
      </c>
      <c r="Q2049" s="138">
        <f>MONTH(Table1[[#This Row],[Date]])</f>
        <v>2</v>
      </c>
      <c r="R2049" s="138">
        <v>2020</v>
      </c>
      <c r="S2049" s="139">
        <f>IF(ISBLANK(Table1[[#This Row],[Date]]),"",Table1[[#This Row],[Date]]-WEEKDAY(Table1[[#This Row],[Date]],2)+1)</f>
        <v>43885</v>
      </c>
      <c r="T2049" s="140">
        <f>IF(ISBLANK(Table1[[#This Row],[Date]]),"",DATE(Table1[[#This Row],[Date_Year]],Table1[[#This Row],[Date_Month]],1))</f>
        <v>43862</v>
      </c>
    </row>
    <row r="2050" spans="2:20" ht="15.75">
      <c r="B2050" s="154">
        <v>43886</v>
      </c>
      <c r="C2050" s="119" t="s">
        <v>746</v>
      </c>
      <c r="D2050" s="119"/>
      <c r="E2050" s="119"/>
      <c r="F2050" s="155">
        <v>-21.77</v>
      </c>
      <c r="G2050" s="133" t="str">
        <f>_xlfn.XLOOKUP(Table1[[#This Row],[Account_ID]], Accounts[ID], Accounts[Account nickname], "Unknown")</f>
        <v>Discover</v>
      </c>
      <c r="H2050" s="134" t="str">
        <f>_xlfn.XLOOKUP(Table1[[#This Row],[Account_ID]], Accounts[ID], Accounts[Account'#], "Unknown")</f>
        <v>4618</v>
      </c>
      <c r="I2050" s="135" t="str">
        <f>_xlfn.XLOOKUP(_xlfn.XLOOKUP(Table1[[#This Row],[Account]],Accounts[Account nickname],Accounts[Institution ID]),Institutions[ID],Institutions[Institution nickname],"Unknown")</f>
        <v>Discover</v>
      </c>
      <c r="J2050" s="136" t="s">
        <v>3352</v>
      </c>
      <c r="K2050" s="137" t="s">
        <v>843</v>
      </c>
      <c r="L2050" s="137" t="s">
        <v>841</v>
      </c>
      <c r="M205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5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50" s="138" t="str" cm="1">
        <f t="array" ref="O2050">IFERROR(INDEX(CategoriesTable[Category type],MATCH(Table1[[#This Row],[Category]],CategoriesTable[Category name],0),0),"")</f>
        <v/>
      </c>
      <c r="P2050" s="138">
        <v>25</v>
      </c>
      <c r="Q2050" s="138">
        <f>MONTH(Table1[[#This Row],[Date]])</f>
        <v>2</v>
      </c>
      <c r="R2050" s="138">
        <v>2020</v>
      </c>
      <c r="S2050" s="139">
        <f>IF(ISBLANK(Table1[[#This Row],[Date]]),"",Table1[[#This Row],[Date]]-WEEKDAY(Table1[[#This Row],[Date]],2)+1)</f>
        <v>43885</v>
      </c>
      <c r="T2050" s="140">
        <f>IF(ISBLANK(Table1[[#This Row],[Date]]),"",DATE(Table1[[#This Row],[Date_Year]],Table1[[#This Row],[Date_Month]],1))</f>
        <v>43862</v>
      </c>
    </row>
    <row r="2051" spans="2:20" ht="15.75">
      <c r="B2051" s="154">
        <v>43886</v>
      </c>
      <c r="C2051" s="119" t="s">
        <v>3353</v>
      </c>
      <c r="D2051" s="119"/>
      <c r="E2051" s="119"/>
      <c r="F2051" s="155">
        <v>-20</v>
      </c>
      <c r="G2051" s="133" t="str">
        <f>_xlfn.XLOOKUP(Table1[[#This Row],[Account_ID]], Accounts[ID], Accounts[Account nickname], "Unknown")</f>
        <v>Discover</v>
      </c>
      <c r="H2051" s="134" t="str">
        <f>_xlfn.XLOOKUP(Table1[[#This Row],[Account_ID]], Accounts[ID], Accounts[Account'#], "Unknown")</f>
        <v>4618</v>
      </c>
      <c r="I2051" s="135" t="str">
        <f>_xlfn.XLOOKUP(_xlfn.XLOOKUP(Table1[[#This Row],[Account]],Accounts[Account nickname],Accounts[Institution ID]),Institutions[ID],Institutions[Institution nickname],"Unknown")</f>
        <v>Discover</v>
      </c>
      <c r="J2051" s="152" t="s">
        <v>3354</v>
      </c>
      <c r="K2051" s="137" t="s">
        <v>843</v>
      </c>
      <c r="L2051" s="137" t="s">
        <v>841</v>
      </c>
      <c r="M205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5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51" s="138" t="str" cm="1">
        <f t="array" ref="O2051">IFERROR(INDEX(CategoriesTable[Category type],MATCH(Table1[[#This Row],[Category]],CategoriesTable[Category name],0),0),"")</f>
        <v/>
      </c>
      <c r="P2051" s="138">
        <v>25</v>
      </c>
      <c r="Q2051" s="138">
        <f>MONTH(Table1[[#This Row],[Date]])</f>
        <v>2</v>
      </c>
      <c r="R2051" s="138">
        <v>2020</v>
      </c>
      <c r="S2051" s="139">
        <f>IF(ISBLANK(Table1[[#This Row],[Date]]),"",Table1[[#This Row],[Date]]-WEEKDAY(Table1[[#This Row],[Date]],2)+1)</f>
        <v>43885</v>
      </c>
      <c r="T2051" s="140">
        <f>IF(ISBLANK(Table1[[#This Row],[Date]]),"",DATE(Table1[[#This Row],[Date_Year]],Table1[[#This Row],[Date_Month]],1))</f>
        <v>43862</v>
      </c>
    </row>
    <row r="2052" spans="2:20" ht="15.75">
      <c r="B2052" s="154">
        <v>43885</v>
      </c>
      <c r="C2052" s="119" t="s">
        <v>3355</v>
      </c>
      <c r="D2052" s="119"/>
      <c r="E2052" s="119"/>
      <c r="F2052" s="155">
        <v>-25</v>
      </c>
      <c r="G2052" s="133" t="str">
        <f>_xlfn.XLOOKUP(Table1[[#This Row],[Account_ID]], Accounts[ID], Accounts[Account nickname], "Unknown")</f>
        <v>Discover</v>
      </c>
      <c r="H2052" s="134" t="str">
        <f>_xlfn.XLOOKUP(Table1[[#This Row],[Account_ID]], Accounts[ID], Accounts[Account'#], "Unknown")</f>
        <v>4618</v>
      </c>
      <c r="I2052" s="135" t="str">
        <f>_xlfn.XLOOKUP(_xlfn.XLOOKUP(Table1[[#This Row],[Account]],Accounts[Account nickname],Accounts[Institution ID]),Institutions[ID],Institutions[Institution nickname],"Unknown")</f>
        <v>Discover</v>
      </c>
      <c r="J2052" s="136" t="s">
        <v>3356</v>
      </c>
      <c r="K2052" s="137" t="s">
        <v>843</v>
      </c>
      <c r="L2052" s="137" t="s">
        <v>841</v>
      </c>
      <c r="M205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5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52" s="138" t="str" cm="1">
        <f t="array" ref="O2052">IFERROR(INDEX(CategoriesTable[Category type],MATCH(Table1[[#This Row],[Category]],CategoriesTable[Category name],0),0),"")</f>
        <v/>
      </c>
      <c r="P2052" s="138">
        <v>24</v>
      </c>
      <c r="Q2052" s="138">
        <f>MONTH(Table1[[#This Row],[Date]])</f>
        <v>2</v>
      </c>
      <c r="R2052" s="138">
        <v>2020</v>
      </c>
      <c r="S2052" s="139">
        <f>IF(ISBLANK(Table1[[#This Row],[Date]]),"",Table1[[#This Row],[Date]]-WEEKDAY(Table1[[#This Row],[Date]],2)+1)</f>
        <v>43885</v>
      </c>
      <c r="T2052" s="140">
        <f>IF(ISBLANK(Table1[[#This Row],[Date]]),"",DATE(Table1[[#This Row],[Date_Year]],Table1[[#This Row],[Date_Month]],1))</f>
        <v>43862</v>
      </c>
    </row>
    <row r="2053" spans="2:20" ht="15.75">
      <c r="B2053" s="154">
        <v>43884</v>
      </c>
      <c r="C2053" s="119" t="s">
        <v>3357</v>
      </c>
      <c r="D2053" s="119"/>
      <c r="E2053" s="119"/>
      <c r="F2053" s="155">
        <v>-29.33</v>
      </c>
      <c r="G2053" s="133" t="str">
        <f>_xlfn.XLOOKUP(Table1[[#This Row],[Account_ID]], Accounts[ID], Accounts[Account nickname], "Unknown")</f>
        <v>Discover</v>
      </c>
      <c r="H2053" s="134" t="str">
        <f>_xlfn.XLOOKUP(Table1[[#This Row],[Account_ID]], Accounts[ID], Accounts[Account'#], "Unknown")</f>
        <v>4618</v>
      </c>
      <c r="I2053" s="135" t="str">
        <f>_xlfn.XLOOKUP(_xlfn.XLOOKUP(Table1[[#This Row],[Account]],Accounts[Account nickname],Accounts[Institution ID]),Institutions[ID],Institutions[Institution nickname],"Unknown")</f>
        <v>Discover</v>
      </c>
      <c r="J2053" s="136" t="s">
        <v>3358</v>
      </c>
      <c r="K2053" s="137" t="s">
        <v>843</v>
      </c>
      <c r="L2053" s="137" t="s">
        <v>841</v>
      </c>
      <c r="M205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5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53" s="138" t="str" cm="1">
        <f t="array" ref="O2053">IFERROR(INDEX(CategoriesTable[Category type],MATCH(Table1[[#This Row],[Category]],CategoriesTable[Category name],0),0),"")</f>
        <v/>
      </c>
      <c r="P2053" s="138">
        <v>23</v>
      </c>
      <c r="Q2053" s="138">
        <f>MONTH(Table1[[#This Row],[Date]])</f>
        <v>2</v>
      </c>
      <c r="R2053" s="138">
        <v>2020</v>
      </c>
      <c r="S2053" s="139">
        <f>IF(ISBLANK(Table1[[#This Row],[Date]]),"",Table1[[#This Row],[Date]]-WEEKDAY(Table1[[#This Row],[Date]],2)+1)</f>
        <v>43878</v>
      </c>
      <c r="T2053" s="140">
        <f>IF(ISBLANK(Table1[[#This Row],[Date]]),"",DATE(Table1[[#This Row],[Date_Year]],Table1[[#This Row],[Date_Month]],1))</f>
        <v>43862</v>
      </c>
    </row>
    <row r="2054" spans="2:20" ht="15.75">
      <c r="B2054" s="154">
        <v>43883</v>
      </c>
      <c r="C2054" s="119" t="s">
        <v>3297</v>
      </c>
      <c r="D2054" s="119"/>
      <c r="E2054" s="119"/>
      <c r="F2054" s="155">
        <v>-20.51</v>
      </c>
      <c r="G2054" s="133" t="str">
        <f>_xlfn.XLOOKUP(Table1[[#This Row],[Account_ID]], Accounts[ID], Accounts[Account nickname], "Unknown")</f>
        <v>Discover</v>
      </c>
      <c r="H2054" s="134" t="str">
        <f>_xlfn.XLOOKUP(Table1[[#This Row],[Account_ID]], Accounts[ID], Accounts[Account'#], "Unknown")</f>
        <v>4618</v>
      </c>
      <c r="I2054" s="135" t="str">
        <f>_xlfn.XLOOKUP(_xlfn.XLOOKUP(Table1[[#This Row],[Account]],Accounts[Account nickname],Accounts[Institution ID]),Institutions[ID],Institutions[Institution nickname],"Unknown")</f>
        <v>Discover</v>
      </c>
      <c r="J2054" s="136" t="s">
        <v>3361</v>
      </c>
      <c r="K2054" s="137" t="s">
        <v>843</v>
      </c>
      <c r="L2054" s="137" t="s">
        <v>841</v>
      </c>
      <c r="M205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5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54" s="138" t="str" cm="1">
        <f t="array" ref="O2054">IFERROR(INDEX(CategoriesTable[Category type],MATCH(Table1[[#This Row],[Category]],CategoriesTable[Category name],0),0),"")</f>
        <v/>
      </c>
      <c r="P2054" s="138">
        <v>22</v>
      </c>
      <c r="Q2054" s="138">
        <f>MONTH(Table1[[#This Row],[Date]])</f>
        <v>2</v>
      </c>
      <c r="R2054" s="138">
        <v>2020</v>
      </c>
      <c r="S2054" s="139">
        <f>IF(ISBLANK(Table1[[#This Row],[Date]]),"",Table1[[#This Row],[Date]]-WEEKDAY(Table1[[#This Row],[Date]],2)+1)</f>
        <v>43878</v>
      </c>
      <c r="T2054" s="140">
        <f>IF(ISBLANK(Table1[[#This Row],[Date]]),"",DATE(Table1[[#This Row],[Date_Year]],Table1[[#This Row],[Date_Month]],1))</f>
        <v>43862</v>
      </c>
    </row>
    <row r="2055" spans="2:20" ht="15.75">
      <c r="B2055" s="154">
        <v>43883</v>
      </c>
      <c r="C2055" s="119" t="s">
        <v>2271</v>
      </c>
      <c r="D2055" s="119"/>
      <c r="E2055" s="119"/>
      <c r="F2055" s="155">
        <v>-22.52</v>
      </c>
      <c r="G2055" s="133" t="str">
        <f>_xlfn.XLOOKUP(Table1[[#This Row],[Account_ID]], Accounts[ID], Accounts[Account nickname], "Unknown")</f>
        <v>Discover</v>
      </c>
      <c r="H2055" s="134" t="str">
        <f>_xlfn.XLOOKUP(Table1[[#This Row],[Account_ID]], Accounts[ID], Accounts[Account'#], "Unknown")</f>
        <v>4618</v>
      </c>
      <c r="I2055" s="135" t="str">
        <f>_xlfn.XLOOKUP(_xlfn.XLOOKUP(Table1[[#This Row],[Account]],Accounts[Account nickname],Accounts[Institution ID]),Institutions[ID],Institutions[Institution nickname],"Unknown")</f>
        <v>Discover</v>
      </c>
      <c r="J2055" s="136" t="s">
        <v>3364</v>
      </c>
      <c r="K2055" s="137" t="s">
        <v>843</v>
      </c>
      <c r="L2055" s="137" t="s">
        <v>841</v>
      </c>
      <c r="M205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5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55" s="138" t="str" cm="1">
        <f t="array" ref="O2055">IFERROR(INDEX(CategoriesTable[Category type],MATCH(Table1[[#This Row],[Category]],CategoriesTable[Category name],0),0),"")</f>
        <v/>
      </c>
      <c r="P2055" s="138">
        <v>22</v>
      </c>
      <c r="Q2055" s="138">
        <f>MONTH(Table1[[#This Row],[Date]])</f>
        <v>2</v>
      </c>
      <c r="R2055" s="138">
        <v>2020</v>
      </c>
      <c r="S2055" s="139">
        <f>IF(ISBLANK(Table1[[#This Row],[Date]]),"",Table1[[#This Row],[Date]]-WEEKDAY(Table1[[#This Row],[Date]],2)+1)</f>
        <v>43878</v>
      </c>
      <c r="T2055" s="140">
        <f>IF(ISBLANK(Table1[[#This Row],[Date]]),"",DATE(Table1[[#This Row],[Date_Year]],Table1[[#This Row],[Date_Month]],1))</f>
        <v>43862</v>
      </c>
    </row>
    <row r="2056" spans="2:20" ht="15.75">
      <c r="B2056" s="154">
        <v>43883</v>
      </c>
      <c r="C2056" s="119" t="s">
        <v>3362</v>
      </c>
      <c r="D2056" s="119"/>
      <c r="E2056" s="119"/>
      <c r="F2056" s="155">
        <v>-28.61</v>
      </c>
      <c r="G2056" s="133" t="str">
        <f>_xlfn.XLOOKUP(Table1[[#This Row],[Account_ID]], Accounts[ID], Accounts[Account nickname], "Unknown")</f>
        <v>Discover</v>
      </c>
      <c r="H2056" s="134" t="str">
        <f>_xlfn.XLOOKUP(Table1[[#This Row],[Account_ID]], Accounts[ID], Accounts[Account'#], "Unknown")</f>
        <v>4618</v>
      </c>
      <c r="I2056" s="135" t="str">
        <f>_xlfn.XLOOKUP(_xlfn.XLOOKUP(Table1[[#This Row],[Account]],Accounts[Account nickname],Accounts[Institution ID]),Institutions[ID],Institutions[Institution nickname],"Unknown")</f>
        <v>Discover</v>
      </c>
      <c r="J2056" s="136" t="s">
        <v>3363</v>
      </c>
      <c r="K2056" s="137" t="s">
        <v>843</v>
      </c>
      <c r="L2056" s="137" t="s">
        <v>841</v>
      </c>
      <c r="M205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5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56" s="138" t="str" cm="1">
        <f t="array" ref="O2056">IFERROR(INDEX(CategoriesTable[Category type],MATCH(Table1[[#This Row],[Category]],CategoriesTable[Category name],0),0),"")</f>
        <v/>
      </c>
      <c r="P2056" s="138">
        <v>22</v>
      </c>
      <c r="Q2056" s="138">
        <f>MONTH(Table1[[#This Row],[Date]])</f>
        <v>2</v>
      </c>
      <c r="R2056" s="138">
        <v>2020</v>
      </c>
      <c r="S2056" s="139">
        <f>IF(ISBLANK(Table1[[#This Row],[Date]]),"",Table1[[#This Row],[Date]]-WEEKDAY(Table1[[#This Row],[Date]],2)+1)</f>
        <v>43878</v>
      </c>
      <c r="T2056" s="140">
        <f>IF(ISBLANK(Table1[[#This Row],[Date]]),"",DATE(Table1[[#This Row],[Date_Year]],Table1[[#This Row],[Date_Month]],1))</f>
        <v>43862</v>
      </c>
    </row>
    <row r="2057" spans="2:20" ht="15.75">
      <c r="B2057" s="154">
        <v>43883</v>
      </c>
      <c r="C2057" s="119" t="s">
        <v>3359</v>
      </c>
      <c r="D2057" s="119"/>
      <c r="E2057" s="119"/>
      <c r="F2057" s="155">
        <v>-50.57</v>
      </c>
      <c r="G2057" s="133" t="str">
        <f>_xlfn.XLOOKUP(Table1[[#This Row],[Account_ID]], Accounts[ID], Accounts[Account nickname], "Unknown")</f>
        <v>Discover</v>
      </c>
      <c r="H2057" s="134" t="str">
        <f>_xlfn.XLOOKUP(Table1[[#This Row],[Account_ID]], Accounts[ID], Accounts[Account'#], "Unknown")</f>
        <v>4618</v>
      </c>
      <c r="I2057" s="135" t="str">
        <f>_xlfn.XLOOKUP(_xlfn.XLOOKUP(Table1[[#This Row],[Account]],Accounts[Account nickname],Accounts[Institution ID]),Institutions[ID],Institutions[Institution nickname],"Unknown")</f>
        <v>Discover</v>
      </c>
      <c r="J2057" s="136" t="s">
        <v>3360</v>
      </c>
      <c r="K2057" s="137" t="s">
        <v>843</v>
      </c>
      <c r="L2057" s="137" t="s">
        <v>841</v>
      </c>
      <c r="M2057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57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57" s="138" t="str" cm="1">
        <f t="array" ref="O2057">IFERROR(INDEX(CategoriesTable[Category type],MATCH(Table1[[#This Row],[Category]],CategoriesTable[Category name],0),0),"")</f>
        <v/>
      </c>
      <c r="P2057" s="138">
        <v>22</v>
      </c>
      <c r="Q2057" s="138">
        <f>MONTH(Table1[[#This Row],[Date]])</f>
        <v>2</v>
      </c>
      <c r="R2057" s="138">
        <v>2020</v>
      </c>
      <c r="S2057" s="139">
        <f>IF(ISBLANK(Table1[[#This Row],[Date]]),"",Table1[[#This Row],[Date]]-WEEKDAY(Table1[[#This Row],[Date]],2)+1)</f>
        <v>43878</v>
      </c>
      <c r="T2057" s="140">
        <f>IF(ISBLANK(Table1[[#This Row],[Date]]),"",DATE(Table1[[#This Row],[Date_Year]],Table1[[#This Row],[Date_Month]],1))</f>
        <v>43862</v>
      </c>
    </row>
    <row r="2058" spans="2:20" ht="15.75">
      <c r="B2058" s="154">
        <v>43882</v>
      </c>
      <c r="C2058" s="119" t="s">
        <v>718</v>
      </c>
      <c r="D2058" s="119"/>
      <c r="E2058" s="119"/>
      <c r="F2058" s="155">
        <v>-69.48</v>
      </c>
      <c r="G2058" s="133" t="str">
        <f>_xlfn.XLOOKUP(Table1[[#This Row],[Account_ID]], Accounts[ID], Accounts[Account nickname], "Unknown")</f>
        <v>Discover</v>
      </c>
      <c r="H2058" s="134" t="str">
        <f>_xlfn.XLOOKUP(Table1[[#This Row],[Account_ID]], Accounts[ID], Accounts[Account'#], "Unknown")</f>
        <v>4618</v>
      </c>
      <c r="I2058" s="135" t="str">
        <f>_xlfn.XLOOKUP(_xlfn.XLOOKUP(Table1[[#This Row],[Account]],Accounts[Account nickname],Accounts[Institution ID]),Institutions[ID],Institutions[Institution nickname],"Unknown")</f>
        <v>Discover</v>
      </c>
      <c r="J2058" s="136" t="s">
        <v>3365</v>
      </c>
      <c r="K2058" s="137" t="s">
        <v>843</v>
      </c>
      <c r="L2058" s="137" t="s">
        <v>841</v>
      </c>
      <c r="M2058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58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58" s="138" t="str" cm="1">
        <f t="array" ref="O2058">IFERROR(INDEX(CategoriesTable[Category type],MATCH(Table1[[#This Row],[Category]],CategoriesTable[Category name],0),0),"")</f>
        <v/>
      </c>
      <c r="P2058" s="138">
        <v>21</v>
      </c>
      <c r="Q2058" s="138">
        <f>MONTH(Table1[[#This Row],[Date]])</f>
        <v>2</v>
      </c>
      <c r="R2058" s="138">
        <v>2020</v>
      </c>
      <c r="S2058" s="139">
        <f>IF(ISBLANK(Table1[[#This Row],[Date]]),"",Table1[[#This Row],[Date]]-WEEKDAY(Table1[[#This Row],[Date]],2)+1)</f>
        <v>43878</v>
      </c>
      <c r="T2058" s="140">
        <f>IF(ISBLANK(Table1[[#This Row],[Date]]),"",DATE(Table1[[#This Row],[Date_Year]],Table1[[#This Row],[Date_Month]],1))</f>
        <v>43862</v>
      </c>
    </row>
    <row r="2059" spans="2:20" ht="15.75">
      <c r="B2059" s="154">
        <v>43878</v>
      </c>
      <c r="C2059" s="119" t="s">
        <v>2907</v>
      </c>
      <c r="D2059" s="119"/>
      <c r="E2059" s="119"/>
      <c r="F2059" s="155">
        <v>-1.4</v>
      </c>
      <c r="G2059" s="133" t="str">
        <f>_xlfn.XLOOKUP(Table1[[#This Row],[Account_ID]], Accounts[ID], Accounts[Account nickname], "Unknown")</f>
        <v>Discover</v>
      </c>
      <c r="H2059" s="134" t="str">
        <f>_xlfn.XLOOKUP(Table1[[#This Row],[Account_ID]], Accounts[ID], Accounts[Account'#], "Unknown")</f>
        <v>4618</v>
      </c>
      <c r="I2059" s="135" t="str">
        <f>_xlfn.XLOOKUP(_xlfn.XLOOKUP(Table1[[#This Row],[Account]],Accounts[Account nickname],Accounts[Institution ID]),Institutions[ID],Institutions[Institution nickname],"Unknown")</f>
        <v>Discover</v>
      </c>
      <c r="J2059" s="136" t="s">
        <v>3366</v>
      </c>
      <c r="K2059" s="137" t="s">
        <v>843</v>
      </c>
      <c r="L2059" s="137" t="s">
        <v>841</v>
      </c>
      <c r="M2059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59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59" s="138" t="str" cm="1">
        <f t="array" ref="O2059">IFERROR(INDEX(CategoriesTable[Category type],MATCH(Table1[[#This Row],[Category]],CategoriesTable[Category name],0),0),"")</f>
        <v/>
      </c>
      <c r="P2059" s="138">
        <v>17</v>
      </c>
      <c r="Q2059" s="138">
        <f>MONTH(Table1[[#This Row],[Date]])</f>
        <v>2</v>
      </c>
      <c r="R2059" s="138">
        <v>2020</v>
      </c>
      <c r="S2059" s="139">
        <f>IF(ISBLANK(Table1[[#This Row],[Date]]),"",Table1[[#This Row],[Date]]-WEEKDAY(Table1[[#This Row],[Date]],2)+1)</f>
        <v>43878</v>
      </c>
      <c r="T2059" s="140">
        <f>IF(ISBLANK(Table1[[#This Row],[Date]]),"",DATE(Table1[[#This Row],[Date_Year]],Table1[[#This Row],[Date_Month]],1))</f>
        <v>43862</v>
      </c>
    </row>
    <row r="2060" spans="2:20" ht="15.75">
      <c r="B2060" s="154">
        <v>43877</v>
      </c>
      <c r="C2060" s="119" t="s">
        <v>746</v>
      </c>
      <c r="D2060" s="119"/>
      <c r="E2060" s="119"/>
      <c r="F2060" s="155">
        <v>-51.56</v>
      </c>
      <c r="G2060" s="133" t="str">
        <f>_xlfn.XLOOKUP(Table1[[#This Row],[Account_ID]], Accounts[ID], Accounts[Account nickname], "Unknown")</f>
        <v>Discover</v>
      </c>
      <c r="H2060" s="134" t="str">
        <f>_xlfn.XLOOKUP(Table1[[#This Row],[Account_ID]], Accounts[ID], Accounts[Account'#], "Unknown")</f>
        <v>4618</v>
      </c>
      <c r="I2060" s="135" t="str">
        <f>_xlfn.XLOOKUP(_xlfn.XLOOKUP(Table1[[#This Row],[Account]],Accounts[Account nickname],Accounts[Institution ID]),Institutions[ID],Institutions[Institution nickname],"Unknown")</f>
        <v>Discover</v>
      </c>
      <c r="J2060" s="136" t="s">
        <v>3367</v>
      </c>
      <c r="K2060" s="137" t="s">
        <v>843</v>
      </c>
      <c r="L2060" s="137" t="s">
        <v>841</v>
      </c>
      <c r="M2060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60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60" s="138" t="str" cm="1">
        <f t="array" ref="O2060">IFERROR(INDEX(CategoriesTable[Category type],MATCH(Table1[[#This Row],[Category]],CategoriesTable[Category name],0),0),"")</f>
        <v/>
      </c>
      <c r="P2060" s="138">
        <v>16</v>
      </c>
      <c r="Q2060" s="138">
        <f>MONTH(Table1[[#This Row],[Date]])</f>
        <v>2</v>
      </c>
      <c r="R2060" s="138">
        <v>2020</v>
      </c>
      <c r="S2060" s="139">
        <f>IF(ISBLANK(Table1[[#This Row],[Date]]),"",Table1[[#This Row],[Date]]-WEEKDAY(Table1[[#This Row],[Date]],2)+1)</f>
        <v>43871</v>
      </c>
      <c r="T2060" s="140">
        <f>IF(ISBLANK(Table1[[#This Row],[Date]]),"",DATE(Table1[[#This Row],[Date_Year]],Table1[[#This Row],[Date_Month]],1))</f>
        <v>43862</v>
      </c>
    </row>
    <row r="2061" spans="2:20" ht="15.75">
      <c r="B2061" s="154">
        <v>43873</v>
      </c>
      <c r="C2061" s="119" t="s">
        <v>845</v>
      </c>
      <c r="D2061" s="119"/>
      <c r="E2061" s="119"/>
      <c r="F2061" s="155">
        <v>816.9</v>
      </c>
      <c r="G2061" s="133" t="str">
        <f>_xlfn.XLOOKUP(Table1[[#This Row],[Account_ID]], Accounts[ID], Accounts[Account nickname], "Unknown")</f>
        <v>Discover</v>
      </c>
      <c r="H2061" s="134" t="str">
        <f>_xlfn.XLOOKUP(Table1[[#This Row],[Account_ID]], Accounts[ID], Accounts[Account'#], "Unknown")</f>
        <v>4618</v>
      </c>
      <c r="I2061" s="135" t="str">
        <f>_xlfn.XLOOKUP(_xlfn.XLOOKUP(Table1[[#This Row],[Account]],Accounts[Account nickname],Accounts[Institution ID]),Institutions[ID],Institutions[Institution nickname],"Unknown")</f>
        <v>Discover</v>
      </c>
      <c r="J2061" s="136" t="s">
        <v>3368</v>
      </c>
      <c r="K2061" s="137" t="s">
        <v>843</v>
      </c>
      <c r="L2061" s="137" t="s">
        <v>841</v>
      </c>
      <c r="M2061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61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61" s="138" t="str" cm="1">
        <f t="array" ref="O2061">IFERROR(INDEX(CategoriesTable[Category type],MATCH(Table1[[#This Row],[Category]],CategoriesTable[Category name],0),0),"")</f>
        <v/>
      </c>
      <c r="P2061" s="138">
        <v>12</v>
      </c>
      <c r="Q2061" s="138">
        <f>MONTH(Table1[[#This Row],[Date]])</f>
        <v>2</v>
      </c>
      <c r="R2061" s="138">
        <v>2020</v>
      </c>
      <c r="S2061" s="139">
        <f>IF(ISBLANK(Table1[[#This Row],[Date]]),"",Table1[[#This Row],[Date]]-WEEKDAY(Table1[[#This Row],[Date]],2)+1)</f>
        <v>43871</v>
      </c>
      <c r="T2061" s="140">
        <f>IF(ISBLANK(Table1[[#This Row],[Date]]),"",DATE(Table1[[#This Row],[Date_Year]],Table1[[#This Row],[Date_Month]],1))</f>
        <v>43862</v>
      </c>
    </row>
    <row r="2062" spans="2:20" ht="15.75">
      <c r="B2062" s="154">
        <v>43854</v>
      </c>
      <c r="C2062" s="119" t="s">
        <v>3369</v>
      </c>
      <c r="D2062" s="119"/>
      <c r="E2062" s="119"/>
      <c r="F2062" s="155">
        <v>-23.63</v>
      </c>
      <c r="G2062" s="133" t="str">
        <f>_xlfn.XLOOKUP(Table1[[#This Row],[Account_ID]], Accounts[ID], Accounts[Account nickname], "Unknown")</f>
        <v>Discover</v>
      </c>
      <c r="H2062" s="134" t="str">
        <f>_xlfn.XLOOKUP(Table1[[#This Row],[Account_ID]], Accounts[ID], Accounts[Account'#], "Unknown")</f>
        <v>4618</v>
      </c>
      <c r="I2062" s="135" t="str">
        <f>_xlfn.XLOOKUP(_xlfn.XLOOKUP(Table1[[#This Row],[Account]],Accounts[Account nickname],Accounts[Institution ID]),Institutions[ID],Institutions[Institution nickname],"Unknown")</f>
        <v>Discover</v>
      </c>
      <c r="J2062" s="136" t="s">
        <v>3370</v>
      </c>
      <c r="K2062" s="137" t="s">
        <v>843</v>
      </c>
      <c r="L2062" s="137" t="s">
        <v>841</v>
      </c>
      <c r="M2062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62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62" s="138" t="str" cm="1">
        <f t="array" ref="O2062">IFERROR(INDEX(CategoriesTable[Category type],MATCH(Table1[[#This Row],[Category]],CategoriesTable[Category name],0),0),"")</f>
        <v/>
      </c>
      <c r="P2062" s="138">
        <v>24</v>
      </c>
      <c r="Q2062" s="138">
        <f>MONTH(Table1[[#This Row],[Date]])</f>
        <v>1</v>
      </c>
      <c r="R2062" s="138">
        <v>2020</v>
      </c>
      <c r="S2062" s="139">
        <f>IF(ISBLANK(Table1[[#This Row],[Date]]),"",Table1[[#This Row],[Date]]-WEEKDAY(Table1[[#This Row],[Date]],2)+1)</f>
        <v>43850</v>
      </c>
      <c r="T2062" s="140">
        <f>IF(ISBLANK(Table1[[#This Row],[Date]]),"",DATE(Table1[[#This Row],[Date_Year]],Table1[[#This Row],[Date_Month]],1))</f>
        <v>43831</v>
      </c>
    </row>
    <row r="2063" spans="2:20" ht="15.75">
      <c r="B2063" s="154">
        <v>43853</v>
      </c>
      <c r="C2063" s="119" t="s">
        <v>3371</v>
      </c>
      <c r="D2063" s="119"/>
      <c r="E2063" s="119"/>
      <c r="F2063" s="155">
        <v>-310.41000000000003</v>
      </c>
      <c r="G2063" s="133" t="str">
        <f>_xlfn.XLOOKUP(Table1[[#This Row],[Account_ID]], Accounts[ID], Accounts[Account nickname], "Unknown")</f>
        <v>Discover</v>
      </c>
      <c r="H2063" s="134" t="str">
        <f>_xlfn.XLOOKUP(Table1[[#This Row],[Account_ID]], Accounts[ID], Accounts[Account'#], "Unknown")</f>
        <v>4618</v>
      </c>
      <c r="I2063" s="135" t="str">
        <f>_xlfn.XLOOKUP(_xlfn.XLOOKUP(Table1[[#This Row],[Account]],Accounts[Account nickname],Accounts[Institution ID]),Institutions[ID],Institutions[Institution nickname],"Unknown")</f>
        <v>Discover</v>
      </c>
      <c r="J2063" s="136" t="s">
        <v>3372</v>
      </c>
      <c r="K2063" s="137" t="s">
        <v>843</v>
      </c>
      <c r="L2063" s="137" t="s">
        <v>841</v>
      </c>
      <c r="M2063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63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63" s="138" t="str" cm="1">
        <f t="array" ref="O2063">IFERROR(INDEX(CategoriesTable[Category type],MATCH(Table1[[#This Row],[Category]],CategoriesTable[Category name],0),0),"")</f>
        <v/>
      </c>
      <c r="P2063" s="138">
        <v>23</v>
      </c>
      <c r="Q2063" s="138">
        <f>MONTH(Table1[[#This Row],[Date]])</f>
        <v>1</v>
      </c>
      <c r="R2063" s="138">
        <v>2020</v>
      </c>
      <c r="S2063" s="139">
        <f>IF(ISBLANK(Table1[[#This Row],[Date]]),"",Table1[[#This Row],[Date]]-WEEKDAY(Table1[[#This Row],[Date]],2)+1)</f>
        <v>43850</v>
      </c>
      <c r="T2063" s="140">
        <f>IF(ISBLANK(Table1[[#This Row],[Date]]),"",DATE(Table1[[#This Row],[Date_Year]],Table1[[#This Row],[Date_Month]],1))</f>
        <v>43831</v>
      </c>
    </row>
    <row r="2064" spans="2:20" ht="15.75">
      <c r="B2064" s="154">
        <v>43851</v>
      </c>
      <c r="C2064" s="119" t="s">
        <v>845</v>
      </c>
      <c r="D2064" s="119"/>
      <c r="E2064" s="119"/>
      <c r="F2064" s="155">
        <v>189.87</v>
      </c>
      <c r="G2064" s="133" t="str">
        <f>_xlfn.XLOOKUP(Table1[[#This Row],[Account_ID]], Accounts[ID], Accounts[Account nickname], "Unknown")</f>
        <v>Discover</v>
      </c>
      <c r="H2064" s="134" t="str">
        <f>_xlfn.XLOOKUP(Table1[[#This Row],[Account_ID]], Accounts[ID], Accounts[Account'#], "Unknown")</f>
        <v>4618</v>
      </c>
      <c r="I2064" s="135" t="str">
        <f>_xlfn.XLOOKUP(_xlfn.XLOOKUP(Table1[[#This Row],[Account]],Accounts[Account nickname],Accounts[Institution ID]),Institutions[ID],Institutions[Institution nickname],"Unknown")</f>
        <v>Discover</v>
      </c>
      <c r="J2064" s="136" t="s">
        <v>3374</v>
      </c>
      <c r="K2064" s="137" t="s">
        <v>843</v>
      </c>
      <c r="L2064" s="137" t="s">
        <v>841</v>
      </c>
      <c r="M2064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64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64" s="138" t="str" cm="1">
        <f t="array" ref="O2064">IFERROR(INDEX(CategoriesTable[Category type],MATCH(Table1[[#This Row],[Category]],CategoriesTable[Category name],0),0),"")</f>
        <v/>
      </c>
      <c r="P2064" s="138">
        <v>21</v>
      </c>
      <c r="Q2064" s="138">
        <f>MONTH(Table1[[#This Row],[Date]])</f>
        <v>1</v>
      </c>
      <c r="R2064" s="138">
        <v>2020</v>
      </c>
      <c r="S2064" s="139">
        <f>IF(ISBLANK(Table1[[#This Row],[Date]]),"",Table1[[#This Row],[Date]]-WEEKDAY(Table1[[#This Row],[Date]],2)+1)</f>
        <v>43850</v>
      </c>
      <c r="T2064" s="140">
        <f>IF(ISBLANK(Table1[[#This Row],[Date]]),"",DATE(Table1[[#This Row],[Date_Year]],Table1[[#This Row],[Date_Month]],1))</f>
        <v>43831</v>
      </c>
    </row>
    <row r="2065" spans="2:20" ht="15.75">
      <c r="B2065" s="154">
        <v>43851</v>
      </c>
      <c r="C2065" s="119" t="s">
        <v>961</v>
      </c>
      <c r="D2065" s="119"/>
      <c r="E2065" s="119"/>
      <c r="F2065" s="155">
        <v>10.130000000000001</v>
      </c>
      <c r="G2065" s="133" t="str">
        <f>_xlfn.XLOOKUP(Table1[[#This Row],[Account_ID]], Accounts[ID], Accounts[Account nickname], "Unknown")</f>
        <v>Discover</v>
      </c>
      <c r="H2065" s="134" t="str">
        <f>_xlfn.XLOOKUP(Table1[[#This Row],[Account_ID]], Accounts[ID], Accounts[Account'#], "Unknown")</f>
        <v>4618</v>
      </c>
      <c r="I2065" s="135" t="str">
        <f>_xlfn.XLOOKUP(_xlfn.XLOOKUP(Table1[[#This Row],[Account]],Accounts[Account nickname],Accounts[Institution ID]),Institutions[ID],Institutions[Institution nickname],"Unknown")</f>
        <v>Discover</v>
      </c>
      <c r="J2065" s="136" t="s">
        <v>3373</v>
      </c>
      <c r="K2065" s="137" t="s">
        <v>843</v>
      </c>
      <c r="L2065" s="137" t="s">
        <v>841</v>
      </c>
      <c r="M2065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65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65" s="138" t="str" cm="1">
        <f t="array" ref="O2065">IFERROR(INDEX(CategoriesTable[Category type],MATCH(Table1[[#This Row],[Category]],CategoriesTable[Category name],0),0),"")</f>
        <v/>
      </c>
      <c r="P2065" s="138">
        <v>21</v>
      </c>
      <c r="Q2065" s="138">
        <f>MONTH(Table1[[#This Row],[Date]])</f>
        <v>1</v>
      </c>
      <c r="R2065" s="138">
        <v>2020</v>
      </c>
      <c r="S2065" s="139">
        <f>IF(ISBLANK(Table1[[#This Row],[Date]]),"",Table1[[#This Row],[Date]]-WEEKDAY(Table1[[#This Row],[Date]],2)+1)</f>
        <v>43850</v>
      </c>
      <c r="T2065" s="140">
        <f>IF(ISBLANK(Table1[[#This Row],[Date]]),"",DATE(Table1[[#This Row],[Date_Year]],Table1[[#This Row],[Date_Month]],1))</f>
        <v>43831</v>
      </c>
    </row>
    <row r="2066" spans="2:20" ht="15.75">
      <c r="B2066" s="153"/>
      <c r="C2066" s="119"/>
      <c r="D2066" s="119"/>
      <c r="E2066" s="119"/>
      <c r="F2066" s="155"/>
      <c r="G2066" s="133" t="str">
        <f>_xlfn.XLOOKUP(Table1[[#This Row],[Account_ID]], Accounts[ID], Accounts[Account nickname], "Unknown")</f>
        <v>Unknown</v>
      </c>
      <c r="H2066" s="134" t="str">
        <f>_xlfn.XLOOKUP(Table1[[#This Row],[Account_ID]], Accounts[ID], Accounts[Account'#], "Unknown")</f>
        <v>Unknown</v>
      </c>
      <c r="I2066" s="135" t="e">
        <f>_xlfn.XLOOKUP(_xlfn.XLOOKUP(Table1[[#This Row],[Account]],Accounts[Account nickname],Accounts[Institution ID]),Institutions[ID],Institutions[Institution nickname],"Unknown")</f>
        <v>#N/A</v>
      </c>
      <c r="J2066" s="136" t="s">
        <v>806</v>
      </c>
      <c r="K2066" s="167"/>
      <c r="L2066" s="137"/>
      <c r="M2066" s="145" t="str">
        <f>IF(NOT(_xlfn.XLOOKUP(Table1[[#This Row],[Category]],CategoriesTable[Category name],CategoriesTable[ID])=0),_xlfn.XLOOKUP(Table1[[#This Row],[Category]],CategoriesTable[Category name],CategoriesTable[ID]),_xlfn.XLOOKUP("Uncategorized",CategoriesTable[Category name],CategoriesTable[ID]))</f>
        <v>e0bb920d647a52cd84280e8c3044ff66</v>
      </c>
      <c r="N2066" s="145" t="str">
        <f>IF(AND(NOT(ISBLANK(Table1[[#This Row],[Subcategory]])),NOT(_xlfn.XLOOKUP(Table1[[#This Row],[Subcategory]],SubcategoriesTable[Subcategory name],SubcategoriesTable[ID])=0)),_xlfn.XLOOKUP(Table1[[#This Row],[Subcategory]],SubcategoriesTable[Subcategory name],SubcategoriesTable[ID]),"")</f>
        <v/>
      </c>
      <c r="O2066" s="138" t="str" cm="1">
        <f t="array" ref="O2066">IFERROR(INDEX(CategoriesTable[Category type],MATCH(Table1[[#This Row],[Category]],CategoriesTable[Category name],0),0),"")</f>
        <v/>
      </c>
      <c r="P2066" s="138"/>
      <c r="Q2066" s="138">
        <f>MONTH(Table1[[#This Row],[Date]])</f>
        <v>1</v>
      </c>
      <c r="R2066" s="138"/>
      <c r="S2066" s="139" t="str">
        <f>IF(ISBLANK(Table1[[#This Row],[Date]]),"",Table1[[#This Row],[Date]]-WEEKDAY(Table1[[#This Row],[Date]],2)+1)</f>
        <v/>
      </c>
      <c r="T2066" s="140" t="str">
        <f>IF(ISBLANK(Table1[[#This Row],[Date]]),"",DATE(Table1[[#This Row],[Date_Year]],Table1[[#This Row],[Date_Month]],1))</f>
        <v/>
      </c>
    </row>
    <row r="2067" spans="2:20" ht="15.75">
      <c r="B2067" s="112"/>
      <c r="C2067" s="113"/>
      <c r="D2067" s="113"/>
      <c r="E2067" s="114"/>
      <c r="G2067" s="97"/>
      <c r="H2067" s="97"/>
      <c r="I2067" s="97"/>
      <c r="J2067" s="115"/>
      <c r="K2067" s="115"/>
      <c r="L2067" s="115" t="str" cm="1">
        <f t="array" ref="L2067">IFERROR(INDEX(#REF!,MATCH(Table1[[#This Row],[Category]],#REF!,0),0),"")</f>
        <v/>
      </c>
      <c r="M2067" s="115"/>
      <c r="N2067" s="115"/>
      <c r="O2067" s="115"/>
      <c r="P2067" s="116"/>
      <c r="Q2067" s="117"/>
    </row>
  </sheetData>
  <sheetProtection formatCells="0" formatColumns="0" formatRows="0" insertColumns="0" insertRows="0" deleteColumns="0" sort="0" autoFilter="0"/>
  <mergeCells count="2">
    <mergeCell ref="B2:H2"/>
    <mergeCell ref="B3:H3"/>
  </mergeCells>
  <conditionalFormatting sqref="F7:F2066">
    <cfRule type="expression" dxfId="97" priority="87">
      <formula>$F7&gt;0</formula>
    </cfRule>
  </conditionalFormatting>
  <conditionalFormatting sqref="E65:E68 E70:E76 E90:E91 E96 E98:E103 E105 E107 E115:E121 E123:E125 E127:E138 E140:E143 E145:E173 E186:E2066 E175:E184 E78 E81 E85 E87:E88 E109:E113">
    <cfRule type="expression" dxfId="96" priority="88">
      <formula>AND(NOT(ISNUMBER(MATCH(E65,SubcategoryNames,0))), NOT(ISBLANK(E65)))</formula>
    </cfRule>
  </conditionalFormatting>
  <conditionalFormatting sqref="D65:D68 D90:D91 D96 D98:D103 D105 D107 D115:D121 D123:D125 D127:D133 D145:D152 D186 D140:D143 D70:D76 D78 D81 D85 D87:D88 D109:D113 D175:D176 D135:D136 D154:D155 D158 D167:D173 D178:D182 D184 D189 D191:D195 D197:D2066 D160 D162:D165">
    <cfRule type="containsBlanks" dxfId="95" priority="79" stopIfTrue="1">
      <formula>LEN(TRIM(D65))=0</formula>
    </cfRule>
    <cfRule type="expression" dxfId="94" priority="89">
      <formula>NOT(ISNUMBER(MATCH(D65,HiddenCategoriesCategoryNames,0)))</formula>
    </cfRule>
  </conditionalFormatting>
  <conditionalFormatting sqref="E69">
    <cfRule type="expression" dxfId="93" priority="77">
      <formula>AND(NOT(ISNUMBER(MATCH(E69,SubcategoryNames,0))), NOT(ISBLANK(E69)))</formula>
    </cfRule>
  </conditionalFormatting>
  <conditionalFormatting sqref="D69">
    <cfRule type="containsBlanks" dxfId="92" priority="76" stopIfTrue="1">
      <formula>LEN(TRIM(D69))=0</formula>
    </cfRule>
    <cfRule type="expression" dxfId="91" priority="78">
      <formula>NOT(ISNUMBER(MATCH(D69,HiddenCategoriesCategoryNames,0)))</formula>
    </cfRule>
  </conditionalFormatting>
  <conditionalFormatting sqref="E89">
    <cfRule type="expression" dxfId="90" priority="74">
      <formula>AND(NOT(ISNUMBER(MATCH(E89,SubcategoryNames,0))), NOT(ISBLANK(E89)))</formula>
    </cfRule>
  </conditionalFormatting>
  <conditionalFormatting sqref="D89">
    <cfRule type="containsBlanks" dxfId="89" priority="73" stopIfTrue="1">
      <formula>LEN(TRIM(D89))=0</formula>
    </cfRule>
    <cfRule type="expression" dxfId="88" priority="75">
      <formula>NOT(ISNUMBER(MATCH(D89,HiddenCategoriesCategoryNames,0)))</formula>
    </cfRule>
  </conditionalFormatting>
  <conditionalFormatting sqref="E93">
    <cfRule type="expression" dxfId="87" priority="71">
      <formula>AND(NOT(ISNUMBER(MATCH(E93,SubcategoryNames,0))), NOT(ISBLANK(E93)))</formula>
    </cfRule>
  </conditionalFormatting>
  <conditionalFormatting sqref="D93">
    <cfRule type="containsBlanks" dxfId="86" priority="70" stopIfTrue="1">
      <formula>LEN(TRIM(D93))=0</formula>
    </cfRule>
    <cfRule type="expression" dxfId="85" priority="72">
      <formula>NOT(ISNUMBER(MATCH(D93,HiddenCategoriesCategoryNames,0)))</formula>
    </cfRule>
  </conditionalFormatting>
  <conditionalFormatting sqref="E97">
    <cfRule type="expression" dxfId="84" priority="68">
      <formula>AND(NOT(ISNUMBER(MATCH(E97,SubcategoryNames,0))), NOT(ISBLANK(E97)))</formula>
    </cfRule>
  </conditionalFormatting>
  <conditionalFormatting sqref="D97">
    <cfRule type="containsBlanks" dxfId="83" priority="67" stopIfTrue="1">
      <formula>LEN(TRIM(D97))=0</formula>
    </cfRule>
    <cfRule type="expression" dxfId="82" priority="69">
      <formula>NOT(ISNUMBER(MATCH(D97,HiddenCategoriesCategoryNames,0)))</formula>
    </cfRule>
  </conditionalFormatting>
  <conditionalFormatting sqref="E104">
    <cfRule type="expression" dxfId="81" priority="65">
      <formula>AND(NOT(ISNUMBER(MATCH(E104,SubcategoryNames,0))), NOT(ISBLANK(E104)))</formula>
    </cfRule>
  </conditionalFormatting>
  <conditionalFormatting sqref="D104">
    <cfRule type="containsBlanks" dxfId="80" priority="64" stopIfTrue="1">
      <formula>LEN(TRIM(D104))=0</formula>
    </cfRule>
    <cfRule type="expression" dxfId="79" priority="66">
      <formula>NOT(ISNUMBER(MATCH(D104,HiddenCategoriesCategoryNames,0)))</formula>
    </cfRule>
  </conditionalFormatting>
  <conditionalFormatting sqref="E106">
    <cfRule type="expression" dxfId="78" priority="62">
      <formula>AND(NOT(ISNUMBER(MATCH(E106,SubcategoryNames,0))), NOT(ISBLANK(E106)))</formula>
    </cfRule>
  </conditionalFormatting>
  <conditionalFormatting sqref="D106">
    <cfRule type="containsBlanks" dxfId="77" priority="61" stopIfTrue="1">
      <formula>LEN(TRIM(D106))=0</formula>
    </cfRule>
    <cfRule type="expression" dxfId="76" priority="63">
      <formula>NOT(ISNUMBER(MATCH(D106,HiddenCategoriesCategoryNames,0)))</formula>
    </cfRule>
  </conditionalFormatting>
  <conditionalFormatting sqref="E114">
    <cfRule type="expression" dxfId="75" priority="59">
      <formula>AND(NOT(ISNUMBER(MATCH(E114,SubcategoryNames,0))), NOT(ISBLANK(E114)))</formula>
    </cfRule>
  </conditionalFormatting>
  <conditionalFormatting sqref="D114">
    <cfRule type="containsBlanks" dxfId="74" priority="58" stopIfTrue="1">
      <formula>LEN(TRIM(D114))=0</formula>
    </cfRule>
    <cfRule type="expression" dxfId="73" priority="60">
      <formula>NOT(ISNUMBER(MATCH(D114,HiddenCategoriesCategoryNames,0)))</formula>
    </cfRule>
  </conditionalFormatting>
  <conditionalFormatting sqref="E122">
    <cfRule type="expression" dxfId="72" priority="56">
      <formula>AND(NOT(ISNUMBER(MATCH(E122,SubcategoryNames,0))), NOT(ISBLANK(E122)))</formula>
    </cfRule>
  </conditionalFormatting>
  <conditionalFormatting sqref="D122">
    <cfRule type="containsBlanks" dxfId="71" priority="55" stopIfTrue="1">
      <formula>LEN(TRIM(D122))=0</formula>
    </cfRule>
    <cfRule type="expression" dxfId="70" priority="57">
      <formula>NOT(ISNUMBER(MATCH(D122,HiddenCategoriesCategoryNames,0)))</formula>
    </cfRule>
  </conditionalFormatting>
  <conditionalFormatting sqref="E126">
    <cfRule type="expression" dxfId="69" priority="53">
      <formula>AND(NOT(ISNUMBER(MATCH(E126,SubcategoryNames,0))), NOT(ISBLANK(E126)))</formula>
    </cfRule>
  </conditionalFormatting>
  <conditionalFormatting sqref="E139">
    <cfRule type="expression" dxfId="68" priority="50">
      <formula>AND(NOT(ISNUMBER(MATCH(E139,SubcategoryNames,0))), NOT(ISBLANK(E139)))</formula>
    </cfRule>
  </conditionalFormatting>
  <conditionalFormatting sqref="D139">
    <cfRule type="containsBlanks" dxfId="67" priority="49" stopIfTrue="1">
      <formula>LEN(TRIM(D139))=0</formula>
    </cfRule>
    <cfRule type="expression" dxfId="66" priority="51">
      <formula>NOT(ISNUMBER(MATCH(D139,HiddenCategoriesCategoryNames,0)))</formula>
    </cfRule>
  </conditionalFormatting>
  <conditionalFormatting sqref="E144">
    <cfRule type="expression" dxfId="65" priority="47">
      <formula>AND(NOT(ISNUMBER(MATCH(E144,SubcategoryNames,0))), NOT(ISBLANK(E144)))</formula>
    </cfRule>
  </conditionalFormatting>
  <conditionalFormatting sqref="E185">
    <cfRule type="expression" dxfId="64" priority="44">
      <formula>AND(NOT(ISNUMBER(MATCH(E185,SubcategoryNames,0))), NOT(ISBLANK(E185)))</formula>
    </cfRule>
  </conditionalFormatting>
  <conditionalFormatting sqref="E174">
    <cfRule type="expression" dxfId="63" priority="41">
      <formula>AND(NOT(ISNUMBER(MATCH(E174,SubcategoryNames,0))), NOT(ISBLANK(E174)))</formula>
    </cfRule>
  </conditionalFormatting>
  <conditionalFormatting sqref="E77">
    <cfRule type="expression" dxfId="62" priority="38">
      <formula>AND(NOT(ISNUMBER(MATCH(E77,SubcategoryNames,0))), NOT(ISBLANK(E77)))</formula>
    </cfRule>
  </conditionalFormatting>
  <conditionalFormatting sqref="D77">
    <cfRule type="containsBlanks" dxfId="61" priority="37" stopIfTrue="1">
      <formula>LEN(TRIM(D77))=0</formula>
    </cfRule>
    <cfRule type="expression" dxfId="60" priority="39">
      <formula>NOT(ISNUMBER(MATCH(D77,HiddenCategoriesCategoryNames,0)))</formula>
    </cfRule>
  </conditionalFormatting>
  <conditionalFormatting sqref="E79">
    <cfRule type="expression" dxfId="59" priority="35">
      <formula>AND(NOT(ISNUMBER(MATCH(E79,SubcategoryNames,0))), NOT(ISBLANK(E79)))</formula>
    </cfRule>
  </conditionalFormatting>
  <conditionalFormatting sqref="D79">
    <cfRule type="containsBlanks" dxfId="58" priority="34" stopIfTrue="1">
      <formula>LEN(TRIM(D79))=0</formula>
    </cfRule>
    <cfRule type="expression" dxfId="57" priority="36">
      <formula>NOT(ISNUMBER(MATCH(D79,HiddenCategoriesCategoryNames,0)))</formula>
    </cfRule>
  </conditionalFormatting>
  <conditionalFormatting sqref="E80">
    <cfRule type="expression" dxfId="56" priority="32">
      <formula>AND(NOT(ISNUMBER(MATCH(E80,SubcategoryNames,0))), NOT(ISBLANK(E80)))</formula>
    </cfRule>
  </conditionalFormatting>
  <conditionalFormatting sqref="D80">
    <cfRule type="containsBlanks" dxfId="55" priority="31" stopIfTrue="1">
      <formula>LEN(TRIM(D80))=0</formula>
    </cfRule>
    <cfRule type="expression" dxfId="54" priority="33">
      <formula>NOT(ISNUMBER(MATCH(D80,HiddenCategoriesCategoryNames,0)))</formula>
    </cfRule>
  </conditionalFormatting>
  <conditionalFormatting sqref="E82">
    <cfRule type="expression" dxfId="53" priority="29">
      <formula>AND(NOT(ISNUMBER(MATCH(E82,SubcategoryNames,0))), NOT(ISBLANK(E82)))</formula>
    </cfRule>
  </conditionalFormatting>
  <conditionalFormatting sqref="D82">
    <cfRule type="containsBlanks" dxfId="52" priority="28" stopIfTrue="1">
      <formula>LEN(TRIM(D82))=0</formula>
    </cfRule>
    <cfRule type="expression" dxfId="51" priority="30">
      <formula>NOT(ISNUMBER(MATCH(D82,HiddenCategoriesCategoryNames,0)))</formula>
    </cfRule>
  </conditionalFormatting>
  <conditionalFormatting sqref="E83">
    <cfRule type="expression" dxfId="50" priority="26">
      <formula>AND(NOT(ISNUMBER(MATCH(E83,SubcategoryNames,0))), NOT(ISBLANK(E83)))</formula>
    </cfRule>
  </conditionalFormatting>
  <conditionalFormatting sqref="D83">
    <cfRule type="containsBlanks" dxfId="49" priority="25" stopIfTrue="1">
      <formula>LEN(TRIM(D83))=0</formula>
    </cfRule>
    <cfRule type="expression" dxfId="48" priority="27">
      <formula>NOT(ISNUMBER(MATCH(D83,HiddenCategoriesCategoryNames,0)))</formula>
    </cfRule>
  </conditionalFormatting>
  <conditionalFormatting sqref="E84">
    <cfRule type="expression" dxfId="47" priority="23">
      <formula>AND(NOT(ISNUMBER(MATCH(E84,SubcategoryNames,0))), NOT(ISBLANK(E84)))</formula>
    </cfRule>
  </conditionalFormatting>
  <conditionalFormatting sqref="D84">
    <cfRule type="containsBlanks" dxfId="46" priority="22" stopIfTrue="1">
      <formula>LEN(TRIM(D84))=0</formula>
    </cfRule>
    <cfRule type="expression" dxfId="45" priority="24">
      <formula>NOT(ISNUMBER(MATCH(D84,HiddenCategoriesCategoryNames,0)))</formula>
    </cfRule>
  </conditionalFormatting>
  <conditionalFormatting sqref="E86">
    <cfRule type="expression" dxfId="44" priority="20">
      <formula>AND(NOT(ISNUMBER(MATCH(E86,SubcategoryNames,0))), NOT(ISBLANK(E86)))</formula>
    </cfRule>
  </conditionalFormatting>
  <conditionalFormatting sqref="D86">
    <cfRule type="containsBlanks" dxfId="43" priority="19" stopIfTrue="1">
      <formula>LEN(TRIM(D86))=0</formula>
    </cfRule>
    <cfRule type="expression" dxfId="42" priority="21">
      <formula>NOT(ISNUMBER(MATCH(D86,HiddenCategoriesCategoryNames,0)))</formula>
    </cfRule>
  </conditionalFormatting>
  <conditionalFormatting sqref="E92">
    <cfRule type="expression" dxfId="41" priority="17">
      <formula>AND(NOT(ISNUMBER(MATCH(E92,SubcategoryNames,0))), NOT(ISBLANK(E92)))</formula>
    </cfRule>
  </conditionalFormatting>
  <conditionalFormatting sqref="D92">
    <cfRule type="containsBlanks" dxfId="40" priority="16" stopIfTrue="1">
      <formula>LEN(TRIM(D92))=0</formula>
    </cfRule>
    <cfRule type="expression" dxfId="39" priority="18">
      <formula>NOT(ISNUMBER(MATCH(D92,HiddenCategoriesCategoryNames,0)))</formula>
    </cfRule>
  </conditionalFormatting>
  <conditionalFormatting sqref="E94">
    <cfRule type="expression" dxfId="38" priority="14">
      <formula>AND(NOT(ISNUMBER(MATCH(E94,SubcategoryNames,0))), NOT(ISBLANK(E94)))</formula>
    </cfRule>
  </conditionalFormatting>
  <conditionalFormatting sqref="D94">
    <cfRule type="containsBlanks" dxfId="37" priority="13" stopIfTrue="1">
      <formula>LEN(TRIM(D94))=0</formula>
    </cfRule>
    <cfRule type="expression" dxfId="36" priority="15">
      <formula>NOT(ISNUMBER(MATCH(D94,HiddenCategoriesCategoryNames,0)))</formula>
    </cfRule>
  </conditionalFormatting>
  <conditionalFormatting sqref="E95">
    <cfRule type="expression" dxfId="35" priority="11">
      <formula>AND(NOT(ISNUMBER(MATCH(E95,SubcategoryNames,0))), NOT(ISBLANK(E95)))</formula>
    </cfRule>
  </conditionalFormatting>
  <conditionalFormatting sqref="D95">
    <cfRule type="containsBlanks" dxfId="34" priority="10" stopIfTrue="1">
      <formula>LEN(TRIM(D95))=0</formula>
    </cfRule>
    <cfRule type="expression" dxfId="33" priority="12">
      <formula>NOT(ISNUMBER(MATCH(D95,HiddenCategoriesCategoryNames,0)))</formula>
    </cfRule>
  </conditionalFormatting>
  <conditionalFormatting sqref="E108">
    <cfRule type="expression" dxfId="32" priority="8">
      <formula>AND(NOT(ISNUMBER(MATCH(E108,SubcategoryNames,0))), NOT(ISBLANK(E108)))</formula>
    </cfRule>
  </conditionalFormatting>
  <conditionalFormatting sqref="D108">
    <cfRule type="containsBlanks" dxfId="31" priority="7" stopIfTrue="1">
      <formula>LEN(TRIM(D108))=0</formula>
    </cfRule>
    <cfRule type="expression" dxfId="30" priority="9">
      <formula>NOT(ISNUMBER(MATCH(D108,HiddenCategoriesCategoryNames,0)))</formula>
    </cfRule>
  </conditionalFormatting>
  <conditionalFormatting sqref="D196 D190 D187:D188 D185 D183 D177 D174 D166 D156:D157 D153 D144 D138 D134 D126">
    <cfRule type="containsBlanks" dxfId="29" priority="5" stopIfTrue="1">
      <formula>LEN(TRIM(D126))=0</formula>
    </cfRule>
    <cfRule type="expression" dxfId="28" priority="6">
      <formula>NOT(ISNUMBER(MATCH(D126,HiddenCategoriesCategoryNames,0)))</formula>
    </cfRule>
  </conditionalFormatting>
  <conditionalFormatting sqref="D137">
    <cfRule type="containsBlanks" dxfId="27" priority="3" stopIfTrue="1">
      <formula>LEN(TRIM(D137))=0</formula>
    </cfRule>
    <cfRule type="expression" dxfId="26" priority="4">
      <formula>NOT(ISNUMBER(MATCH(D137,HiddenCategoriesCategoryNames,0)))</formula>
    </cfRule>
  </conditionalFormatting>
  <conditionalFormatting sqref="D161 D159">
    <cfRule type="containsBlanks" dxfId="25" priority="1" stopIfTrue="1">
      <formula>LEN(TRIM(D159))=0</formula>
    </cfRule>
    <cfRule type="expression" dxfId="24" priority="2">
      <formula>NOT(ISNUMBER(MATCH(D159,HiddenCategoriesCategoryNames,0)))</formula>
    </cfRule>
  </conditionalFormatting>
  <dataValidations count="6">
    <dataValidation allowBlank="1" showInputMessage="1" showErrorMessage="1" promptTitle="&quot;Category Filter&quot; Slicer" prompt="Choose categories in slicer to filter the Transactions table below" sqref="F1" xr:uid="{3EFD49C3-B456-4339-B033-286684B3D63C}"/>
    <dataValidation allowBlank="1" showInputMessage="1" showErrorMessage="1" promptTitle="&quot;Month Filter&quot; Slicer" prompt="Choose months in slicer to filter the Transactions table below_x000a_" sqref="H1" xr:uid="{8AA570C5-8547-4A71-8812-4BC4C7C5D75F}"/>
    <dataValidation type="list" allowBlank="1" showInputMessage="1" showErrorMessage="1" sqref="D7:D2066" xr:uid="{B5EF1D71-7A32-4811-8870-EED801877F12}">
      <formula1>HiddenCategoriesCategoryNames</formula1>
    </dataValidation>
    <dataValidation type="list" allowBlank="1" showInputMessage="1" showErrorMessage="1" sqref="G7:G2066" xr:uid="{8DD52E6C-C784-4583-B424-10C5F2047391}">
      <formula1>INDIRECT("Accounts[Account nickname]")</formula1>
    </dataValidation>
    <dataValidation allowBlank="1" showErrorMessage="1" sqref="A1:A1048576" xr:uid="{5F77A286-CAED-734F-B0B2-DA1607CCC19A}"/>
    <dataValidation type="list" allowBlank="1" showInputMessage="1" showErrorMessage="1" sqref="E7:E2066" xr:uid="{793AD389-FA8A-4A42-BE27-23607617FF68}">
      <formula1>OFFSET(HiddenCategoriesCategoryNames,MATCH(D7,HiddenCategoriesCategoryNames,0)-1,1,1,COUNTA(OFFSET(HiddenCategoriesCategoryNames,MATCH(D7,HiddenCategoriesCategoryNames,0)-1,1,1,100)))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5="http://schemas.microsoft.com/office/spreadsheetml/2010/11/main" uri="{F7C9EE02-42E1-4005-9D12-6889AFFD525C}">
      <x15:webExtensions xmlns:xm="http://schemas.microsoft.com/office/excel/2006/main">
        <x15:webExtension appRef="{6D445C20-6454-40EE-9973-8EC62192A72C}">
          <xm:f>Transactions!$D$6:$D$2066</xm:f>
        </x15:webExtension>
      </x15:webExtens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C85CD-1FD7-F14B-83D1-B61B8BB356B1}">
  <dimension ref="B1:N273"/>
  <sheetViews>
    <sheetView showGridLines="0" topLeftCell="A34" zoomScale="85" zoomScaleNormal="85" workbookViewId="0">
      <selection activeCell="D69" sqref="D69"/>
    </sheetView>
  </sheetViews>
  <sheetFormatPr defaultColWidth="11.42578125" defaultRowHeight="15"/>
  <cols>
    <col min="1" max="1" width="3.42578125" customWidth="1"/>
    <col min="2" max="2" width="33.42578125" hidden="1" customWidth="1"/>
    <col min="3" max="4" width="33.42578125" customWidth="1"/>
    <col min="5" max="5" width="10.85546875" hidden="1" customWidth="1"/>
    <col min="6" max="6" width="7.42578125" customWidth="1"/>
    <col min="7" max="7" width="33.7109375" hidden="1" customWidth="1"/>
    <col min="8" max="9" width="33.7109375" customWidth="1"/>
    <col min="10" max="10" width="11.42578125" hidden="1" customWidth="1"/>
    <col min="11" max="13" width="11.42578125" bestFit="1" customWidth="1"/>
  </cols>
  <sheetData>
    <row r="1" spans="2:14" ht="8.1" customHeight="1">
      <c r="B1" s="127"/>
      <c r="C1" s="128"/>
      <c r="D1" s="128"/>
      <c r="E1" s="128"/>
      <c r="F1" s="128"/>
      <c r="G1" s="128"/>
      <c r="H1" s="128"/>
      <c r="I1" s="128"/>
      <c r="J1" s="128"/>
      <c r="K1" s="127"/>
      <c r="L1" s="127"/>
      <c r="M1" s="127"/>
      <c r="N1" s="127"/>
    </row>
    <row r="2" spans="2:14" ht="40.35" customHeight="1">
      <c r="B2" s="234" t="s">
        <v>48</v>
      </c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127"/>
    </row>
    <row r="3" spans="2:14" ht="53.1" customHeight="1" thickBot="1">
      <c r="B3" s="127"/>
      <c r="C3" s="235" t="s">
        <v>49</v>
      </c>
      <c r="D3" s="235"/>
      <c r="E3" s="235"/>
      <c r="F3" s="235"/>
      <c r="G3" s="235"/>
      <c r="H3" s="235"/>
      <c r="I3" s="235"/>
      <c r="J3" s="235"/>
      <c r="K3" s="127"/>
      <c r="L3" s="127"/>
      <c r="M3" s="127"/>
      <c r="N3" s="127"/>
    </row>
    <row r="4" spans="2:14"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</row>
    <row r="5" spans="2:14" ht="23.1" customHeight="1">
      <c r="B5" s="127"/>
      <c r="C5" s="236" t="s">
        <v>48</v>
      </c>
      <c r="D5" s="236"/>
      <c r="E5" s="127"/>
      <c r="F5" s="127"/>
      <c r="G5" s="127"/>
      <c r="H5" s="236" t="s">
        <v>50</v>
      </c>
      <c r="I5" s="236"/>
      <c r="J5" s="127"/>
      <c r="K5" s="127"/>
      <c r="L5" s="127"/>
      <c r="M5" s="127"/>
      <c r="N5" s="127"/>
    </row>
    <row r="6" spans="2:14" ht="42.95" customHeight="1">
      <c r="B6" s="127"/>
      <c r="C6" s="237" t="s">
        <v>51</v>
      </c>
      <c r="D6" s="237"/>
      <c r="E6" s="127"/>
      <c r="F6" s="127"/>
      <c r="G6" s="127"/>
      <c r="H6" s="237" t="s">
        <v>52</v>
      </c>
      <c r="I6" s="237"/>
      <c r="J6" s="127"/>
      <c r="K6" s="127"/>
      <c r="L6" s="127"/>
      <c r="M6" s="127"/>
      <c r="N6" s="127"/>
    </row>
    <row r="7" spans="2:14" ht="21.95" customHeight="1">
      <c r="B7" s="129" t="s">
        <v>53</v>
      </c>
      <c r="C7" s="130" t="s">
        <v>54</v>
      </c>
      <c r="D7" s="131" t="s">
        <v>55</v>
      </c>
      <c r="E7" s="129" t="s">
        <v>56</v>
      </c>
      <c r="F7" s="127"/>
      <c r="G7" s="129" t="s">
        <v>53</v>
      </c>
      <c r="H7" s="130" t="s">
        <v>54</v>
      </c>
      <c r="I7" s="131" t="s">
        <v>57</v>
      </c>
      <c r="J7" s="129" t="s">
        <v>58</v>
      </c>
      <c r="K7" s="127"/>
      <c r="L7" s="127"/>
      <c r="M7" s="127"/>
      <c r="N7" s="127"/>
    </row>
    <row r="8" spans="2:14">
      <c r="B8" s="142" t="s">
        <v>79</v>
      </c>
      <c r="C8" s="143" t="s">
        <v>75</v>
      </c>
      <c r="D8" s="144" t="s">
        <v>73</v>
      </c>
      <c r="E8" s="142" t="b">
        <v>1</v>
      </c>
      <c r="F8" s="127"/>
      <c r="G8" s="129" t="s">
        <v>432</v>
      </c>
      <c r="H8" s="150" t="s">
        <v>89</v>
      </c>
      <c r="I8" s="131" t="s">
        <v>132</v>
      </c>
      <c r="J8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0613345f0a8b4edfb294d0fdc6fe7382</v>
      </c>
      <c r="K8" s="127"/>
      <c r="L8" s="127"/>
      <c r="M8" s="127"/>
      <c r="N8" s="150" t="s">
        <v>89</v>
      </c>
    </row>
    <row r="9" spans="2:14">
      <c r="B9" s="142" t="s">
        <v>74</v>
      </c>
      <c r="C9" s="143" t="s">
        <v>77</v>
      </c>
      <c r="D9" s="144" t="s">
        <v>73</v>
      </c>
      <c r="E9" s="142" t="b">
        <v>1</v>
      </c>
      <c r="F9" s="127"/>
      <c r="G9" s="129" t="s">
        <v>433</v>
      </c>
      <c r="H9" s="151" t="s">
        <v>89</v>
      </c>
      <c r="I9" s="131" t="s">
        <v>115</v>
      </c>
      <c r="J9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0613345f0a8b4edfb294d0fdc6fe7382</v>
      </c>
      <c r="K9" s="127"/>
      <c r="L9" s="127"/>
      <c r="M9" s="127"/>
      <c r="N9" s="151" t="s">
        <v>89</v>
      </c>
    </row>
    <row r="10" spans="2:14">
      <c r="B10" s="142" t="s">
        <v>84</v>
      </c>
      <c r="C10" s="143" t="s">
        <v>80</v>
      </c>
      <c r="D10" s="144" t="s">
        <v>73</v>
      </c>
      <c r="E10" s="142" t="b">
        <v>1</v>
      </c>
      <c r="F10" s="127"/>
      <c r="G10" s="129" t="s">
        <v>434</v>
      </c>
      <c r="H10" s="150" t="s">
        <v>89</v>
      </c>
      <c r="I10" s="131" t="s">
        <v>133</v>
      </c>
      <c r="J10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0613345f0a8b4edfb294d0fdc6fe7382</v>
      </c>
      <c r="K10" s="127"/>
      <c r="L10" s="127"/>
      <c r="M10" s="127"/>
      <c r="N10" s="150" t="s">
        <v>89</v>
      </c>
    </row>
    <row r="11" spans="2:14">
      <c r="B11" s="142" t="s">
        <v>100</v>
      </c>
      <c r="C11" s="143" t="s">
        <v>82</v>
      </c>
      <c r="D11" s="144" t="s">
        <v>73</v>
      </c>
      <c r="E11" s="142" t="b">
        <v>1</v>
      </c>
      <c r="F11" s="127"/>
      <c r="G11" s="129" t="s">
        <v>435</v>
      </c>
      <c r="H11" s="151" t="s">
        <v>89</v>
      </c>
      <c r="I11" s="131" t="s">
        <v>134</v>
      </c>
      <c r="J11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0613345f0a8b4edfb294d0fdc6fe7382</v>
      </c>
      <c r="K11" s="127"/>
      <c r="L11" s="127"/>
      <c r="M11" s="127"/>
      <c r="N11" s="151" t="s">
        <v>89</v>
      </c>
    </row>
    <row r="12" spans="2:14">
      <c r="B12" s="142" t="s">
        <v>86</v>
      </c>
      <c r="C12" s="143" t="s">
        <v>85</v>
      </c>
      <c r="D12" s="144" t="s">
        <v>73</v>
      </c>
      <c r="E12" s="142" t="b">
        <v>1</v>
      </c>
      <c r="F12" s="127"/>
      <c r="G12" s="129" t="s">
        <v>437</v>
      </c>
      <c r="H12" s="150" t="s">
        <v>89</v>
      </c>
      <c r="I12" s="131" t="s">
        <v>136</v>
      </c>
      <c r="J12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0613345f0a8b4edfb294d0fdc6fe7382</v>
      </c>
      <c r="K12" s="127"/>
      <c r="L12" s="127"/>
      <c r="M12" s="127"/>
      <c r="N12" s="150" t="s">
        <v>89</v>
      </c>
    </row>
    <row r="13" spans="2:14">
      <c r="B13" s="142" t="s">
        <v>96</v>
      </c>
      <c r="C13" s="143" t="s">
        <v>87</v>
      </c>
      <c r="D13" s="144" t="s">
        <v>73</v>
      </c>
      <c r="E13" s="142" t="b">
        <v>1</v>
      </c>
      <c r="F13" s="127"/>
      <c r="G13" s="129" t="s">
        <v>431</v>
      </c>
      <c r="H13" s="151" t="s">
        <v>89</v>
      </c>
      <c r="I13" s="131" t="s">
        <v>131</v>
      </c>
      <c r="J13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0613345f0a8b4edfb294d0fdc6fe7382</v>
      </c>
      <c r="K13" s="127"/>
      <c r="L13" s="127"/>
      <c r="M13" s="127"/>
      <c r="N13" s="151" t="s">
        <v>89</v>
      </c>
    </row>
    <row r="14" spans="2:14">
      <c r="B14" s="142" t="s">
        <v>98</v>
      </c>
      <c r="C14" s="143" t="s">
        <v>89</v>
      </c>
      <c r="D14" s="144" t="s">
        <v>73</v>
      </c>
      <c r="E14" s="142" t="b">
        <v>1</v>
      </c>
      <c r="F14" s="127"/>
      <c r="G14" s="129" t="s">
        <v>438</v>
      </c>
      <c r="H14" s="150" t="s">
        <v>89</v>
      </c>
      <c r="I14" s="131" t="s">
        <v>137</v>
      </c>
      <c r="J14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0613345f0a8b4edfb294d0fdc6fe7382</v>
      </c>
      <c r="K14" s="127"/>
      <c r="L14" s="127"/>
      <c r="M14" s="127"/>
      <c r="N14" s="150" t="s">
        <v>89</v>
      </c>
    </row>
    <row r="15" spans="2:14">
      <c r="B15" s="142" t="s">
        <v>90</v>
      </c>
      <c r="C15" s="143" t="s">
        <v>91</v>
      </c>
      <c r="D15" s="144" t="s">
        <v>73</v>
      </c>
      <c r="E15" s="142" t="b">
        <v>1</v>
      </c>
      <c r="F15" s="127"/>
      <c r="G15" s="129" t="s">
        <v>436</v>
      </c>
      <c r="H15" s="151" t="s">
        <v>116</v>
      </c>
      <c r="I15" s="131" t="s">
        <v>135</v>
      </c>
      <c r="J15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e6c07c144d52704210419358ba4a8d2e</v>
      </c>
      <c r="K15" s="127"/>
      <c r="L15" s="127"/>
      <c r="M15" s="127"/>
      <c r="N15" s="151" t="s">
        <v>116</v>
      </c>
    </row>
    <row r="16" spans="2:14">
      <c r="B16" s="142" t="s">
        <v>94</v>
      </c>
      <c r="C16" s="143" t="s">
        <v>95</v>
      </c>
      <c r="D16" s="144" t="s">
        <v>73</v>
      </c>
      <c r="E16" s="142" t="b">
        <v>1</v>
      </c>
      <c r="F16" s="127"/>
      <c r="G16" s="129" t="s">
        <v>441</v>
      </c>
      <c r="H16" s="150" t="s">
        <v>116</v>
      </c>
      <c r="I16" s="131" t="s">
        <v>139</v>
      </c>
      <c r="J16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e6c07c144d52704210419358ba4a8d2e</v>
      </c>
      <c r="K16" s="127"/>
      <c r="L16" s="127"/>
      <c r="M16" s="127"/>
      <c r="N16" s="150" t="s">
        <v>116</v>
      </c>
    </row>
    <row r="17" spans="2:14">
      <c r="B17" s="142" t="s">
        <v>102</v>
      </c>
      <c r="C17" s="143" t="s">
        <v>97</v>
      </c>
      <c r="D17" s="144" t="s">
        <v>73</v>
      </c>
      <c r="E17" s="142" t="b">
        <v>1</v>
      </c>
      <c r="F17" s="127"/>
      <c r="G17" s="129" t="s">
        <v>439</v>
      </c>
      <c r="H17" s="151" t="s">
        <v>116</v>
      </c>
      <c r="I17" s="131" t="s">
        <v>85</v>
      </c>
      <c r="J17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e6c07c144d52704210419358ba4a8d2e</v>
      </c>
      <c r="K17" s="127"/>
      <c r="L17" s="127"/>
      <c r="M17" s="127"/>
      <c r="N17" s="151" t="s">
        <v>116</v>
      </c>
    </row>
    <row r="18" spans="2:14">
      <c r="B18" s="142" t="s">
        <v>105</v>
      </c>
      <c r="C18" s="143" t="s">
        <v>99</v>
      </c>
      <c r="D18" s="144" t="s">
        <v>73</v>
      </c>
      <c r="E18" s="142" t="b">
        <v>1</v>
      </c>
      <c r="F18" s="127"/>
      <c r="G18" s="129" t="s">
        <v>440</v>
      </c>
      <c r="H18" s="150" t="s">
        <v>116</v>
      </c>
      <c r="I18" s="131" t="s">
        <v>138</v>
      </c>
      <c r="J18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e6c07c144d52704210419358ba4a8d2e</v>
      </c>
      <c r="K18" s="127"/>
      <c r="L18" s="127"/>
      <c r="M18" s="127"/>
      <c r="N18" s="150" t="s">
        <v>116</v>
      </c>
    </row>
    <row r="19" spans="2:14">
      <c r="B19" s="142" t="s">
        <v>88</v>
      </c>
      <c r="C19" s="143" t="s">
        <v>101</v>
      </c>
      <c r="D19" s="144" t="s">
        <v>73</v>
      </c>
      <c r="E19" s="142" t="b">
        <v>1</v>
      </c>
      <c r="F19" s="127"/>
      <c r="G19" s="132" t="s">
        <v>443</v>
      </c>
      <c r="H19" s="151" t="s">
        <v>116</v>
      </c>
      <c r="I19" s="131" t="s">
        <v>141</v>
      </c>
      <c r="J19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e6c07c144d52704210419358ba4a8d2e</v>
      </c>
      <c r="K19" s="127"/>
      <c r="L19" s="127"/>
      <c r="M19" s="127"/>
      <c r="N19" s="151" t="s">
        <v>116</v>
      </c>
    </row>
    <row r="20" spans="2:14">
      <c r="B20" s="142" t="s">
        <v>107</v>
      </c>
      <c r="C20" s="143" t="s">
        <v>103</v>
      </c>
      <c r="D20" s="144" t="s">
        <v>73</v>
      </c>
      <c r="E20" s="142" t="b">
        <v>1</v>
      </c>
      <c r="F20" s="127"/>
      <c r="G20" s="129" t="s">
        <v>448</v>
      </c>
      <c r="H20" s="150" t="s">
        <v>116</v>
      </c>
      <c r="I20" s="131" t="s">
        <v>146</v>
      </c>
      <c r="J20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e6c07c144d52704210419358ba4a8d2e</v>
      </c>
      <c r="K20" s="127"/>
      <c r="L20" s="127"/>
      <c r="M20" s="127"/>
      <c r="N20" s="150" t="s">
        <v>116</v>
      </c>
    </row>
    <row r="21" spans="2:14">
      <c r="B21" s="142" t="s">
        <v>109</v>
      </c>
      <c r="C21" s="143" t="s">
        <v>106</v>
      </c>
      <c r="D21" s="144" t="s">
        <v>73</v>
      </c>
      <c r="E21" s="142" t="b">
        <v>1</v>
      </c>
      <c r="F21" s="127"/>
      <c r="G21" s="129" t="s">
        <v>444</v>
      </c>
      <c r="H21" s="151" t="s">
        <v>116</v>
      </c>
      <c r="I21" s="131" t="s">
        <v>142</v>
      </c>
      <c r="J21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e6c07c144d52704210419358ba4a8d2e</v>
      </c>
      <c r="K21" s="127"/>
      <c r="L21" s="127"/>
      <c r="M21" s="127"/>
      <c r="N21" s="151" t="s">
        <v>116</v>
      </c>
    </row>
    <row r="22" spans="2:14">
      <c r="B22" s="142" t="s">
        <v>76</v>
      </c>
      <c r="C22" s="143" t="s">
        <v>108</v>
      </c>
      <c r="D22" s="144" t="s">
        <v>73</v>
      </c>
      <c r="E22" s="142" t="b">
        <v>1</v>
      </c>
      <c r="F22" s="127"/>
      <c r="G22" s="129" t="s">
        <v>445</v>
      </c>
      <c r="H22" s="150" t="s">
        <v>116</v>
      </c>
      <c r="I22" s="131" t="s">
        <v>143</v>
      </c>
      <c r="J22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e6c07c144d52704210419358ba4a8d2e</v>
      </c>
      <c r="K22" s="127"/>
      <c r="L22" s="127"/>
      <c r="M22" s="127"/>
      <c r="N22" s="150" t="s">
        <v>116</v>
      </c>
    </row>
    <row r="23" spans="2:14">
      <c r="B23" s="142" t="s">
        <v>110</v>
      </c>
      <c r="C23" s="143" t="s">
        <v>104</v>
      </c>
      <c r="D23" s="144" t="s">
        <v>73</v>
      </c>
      <c r="E23" s="142" t="b">
        <v>1</v>
      </c>
      <c r="F23" s="127"/>
      <c r="G23" s="129" t="s">
        <v>447</v>
      </c>
      <c r="H23" s="151" t="s">
        <v>117</v>
      </c>
      <c r="I23" s="131" t="s">
        <v>145</v>
      </c>
      <c r="J23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fec746a44521f2118fef19237dbf4f91</v>
      </c>
      <c r="K23" s="127"/>
      <c r="L23" s="127"/>
      <c r="M23" s="127"/>
      <c r="N23" s="151" t="s">
        <v>117</v>
      </c>
    </row>
    <row r="24" spans="2:14">
      <c r="B24" s="142" t="s">
        <v>112</v>
      </c>
      <c r="C24" s="143" t="s">
        <v>111</v>
      </c>
      <c r="D24" s="144" t="s">
        <v>73</v>
      </c>
      <c r="E24" s="142" t="b">
        <v>1</v>
      </c>
      <c r="F24" s="127"/>
      <c r="G24" s="129" t="s">
        <v>446</v>
      </c>
      <c r="H24" s="150" t="s">
        <v>117</v>
      </c>
      <c r="I24" s="131" t="s">
        <v>144</v>
      </c>
      <c r="J24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fec746a44521f2118fef19237dbf4f91</v>
      </c>
      <c r="K24" s="127"/>
      <c r="L24" s="127"/>
      <c r="M24" s="127"/>
      <c r="N24" s="150" t="s">
        <v>117</v>
      </c>
    </row>
    <row r="25" spans="2:14">
      <c r="B25" s="142" t="s">
        <v>81</v>
      </c>
      <c r="C25" s="143" t="s">
        <v>113</v>
      </c>
      <c r="D25" s="144" t="s">
        <v>73</v>
      </c>
      <c r="E25" s="142" t="b">
        <v>1</v>
      </c>
      <c r="F25" s="127"/>
      <c r="G25" s="129" t="s">
        <v>442</v>
      </c>
      <c r="H25" s="151" t="s">
        <v>117</v>
      </c>
      <c r="I25" s="131" t="s">
        <v>140</v>
      </c>
      <c r="J25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fec746a44521f2118fef19237dbf4f91</v>
      </c>
      <c r="K25" s="127"/>
      <c r="L25" s="127"/>
      <c r="M25" s="127"/>
      <c r="N25" s="151" t="s">
        <v>117</v>
      </c>
    </row>
    <row r="26" spans="2:14">
      <c r="B26" s="129" t="s">
        <v>251</v>
      </c>
      <c r="C26" s="130" t="s">
        <v>117</v>
      </c>
      <c r="D26" s="131" t="s">
        <v>73</v>
      </c>
      <c r="E26" s="129" t="b">
        <v>0</v>
      </c>
      <c r="F26" s="127"/>
      <c r="G26" s="129" t="s">
        <v>449</v>
      </c>
      <c r="H26" s="150" t="s">
        <v>118</v>
      </c>
      <c r="I26" s="131" t="s">
        <v>147</v>
      </c>
      <c r="J26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e652020e73ca21c507fb0132026987b5</v>
      </c>
      <c r="K26" s="127"/>
      <c r="L26" s="127"/>
      <c r="M26" s="127"/>
      <c r="N26" s="150" t="s">
        <v>118</v>
      </c>
    </row>
    <row r="27" spans="2:14">
      <c r="B27" s="129" t="s">
        <v>234</v>
      </c>
      <c r="C27" s="130" t="s">
        <v>119</v>
      </c>
      <c r="D27" s="131" t="s">
        <v>73</v>
      </c>
      <c r="E27" s="129" t="b">
        <v>0</v>
      </c>
      <c r="F27" s="127"/>
      <c r="G27" s="132" t="s">
        <v>452</v>
      </c>
      <c r="H27" s="151" t="s">
        <v>118</v>
      </c>
      <c r="I27" s="131" t="s">
        <v>150</v>
      </c>
      <c r="J27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e652020e73ca21c507fb0132026987b5</v>
      </c>
      <c r="K27" s="127"/>
      <c r="L27" s="127"/>
      <c r="M27" s="127"/>
      <c r="N27" s="151" t="s">
        <v>118</v>
      </c>
    </row>
    <row r="28" spans="2:14">
      <c r="B28" s="129" t="s">
        <v>201</v>
      </c>
      <c r="C28" s="130" t="s">
        <v>120</v>
      </c>
      <c r="D28" s="131" t="s">
        <v>73</v>
      </c>
      <c r="E28" s="129" t="b">
        <v>0</v>
      </c>
      <c r="F28" s="127"/>
      <c r="G28" s="129" t="s">
        <v>456</v>
      </c>
      <c r="H28" s="150" t="s">
        <v>118</v>
      </c>
      <c r="I28" s="131" t="s">
        <v>154</v>
      </c>
      <c r="J28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e652020e73ca21c507fb0132026987b5</v>
      </c>
      <c r="K28" s="127"/>
      <c r="L28" s="127"/>
      <c r="M28" s="127"/>
      <c r="N28" s="150" t="s">
        <v>118</v>
      </c>
    </row>
    <row r="29" spans="2:14">
      <c r="B29" s="129" t="s">
        <v>207</v>
      </c>
      <c r="C29" s="130" t="s">
        <v>95</v>
      </c>
      <c r="D29" s="131" t="s">
        <v>73</v>
      </c>
      <c r="E29" s="129" t="b">
        <v>0</v>
      </c>
      <c r="F29" s="127"/>
      <c r="G29" s="129" t="s">
        <v>455</v>
      </c>
      <c r="H29" s="151" t="s">
        <v>118</v>
      </c>
      <c r="I29" s="131" t="s">
        <v>153</v>
      </c>
      <c r="J29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e652020e73ca21c507fb0132026987b5</v>
      </c>
      <c r="K29" s="127"/>
      <c r="L29" s="127"/>
      <c r="M29" s="127"/>
      <c r="N29" s="151" t="s">
        <v>118</v>
      </c>
    </row>
    <row r="30" spans="2:14">
      <c r="B30" s="129" t="s">
        <v>204</v>
      </c>
      <c r="C30" s="130" t="s">
        <v>122</v>
      </c>
      <c r="D30" s="131" t="s">
        <v>73</v>
      </c>
      <c r="E30" s="129" t="b">
        <v>0</v>
      </c>
      <c r="F30" s="127"/>
      <c r="G30" s="129" t="s">
        <v>450</v>
      </c>
      <c r="H30" s="150" t="s">
        <v>118</v>
      </c>
      <c r="I30" s="131" t="s">
        <v>148</v>
      </c>
      <c r="J30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e652020e73ca21c507fb0132026987b5</v>
      </c>
      <c r="K30" s="127"/>
      <c r="L30" s="127"/>
      <c r="M30" s="127"/>
      <c r="N30" s="150" t="s">
        <v>118</v>
      </c>
    </row>
    <row r="31" spans="2:14">
      <c r="B31" s="129" t="s">
        <v>241</v>
      </c>
      <c r="C31" s="130" t="s">
        <v>123</v>
      </c>
      <c r="D31" s="131" t="s">
        <v>73</v>
      </c>
      <c r="E31" s="129" t="b">
        <v>0</v>
      </c>
      <c r="F31" s="127"/>
      <c r="G31" s="129" t="s">
        <v>454</v>
      </c>
      <c r="H31" s="151" t="s">
        <v>118</v>
      </c>
      <c r="I31" s="131" t="s">
        <v>152</v>
      </c>
      <c r="J31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e652020e73ca21c507fb0132026987b5</v>
      </c>
      <c r="K31" s="127"/>
      <c r="L31" s="127"/>
      <c r="M31" s="127"/>
      <c r="N31" s="151" t="s">
        <v>118</v>
      </c>
    </row>
    <row r="32" spans="2:14">
      <c r="B32" s="129" t="s">
        <v>184</v>
      </c>
      <c r="C32" s="130" t="s">
        <v>121</v>
      </c>
      <c r="D32" s="131" t="s">
        <v>73</v>
      </c>
      <c r="E32" s="129" t="b">
        <v>0</v>
      </c>
      <c r="F32" s="127"/>
      <c r="G32" s="129" t="s">
        <v>451</v>
      </c>
      <c r="H32" s="150" t="s">
        <v>118</v>
      </c>
      <c r="I32" s="131" t="s">
        <v>149</v>
      </c>
      <c r="J32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e652020e73ca21c507fb0132026987b5</v>
      </c>
      <c r="K32" s="127"/>
      <c r="L32" s="127"/>
      <c r="M32" s="127"/>
      <c r="N32" s="150" t="s">
        <v>118</v>
      </c>
    </row>
    <row r="33" spans="2:14">
      <c r="B33" s="129" t="s">
        <v>239</v>
      </c>
      <c r="C33" s="130" t="s">
        <v>116</v>
      </c>
      <c r="D33" s="131" t="s">
        <v>73</v>
      </c>
      <c r="E33" s="129" t="b">
        <v>0</v>
      </c>
      <c r="F33" s="127"/>
      <c r="G33" s="129" t="s">
        <v>453</v>
      </c>
      <c r="H33" s="151" t="s">
        <v>119</v>
      </c>
      <c r="I33" s="131" t="s">
        <v>151</v>
      </c>
      <c r="J33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fc644bd9ea3a9fa6cdcd5fd08cd93f11</v>
      </c>
      <c r="K33" s="127"/>
      <c r="L33" s="127"/>
      <c r="M33" s="127"/>
      <c r="N33" s="151" t="s">
        <v>119</v>
      </c>
    </row>
    <row r="34" spans="2:14">
      <c r="B34" s="129" t="s">
        <v>192</v>
      </c>
      <c r="C34" s="130" t="s">
        <v>118</v>
      </c>
      <c r="D34" s="131" t="s">
        <v>73</v>
      </c>
      <c r="E34" s="129" t="b">
        <v>0</v>
      </c>
      <c r="F34" s="127"/>
      <c r="G34" s="129" t="s">
        <v>459</v>
      </c>
      <c r="H34" s="150" t="s">
        <v>120</v>
      </c>
      <c r="I34" s="131" t="s">
        <v>157</v>
      </c>
      <c r="J34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fb81ce070826aab24513c89fbfe939e9</v>
      </c>
      <c r="K34" s="127"/>
      <c r="L34" s="127"/>
      <c r="M34" s="127"/>
      <c r="N34" s="150" t="s">
        <v>120</v>
      </c>
    </row>
    <row r="35" spans="2:14">
      <c r="B35" s="129" t="s">
        <v>230</v>
      </c>
      <c r="C35" s="130"/>
      <c r="D35" s="131"/>
      <c r="E35" s="129" t="b">
        <v>0</v>
      </c>
      <c r="F35" s="127"/>
      <c r="G35" s="129" t="s">
        <v>463</v>
      </c>
      <c r="H35" s="151" t="s">
        <v>120</v>
      </c>
      <c r="I35" s="131" t="s">
        <v>161</v>
      </c>
      <c r="J35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fb81ce070826aab24513c89fbfe939e9</v>
      </c>
      <c r="K35" s="127"/>
      <c r="L35" s="127"/>
      <c r="M35" s="127"/>
      <c r="N35" s="151" t="s">
        <v>120</v>
      </c>
    </row>
    <row r="36" spans="2:14">
      <c r="B36" s="129" t="s">
        <v>182</v>
      </c>
      <c r="C36" s="130"/>
      <c r="D36" s="131"/>
      <c r="E36" s="129" t="b">
        <v>0</v>
      </c>
      <c r="F36" s="127"/>
      <c r="G36" s="129" t="s">
        <v>457</v>
      </c>
      <c r="H36" s="150" t="s">
        <v>120</v>
      </c>
      <c r="I36" s="131" t="s">
        <v>155</v>
      </c>
      <c r="J36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fb81ce070826aab24513c89fbfe939e9</v>
      </c>
      <c r="K36" s="127"/>
      <c r="L36" s="127"/>
      <c r="M36" s="127"/>
      <c r="N36" s="150" t="s">
        <v>120</v>
      </c>
    </row>
    <row r="37" spans="2:14">
      <c r="B37" s="129" t="s">
        <v>193</v>
      </c>
      <c r="C37" s="130"/>
      <c r="D37" s="131"/>
      <c r="E37" s="129" t="b">
        <v>0</v>
      </c>
      <c r="F37" s="127"/>
      <c r="G37" s="129" t="s">
        <v>464</v>
      </c>
      <c r="H37" s="151" t="s">
        <v>120</v>
      </c>
      <c r="I37" s="131" t="s">
        <v>162</v>
      </c>
      <c r="J37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fb81ce070826aab24513c89fbfe939e9</v>
      </c>
      <c r="K37" s="127"/>
      <c r="L37" s="127"/>
      <c r="M37" s="127"/>
      <c r="N37" s="151" t="s">
        <v>120</v>
      </c>
    </row>
    <row r="38" spans="2:14">
      <c r="B38" s="129" t="s">
        <v>197</v>
      </c>
      <c r="C38" s="130"/>
      <c r="D38" s="131"/>
      <c r="E38" s="129" t="b">
        <v>0</v>
      </c>
      <c r="F38" s="127"/>
      <c r="G38" s="129" t="s">
        <v>458</v>
      </c>
      <c r="H38" s="150" t="s">
        <v>120</v>
      </c>
      <c r="I38" s="131" t="s">
        <v>156</v>
      </c>
      <c r="J38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fb81ce070826aab24513c89fbfe939e9</v>
      </c>
      <c r="K38" s="127"/>
      <c r="L38" s="127"/>
      <c r="M38" s="127"/>
      <c r="N38" s="150" t="s">
        <v>120</v>
      </c>
    </row>
    <row r="39" spans="2:14">
      <c r="B39" s="129" t="s">
        <v>186</v>
      </c>
      <c r="C39" s="130"/>
      <c r="D39" s="131"/>
      <c r="E39" s="129" t="b">
        <v>0</v>
      </c>
      <c r="F39" s="127"/>
      <c r="G39" s="129" t="s">
        <v>461</v>
      </c>
      <c r="H39" s="151" t="s">
        <v>120</v>
      </c>
      <c r="I39" s="131" t="s">
        <v>159</v>
      </c>
      <c r="J39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fb81ce070826aab24513c89fbfe939e9</v>
      </c>
      <c r="K39" s="127"/>
      <c r="L39" s="127"/>
      <c r="M39" s="127"/>
      <c r="N39" s="151" t="s">
        <v>120</v>
      </c>
    </row>
    <row r="40" spans="2:14">
      <c r="B40" s="129" t="s">
        <v>244</v>
      </c>
      <c r="C40" s="130"/>
      <c r="D40" s="131"/>
      <c r="E40" s="129" t="b">
        <v>0</v>
      </c>
      <c r="F40" s="127"/>
      <c r="G40" s="129" t="s">
        <v>460</v>
      </c>
      <c r="H40" s="150" t="s">
        <v>120</v>
      </c>
      <c r="I40" s="131" t="s">
        <v>158</v>
      </c>
      <c r="J40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fb81ce070826aab24513c89fbfe939e9</v>
      </c>
      <c r="K40" s="127"/>
      <c r="L40" s="127"/>
      <c r="M40" s="127"/>
      <c r="N40" s="150" t="s">
        <v>120</v>
      </c>
    </row>
    <row r="41" spans="2:14">
      <c r="B41" s="129" t="s">
        <v>248</v>
      </c>
      <c r="C41" s="130"/>
      <c r="D41" s="131"/>
      <c r="E41" s="129" t="b">
        <v>0</v>
      </c>
      <c r="F41" s="127"/>
      <c r="G41" s="129" t="s">
        <v>462</v>
      </c>
      <c r="H41" s="151" t="s">
        <v>121</v>
      </c>
      <c r="I41" s="131" t="s">
        <v>160</v>
      </c>
      <c r="J41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f59903268bc5a7b5382a7eb44e1c5e95</v>
      </c>
      <c r="K41" s="127"/>
      <c r="L41" s="127"/>
      <c r="M41" s="127"/>
      <c r="N41" s="151" t="s">
        <v>121</v>
      </c>
    </row>
    <row r="42" spans="2:14">
      <c r="B42" s="129" t="s">
        <v>247</v>
      </c>
      <c r="C42" s="130"/>
      <c r="D42" s="131"/>
      <c r="E42" s="129" t="b">
        <v>0</v>
      </c>
      <c r="F42" s="127"/>
      <c r="G42" s="129" t="s">
        <v>466</v>
      </c>
      <c r="H42" s="150" t="s">
        <v>121</v>
      </c>
      <c r="I42" s="131" t="s">
        <v>164</v>
      </c>
      <c r="J42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f59903268bc5a7b5382a7eb44e1c5e95</v>
      </c>
      <c r="K42" s="127"/>
      <c r="L42" s="127"/>
      <c r="M42" s="127"/>
      <c r="N42" s="150" t="s">
        <v>121</v>
      </c>
    </row>
    <row r="43" spans="2:14">
      <c r="B43" s="129" t="s">
        <v>242</v>
      </c>
      <c r="C43" s="130"/>
      <c r="D43" s="131"/>
      <c r="E43" s="129" t="b">
        <v>0</v>
      </c>
      <c r="F43" s="127"/>
      <c r="G43" s="129" t="s">
        <v>474</v>
      </c>
      <c r="H43" s="151" t="s">
        <v>121</v>
      </c>
      <c r="I43" s="131" t="s">
        <v>172</v>
      </c>
      <c r="J43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f59903268bc5a7b5382a7eb44e1c5e95</v>
      </c>
      <c r="K43" s="127"/>
      <c r="L43" s="127"/>
      <c r="M43" s="127"/>
      <c r="N43" s="151" t="s">
        <v>121</v>
      </c>
    </row>
    <row r="44" spans="2:14">
      <c r="B44" s="129" t="s">
        <v>254</v>
      </c>
      <c r="C44" s="130"/>
      <c r="D44" s="131"/>
      <c r="E44" s="129" t="b">
        <v>0</v>
      </c>
      <c r="F44" s="127"/>
      <c r="G44" s="129" t="s">
        <v>468</v>
      </c>
      <c r="H44" s="150" t="s">
        <v>121</v>
      </c>
      <c r="I44" s="131" t="s">
        <v>166</v>
      </c>
      <c r="J44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f59903268bc5a7b5382a7eb44e1c5e95</v>
      </c>
      <c r="K44" s="127"/>
      <c r="L44" s="127"/>
      <c r="M44" s="127"/>
      <c r="N44" s="150" t="s">
        <v>121</v>
      </c>
    </row>
    <row r="45" spans="2:14">
      <c r="B45" s="129" t="s">
        <v>217</v>
      </c>
      <c r="C45" s="130"/>
      <c r="D45" s="131"/>
      <c r="E45" s="129" t="b">
        <v>0</v>
      </c>
      <c r="F45" s="127"/>
      <c r="G45" s="129" t="s">
        <v>465</v>
      </c>
      <c r="H45" s="151" t="s">
        <v>121</v>
      </c>
      <c r="I45" s="131" t="s">
        <v>163</v>
      </c>
      <c r="J45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f59903268bc5a7b5382a7eb44e1c5e95</v>
      </c>
      <c r="K45" s="127"/>
      <c r="L45" s="127"/>
      <c r="M45" s="127"/>
      <c r="N45" s="151" t="s">
        <v>121</v>
      </c>
    </row>
    <row r="46" spans="2:14">
      <c r="B46" s="129" t="s">
        <v>250</v>
      </c>
      <c r="C46" s="130"/>
      <c r="D46" s="131"/>
      <c r="E46" s="129" t="b">
        <v>0</v>
      </c>
      <c r="F46" s="127"/>
      <c r="G46" s="129" t="s">
        <v>470</v>
      </c>
      <c r="H46" s="150" t="s">
        <v>121</v>
      </c>
      <c r="I46" s="131" t="s">
        <v>168</v>
      </c>
      <c r="J46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f59903268bc5a7b5382a7eb44e1c5e95</v>
      </c>
      <c r="K46" s="127"/>
      <c r="L46" s="127"/>
      <c r="M46" s="127"/>
      <c r="N46" s="150" t="s">
        <v>121</v>
      </c>
    </row>
    <row r="47" spans="2:14">
      <c r="B47" s="129" t="s">
        <v>256</v>
      </c>
      <c r="C47" s="130"/>
      <c r="D47" s="131"/>
      <c r="E47" s="129" t="b">
        <v>0</v>
      </c>
      <c r="F47" s="127"/>
      <c r="G47" s="129" t="s">
        <v>467</v>
      </c>
      <c r="H47" s="151" t="s">
        <v>121</v>
      </c>
      <c r="I47" s="131" t="s">
        <v>165</v>
      </c>
      <c r="J47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f59903268bc5a7b5382a7eb44e1c5e95</v>
      </c>
      <c r="K47" s="127"/>
      <c r="L47" s="127"/>
      <c r="M47" s="127"/>
      <c r="N47" s="151" t="s">
        <v>121</v>
      </c>
    </row>
    <row r="48" spans="2:14">
      <c r="B48" s="129" t="s">
        <v>72</v>
      </c>
      <c r="C48" s="130"/>
      <c r="D48" s="131"/>
      <c r="E48" s="129" t="b">
        <v>0</v>
      </c>
      <c r="F48" s="127"/>
      <c r="G48" s="129" t="s">
        <v>475</v>
      </c>
      <c r="H48" s="150" t="s">
        <v>121</v>
      </c>
      <c r="I48" s="131" t="s">
        <v>173</v>
      </c>
      <c r="J48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f59903268bc5a7b5382a7eb44e1c5e95</v>
      </c>
      <c r="K48" s="127"/>
      <c r="L48" s="127"/>
      <c r="M48" s="127"/>
      <c r="N48" s="150" t="s">
        <v>121</v>
      </c>
    </row>
    <row r="49" spans="2:14">
      <c r="B49" s="129" t="s">
        <v>221</v>
      </c>
      <c r="C49" s="130"/>
      <c r="D49" s="131"/>
      <c r="E49" s="129" t="b">
        <v>0</v>
      </c>
      <c r="F49" s="127"/>
      <c r="G49" s="129" t="s">
        <v>471</v>
      </c>
      <c r="H49" s="151" t="s">
        <v>122</v>
      </c>
      <c r="I49" s="131" t="s">
        <v>169</v>
      </c>
      <c r="J49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f9fd776a16da81a948d166fcd5952d14</v>
      </c>
      <c r="K49" s="127"/>
      <c r="L49" s="127"/>
      <c r="M49" s="127"/>
      <c r="N49" s="151" t="s">
        <v>122</v>
      </c>
    </row>
    <row r="50" spans="2:14">
      <c r="B50" s="129" t="s">
        <v>190</v>
      </c>
      <c r="C50" s="130"/>
      <c r="D50" s="131"/>
      <c r="E50" s="129" t="b">
        <v>0</v>
      </c>
      <c r="F50" s="127"/>
      <c r="G50" s="129" t="s">
        <v>473</v>
      </c>
      <c r="H50" s="150" t="s">
        <v>122</v>
      </c>
      <c r="I50" s="131" t="s">
        <v>171</v>
      </c>
      <c r="J50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f9fd776a16da81a948d166fcd5952d14</v>
      </c>
      <c r="K50" s="127"/>
      <c r="L50" s="127"/>
      <c r="M50" s="127"/>
      <c r="N50" s="150" t="s">
        <v>122</v>
      </c>
    </row>
    <row r="51" spans="2:14">
      <c r="B51" s="129" t="s">
        <v>228</v>
      </c>
      <c r="C51" s="130"/>
      <c r="D51" s="131"/>
      <c r="E51" s="129" t="b">
        <v>0</v>
      </c>
      <c r="F51" s="127"/>
      <c r="G51" s="129" t="s">
        <v>469</v>
      </c>
      <c r="H51" s="151" t="s">
        <v>122</v>
      </c>
      <c r="I51" s="131" t="s">
        <v>167</v>
      </c>
      <c r="J51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f9fd776a16da81a948d166fcd5952d14</v>
      </c>
      <c r="K51" s="127"/>
      <c r="L51" s="127"/>
      <c r="M51" s="127"/>
      <c r="N51" s="151" t="s">
        <v>122</v>
      </c>
    </row>
    <row r="52" spans="2:14">
      <c r="B52" s="129" t="s">
        <v>187</v>
      </c>
      <c r="C52" s="130"/>
      <c r="D52" s="131"/>
      <c r="E52" s="129" t="b">
        <v>0</v>
      </c>
      <c r="F52" s="127"/>
      <c r="G52" s="129" t="s">
        <v>472</v>
      </c>
      <c r="H52" s="150" t="s">
        <v>122</v>
      </c>
      <c r="I52" s="131" t="s">
        <v>170</v>
      </c>
      <c r="J52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f9fd776a16da81a948d166fcd5952d14</v>
      </c>
      <c r="K52" s="127"/>
      <c r="L52" s="127"/>
      <c r="M52" s="127"/>
      <c r="N52" s="150" t="s">
        <v>122</v>
      </c>
    </row>
    <row r="53" spans="2:14">
      <c r="B53" s="129" t="s">
        <v>237</v>
      </c>
      <c r="C53" s="130"/>
      <c r="D53" s="131"/>
      <c r="E53" s="129" t="b">
        <v>0</v>
      </c>
      <c r="F53" s="127"/>
      <c r="G53" s="129" t="s">
        <v>476</v>
      </c>
      <c r="H53" s="151" t="s">
        <v>122</v>
      </c>
      <c r="I53" s="131" t="s">
        <v>174</v>
      </c>
      <c r="J53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f9fd776a16da81a948d166fcd5952d14</v>
      </c>
      <c r="K53" s="127"/>
      <c r="L53" s="127"/>
      <c r="M53" s="127"/>
      <c r="N53" s="151" t="s">
        <v>122</v>
      </c>
    </row>
    <row r="54" spans="2:14">
      <c r="B54" s="129" t="s">
        <v>202</v>
      </c>
      <c r="C54" s="130"/>
      <c r="D54" s="131"/>
      <c r="E54" s="129" t="b">
        <v>0</v>
      </c>
      <c r="F54" s="127"/>
      <c r="G54" s="129" t="s">
        <v>485</v>
      </c>
      <c r="H54" s="150" t="s">
        <v>122</v>
      </c>
      <c r="I54" s="131" t="s">
        <v>172</v>
      </c>
      <c r="J54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f9fd776a16da81a948d166fcd5952d14</v>
      </c>
      <c r="K54" s="127"/>
      <c r="L54" s="127"/>
      <c r="M54" s="127"/>
      <c r="N54" s="150" t="s">
        <v>122</v>
      </c>
    </row>
    <row r="55" spans="2:14">
      <c r="B55" s="129" t="s">
        <v>211</v>
      </c>
      <c r="C55" s="130"/>
      <c r="D55" s="131"/>
      <c r="E55" s="129" t="b">
        <v>0</v>
      </c>
      <c r="F55" s="127"/>
      <c r="G55" s="129" t="s">
        <v>486</v>
      </c>
      <c r="H55" s="151" t="s">
        <v>122</v>
      </c>
      <c r="I55" s="131" t="s">
        <v>181</v>
      </c>
      <c r="J55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f9fd776a16da81a948d166fcd5952d14</v>
      </c>
      <c r="K55" s="127"/>
      <c r="L55" s="127"/>
      <c r="M55" s="127"/>
      <c r="N55" s="151" t="s">
        <v>122</v>
      </c>
    </row>
    <row r="56" spans="2:14">
      <c r="B56" s="129" t="s">
        <v>219</v>
      </c>
      <c r="C56" s="130"/>
      <c r="D56" s="131"/>
      <c r="E56" s="129" t="b">
        <v>0</v>
      </c>
      <c r="F56" s="127"/>
      <c r="G56" s="129" t="s">
        <v>478</v>
      </c>
      <c r="H56" s="150" t="s">
        <v>122</v>
      </c>
      <c r="I56" s="131" t="s">
        <v>176</v>
      </c>
      <c r="J56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f9fd776a16da81a948d166fcd5952d14</v>
      </c>
      <c r="K56" s="127"/>
      <c r="L56" s="127"/>
      <c r="M56" s="127"/>
      <c r="N56" s="150" t="s">
        <v>122</v>
      </c>
    </row>
    <row r="57" spans="2:14">
      <c r="B57" s="129" t="s">
        <v>216</v>
      </c>
      <c r="C57" s="130"/>
      <c r="D57" s="131"/>
      <c r="E57" s="129" t="b">
        <v>0</v>
      </c>
      <c r="F57" s="127"/>
      <c r="G57" s="129" t="s">
        <v>482</v>
      </c>
      <c r="H57" s="151" t="s">
        <v>122</v>
      </c>
      <c r="I57" s="131" t="s">
        <v>180</v>
      </c>
      <c r="J57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f9fd776a16da81a948d166fcd5952d14</v>
      </c>
      <c r="K57" s="127"/>
      <c r="L57" s="127"/>
      <c r="M57" s="127"/>
      <c r="N57" s="151" t="s">
        <v>122</v>
      </c>
    </row>
    <row r="58" spans="2:14">
      <c r="B58" s="129" t="s">
        <v>215</v>
      </c>
      <c r="C58" s="130"/>
      <c r="D58" s="131"/>
      <c r="E58" s="129" t="b">
        <v>0</v>
      </c>
      <c r="F58" s="127"/>
      <c r="G58" s="129" t="s">
        <v>484</v>
      </c>
      <c r="H58" s="150" t="s">
        <v>122</v>
      </c>
      <c r="I58" s="131" t="s">
        <v>173</v>
      </c>
      <c r="J58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f9fd776a16da81a948d166fcd5952d14</v>
      </c>
      <c r="K58" s="127"/>
      <c r="L58" s="127"/>
      <c r="M58" s="127"/>
      <c r="N58" s="150" t="s">
        <v>122</v>
      </c>
    </row>
    <row r="59" spans="2:14">
      <c r="B59" s="129" t="s">
        <v>227</v>
      </c>
      <c r="C59" s="130"/>
      <c r="D59" s="131"/>
      <c r="E59" s="129" t="b">
        <v>0</v>
      </c>
      <c r="F59" s="127"/>
      <c r="G59" s="129" t="s">
        <v>480</v>
      </c>
      <c r="H59" s="151" t="s">
        <v>122</v>
      </c>
      <c r="I59" s="131" t="s">
        <v>178</v>
      </c>
      <c r="J59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f9fd776a16da81a948d166fcd5952d14</v>
      </c>
      <c r="K59" s="127"/>
      <c r="L59" s="127"/>
      <c r="M59" s="127"/>
      <c r="N59" s="151" t="s">
        <v>122</v>
      </c>
    </row>
    <row r="60" spans="2:14">
      <c r="B60" s="129" t="s">
        <v>245</v>
      </c>
      <c r="C60" s="130"/>
      <c r="D60" s="131"/>
      <c r="E60" s="129" t="b">
        <v>0</v>
      </c>
      <c r="F60" s="127"/>
      <c r="G60" s="129" t="s">
        <v>477</v>
      </c>
      <c r="H60" s="150" t="s">
        <v>123</v>
      </c>
      <c r="I60" s="131" t="s">
        <v>175</v>
      </c>
      <c r="J60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f870f35280fadaf3c3539ad54e3062cd</v>
      </c>
      <c r="K60" s="127"/>
      <c r="L60" s="127"/>
      <c r="M60" s="127"/>
      <c r="N60" s="150" t="s">
        <v>123</v>
      </c>
    </row>
    <row r="61" spans="2:14">
      <c r="B61" s="129" t="s">
        <v>235</v>
      </c>
      <c r="C61" s="130"/>
      <c r="D61" s="131"/>
      <c r="E61" s="129" t="b">
        <v>0</v>
      </c>
      <c r="F61" s="127"/>
      <c r="G61" s="129" t="s">
        <v>479</v>
      </c>
      <c r="H61" s="151" t="s">
        <v>123</v>
      </c>
      <c r="I61" s="131" t="s">
        <v>177</v>
      </c>
      <c r="J61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f870f35280fadaf3c3539ad54e3062cd</v>
      </c>
      <c r="K61" s="127"/>
      <c r="L61" s="127"/>
      <c r="M61" s="127"/>
      <c r="N61" s="151" t="s">
        <v>123</v>
      </c>
    </row>
    <row r="62" spans="2:14">
      <c r="B62" s="129" t="s">
        <v>233</v>
      </c>
      <c r="C62" s="130"/>
      <c r="D62" s="131"/>
      <c r="E62" s="129" t="b">
        <v>0</v>
      </c>
      <c r="F62" s="127"/>
      <c r="G62" s="129" t="s">
        <v>483</v>
      </c>
      <c r="H62" s="150" t="s">
        <v>123</v>
      </c>
      <c r="I62" s="131" t="s">
        <v>167</v>
      </c>
      <c r="J62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f870f35280fadaf3c3539ad54e3062cd</v>
      </c>
      <c r="K62" s="127"/>
      <c r="L62" s="127"/>
      <c r="M62" s="127"/>
      <c r="N62" s="150" t="s">
        <v>123</v>
      </c>
    </row>
    <row r="63" spans="2:14">
      <c r="B63" s="129" t="s">
        <v>206</v>
      </c>
      <c r="C63" s="130"/>
      <c r="D63" s="131"/>
      <c r="E63" s="129" t="b">
        <v>0</v>
      </c>
      <c r="F63" s="127"/>
      <c r="G63" s="129" t="s">
        <v>481</v>
      </c>
      <c r="H63" s="151" t="s">
        <v>123</v>
      </c>
      <c r="I63" s="131" t="s">
        <v>179</v>
      </c>
      <c r="J63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f870f35280fadaf3c3539ad54e3062cd</v>
      </c>
      <c r="K63" s="127"/>
      <c r="L63" s="127"/>
      <c r="M63" s="127"/>
      <c r="N63" s="151" t="s">
        <v>123</v>
      </c>
    </row>
    <row r="64" spans="2:14">
      <c r="B64" s="129" t="s">
        <v>243</v>
      </c>
      <c r="C64" s="130"/>
      <c r="D64" s="131"/>
      <c r="E64" s="129" t="b">
        <v>0</v>
      </c>
      <c r="F64" s="127"/>
      <c r="G64" s="129" t="s">
        <v>426</v>
      </c>
      <c r="H64" s="150" t="s">
        <v>123</v>
      </c>
      <c r="I64" s="131" t="s">
        <v>126</v>
      </c>
      <c r="J64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f870f35280fadaf3c3539ad54e3062cd</v>
      </c>
      <c r="K64" s="127"/>
      <c r="L64" s="127"/>
      <c r="M64" s="127"/>
      <c r="N64" s="150" t="s">
        <v>123</v>
      </c>
    </row>
    <row r="65" spans="2:14">
      <c r="B65" s="129" t="s">
        <v>226</v>
      </c>
      <c r="C65" s="130"/>
      <c r="D65" s="131"/>
      <c r="E65" s="129" t="b">
        <v>0</v>
      </c>
      <c r="F65" s="127"/>
      <c r="G65" s="129" t="s">
        <v>429</v>
      </c>
      <c r="H65" s="151" t="s">
        <v>123</v>
      </c>
      <c r="I65" s="131" t="s">
        <v>129</v>
      </c>
      <c r="J65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f870f35280fadaf3c3539ad54e3062cd</v>
      </c>
      <c r="K65" s="127"/>
      <c r="L65" s="127"/>
      <c r="M65" s="127"/>
      <c r="N65" s="151" t="s">
        <v>123</v>
      </c>
    </row>
    <row r="66" spans="2:14">
      <c r="B66" s="129" t="s">
        <v>231</v>
      </c>
      <c r="C66" s="130"/>
      <c r="D66" s="131"/>
      <c r="E66" s="129" t="b">
        <v>0</v>
      </c>
      <c r="F66" s="127"/>
      <c r="G66" s="129" t="s">
        <v>428</v>
      </c>
      <c r="H66" s="150" t="s">
        <v>123</v>
      </c>
      <c r="I66" s="131" t="s">
        <v>128</v>
      </c>
      <c r="J66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f870f35280fadaf3c3539ad54e3062cd</v>
      </c>
      <c r="K66" s="127"/>
      <c r="L66" s="127"/>
      <c r="M66" s="127"/>
      <c r="N66" s="150" t="s">
        <v>123</v>
      </c>
    </row>
    <row r="67" spans="2:14">
      <c r="B67" s="129" t="s">
        <v>225</v>
      </c>
      <c r="C67" s="130"/>
      <c r="D67" s="131"/>
      <c r="E67" s="129" t="b">
        <v>0</v>
      </c>
      <c r="F67" s="127"/>
      <c r="G67" s="129" t="s">
        <v>427</v>
      </c>
      <c r="H67" s="151" t="s">
        <v>123</v>
      </c>
      <c r="I67" s="131" t="s">
        <v>127</v>
      </c>
      <c r="J67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f870f35280fadaf3c3539ad54e3062cd</v>
      </c>
      <c r="K67" s="127"/>
      <c r="L67" s="127"/>
      <c r="M67" s="127"/>
      <c r="N67" s="151" t="s">
        <v>123</v>
      </c>
    </row>
    <row r="68" spans="2:14">
      <c r="B68" s="129" t="s">
        <v>212</v>
      </c>
      <c r="C68" s="130"/>
      <c r="D68" s="131"/>
      <c r="E68" s="129" t="b">
        <v>0</v>
      </c>
      <c r="F68" s="127"/>
      <c r="G68" s="129" t="s">
        <v>114</v>
      </c>
      <c r="H68" s="150" t="s">
        <v>123</v>
      </c>
      <c r="I68" s="131" t="s">
        <v>124</v>
      </c>
      <c r="J68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f870f35280fadaf3c3539ad54e3062cd</v>
      </c>
      <c r="K68" s="127"/>
      <c r="L68" s="127"/>
      <c r="M68" s="127"/>
      <c r="N68" s="150" t="s">
        <v>123</v>
      </c>
    </row>
    <row r="69" spans="2:14">
      <c r="B69" s="129" t="s">
        <v>238</v>
      </c>
      <c r="C69" s="130"/>
      <c r="D69" s="131"/>
      <c r="E69" s="129" t="b">
        <v>0</v>
      </c>
      <c r="F69" s="127"/>
      <c r="G69" s="129" t="s">
        <v>430</v>
      </c>
      <c r="H69" s="151" t="s">
        <v>123</v>
      </c>
      <c r="I69" s="131" t="s">
        <v>130</v>
      </c>
      <c r="J69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f870f35280fadaf3c3539ad54e3062cd</v>
      </c>
      <c r="K69" s="127"/>
      <c r="L69" s="127"/>
      <c r="M69" s="127"/>
      <c r="N69" s="151" t="s">
        <v>123</v>
      </c>
    </row>
    <row r="70" spans="2:14">
      <c r="B70" s="129" t="s">
        <v>203</v>
      </c>
      <c r="C70" s="130"/>
      <c r="D70" s="131"/>
      <c r="E70" s="129" t="b">
        <v>0</v>
      </c>
      <c r="F70" s="127"/>
      <c r="G70" s="129" t="s">
        <v>425</v>
      </c>
      <c r="H70" s="150" t="s">
        <v>95</v>
      </c>
      <c r="I70" s="131" t="s">
        <v>125</v>
      </c>
      <c r="J70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013119218f2e4bdd86aa9097992873f8</v>
      </c>
      <c r="K70" s="127"/>
      <c r="L70" s="127"/>
      <c r="M70" s="127"/>
      <c r="N70" s="150" t="s">
        <v>95</v>
      </c>
    </row>
    <row r="71" spans="2:14">
      <c r="B71" s="129" t="s">
        <v>214</v>
      </c>
      <c r="C71" s="130"/>
      <c r="D71" s="131"/>
      <c r="E71" s="129" t="b">
        <v>0</v>
      </c>
      <c r="F71" s="127"/>
      <c r="G71" s="129" t="s">
        <v>638</v>
      </c>
      <c r="H71" s="143" t="s">
        <v>106</v>
      </c>
      <c r="I71" s="131" t="s">
        <v>178</v>
      </c>
      <c r="J71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>3dafc6bd8d7c45ae9840ff09e01567d1</v>
      </c>
      <c r="K71" s="127"/>
      <c r="L71" s="127"/>
      <c r="M71" s="127"/>
      <c r="N71" s="127"/>
    </row>
    <row r="72" spans="2:14">
      <c r="B72" s="132" t="s">
        <v>83</v>
      </c>
      <c r="C72" s="130"/>
      <c r="D72" s="131"/>
      <c r="E72" s="129" t="b">
        <v>0</v>
      </c>
      <c r="F72" s="127"/>
      <c r="G72" s="129" t="s">
        <v>628</v>
      </c>
      <c r="H72" s="130"/>
      <c r="I72" s="131"/>
      <c r="J72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72" s="127"/>
      <c r="L72" s="127"/>
      <c r="M72" s="127"/>
      <c r="N72" s="127"/>
    </row>
    <row r="73" spans="2:14">
      <c r="B73" s="129" t="s">
        <v>240</v>
      </c>
      <c r="C73" s="130"/>
      <c r="D73" s="131"/>
      <c r="E73" s="129" t="b">
        <v>0</v>
      </c>
      <c r="F73" s="127"/>
      <c r="G73" s="129" t="s">
        <v>654</v>
      </c>
      <c r="H73" s="130"/>
      <c r="I73" s="131"/>
      <c r="J73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73" s="127"/>
      <c r="L73" s="127"/>
      <c r="M73" s="127"/>
      <c r="N73" s="127"/>
    </row>
    <row r="74" spans="2:14">
      <c r="B74" s="129" t="s">
        <v>93</v>
      </c>
      <c r="C74" s="130"/>
      <c r="D74" s="131"/>
      <c r="E74" s="129" t="b">
        <v>0</v>
      </c>
      <c r="F74" s="127"/>
      <c r="G74" s="129" t="s">
        <v>648</v>
      </c>
      <c r="H74" s="130"/>
      <c r="I74" s="131"/>
      <c r="J74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74" s="127"/>
      <c r="L74" s="127"/>
      <c r="M74" s="127"/>
      <c r="N74" s="127"/>
    </row>
    <row r="75" spans="2:14">
      <c r="B75" s="129" t="s">
        <v>255</v>
      </c>
      <c r="C75" s="130"/>
      <c r="D75" s="131"/>
      <c r="E75" s="129" t="b">
        <v>0</v>
      </c>
      <c r="F75" s="127"/>
      <c r="G75" s="129" t="s">
        <v>504</v>
      </c>
      <c r="H75" s="130"/>
      <c r="I75" s="131"/>
      <c r="J75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75" s="127"/>
      <c r="L75" s="127"/>
      <c r="M75" s="127"/>
      <c r="N75" s="127"/>
    </row>
    <row r="76" spans="2:14">
      <c r="B76" s="129" t="s">
        <v>222</v>
      </c>
      <c r="C76" s="130"/>
      <c r="D76" s="131"/>
      <c r="E76" s="129" t="b">
        <v>0</v>
      </c>
      <c r="F76" s="127"/>
      <c r="G76" s="129" t="s">
        <v>586</v>
      </c>
      <c r="H76" s="130"/>
      <c r="I76" s="131"/>
      <c r="J76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76" s="127"/>
      <c r="L76" s="127"/>
      <c r="M76" s="127"/>
      <c r="N76" s="127"/>
    </row>
    <row r="77" spans="2:14">
      <c r="B77" s="129" t="s">
        <v>92</v>
      </c>
      <c r="C77" s="130"/>
      <c r="D77" s="131"/>
      <c r="E77" s="129" t="b">
        <v>0</v>
      </c>
      <c r="F77" s="127"/>
      <c r="G77" s="129" t="s">
        <v>598</v>
      </c>
      <c r="H77" s="130"/>
      <c r="I77" s="131"/>
      <c r="J77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77" s="127"/>
      <c r="L77" s="127"/>
      <c r="M77" s="127"/>
      <c r="N77" s="127"/>
    </row>
    <row r="78" spans="2:14">
      <c r="B78" s="129" t="s">
        <v>232</v>
      </c>
      <c r="C78" s="130"/>
      <c r="D78" s="131"/>
      <c r="E78" s="129" t="b">
        <v>0</v>
      </c>
      <c r="F78" s="127"/>
      <c r="G78" s="129" t="s">
        <v>511</v>
      </c>
      <c r="H78" s="130"/>
      <c r="I78" s="131"/>
      <c r="J78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78" s="127"/>
      <c r="L78" s="127"/>
      <c r="M78" s="127"/>
      <c r="N78" s="127"/>
    </row>
    <row r="79" spans="2:14">
      <c r="B79" s="129" t="s">
        <v>194</v>
      </c>
      <c r="C79" s="130"/>
      <c r="D79" s="131"/>
      <c r="E79" s="129" t="b">
        <v>0</v>
      </c>
      <c r="F79" s="127"/>
      <c r="G79" s="129" t="s">
        <v>611</v>
      </c>
      <c r="H79" s="130"/>
      <c r="I79" s="131"/>
      <c r="J79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79" s="127"/>
      <c r="L79" s="127"/>
      <c r="M79" s="127"/>
      <c r="N79" s="127"/>
    </row>
    <row r="80" spans="2:14">
      <c r="B80" s="129" t="s">
        <v>185</v>
      </c>
      <c r="C80" s="130"/>
      <c r="D80" s="131"/>
      <c r="E80" s="129" t="b">
        <v>0</v>
      </c>
      <c r="F80" s="127"/>
      <c r="G80" s="129" t="s">
        <v>602</v>
      </c>
      <c r="H80" s="130"/>
      <c r="I80" s="131"/>
      <c r="J80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80" s="127"/>
      <c r="L80" s="127"/>
      <c r="M80" s="127"/>
      <c r="N80" s="127"/>
    </row>
    <row r="81" spans="2:14">
      <c r="B81" s="129" t="s">
        <v>213</v>
      </c>
      <c r="C81" s="130"/>
      <c r="D81" s="131"/>
      <c r="E81" s="129" t="b">
        <v>0</v>
      </c>
      <c r="F81" s="127"/>
      <c r="G81" s="129" t="s">
        <v>650</v>
      </c>
      <c r="H81" s="130"/>
      <c r="I81" s="131"/>
      <c r="J81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81" s="127"/>
      <c r="L81" s="127"/>
      <c r="M81" s="127"/>
      <c r="N81" s="127"/>
    </row>
    <row r="82" spans="2:14">
      <c r="B82" s="132" t="s">
        <v>249</v>
      </c>
      <c r="C82" s="130"/>
      <c r="D82" s="131"/>
      <c r="E82" s="129" t="b">
        <v>0</v>
      </c>
      <c r="F82" s="127"/>
      <c r="G82" s="129" t="s">
        <v>522</v>
      </c>
      <c r="H82" s="130"/>
      <c r="I82" s="131"/>
      <c r="J82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82" s="127"/>
      <c r="L82" s="127"/>
      <c r="M82" s="127"/>
      <c r="N82" s="127"/>
    </row>
    <row r="83" spans="2:14">
      <c r="B83" s="129" t="s">
        <v>183</v>
      </c>
      <c r="C83" s="130"/>
      <c r="D83" s="131"/>
      <c r="E83" s="129" t="b">
        <v>0</v>
      </c>
      <c r="F83" s="127"/>
      <c r="G83" s="129" t="s">
        <v>605</v>
      </c>
      <c r="H83" s="130"/>
      <c r="I83" s="131"/>
      <c r="J83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83" s="127"/>
      <c r="L83" s="127"/>
      <c r="M83" s="127"/>
      <c r="N83" s="127"/>
    </row>
    <row r="84" spans="2:14">
      <c r="B84" s="129" t="s">
        <v>223</v>
      </c>
      <c r="C84" s="130"/>
      <c r="D84" s="131"/>
      <c r="E84" s="129" t="b">
        <v>0</v>
      </c>
      <c r="F84" s="127"/>
      <c r="G84" s="129" t="s">
        <v>492</v>
      </c>
      <c r="H84" s="130"/>
      <c r="I84" s="131"/>
      <c r="J84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84" s="127"/>
      <c r="L84" s="127"/>
      <c r="M84" s="127"/>
      <c r="N84" s="127"/>
    </row>
    <row r="85" spans="2:14">
      <c r="B85" s="129" t="s">
        <v>253</v>
      </c>
      <c r="C85" s="130"/>
      <c r="D85" s="131"/>
      <c r="E85" s="129" t="b">
        <v>0</v>
      </c>
      <c r="F85" s="127"/>
      <c r="G85" s="129" t="s">
        <v>542</v>
      </c>
      <c r="H85" s="130"/>
      <c r="I85" s="131"/>
      <c r="J85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85" s="127"/>
      <c r="L85" s="127"/>
      <c r="M85" s="127"/>
      <c r="N85" s="127"/>
    </row>
    <row r="86" spans="2:14">
      <c r="B86" s="129" t="s">
        <v>188</v>
      </c>
      <c r="C86" s="130"/>
      <c r="D86" s="131"/>
      <c r="E86" s="129" t="b">
        <v>0</v>
      </c>
      <c r="F86" s="127"/>
      <c r="G86" s="129" t="s">
        <v>665</v>
      </c>
      <c r="H86" s="130"/>
      <c r="I86" s="131"/>
      <c r="J86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86" s="127"/>
      <c r="L86" s="127"/>
      <c r="M86" s="127"/>
      <c r="N86" s="127"/>
    </row>
    <row r="87" spans="2:14">
      <c r="B87" s="129" t="s">
        <v>196</v>
      </c>
      <c r="C87" s="130"/>
      <c r="D87" s="131"/>
      <c r="E87" s="129" t="b">
        <v>0</v>
      </c>
      <c r="F87" s="127"/>
      <c r="G87" s="129" t="s">
        <v>641</v>
      </c>
      <c r="H87" s="130"/>
      <c r="I87" s="131"/>
      <c r="J87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87" s="127"/>
      <c r="L87" s="127"/>
      <c r="M87" s="127"/>
      <c r="N87" s="127"/>
    </row>
    <row r="88" spans="2:14">
      <c r="B88" s="129" t="s">
        <v>218</v>
      </c>
      <c r="C88" s="130"/>
      <c r="D88" s="131"/>
      <c r="E88" s="129" t="b">
        <v>0</v>
      </c>
      <c r="F88" s="127"/>
      <c r="G88" s="129" t="s">
        <v>582</v>
      </c>
      <c r="H88" s="130"/>
      <c r="I88" s="131"/>
      <c r="J88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88" s="127"/>
      <c r="L88" s="127"/>
      <c r="M88" s="127"/>
      <c r="N88" s="127"/>
    </row>
    <row r="89" spans="2:14">
      <c r="B89" s="129" t="s">
        <v>220</v>
      </c>
      <c r="C89" s="130"/>
      <c r="D89" s="131"/>
      <c r="E89" s="129" t="b">
        <v>0</v>
      </c>
      <c r="F89" s="127"/>
      <c r="G89" s="129" t="s">
        <v>593</v>
      </c>
      <c r="H89" s="130"/>
      <c r="I89" s="131"/>
      <c r="J89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89" s="127"/>
      <c r="L89" s="127"/>
      <c r="M89" s="127"/>
      <c r="N89" s="127"/>
    </row>
    <row r="90" spans="2:14">
      <c r="B90" s="129" t="s">
        <v>191</v>
      </c>
      <c r="C90" s="130"/>
      <c r="D90" s="131"/>
      <c r="E90" s="129" t="b">
        <v>0</v>
      </c>
      <c r="F90" s="127"/>
      <c r="G90" s="129" t="s">
        <v>606</v>
      </c>
      <c r="H90" s="130"/>
      <c r="I90" s="131"/>
      <c r="J90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90" s="127"/>
      <c r="L90" s="127"/>
      <c r="M90" s="127"/>
      <c r="N90" s="127"/>
    </row>
    <row r="91" spans="2:14">
      <c r="B91" s="129" t="s">
        <v>209</v>
      </c>
      <c r="C91" s="130"/>
      <c r="D91" s="131"/>
      <c r="E91" s="129" t="b">
        <v>0</v>
      </c>
      <c r="F91" s="127"/>
      <c r="G91" s="129" t="s">
        <v>548</v>
      </c>
      <c r="H91" s="130"/>
      <c r="I91" s="131"/>
      <c r="J91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91" s="127"/>
      <c r="L91" s="127"/>
      <c r="M91" s="127"/>
      <c r="N91" s="127"/>
    </row>
    <row r="92" spans="2:14">
      <c r="B92" s="129" t="s">
        <v>252</v>
      </c>
      <c r="C92" s="130"/>
      <c r="D92" s="131"/>
      <c r="E92" s="129" t="b">
        <v>0</v>
      </c>
      <c r="F92" s="127"/>
      <c r="G92" s="129" t="s">
        <v>556</v>
      </c>
      <c r="H92" s="130"/>
      <c r="I92" s="131"/>
      <c r="J92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92" s="127"/>
      <c r="L92" s="127"/>
      <c r="M92" s="127"/>
      <c r="N92" s="127"/>
    </row>
    <row r="93" spans="2:14">
      <c r="B93" s="129" t="s">
        <v>210</v>
      </c>
      <c r="C93" s="130"/>
      <c r="D93" s="131"/>
      <c r="E93" s="129" t="b">
        <v>0</v>
      </c>
      <c r="F93" s="127"/>
      <c r="G93" s="129" t="s">
        <v>524</v>
      </c>
      <c r="H93" s="130"/>
      <c r="I93" s="131"/>
      <c r="J93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93" s="127"/>
      <c r="L93" s="127"/>
      <c r="M93" s="127"/>
      <c r="N93" s="127"/>
    </row>
    <row r="94" spans="2:14">
      <c r="B94" s="129" t="s">
        <v>205</v>
      </c>
      <c r="C94" s="130"/>
      <c r="D94" s="131"/>
      <c r="E94" s="129" t="b">
        <v>0</v>
      </c>
      <c r="F94" s="127"/>
      <c r="G94" s="132" t="s">
        <v>614</v>
      </c>
      <c r="H94" s="130"/>
      <c r="I94" s="131"/>
      <c r="J94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94" s="127"/>
      <c r="L94" s="127"/>
      <c r="M94" s="127"/>
      <c r="N94" s="127"/>
    </row>
    <row r="95" spans="2:14">
      <c r="B95" s="129" t="s">
        <v>198</v>
      </c>
      <c r="C95" s="130"/>
      <c r="D95" s="131"/>
      <c r="E95" s="129" t="b">
        <v>0</v>
      </c>
      <c r="F95" s="127"/>
      <c r="G95" s="129" t="s">
        <v>509</v>
      </c>
      <c r="H95" s="130"/>
      <c r="I95" s="131"/>
      <c r="J95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95" s="127"/>
      <c r="L95" s="127"/>
      <c r="M95" s="127"/>
      <c r="N95" s="127"/>
    </row>
    <row r="96" spans="2:14">
      <c r="B96" s="129" t="s">
        <v>246</v>
      </c>
      <c r="C96" s="130"/>
      <c r="D96" s="131"/>
      <c r="E96" s="129" t="b">
        <v>0</v>
      </c>
      <c r="F96" s="127"/>
      <c r="G96" s="129" t="s">
        <v>531</v>
      </c>
      <c r="H96" s="130"/>
      <c r="I96" s="131"/>
      <c r="J96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96" s="127"/>
      <c r="L96" s="127"/>
      <c r="M96" s="127"/>
      <c r="N96" s="127"/>
    </row>
    <row r="97" spans="2:14">
      <c r="B97" s="129" t="s">
        <v>200</v>
      </c>
      <c r="C97" s="130"/>
      <c r="D97" s="131"/>
      <c r="E97" s="129" t="b">
        <v>0</v>
      </c>
      <c r="F97" s="127"/>
      <c r="G97" s="129" t="s">
        <v>499</v>
      </c>
      <c r="H97" s="130"/>
      <c r="I97" s="131"/>
      <c r="J97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97" s="127"/>
      <c r="L97" s="127"/>
      <c r="M97" s="127"/>
      <c r="N97" s="127"/>
    </row>
    <row r="98" spans="2:14">
      <c r="B98" s="129" t="s">
        <v>199</v>
      </c>
      <c r="C98" s="130"/>
      <c r="D98" s="131"/>
      <c r="E98" s="129" t="b">
        <v>0</v>
      </c>
      <c r="F98" s="127"/>
      <c r="G98" s="129" t="s">
        <v>597</v>
      </c>
      <c r="H98" s="130"/>
      <c r="I98" s="131"/>
      <c r="J98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98" s="127"/>
      <c r="L98" s="127"/>
      <c r="M98" s="127"/>
      <c r="N98" s="127"/>
    </row>
    <row r="99" spans="2:14">
      <c r="B99" s="129" t="s">
        <v>224</v>
      </c>
      <c r="C99" s="130"/>
      <c r="D99" s="131"/>
      <c r="E99" s="129" t="b">
        <v>0</v>
      </c>
      <c r="F99" s="127"/>
      <c r="G99" s="129" t="s">
        <v>490</v>
      </c>
      <c r="H99" s="130"/>
      <c r="I99" s="131"/>
      <c r="J99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99" s="127"/>
      <c r="L99" s="127"/>
      <c r="M99" s="127"/>
      <c r="N99" s="127"/>
    </row>
    <row r="100" spans="2:14">
      <c r="B100" s="129" t="s">
        <v>195</v>
      </c>
      <c r="C100" s="130"/>
      <c r="D100" s="131"/>
      <c r="E100" s="129" t="b">
        <v>0</v>
      </c>
      <c r="F100" s="127"/>
      <c r="G100" s="129" t="s">
        <v>578</v>
      </c>
      <c r="H100" s="130"/>
      <c r="I100" s="131"/>
      <c r="J100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00" s="127"/>
      <c r="L100" s="127"/>
      <c r="M100" s="127"/>
      <c r="N100" s="127"/>
    </row>
    <row r="101" spans="2:14">
      <c r="B101" s="129" t="s">
        <v>208</v>
      </c>
      <c r="C101" s="130"/>
      <c r="D101" s="131"/>
      <c r="E101" s="129" t="b">
        <v>0</v>
      </c>
      <c r="F101" s="127"/>
      <c r="G101" s="129" t="s">
        <v>489</v>
      </c>
      <c r="H101" s="130"/>
      <c r="I101" s="131"/>
      <c r="J101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01" s="127"/>
      <c r="L101" s="127"/>
      <c r="M101" s="127"/>
      <c r="N101" s="127"/>
    </row>
    <row r="102" spans="2:14">
      <c r="B102" s="129" t="s">
        <v>78</v>
      </c>
      <c r="C102" s="130"/>
      <c r="D102" s="131"/>
      <c r="E102" s="129" t="b">
        <v>0</v>
      </c>
      <c r="F102" s="127"/>
      <c r="G102" s="129" t="s">
        <v>624</v>
      </c>
      <c r="H102" s="130"/>
      <c r="I102" s="131"/>
      <c r="J102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02" s="127"/>
      <c r="L102" s="127"/>
      <c r="M102" s="127"/>
      <c r="N102" s="127"/>
    </row>
    <row r="103" spans="2:14">
      <c r="B103" s="129" t="s">
        <v>229</v>
      </c>
      <c r="C103" s="130"/>
      <c r="D103" s="131"/>
      <c r="E103" s="129" t="b">
        <v>0</v>
      </c>
      <c r="F103" s="127"/>
      <c r="G103" s="129" t="s">
        <v>595</v>
      </c>
      <c r="H103" s="130"/>
      <c r="I103" s="131"/>
      <c r="J103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03" s="127"/>
      <c r="L103" s="127"/>
      <c r="M103" s="127"/>
      <c r="N103" s="127"/>
    </row>
    <row r="104" spans="2:14">
      <c r="B104" s="129" t="s">
        <v>189</v>
      </c>
      <c r="C104" s="130"/>
      <c r="D104" s="131"/>
      <c r="E104" s="129" t="b">
        <v>0</v>
      </c>
      <c r="F104" s="127"/>
      <c r="G104" s="129" t="s">
        <v>534</v>
      </c>
      <c r="H104" s="130"/>
      <c r="I104" s="131"/>
      <c r="J104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04" s="127"/>
      <c r="L104" s="127"/>
      <c r="M104" s="127"/>
      <c r="N104" s="127"/>
    </row>
    <row r="105" spans="2:14">
      <c r="B105" s="129" t="s">
        <v>236</v>
      </c>
      <c r="C105" s="130"/>
      <c r="D105" s="131"/>
      <c r="E105" s="129" t="b">
        <v>0</v>
      </c>
      <c r="F105" s="127"/>
      <c r="G105" s="129" t="s">
        <v>491</v>
      </c>
      <c r="H105" s="130"/>
      <c r="I105" s="131"/>
      <c r="J105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05" s="127"/>
      <c r="L105" s="127"/>
      <c r="M105" s="127"/>
      <c r="N105" s="127"/>
    </row>
    <row r="106" spans="2:14">
      <c r="B106" s="129" t="s">
        <v>280</v>
      </c>
      <c r="C106" s="130"/>
      <c r="D106" s="131"/>
      <c r="E106" s="129"/>
      <c r="F106" s="127"/>
      <c r="G106" s="129" t="s">
        <v>610</v>
      </c>
      <c r="H106" s="130"/>
      <c r="I106" s="131"/>
      <c r="J106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06" s="127"/>
      <c r="L106" s="127"/>
      <c r="M106" s="127"/>
      <c r="N106" s="127"/>
    </row>
    <row r="107" spans="2:14">
      <c r="B107" s="129" t="s">
        <v>352</v>
      </c>
      <c r="C107" s="130"/>
      <c r="D107" s="131"/>
      <c r="E107" s="129"/>
      <c r="F107" s="127"/>
      <c r="G107" s="129" t="s">
        <v>594</v>
      </c>
      <c r="H107" s="130"/>
      <c r="I107" s="131"/>
      <c r="J107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07" s="127"/>
      <c r="L107" s="127"/>
      <c r="M107" s="127"/>
      <c r="N107" s="127"/>
    </row>
    <row r="108" spans="2:14">
      <c r="B108" s="129" t="s">
        <v>418</v>
      </c>
      <c r="C108" s="130"/>
      <c r="D108" s="131"/>
      <c r="E108" s="129"/>
      <c r="F108" s="127"/>
      <c r="G108" s="129" t="s">
        <v>570</v>
      </c>
      <c r="H108" s="130"/>
      <c r="I108" s="131"/>
      <c r="J108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08" s="127"/>
      <c r="L108" s="127"/>
      <c r="M108" s="127"/>
      <c r="N108" s="127"/>
    </row>
    <row r="109" spans="2:14">
      <c r="B109" s="129" t="s">
        <v>368</v>
      </c>
      <c r="C109" s="130"/>
      <c r="D109" s="131"/>
      <c r="E109" s="129"/>
      <c r="F109" s="127"/>
      <c r="G109" s="129" t="s">
        <v>618</v>
      </c>
      <c r="H109" s="130"/>
      <c r="I109" s="131"/>
      <c r="J109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09" s="127"/>
      <c r="L109" s="127"/>
      <c r="M109" s="127"/>
      <c r="N109" s="127"/>
    </row>
    <row r="110" spans="2:14">
      <c r="B110" s="129" t="s">
        <v>387</v>
      </c>
      <c r="C110" s="130"/>
      <c r="D110" s="131"/>
      <c r="E110" s="129"/>
      <c r="F110" s="127"/>
      <c r="G110" s="129" t="s">
        <v>658</v>
      </c>
      <c r="H110" s="130"/>
      <c r="I110" s="131"/>
      <c r="J110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10" s="127"/>
      <c r="L110" s="127"/>
      <c r="M110" s="127"/>
      <c r="N110" s="127"/>
    </row>
    <row r="111" spans="2:14">
      <c r="B111" s="129" t="s">
        <v>315</v>
      </c>
      <c r="C111" s="130"/>
      <c r="D111" s="131"/>
      <c r="E111" s="129"/>
      <c r="F111" s="127"/>
      <c r="G111" s="129" t="s">
        <v>616</v>
      </c>
      <c r="H111" s="130"/>
      <c r="I111" s="131"/>
      <c r="J111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11" s="127"/>
      <c r="L111" s="127"/>
      <c r="M111" s="127"/>
      <c r="N111" s="127"/>
    </row>
    <row r="112" spans="2:14">
      <c r="B112" s="129" t="s">
        <v>264</v>
      </c>
      <c r="C112" s="130"/>
      <c r="D112" s="131"/>
      <c r="E112" s="129"/>
      <c r="F112" s="127"/>
      <c r="G112" s="129" t="s">
        <v>536</v>
      </c>
      <c r="H112" s="130"/>
      <c r="I112" s="131"/>
      <c r="J112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12" s="127"/>
      <c r="L112" s="127"/>
      <c r="M112" s="127"/>
      <c r="N112" s="127"/>
    </row>
    <row r="113" spans="2:14">
      <c r="B113" s="129" t="s">
        <v>374</v>
      </c>
      <c r="C113" s="130"/>
      <c r="D113" s="131"/>
      <c r="E113" s="129"/>
      <c r="F113" s="127"/>
      <c r="G113" s="129" t="s">
        <v>646</v>
      </c>
      <c r="H113" s="130"/>
      <c r="I113" s="131"/>
      <c r="J113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13" s="127"/>
      <c r="L113" s="127"/>
      <c r="M113" s="127"/>
      <c r="N113" s="127"/>
    </row>
    <row r="114" spans="2:14">
      <c r="B114" s="129" t="s">
        <v>392</v>
      </c>
      <c r="C114" s="130"/>
      <c r="D114" s="131"/>
      <c r="E114" s="129"/>
      <c r="F114" s="127"/>
      <c r="G114" s="129" t="s">
        <v>553</v>
      </c>
      <c r="H114" s="130"/>
      <c r="I114" s="131"/>
      <c r="J114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14" s="127"/>
      <c r="L114" s="127"/>
      <c r="M114" s="127"/>
      <c r="N114" s="127"/>
    </row>
    <row r="115" spans="2:14">
      <c r="B115" s="129" t="s">
        <v>327</v>
      </c>
      <c r="C115" s="130"/>
      <c r="D115" s="131"/>
      <c r="E115" s="129"/>
      <c r="F115" s="127"/>
      <c r="G115" s="129" t="s">
        <v>621</v>
      </c>
      <c r="H115" s="130"/>
      <c r="I115" s="131"/>
      <c r="J115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15" s="127"/>
      <c r="L115" s="127"/>
      <c r="M115" s="127"/>
      <c r="N115" s="127"/>
    </row>
    <row r="116" spans="2:14">
      <c r="B116" s="129" t="s">
        <v>363</v>
      </c>
      <c r="C116" s="130"/>
      <c r="D116" s="131"/>
      <c r="E116" s="129"/>
      <c r="F116" s="127"/>
      <c r="G116" s="129" t="s">
        <v>494</v>
      </c>
      <c r="H116" s="130"/>
      <c r="I116" s="131"/>
      <c r="J116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16" s="127"/>
      <c r="L116" s="127"/>
      <c r="M116" s="127"/>
      <c r="N116" s="127"/>
    </row>
    <row r="117" spans="2:14">
      <c r="B117" s="129" t="s">
        <v>335</v>
      </c>
      <c r="C117" s="130"/>
      <c r="D117" s="131"/>
      <c r="E117" s="129"/>
      <c r="F117" s="127"/>
      <c r="G117" s="129" t="s">
        <v>599</v>
      </c>
      <c r="H117" s="130"/>
      <c r="I117" s="131"/>
      <c r="J117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17" s="127"/>
      <c r="L117" s="127"/>
      <c r="M117" s="127"/>
      <c r="N117" s="127"/>
    </row>
    <row r="118" spans="2:14">
      <c r="B118" s="129" t="s">
        <v>411</v>
      </c>
      <c r="C118" s="130"/>
      <c r="D118" s="131"/>
      <c r="E118" s="129"/>
      <c r="F118" s="127"/>
      <c r="G118" s="129" t="s">
        <v>497</v>
      </c>
      <c r="H118" s="130"/>
      <c r="I118" s="131"/>
      <c r="J118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18" s="127"/>
      <c r="L118" s="127"/>
      <c r="M118" s="127"/>
      <c r="N118" s="127"/>
    </row>
    <row r="119" spans="2:14">
      <c r="B119" s="129" t="s">
        <v>275</v>
      </c>
      <c r="C119" s="130"/>
      <c r="D119" s="131"/>
      <c r="E119" s="129"/>
      <c r="F119" s="127"/>
      <c r="G119" s="129" t="s">
        <v>603</v>
      </c>
      <c r="H119" s="130"/>
      <c r="I119" s="131"/>
      <c r="J119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19" s="127"/>
      <c r="L119" s="127"/>
      <c r="M119" s="127"/>
      <c r="N119" s="127"/>
    </row>
    <row r="120" spans="2:14">
      <c r="B120" s="129" t="s">
        <v>307</v>
      </c>
      <c r="C120" s="130"/>
      <c r="D120" s="131"/>
      <c r="E120" s="129"/>
      <c r="F120" s="127"/>
      <c r="G120" s="129" t="s">
        <v>600</v>
      </c>
      <c r="H120" s="130"/>
      <c r="I120" s="131"/>
      <c r="J120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20" s="127"/>
      <c r="L120" s="127"/>
      <c r="M120" s="127"/>
      <c r="N120" s="127"/>
    </row>
    <row r="121" spans="2:14">
      <c r="B121" s="129" t="s">
        <v>397</v>
      </c>
      <c r="C121" s="130"/>
      <c r="D121" s="131"/>
      <c r="E121" s="129"/>
      <c r="F121" s="127"/>
      <c r="G121" s="129" t="s">
        <v>559</v>
      </c>
      <c r="H121" s="130"/>
      <c r="I121" s="131"/>
      <c r="J121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21" s="127"/>
      <c r="L121" s="127"/>
      <c r="M121" s="127"/>
      <c r="N121" s="127"/>
    </row>
    <row r="122" spans="2:14">
      <c r="B122" s="129" t="s">
        <v>263</v>
      </c>
      <c r="C122" s="130"/>
      <c r="D122" s="131"/>
      <c r="E122" s="129"/>
      <c r="F122" s="127"/>
      <c r="G122" s="129" t="s">
        <v>625</v>
      </c>
      <c r="H122" s="130"/>
      <c r="I122" s="131"/>
      <c r="J122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22" s="127"/>
      <c r="L122" s="127"/>
      <c r="M122" s="127"/>
      <c r="N122" s="127"/>
    </row>
    <row r="123" spans="2:14">
      <c r="B123" s="129" t="s">
        <v>398</v>
      </c>
      <c r="C123" s="130"/>
      <c r="D123" s="131"/>
      <c r="E123" s="129"/>
      <c r="F123" s="127"/>
      <c r="G123" s="129" t="s">
        <v>538</v>
      </c>
      <c r="H123" s="130"/>
      <c r="I123" s="131"/>
      <c r="J123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23" s="127"/>
      <c r="L123" s="127"/>
      <c r="M123" s="127"/>
      <c r="N123" s="127"/>
    </row>
    <row r="124" spans="2:14">
      <c r="B124" s="129" t="s">
        <v>376</v>
      </c>
      <c r="C124" s="130"/>
      <c r="D124" s="131"/>
      <c r="E124" s="129"/>
      <c r="F124" s="127"/>
      <c r="G124" s="129" t="s">
        <v>549</v>
      </c>
      <c r="H124" s="130"/>
      <c r="I124" s="131"/>
      <c r="J124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24" s="127"/>
      <c r="L124" s="127"/>
      <c r="M124" s="127"/>
      <c r="N124" s="127"/>
    </row>
    <row r="125" spans="2:14">
      <c r="B125" s="129" t="s">
        <v>362</v>
      </c>
      <c r="C125" s="130"/>
      <c r="D125" s="131"/>
      <c r="E125" s="129"/>
      <c r="F125" s="127"/>
      <c r="G125" s="129" t="s">
        <v>550</v>
      </c>
      <c r="H125" s="130"/>
      <c r="I125" s="131"/>
      <c r="J125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25" s="127"/>
      <c r="L125" s="127"/>
      <c r="M125" s="127"/>
      <c r="N125" s="127"/>
    </row>
    <row r="126" spans="2:14">
      <c r="B126" s="129" t="s">
        <v>262</v>
      </c>
      <c r="C126" s="130"/>
      <c r="D126" s="131"/>
      <c r="E126" s="129"/>
      <c r="F126" s="127"/>
      <c r="G126" s="129" t="s">
        <v>487</v>
      </c>
      <c r="H126" s="130"/>
      <c r="I126" s="131"/>
      <c r="J126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26" s="127"/>
      <c r="L126" s="127"/>
      <c r="M126" s="127"/>
      <c r="N126" s="127"/>
    </row>
    <row r="127" spans="2:14">
      <c r="B127" s="132" t="s">
        <v>299</v>
      </c>
      <c r="C127" s="130"/>
      <c r="D127" s="131"/>
      <c r="E127" s="129"/>
      <c r="F127" s="127"/>
      <c r="G127" s="129" t="s">
        <v>527</v>
      </c>
      <c r="H127" s="130"/>
      <c r="I127" s="131"/>
      <c r="J127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27" s="127"/>
      <c r="L127" s="127"/>
      <c r="M127" s="127"/>
      <c r="N127" s="127"/>
    </row>
    <row r="128" spans="2:14">
      <c r="B128" s="129" t="s">
        <v>406</v>
      </c>
      <c r="C128" s="130"/>
      <c r="D128" s="131"/>
      <c r="E128" s="129"/>
      <c r="F128" s="127"/>
      <c r="G128" s="129" t="s">
        <v>643</v>
      </c>
      <c r="H128" s="130"/>
      <c r="I128" s="131"/>
      <c r="J128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28" s="127"/>
      <c r="L128" s="127"/>
      <c r="M128" s="127"/>
      <c r="N128" s="127"/>
    </row>
    <row r="129" spans="2:14">
      <c r="B129" s="129" t="s">
        <v>353</v>
      </c>
      <c r="C129" s="130"/>
      <c r="D129" s="131"/>
      <c r="E129" s="129"/>
      <c r="F129" s="127"/>
      <c r="G129" s="129" t="s">
        <v>540</v>
      </c>
      <c r="H129" s="130"/>
      <c r="I129" s="131"/>
      <c r="J129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29" s="127"/>
      <c r="L129" s="127"/>
      <c r="M129" s="127"/>
      <c r="N129" s="127"/>
    </row>
    <row r="130" spans="2:14">
      <c r="B130" s="129" t="s">
        <v>348</v>
      </c>
      <c r="C130" s="130"/>
      <c r="D130" s="131"/>
      <c r="E130" s="129"/>
      <c r="F130" s="127"/>
      <c r="G130" s="129" t="s">
        <v>564</v>
      </c>
      <c r="H130" s="130"/>
      <c r="I130" s="131"/>
      <c r="J130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30" s="127"/>
      <c r="L130" s="127"/>
      <c r="M130" s="127"/>
      <c r="N130" s="127"/>
    </row>
    <row r="131" spans="2:14">
      <c r="B131" s="129" t="s">
        <v>417</v>
      </c>
      <c r="C131" s="130"/>
      <c r="D131" s="131"/>
      <c r="E131" s="129"/>
      <c r="F131" s="127"/>
      <c r="G131" s="129" t="s">
        <v>528</v>
      </c>
      <c r="H131" s="130"/>
      <c r="I131" s="131"/>
      <c r="J131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31" s="127"/>
      <c r="L131" s="127"/>
      <c r="M131" s="127"/>
      <c r="N131" s="127"/>
    </row>
    <row r="132" spans="2:14">
      <c r="B132" s="129" t="s">
        <v>318</v>
      </c>
      <c r="C132" s="130"/>
      <c r="D132" s="131"/>
      <c r="E132" s="129"/>
      <c r="F132" s="127"/>
      <c r="G132" s="129" t="s">
        <v>659</v>
      </c>
      <c r="H132" s="130"/>
      <c r="I132" s="131"/>
      <c r="J132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32" s="127"/>
      <c r="L132" s="127"/>
      <c r="M132" s="127"/>
      <c r="N132" s="127"/>
    </row>
    <row r="133" spans="2:14">
      <c r="B133" s="129" t="s">
        <v>421</v>
      </c>
      <c r="C133" s="130"/>
      <c r="D133" s="131"/>
      <c r="E133" s="129"/>
      <c r="F133" s="127"/>
      <c r="G133" s="129" t="s">
        <v>617</v>
      </c>
      <c r="H133" s="130"/>
      <c r="I133" s="131"/>
      <c r="J133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33" s="127"/>
      <c r="L133" s="127"/>
      <c r="M133" s="127"/>
      <c r="N133" s="127"/>
    </row>
    <row r="134" spans="2:14">
      <c r="B134" s="129" t="s">
        <v>401</v>
      </c>
      <c r="C134" s="130"/>
      <c r="D134" s="131"/>
      <c r="E134" s="129"/>
      <c r="F134" s="127"/>
      <c r="G134" s="129" t="s">
        <v>544</v>
      </c>
      <c r="H134" s="130"/>
      <c r="I134" s="131"/>
      <c r="J134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34" s="127"/>
      <c r="L134" s="127"/>
      <c r="M134" s="127"/>
      <c r="N134" s="127"/>
    </row>
    <row r="135" spans="2:14">
      <c r="B135" s="129" t="s">
        <v>345</v>
      </c>
      <c r="C135" s="130"/>
      <c r="D135" s="131"/>
      <c r="E135" s="129"/>
      <c r="F135" s="127"/>
      <c r="G135" s="129" t="s">
        <v>574</v>
      </c>
      <c r="H135" s="130"/>
      <c r="I135" s="131"/>
      <c r="J135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35" s="127"/>
      <c r="L135" s="127"/>
      <c r="M135" s="127"/>
      <c r="N135" s="127"/>
    </row>
    <row r="136" spans="2:14">
      <c r="B136" s="129" t="s">
        <v>412</v>
      </c>
      <c r="C136" s="130"/>
      <c r="D136" s="131"/>
      <c r="E136" s="129"/>
      <c r="F136" s="127"/>
      <c r="G136" s="129" t="s">
        <v>642</v>
      </c>
      <c r="H136" s="130"/>
      <c r="I136" s="131"/>
      <c r="J136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36" s="127"/>
      <c r="L136" s="127"/>
      <c r="M136" s="127"/>
      <c r="N136" s="127"/>
    </row>
    <row r="137" spans="2:14">
      <c r="B137" s="129" t="s">
        <v>289</v>
      </c>
      <c r="C137" s="130"/>
      <c r="D137" s="131"/>
      <c r="E137" s="129"/>
      <c r="F137" s="127"/>
      <c r="G137" s="129" t="s">
        <v>495</v>
      </c>
      <c r="H137" s="130"/>
      <c r="I137" s="131"/>
      <c r="J137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37" s="127"/>
      <c r="L137" s="127"/>
      <c r="M137" s="127"/>
      <c r="N137" s="127"/>
    </row>
    <row r="138" spans="2:14">
      <c r="B138" s="129" t="s">
        <v>423</v>
      </c>
      <c r="C138" s="130"/>
      <c r="D138" s="131"/>
      <c r="E138" s="129"/>
      <c r="F138" s="127"/>
      <c r="G138" s="129" t="s">
        <v>558</v>
      </c>
      <c r="H138" s="130"/>
      <c r="I138" s="131"/>
      <c r="J138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38" s="127"/>
      <c r="L138" s="127"/>
      <c r="M138" s="127"/>
      <c r="N138" s="127"/>
    </row>
    <row r="139" spans="2:14">
      <c r="B139" s="129" t="s">
        <v>413</v>
      </c>
      <c r="C139" s="130"/>
      <c r="D139" s="131"/>
      <c r="E139" s="129"/>
      <c r="F139" s="127"/>
      <c r="G139" s="129" t="s">
        <v>510</v>
      </c>
      <c r="H139" s="130"/>
      <c r="I139" s="131"/>
      <c r="J139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39" s="127"/>
      <c r="L139" s="127"/>
      <c r="M139" s="127"/>
      <c r="N139" s="127"/>
    </row>
    <row r="140" spans="2:14">
      <c r="B140" s="129" t="s">
        <v>359</v>
      </c>
      <c r="C140" s="130"/>
      <c r="D140" s="131"/>
      <c r="E140" s="129"/>
      <c r="F140" s="127"/>
      <c r="G140" s="129" t="s">
        <v>666</v>
      </c>
      <c r="H140" s="130"/>
      <c r="I140" s="131"/>
      <c r="J140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40" s="127"/>
      <c r="L140" s="127"/>
      <c r="M140" s="127"/>
      <c r="N140" s="127"/>
    </row>
    <row r="141" spans="2:14">
      <c r="B141" s="129" t="s">
        <v>343</v>
      </c>
      <c r="C141" s="130"/>
      <c r="D141" s="131"/>
      <c r="E141" s="129"/>
      <c r="F141" s="127"/>
      <c r="G141" s="129" t="s">
        <v>601</v>
      </c>
      <c r="H141" s="130"/>
      <c r="I141" s="131"/>
      <c r="J141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41" s="127"/>
      <c r="L141" s="127"/>
      <c r="M141" s="127"/>
      <c r="N141" s="127"/>
    </row>
    <row r="142" spans="2:14">
      <c r="B142" s="129" t="s">
        <v>340</v>
      </c>
      <c r="C142" s="130"/>
      <c r="D142" s="131"/>
      <c r="E142" s="129"/>
      <c r="F142" s="127"/>
      <c r="G142" s="129" t="s">
        <v>607</v>
      </c>
      <c r="H142" s="130"/>
      <c r="I142" s="131"/>
      <c r="J142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42" s="127"/>
      <c r="L142" s="127"/>
      <c r="M142" s="127"/>
      <c r="N142" s="127"/>
    </row>
    <row r="143" spans="2:14">
      <c r="B143" s="129" t="s">
        <v>288</v>
      </c>
      <c r="C143" s="130"/>
      <c r="D143" s="131"/>
      <c r="E143" s="129"/>
      <c r="F143" s="127"/>
      <c r="G143" s="129" t="s">
        <v>644</v>
      </c>
      <c r="H143" s="130"/>
      <c r="I143" s="131"/>
      <c r="J143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43" s="127"/>
      <c r="L143" s="127"/>
      <c r="M143" s="127"/>
      <c r="N143" s="127"/>
    </row>
    <row r="144" spans="2:14">
      <c r="B144" s="129" t="s">
        <v>312</v>
      </c>
      <c r="C144" s="130"/>
      <c r="D144" s="131"/>
      <c r="E144" s="129"/>
      <c r="F144" s="127"/>
      <c r="G144" s="129" t="s">
        <v>596</v>
      </c>
      <c r="H144" s="130"/>
      <c r="I144" s="131"/>
      <c r="J144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44" s="127"/>
      <c r="L144" s="127"/>
      <c r="M144" s="127"/>
      <c r="N144" s="127"/>
    </row>
    <row r="145" spans="2:14">
      <c r="B145" s="129" t="s">
        <v>424</v>
      </c>
      <c r="C145" s="130"/>
      <c r="D145" s="131"/>
      <c r="E145" s="129"/>
      <c r="F145" s="127"/>
      <c r="G145" s="129" t="s">
        <v>539</v>
      </c>
      <c r="H145" s="130"/>
      <c r="I145" s="131"/>
      <c r="J145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45" s="127"/>
      <c r="L145" s="127"/>
      <c r="M145" s="127"/>
      <c r="N145" s="127"/>
    </row>
    <row r="146" spans="2:14">
      <c r="B146" s="129" t="s">
        <v>361</v>
      </c>
      <c r="C146" s="130"/>
      <c r="D146" s="131"/>
      <c r="E146" s="129"/>
      <c r="F146" s="127"/>
      <c r="G146" s="129" t="s">
        <v>661</v>
      </c>
      <c r="H146" s="130"/>
      <c r="I146" s="131"/>
      <c r="J146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46" s="127"/>
      <c r="L146" s="127"/>
      <c r="M146" s="127"/>
      <c r="N146" s="127"/>
    </row>
    <row r="147" spans="2:14">
      <c r="B147" s="129" t="s">
        <v>269</v>
      </c>
      <c r="C147" s="130"/>
      <c r="D147" s="131"/>
      <c r="E147" s="129"/>
      <c r="F147" s="127"/>
      <c r="G147" s="129" t="s">
        <v>667</v>
      </c>
      <c r="H147" s="130"/>
      <c r="I147" s="131"/>
      <c r="J147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47" s="127"/>
      <c r="L147" s="127"/>
      <c r="M147" s="127"/>
      <c r="N147" s="127"/>
    </row>
    <row r="148" spans="2:14">
      <c r="B148" s="129" t="s">
        <v>372</v>
      </c>
      <c r="C148" s="130"/>
      <c r="D148" s="131"/>
      <c r="E148" s="129"/>
      <c r="F148" s="127"/>
      <c r="G148" s="129" t="s">
        <v>505</v>
      </c>
      <c r="H148" s="130"/>
      <c r="I148" s="131"/>
      <c r="J148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48" s="127"/>
      <c r="L148" s="127"/>
      <c r="M148" s="127"/>
      <c r="N148" s="127"/>
    </row>
    <row r="149" spans="2:14">
      <c r="B149" s="129" t="s">
        <v>302</v>
      </c>
      <c r="C149" s="130"/>
      <c r="D149" s="131"/>
      <c r="E149" s="129"/>
      <c r="F149" s="127"/>
      <c r="G149" s="129" t="s">
        <v>501</v>
      </c>
      <c r="H149" s="130"/>
      <c r="I149" s="131"/>
      <c r="J149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49" s="127"/>
      <c r="L149" s="127"/>
      <c r="M149" s="127"/>
      <c r="N149" s="127"/>
    </row>
    <row r="150" spans="2:14">
      <c r="B150" s="129" t="s">
        <v>407</v>
      </c>
      <c r="C150" s="130"/>
      <c r="D150" s="131"/>
      <c r="E150" s="129"/>
      <c r="F150" s="127"/>
      <c r="G150" s="129" t="s">
        <v>546</v>
      </c>
      <c r="H150" s="130"/>
      <c r="I150" s="131"/>
      <c r="J150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50" s="127"/>
      <c r="L150" s="127"/>
      <c r="M150" s="127"/>
      <c r="N150" s="127"/>
    </row>
    <row r="151" spans="2:14">
      <c r="B151" s="129" t="s">
        <v>393</v>
      </c>
      <c r="C151" s="130"/>
      <c r="D151" s="131"/>
      <c r="E151" s="129"/>
      <c r="F151" s="127"/>
      <c r="G151" s="129" t="s">
        <v>579</v>
      </c>
      <c r="H151" s="130"/>
      <c r="I151" s="131"/>
      <c r="J151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51" s="127"/>
      <c r="L151" s="127"/>
      <c r="M151" s="127"/>
      <c r="N151" s="127"/>
    </row>
    <row r="152" spans="2:14">
      <c r="B152" s="129" t="s">
        <v>357</v>
      </c>
      <c r="C152" s="130"/>
      <c r="D152" s="131"/>
      <c r="E152" s="129"/>
      <c r="F152" s="127"/>
      <c r="G152" s="129" t="s">
        <v>515</v>
      </c>
      <c r="H152" s="130"/>
      <c r="I152" s="131"/>
      <c r="J152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52" s="127"/>
      <c r="L152" s="127"/>
      <c r="M152" s="127"/>
      <c r="N152" s="127"/>
    </row>
    <row r="153" spans="2:14">
      <c r="B153" s="129" t="s">
        <v>265</v>
      </c>
      <c r="C153" s="130"/>
      <c r="D153" s="131"/>
      <c r="E153" s="129"/>
      <c r="F153" s="127"/>
      <c r="G153" s="129" t="s">
        <v>581</v>
      </c>
      <c r="H153" s="130"/>
      <c r="I153" s="131"/>
      <c r="J153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53" s="127"/>
      <c r="L153" s="127"/>
      <c r="M153" s="127"/>
      <c r="N153" s="127"/>
    </row>
    <row r="154" spans="2:14">
      <c r="B154" s="129" t="s">
        <v>383</v>
      </c>
      <c r="C154" s="130"/>
      <c r="D154" s="131"/>
      <c r="E154" s="129"/>
      <c r="F154" s="127"/>
      <c r="G154" s="129" t="s">
        <v>525</v>
      </c>
      <c r="H154" s="130"/>
      <c r="I154" s="131"/>
      <c r="J154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54" s="127"/>
      <c r="L154" s="127"/>
      <c r="M154" s="127"/>
      <c r="N154" s="127"/>
    </row>
    <row r="155" spans="2:14">
      <c r="B155" s="129" t="s">
        <v>416</v>
      </c>
      <c r="C155" s="130"/>
      <c r="D155" s="131"/>
      <c r="E155" s="129"/>
      <c r="F155" s="127"/>
      <c r="G155" s="129" t="s">
        <v>500</v>
      </c>
      <c r="H155" s="130"/>
      <c r="I155" s="131"/>
      <c r="J155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55" s="127"/>
      <c r="L155" s="127"/>
      <c r="M155" s="127"/>
      <c r="N155" s="127"/>
    </row>
    <row r="156" spans="2:14">
      <c r="B156" s="129" t="s">
        <v>395</v>
      </c>
      <c r="C156" s="130"/>
      <c r="D156" s="131"/>
      <c r="E156" s="129"/>
      <c r="F156" s="127"/>
      <c r="G156" s="129" t="s">
        <v>493</v>
      </c>
      <c r="H156" s="130"/>
      <c r="I156" s="131"/>
      <c r="J156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56" s="127"/>
      <c r="L156" s="127"/>
      <c r="M156" s="127"/>
      <c r="N156" s="127"/>
    </row>
    <row r="157" spans="2:14">
      <c r="B157" s="129" t="s">
        <v>385</v>
      </c>
      <c r="C157" s="130"/>
      <c r="D157" s="131"/>
      <c r="E157" s="129"/>
      <c r="F157" s="127"/>
      <c r="G157" s="129" t="s">
        <v>526</v>
      </c>
      <c r="H157" s="130"/>
      <c r="I157" s="131"/>
      <c r="J157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57" s="127"/>
      <c r="L157" s="127"/>
      <c r="M157" s="127"/>
      <c r="N157" s="127"/>
    </row>
    <row r="158" spans="2:14">
      <c r="B158" s="129" t="s">
        <v>370</v>
      </c>
      <c r="C158" s="130"/>
      <c r="D158" s="131"/>
      <c r="E158" s="129"/>
      <c r="F158" s="127"/>
      <c r="G158" s="129" t="s">
        <v>532</v>
      </c>
      <c r="H158" s="130"/>
      <c r="I158" s="131"/>
      <c r="J158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58" s="127"/>
      <c r="L158" s="127"/>
      <c r="M158" s="127"/>
      <c r="N158" s="127"/>
    </row>
    <row r="159" spans="2:14">
      <c r="B159" s="129" t="s">
        <v>339</v>
      </c>
      <c r="C159" s="130"/>
      <c r="D159" s="131"/>
      <c r="E159" s="129"/>
      <c r="F159" s="127"/>
      <c r="G159" s="129" t="s">
        <v>577</v>
      </c>
      <c r="H159" s="130"/>
      <c r="I159" s="131"/>
      <c r="J159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59" s="127"/>
      <c r="L159" s="127"/>
      <c r="M159" s="127"/>
      <c r="N159" s="127"/>
    </row>
    <row r="160" spans="2:14">
      <c r="B160" s="129" t="s">
        <v>396</v>
      </c>
      <c r="C160" s="130"/>
      <c r="D160" s="131"/>
      <c r="E160" s="129"/>
      <c r="F160" s="127"/>
      <c r="G160" s="129" t="s">
        <v>609</v>
      </c>
      <c r="H160" s="130"/>
      <c r="I160" s="131"/>
      <c r="J160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60" s="127"/>
      <c r="L160" s="127"/>
      <c r="M160" s="127"/>
      <c r="N160" s="127"/>
    </row>
    <row r="161" spans="2:14">
      <c r="B161" s="129" t="s">
        <v>293</v>
      </c>
      <c r="C161" s="130"/>
      <c r="D161" s="131"/>
      <c r="E161" s="129"/>
      <c r="F161" s="127"/>
      <c r="G161" s="129" t="s">
        <v>537</v>
      </c>
      <c r="H161" s="130"/>
      <c r="I161" s="131"/>
      <c r="J161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61" s="127"/>
      <c r="L161" s="127"/>
      <c r="M161" s="127"/>
      <c r="N161" s="127"/>
    </row>
    <row r="162" spans="2:14">
      <c r="B162" s="129" t="s">
        <v>404</v>
      </c>
      <c r="C162" s="130"/>
      <c r="D162" s="131"/>
      <c r="E162" s="129"/>
      <c r="F162" s="127"/>
      <c r="G162" s="129" t="s">
        <v>506</v>
      </c>
      <c r="H162" s="130"/>
      <c r="I162" s="131"/>
      <c r="J162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62" s="127"/>
      <c r="L162" s="127"/>
      <c r="M162" s="127"/>
      <c r="N162" s="127"/>
    </row>
    <row r="163" spans="2:14">
      <c r="B163" s="129" t="s">
        <v>322</v>
      </c>
      <c r="C163" s="130"/>
      <c r="D163" s="131"/>
      <c r="E163" s="129"/>
      <c r="F163" s="127"/>
      <c r="G163" s="129" t="s">
        <v>554</v>
      </c>
      <c r="H163" s="130"/>
      <c r="I163" s="131"/>
      <c r="J163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63" s="127"/>
      <c r="L163" s="127"/>
      <c r="M163" s="127"/>
      <c r="N163" s="127"/>
    </row>
    <row r="164" spans="2:14">
      <c r="B164" s="132" t="s">
        <v>261</v>
      </c>
      <c r="C164" s="130"/>
      <c r="D164" s="131"/>
      <c r="E164" s="129"/>
      <c r="F164" s="127"/>
      <c r="G164" s="129" t="s">
        <v>516</v>
      </c>
      <c r="H164" s="130"/>
      <c r="I164" s="131"/>
      <c r="J164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64" s="127"/>
      <c r="L164" s="127"/>
      <c r="M164" s="127"/>
      <c r="N164" s="127"/>
    </row>
    <row r="165" spans="2:14">
      <c r="B165" s="129" t="s">
        <v>298</v>
      </c>
      <c r="C165" s="130"/>
      <c r="D165" s="131"/>
      <c r="E165" s="129"/>
      <c r="F165" s="127"/>
      <c r="G165" s="129" t="s">
        <v>626</v>
      </c>
      <c r="H165" s="130"/>
      <c r="I165" s="131"/>
      <c r="J165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65" s="127"/>
      <c r="L165" s="127"/>
      <c r="M165" s="127"/>
      <c r="N165" s="127"/>
    </row>
    <row r="166" spans="2:14">
      <c r="B166" s="129" t="s">
        <v>257</v>
      </c>
      <c r="C166" s="130"/>
      <c r="D166" s="131"/>
      <c r="E166" s="129"/>
      <c r="F166" s="127"/>
      <c r="G166" s="129" t="s">
        <v>620</v>
      </c>
      <c r="H166" s="130"/>
      <c r="I166" s="131"/>
      <c r="J166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66" s="127"/>
      <c r="L166" s="127"/>
      <c r="M166" s="127"/>
      <c r="N166" s="127"/>
    </row>
    <row r="167" spans="2:14">
      <c r="B167" s="129" t="s">
        <v>356</v>
      </c>
      <c r="C167" s="130"/>
      <c r="D167" s="131"/>
      <c r="E167" s="129"/>
      <c r="F167" s="127"/>
      <c r="G167" s="129" t="s">
        <v>584</v>
      </c>
      <c r="H167" s="130"/>
      <c r="I167" s="131"/>
      <c r="J167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67" s="127"/>
      <c r="L167" s="127"/>
      <c r="M167" s="127"/>
      <c r="N167" s="127"/>
    </row>
    <row r="168" spans="2:14">
      <c r="B168" s="129" t="s">
        <v>286</v>
      </c>
      <c r="C168" s="130"/>
      <c r="D168" s="131"/>
      <c r="E168" s="129"/>
      <c r="F168" s="127"/>
      <c r="G168" s="129" t="s">
        <v>634</v>
      </c>
      <c r="H168" s="130"/>
      <c r="I168" s="131"/>
      <c r="J168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68" s="127"/>
      <c r="L168" s="127"/>
      <c r="M168" s="127"/>
      <c r="N168" s="127"/>
    </row>
    <row r="169" spans="2:14">
      <c r="B169" s="129" t="s">
        <v>358</v>
      </c>
      <c r="C169" s="130"/>
      <c r="D169" s="131"/>
      <c r="E169" s="129"/>
      <c r="F169" s="127"/>
      <c r="G169" s="129" t="s">
        <v>508</v>
      </c>
      <c r="H169" s="130"/>
      <c r="I169" s="131"/>
      <c r="J169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69" s="127"/>
      <c r="L169" s="127"/>
      <c r="M169" s="127"/>
      <c r="N169" s="127"/>
    </row>
    <row r="170" spans="2:14">
      <c r="B170" s="129" t="s">
        <v>283</v>
      </c>
      <c r="C170" s="130"/>
      <c r="D170" s="131"/>
      <c r="E170" s="129"/>
      <c r="F170" s="127"/>
      <c r="G170" s="129" t="s">
        <v>653</v>
      </c>
      <c r="H170" s="130"/>
      <c r="I170" s="131"/>
      <c r="J170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70" s="127"/>
      <c r="L170" s="127"/>
      <c r="M170" s="127"/>
      <c r="N170" s="127"/>
    </row>
    <row r="171" spans="2:14">
      <c r="B171" s="129" t="s">
        <v>282</v>
      </c>
      <c r="C171" s="130"/>
      <c r="D171" s="131"/>
      <c r="E171" s="129"/>
      <c r="F171" s="127"/>
      <c r="G171" s="129" t="s">
        <v>656</v>
      </c>
      <c r="H171" s="130"/>
      <c r="I171" s="131"/>
      <c r="J171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71" s="127"/>
      <c r="L171" s="127"/>
      <c r="M171" s="127"/>
      <c r="N171" s="127"/>
    </row>
    <row r="172" spans="2:14">
      <c r="B172" s="129" t="s">
        <v>333</v>
      </c>
      <c r="C172" s="130"/>
      <c r="D172" s="131"/>
      <c r="E172" s="129"/>
      <c r="F172" s="127"/>
      <c r="G172" s="129" t="s">
        <v>633</v>
      </c>
      <c r="H172" s="130"/>
      <c r="I172" s="131"/>
      <c r="J172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72" s="127"/>
      <c r="L172" s="127"/>
      <c r="M172" s="127"/>
      <c r="N172" s="127"/>
    </row>
    <row r="173" spans="2:14">
      <c r="B173" s="129" t="s">
        <v>281</v>
      </c>
      <c r="C173" s="130"/>
      <c r="D173" s="131"/>
      <c r="E173" s="129"/>
      <c r="F173" s="127"/>
      <c r="G173" s="129" t="s">
        <v>568</v>
      </c>
      <c r="H173" s="130"/>
      <c r="I173" s="131"/>
      <c r="J173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73" s="127"/>
      <c r="L173" s="127"/>
      <c r="M173" s="127"/>
      <c r="N173" s="127"/>
    </row>
    <row r="174" spans="2:14">
      <c r="B174" s="129" t="s">
        <v>384</v>
      </c>
      <c r="C174" s="130"/>
      <c r="D174" s="131"/>
      <c r="E174" s="129"/>
      <c r="F174" s="127"/>
      <c r="G174" s="129" t="s">
        <v>571</v>
      </c>
      <c r="H174" s="130"/>
      <c r="I174" s="131"/>
      <c r="J174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74" s="127"/>
      <c r="L174" s="127"/>
      <c r="M174" s="127"/>
      <c r="N174" s="127"/>
    </row>
    <row r="175" spans="2:14">
      <c r="B175" s="129" t="s">
        <v>388</v>
      </c>
      <c r="C175" s="130"/>
      <c r="D175" s="131"/>
      <c r="E175" s="129"/>
      <c r="F175" s="127"/>
      <c r="G175" s="129" t="s">
        <v>647</v>
      </c>
      <c r="H175" s="130"/>
      <c r="I175" s="131"/>
      <c r="J175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75" s="127"/>
      <c r="L175" s="127"/>
      <c r="M175" s="127"/>
      <c r="N175" s="127"/>
    </row>
    <row r="176" spans="2:14">
      <c r="B176" s="129" t="s">
        <v>354</v>
      </c>
      <c r="C176" s="130"/>
      <c r="D176" s="131"/>
      <c r="E176" s="129"/>
      <c r="F176" s="127"/>
      <c r="G176" s="129" t="s">
        <v>560</v>
      </c>
      <c r="H176" s="130"/>
      <c r="I176" s="131"/>
      <c r="J176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76" s="127"/>
      <c r="L176" s="127"/>
      <c r="M176" s="127"/>
      <c r="N176" s="127"/>
    </row>
    <row r="177" spans="2:14">
      <c r="B177" s="129" t="s">
        <v>386</v>
      </c>
      <c r="C177" s="130"/>
      <c r="D177" s="131"/>
      <c r="E177" s="129"/>
      <c r="F177" s="127"/>
      <c r="G177" s="129" t="s">
        <v>567</v>
      </c>
      <c r="H177" s="130"/>
      <c r="I177" s="131"/>
      <c r="J177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77" s="127"/>
      <c r="L177" s="127"/>
      <c r="M177" s="127"/>
      <c r="N177" s="127"/>
    </row>
    <row r="178" spans="2:14">
      <c r="B178" s="132" t="s">
        <v>360</v>
      </c>
      <c r="C178" s="130"/>
      <c r="D178" s="131"/>
      <c r="E178" s="129"/>
      <c r="F178" s="127"/>
      <c r="G178" s="129" t="s">
        <v>640</v>
      </c>
      <c r="H178" s="130"/>
      <c r="I178" s="131"/>
      <c r="J178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78" s="127"/>
      <c r="L178" s="127"/>
      <c r="M178" s="127"/>
      <c r="N178" s="127"/>
    </row>
    <row r="179" spans="2:14">
      <c r="B179" s="129" t="s">
        <v>330</v>
      </c>
      <c r="C179" s="130"/>
      <c r="D179" s="131"/>
      <c r="E179" s="129"/>
      <c r="F179" s="127"/>
      <c r="G179" s="129" t="s">
        <v>580</v>
      </c>
      <c r="H179" s="130"/>
      <c r="I179" s="131"/>
      <c r="J179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79" s="127"/>
      <c r="L179" s="127"/>
      <c r="M179" s="127"/>
      <c r="N179" s="127"/>
    </row>
    <row r="180" spans="2:14">
      <c r="B180" s="129" t="s">
        <v>266</v>
      </c>
      <c r="C180" s="130"/>
      <c r="D180" s="131"/>
      <c r="E180" s="129"/>
      <c r="F180" s="127"/>
      <c r="G180" s="129" t="s">
        <v>585</v>
      </c>
      <c r="H180" s="130"/>
      <c r="I180" s="131"/>
      <c r="J180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80" s="127"/>
      <c r="L180" s="127"/>
      <c r="M180" s="127"/>
      <c r="N180" s="127"/>
    </row>
    <row r="181" spans="2:14">
      <c r="B181" s="129" t="s">
        <v>399</v>
      </c>
      <c r="C181" s="130"/>
      <c r="D181" s="131"/>
      <c r="E181" s="129"/>
      <c r="F181" s="127"/>
      <c r="G181" s="129" t="s">
        <v>591</v>
      </c>
      <c r="H181" s="130"/>
      <c r="I181" s="131"/>
      <c r="J181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81" s="127"/>
      <c r="L181" s="127"/>
      <c r="M181" s="127"/>
      <c r="N181" s="127"/>
    </row>
    <row r="182" spans="2:14">
      <c r="B182" s="129" t="s">
        <v>365</v>
      </c>
      <c r="C182" s="130"/>
      <c r="D182" s="131"/>
      <c r="E182" s="129"/>
      <c r="F182" s="127"/>
      <c r="G182" s="129" t="s">
        <v>520</v>
      </c>
      <c r="H182" s="130"/>
      <c r="I182" s="131"/>
      <c r="J182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82" s="127"/>
      <c r="L182" s="127"/>
      <c r="M182" s="127"/>
      <c r="N182" s="127"/>
    </row>
    <row r="183" spans="2:14">
      <c r="B183" s="129" t="s">
        <v>272</v>
      </c>
      <c r="C183" s="130"/>
      <c r="D183" s="131"/>
      <c r="E183" s="129"/>
      <c r="F183" s="127"/>
      <c r="G183" s="129" t="s">
        <v>562</v>
      </c>
      <c r="H183" s="130"/>
      <c r="I183" s="131"/>
      <c r="J183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83" s="127"/>
      <c r="L183" s="127"/>
      <c r="M183" s="127"/>
      <c r="N183" s="127"/>
    </row>
    <row r="184" spans="2:14">
      <c r="B184" s="129" t="s">
        <v>369</v>
      </c>
      <c r="C184" s="130"/>
      <c r="D184" s="131"/>
      <c r="E184" s="129"/>
      <c r="F184" s="127"/>
      <c r="G184" s="129" t="s">
        <v>664</v>
      </c>
      <c r="H184" s="130"/>
      <c r="I184" s="131"/>
      <c r="J184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84" s="127"/>
      <c r="L184" s="127"/>
      <c r="M184" s="127"/>
      <c r="N184" s="127"/>
    </row>
    <row r="185" spans="2:14">
      <c r="B185" s="129" t="s">
        <v>303</v>
      </c>
      <c r="C185" s="130"/>
      <c r="D185" s="131"/>
      <c r="E185" s="129"/>
      <c r="F185" s="127"/>
      <c r="G185" s="129" t="s">
        <v>612</v>
      </c>
      <c r="H185" s="130"/>
      <c r="I185" s="131"/>
      <c r="J185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85" s="127"/>
      <c r="L185" s="127"/>
      <c r="M185" s="127"/>
      <c r="N185" s="127"/>
    </row>
    <row r="186" spans="2:14">
      <c r="B186" s="129" t="s">
        <v>273</v>
      </c>
      <c r="C186" s="130"/>
      <c r="D186" s="131"/>
      <c r="E186" s="129"/>
      <c r="F186" s="127"/>
      <c r="G186" s="129" t="s">
        <v>615</v>
      </c>
      <c r="H186" s="130"/>
      <c r="I186" s="131"/>
      <c r="J186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86" s="127"/>
      <c r="L186" s="127"/>
      <c r="M186" s="127"/>
      <c r="N186" s="127"/>
    </row>
    <row r="187" spans="2:14">
      <c r="B187" s="129" t="s">
        <v>344</v>
      </c>
      <c r="C187" s="130"/>
      <c r="D187" s="131"/>
      <c r="E187" s="129"/>
      <c r="F187" s="127"/>
      <c r="G187" s="129" t="s">
        <v>512</v>
      </c>
      <c r="H187" s="130"/>
      <c r="I187" s="131"/>
      <c r="J187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87" s="127"/>
      <c r="L187" s="127"/>
      <c r="M187" s="127"/>
      <c r="N187" s="127"/>
    </row>
    <row r="188" spans="2:14">
      <c r="B188" s="129" t="s">
        <v>300</v>
      </c>
      <c r="C188" s="130"/>
      <c r="D188" s="131"/>
      <c r="E188" s="129"/>
      <c r="F188" s="127"/>
      <c r="G188" s="129" t="s">
        <v>649</v>
      </c>
      <c r="H188" s="130"/>
      <c r="I188" s="131"/>
      <c r="J188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88" s="127"/>
      <c r="L188" s="127"/>
      <c r="M188" s="127"/>
      <c r="N188" s="127"/>
    </row>
    <row r="189" spans="2:14">
      <c r="B189" s="129" t="s">
        <v>378</v>
      </c>
      <c r="C189" s="130"/>
      <c r="D189" s="131"/>
      <c r="E189" s="129"/>
      <c r="F189" s="127"/>
      <c r="G189" s="129" t="s">
        <v>496</v>
      </c>
      <c r="H189" s="130"/>
      <c r="I189" s="131"/>
      <c r="J189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89" s="127"/>
      <c r="L189" s="127"/>
      <c r="M189" s="127"/>
      <c r="N189" s="127"/>
    </row>
    <row r="190" spans="2:14">
      <c r="B190" s="129" t="s">
        <v>334</v>
      </c>
      <c r="C190" s="130"/>
      <c r="D190" s="131"/>
      <c r="E190" s="129"/>
      <c r="F190" s="127"/>
      <c r="G190" s="129" t="s">
        <v>575</v>
      </c>
      <c r="H190" s="130"/>
      <c r="I190" s="131"/>
      <c r="J190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90" s="127"/>
      <c r="L190" s="127"/>
      <c r="M190" s="127"/>
      <c r="N190" s="127"/>
    </row>
    <row r="191" spans="2:14">
      <c r="B191" s="129" t="s">
        <v>415</v>
      </c>
      <c r="C191" s="130"/>
      <c r="D191" s="131"/>
      <c r="E191" s="129"/>
      <c r="F191" s="127"/>
      <c r="G191" s="129" t="s">
        <v>619</v>
      </c>
      <c r="H191" s="130"/>
      <c r="I191" s="131"/>
      <c r="J191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91" s="127"/>
      <c r="L191" s="127"/>
      <c r="M191" s="127"/>
      <c r="N191" s="127"/>
    </row>
    <row r="192" spans="2:14">
      <c r="B192" s="129" t="s">
        <v>390</v>
      </c>
      <c r="C192" s="130"/>
      <c r="D192" s="131"/>
      <c r="E192" s="129"/>
      <c r="F192" s="127"/>
      <c r="G192" s="129" t="s">
        <v>523</v>
      </c>
      <c r="H192" s="130"/>
      <c r="I192" s="131"/>
      <c r="J192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92" s="127"/>
      <c r="L192" s="127"/>
      <c r="M192" s="127"/>
      <c r="N192" s="127"/>
    </row>
    <row r="193" spans="2:14">
      <c r="B193" s="129" t="s">
        <v>377</v>
      </c>
      <c r="C193" s="130"/>
      <c r="D193" s="131"/>
      <c r="E193" s="129"/>
      <c r="F193" s="127"/>
      <c r="G193" s="129" t="s">
        <v>498</v>
      </c>
      <c r="H193" s="130"/>
      <c r="I193" s="131"/>
      <c r="J193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93" s="127"/>
      <c r="L193" s="127"/>
      <c r="M193" s="127"/>
      <c r="N193" s="127"/>
    </row>
    <row r="194" spans="2:14">
      <c r="B194" s="129" t="s">
        <v>379</v>
      </c>
      <c r="C194" s="130"/>
      <c r="D194" s="131"/>
      <c r="E194" s="129"/>
      <c r="F194" s="127"/>
      <c r="G194" s="129" t="s">
        <v>530</v>
      </c>
      <c r="H194" s="130"/>
      <c r="I194" s="131"/>
      <c r="J194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94" s="127"/>
      <c r="L194" s="127"/>
      <c r="M194" s="127"/>
      <c r="N194" s="127"/>
    </row>
    <row r="195" spans="2:14">
      <c r="B195" s="129" t="s">
        <v>403</v>
      </c>
      <c r="C195" s="130"/>
      <c r="D195" s="131"/>
      <c r="E195" s="129"/>
      <c r="F195" s="127"/>
      <c r="G195" s="129" t="s">
        <v>622</v>
      </c>
      <c r="H195" s="130"/>
      <c r="I195" s="131"/>
      <c r="J195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95" s="127"/>
      <c r="L195" s="127"/>
      <c r="M195" s="127"/>
      <c r="N195" s="127"/>
    </row>
    <row r="196" spans="2:14">
      <c r="B196" s="129" t="s">
        <v>259</v>
      </c>
      <c r="C196" s="130"/>
      <c r="D196" s="131"/>
      <c r="E196" s="129"/>
      <c r="F196" s="127"/>
      <c r="G196" s="129" t="s">
        <v>587</v>
      </c>
      <c r="H196" s="130"/>
      <c r="I196" s="131"/>
      <c r="J196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96" s="127"/>
      <c r="L196" s="127"/>
      <c r="M196" s="127"/>
      <c r="N196" s="127"/>
    </row>
    <row r="197" spans="2:14">
      <c r="B197" s="129" t="s">
        <v>287</v>
      </c>
      <c r="C197" s="130"/>
      <c r="D197" s="131"/>
      <c r="E197" s="129"/>
      <c r="F197" s="127"/>
      <c r="G197" s="129" t="s">
        <v>660</v>
      </c>
      <c r="H197" s="130"/>
      <c r="I197" s="131"/>
      <c r="J197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97" s="127"/>
      <c r="L197" s="127"/>
      <c r="M197" s="127"/>
      <c r="N197" s="127"/>
    </row>
    <row r="198" spans="2:14">
      <c r="B198" s="129" t="s">
        <v>389</v>
      </c>
      <c r="C198" s="130"/>
      <c r="D198" s="131"/>
      <c r="E198" s="129"/>
      <c r="F198" s="127"/>
      <c r="G198" s="129" t="s">
        <v>555</v>
      </c>
      <c r="H198" s="130"/>
      <c r="I198" s="131"/>
      <c r="J198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98" s="127"/>
      <c r="L198" s="127"/>
      <c r="M198" s="127"/>
      <c r="N198" s="127"/>
    </row>
    <row r="199" spans="2:14">
      <c r="B199" s="129" t="s">
        <v>391</v>
      </c>
      <c r="C199" s="130"/>
      <c r="D199" s="131"/>
      <c r="E199" s="129"/>
      <c r="F199" s="127"/>
      <c r="G199" s="129" t="s">
        <v>652</v>
      </c>
      <c r="H199" s="130"/>
      <c r="I199" s="131"/>
      <c r="J199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199" s="127"/>
      <c r="L199" s="127"/>
      <c r="M199" s="127"/>
      <c r="N199" s="127"/>
    </row>
    <row r="200" spans="2:14">
      <c r="B200" s="129" t="s">
        <v>324</v>
      </c>
      <c r="C200" s="130"/>
      <c r="D200" s="131"/>
      <c r="E200" s="129"/>
      <c r="F200" s="127"/>
      <c r="G200" s="129" t="s">
        <v>635</v>
      </c>
      <c r="H200" s="130"/>
      <c r="I200" s="131"/>
      <c r="J200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200" s="127"/>
      <c r="L200" s="127"/>
      <c r="M200" s="127"/>
      <c r="N200" s="127"/>
    </row>
    <row r="201" spans="2:14">
      <c r="B201" s="129" t="s">
        <v>325</v>
      </c>
      <c r="C201" s="130"/>
      <c r="D201" s="131"/>
      <c r="E201" s="129"/>
      <c r="F201" s="127"/>
      <c r="G201" s="129" t="s">
        <v>613</v>
      </c>
      <c r="H201" s="130"/>
      <c r="I201" s="131"/>
      <c r="J201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201" s="127"/>
      <c r="L201" s="127"/>
      <c r="M201" s="127"/>
      <c r="N201" s="127"/>
    </row>
    <row r="202" spans="2:14">
      <c r="B202" s="129" t="s">
        <v>297</v>
      </c>
      <c r="C202" s="130"/>
      <c r="D202" s="131"/>
      <c r="E202" s="129"/>
      <c r="F202" s="127"/>
      <c r="G202" s="129" t="s">
        <v>507</v>
      </c>
      <c r="H202" s="130"/>
      <c r="I202" s="131"/>
      <c r="J202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202" s="127"/>
      <c r="L202" s="127"/>
      <c r="M202" s="127"/>
      <c r="N202" s="127"/>
    </row>
    <row r="203" spans="2:14">
      <c r="B203" s="129" t="s">
        <v>408</v>
      </c>
      <c r="C203" s="130"/>
      <c r="D203" s="131"/>
      <c r="E203" s="129"/>
      <c r="F203" s="127"/>
      <c r="G203" s="129" t="s">
        <v>545</v>
      </c>
      <c r="H203" s="130"/>
      <c r="I203" s="131"/>
      <c r="J203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203" s="127"/>
      <c r="L203" s="127"/>
      <c r="M203" s="127"/>
      <c r="N203" s="127"/>
    </row>
    <row r="204" spans="2:14">
      <c r="B204" s="129" t="s">
        <v>294</v>
      </c>
      <c r="C204" s="130"/>
      <c r="D204" s="131"/>
      <c r="E204" s="129"/>
      <c r="F204" s="127"/>
      <c r="G204" s="129" t="s">
        <v>543</v>
      </c>
      <c r="H204" s="130"/>
      <c r="I204" s="131"/>
      <c r="J204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204" s="127"/>
      <c r="L204" s="127"/>
      <c r="M204" s="127"/>
      <c r="N204" s="127"/>
    </row>
    <row r="205" spans="2:14">
      <c r="B205" s="129" t="s">
        <v>351</v>
      </c>
      <c r="C205" s="130"/>
      <c r="D205" s="131"/>
      <c r="E205" s="129"/>
      <c r="F205" s="127"/>
      <c r="G205" s="129" t="s">
        <v>547</v>
      </c>
      <c r="H205" s="130"/>
      <c r="I205" s="131"/>
      <c r="J205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205" s="127"/>
      <c r="L205" s="127"/>
      <c r="M205" s="127"/>
      <c r="N205" s="127"/>
    </row>
    <row r="206" spans="2:14">
      <c r="B206" s="129" t="s">
        <v>346</v>
      </c>
      <c r="C206" s="130"/>
      <c r="D206" s="131"/>
      <c r="E206" s="129"/>
      <c r="F206" s="127"/>
      <c r="G206" s="129" t="s">
        <v>561</v>
      </c>
      <c r="H206" s="130"/>
      <c r="I206" s="131"/>
      <c r="J206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206" s="127"/>
      <c r="L206" s="127"/>
      <c r="M206" s="127"/>
      <c r="N206" s="127"/>
    </row>
    <row r="207" spans="2:14">
      <c r="B207" s="129" t="s">
        <v>296</v>
      </c>
      <c r="C207" s="130"/>
      <c r="D207" s="131"/>
      <c r="E207" s="129"/>
      <c r="F207" s="127"/>
      <c r="G207" s="129" t="s">
        <v>541</v>
      </c>
      <c r="H207" s="130"/>
      <c r="I207" s="131"/>
      <c r="J207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207" s="127"/>
      <c r="L207" s="127"/>
      <c r="M207" s="127"/>
      <c r="N207" s="127"/>
    </row>
    <row r="208" spans="2:14">
      <c r="B208" s="129" t="s">
        <v>304</v>
      </c>
      <c r="C208" s="130"/>
      <c r="D208" s="131"/>
      <c r="E208" s="129"/>
      <c r="F208" s="127"/>
      <c r="G208" s="129" t="s">
        <v>631</v>
      </c>
      <c r="H208" s="130"/>
      <c r="I208" s="131"/>
      <c r="J208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208" s="127"/>
      <c r="L208" s="127"/>
      <c r="M208" s="127"/>
      <c r="N208" s="127"/>
    </row>
    <row r="209" spans="2:14">
      <c r="B209" s="129" t="s">
        <v>313</v>
      </c>
      <c r="C209" s="130"/>
      <c r="D209" s="131"/>
      <c r="E209" s="129"/>
      <c r="F209" s="127"/>
      <c r="G209" s="129" t="s">
        <v>533</v>
      </c>
      <c r="H209" s="130"/>
      <c r="I209" s="131"/>
      <c r="J209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209" s="127"/>
      <c r="L209" s="127"/>
      <c r="M209" s="127"/>
      <c r="N209" s="127"/>
    </row>
    <row r="210" spans="2:14">
      <c r="B210" s="129" t="s">
        <v>329</v>
      </c>
      <c r="C210" s="130"/>
      <c r="D210" s="131"/>
      <c r="E210" s="129"/>
      <c r="F210" s="127"/>
      <c r="G210" s="129" t="s">
        <v>651</v>
      </c>
      <c r="H210" s="130"/>
      <c r="I210" s="131"/>
      <c r="J210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210" s="127"/>
      <c r="L210" s="127"/>
      <c r="M210" s="127"/>
      <c r="N210" s="127"/>
    </row>
    <row r="211" spans="2:14">
      <c r="B211" s="129" t="s">
        <v>422</v>
      </c>
      <c r="C211" s="130"/>
      <c r="D211" s="131"/>
      <c r="E211" s="129"/>
      <c r="F211" s="127"/>
      <c r="G211" s="129" t="s">
        <v>639</v>
      </c>
      <c r="H211" s="130"/>
      <c r="I211" s="131"/>
      <c r="J211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211" s="127"/>
      <c r="L211" s="127"/>
      <c r="M211" s="127"/>
      <c r="N211" s="127"/>
    </row>
    <row r="212" spans="2:14">
      <c r="B212" s="129" t="s">
        <v>301</v>
      </c>
      <c r="C212" s="130"/>
      <c r="D212" s="131"/>
      <c r="E212" s="129"/>
      <c r="F212" s="127"/>
      <c r="G212" s="129" t="s">
        <v>517</v>
      </c>
      <c r="H212" s="130"/>
      <c r="I212" s="131"/>
      <c r="J212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212" s="127"/>
      <c r="L212" s="127"/>
      <c r="M212" s="127"/>
      <c r="N212" s="127"/>
    </row>
    <row r="213" spans="2:14">
      <c r="B213" s="129" t="s">
        <v>277</v>
      </c>
      <c r="C213" s="130"/>
      <c r="D213" s="131"/>
      <c r="E213" s="129"/>
      <c r="F213" s="127"/>
      <c r="G213" s="129" t="s">
        <v>565</v>
      </c>
      <c r="H213" s="130"/>
      <c r="I213" s="131"/>
      <c r="J213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213" s="127"/>
      <c r="L213" s="127"/>
      <c r="M213" s="127"/>
      <c r="N213" s="127"/>
    </row>
    <row r="214" spans="2:14">
      <c r="B214" s="129" t="s">
        <v>292</v>
      </c>
      <c r="C214" s="130"/>
      <c r="D214" s="131"/>
      <c r="E214" s="129"/>
      <c r="F214" s="127"/>
      <c r="G214" s="129" t="s">
        <v>503</v>
      </c>
      <c r="H214" s="130"/>
      <c r="I214" s="131"/>
      <c r="J214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214" s="127"/>
      <c r="L214" s="127"/>
      <c r="M214" s="127"/>
      <c r="N214" s="127"/>
    </row>
    <row r="215" spans="2:14">
      <c r="B215" s="129" t="s">
        <v>402</v>
      </c>
      <c r="C215" s="130"/>
      <c r="D215" s="131"/>
      <c r="E215" s="129"/>
      <c r="F215" s="127"/>
      <c r="G215" s="132" t="s">
        <v>566</v>
      </c>
      <c r="H215" s="130"/>
      <c r="I215" s="131"/>
      <c r="J215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215" s="127"/>
      <c r="L215" s="127"/>
      <c r="M215" s="127"/>
      <c r="N215" s="127"/>
    </row>
    <row r="216" spans="2:14">
      <c r="B216" s="129" t="s">
        <v>332</v>
      </c>
      <c r="C216" s="130"/>
      <c r="D216" s="131"/>
      <c r="E216" s="129"/>
      <c r="F216" s="127"/>
      <c r="G216" s="129" t="s">
        <v>572</v>
      </c>
      <c r="H216" s="130"/>
      <c r="I216" s="131"/>
      <c r="J216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216" s="127"/>
      <c r="L216" s="127"/>
      <c r="M216" s="127"/>
      <c r="N216" s="127"/>
    </row>
    <row r="217" spans="2:14">
      <c r="B217" s="129" t="s">
        <v>267</v>
      </c>
      <c r="C217" s="130"/>
      <c r="D217" s="131"/>
      <c r="E217" s="129"/>
      <c r="F217" s="127"/>
      <c r="G217" s="129" t="s">
        <v>551</v>
      </c>
      <c r="H217" s="130"/>
      <c r="I217" s="131"/>
      <c r="J217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217" s="127"/>
      <c r="L217" s="127"/>
      <c r="M217" s="127"/>
      <c r="N217" s="127"/>
    </row>
    <row r="218" spans="2:14">
      <c r="B218" s="129" t="s">
        <v>331</v>
      </c>
      <c r="C218" s="130"/>
      <c r="D218" s="131"/>
      <c r="E218" s="129"/>
      <c r="F218" s="127"/>
      <c r="G218" s="129" t="s">
        <v>590</v>
      </c>
      <c r="H218" s="130"/>
      <c r="I218" s="131"/>
      <c r="J218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218" s="127"/>
      <c r="L218" s="127"/>
      <c r="M218" s="127"/>
      <c r="N218" s="127"/>
    </row>
    <row r="219" spans="2:14">
      <c r="B219" s="129" t="s">
        <v>310</v>
      </c>
      <c r="C219" s="130"/>
      <c r="D219" s="131"/>
      <c r="E219" s="129"/>
      <c r="F219" s="127"/>
      <c r="G219" s="129" t="s">
        <v>588</v>
      </c>
      <c r="H219" s="130"/>
      <c r="I219" s="131"/>
      <c r="J219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219" s="127"/>
      <c r="L219" s="127"/>
      <c r="M219" s="127"/>
      <c r="N219" s="127"/>
    </row>
    <row r="220" spans="2:14">
      <c r="B220" s="129" t="s">
        <v>349</v>
      </c>
      <c r="C220" s="130"/>
      <c r="D220" s="131"/>
      <c r="E220" s="129"/>
      <c r="F220" s="127"/>
      <c r="G220" s="129" t="s">
        <v>514</v>
      </c>
      <c r="H220" s="130"/>
      <c r="I220" s="131"/>
      <c r="J220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220" s="127"/>
      <c r="L220" s="127"/>
      <c r="M220" s="127"/>
      <c r="N220" s="127"/>
    </row>
    <row r="221" spans="2:14">
      <c r="B221" s="129" t="s">
        <v>305</v>
      </c>
      <c r="C221" s="130"/>
      <c r="D221" s="131"/>
      <c r="E221" s="129"/>
      <c r="F221" s="127"/>
      <c r="G221" s="129" t="s">
        <v>637</v>
      </c>
      <c r="H221" s="130"/>
      <c r="I221" s="131"/>
      <c r="J221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221" s="127"/>
      <c r="L221" s="127"/>
      <c r="M221" s="127"/>
      <c r="N221" s="127"/>
    </row>
    <row r="222" spans="2:14">
      <c r="B222" s="129" t="s">
        <v>290</v>
      </c>
      <c r="C222" s="130"/>
      <c r="D222" s="131"/>
      <c r="E222" s="129"/>
      <c r="F222" s="127"/>
      <c r="G222" s="129" t="s">
        <v>502</v>
      </c>
      <c r="H222" s="130"/>
      <c r="I222" s="131"/>
      <c r="J222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222" s="127"/>
      <c r="L222" s="127"/>
      <c r="M222" s="127"/>
      <c r="N222" s="127"/>
    </row>
    <row r="223" spans="2:14">
      <c r="B223" s="129" t="s">
        <v>317</v>
      </c>
      <c r="C223" s="130"/>
      <c r="D223" s="131"/>
      <c r="E223" s="129"/>
      <c r="F223" s="127"/>
      <c r="G223" s="129" t="s">
        <v>573</v>
      </c>
      <c r="H223" s="130"/>
      <c r="I223" s="131"/>
      <c r="J223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223" s="127"/>
      <c r="L223" s="127"/>
      <c r="M223" s="127"/>
      <c r="N223" s="127"/>
    </row>
    <row r="224" spans="2:14">
      <c r="B224" s="129" t="s">
        <v>328</v>
      </c>
      <c r="C224" s="130"/>
      <c r="D224" s="131"/>
      <c r="E224" s="129"/>
      <c r="F224" s="127"/>
      <c r="G224" s="129" t="s">
        <v>627</v>
      </c>
      <c r="H224" s="130"/>
      <c r="I224" s="131"/>
      <c r="J224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224" s="127"/>
      <c r="L224" s="127"/>
      <c r="M224" s="127"/>
      <c r="N224" s="127"/>
    </row>
    <row r="225" spans="2:14">
      <c r="B225" s="129" t="s">
        <v>400</v>
      </c>
      <c r="C225" s="130"/>
      <c r="D225" s="131"/>
      <c r="E225" s="129"/>
      <c r="F225" s="127"/>
      <c r="G225" s="129" t="s">
        <v>563</v>
      </c>
      <c r="H225" s="130"/>
      <c r="I225" s="131"/>
      <c r="J225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225" s="127"/>
      <c r="L225" s="127"/>
      <c r="M225" s="127"/>
      <c r="N225" s="127"/>
    </row>
    <row r="226" spans="2:14">
      <c r="B226" s="129" t="s">
        <v>394</v>
      </c>
      <c r="C226" s="130"/>
      <c r="D226" s="131"/>
      <c r="E226" s="129"/>
      <c r="F226" s="127"/>
      <c r="G226" s="129" t="s">
        <v>632</v>
      </c>
      <c r="H226" s="130"/>
      <c r="I226" s="131"/>
      <c r="J226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226" s="127"/>
      <c r="L226" s="127"/>
      <c r="M226" s="127"/>
      <c r="N226" s="127"/>
    </row>
    <row r="227" spans="2:14">
      <c r="B227" s="129" t="s">
        <v>338</v>
      </c>
      <c r="C227" s="130"/>
      <c r="D227" s="131"/>
      <c r="E227" s="129"/>
      <c r="F227" s="127"/>
      <c r="G227" s="132" t="s">
        <v>608</v>
      </c>
      <c r="H227" s="130"/>
      <c r="I227" s="131"/>
      <c r="J227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227" s="127"/>
      <c r="L227" s="127"/>
      <c r="M227" s="127"/>
      <c r="N227" s="127"/>
    </row>
    <row r="228" spans="2:14">
      <c r="B228" s="129" t="s">
        <v>306</v>
      </c>
      <c r="C228" s="130"/>
      <c r="D228" s="131"/>
      <c r="E228" s="129"/>
      <c r="F228" s="127"/>
      <c r="G228" s="129" t="s">
        <v>629</v>
      </c>
      <c r="H228" s="130"/>
      <c r="I228" s="131"/>
      <c r="J228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228" s="127"/>
      <c r="L228" s="127"/>
      <c r="M228" s="127"/>
      <c r="N228" s="127"/>
    </row>
    <row r="229" spans="2:14">
      <c r="B229" s="129" t="s">
        <v>409</v>
      </c>
      <c r="C229" s="130"/>
      <c r="D229" s="131"/>
      <c r="E229" s="129"/>
      <c r="F229" s="127"/>
      <c r="G229" s="129" t="s">
        <v>488</v>
      </c>
      <c r="H229" s="130"/>
      <c r="I229" s="131"/>
      <c r="J229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229" s="127"/>
      <c r="L229" s="127"/>
      <c r="M229" s="127"/>
      <c r="N229" s="127"/>
    </row>
    <row r="230" spans="2:14">
      <c r="B230" s="129" t="s">
        <v>323</v>
      </c>
      <c r="C230" s="130"/>
      <c r="D230" s="131"/>
      <c r="E230" s="129"/>
      <c r="F230" s="127"/>
      <c r="G230" s="129" t="s">
        <v>535</v>
      </c>
      <c r="H230" s="130"/>
      <c r="I230" s="131"/>
      <c r="J230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230" s="127"/>
      <c r="L230" s="127"/>
      <c r="M230" s="127"/>
      <c r="N230" s="127"/>
    </row>
    <row r="231" spans="2:14">
      <c r="B231" s="129" t="s">
        <v>276</v>
      </c>
      <c r="C231" s="130"/>
      <c r="D231" s="131"/>
      <c r="E231" s="129"/>
      <c r="F231" s="127"/>
      <c r="G231" s="129" t="s">
        <v>519</v>
      </c>
      <c r="H231" s="130"/>
      <c r="I231" s="131"/>
      <c r="J231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231" s="127"/>
      <c r="L231" s="127"/>
      <c r="M231" s="127"/>
      <c r="N231" s="127"/>
    </row>
    <row r="232" spans="2:14">
      <c r="B232" s="129" t="s">
        <v>381</v>
      </c>
      <c r="C232" s="130"/>
      <c r="D232" s="131"/>
      <c r="E232" s="129"/>
      <c r="F232" s="127"/>
      <c r="G232" s="129" t="s">
        <v>663</v>
      </c>
      <c r="H232" s="130"/>
      <c r="I232" s="131"/>
      <c r="J232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232" s="127"/>
      <c r="L232" s="127"/>
      <c r="M232" s="127"/>
      <c r="N232" s="127"/>
    </row>
    <row r="233" spans="2:14">
      <c r="B233" s="129" t="s">
        <v>420</v>
      </c>
      <c r="C233" s="130"/>
      <c r="D233" s="131"/>
      <c r="E233" s="129"/>
      <c r="F233" s="127"/>
      <c r="G233" s="129" t="s">
        <v>576</v>
      </c>
      <c r="H233" s="130"/>
      <c r="I233" s="131"/>
      <c r="J233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233" s="127"/>
      <c r="L233" s="127"/>
      <c r="M233" s="127"/>
      <c r="N233" s="127"/>
    </row>
    <row r="234" spans="2:14">
      <c r="B234" s="129" t="s">
        <v>279</v>
      </c>
      <c r="C234" s="130"/>
      <c r="D234" s="131"/>
      <c r="E234" s="129"/>
      <c r="F234" s="127"/>
      <c r="G234" s="129" t="s">
        <v>569</v>
      </c>
      <c r="H234" s="130"/>
      <c r="I234" s="131"/>
      <c r="J234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234" s="127"/>
      <c r="L234" s="127"/>
      <c r="M234" s="127"/>
      <c r="N234" s="127"/>
    </row>
    <row r="235" spans="2:14">
      <c r="B235" s="129" t="s">
        <v>309</v>
      </c>
      <c r="C235" s="130"/>
      <c r="D235" s="131"/>
      <c r="E235" s="129"/>
      <c r="F235" s="127"/>
      <c r="G235" s="129" t="s">
        <v>655</v>
      </c>
      <c r="H235" s="130"/>
      <c r="I235" s="131"/>
      <c r="J235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235" s="127"/>
      <c r="L235" s="127"/>
      <c r="M235" s="127"/>
      <c r="N235" s="127"/>
    </row>
    <row r="236" spans="2:14">
      <c r="B236" s="129" t="s">
        <v>270</v>
      </c>
      <c r="C236" s="130"/>
      <c r="D236" s="131"/>
      <c r="E236" s="129"/>
      <c r="F236" s="127"/>
      <c r="G236" s="129" t="s">
        <v>604</v>
      </c>
      <c r="H236" s="130"/>
      <c r="I236" s="131"/>
      <c r="J236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236" s="127"/>
      <c r="L236" s="127"/>
      <c r="M236" s="127"/>
      <c r="N236" s="127"/>
    </row>
    <row r="237" spans="2:14">
      <c r="B237" s="129" t="s">
        <v>380</v>
      </c>
      <c r="C237" s="130"/>
      <c r="D237" s="131"/>
      <c r="E237" s="129"/>
      <c r="F237" s="127"/>
      <c r="G237" s="129" t="s">
        <v>645</v>
      </c>
      <c r="H237" s="130"/>
      <c r="I237" s="131"/>
      <c r="J237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237" s="127"/>
      <c r="L237" s="127"/>
      <c r="M237" s="127"/>
      <c r="N237" s="127"/>
    </row>
    <row r="238" spans="2:14">
      <c r="B238" s="129" t="s">
        <v>326</v>
      </c>
      <c r="C238" s="130"/>
      <c r="D238" s="131"/>
      <c r="E238" s="129"/>
      <c r="F238" s="127"/>
      <c r="G238" s="129" t="s">
        <v>557</v>
      </c>
      <c r="H238" s="130"/>
      <c r="I238" s="131"/>
      <c r="J238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238" s="127"/>
      <c r="L238" s="127"/>
      <c r="M238" s="127"/>
      <c r="N238" s="127"/>
    </row>
    <row r="239" spans="2:14">
      <c r="B239" s="129" t="s">
        <v>260</v>
      </c>
      <c r="C239" s="130"/>
      <c r="D239" s="131"/>
      <c r="E239" s="129"/>
      <c r="F239" s="127"/>
      <c r="G239" s="129" t="s">
        <v>529</v>
      </c>
      <c r="H239" s="130"/>
      <c r="I239" s="131"/>
      <c r="J239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239" s="127"/>
      <c r="L239" s="127"/>
      <c r="M239" s="127"/>
      <c r="N239" s="127"/>
    </row>
    <row r="240" spans="2:14">
      <c r="B240" s="129" t="s">
        <v>258</v>
      </c>
      <c r="C240" s="130"/>
      <c r="D240" s="131"/>
      <c r="E240" s="129"/>
      <c r="F240" s="127"/>
      <c r="G240" s="129" t="s">
        <v>552</v>
      </c>
      <c r="H240" s="130"/>
      <c r="I240" s="131"/>
      <c r="J240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240" s="127"/>
      <c r="L240" s="127"/>
      <c r="M240" s="127"/>
      <c r="N240" s="127"/>
    </row>
    <row r="241" spans="2:14">
      <c r="B241" s="129" t="s">
        <v>371</v>
      </c>
      <c r="C241" s="130"/>
      <c r="D241" s="131"/>
      <c r="E241" s="129"/>
      <c r="F241" s="127"/>
      <c r="G241" s="129" t="s">
        <v>589</v>
      </c>
      <c r="H241" s="130"/>
      <c r="I241" s="131"/>
      <c r="J241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241" s="127"/>
      <c r="L241" s="127"/>
      <c r="M241" s="127"/>
      <c r="N241" s="127"/>
    </row>
    <row r="242" spans="2:14">
      <c r="B242" s="129" t="s">
        <v>355</v>
      </c>
      <c r="C242" s="130"/>
      <c r="D242" s="131"/>
      <c r="E242" s="129"/>
      <c r="F242" s="127"/>
      <c r="G242" s="129" t="s">
        <v>623</v>
      </c>
      <c r="H242" s="130"/>
      <c r="I242" s="131"/>
      <c r="J242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242" s="127"/>
      <c r="L242" s="127"/>
      <c r="M242" s="127"/>
      <c r="N242" s="127"/>
    </row>
    <row r="243" spans="2:14">
      <c r="B243" s="132" t="s">
        <v>291</v>
      </c>
      <c r="C243" s="130"/>
      <c r="D243" s="131"/>
      <c r="E243" s="129"/>
      <c r="F243" s="127"/>
      <c r="G243" s="129" t="s">
        <v>583</v>
      </c>
      <c r="H243" s="130"/>
      <c r="I243" s="131"/>
      <c r="J243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243" s="127"/>
      <c r="L243" s="127"/>
      <c r="M243" s="127"/>
      <c r="N243" s="127"/>
    </row>
    <row r="244" spans="2:14">
      <c r="B244" s="129" t="s">
        <v>320</v>
      </c>
      <c r="C244" s="130"/>
      <c r="D244" s="131"/>
      <c r="E244" s="129"/>
      <c r="F244" s="127"/>
      <c r="G244" s="129" t="s">
        <v>513</v>
      </c>
      <c r="H244" s="130"/>
      <c r="I244" s="131"/>
      <c r="J244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244" s="127"/>
      <c r="L244" s="127"/>
      <c r="M244" s="127"/>
      <c r="N244" s="127"/>
    </row>
    <row r="245" spans="2:14">
      <c r="B245" s="129" t="s">
        <v>271</v>
      </c>
      <c r="C245" s="130"/>
      <c r="D245" s="131"/>
      <c r="E245" s="129"/>
      <c r="F245" s="127"/>
      <c r="G245" s="129" t="s">
        <v>518</v>
      </c>
      <c r="H245" s="130"/>
      <c r="I245" s="131"/>
      <c r="J245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245" s="127"/>
      <c r="L245" s="127"/>
      <c r="M245" s="127"/>
      <c r="N245" s="127"/>
    </row>
    <row r="246" spans="2:14">
      <c r="B246" s="129" t="s">
        <v>375</v>
      </c>
      <c r="C246" s="130"/>
      <c r="D246" s="131"/>
      <c r="E246" s="129"/>
      <c r="F246" s="127"/>
      <c r="G246" s="129" t="s">
        <v>636</v>
      </c>
      <c r="H246" s="130"/>
      <c r="I246" s="131"/>
      <c r="J246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246" s="127"/>
      <c r="L246" s="127"/>
      <c r="M246" s="127"/>
      <c r="N246" s="127"/>
    </row>
    <row r="247" spans="2:14">
      <c r="B247" s="129" t="s">
        <v>367</v>
      </c>
      <c r="C247" s="130"/>
      <c r="D247" s="131"/>
      <c r="E247" s="129"/>
      <c r="F247" s="127"/>
      <c r="G247" s="129" t="s">
        <v>657</v>
      </c>
      <c r="H247" s="130"/>
      <c r="I247" s="131"/>
      <c r="J247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247" s="127"/>
      <c r="L247" s="127"/>
      <c r="M247" s="127"/>
      <c r="N247" s="127"/>
    </row>
    <row r="248" spans="2:14">
      <c r="B248" s="129" t="s">
        <v>308</v>
      </c>
      <c r="C248" s="130"/>
      <c r="D248" s="131"/>
      <c r="E248" s="129"/>
      <c r="F248" s="127"/>
      <c r="G248" s="129" t="s">
        <v>521</v>
      </c>
      <c r="H248" s="130"/>
      <c r="I248" s="131"/>
      <c r="J248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248" s="127"/>
      <c r="L248" s="127"/>
      <c r="M248" s="127"/>
      <c r="N248" s="127"/>
    </row>
    <row r="249" spans="2:14">
      <c r="B249" s="129" t="s">
        <v>316</v>
      </c>
      <c r="C249" s="130"/>
      <c r="D249" s="131"/>
      <c r="E249" s="129"/>
      <c r="F249" s="127"/>
      <c r="G249" s="129" t="s">
        <v>592</v>
      </c>
      <c r="H249" s="130"/>
      <c r="I249" s="131"/>
      <c r="J249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249" s="127"/>
      <c r="L249" s="127"/>
      <c r="M249" s="127"/>
      <c r="N249" s="127"/>
    </row>
    <row r="250" spans="2:14">
      <c r="B250" s="129" t="s">
        <v>319</v>
      </c>
      <c r="C250" s="130"/>
      <c r="D250" s="131"/>
      <c r="E250" s="129"/>
      <c r="F250" s="127"/>
      <c r="G250" s="129" t="s">
        <v>662</v>
      </c>
      <c r="H250" s="130"/>
      <c r="I250" s="131"/>
      <c r="J250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250" s="127"/>
      <c r="L250" s="127"/>
      <c r="M250" s="127"/>
      <c r="N250" s="127"/>
    </row>
    <row r="251" spans="2:14">
      <c r="B251" s="129" t="s">
        <v>350</v>
      </c>
      <c r="C251" s="130"/>
      <c r="D251" s="131"/>
      <c r="E251" s="129"/>
      <c r="F251" s="127"/>
      <c r="G251" s="129" t="s">
        <v>630</v>
      </c>
      <c r="H251" s="130"/>
      <c r="I251" s="131"/>
      <c r="J251" s="141" t="str">
        <f>IF(AND(NOT(ISBLANK(SubcategoriesTable[[#This Row],[Category name]])),NOT(ISERROR(_xlfn.XLOOKUP(SubcategoriesTable[[#This Row],[Category name]],CategoryNames,CategoryNames,,,)))),_xlfn.XLOOKUP(SubcategoriesTable[[#This Row],[Category name]],CategoryNames,CategoryIdentifiers,,,),"")</f>
        <v/>
      </c>
      <c r="K251" s="127"/>
      <c r="L251" s="127"/>
      <c r="M251" s="127"/>
      <c r="N251" s="127"/>
    </row>
    <row r="252" spans="2:14">
      <c r="B252" s="129" t="s">
        <v>373</v>
      </c>
      <c r="C252" s="130"/>
      <c r="D252" s="131"/>
      <c r="E252" s="129"/>
      <c r="F252" s="127"/>
      <c r="G252" s="127"/>
      <c r="H252" s="127"/>
      <c r="I252" s="127"/>
      <c r="J252" s="127"/>
      <c r="K252" s="127"/>
      <c r="L252" s="127"/>
      <c r="M252" s="127"/>
      <c r="N252" s="127"/>
    </row>
    <row r="253" spans="2:14">
      <c r="B253" s="132" t="s">
        <v>410</v>
      </c>
      <c r="C253" s="130"/>
      <c r="D253" s="131"/>
      <c r="E253" s="129"/>
      <c r="F253" s="127"/>
      <c r="G253" s="127"/>
      <c r="H253" s="127"/>
      <c r="I253" s="127"/>
      <c r="J253" s="127"/>
      <c r="K253" s="127"/>
      <c r="L253" s="127"/>
      <c r="M253" s="127"/>
      <c r="N253" s="127"/>
    </row>
    <row r="254" spans="2:14">
      <c r="B254" s="129" t="s">
        <v>274</v>
      </c>
      <c r="C254" s="130"/>
      <c r="D254" s="131"/>
      <c r="E254" s="129"/>
      <c r="F254" s="127"/>
      <c r="G254" s="127"/>
      <c r="H254" s="127"/>
      <c r="I254" s="127"/>
      <c r="J254" s="127"/>
      <c r="K254" s="127"/>
      <c r="L254" s="127"/>
      <c r="M254" s="127"/>
      <c r="N254" s="127"/>
    </row>
    <row r="255" spans="2:14">
      <c r="B255" s="129" t="s">
        <v>337</v>
      </c>
      <c r="C255" s="130"/>
      <c r="D255" s="131"/>
      <c r="E255" s="129"/>
      <c r="F255" s="127"/>
      <c r="G255" s="127"/>
      <c r="H255" s="127"/>
      <c r="I255" s="127"/>
      <c r="J255" s="127"/>
      <c r="K255" s="127"/>
      <c r="L255" s="127"/>
      <c r="M255" s="127"/>
      <c r="N255" s="127"/>
    </row>
    <row r="256" spans="2:14">
      <c r="B256" s="129" t="s">
        <v>342</v>
      </c>
      <c r="C256" s="130"/>
      <c r="D256" s="131"/>
      <c r="E256" s="129"/>
      <c r="F256" s="127"/>
      <c r="G256" s="127"/>
      <c r="H256" s="127"/>
      <c r="I256" s="127"/>
      <c r="J256" s="127"/>
      <c r="K256" s="127"/>
      <c r="L256" s="127"/>
      <c r="M256" s="127"/>
      <c r="N256" s="127"/>
    </row>
    <row r="257" spans="2:14">
      <c r="B257" s="129" t="s">
        <v>341</v>
      </c>
      <c r="C257" s="130"/>
      <c r="D257" s="131"/>
      <c r="E257" s="129"/>
      <c r="F257" s="127"/>
      <c r="G257" s="127"/>
      <c r="H257" s="127"/>
      <c r="I257" s="127"/>
      <c r="J257" s="127"/>
      <c r="K257" s="127"/>
      <c r="L257" s="127"/>
      <c r="M257" s="127"/>
      <c r="N257" s="127"/>
    </row>
    <row r="258" spans="2:14">
      <c r="B258" s="129" t="s">
        <v>285</v>
      </c>
      <c r="C258" s="130"/>
      <c r="D258" s="131"/>
      <c r="E258" s="129"/>
      <c r="F258" s="127"/>
      <c r="G258" s="127"/>
      <c r="H258" s="127"/>
      <c r="I258" s="127"/>
      <c r="J258" s="127"/>
      <c r="K258" s="127"/>
      <c r="L258" s="127"/>
      <c r="M258" s="127"/>
      <c r="N258" s="127"/>
    </row>
    <row r="259" spans="2:14">
      <c r="B259" s="129" t="s">
        <v>311</v>
      </c>
      <c r="C259" s="130"/>
      <c r="D259" s="131"/>
      <c r="E259" s="129"/>
      <c r="F259" s="127"/>
      <c r="G259" s="127"/>
      <c r="H259" s="127"/>
      <c r="I259" s="127"/>
      <c r="J259" s="127"/>
      <c r="K259" s="127"/>
      <c r="L259" s="127"/>
      <c r="M259" s="127"/>
      <c r="N259" s="127"/>
    </row>
    <row r="260" spans="2:14">
      <c r="B260" s="129" t="s">
        <v>295</v>
      </c>
      <c r="C260" s="130"/>
      <c r="D260" s="131"/>
      <c r="E260" s="129"/>
      <c r="F260" s="127"/>
      <c r="G260" s="127"/>
      <c r="H260" s="127"/>
      <c r="I260" s="127"/>
      <c r="J260" s="127"/>
      <c r="K260" s="127"/>
      <c r="L260" s="127"/>
      <c r="M260" s="127"/>
      <c r="N260" s="127"/>
    </row>
    <row r="261" spans="2:14">
      <c r="B261" s="129" t="s">
        <v>268</v>
      </c>
      <c r="C261" s="130"/>
      <c r="D261" s="131"/>
      <c r="E261" s="129"/>
      <c r="F261" s="127"/>
      <c r="G261" s="127"/>
      <c r="H261" s="127"/>
      <c r="I261" s="127"/>
      <c r="J261" s="127"/>
      <c r="K261" s="127"/>
      <c r="L261" s="127"/>
      <c r="M261" s="127"/>
      <c r="N261" s="127"/>
    </row>
    <row r="262" spans="2:14">
      <c r="B262" s="129" t="s">
        <v>364</v>
      </c>
      <c r="C262" s="130"/>
      <c r="D262" s="131"/>
      <c r="E262" s="129"/>
      <c r="F262" s="127"/>
      <c r="G262" s="127"/>
      <c r="H262" s="127"/>
      <c r="I262" s="127"/>
      <c r="J262" s="127"/>
      <c r="K262" s="127"/>
      <c r="L262" s="127"/>
      <c r="M262" s="127"/>
      <c r="N262" s="127"/>
    </row>
    <row r="263" spans="2:14">
      <c r="B263" s="129" t="s">
        <v>414</v>
      </c>
      <c r="C263" s="130"/>
      <c r="D263" s="131"/>
      <c r="E263" s="129"/>
      <c r="F263" s="127"/>
      <c r="G263" s="127"/>
      <c r="H263" s="127"/>
      <c r="I263" s="127"/>
      <c r="J263" s="127"/>
      <c r="K263" s="127"/>
      <c r="L263" s="127"/>
      <c r="M263" s="127"/>
      <c r="N263" s="127"/>
    </row>
    <row r="264" spans="2:14">
      <c r="B264" s="129" t="s">
        <v>366</v>
      </c>
      <c r="C264" s="130"/>
      <c r="D264" s="131"/>
      <c r="E264" s="129"/>
      <c r="F264" s="127"/>
      <c r="G264" s="127"/>
      <c r="H264" s="127"/>
      <c r="I264" s="127"/>
      <c r="J264" s="127"/>
      <c r="K264" s="127"/>
      <c r="L264" s="127"/>
      <c r="M264" s="127"/>
      <c r="N264" s="127"/>
    </row>
    <row r="265" spans="2:14">
      <c r="B265" s="129" t="s">
        <v>405</v>
      </c>
      <c r="C265" s="130"/>
      <c r="D265" s="131"/>
      <c r="E265" s="129"/>
      <c r="F265" s="127"/>
      <c r="G265" s="127"/>
      <c r="H265" s="127"/>
      <c r="I265" s="127"/>
      <c r="J265" s="127"/>
      <c r="K265" s="127"/>
      <c r="L265" s="127"/>
      <c r="M265" s="127"/>
      <c r="N265" s="127"/>
    </row>
    <row r="266" spans="2:14">
      <c r="B266" s="129" t="s">
        <v>321</v>
      </c>
      <c r="C266" s="130"/>
      <c r="D266" s="131"/>
      <c r="E266" s="129"/>
      <c r="F266" s="127"/>
      <c r="G266" s="127"/>
      <c r="H266" s="127"/>
      <c r="I266" s="127"/>
      <c r="J266" s="127"/>
      <c r="K266" s="127"/>
      <c r="L266" s="127"/>
      <c r="M266" s="127"/>
      <c r="N266" s="127"/>
    </row>
    <row r="267" spans="2:14">
      <c r="B267" s="129" t="s">
        <v>336</v>
      </c>
      <c r="C267" s="130"/>
      <c r="D267" s="131"/>
      <c r="E267" s="129"/>
      <c r="F267" s="127"/>
      <c r="G267" s="127"/>
      <c r="H267" s="127"/>
      <c r="I267" s="127"/>
      <c r="J267" s="127"/>
      <c r="K267" s="127"/>
      <c r="L267" s="127"/>
      <c r="M267" s="127"/>
      <c r="N267" s="127"/>
    </row>
    <row r="268" spans="2:14">
      <c r="B268" s="129" t="s">
        <v>278</v>
      </c>
      <c r="C268" s="130"/>
      <c r="D268" s="131"/>
      <c r="E268" s="129"/>
      <c r="F268" s="127"/>
      <c r="G268" s="127"/>
      <c r="H268" s="127"/>
      <c r="I268" s="127"/>
      <c r="J268" s="127"/>
      <c r="K268" s="127"/>
      <c r="L268" s="127"/>
      <c r="M268" s="127"/>
      <c r="N268" s="127"/>
    </row>
    <row r="269" spans="2:14">
      <c r="B269" s="129" t="s">
        <v>382</v>
      </c>
      <c r="C269" s="130"/>
      <c r="D269" s="131"/>
      <c r="E269" s="129"/>
      <c r="F269" s="127"/>
      <c r="G269" s="127"/>
      <c r="H269" s="127"/>
      <c r="I269" s="127"/>
      <c r="J269" s="127"/>
      <c r="K269" s="127"/>
      <c r="L269" s="127"/>
      <c r="M269" s="127"/>
      <c r="N269" s="127"/>
    </row>
    <row r="270" spans="2:14">
      <c r="B270" s="129" t="s">
        <v>347</v>
      </c>
      <c r="C270" s="130"/>
      <c r="D270" s="131"/>
      <c r="E270" s="129"/>
      <c r="F270" s="127"/>
      <c r="G270" s="127"/>
      <c r="H270" s="127"/>
      <c r="I270" s="127"/>
      <c r="J270" s="127"/>
      <c r="K270" s="127"/>
      <c r="L270" s="127"/>
      <c r="M270" s="127"/>
      <c r="N270" s="127"/>
    </row>
    <row r="271" spans="2:14">
      <c r="B271" s="129" t="s">
        <v>314</v>
      </c>
      <c r="C271" s="130"/>
      <c r="D271" s="131"/>
      <c r="E271" s="129"/>
      <c r="F271" s="127"/>
      <c r="G271" s="127"/>
      <c r="H271" s="127"/>
      <c r="I271" s="127"/>
      <c r="J271" s="127"/>
      <c r="K271" s="127"/>
      <c r="L271" s="127"/>
      <c r="M271" s="127"/>
      <c r="N271" s="127"/>
    </row>
    <row r="272" spans="2:14">
      <c r="B272" s="129" t="s">
        <v>419</v>
      </c>
      <c r="C272" s="130"/>
      <c r="D272" s="131"/>
      <c r="E272" s="129"/>
      <c r="F272" s="127"/>
      <c r="G272" s="127"/>
      <c r="H272" s="127"/>
      <c r="I272" s="127"/>
      <c r="J272" s="127"/>
      <c r="K272" s="127"/>
      <c r="L272" s="127"/>
      <c r="M272" s="127"/>
      <c r="N272" s="127"/>
    </row>
    <row r="273" spans="2:14">
      <c r="B273" s="129" t="s">
        <v>284</v>
      </c>
      <c r="C273" s="130"/>
      <c r="D273" s="131"/>
      <c r="E273" s="129"/>
      <c r="F273" s="127"/>
      <c r="G273" s="127"/>
      <c r="H273" s="127"/>
      <c r="I273" s="127"/>
      <c r="J273" s="127"/>
      <c r="K273" s="127"/>
      <c r="L273" s="127"/>
      <c r="M273" s="127"/>
      <c r="N273" s="127"/>
    </row>
  </sheetData>
  <sheetProtection formatCells="0" formatColumns="0" formatRows="0" insertColumns="0" insertRows="0" deleteColumns="0" sort="0" autoFilter="0"/>
  <mergeCells count="6">
    <mergeCell ref="B2:M2"/>
    <mergeCell ref="C3:J3"/>
    <mergeCell ref="C5:D5"/>
    <mergeCell ref="C6:D6"/>
    <mergeCell ref="H5:I5"/>
    <mergeCell ref="H6:I6"/>
  </mergeCells>
  <conditionalFormatting sqref="C62:C273">
    <cfRule type="expression" dxfId="23" priority="42">
      <formula>AND(ISBLANK(INDIRECT("CategoriesTable[@Category name]")),NOT(ISBLANK(INDIRECT("CategoriesTable[@Category type]"))))</formula>
    </cfRule>
  </conditionalFormatting>
  <conditionalFormatting sqref="D62:D273">
    <cfRule type="expression" dxfId="22" priority="43">
      <formula>AND(ISBLANK(INDIRECT("CategoriesTable[@Category type]")),NOT(ISBLANK(INDIRECT("CategoriesTable[@Category name]"))))</formula>
    </cfRule>
  </conditionalFormatting>
  <conditionalFormatting sqref="B44:B61 E44:E61 B62:E273">
    <cfRule type="expression" dxfId="21" priority="44">
      <formula>INDIRECT("CategoriesTable[@Default]")=TRUE</formula>
    </cfRule>
  </conditionalFormatting>
  <conditionalFormatting sqref="I8:I251">
    <cfRule type="expression" dxfId="20" priority="46">
      <formula>AND(ISBLANK(INDIRECT("SubcategoriesTable[@Subcategory name]")),NOT(ISBLANK(INDIRECT("SubcategoriesTable[@Category name]"))))</formula>
    </cfRule>
  </conditionalFormatting>
  <conditionalFormatting sqref="N70">
    <cfRule type="expression" dxfId="19" priority="8">
      <formula>AND(ISBLANK(INDIRECT("CategoriesTable[@Category name]")),NOT(ISBLANK(INDIRECT("CategoriesTable[@Category type]"))))</formula>
    </cfRule>
  </conditionalFormatting>
  <conditionalFormatting sqref="N70">
    <cfRule type="expression" dxfId="18" priority="9">
      <formula>INDIRECT("CategoriesTable[@Default]")=TRUE</formula>
    </cfRule>
  </conditionalFormatting>
  <conditionalFormatting sqref="C44:C61">
    <cfRule type="expression" dxfId="17" priority="5">
      <formula>AND(ISBLANK(INDIRECT("CategoriesTable[@Category name]")),NOT(ISBLANK(INDIRECT("CategoriesTable[@Category type]"))))</formula>
    </cfRule>
  </conditionalFormatting>
  <conditionalFormatting sqref="H199">
    <cfRule type="expression" dxfId="16" priority="3">
      <formula>AND(ISBLANK(INDIRECT("CategoriesTable[@Category name]")),NOT(ISBLANK(INDIRECT("CategoriesTable[@Category type]"))))</formula>
    </cfRule>
  </conditionalFormatting>
  <conditionalFormatting sqref="D44:D61">
    <cfRule type="expression" dxfId="15" priority="6">
      <formula>AND(ISBLANK(INDIRECT("CategoriesTable[@Category type]")),NOT(ISBLANK(INDIRECT("CategoriesTable[@Category name]"))))</formula>
    </cfRule>
  </conditionalFormatting>
  <conditionalFormatting sqref="C44:D61">
    <cfRule type="expression" dxfId="14" priority="7">
      <formula>INDIRECT("CategoriesTable[@Default]")=TRUE</formula>
    </cfRule>
  </conditionalFormatting>
  <conditionalFormatting sqref="H199">
    <cfRule type="expression" dxfId="13" priority="4">
      <formula>INDIRECT("CategoriesTable[@Default]")=TRUE</formula>
    </cfRule>
  </conditionalFormatting>
  <conditionalFormatting sqref="H70">
    <cfRule type="expression" dxfId="1" priority="1">
      <formula>AND(ISBLANK(INDIRECT("CategoriesTable[@Category name]")),NOT(ISBLANK(INDIRECT("CategoriesTable[@Category type]"))))</formula>
    </cfRule>
  </conditionalFormatting>
  <conditionalFormatting sqref="H70">
    <cfRule type="expression" dxfId="0" priority="2">
      <formula>INDIRECT("CategoriesTable[@Default]")=TRUE</formula>
    </cfRule>
  </conditionalFormatting>
  <dataValidations count="2">
    <dataValidation type="list" allowBlank="1" showInputMessage="1" showErrorMessage="1" sqref="D62:D273" xr:uid="{15778142-CCA1-724D-88DE-2FF2232BD50A}">
      <formula1>"Expense, Transfer, Income"</formula1>
    </dataValidation>
    <dataValidation type="list" allowBlank="1" showInputMessage="1" showErrorMessage="1" promptTitle="Type of the entry" prompt="Expense, Income, Transfer" sqref="D44:D61" xr:uid="{68BC9941-8FAD-4339-9A5B-DD46B4A63B67}">
      <formula1>"Expense, Income, Transfer"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13C13-C73F-6A4E-9DCC-DCCB5E8E58F2}">
  <dimension ref="B1:FZ100"/>
  <sheetViews>
    <sheetView workbookViewId="0">
      <selection activeCell="B2" sqref="B2"/>
    </sheetView>
  </sheetViews>
  <sheetFormatPr defaultColWidth="11.42578125" defaultRowHeight="15"/>
  <cols>
    <col min="2" max="2" width="27.85546875" bestFit="1" customWidth="1"/>
  </cols>
  <sheetData>
    <row r="1" spans="2:9">
      <c r="B1" t="s">
        <v>4</v>
      </c>
      <c r="C1" t="s">
        <v>50</v>
      </c>
    </row>
    <row r="2" spans="2:9">
      <c r="B2" t="str" cm="1">
        <f t="array" ref="B2:B27">_xlfn.UNIQUE(_xlfn._xlws.FILTER(CategoryNames, CategoryNames&lt;&gt;"",),FALSE,FALSE)</f>
        <v>Auto/Transport</v>
      </c>
      <c r="C2" t="str" cm="1">
        <f t="array" aca="1" ref="C2" ca="1">IFERROR(TRANSPOSE(INDEX(_xlfn._xlws.FILTER(INDIRECT("SubcategoriesTable[Subcategory name]"),INDIRECT("SubcategoriesTable[Category name]")=$B2),,)),"No subcategories")</f>
        <v>No subcategories</v>
      </c>
    </row>
    <row r="3" spans="2:9">
      <c r="B3" t="str">
        <v>Bills/Utilities</v>
      </c>
      <c r="C3" t="str" cm="1">
        <f t="array" aca="1" ref="C3" ca="1">IFERROR(TRANSPOSE(INDEX(_xlfn._xlws.FILTER(INDIRECT("SubcategoriesTable[Subcategory name]"),INDIRECT("SubcategoriesTable[Category name]")=$B3),,)),"No subcategories")</f>
        <v>No subcategories</v>
      </c>
    </row>
    <row r="4" spans="2:9">
      <c r="B4" t="str">
        <v>Entertainment</v>
      </c>
      <c r="C4" t="str" cm="1">
        <f t="array" aca="1" ref="C4" ca="1">IFERROR(TRANSPOSE(INDEX(_xlfn._xlws.FILTER(INDIRECT("SubcategoriesTable[Subcategory name]"),INDIRECT("SubcategoriesTable[Category name]")=$B4),,)),"No subcategories")</f>
        <v>No subcategories</v>
      </c>
    </row>
    <row r="5" spans="2:9">
      <c r="B5" t="str">
        <v>Fees/Charges</v>
      </c>
      <c r="C5" t="str" cm="1">
        <f t="array" aca="1" ref="C5" ca="1">IFERROR(TRANSPOSE(INDEX(_xlfn._xlws.FILTER(INDIRECT("SubcategoriesTable[Subcategory name]"),INDIRECT("SubcategoriesTable[Category name]")=$B5),,)),"No subcategories")</f>
        <v>No subcategories</v>
      </c>
    </row>
    <row r="6" spans="2:9">
      <c r="B6" t="str">
        <v>Groceries</v>
      </c>
      <c r="C6" t="str" cm="1">
        <f t="array" aca="1" ref="C6" ca="1">IFERROR(TRANSPOSE(INDEX(_xlfn._xlws.FILTER(INDIRECT("SubcategoriesTable[Subcategory name]"),INDIRECT("SubcategoriesTable[Category name]")=$B6),,)),"No subcategories")</f>
        <v>No subcategories</v>
      </c>
    </row>
    <row r="7" spans="2:9">
      <c r="B7" t="str">
        <v>Health/Fitness</v>
      </c>
      <c r="C7" t="str" cm="1">
        <f t="array" aca="1" ref="C7" ca="1">IFERROR(TRANSPOSE(INDEX(_xlfn._xlws.FILTER(INDIRECT("SubcategoriesTable[Subcategory name]"),INDIRECT("SubcategoriesTable[Category name]")=$B7),,)),"No subcategories")</f>
        <v>No subcategories</v>
      </c>
    </row>
    <row r="8" spans="2:9">
      <c r="B8" t="str">
        <v>Home</v>
      </c>
      <c r="C8" t="str" cm="1">
        <f t="array" aca="1" ref="C8:I8" ca="1">IFERROR(TRANSPOSE(INDEX(_xlfn._xlws.FILTER(INDIRECT("SubcategoriesTable[Subcategory name]"),INDIRECT("SubcategoriesTable[Category name]")=$B8),,)),"No subcategories")</f>
        <v>DMV Fees</v>
      </c>
      <c r="D8" t="str">
        <f ca="1"/>
        <v>Gas</v>
      </c>
      <c r="E8" t="str">
        <f ca="1"/>
        <v>Maintenance</v>
      </c>
      <c r="F8" t="str">
        <f ca="1"/>
        <v>Parking</v>
      </c>
      <c r="G8" t="str">
        <f ca="1"/>
        <v>Public Transit</v>
      </c>
      <c r="H8" t="str">
        <f ca="1"/>
        <v>Registration</v>
      </c>
      <c r="I8" t="str">
        <f ca="1"/>
        <v>Rideshare</v>
      </c>
    </row>
    <row r="9" spans="2:9">
      <c r="B9" t="str">
        <v>Income</v>
      </c>
      <c r="C9" t="str" cm="1">
        <f t="array" aca="1" ref="C9" ca="1">IFERROR(TRANSPOSE(INDEX(_xlfn._xlws.FILTER(INDIRECT("SubcategoriesTable[Subcategory name]"),INDIRECT("SubcategoriesTable[Category name]")=$B9),,)),"No subcategories")</f>
        <v>No subcategories</v>
      </c>
    </row>
    <row r="10" spans="2:9">
      <c r="B10" t="str">
        <v>Misc</v>
      </c>
      <c r="C10" t="str" cm="1">
        <f t="array" aca="1" ref="C10" ca="1">IFERROR(TRANSPOSE(INDEX(_xlfn._xlws.FILTER(INDIRECT("SubcategoriesTable[Subcategory name]"),INDIRECT("SubcategoriesTable[Category name]")=$B10),,)),"No subcategories")</f>
        <v>Taxes</v>
      </c>
    </row>
    <row r="11" spans="2:9">
      <c r="B11" t="str">
        <v>Mortgage/Rent</v>
      </c>
      <c r="C11" t="str" cm="1">
        <f t="array" aca="1" ref="C11" ca="1">IFERROR(TRANSPOSE(INDEX(_xlfn._xlws.FILTER(INDIRECT("SubcategoriesTable[Subcategory name]"),INDIRECT("SubcategoriesTable[Category name]")=$B11),,)),"No subcategories")</f>
        <v>No subcategories</v>
      </c>
    </row>
    <row r="12" spans="2:9">
      <c r="B12" t="str">
        <v>Payment</v>
      </c>
      <c r="C12" t="str" cm="1">
        <f t="array" aca="1" ref="C12" ca="1">IFERROR(TRANSPOSE(INDEX(_xlfn._xlws.FILTER(INDIRECT("SubcategoriesTable[Subcategory name]"),INDIRECT("SubcategoriesTable[Category name]")=$B12),,)),"No subcategories")</f>
        <v>No subcategories</v>
      </c>
    </row>
    <row r="13" spans="2:9">
      <c r="B13" t="str">
        <v>Professional Services</v>
      </c>
      <c r="C13" t="str" cm="1">
        <f t="array" aca="1" ref="C13" ca="1">IFERROR(TRANSPOSE(INDEX(_xlfn._xlws.FILTER(INDIRECT("SubcategoriesTable[Subcategory name]"),INDIRECT("SubcategoriesTable[Category name]")=$B13),,)),"No subcategories")</f>
        <v>No subcategories</v>
      </c>
    </row>
    <row r="14" spans="2:9">
      <c r="B14" t="str">
        <v>Refund</v>
      </c>
      <c r="C14" t="str" cm="1">
        <f t="array" aca="1" ref="C14" ca="1">IFERROR(TRANSPOSE(INDEX(_xlfn._xlws.FILTER(INDIRECT("SubcategoriesTable[Subcategory name]"),INDIRECT("SubcategoriesTable[Category name]")=$B14),,)),"No subcategories")</f>
        <v>No subcategories</v>
      </c>
    </row>
    <row r="15" spans="2:9">
      <c r="B15" t="str">
        <v>Restaurants/Dining</v>
      </c>
      <c r="C15" t="str" cm="1">
        <f t="array" aca="1" ref="C15" ca="1">IFERROR(TRANSPOSE(INDEX(_xlfn._xlws.FILTER(INDIRECT("SubcategoriesTable[Subcategory name]"),INDIRECT("SubcategoriesTable[Category name]")=$B15),,)),"No subcategories")</f>
        <v>Resteraunts</v>
      </c>
    </row>
    <row r="16" spans="2:9">
      <c r="B16" t="str">
        <v>Shopping</v>
      </c>
      <c r="C16" t="str" cm="1">
        <f t="array" aca="1" ref="C16" ca="1">IFERROR(TRANSPOSE(INDEX(_xlfn._xlws.FILTER(INDIRECT("SubcategoriesTable[Subcategory name]"),INDIRECT("SubcategoriesTable[Category name]")=$B16),,)),"No subcategories")</f>
        <v>No subcategories</v>
      </c>
    </row>
    <row r="17" spans="2:182">
      <c r="B17" t="str">
        <v>Transfer</v>
      </c>
      <c r="C17" t="str" cm="1">
        <f t="array" aca="1" ref="C17" ca="1">IFERROR(TRANSPOSE(INDEX(_xlfn._xlws.FILTER(INDIRECT("SubcategoriesTable[Subcategory name]"),INDIRECT("SubcategoriesTable[Category name]")=$B17),,)),"No subcategories")</f>
        <v>No subcategories</v>
      </c>
    </row>
    <row r="18" spans="2:182">
      <c r="B18" t="str">
        <v>Travel</v>
      </c>
      <c r="C18" t="str" cm="1">
        <f t="array" aca="1" ref="C18" ca="1">IFERROR(TRANSPOSE(INDEX(_xlfn._xlws.FILTER(INDIRECT("SubcategoriesTable[Subcategory name]"),INDIRECT("SubcategoriesTable[Category name]")=$B18),,)),"No subcategories")</f>
        <v>No subcategories</v>
      </c>
    </row>
    <row r="19" spans="2:182">
      <c r="B19" t="str">
        <v>Uncategorized</v>
      </c>
      <c r="C19" t="str" cm="1">
        <f t="array" aca="1" ref="C19" ca="1">IFERROR(TRANSPOSE(INDEX(_xlfn._xlws.FILTER(INDIRECT("SubcategoriesTable[Subcategory name]"),INDIRECT("SubcategoriesTable[Category name]")=$B19),,)),"No subcategories")</f>
        <v>No subcategories</v>
      </c>
    </row>
    <row r="20" spans="2:182">
      <c r="B20" t="str">
        <v>Food</v>
      </c>
      <c r="C20" t="str" cm="1">
        <f t="array" aca="1" ref="C20:E20" ca="1">IFERROR(TRANSPOSE(INDEX(_xlfn._xlws.FILTER(INDIRECT("SubcategoriesTable[Subcategory name]"),INDIRECT("SubcategoriesTable[Category name]")=$B20),,)),"No subcategories")</f>
        <v>PO Boxes</v>
      </c>
      <c r="D20" t="str">
        <f ca="1"/>
        <v>Storage</v>
      </c>
      <c r="E20" t="str">
        <f ca="1"/>
        <v>Water</v>
      </c>
    </row>
    <row r="21" spans="2:182">
      <c r="B21" t="str">
        <v>Insurance</v>
      </c>
      <c r="C21" t="str" cm="1">
        <f t="array" aca="1" ref="C21" ca="1">IFERROR(TRANSPOSE(INDEX(_xlfn._xlws.FILTER(INDIRECT("SubcategoriesTable[Subcategory name]"),INDIRECT("SubcategoriesTable[Category name]")=$B21),,)),"No subcategories")</f>
        <v>Urgent Care</v>
      </c>
    </row>
    <row r="22" spans="2:182">
      <c r="B22" t="str">
        <v>Medical &amp; Healthcare</v>
      </c>
      <c r="C22" t="str" cm="1">
        <f t="array" aca="1" ref="C22:I22" ca="1">IFERROR(TRANSPOSE(INDEX(_xlfn._xlws.FILTER(INDIRECT("SubcategoriesTable[Subcategory name]"),INDIRECT("SubcategoriesTable[Category name]")=$B22),,)),"No subcategories")</f>
        <v>401 K</v>
      </c>
      <c r="D22" t="str">
        <f ca="1"/>
        <v>Credit</v>
      </c>
      <c r="E22" t="str">
        <f ca="1"/>
        <v>Emergency Fund</v>
      </c>
      <c r="F22" t="str">
        <f ca="1"/>
        <v>Personal Debt</v>
      </c>
      <c r="G22" t="str">
        <f ca="1"/>
        <v>Retirement Account</v>
      </c>
      <c r="H22" t="str">
        <f ca="1"/>
        <v>Savings Account</v>
      </c>
      <c r="I22" t="str">
        <f ca="1"/>
        <v>Securities</v>
      </c>
    </row>
    <row r="23" spans="2:182">
      <c r="B23" t="str">
        <v>Personal Spending</v>
      </c>
      <c r="C23" t="str" cm="1">
        <f t="array" aca="1" ref="C23:M23" ca="1">IFERROR(TRANSPOSE(INDEX(_xlfn._xlws.FILTER(INDIRECT("SubcategoriesTable[Subcategory name]"),INDIRECT("SubcategoriesTable[Category name]")=$B23),,)),"No subcategories")</f>
        <v>Pay Walls</v>
      </c>
      <c r="D23" t="str">
        <f ca="1"/>
        <v>Self Care</v>
      </c>
      <c r="E23" t="str">
        <f ca="1"/>
        <v>Subscription</v>
      </c>
      <c r="F23" t="str">
        <f ca="1"/>
        <v>Walmart/Target Run</v>
      </c>
      <c r="G23" t="str">
        <f ca="1"/>
        <v>Concerts</v>
      </c>
      <c r="H23" t="str">
        <f ca="1"/>
        <v>Conveinence Store</v>
      </c>
      <c r="I23" t="str">
        <f ca="1"/>
        <v>Family</v>
      </c>
      <c r="J23" t="str">
        <f ca="1"/>
        <v>Family Activities</v>
      </c>
      <c r="K23" t="str">
        <f ca="1"/>
        <v>Hobbies</v>
      </c>
      <c r="L23" t="str">
        <f ca="1"/>
        <v>Merchandise</v>
      </c>
      <c r="M23" t="str">
        <f ca="1"/>
        <v>Resteraunts</v>
      </c>
    </row>
    <row r="24" spans="2:182">
      <c r="B24" t="str">
        <v>Recreational &amp; Entertainment</v>
      </c>
      <c r="C24" t="str" cm="1">
        <f t="array" aca="1" ref="C24:L24" ca="1">IFERROR(TRANSPOSE(INDEX(_xlfn._xlws.FILTER(INDIRECT("SubcategoriesTable[Subcategory name]"),INDIRECT("SubcategoriesTable[Category name]")=$B24),,)),"No subcategories")</f>
        <v>Sporting Events</v>
      </c>
      <c r="D24" t="str">
        <f ca="1"/>
        <v>Streaming Services</v>
      </c>
      <c r="E24" t="str">
        <f ca="1"/>
        <v>Subscription</v>
      </c>
      <c r="F24" t="str">
        <f ca="1"/>
        <v>Video Games</v>
      </c>
      <c r="G24" t="str">
        <f ca="1"/>
        <v>Home Maintenance</v>
      </c>
      <c r="H24" t="str">
        <f ca="1"/>
        <v>Home Supplies</v>
      </c>
      <c r="I24" t="str">
        <f ca="1"/>
        <v>Office Supplies</v>
      </c>
      <c r="J24" t="str">
        <f ca="1"/>
        <v>Personal Care</v>
      </c>
      <c r="K24" t="str">
        <f ca="1"/>
        <v>Rent</v>
      </c>
      <c r="L24" t="str">
        <f ca="1"/>
        <v>Study Material (Pre Nationwide)</v>
      </c>
    </row>
    <row r="25" spans="2:182">
      <c r="B25" t="str">
        <v>Savings, Investing, &amp;Debt</v>
      </c>
      <c r="C25" t="str" cm="1">
        <f t="array" aca="1" ref="C25:J25" ca="1">IFERROR(TRANSPOSE(INDEX(_xlfn._xlws.FILTER(INDIRECT("SubcategoriesTable[Subcategory name]"),INDIRECT("SubcategoriesTable[Category name]")=$B25),,)),"No subcategories")</f>
        <v>Student Loan</v>
      </c>
      <c r="D25" t="str">
        <f ca="1"/>
        <v>Clothes</v>
      </c>
      <c r="E25" t="str">
        <f ca="1"/>
        <v>Conveinence Store</v>
      </c>
      <c r="F25" t="str">
        <f ca="1"/>
        <v>Gifts/Donations</v>
      </c>
      <c r="G25" t="str">
        <f ca="1"/>
        <v>Gym</v>
      </c>
      <c r="H25" t="str">
        <f ca="1"/>
        <v>Health (Experimental)</v>
      </c>
      <c r="I25" t="str">
        <f ca="1"/>
        <v>Home Décor</v>
      </c>
      <c r="J25" t="str">
        <f ca="1"/>
        <v>Merchandise</v>
      </c>
    </row>
    <row r="26" spans="2:182">
      <c r="B26" t="str">
        <v>Transportation</v>
      </c>
      <c r="C26" t="str" cm="1">
        <f t="array" aca="1" ref="C26:J26" ca="1">IFERROR(TRANSPOSE(INDEX(_xlfn._xlws.FILTER(INDIRECT("SubcategoriesTable[Subcategory name]"),INDIRECT("SubcategoriesTable[Category name]")=$B26),,)),"No subcategories")</f>
        <v>Tolls</v>
      </c>
      <c r="D26" t="str">
        <f ca="1"/>
        <v>Food Delivery</v>
      </c>
      <c r="E26" t="str">
        <f ca="1"/>
        <v>Groceries</v>
      </c>
      <c r="F26" t="str">
        <f ca="1"/>
        <v>Work Lunches</v>
      </c>
      <c r="G26" t="str">
        <f ca="1"/>
        <v>Electricity</v>
      </c>
      <c r="H26" t="str">
        <f ca="1"/>
        <v>Government Services</v>
      </c>
      <c r="I26" t="str">
        <f ca="1"/>
        <v>Internet</v>
      </c>
      <c r="J26" t="str">
        <f ca="1"/>
        <v>Phone</v>
      </c>
    </row>
    <row r="27" spans="2:182">
      <c r="B27" t="str">
        <v>Utilities</v>
      </c>
      <c r="C27" t="str" cm="1">
        <f t="array" aca="1" ref="C27:I27" ca="1">IFERROR(TRANSPOSE(INDEX(_xlfn._xlws.FILTER(INDIRECT("SubcategoriesTable[Subcategory name]"),INDIRECT("SubcategoriesTable[Category name]")=$B27),,)),"No subcategories")</f>
        <v>Auto Insurance</v>
      </c>
      <c r="D27" t="str">
        <f ca="1"/>
        <v>Dental Care</v>
      </c>
      <c r="E27" t="str">
        <f ca="1"/>
        <v>Eye Care</v>
      </c>
      <c r="F27" t="str">
        <f ca="1"/>
        <v>Medical Devices &amp; Supplies</v>
      </c>
      <c r="G27" t="str">
        <f ca="1"/>
        <v>Out-of-Pocket Costs</v>
      </c>
      <c r="H27" t="str">
        <f ca="1"/>
        <v>Prescriptions</v>
      </c>
      <c r="I27" t="str">
        <f ca="1"/>
        <v>Specialty Care</v>
      </c>
    </row>
    <row r="28" spans="2:182">
      <c r="C28" cm="1">
        <f t="array" aca="1" ref="C28:FZ28" ca="1">IFERROR(TRANSPOSE(INDEX(_xlfn._xlws.FILTER(INDIRECT("SubcategoriesTable[Subcategory name]"),INDIRECT("SubcategoriesTable[Category name]")=$B28),,)),"No subcategories")</f>
        <v>0</v>
      </c>
      <c r="D28">
        <f ca="1"/>
        <v>0</v>
      </c>
      <c r="E28">
        <f ca="1"/>
        <v>0</v>
      </c>
      <c r="F28">
        <f ca="1"/>
        <v>0</v>
      </c>
      <c r="G28">
        <f ca="1"/>
        <v>0</v>
      </c>
      <c r="H28">
        <f ca="1"/>
        <v>0</v>
      </c>
      <c r="I28">
        <f ca="1"/>
        <v>0</v>
      </c>
      <c r="J28">
        <f ca="1"/>
        <v>0</v>
      </c>
      <c r="K28">
        <f ca="1"/>
        <v>0</v>
      </c>
      <c r="L28">
        <f ca="1"/>
        <v>0</v>
      </c>
      <c r="M28">
        <f ca="1"/>
        <v>0</v>
      </c>
      <c r="N28">
        <f ca="1"/>
        <v>0</v>
      </c>
      <c r="O28">
        <f ca="1"/>
        <v>0</v>
      </c>
      <c r="P28">
        <f ca="1"/>
        <v>0</v>
      </c>
      <c r="Q28">
        <f ca="1"/>
        <v>0</v>
      </c>
      <c r="R28">
        <f ca="1"/>
        <v>0</v>
      </c>
      <c r="S28">
        <f ca="1"/>
        <v>0</v>
      </c>
      <c r="T28">
        <f ca="1"/>
        <v>0</v>
      </c>
      <c r="U28">
        <f ca="1"/>
        <v>0</v>
      </c>
      <c r="V28">
        <f ca="1"/>
        <v>0</v>
      </c>
      <c r="W28">
        <f ca="1"/>
        <v>0</v>
      </c>
      <c r="X28">
        <f ca="1"/>
        <v>0</v>
      </c>
      <c r="Y28">
        <f ca="1"/>
        <v>0</v>
      </c>
      <c r="Z28">
        <f ca="1"/>
        <v>0</v>
      </c>
      <c r="AA28">
        <f ca="1"/>
        <v>0</v>
      </c>
      <c r="AB28">
        <f ca="1"/>
        <v>0</v>
      </c>
      <c r="AC28">
        <f ca="1"/>
        <v>0</v>
      </c>
      <c r="AD28">
        <f ca="1"/>
        <v>0</v>
      </c>
      <c r="AE28">
        <f ca="1"/>
        <v>0</v>
      </c>
      <c r="AF28">
        <f ca="1"/>
        <v>0</v>
      </c>
      <c r="AG28">
        <f ca="1"/>
        <v>0</v>
      </c>
      <c r="AH28">
        <f ca="1"/>
        <v>0</v>
      </c>
      <c r="AI28">
        <f ca="1"/>
        <v>0</v>
      </c>
      <c r="AJ28">
        <f ca="1"/>
        <v>0</v>
      </c>
      <c r="AK28">
        <f ca="1"/>
        <v>0</v>
      </c>
      <c r="AL28">
        <f ca="1"/>
        <v>0</v>
      </c>
      <c r="AM28">
        <f ca="1"/>
        <v>0</v>
      </c>
      <c r="AN28">
        <f ca="1"/>
        <v>0</v>
      </c>
      <c r="AO28">
        <f ca="1"/>
        <v>0</v>
      </c>
      <c r="AP28">
        <f ca="1"/>
        <v>0</v>
      </c>
      <c r="AQ28">
        <f ca="1"/>
        <v>0</v>
      </c>
      <c r="AR28">
        <f ca="1"/>
        <v>0</v>
      </c>
      <c r="AS28">
        <f ca="1"/>
        <v>0</v>
      </c>
      <c r="AT28">
        <f ca="1"/>
        <v>0</v>
      </c>
      <c r="AU28">
        <f ca="1"/>
        <v>0</v>
      </c>
      <c r="AV28">
        <f ca="1"/>
        <v>0</v>
      </c>
      <c r="AW28">
        <f ca="1"/>
        <v>0</v>
      </c>
      <c r="AX28">
        <f ca="1"/>
        <v>0</v>
      </c>
      <c r="AY28">
        <f ca="1"/>
        <v>0</v>
      </c>
      <c r="AZ28">
        <f ca="1"/>
        <v>0</v>
      </c>
      <c r="BA28">
        <f ca="1"/>
        <v>0</v>
      </c>
      <c r="BB28">
        <f ca="1"/>
        <v>0</v>
      </c>
      <c r="BC28">
        <f ca="1"/>
        <v>0</v>
      </c>
      <c r="BD28">
        <f ca="1"/>
        <v>0</v>
      </c>
      <c r="BE28">
        <f ca="1"/>
        <v>0</v>
      </c>
      <c r="BF28">
        <f ca="1"/>
        <v>0</v>
      </c>
      <c r="BG28">
        <f ca="1"/>
        <v>0</v>
      </c>
      <c r="BH28">
        <f ca="1"/>
        <v>0</v>
      </c>
      <c r="BI28">
        <f ca="1"/>
        <v>0</v>
      </c>
      <c r="BJ28">
        <f ca="1"/>
        <v>0</v>
      </c>
      <c r="BK28">
        <f ca="1"/>
        <v>0</v>
      </c>
      <c r="BL28">
        <f ca="1"/>
        <v>0</v>
      </c>
      <c r="BM28">
        <f ca="1"/>
        <v>0</v>
      </c>
      <c r="BN28">
        <f ca="1"/>
        <v>0</v>
      </c>
      <c r="BO28">
        <f ca="1"/>
        <v>0</v>
      </c>
      <c r="BP28">
        <f ca="1"/>
        <v>0</v>
      </c>
      <c r="BQ28">
        <f ca="1"/>
        <v>0</v>
      </c>
      <c r="BR28">
        <f ca="1"/>
        <v>0</v>
      </c>
      <c r="BS28">
        <f ca="1"/>
        <v>0</v>
      </c>
      <c r="BT28">
        <f ca="1"/>
        <v>0</v>
      </c>
      <c r="BU28">
        <f ca="1"/>
        <v>0</v>
      </c>
      <c r="BV28">
        <f ca="1"/>
        <v>0</v>
      </c>
      <c r="BW28">
        <f ca="1"/>
        <v>0</v>
      </c>
      <c r="BX28">
        <f ca="1"/>
        <v>0</v>
      </c>
      <c r="BY28">
        <f ca="1"/>
        <v>0</v>
      </c>
      <c r="BZ28">
        <f ca="1"/>
        <v>0</v>
      </c>
      <c r="CA28">
        <f ca="1"/>
        <v>0</v>
      </c>
      <c r="CB28">
        <f ca="1"/>
        <v>0</v>
      </c>
      <c r="CC28">
        <f ca="1"/>
        <v>0</v>
      </c>
      <c r="CD28">
        <f ca="1"/>
        <v>0</v>
      </c>
      <c r="CE28">
        <f ca="1"/>
        <v>0</v>
      </c>
      <c r="CF28">
        <f ca="1"/>
        <v>0</v>
      </c>
      <c r="CG28">
        <f ca="1"/>
        <v>0</v>
      </c>
      <c r="CH28">
        <f ca="1"/>
        <v>0</v>
      </c>
      <c r="CI28">
        <f ca="1"/>
        <v>0</v>
      </c>
      <c r="CJ28">
        <f ca="1"/>
        <v>0</v>
      </c>
      <c r="CK28">
        <f ca="1"/>
        <v>0</v>
      </c>
      <c r="CL28">
        <f ca="1"/>
        <v>0</v>
      </c>
      <c r="CM28">
        <f ca="1"/>
        <v>0</v>
      </c>
      <c r="CN28">
        <f ca="1"/>
        <v>0</v>
      </c>
      <c r="CO28">
        <f ca="1"/>
        <v>0</v>
      </c>
      <c r="CP28">
        <f ca="1"/>
        <v>0</v>
      </c>
      <c r="CQ28">
        <f ca="1"/>
        <v>0</v>
      </c>
      <c r="CR28">
        <f ca="1"/>
        <v>0</v>
      </c>
      <c r="CS28">
        <f ca="1"/>
        <v>0</v>
      </c>
      <c r="CT28">
        <f ca="1"/>
        <v>0</v>
      </c>
      <c r="CU28">
        <f ca="1"/>
        <v>0</v>
      </c>
      <c r="CV28">
        <f ca="1"/>
        <v>0</v>
      </c>
      <c r="CW28">
        <f ca="1"/>
        <v>0</v>
      </c>
      <c r="CX28">
        <f ca="1"/>
        <v>0</v>
      </c>
      <c r="CY28">
        <f ca="1"/>
        <v>0</v>
      </c>
      <c r="CZ28">
        <f ca="1"/>
        <v>0</v>
      </c>
      <c r="DA28">
        <f ca="1"/>
        <v>0</v>
      </c>
      <c r="DB28">
        <f ca="1"/>
        <v>0</v>
      </c>
      <c r="DC28">
        <f ca="1"/>
        <v>0</v>
      </c>
      <c r="DD28">
        <f ca="1"/>
        <v>0</v>
      </c>
      <c r="DE28">
        <f ca="1"/>
        <v>0</v>
      </c>
      <c r="DF28">
        <f ca="1"/>
        <v>0</v>
      </c>
      <c r="DG28">
        <f ca="1"/>
        <v>0</v>
      </c>
      <c r="DH28">
        <f ca="1"/>
        <v>0</v>
      </c>
      <c r="DI28">
        <f ca="1"/>
        <v>0</v>
      </c>
      <c r="DJ28">
        <f ca="1"/>
        <v>0</v>
      </c>
      <c r="DK28">
        <f ca="1"/>
        <v>0</v>
      </c>
      <c r="DL28">
        <f ca="1"/>
        <v>0</v>
      </c>
      <c r="DM28">
        <f ca="1"/>
        <v>0</v>
      </c>
      <c r="DN28">
        <f ca="1"/>
        <v>0</v>
      </c>
      <c r="DO28">
        <f ca="1"/>
        <v>0</v>
      </c>
      <c r="DP28">
        <f ca="1"/>
        <v>0</v>
      </c>
      <c r="DQ28">
        <f ca="1"/>
        <v>0</v>
      </c>
      <c r="DR28">
        <f ca="1"/>
        <v>0</v>
      </c>
      <c r="DS28">
        <f ca="1"/>
        <v>0</v>
      </c>
      <c r="DT28">
        <f ca="1"/>
        <v>0</v>
      </c>
      <c r="DU28">
        <f ca="1"/>
        <v>0</v>
      </c>
      <c r="DV28">
        <f ca="1"/>
        <v>0</v>
      </c>
      <c r="DW28">
        <f ca="1"/>
        <v>0</v>
      </c>
      <c r="DX28">
        <f ca="1"/>
        <v>0</v>
      </c>
      <c r="DY28">
        <f ca="1"/>
        <v>0</v>
      </c>
      <c r="DZ28">
        <f ca="1"/>
        <v>0</v>
      </c>
      <c r="EA28">
        <f ca="1"/>
        <v>0</v>
      </c>
      <c r="EB28">
        <f ca="1"/>
        <v>0</v>
      </c>
      <c r="EC28">
        <f ca="1"/>
        <v>0</v>
      </c>
      <c r="ED28">
        <f ca="1"/>
        <v>0</v>
      </c>
      <c r="EE28">
        <f ca="1"/>
        <v>0</v>
      </c>
      <c r="EF28">
        <f ca="1"/>
        <v>0</v>
      </c>
      <c r="EG28">
        <f ca="1"/>
        <v>0</v>
      </c>
      <c r="EH28">
        <f ca="1"/>
        <v>0</v>
      </c>
      <c r="EI28">
        <f ca="1"/>
        <v>0</v>
      </c>
      <c r="EJ28">
        <f ca="1"/>
        <v>0</v>
      </c>
      <c r="EK28">
        <f ca="1"/>
        <v>0</v>
      </c>
      <c r="EL28">
        <f ca="1"/>
        <v>0</v>
      </c>
      <c r="EM28">
        <f ca="1"/>
        <v>0</v>
      </c>
      <c r="EN28">
        <f ca="1"/>
        <v>0</v>
      </c>
      <c r="EO28">
        <f ca="1"/>
        <v>0</v>
      </c>
      <c r="EP28">
        <f ca="1"/>
        <v>0</v>
      </c>
      <c r="EQ28">
        <f ca="1"/>
        <v>0</v>
      </c>
      <c r="ER28">
        <f ca="1"/>
        <v>0</v>
      </c>
      <c r="ES28">
        <f ca="1"/>
        <v>0</v>
      </c>
      <c r="ET28">
        <f ca="1"/>
        <v>0</v>
      </c>
      <c r="EU28">
        <f ca="1"/>
        <v>0</v>
      </c>
      <c r="EV28">
        <f ca="1"/>
        <v>0</v>
      </c>
      <c r="EW28">
        <f ca="1"/>
        <v>0</v>
      </c>
      <c r="EX28">
        <f ca="1"/>
        <v>0</v>
      </c>
      <c r="EY28">
        <f ca="1"/>
        <v>0</v>
      </c>
      <c r="EZ28">
        <f ca="1"/>
        <v>0</v>
      </c>
      <c r="FA28">
        <f ca="1"/>
        <v>0</v>
      </c>
      <c r="FB28">
        <f ca="1"/>
        <v>0</v>
      </c>
      <c r="FC28">
        <f ca="1"/>
        <v>0</v>
      </c>
      <c r="FD28">
        <f ca="1"/>
        <v>0</v>
      </c>
      <c r="FE28">
        <f ca="1"/>
        <v>0</v>
      </c>
      <c r="FF28">
        <f ca="1"/>
        <v>0</v>
      </c>
      <c r="FG28">
        <f ca="1"/>
        <v>0</v>
      </c>
      <c r="FH28">
        <f ca="1"/>
        <v>0</v>
      </c>
      <c r="FI28">
        <f ca="1"/>
        <v>0</v>
      </c>
      <c r="FJ28">
        <f ca="1"/>
        <v>0</v>
      </c>
      <c r="FK28">
        <f ca="1"/>
        <v>0</v>
      </c>
      <c r="FL28">
        <f ca="1"/>
        <v>0</v>
      </c>
      <c r="FM28">
        <f ca="1"/>
        <v>0</v>
      </c>
      <c r="FN28">
        <f ca="1"/>
        <v>0</v>
      </c>
      <c r="FO28">
        <f ca="1"/>
        <v>0</v>
      </c>
      <c r="FP28">
        <f ca="1"/>
        <v>0</v>
      </c>
      <c r="FQ28">
        <f ca="1"/>
        <v>0</v>
      </c>
      <c r="FR28">
        <f ca="1"/>
        <v>0</v>
      </c>
      <c r="FS28">
        <f ca="1"/>
        <v>0</v>
      </c>
      <c r="FT28">
        <f ca="1"/>
        <v>0</v>
      </c>
      <c r="FU28">
        <f ca="1"/>
        <v>0</v>
      </c>
      <c r="FV28">
        <f ca="1"/>
        <v>0</v>
      </c>
      <c r="FW28">
        <f ca="1"/>
        <v>0</v>
      </c>
      <c r="FX28">
        <f ca="1"/>
        <v>0</v>
      </c>
      <c r="FY28">
        <f ca="1"/>
        <v>0</v>
      </c>
      <c r="FZ28">
        <f ca="1"/>
        <v>0</v>
      </c>
    </row>
    <row r="29" spans="2:182">
      <c r="C29" cm="1">
        <f t="array" aca="1" ref="C29:FZ29" ca="1">IFERROR(TRANSPOSE(INDEX(_xlfn._xlws.FILTER(INDIRECT("SubcategoriesTable[Subcategory name]"),INDIRECT("SubcategoriesTable[Category name]")=$B29),,)),"No subcategories")</f>
        <v>0</v>
      </c>
      <c r="D29">
        <f ca="1"/>
        <v>0</v>
      </c>
      <c r="E29">
        <f ca="1"/>
        <v>0</v>
      </c>
      <c r="F29">
        <f ca="1"/>
        <v>0</v>
      </c>
      <c r="G29">
        <f ca="1"/>
        <v>0</v>
      </c>
      <c r="H29">
        <f ca="1"/>
        <v>0</v>
      </c>
      <c r="I29">
        <f ca="1"/>
        <v>0</v>
      </c>
      <c r="J29">
        <f ca="1"/>
        <v>0</v>
      </c>
      <c r="K29">
        <f ca="1"/>
        <v>0</v>
      </c>
      <c r="L29">
        <f ca="1"/>
        <v>0</v>
      </c>
      <c r="M29">
        <f ca="1"/>
        <v>0</v>
      </c>
      <c r="N29">
        <f ca="1"/>
        <v>0</v>
      </c>
      <c r="O29">
        <f ca="1"/>
        <v>0</v>
      </c>
      <c r="P29">
        <f ca="1"/>
        <v>0</v>
      </c>
      <c r="Q29">
        <f ca="1"/>
        <v>0</v>
      </c>
      <c r="R29">
        <f ca="1"/>
        <v>0</v>
      </c>
      <c r="S29">
        <f ca="1"/>
        <v>0</v>
      </c>
      <c r="T29">
        <f ca="1"/>
        <v>0</v>
      </c>
      <c r="U29">
        <f ca="1"/>
        <v>0</v>
      </c>
      <c r="V29">
        <f ca="1"/>
        <v>0</v>
      </c>
      <c r="W29">
        <f ca="1"/>
        <v>0</v>
      </c>
      <c r="X29">
        <f ca="1"/>
        <v>0</v>
      </c>
      <c r="Y29">
        <f ca="1"/>
        <v>0</v>
      </c>
      <c r="Z29">
        <f ca="1"/>
        <v>0</v>
      </c>
      <c r="AA29">
        <f ca="1"/>
        <v>0</v>
      </c>
      <c r="AB29">
        <f ca="1"/>
        <v>0</v>
      </c>
      <c r="AC29">
        <f ca="1"/>
        <v>0</v>
      </c>
      <c r="AD29">
        <f ca="1"/>
        <v>0</v>
      </c>
      <c r="AE29">
        <f ca="1"/>
        <v>0</v>
      </c>
      <c r="AF29">
        <f ca="1"/>
        <v>0</v>
      </c>
      <c r="AG29">
        <f ca="1"/>
        <v>0</v>
      </c>
      <c r="AH29">
        <f ca="1"/>
        <v>0</v>
      </c>
      <c r="AI29">
        <f ca="1"/>
        <v>0</v>
      </c>
      <c r="AJ29">
        <f ca="1"/>
        <v>0</v>
      </c>
      <c r="AK29">
        <f ca="1"/>
        <v>0</v>
      </c>
      <c r="AL29">
        <f ca="1"/>
        <v>0</v>
      </c>
      <c r="AM29">
        <f ca="1"/>
        <v>0</v>
      </c>
      <c r="AN29">
        <f ca="1"/>
        <v>0</v>
      </c>
      <c r="AO29">
        <f ca="1"/>
        <v>0</v>
      </c>
      <c r="AP29">
        <f ca="1"/>
        <v>0</v>
      </c>
      <c r="AQ29">
        <f ca="1"/>
        <v>0</v>
      </c>
      <c r="AR29">
        <f ca="1"/>
        <v>0</v>
      </c>
      <c r="AS29">
        <f ca="1"/>
        <v>0</v>
      </c>
      <c r="AT29">
        <f ca="1"/>
        <v>0</v>
      </c>
      <c r="AU29">
        <f ca="1"/>
        <v>0</v>
      </c>
      <c r="AV29">
        <f ca="1"/>
        <v>0</v>
      </c>
      <c r="AW29">
        <f ca="1"/>
        <v>0</v>
      </c>
      <c r="AX29">
        <f ca="1"/>
        <v>0</v>
      </c>
      <c r="AY29">
        <f ca="1"/>
        <v>0</v>
      </c>
      <c r="AZ29">
        <f ca="1"/>
        <v>0</v>
      </c>
      <c r="BA29">
        <f ca="1"/>
        <v>0</v>
      </c>
      <c r="BB29">
        <f ca="1"/>
        <v>0</v>
      </c>
      <c r="BC29">
        <f ca="1"/>
        <v>0</v>
      </c>
      <c r="BD29">
        <f ca="1"/>
        <v>0</v>
      </c>
      <c r="BE29">
        <f ca="1"/>
        <v>0</v>
      </c>
      <c r="BF29">
        <f ca="1"/>
        <v>0</v>
      </c>
      <c r="BG29">
        <f ca="1"/>
        <v>0</v>
      </c>
      <c r="BH29">
        <f ca="1"/>
        <v>0</v>
      </c>
      <c r="BI29">
        <f ca="1"/>
        <v>0</v>
      </c>
      <c r="BJ29">
        <f ca="1"/>
        <v>0</v>
      </c>
      <c r="BK29">
        <f ca="1"/>
        <v>0</v>
      </c>
      <c r="BL29">
        <f ca="1"/>
        <v>0</v>
      </c>
      <c r="BM29">
        <f ca="1"/>
        <v>0</v>
      </c>
      <c r="BN29">
        <f ca="1"/>
        <v>0</v>
      </c>
      <c r="BO29">
        <f ca="1"/>
        <v>0</v>
      </c>
      <c r="BP29">
        <f ca="1"/>
        <v>0</v>
      </c>
      <c r="BQ29">
        <f ca="1"/>
        <v>0</v>
      </c>
      <c r="BR29">
        <f ca="1"/>
        <v>0</v>
      </c>
      <c r="BS29">
        <f ca="1"/>
        <v>0</v>
      </c>
      <c r="BT29">
        <f ca="1"/>
        <v>0</v>
      </c>
      <c r="BU29">
        <f ca="1"/>
        <v>0</v>
      </c>
      <c r="BV29">
        <f ca="1"/>
        <v>0</v>
      </c>
      <c r="BW29">
        <f ca="1"/>
        <v>0</v>
      </c>
      <c r="BX29">
        <f ca="1"/>
        <v>0</v>
      </c>
      <c r="BY29">
        <f ca="1"/>
        <v>0</v>
      </c>
      <c r="BZ29">
        <f ca="1"/>
        <v>0</v>
      </c>
      <c r="CA29">
        <f ca="1"/>
        <v>0</v>
      </c>
      <c r="CB29">
        <f ca="1"/>
        <v>0</v>
      </c>
      <c r="CC29">
        <f ca="1"/>
        <v>0</v>
      </c>
      <c r="CD29">
        <f ca="1"/>
        <v>0</v>
      </c>
      <c r="CE29">
        <f ca="1"/>
        <v>0</v>
      </c>
      <c r="CF29">
        <f ca="1"/>
        <v>0</v>
      </c>
      <c r="CG29">
        <f ca="1"/>
        <v>0</v>
      </c>
      <c r="CH29">
        <f ca="1"/>
        <v>0</v>
      </c>
      <c r="CI29">
        <f ca="1"/>
        <v>0</v>
      </c>
      <c r="CJ29">
        <f ca="1"/>
        <v>0</v>
      </c>
      <c r="CK29">
        <f ca="1"/>
        <v>0</v>
      </c>
      <c r="CL29">
        <f ca="1"/>
        <v>0</v>
      </c>
      <c r="CM29">
        <f ca="1"/>
        <v>0</v>
      </c>
      <c r="CN29">
        <f ca="1"/>
        <v>0</v>
      </c>
      <c r="CO29">
        <f ca="1"/>
        <v>0</v>
      </c>
      <c r="CP29">
        <f ca="1"/>
        <v>0</v>
      </c>
      <c r="CQ29">
        <f ca="1"/>
        <v>0</v>
      </c>
      <c r="CR29">
        <f ca="1"/>
        <v>0</v>
      </c>
      <c r="CS29">
        <f ca="1"/>
        <v>0</v>
      </c>
      <c r="CT29">
        <f ca="1"/>
        <v>0</v>
      </c>
      <c r="CU29">
        <f ca="1"/>
        <v>0</v>
      </c>
      <c r="CV29">
        <f ca="1"/>
        <v>0</v>
      </c>
      <c r="CW29">
        <f ca="1"/>
        <v>0</v>
      </c>
      <c r="CX29">
        <f ca="1"/>
        <v>0</v>
      </c>
      <c r="CY29">
        <f ca="1"/>
        <v>0</v>
      </c>
      <c r="CZ29">
        <f ca="1"/>
        <v>0</v>
      </c>
      <c r="DA29">
        <f ca="1"/>
        <v>0</v>
      </c>
      <c r="DB29">
        <f ca="1"/>
        <v>0</v>
      </c>
      <c r="DC29">
        <f ca="1"/>
        <v>0</v>
      </c>
      <c r="DD29">
        <f ca="1"/>
        <v>0</v>
      </c>
      <c r="DE29">
        <f ca="1"/>
        <v>0</v>
      </c>
      <c r="DF29">
        <f ca="1"/>
        <v>0</v>
      </c>
      <c r="DG29">
        <f ca="1"/>
        <v>0</v>
      </c>
      <c r="DH29">
        <f ca="1"/>
        <v>0</v>
      </c>
      <c r="DI29">
        <f ca="1"/>
        <v>0</v>
      </c>
      <c r="DJ29">
        <f ca="1"/>
        <v>0</v>
      </c>
      <c r="DK29">
        <f ca="1"/>
        <v>0</v>
      </c>
      <c r="DL29">
        <f ca="1"/>
        <v>0</v>
      </c>
      <c r="DM29">
        <f ca="1"/>
        <v>0</v>
      </c>
      <c r="DN29">
        <f ca="1"/>
        <v>0</v>
      </c>
      <c r="DO29">
        <f ca="1"/>
        <v>0</v>
      </c>
      <c r="DP29">
        <f ca="1"/>
        <v>0</v>
      </c>
      <c r="DQ29">
        <f ca="1"/>
        <v>0</v>
      </c>
      <c r="DR29">
        <f ca="1"/>
        <v>0</v>
      </c>
      <c r="DS29">
        <f ca="1"/>
        <v>0</v>
      </c>
      <c r="DT29">
        <f ca="1"/>
        <v>0</v>
      </c>
      <c r="DU29">
        <f ca="1"/>
        <v>0</v>
      </c>
      <c r="DV29">
        <f ca="1"/>
        <v>0</v>
      </c>
      <c r="DW29">
        <f ca="1"/>
        <v>0</v>
      </c>
      <c r="DX29">
        <f ca="1"/>
        <v>0</v>
      </c>
      <c r="DY29">
        <f ca="1"/>
        <v>0</v>
      </c>
      <c r="DZ29">
        <f ca="1"/>
        <v>0</v>
      </c>
      <c r="EA29">
        <f ca="1"/>
        <v>0</v>
      </c>
      <c r="EB29">
        <f ca="1"/>
        <v>0</v>
      </c>
      <c r="EC29">
        <f ca="1"/>
        <v>0</v>
      </c>
      <c r="ED29">
        <f ca="1"/>
        <v>0</v>
      </c>
      <c r="EE29">
        <f ca="1"/>
        <v>0</v>
      </c>
      <c r="EF29">
        <f ca="1"/>
        <v>0</v>
      </c>
      <c r="EG29">
        <f ca="1"/>
        <v>0</v>
      </c>
      <c r="EH29">
        <f ca="1"/>
        <v>0</v>
      </c>
      <c r="EI29">
        <f ca="1"/>
        <v>0</v>
      </c>
      <c r="EJ29">
        <f ca="1"/>
        <v>0</v>
      </c>
      <c r="EK29">
        <f ca="1"/>
        <v>0</v>
      </c>
      <c r="EL29">
        <f ca="1"/>
        <v>0</v>
      </c>
      <c r="EM29">
        <f ca="1"/>
        <v>0</v>
      </c>
      <c r="EN29">
        <f ca="1"/>
        <v>0</v>
      </c>
      <c r="EO29">
        <f ca="1"/>
        <v>0</v>
      </c>
      <c r="EP29">
        <f ca="1"/>
        <v>0</v>
      </c>
      <c r="EQ29">
        <f ca="1"/>
        <v>0</v>
      </c>
      <c r="ER29">
        <f ca="1"/>
        <v>0</v>
      </c>
      <c r="ES29">
        <f ca="1"/>
        <v>0</v>
      </c>
      <c r="ET29">
        <f ca="1"/>
        <v>0</v>
      </c>
      <c r="EU29">
        <f ca="1"/>
        <v>0</v>
      </c>
      <c r="EV29">
        <f ca="1"/>
        <v>0</v>
      </c>
      <c r="EW29">
        <f ca="1"/>
        <v>0</v>
      </c>
      <c r="EX29">
        <f ca="1"/>
        <v>0</v>
      </c>
      <c r="EY29">
        <f ca="1"/>
        <v>0</v>
      </c>
      <c r="EZ29">
        <f ca="1"/>
        <v>0</v>
      </c>
      <c r="FA29">
        <f ca="1"/>
        <v>0</v>
      </c>
      <c r="FB29">
        <f ca="1"/>
        <v>0</v>
      </c>
      <c r="FC29">
        <f ca="1"/>
        <v>0</v>
      </c>
      <c r="FD29">
        <f ca="1"/>
        <v>0</v>
      </c>
      <c r="FE29">
        <f ca="1"/>
        <v>0</v>
      </c>
      <c r="FF29">
        <f ca="1"/>
        <v>0</v>
      </c>
      <c r="FG29">
        <f ca="1"/>
        <v>0</v>
      </c>
      <c r="FH29">
        <f ca="1"/>
        <v>0</v>
      </c>
      <c r="FI29">
        <f ca="1"/>
        <v>0</v>
      </c>
      <c r="FJ29">
        <f ca="1"/>
        <v>0</v>
      </c>
      <c r="FK29">
        <f ca="1"/>
        <v>0</v>
      </c>
      <c r="FL29">
        <f ca="1"/>
        <v>0</v>
      </c>
      <c r="FM29">
        <f ca="1"/>
        <v>0</v>
      </c>
      <c r="FN29">
        <f ca="1"/>
        <v>0</v>
      </c>
      <c r="FO29">
        <f ca="1"/>
        <v>0</v>
      </c>
      <c r="FP29">
        <f ca="1"/>
        <v>0</v>
      </c>
      <c r="FQ29">
        <f ca="1"/>
        <v>0</v>
      </c>
      <c r="FR29">
        <f ca="1"/>
        <v>0</v>
      </c>
      <c r="FS29">
        <f ca="1"/>
        <v>0</v>
      </c>
      <c r="FT29">
        <f ca="1"/>
        <v>0</v>
      </c>
      <c r="FU29">
        <f ca="1"/>
        <v>0</v>
      </c>
      <c r="FV29">
        <f ca="1"/>
        <v>0</v>
      </c>
      <c r="FW29">
        <f ca="1"/>
        <v>0</v>
      </c>
      <c r="FX29">
        <f ca="1"/>
        <v>0</v>
      </c>
      <c r="FY29">
        <f ca="1"/>
        <v>0</v>
      </c>
      <c r="FZ29">
        <f ca="1"/>
        <v>0</v>
      </c>
    </row>
    <row r="30" spans="2:182">
      <c r="C30" cm="1">
        <f t="array" aca="1" ref="C30:FZ30" ca="1">IFERROR(TRANSPOSE(INDEX(_xlfn._xlws.FILTER(INDIRECT("SubcategoriesTable[Subcategory name]"),INDIRECT("SubcategoriesTable[Category name]")=$B30),,)),"No subcategories")</f>
        <v>0</v>
      </c>
      <c r="D30">
        <f ca="1"/>
        <v>0</v>
      </c>
      <c r="E30">
        <f ca="1"/>
        <v>0</v>
      </c>
      <c r="F30">
        <f ca="1"/>
        <v>0</v>
      </c>
      <c r="G30">
        <f ca="1"/>
        <v>0</v>
      </c>
      <c r="H30">
        <f ca="1"/>
        <v>0</v>
      </c>
      <c r="I30">
        <f ca="1"/>
        <v>0</v>
      </c>
      <c r="J30">
        <f ca="1"/>
        <v>0</v>
      </c>
      <c r="K30">
        <f ca="1"/>
        <v>0</v>
      </c>
      <c r="L30">
        <f ca="1"/>
        <v>0</v>
      </c>
      <c r="M30">
        <f ca="1"/>
        <v>0</v>
      </c>
      <c r="N30">
        <f ca="1"/>
        <v>0</v>
      </c>
      <c r="O30">
        <f ca="1"/>
        <v>0</v>
      </c>
      <c r="P30">
        <f ca="1"/>
        <v>0</v>
      </c>
      <c r="Q30">
        <f ca="1"/>
        <v>0</v>
      </c>
      <c r="R30">
        <f ca="1"/>
        <v>0</v>
      </c>
      <c r="S30">
        <f ca="1"/>
        <v>0</v>
      </c>
      <c r="T30">
        <f ca="1"/>
        <v>0</v>
      </c>
      <c r="U30">
        <f ca="1"/>
        <v>0</v>
      </c>
      <c r="V30">
        <f ca="1"/>
        <v>0</v>
      </c>
      <c r="W30">
        <f ca="1"/>
        <v>0</v>
      </c>
      <c r="X30">
        <f ca="1"/>
        <v>0</v>
      </c>
      <c r="Y30">
        <f ca="1"/>
        <v>0</v>
      </c>
      <c r="Z30">
        <f ca="1"/>
        <v>0</v>
      </c>
      <c r="AA30">
        <f ca="1"/>
        <v>0</v>
      </c>
      <c r="AB30">
        <f ca="1"/>
        <v>0</v>
      </c>
      <c r="AC30">
        <f ca="1"/>
        <v>0</v>
      </c>
      <c r="AD30">
        <f ca="1"/>
        <v>0</v>
      </c>
      <c r="AE30">
        <f ca="1"/>
        <v>0</v>
      </c>
      <c r="AF30">
        <f ca="1"/>
        <v>0</v>
      </c>
      <c r="AG30">
        <f ca="1"/>
        <v>0</v>
      </c>
      <c r="AH30">
        <f ca="1"/>
        <v>0</v>
      </c>
      <c r="AI30">
        <f ca="1"/>
        <v>0</v>
      </c>
      <c r="AJ30">
        <f ca="1"/>
        <v>0</v>
      </c>
      <c r="AK30">
        <f ca="1"/>
        <v>0</v>
      </c>
      <c r="AL30">
        <f ca="1"/>
        <v>0</v>
      </c>
      <c r="AM30">
        <f ca="1"/>
        <v>0</v>
      </c>
      <c r="AN30">
        <f ca="1"/>
        <v>0</v>
      </c>
      <c r="AO30">
        <f ca="1"/>
        <v>0</v>
      </c>
      <c r="AP30">
        <f ca="1"/>
        <v>0</v>
      </c>
      <c r="AQ30">
        <f ca="1"/>
        <v>0</v>
      </c>
      <c r="AR30">
        <f ca="1"/>
        <v>0</v>
      </c>
      <c r="AS30">
        <f ca="1"/>
        <v>0</v>
      </c>
      <c r="AT30">
        <f ca="1"/>
        <v>0</v>
      </c>
      <c r="AU30">
        <f ca="1"/>
        <v>0</v>
      </c>
      <c r="AV30">
        <f ca="1"/>
        <v>0</v>
      </c>
      <c r="AW30">
        <f ca="1"/>
        <v>0</v>
      </c>
      <c r="AX30">
        <f ca="1"/>
        <v>0</v>
      </c>
      <c r="AY30">
        <f ca="1"/>
        <v>0</v>
      </c>
      <c r="AZ30">
        <f ca="1"/>
        <v>0</v>
      </c>
      <c r="BA30">
        <f ca="1"/>
        <v>0</v>
      </c>
      <c r="BB30">
        <f ca="1"/>
        <v>0</v>
      </c>
      <c r="BC30">
        <f ca="1"/>
        <v>0</v>
      </c>
      <c r="BD30">
        <f ca="1"/>
        <v>0</v>
      </c>
      <c r="BE30">
        <f ca="1"/>
        <v>0</v>
      </c>
      <c r="BF30">
        <f ca="1"/>
        <v>0</v>
      </c>
      <c r="BG30">
        <f ca="1"/>
        <v>0</v>
      </c>
      <c r="BH30">
        <f ca="1"/>
        <v>0</v>
      </c>
      <c r="BI30">
        <f ca="1"/>
        <v>0</v>
      </c>
      <c r="BJ30">
        <f ca="1"/>
        <v>0</v>
      </c>
      <c r="BK30">
        <f ca="1"/>
        <v>0</v>
      </c>
      <c r="BL30">
        <f ca="1"/>
        <v>0</v>
      </c>
      <c r="BM30">
        <f ca="1"/>
        <v>0</v>
      </c>
      <c r="BN30">
        <f ca="1"/>
        <v>0</v>
      </c>
      <c r="BO30">
        <f ca="1"/>
        <v>0</v>
      </c>
      <c r="BP30">
        <f ca="1"/>
        <v>0</v>
      </c>
      <c r="BQ30">
        <f ca="1"/>
        <v>0</v>
      </c>
      <c r="BR30">
        <f ca="1"/>
        <v>0</v>
      </c>
      <c r="BS30">
        <f ca="1"/>
        <v>0</v>
      </c>
      <c r="BT30">
        <f ca="1"/>
        <v>0</v>
      </c>
      <c r="BU30">
        <f ca="1"/>
        <v>0</v>
      </c>
      <c r="BV30">
        <f ca="1"/>
        <v>0</v>
      </c>
      <c r="BW30">
        <f ca="1"/>
        <v>0</v>
      </c>
      <c r="BX30">
        <f ca="1"/>
        <v>0</v>
      </c>
      <c r="BY30">
        <f ca="1"/>
        <v>0</v>
      </c>
      <c r="BZ30">
        <f ca="1"/>
        <v>0</v>
      </c>
      <c r="CA30">
        <f ca="1"/>
        <v>0</v>
      </c>
      <c r="CB30">
        <f ca="1"/>
        <v>0</v>
      </c>
      <c r="CC30">
        <f ca="1"/>
        <v>0</v>
      </c>
      <c r="CD30">
        <f ca="1"/>
        <v>0</v>
      </c>
      <c r="CE30">
        <f ca="1"/>
        <v>0</v>
      </c>
      <c r="CF30">
        <f ca="1"/>
        <v>0</v>
      </c>
      <c r="CG30">
        <f ca="1"/>
        <v>0</v>
      </c>
      <c r="CH30">
        <f ca="1"/>
        <v>0</v>
      </c>
      <c r="CI30">
        <f ca="1"/>
        <v>0</v>
      </c>
      <c r="CJ30">
        <f ca="1"/>
        <v>0</v>
      </c>
      <c r="CK30">
        <f ca="1"/>
        <v>0</v>
      </c>
      <c r="CL30">
        <f ca="1"/>
        <v>0</v>
      </c>
      <c r="CM30">
        <f ca="1"/>
        <v>0</v>
      </c>
      <c r="CN30">
        <f ca="1"/>
        <v>0</v>
      </c>
      <c r="CO30">
        <f ca="1"/>
        <v>0</v>
      </c>
      <c r="CP30">
        <f ca="1"/>
        <v>0</v>
      </c>
      <c r="CQ30">
        <f ca="1"/>
        <v>0</v>
      </c>
      <c r="CR30">
        <f ca="1"/>
        <v>0</v>
      </c>
      <c r="CS30">
        <f ca="1"/>
        <v>0</v>
      </c>
      <c r="CT30">
        <f ca="1"/>
        <v>0</v>
      </c>
      <c r="CU30">
        <f ca="1"/>
        <v>0</v>
      </c>
      <c r="CV30">
        <f ca="1"/>
        <v>0</v>
      </c>
      <c r="CW30">
        <f ca="1"/>
        <v>0</v>
      </c>
      <c r="CX30">
        <f ca="1"/>
        <v>0</v>
      </c>
      <c r="CY30">
        <f ca="1"/>
        <v>0</v>
      </c>
      <c r="CZ30">
        <f ca="1"/>
        <v>0</v>
      </c>
      <c r="DA30">
        <f ca="1"/>
        <v>0</v>
      </c>
      <c r="DB30">
        <f ca="1"/>
        <v>0</v>
      </c>
      <c r="DC30">
        <f ca="1"/>
        <v>0</v>
      </c>
      <c r="DD30">
        <f ca="1"/>
        <v>0</v>
      </c>
      <c r="DE30">
        <f ca="1"/>
        <v>0</v>
      </c>
      <c r="DF30">
        <f ca="1"/>
        <v>0</v>
      </c>
      <c r="DG30">
        <f ca="1"/>
        <v>0</v>
      </c>
      <c r="DH30">
        <f ca="1"/>
        <v>0</v>
      </c>
      <c r="DI30">
        <f ca="1"/>
        <v>0</v>
      </c>
      <c r="DJ30">
        <f ca="1"/>
        <v>0</v>
      </c>
      <c r="DK30">
        <f ca="1"/>
        <v>0</v>
      </c>
      <c r="DL30">
        <f ca="1"/>
        <v>0</v>
      </c>
      <c r="DM30">
        <f ca="1"/>
        <v>0</v>
      </c>
      <c r="DN30">
        <f ca="1"/>
        <v>0</v>
      </c>
      <c r="DO30">
        <f ca="1"/>
        <v>0</v>
      </c>
      <c r="DP30">
        <f ca="1"/>
        <v>0</v>
      </c>
      <c r="DQ30">
        <f ca="1"/>
        <v>0</v>
      </c>
      <c r="DR30">
        <f ca="1"/>
        <v>0</v>
      </c>
      <c r="DS30">
        <f ca="1"/>
        <v>0</v>
      </c>
      <c r="DT30">
        <f ca="1"/>
        <v>0</v>
      </c>
      <c r="DU30">
        <f ca="1"/>
        <v>0</v>
      </c>
      <c r="DV30">
        <f ca="1"/>
        <v>0</v>
      </c>
      <c r="DW30">
        <f ca="1"/>
        <v>0</v>
      </c>
      <c r="DX30">
        <f ca="1"/>
        <v>0</v>
      </c>
      <c r="DY30">
        <f ca="1"/>
        <v>0</v>
      </c>
      <c r="DZ30">
        <f ca="1"/>
        <v>0</v>
      </c>
      <c r="EA30">
        <f ca="1"/>
        <v>0</v>
      </c>
      <c r="EB30">
        <f ca="1"/>
        <v>0</v>
      </c>
      <c r="EC30">
        <f ca="1"/>
        <v>0</v>
      </c>
      <c r="ED30">
        <f ca="1"/>
        <v>0</v>
      </c>
      <c r="EE30">
        <f ca="1"/>
        <v>0</v>
      </c>
      <c r="EF30">
        <f ca="1"/>
        <v>0</v>
      </c>
      <c r="EG30">
        <f ca="1"/>
        <v>0</v>
      </c>
      <c r="EH30">
        <f ca="1"/>
        <v>0</v>
      </c>
      <c r="EI30">
        <f ca="1"/>
        <v>0</v>
      </c>
      <c r="EJ30">
        <f ca="1"/>
        <v>0</v>
      </c>
      <c r="EK30">
        <f ca="1"/>
        <v>0</v>
      </c>
      <c r="EL30">
        <f ca="1"/>
        <v>0</v>
      </c>
      <c r="EM30">
        <f ca="1"/>
        <v>0</v>
      </c>
      <c r="EN30">
        <f ca="1"/>
        <v>0</v>
      </c>
      <c r="EO30">
        <f ca="1"/>
        <v>0</v>
      </c>
      <c r="EP30">
        <f ca="1"/>
        <v>0</v>
      </c>
      <c r="EQ30">
        <f ca="1"/>
        <v>0</v>
      </c>
      <c r="ER30">
        <f ca="1"/>
        <v>0</v>
      </c>
      <c r="ES30">
        <f ca="1"/>
        <v>0</v>
      </c>
      <c r="ET30">
        <f ca="1"/>
        <v>0</v>
      </c>
      <c r="EU30">
        <f ca="1"/>
        <v>0</v>
      </c>
      <c r="EV30">
        <f ca="1"/>
        <v>0</v>
      </c>
      <c r="EW30">
        <f ca="1"/>
        <v>0</v>
      </c>
      <c r="EX30">
        <f ca="1"/>
        <v>0</v>
      </c>
      <c r="EY30">
        <f ca="1"/>
        <v>0</v>
      </c>
      <c r="EZ30">
        <f ca="1"/>
        <v>0</v>
      </c>
      <c r="FA30">
        <f ca="1"/>
        <v>0</v>
      </c>
      <c r="FB30">
        <f ca="1"/>
        <v>0</v>
      </c>
      <c r="FC30">
        <f ca="1"/>
        <v>0</v>
      </c>
      <c r="FD30">
        <f ca="1"/>
        <v>0</v>
      </c>
      <c r="FE30">
        <f ca="1"/>
        <v>0</v>
      </c>
      <c r="FF30">
        <f ca="1"/>
        <v>0</v>
      </c>
      <c r="FG30">
        <f ca="1"/>
        <v>0</v>
      </c>
      <c r="FH30">
        <f ca="1"/>
        <v>0</v>
      </c>
      <c r="FI30">
        <f ca="1"/>
        <v>0</v>
      </c>
      <c r="FJ30">
        <f ca="1"/>
        <v>0</v>
      </c>
      <c r="FK30">
        <f ca="1"/>
        <v>0</v>
      </c>
      <c r="FL30">
        <f ca="1"/>
        <v>0</v>
      </c>
      <c r="FM30">
        <f ca="1"/>
        <v>0</v>
      </c>
      <c r="FN30">
        <f ca="1"/>
        <v>0</v>
      </c>
      <c r="FO30">
        <f ca="1"/>
        <v>0</v>
      </c>
      <c r="FP30">
        <f ca="1"/>
        <v>0</v>
      </c>
      <c r="FQ30">
        <f ca="1"/>
        <v>0</v>
      </c>
      <c r="FR30">
        <f ca="1"/>
        <v>0</v>
      </c>
      <c r="FS30">
        <f ca="1"/>
        <v>0</v>
      </c>
      <c r="FT30">
        <f ca="1"/>
        <v>0</v>
      </c>
      <c r="FU30">
        <f ca="1"/>
        <v>0</v>
      </c>
      <c r="FV30">
        <f ca="1"/>
        <v>0</v>
      </c>
      <c r="FW30">
        <f ca="1"/>
        <v>0</v>
      </c>
      <c r="FX30">
        <f ca="1"/>
        <v>0</v>
      </c>
      <c r="FY30">
        <f ca="1"/>
        <v>0</v>
      </c>
      <c r="FZ30">
        <f ca="1"/>
        <v>0</v>
      </c>
    </row>
    <row r="31" spans="2:182">
      <c r="C31" cm="1">
        <f t="array" aca="1" ref="C31:FZ31" ca="1">IFERROR(TRANSPOSE(INDEX(_xlfn._xlws.FILTER(INDIRECT("SubcategoriesTable[Subcategory name]"),INDIRECT("SubcategoriesTable[Category name]")=$B31),,)),"No subcategories")</f>
        <v>0</v>
      </c>
      <c r="D31">
        <f ca="1"/>
        <v>0</v>
      </c>
      <c r="E31">
        <f ca="1"/>
        <v>0</v>
      </c>
      <c r="F31">
        <f ca="1"/>
        <v>0</v>
      </c>
      <c r="G31">
        <f ca="1"/>
        <v>0</v>
      </c>
      <c r="H31">
        <f ca="1"/>
        <v>0</v>
      </c>
      <c r="I31">
        <f ca="1"/>
        <v>0</v>
      </c>
      <c r="J31">
        <f ca="1"/>
        <v>0</v>
      </c>
      <c r="K31">
        <f ca="1"/>
        <v>0</v>
      </c>
      <c r="L31">
        <f ca="1"/>
        <v>0</v>
      </c>
      <c r="M31">
        <f ca="1"/>
        <v>0</v>
      </c>
      <c r="N31">
        <f ca="1"/>
        <v>0</v>
      </c>
      <c r="O31">
        <f ca="1"/>
        <v>0</v>
      </c>
      <c r="P31">
        <f ca="1"/>
        <v>0</v>
      </c>
      <c r="Q31">
        <f ca="1"/>
        <v>0</v>
      </c>
      <c r="R31">
        <f ca="1"/>
        <v>0</v>
      </c>
      <c r="S31">
        <f ca="1"/>
        <v>0</v>
      </c>
      <c r="T31">
        <f ca="1"/>
        <v>0</v>
      </c>
      <c r="U31">
        <f ca="1"/>
        <v>0</v>
      </c>
      <c r="V31">
        <f ca="1"/>
        <v>0</v>
      </c>
      <c r="W31">
        <f ca="1"/>
        <v>0</v>
      </c>
      <c r="X31">
        <f ca="1"/>
        <v>0</v>
      </c>
      <c r="Y31">
        <f ca="1"/>
        <v>0</v>
      </c>
      <c r="Z31">
        <f ca="1"/>
        <v>0</v>
      </c>
      <c r="AA31">
        <f ca="1"/>
        <v>0</v>
      </c>
      <c r="AB31">
        <f ca="1"/>
        <v>0</v>
      </c>
      <c r="AC31">
        <f ca="1"/>
        <v>0</v>
      </c>
      <c r="AD31">
        <f ca="1"/>
        <v>0</v>
      </c>
      <c r="AE31">
        <f ca="1"/>
        <v>0</v>
      </c>
      <c r="AF31">
        <f ca="1"/>
        <v>0</v>
      </c>
      <c r="AG31">
        <f ca="1"/>
        <v>0</v>
      </c>
      <c r="AH31">
        <f ca="1"/>
        <v>0</v>
      </c>
      <c r="AI31">
        <f ca="1"/>
        <v>0</v>
      </c>
      <c r="AJ31">
        <f ca="1"/>
        <v>0</v>
      </c>
      <c r="AK31">
        <f ca="1"/>
        <v>0</v>
      </c>
      <c r="AL31">
        <f ca="1"/>
        <v>0</v>
      </c>
      <c r="AM31">
        <f ca="1"/>
        <v>0</v>
      </c>
      <c r="AN31">
        <f ca="1"/>
        <v>0</v>
      </c>
      <c r="AO31">
        <f ca="1"/>
        <v>0</v>
      </c>
      <c r="AP31">
        <f ca="1"/>
        <v>0</v>
      </c>
      <c r="AQ31">
        <f ca="1"/>
        <v>0</v>
      </c>
      <c r="AR31">
        <f ca="1"/>
        <v>0</v>
      </c>
      <c r="AS31">
        <f ca="1"/>
        <v>0</v>
      </c>
      <c r="AT31">
        <f ca="1"/>
        <v>0</v>
      </c>
      <c r="AU31">
        <f ca="1"/>
        <v>0</v>
      </c>
      <c r="AV31">
        <f ca="1"/>
        <v>0</v>
      </c>
      <c r="AW31">
        <f ca="1"/>
        <v>0</v>
      </c>
      <c r="AX31">
        <f ca="1"/>
        <v>0</v>
      </c>
      <c r="AY31">
        <f ca="1"/>
        <v>0</v>
      </c>
      <c r="AZ31">
        <f ca="1"/>
        <v>0</v>
      </c>
      <c r="BA31">
        <f ca="1"/>
        <v>0</v>
      </c>
      <c r="BB31">
        <f ca="1"/>
        <v>0</v>
      </c>
      <c r="BC31">
        <f ca="1"/>
        <v>0</v>
      </c>
      <c r="BD31">
        <f ca="1"/>
        <v>0</v>
      </c>
      <c r="BE31">
        <f ca="1"/>
        <v>0</v>
      </c>
      <c r="BF31">
        <f ca="1"/>
        <v>0</v>
      </c>
      <c r="BG31">
        <f ca="1"/>
        <v>0</v>
      </c>
      <c r="BH31">
        <f ca="1"/>
        <v>0</v>
      </c>
      <c r="BI31">
        <f ca="1"/>
        <v>0</v>
      </c>
      <c r="BJ31">
        <f ca="1"/>
        <v>0</v>
      </c>
      <c r="BK31">
        <f ca="1"/>
        <v>0</v>
      </c>
      <c r="BL31">
        <f ca="1"/>
        <v>0</v>
      </c>
      <c r="BM31">
        <f ca="1"/>
        <v>0</v>
      </c>
      <c r="BN31">
        <f ca="1"/>
        <v>0</v>
      </c>
      <c r="BO31">
        <f ca="1"/>
        <v>0</v>
      </c>
      <c r="BP31">
        <f ca="1"/>
        <v>0</v>
      </c>
      <c r="BQ31">
        <f ca="1"/>
        <v>0</v>
      </c>
      <c r="BR31">
        <f ca="1"/>
        <v>0</v>
      </c>
      <c r="BS31">
        <f ca="1"/>
        <v>0</v>
      </c>
      <c r="BT31">
        <f ca="1"/>
        <v>0</v>
      </c>
      <c r="BU31">
        <f ca="1"/>
        <v>0</v>
      </c>
      <c r="BV31">
        <f ca="1"/>
        <v>0</v>
      </c>
      <c r="BW31">
        <f ca="1"/>
        <v>0</v>
      </c>
      <c r="BX31">
        <f ca="1"/>
        <v>0</v>
      </c>
      <c r="BY31">
        <f ca="1"/>
        <v>0</v>
      </c>
      <c r="BZ31">
        <f ca="1"/>
        <v>0</v>
      </c>
      <c r="CA31">
        <f ca="1"/>
        <v>0</v>
      </c>
      <c r="CB31">
        <f ca="1"/>
        <v>0</v>
      </c>
      <c r="CC31">
        <f ca="1"/>
        <v>0</v>
      </c>
      <c r="CD31">
        <f ca="1"/>
        <v>0</v>
      </c>
      <c r="CE31">
        <f ca="1"/>
        <v>0</v>
      </c>
      <c r="CF31">
        <f ca="1"/>
        <v>0</v>
      </c>
      <c r="CG31">
        <f ca="1"/>
        <v>0</v>
      </c>
      <c r="CH31">
        <f ca="1"/>
        <v>0</v>
      </c>
      <c r="CI31">
        <f ca="1"/>
        <v>0</v>
      </c>
      <c r="CJ31">
        <f ca="1"/>
        <v>0</v>
      </c>
      <c r="CK31">
        <f ca="1"/>
        <v>0</v>
      </c>
      <c r="CL31">
        <f ca="1"/>
        <v>0</v>
      </c>
      <c r="CM31">
        <f ca="1"/>
        <v>0</v>
      </c>
      <c r="CN31">
        <f ca="1"/>
        <v>0</v>
      </c>
      <c r="CO31">
        <f ca="1"/>
        <v>0</v>
      </c>
      <c r="CP31">
        <f ca="1"/>
        <v>0</v>
      </c>
      <c r="CQ31">
        <f ca="1"/>
        <v>0</v>
      </c>
      <c r="CR31">
        <f ca="1"/>
        <v>0</v>
      </c>
      <c r="CS31">
        <f ca="1"/>
        <v>0</v>
      </c>
      <c r="CT31">
        <f ca="1"/>
        <v>0</v>
      </c>
      <c r="CU31">
        <f ca="1"/>
        <v>0</v>
      </c>
      <c r="CV31">
        <f ca="1"/>
        <v>0</v>
      </c>
      <c r="CW31">
        <f ca="1"/>
        <v>0</v>
      </c>
      <c r="CX31">
        <f ca="1"/>
        <v>0</v>
      </c>
      <c r="CY31">
        <f ca="1"/>
        <v>0</v>
      </c>
      <c r="CZ31">
        <f ca="1"/>
        <v>0</v>
      </c>
      <c r="DA31">
        <f ca="1"/>
        <v>0</v>
      </c>
      <c r="DB31">
        <f ca="1"/>
        <v>0</v>
      </c>
      <c r="DC31">
        <f ca="1"/>
        <v>0</v>
      </c>
      <c r="DD31">
        <f ca="1"/>
        <v>0</v>
      </c>
      <c r="DE31">
        <f ca="1"/>
        <v>0</v>
      </c>
      <c r="DF31">
        <f ca="1"/>
        <v>0</v>
      </c>
      <c r="DG31">
        <f ca="1"/>
        <v>0</v>
      </c>
      <c r="DH31">
        <f ca="1"/>
        <v>0</v>
      </c>
      <c r="DI31">
        <f ca="1"/>
        <v>0</v>
      </c>
      <c r="DJ31">
        <f ca="1"/>
        <v>0</v>
      </c>
      <c r="DK31">
        <f ca="1"/>
        <v>0</v>
      </c>
      <c r="DL31">
        <f ca="1"/>
        <v>0</v>
      </c>
      <c r="DM31">
        <f ca="1"/>
        <v>0</v>
      </c>
      <c r="DN31">
        <f ca="1"/>
        <v>0</v>
      </c>
      <c r="DO31">
        <f ca="1"/>
        <v>0</v>
      </c>
      <c r="DP31">
        <f ca="1"/>
        <v>0</v>
      </c>
      <c r="DQ31">
        <f ca="1"/>
        <v>0</v>
      </c>
      <c r="DR31">
        <f ca="1"/>
        <v>0</v>
      </c>
      <c r="DS31">
        <f ca="1"/>
        <v>0</v>
      </c>
      <c r="DT31">
        <f ca="1"/>
        <v>0</v>
      </c>
      <c r="DU31">
        <f ca="1"/>
        <v>0</v>
      </c>
      <c r="DV31">
        <f ca="1"/>
        <v>0</v>
      </c>
      <c r="DW31">
        <f ca="1"/>
        <v>0</v>
      </c>
      <c r="DX31">
        <f ca="1"/>
        <v>0</v>
      </c>
      <c r="DY31">
        <f ca="1"/>
        <v>0</v>
      </c>
      <c r="DZ31">
        <f ca="1"/>
        <v>0</v>
      </c>
      <c r="EA31">
        <f ca="1"/>
        <v>0</v>
      </c>
      <c r="EB31">
        <f ca="1"/>
        <v>0</v>
      </c>
      <c r="EC31">
        <f ca="1"/>
        <v>0</v>
      </c>
      <c r="ED31">
        <f ca="1"/>
        <v>0</v>
      </c>
      <c r="EE31">
        <f ca="1"/>
        <v>0</v>
      </c>
      <c r="EF31">
        <f ca="1"/>
        <v>0</v>
      </c>
      <c r="EG31">
        <f ca="1"/>
        <v>0</v>
      </c>
      <c r="EH31">
        <f ca="1"/>
        <v>0</v>
      </c>
      <c r="EI31">
        <f ca="1"/>
        <v>0</v>
      </c>
      <c r="EJ31">
        <f ca="1"/>
        <v>0</v>
      </c>
      <c r="EK31">
        <f ca="1"/>
        <v>0</v>
      </c>
      <c r="EL31">
        <f ca="1"/>
        <v>0</v>
      </c>
      <c r="EM31">
        <f ca="1"/>
        <v>0</v>
      </c>
      <c r="EN31">
        <f ca="1"/>
        <v>0</v>
      </c>
      <c r="EO31">
        <f ca="1"/>
        <v>0</v>
      </c>
      <c r="EP31">
        <f ca="1"/>
        <v>0</v>
      </c>
      <c r="EQ31">
        <f ca="1"/>
        <v>0</v>
      </c>
      <c r="ER31">
        <f ca="1"/>
        <v>0</v>
      </c>
      <c r="ES31">
        <f ca="1"/>
        <v>0</v>
      </c>
      <c r="ET31">
        <f ca="1"/>
        <v>0</v>
      </c>
      <c r="EU31">
        <f ca="1"/>
        <v>0</v>
      </c>
      <c r="EV31">
        <f ca="1"/>
        <v>0</v>
      </c>
      <c r="EW31">
        <f ca="1"/>
        <v>0</v>
      </c>
      <c r="EX31">
        <f ca="1"/>
        <v>0</v>
      </c>
      <c r="EY31">
        <f ca="1"/>
        <v>0</v>
      </c>
      <c r="EZ31">
        <f ca="1"/>
        <v>0</v>
      </c>
      <c r="FA31">
        <f ca="1"/>
        <v>0</v>
      </c>
      <c r="FB31">
        <f ca="1"/>
        <v>0</v>
      </c>
      <c r="FC31">
        <f ca="1"/>
        <v>0</v>
      </c>
      <c r="FD31">
        <f ca="1"/>
        <v>0</v>
      </c>
      <c r="FE31">
        <f ca="1"/>
        <v>0</v>
      </c>
      <c r="FF31">
        <f ca="1"/>
        <v>0</v>
      </c>
      <c r="FG31">
        <f ca="1"/>
        <v>0</v>
      </c>
      <c r="FH31">
        <f ca="1"/>
        <v>0</v>
      </c>
      <c r="FI31">
        <f ca="1"/>
        <v>0</v>
      </c>
      <c r="FJ31">
        <f ca="1"/>
        <v>0</v>
      </c>
      <c r="FK31">
        <f ca="1"/>
        <v>0</v>
      </c>
      <c r="FL31">
        <f ca="1"/>
        <v>0</v>
      </c>
      <c r="FM31">
        <f ca="1"/>
        <v>0</v>
      </c>
      <c r="FN31">
        <f ca="1"/>
        <v>0</v>
      </c>
      <c r="FO31">
        <f ca="1"/>
        <v>0</v>
      </c>
      <c r="FP31">
        <f ca="1"/>
        <v>0</v>
      </c>
      <c r="FQ31">
        <f ca="1"/>
        <v>0</v>
      </c>
      <c r="FR31">
        <f ca="1"/>
        <v>0</v>
      </c>
      <c r="FS31">
        <f ca="1"/>
        <v>0</v>
      </c>
      <c r="FT31">
        <f ca="1"/>
        <v>0</v>
      </c>
      <c r="FU31">
        <f ca="1"/>
        <v>0</v>
      </c>
      <c r="FV31">
        <f ca="1"/>
        <v>0</v>
      </c>
      <c r="FW31">
        <f ca="1"/>
        <v>0</v>
      </c>
      <c r="FX31">
        <f ca="1"/>
        <v>0</v>
      </c>
      <c r="FY31">
        <f ca="1"/>
        <v>0</v>
      </c>
      <c r="FZ31">
        <f ca="1"/>
        <v>0</v>
      </c>
    </row>
    <row r="32" spans="2:182">
      <c r="C32" cm="1">
        <f t="array" aca="1" ref="C32:FZ32" ca="1">IFERROR(TRANSPOSE(INDEX(_xlfn._xlws.FILTER(INDIRECT("SubcategoriesTable[Subcategory name]"),INDIRECT("SubcategoriesTable[Category name]")=$B32),,)),"No subcategories")</f>
        <v>0</v>
      </c>
      <c r="D32">
        <f ca="1"/>
        <v>0</v>
      </c>
      <c r="E32">
        <f ca="1"/>
        <v>0</v>
      </c>
      <c r="F32">
        <f ca="1"/>
        <v>0</v>
      </c>
      <c r="G32">
        <f ca="1"/>
        <v>0</v>
      </c>
      <c r="H32">
        <f ca="1"/>
        <v>0</v>
      </c>
      <c r="I32">
        <f ca="1"/>
        <v>0</v>
      </c>
      <c r="J32">
        <f ca="1"/>
        <v>0</v>
      </c>
      <c r="K32">
        <f ca="1"/>
        <v>0</v>
      </c>
      <c r="L32">
        <f ca="1"/>
        <v>0</v>
      </c>
      <c r="M32">
        <f ca="1"/>
        <v>0</v>
      </c>
      <c r="N32">
        <f ca="1"/>
        <v>0</v>
      </c>
      <c r="O32">
        <f ca="1"/>
        <v>0</v>
      </c>
      <c r="P32">
        <f ca="1"/>
        <v>0</v>
      </c>
      <c r="Q32">
        <f ca="1"/>
        <v>0</v>
      </c>
      <c r="R32">
        <f ca="1"/>
        <v>0</v>
      </c>
      <c r="S32">
        <f ca="1"/>
        <v>0</v>
      </c>
      <c r="T32">
        <f ca="1"/>
        <v>0</v>
      </c>
      <c r="U32">
        <f ca="1"/>
        <v>0</v>
      </c>
      <c r="V32">
        <f ca="1"/>
        <v>0</v>
      </c>
      <c r="W32">
        <f ca="1"/>
        <v>0</v>
      </c>
      <c r="X32">
        <f ca="1"/>
        <v>0</v>
      </c>
      <c r="Y32">
        <f ca="1"/>
        <v>0</v>
      </c>
      <c r="Z32">
        <f ca="1"/>
        <v>0</v>
      </c>
      <c r="AA32">
        <f ca="1"/>
        <v>0</v>
      </c>
      <c r="AB32">
        <f ca="1"/>
        <v>0</v>
      </c>
      <c r="AC32">
        <f ca="1"/>
        <v>0</v>
      </c>
      <c r="AD32">
        <f ca="1"/>
        <v>0</v>
      </c>
      <c r="AE32">
        <f ca="1"/>
        <v>0</v>
      </c>
      <c r="AF32">
        <f ca="1"/>
        <v>0</v>
      </c>
      <c r="AG32">
        <f ca="1"/>
        <v>0</v>
      </c>
      <c r="AH32">
        <f ca="1"/>
        <v>0</v>
      </c>
      <c r="AI32">
        <f ca="1"/>
        <v>0</v>
      </c>
      <c r="AJ32">
        <f ca="1"/>
        <v>0</v>
      </c>
      <c r="AK32">
        <f ca="1"/>
        <v>0</v>
      </c>
      <c r="AL32">
        <f ca="1"/>
        <v>0</v>
      </c>
      <c r="AM32">
        <f ca="1"/>
        <v>0</v>
      </c>
      <c r="AN32">
        <f ca="1"/>
        <v>0</v>
      </c>
      <c r="AO32">
        <f ca="1"/>
        <v>0</v>
      </c>
      <c r="AP32">
        <f ca="1"/>
        <v>0</v>
      </c>
      <c r="AQ32">
        <f ca="1"/>
        <v>0</v>
      </c>
      <c r="AR32">
        <f ca="1"/>
        <v>0</v>
      </c>
      <c r="AS32">
        <f ca="1"/>
        <v>0</v>
      </c>
      <c r="AT32">
        <f ca="1"/>
        <v>0</v>
      </c>
      <c r="AU32">
        <f ca="1"/>
        <v>0</v>
      </c>
      <c r="AV32">
        <f ca="1"/>
        <v>0</v>
      </c>
      <c r="AW32">
        <f ca="1"/>
        <v>0</v>
      </c>
      <c r="AX32">
        <f ca="1"/>
        <v>0</v>
      </c>
      <c r="AY32">
        <f ca="1"/>
        <v>0</v>
      </c>
      <c r="AZ32">
        <f ca="1"/>
        <v>0</v>
      </c>
      <c r="BA32">
        <f ca="1"/>
        <v>0</v>
      </c>
      <c r="BB32">
        <f ca="1"/>
        <v>0</v>
      </c>
      <c r="BC32">
        <f ca="1"/>
        <v>0</v>
      </c>
      <c r="BD32">
        <f ca="1"/>
        <v>0</v>
      </c>
      <c r="BE32">
        <f ca="1"/>
        <v>0</v>
      </c>
      <c r="BF32">
        <f ca="1"/>
        <v>0</v>
      </c>
      <c r="BG32">
        <f ca="1"/>
        <v>0</v>
      </c>
      <c r="BH32">
        <f ca="1"/>
        <v>0</v>
      </c>
      <c r="BI32">
        <f ca="1"/>
        <v>0</v>
      </c>
      <c r="BJ32">
        <f ca="1"/>
        <v>0</v>
      </c>
      <c r="BK32">
        <f ca="1"/>
        <v>0</v>
      </c>
      <c r="BL32">
        <f ca="1"/>
        <v>0</v>
      </c>
      <c r="BM32">
        <f ca="1"/>
        <v>0</v>
      </c>
      <c r="BN32">
        <f ca="1"/>
        <v>0</v>
      </c>
      <c r="BO32">
        <f ca="1"/>
        <v>0</v>
      </c>
      <c r="BP32">
        <f ca="1"/>
        <v>0</v>
      </c>
      <c r="BQ32">
        <f ca="1"/>
        <v>0</v>
      </c>
      <c r="BR32">
        <f ca="1"/>
        <v>0</v>
      </c>
      <c r="BS32">
        <f ca="1"/>
        <v>0</v>
      </c>
      <c r="BT32">
        <f ca="1"/>
        <v>0</v>
      </c>
      <c r="BU32">
        <f ca="1"/>
        <v>0</v>
      </c>
      <c r="BV32">
        <f ca="1"/>
        <v>0</v>
      </c>
      <c r="BW32">
        <f ca="1"/>
        <v>0</v>
      </c>
      <c r="BX32">
        <f ca="1"/>
        <v>0</v>
      </c>
      <c r="BY32">
        <f ca="1"/>
        <v>0</v>
      </c>
      <c r="BZ32">
        <f ca="1"/>
        <v>0</v>
      </c>
      <c r="CA32">
        <f ca="1"/>
        <v>0</v>
      </c>
      <c r="CB32">
        <f ca="1"/>
        <v>0</v>
      </c>
      <c r="CC32">
        <f ca="1"/>
        <v>0</v>
      </c>
      <c r="CD32">
        <f ca="1"/>
        <v>0</v>
      </c>
      <c r="CE32">
        <f ca="1"/>
        <v>0</v>
      </c>
      <c r="CF32">
        <f ca="1"/>
        <v>0</v>
      </c>
      <c r="CG32">
        <f ca="1"/>
        <v>0</v>
      </c>
      <c r="CH32">
        <f ca="1"/>
        <v>0</v>
      </c>
      <c r="CI32">
        <f ca="1"/>
        <v>0</v>
      </c>
      <c r="CJ32">
        <f ca="1"/>
        <v>0</v>
      </c>
      <c r="CK32">
        <f ca="1"/>
        <v>0</v>
      </c>
      <c r="CL32">
        <f ca="1"/>
        <v>0</v>
      </c>
      <c r="CM32">
        <f ca="1"/>
        <v>0</v>
      </c>
      <c r="CN32">
        <f ca="1"/>
        <v>0</v>
      </c>
      <c r="CO32">
        <f ca="1"/>
        <v>0</v>
      </c>
      <c r="CP32">
        <f ca="1"/>
        <v>0</v>
      </c>
      <c r="CQ32">
        <f ca="1"/>
        <v>0</v>
      </c>
      <c r="CR32">
        <f ca="1"/>
        <v>0</v>
      </c>
      <c r="CS32">
        <f ca="1"/>
        <v>0</v>
      </c>
      <c r="CT32">
        <f ca="1"/>
        <v>0</v>
      </c>
      <c r="CU32">
        <f ca="1"/>
        <v>0</v>
      </c>
      <c r="CV32">
        <f ca="1"/>
        <v>0</v>
      </c>
      <c r="CW32">
        <f ca="1"/>
        <v>0</v>
      </c>
      <c r="CX32">
        <f ca="1"/>
        <v>0</v>
      </c>
      <c r="CY32">
        <f ca="1"/>
        <v>0</v>
      </c>
      <c r="CZ32">
        <f ca="1"/>
        <v>0</v>
      </c>
      <c r="DA32">
        <f ca="1"/>
        <v>0</v>
      </c>
      <c r="DB32">
        <f ca="1"/>
        <v>0</v>
      </c>
      <c r="DC32">
        <f ca="1"/>
        <v>0</v>
      </c>
      <c r="DD32">
        <f ca="1"/>
        <v>0</v>
      </c>
      <c r="DE32">
        <f ca="1"/>
        <v>0</v>
      </c>
      <c r="DF32">
        <f ca="1"/>
        <v>0</v>
      </c>
      <c r="DG32">
        <f ca="1"/>
        <v>0</v>
      </c>
      <c r="DH32">
        <f ca="1"/>
        <v>0</v>
      </c>
      <c r="DI32">
        <f ca="1"/>
        <v>0</v>
      </c>
      <c r="DJ32">
        <f ca="1"/>
        <v>0</v>
      </c>
      <c r="DK32">
        <f ca="1"/>
        <v>0</v>
      </c>
      <c r="DL32">
        <f ca="1"/>
        <v>0</v>
      </c>
      <c r="DM32">
        <f ca="1"/>
        <v>0</v>
      </c>
      <c r="DN32">
        <f ca="1"/>
        <v>0</v>
      </c>
      <c r="DO32">
        <f ca="1"/>
        <v>0</v>
      </c>
      <c r="DP32">
        <f ca="1"/>
        <v>0</v>
      </c>
      <c r="DQ32">
        <f ca="1"/>
        <v>0</v>
      </c>
      <c r="DR32">
        <f ca="1"/>
        <v>0</v>
      </c>
      <c r="DS32">
        <f ca="1"/>
        <v>0</v>
      </c>
      <c r="DT32">
        <f ca="1"/>
        <v>0</v>
      </c>
      <c r="DU32">
        <f ca="1"/>
        <v>0</v>
      </c>
      <c r="DV32">
        <f ca="1"/>
        <v>0</v>
      </c>
      <c r="DW32">
        <f ca="1"/>
        <v>0</v>
      </c>
      <c r="DX32">
        <f ca="1"/>
        <v>0</v>
      </c>
      <c r="DY32">
        <f ca="1"/>
        <v>0</v>
      </c>
      <c r="DZ32">
        <f ca="1"/>
        <v>0</v>
      </c>
      <c r="EA32">
        <f ca="1"/>
        <v>0</v>
      </c>
      <c r="EB32">
        <f ca="1"/>
        <v>0</v>
      </c>
      <c r="EC32">
        <f ca="1"/>
        <v>0</v>
      </c>
      <c r="ED32">
        <f ca="1"/>
        <v>0</v>
      </c>
      <c r="EE32">
        <f ca="1"/>
        <v>0</v>
      </c>
      <c r="EF32">
        <f ca="1"/>
        <v>0</v>
      </c>
      <c r="EG32">
        <f ca="1"/>
        <v>0</v>
      </c>
      <c r="EH32">
        <f ca="1"/>
        <v>0</v>
      </c>
      <c r="EI32">
        <f ca="1"/>
        <v>0</v>
      </c>
      <c r="EJ32">
        <f ca="1"/>
        <v>0</v>
      </c>
      <c r="EK32">
        <f ca="1"/>
        <v>0</v>
      </c>
      <c r="EL32">
        <f ca="1"/>
        <v>0</v>
      </c>
      <c r="EM32">
        <f ca="1"/>
        <v>0</v>
      </c>
      <c r="EN32">
        <f ca="1"/>
        <v>0</v>
      </c>
      <c r="EO32">
        <f ca="1"/>
        <v>0</v>
      </c>
      <c r="EP32">
        <f ca="1"/>
        <v>0</v>
      </c>
      <c r="EQ32">
        <f ca="1"/>
        <v>0</v>
      </c>
      <c r="ER32">
        <f ca="1"/>
        <v>0</v>
      </c>
      <c r="ES32">
        <f ca="1"/>
        <v>0</v>
      </c>
      <c r="ET32">
        <f ca="1"/>
        <v>0</v>
      </c>
      <c r="EU32">
        <f ca="1"/>
        <v>0</v>
      </c>
      <c r="EV32">
        <f ca="1"/>
        <v>0</v>
      </c>
      <c r="EW32">
        <f ca="1"/>
        <v>0</v>
      </c>
      <c r="EX32">
        <f ca="1"/>
        <v>0</v>
      </c>
      <c r="EY32">
        <f ca="1"/>
        <v>0</v>
      </c>
      <c r="EZ32">
        <f ca="1"/>
        <v>0</v>
      </c>
      <c r="FA32">
        <f ca="1"/>
        <v>0</v>
      </c>
      <c r="FB32">
        <f ca="1"/>
        <v>0</v>
      </c>
      <c r="FC32">
        <f ca="1"/>
        <v>0</v>
      </c>
      <c r="FD32">
        <f ca="1"/>
        <v>0</v>
      </c>
      <c r="FE32">
        <f ca="1"/>
        <v>0</v>
      </c>
      <c r="FF32">
        <f ca="1"/>
        <v>0</v>
      </c>
      <c r="FG32">
        <f ca="1"/>
        <v>0</v>
      </c>
      <c r="FH32">
        <f ca="1"/>
        <v>0</v>
      </c>
      <c r="FI32">
        <f ca="1"/>
        <v>0</v>
      </c>
      <c r="FJ32">
        <f ca="1"/>
        <v>0</v>
      </c>
      <c r="FK32">
        <f ca="1"/>
        <v>0</v>
      </c>
      <c r="FL32">
        <f ca="1"/>
        <v>0</v>
      </c>
      <c r="FM32">
        <f ca="1"/>
        <v>0</v>
      </c>
      <c r="FN32">
        <f ca="1"/>
        <v>0</v>
      </c>
      <c r="FO32">
        <f ca="1"/>
        <v>0</v>
      </c>
      <c r="FP32">
        <f ca="1"/>
        <v>0</v>
      </c>
      <c r="FQ32">
        <f ca="1"/>
        <v>0</v>
      </c>
      <c r="FR32">
        <f ca="1"/>
        <v>0</v>
      </c>
      <c r="FS32">
        <f ca="1"/>
        <v>0</v>
      </c>
      <c r="FT32">
        <f ca="1"/>
        <v>0</v>
      </c>
      <c r="FU32">
        <f ca="1"/>
        <v>0</v>
      </c>
      <c r="FV32">
        <f ca="1"/>
        <v>0</v>
      </c>
      <c r="FW32">
        <f ca="1"/>
        <v>0</v>
      </c>
      <c r="FX32">
        <f ca="1"/>
        <v>0</v>
      </c>
      <c r="FY32">
        <f ca="1"/>
        <v>0</v>
      </c>
      <c r="FZ32">
        <f ca="1"/>
        <v>0</v>
      </c>
    </row>
    <row r="33" spans="3:182">
      <c r="C33" cm="1">
        <f t="array" aca="1" ref="C33:FZ33" ca="1">IFERROR(TRANSPOSE(INDEX(_xlfn._xlws.FILTER(INDIRECT("SubcategoriesTable[Subcategory name]"),INDIRECT("SubcategoriesTable[Category name]")=$B33),,)),"No subcategories")</f>
        <v>0</v>
      </c>
      <c r="D33">
        <f ca="1"/>
        <v>0</v>
      </c>
      <c r="E33">
        <f ca="1"/>
        <v>0</v>
      </c>
      <c r="F33">
        <f ca="1"/>
        <v>0</v>
      </c>
      <c r="G33">
        <f ca="1"/>
        <v>0</v>
      </c>
      <c r="H33">
        <f ca="1"/>
        <v>0</v>
      </c>
      <c r="I33">
        <f ca="1"/>
        <v>0</v>
      </c>
      <c r="J33">
        <f ca="1"/>
        <v>0</v>
      </c>
      <c r="K33">
        <f ca="1"/>
        <v>0</v>
      </c>
      <c r="L33">
        <f ca="1"/>
        <v>0</v>
      </c>
      <c r="M33">
        <f ca="1"/>
        <v>0</v>
      </c>
      <c r="N33">
        <f ca="1"/>
        <v>0</v>
      </c>
      <c r="O33">
        <f ca="1"/>
        <v>0</v>
      </c>
      <c r="P33">
        <f ca="1"/>
        <v>0</v>
      </c>
      <c r="Q33">
        <f ca="1"/>
        <v>0</v>
      </c>
      <c r="R33">
        <f ca="1"/>
        <v>0</v>
      </c>
      <c r="S33">
        <f ca="1"/>
        <v>0</v>
      </c>
      <c r="T33">
        <f ca="1"/>
        <v>0</v>
      </c>
      <c r="U33">
        <f ca="1"/>
        <v>0</v>
      </c>
      <c r="V33">
        <f ca="1"/>
        <v>0</v>
      </c>
      <c r="W33">
        <f ca="1"/>
        <v>0</v>
      </c>
      <c r="X33">
        <f ca="1"/>
        <v>0</v>
      </c>
      <c r="Y33">
        <f ca="1"/>
        <v>0</v>
      </c>
      <c r="Z33">
        <f ca="1"/>
        <v>0</v>
      </c>
      <c r="AA33">
        <f ca="1"/>
        <v>0</v>
      </c>
      <c r="AB33">
        <f ca="1"/>
        <v>0</v>
      </c>
      <c r="AC33">
        <f ca="1"/>
        <v>0</v>
      </c>
      <c r="AD33">
        <f ca="1"/>
        <v>0</v>
      </c>
      <c r="AE33">
        <f ca="1"/>
        <v>0</v>
      </c>
      <c r="AF33">
        <f ca="1"/>
        <v>0</v>
      </c>
      <c r="AG33">
        <f ca="1"/>
        <v>0</v>
      </c>
      <c r="AH33">
        <f ca="1"/>
        <v>0</v>
      </c>
      <c r="AI33">
        <f ca="1"/>
        <v>0</v>
      </c>
      <c r="AJ33">
        <f ca="1"/>
        <v>0</v>
      </c>
      <c r="AK33">
        <f ca="1"/>
        <v>0</v>
      </c>
      <c r="AL33">
        <f ca="1"/>
        <v>0</v>
      </c>
      <c r="AM33">
        <f ca="1"/>
        <v>0</v>
      </c>
      <c r="AN33">
        <f ca="1"/>
        <v>0</v>
      </c>
      <c r="AO33">
        <f ca="1"/>
        <v>0</v>
      </c>
      <c r="AP33">
        <f ca="1"/>
        <v>0</v>
      </c>
      <c r="AQ33">
        <f ca="1"/>
        <v>0</v>
      </c>
      <c r="AR33">
        <f ca="1"/>
        <v>0</v>
      </c>
      <c r="AS33">
        <f ca="1"/>
        <v>0</v>
      </c>
      <c r="AT33">
        <f ca="1"/>
        <v>0</v>
      </c>
      <c r="AU33">
        <f ca="1"/>
        <v>0</v>
      </c>
      <c r="AV33">
        <f ca="1"/>
        <v>0</v>
      </c>
      <c r="AW33">
        <f ca="1"/>
        <v>0</v>
      </c>
      <c r="AX33">
        <f ca="1"/>
        <v>0</v>
      </c>
      <c r="AY33">
        <f ca="1"/>
        <v>0</v>
      </c>
      <c r="AZ33">
        <f ca="1"/>
        <v>0</v>
      </c>
      <c r="BA33">
        <f ca="1"/>
        <v>0</v>
      </c>
      <c r="BB33">
        <f ca="1"/>
        <v>0</v>
      </c>
      <c r="BC33">
        <f ca="1"/>
        <v>0</v>
      </c>
      <c r="BD33">
        <f ca="1"/>
        <v>0</v>
      </c>
      <c r="BE33">
        <f ca="1"/>
        <v>0</v>
      </c>
      <c r="BF33">
        <f ca="1"/>
        <v>0</v>
      </c>
      <c r="BG33">
        <f ca="1"/>
        <v>0</v>
      </c>
      <c r="BH33">
        <f ca="1"/>
        <v>0</v>
      </c>
      <c r="BI33">
        <f ca="1"/>
        <v>0</v>
      </c>
      <c r="BJ33">
        <f ca="1"/>
        <v>0</v>
      </c>
      <c r="BK33">
        <f ca="1"/>
        <v>0</v>
      </c>
      <c r="BL33">
        <f ca="1"/>
        <v>0</v>
      </c>
      <c r="BM33">
        <f ca="1"/>
        <v>0</v>
      </c>
      <c r="BN33">
        <f ca="1"/>
        <v>0</v>
      </c>
      <c r="BO33">
        <f ca="1"/>
        <v>0</v>
      </c>
      <c r="BP33">
        <f ca="1"/>
        <v>0</v>
      </c>
      <c r="BQ33">
        <f ca="1"/>
        <v>0</v>
      </c>
      <c r="BR33">
        <f ca="1"/>
        <v>0</v>
      </c>
      <c r="BS33">
        <f ca="1"/>
        <v>0</v>
      </c>
      <c r="BT33">
        <f ca="1"/>
        <v>0</v>
      </c>
      <c r="BU33">
        <f ca="1"/>
        <v>0</v>
      </c>
      <c r="BV33">
        <f ca="1"/>
        <v>0</v>
      </c>
      <c r="BW33">
        <f ca="1"/>
        <v>0</v>
      </c>
      <c r="BX33">
        <f ca="1"/>
        <v>0</v>
      </c>
      <c r="BY33">
        <f ca="1"/>
        <v>0</v>
      </c>
      <c r="BZ33">
        <f ca="1"/>
        <v>0</v>
      </c>
      <c r="CA33">
        <f ca="1"/>
        <v>0</v>
      </c>
      <c r="CB33">
        <f ca="1"/>
        <v>0</v>
      </c>
      <c r="CC33">
        <f ca="1"/>
        <v>0</v>
      </c>
      <c r="CD33">
        <f ca="1"/>
        <v>0</v>
      </c>
      <c r="CE33">
        <f ca="1"/>
        <v>0</v>
      </c>
      <c r="CF33">
        <f ca="1"/>
        <v>0</v>
      </c>
      <c r="CG33">
        <f ca="1"/>
        <v>0</v>
      </c>
      <c r="CH33">
        <f ca="1"/>
        <v>0</v>
      </c>
      <c r="CI33">
        <f ca="1"/>
        <v>0</v>
      </c>
      <c r="CJ33">
        <f ca="1"/>
        <v>0</v>
      </c>
      <c r="CK33">
        <f ca="1"/>
        <v>0</v>
      </c>
      <c r="CL33">
        <f ca="1"/>
        <v>0</v>
      </c>
      <c r="CM33">
        <f ca="1"/>
        <v>0</v>
      </c>
      <c r="CN33">
        <f ca="1"/>
        <v>0</v>
      </c>
      <c r="CO33">
        <f ca="1"/>
        <v>0</v>
      </c>
      <c r="CP33">
        <f ca="1"/>
        <v>0</v>
      </c>
      <c r="CQ33">
        <f ca="1"/>
        <v>0</v>
      </c>
      <c r="CR33">
        <f ca="1"/>
        <v>0</v>
      </c>
      <c r="CS33">
        <f ca="1"/>
        <v>0</v>
      </c>
      <c r="CT33">
        <f ca="1"/>
        <v>0</v>
      </c>
      <c r="CU33">
        <f ca="1"/>
        <v>0</v>
      </c>
      <c r="CV33">
        <f ca="1"/>
        <v>0</v>
      </c>
      <c r="CW33">
        <f ca="1"/>
        <v>0</v>
      </c>
      <c r="CX33">
        <f ca="1"/>
        <v>0</v>
      </c>
      <c r="CY33">
        <f ca="1"/>
        <v>0</v>
      </c>
      <c r="CZ33">
        <f ca="1"/>
        <v>0</v>
      </c>
      <c r="DA33">
        <f ca="1"/>
        <v>0</v>
      </c>
      <c r="DB33">
        <f ca="1"/>
        <v>0</v>
      </c>
      <c r="DC33">
        <f ca="1"/>
        <v>0</v>
      </c>
      <c r="DD33">
        <f ca="1"/>
        <v>0</v>
      </c>
      <c r="DE33">
        <f ca="1"/>
        <v>0</v>
      </c>
      <c r="DF33">
        <f ca="1"/>
        <v>0</v>
      </c>
      <c r="DG33">
        <f ca="1"/>
        <v>0</v>
      </c>
      <c r="DH33">
        <f ca="1"/>
        <v>0</v>
      </c>
      <c r="DI33">
        <f ca="1"/>
        <v>0</v>
      </c>
      <c r="DJ33">
        <f ca="1"/>
        <v>0</v>
      </c>
      <c r="DK33">
        <f ca="1"/>
        <v>0</v>
      </c>
      <c r="DL33">
        <f ca="1"/>
        <v>0</v>
      </c>
      <c r="DM33">
        <f ca="1"/>
        <v>0</v>
      </c>
      <c r="DN33">
        <f ca="1"/>
        <v>0</v>
      </c>
      <c r="DO33">
        <f ca="1"/>
        <v>0</v>
      </c>
      <c r="DP33">
        <f ca="1"/>
        <v>0</v>
      </c>
      <c r="DQ33">
        <f ca="1"/>
        <v>0</v>
      </c>
      <c r="DR33">
        <f ca="1"/>
        <v>0</v>
      </c>
      <c r="DS33">
        <f ca="1"/>
        <v>0</v>
      </c>
      <c r="DT33">
        <f ca="1"/>
        <v>0</v>
      </c>
      <c r="DU33">
        <f ca="1"/>
        <v>0</v>
      </c>
      <c r="DV33">
        <f ca="1"/>
        <v>0</v>
      </c>
      <c r="DW33">
        <f ca="1"/>
        <v>0</v>
      </c>
      <c r="DX33">
        <f ca="1"/>
        <v>0</v>
      </c>
      <c r="DY33">
        <f ca="1"/>
        <v>0</v>
      </c>
      <c r="DZ33">
        <f ca="1"/>
        <v>0</v>
      </c>
      <c r="EA33">
        <f ca="1"/>
        <v>0</v>
      </c>
      <c r="EB33">
        <f ca="1"/>
        <v>0</v>
      </c>
      <c r="EC33">
        <f ca="1"/>
        <v>0</v>
      </c>
      <c r="ED33">
        <f ca="1"/>
        <v>0</v>
      </c>
      <c r="EE33">
        <f ca="1"/>
        <v>0</v>
      </c>
      <c r="EF33">
        <f ca="1"/>
        <v>0</v>
      </c>
      <c r="EG33">
        <f ca="1"/>
        <v>0</v>
      </c>
      <c r="EH33">
        <f ca="1"/>
        <v>0</v>
      </c>
      <c r="EI33">
        <f ca="1"/>
        <v>0</v>
      </c>
      <c r="EJ33">
        <f ca="1"/>
        <v>0</v>
      </c>
      <c r="EK33">
        <f ca="1"/>
        <v>0</v>
      </c>
      <c r="EL33">
        <f ca="1"/>
        <v>0</v>
      </c>
      <c r="EM33">
        <f ca="1"/>
        <v>0</v>
      </c>
      <c r="EN33">
        <f ca="1"/>
        <v>0</v>
      </c>
      <c r="EO33">
        <f ca="1"/>
        <v>0</v>
      </c>
      <c r="EP33">
        <f ca="1"/>
        <v>0</v>
      </c>
      <c r="EQ33">
        <f ca="1"/>
        <v>0</v>
      </c>
      <c r="ER33">
        <f ca="1"/>
        <v>0</v>
      </c>
      <c r="ES33">
        <f ca="1"/>
        <v>0</v>
      </c>
      <c r="ET33">
        <f ca="1"/>
        <v>0</v>
      </c>
      <c r="EU33">
        <f ca="1"/>
        <v>0</v>
      </c>
      <c r="EV33">
        <f ca="1"/>
        <v>0</v>
      </c>
      <c r="EW33">
        <f ca="1"/>
        <v>0</v>
      </c>
      <c r="EX33">
        <f ca="1"/>
        <v>0</v>
      </c>
      <c r="EY33">
        <f ca="1"/>
        <v>0</v>
      </c>
      <c r="EZ33">
        <f ca="1"/>
        <v>0</v>
      </c>
      <c r="FA33">
        <f ca="1"/>
        <v>0</v>
      </c>
      <c r="FB33">
        <f ca="1"/>
        <v>0</v>
      </c>
      <c r="FC33">
        <f ca="1"/>
        <v>0</v>
      </c>
      <c r="FD33">
        <f ca="1"/>
        <v>0</v>
      </c>
      <c r="FE33">
        <f ca="1"/>
        <v>0</v>
      </c>
      <c r="FF33">
        <f ca="1"/>
        <v>0</v>
      </c>
      <c r="FG33">
        <f ca="1"/>
        <v>0</v>
      </c>
      <c r="FH33">
        <f ca="1"/>
        <v>0</v>
      </c>
      <c r="FI33">
        <f ca="1"/>
        <v>0</v>
      </c>
      <c r="FJ33">
        <f ca="1"/>
        <v>0</v>
      </c>
      <c r="FK33">
        <f ca="1"/>
        <v>0</v>
      </c>
      <c r="FL33">
        <f ca="1"/>
        <v>0</v>
      </c>
      <c r="FM33">
        <f ca="1"/>
        <v>0</v>
      </c>
      <c r="FN33">
        <f ca="1"/>
        <v>0</v>
      </c>
      <c r="FO33">
        <f ca="1"/>
        <v>0</v>
      </c>
      <c r="FP33">
        <f ca="1"/>
        <v>0</v>
      </c>
      <c r="FQ33">
        <f ca="1"/>
        <v>0</v>
      </c>
      <c r="FR33">
        <f ca="1"/>
        <v>0</v>
      </c>
      <c r="FS33">
        <f ca="1"/>
        <v>0</v>
      </c>
      <c r="FT33">
        <f ca="1"/>
        <v>0</v>
      </c>
      <c r="FU33">
        <f ca="1"/>
        <v>0</v>
      </c>
      <c r="FV33">
        <f ca="1"/>
        <v>0</v>
      </c>
      <c r="FW33">
        <f ca="1"/>
        <v>0</v>
      </c>
      <c r="FX33">
        <f ca="1"/>
        <v>0</v>
      </c>
      <c r="FY33">
        <f ca="1"/>
        <v>0</v>
      </c>
      <c r="FZ33">
        <f ca="1"/>
        <v>0</v>
      </c>
    </row>
    <row r="34" spans="3:182">
      <c r="C34" cm="1">
        <f t="array" aca="1" ref="C34:FZ34" ca="1">IFERROR(TRANSPOSE(INDEX(_xlfn._xlws.FILTER(INDIRECT("SubcategoriesTable[Subcategory name]"),INDIRECT("SubcategoriesTable[Category name]")=$B34),,)),"No subcategories")</f>
        <v>0</v>
      </c>
      <c r="D34">
        <f ca="1"/>
        <v>0</v>
      </c>
      <c r="E34">
        <f ca="1"/>
        <v>0</v>
      </c>
      <c r="F34">
        <f ca="1"/>
        <v>0</v>
      </c>
      <c r="G34">
        <f ca="1"/>
        <v>0</v>
      </c>
      <c r="H34">
        <f ca="1"/>
        <v>0</v>
      </c>
      <c r="I34">
        <f ca="1"/>
        <v>0</v>
      </c>
      <c r="J34">
        <f ca="1"/>
        <v>0</v>
      </c>
      <c r="K34">
        <f ca="1"/>
        <v>0</v>
      </c>
      <c r="L34">
        <f ca="1"/>
        <v>0</v>
      </c>
      <c r="M34">
        <f ca="1"/>
        <v>0</v>
      </c>
      <c r="N34">
        <f ca="1"/>
        <v>0</v>
      </c>
      <c r="O34">
        <f ca="1"/>
        <v>0</v>
      </c>
      <c r="P34">
        <f ca="1"/>
        <v>0</v>
      </c>
      <c r="Q34">
        <f ca="1"/>
        <v>0</v>
      </c>
      <c r="R34">
        <f ca="1"/>
        <v>0</v>
      </c>
      <c r="S34">
        <f ca="1"/>
        <v>0</v>
      </c>
      <c r="T34">
        <f ca="1"/>
        <v>0</v>
      </c>
      <c r="U34">
        <f ca="1"/>
        <v>0</v>
      </c>
      <c r="V34">
        <f ca="1"/>
        <v>0</v>
      </c>
      <c r="W34">
        <f ca="1"/>
        <v>0</v>
      </c>
      <c r="X34">
        <f ca="1"/>
        <v>0</v>
      </c>
      <c r="Y34">
        <f ca="1"/>
        <v>0</v>
      </c>
      <c r="Z34">
        <f ca="1"/>
        <v>0</v>
      </c>
      <c r="AA34">
        <f ca="1"/>
        <v>0</v>
      </c>
      <c r="AB34">
        <f ca="1"/>
        <v>0</v>
      </c>
      <c r="AC34">
        <f ca="1"/>
        <v>0</v>
      </c>
      <c r="AD34">
        <f ca="1"/>
        <v>0</v>
      </c>
      <c r="AE34">
        <f ca="1"/>
        <v>0</v>
      </c>
      <c r="AF34">
        <f ca="1"/>
        <v>0</v>
      </c>
      <c r="AG34">
        <f ca="1"/>
        <v>0</v>
      </c>
      <c r="AH34">
        <f ca="1"/>
        <v>0</v>
      </c>
      <c r="AI34">
        <f ca="1"/>
        <v>0</v>
      </c>
      <c r="AJ34">
        <f ca="1"/>
        <v>0</v>
      </c>
      <c r="AK34">
        <f ca="1"/>
        <v>0</v>
      </c>
      <c r="AL34">
        <f ca="1"/>
        <v>0</v>
      </c>
      <c r="AM34">
        <f ca="1"/>
        <v>0</v>
      </c>
      <c r="AN34">
        <f ca="1"/>
        <v>0</v>
      </c>
      <c r="AO34">
        <f ca="1"/>
        <v>0</v>
      </c>
      <c r="AP34">
        <f ca="1"/>
        <v>0</v>
      </c>
      <c r="AQ34">
        <f ca="1"/>
        <v>0</v>
      </c>
      <c r="AR34">
        <f ca="1"/>
        <v>0</v>
      </c>
      <c r="AS34">
        <f ca="1"/>
        <v>0</v>
      </c>
      <c r="AT34">
        <f ca="1"/>
        <v>0</v>
      </c>
      <c r="AU34">
        <f ca="1"/>
        <v>0</v>
      </c>
      <c r="AV34">
        <f ca="1"/>
        <v>0</v>
      </c>
      <c r="AW34">
        <f ca="1"/>
        <v>0</v>
      </c>
      <c r="AX34">
        <f ca="1"/>
        <v>0</v>
      </c>
      <c r="AY34">
        <f ca="1"/>
        <v>0</v>
      </c>
      <c r="AZ34">
        <f ca="1"/>
        <v>0</v>
      </c>
      <c r="BA34">
        <f ca="1"/>
        <v>0</v>
      </c>
      <c r="BB34">
        <f ca="1"/>
        <v>0</v>
      </c>
      <c r="BC34">
        <f ca="1"/>
        <v>0</v>
      </c>
      <c r="BD34">
        <f ca="1"/>
        <v>0</v>
      </c>
      <c r="BE34">
        <f ca="1"/>
        <v>0</v>
      </c>
      <c r="BF34">
        <f ca="1"/>
        <v>0</v>
      </c>
      <c r="BG34">
        <f ca="1"/>
        <v>0</v>
      </c>
      <c r="BH34">
        <f ca="1"/>
        <v>0</v>
      </c>
      <c r="BI34">
        <f ca="1"/>
        <v>0</v>
      </c>
      <c r="BJ34">
        <f ca="1"/>
        <v>0</v>
      </c>
      <c r="BK34">
        <f ca="1"/>
        <v>0</v>
      </c>
      <c r="BL34">
        <f ca="1"/>
        <v>0</v>
      </c>
      <c r="BM34">
        <f ca="1"/>
        <v>0</v>
      </c>
      <c r="BN34">
        <f ca="1"/>
        <v>0</v>
      </c>
      <c r="BO34">
        <f ca="1"/>
        <v>0</v>
      </c>
      <c r="BP34">
        <f ca="1"/>
        <v>0</v>
      </c>
      <c r="BQ34">
        <f ca="1"/>
        <v>0</v>
      </c>
      <c r="BR34">
        <f ca="1"/>
        <v>0</v>
      </c>
      <c r="BS34">
        <f ca="1"/>
        <v>0</v>
      </c>
      <c r="BT34">
        <f ca="1"/>
        <v>0</v>
      </c>
      <c r="BU34">
        <f ca="1"/>
        <v>0</v>
      </c>
      <c r="BV34">
        <f ca="1"/>
        <v>0</v>
      </c>
      <c r="BW34">
        <f ca="1"/>
        <v>0</v>
      </c>
      <c r="BX34">
        <f ca="1"/>
        <v>0</v>
      </c>
      <c r="BY34">
        <f ca="1"/>
        <v>0</v>
      </c>
      <c r="BZ34">
        <f ca="1"/>
        <v>0</v>
      </c>
      <c r="CA34">
        <f ca="1"/>
        <v>0</v>
      </c>
      <c r="CB34">
        <f ca="1"/>
        <v>0</v>
      </c>
      <c r="CC34">
        <f ca="1"/>
        <v>0</v>
      </c>
      <c r="CD34">
        <f ca="1"/>
        <v>0</v>
      </c>
      <c r="CE34">
        <f ca="1"/>
        <v>0</v>
      </c>
      <c r="CF34">
        <f ca="1"/>
        <v>0</v>
      </c>
      <c r="CG34">
        <f ca="1"/>
        <v>0</v>
      </c>
      <c r="CH34">
        <f ca="1"/>
        <v>0</v>
      </c>
      <c r="CI34">
        <f ca="1"/>
        <v>0</v>
      </c>
      <c r="CJ34">
        <f ca="1"/>
        <v>0</v>
      </c>
      <c r="CK34">
        <f ca="1"/>
        <v>0</v>
      </c>
      <c r="CL34">
        <f ca="1"/>
        <v>0</v>
      </c>
      <c r="CM34">
        <f ca="1"/>
        <v>0</v>
      </c>
      <c r="CN34">
        <f ca="1"/>
        <v>0</v>
      </c>
      <c r="CO34">
        <f ca="1"/>
        <v>0</v>
      </c>
      <c r="CP34">
        <f ca="1"/>
        <v>0</v>
      </c>
      <c r="CQ34">
        <f ca="1"/>
        <v>0</v>
      </c>
      <c r="CR34">
        <f ca="1"/>
        <v>0</v>
      </c>
      <c r="CS34">
        <f ca="1"/>
        <v>0</v>
      </c>
      <c r="CT34">
        <f ca="1"/>
        <v>0</v>
      </c>
      <c r="CU34">
        <f ca="1"/>
        <v>0</v>
      </c>
      <c r="CV34">
        <f ca="1"/>
        <v>0</v>
      </c>
      <c r="CW34">
        <f ca="1"/>
        <v>0</v>
      </c>
      <c r="CX34">
        <f ca="1"/>
        <v>0</v>
      </c>
      <c r="CY34">
        <f ca="1"/>
        <v>0</v>
      </c>
      <c r="CZ34">
        <f ca="1"/>
        <v>0</v>
      </c>
      <c r="DA34">
        <f ca="1"/>
        <v>0</v>
      </c>
      <c r="DB34">
        <f ca="1"/>
        <v>0</v>
      </c>
      <c r="DC34">
        <f ca="1"/>
        <v>0</v>
      </c>
      <c r="DD34">
        <f ca="1"/>
        <v>0</v>
      </c>
      <c r="DE34">
        <f ca="1"/>
        <v>0</v>
      </c>
      <c r="DF34">
        <f ca="1"/>
        <v>0</v>
      </c>
      <c r="DG34">
        <f ca="1"/>
        <v>0</v>
      </c>
      <c r="DH34">
        <f ca="1"/>
        <v>0</v>
      </c>
      <c r="DI34">
        <f ca="1"/>
        <v>0</v>
      </c>
      <c r="DJ34">
        <f ca="1"/>
        <v>0</v>
      </c>
      <c r="DK34">
        <f ca="1"/>
        <v>0</v>
      </c>
      <c r="DL34">
        <f ca="1"/>
        <v>0</v>
      </c>
      <c r="DM34">
        <f ca="1"/>
        <v>0</v>
      </c>
      <c r="DN34">
        <f ca="1"/>
        <v>0</v>
      </c>
      <c r="DO34">
        <f ca="1"/>
        <v>0</v>
      </c>
      <c r="DP34">
        <f ca="1"/>
        <v>0</v>
      </c>
      <c r="DQ34">
        <f ca="1"/>
        <v>0</v>
      </c>
      <c r="DR34">
        <f ca="1"/>
        <v>0</v>
      </c>
      <c r="DS34">
        <f ca="1"/>
        <v>0</v>
      </c>
      <c r="DT34">
        <f ca="1"/>
        <v>0</v>
      </c>
      <c r="DU34">
        <f ca="1"/>
        <v>0</v>
      </c>
      <c r="DV34">
        <f ca="1"/>
        <v>0</v>
      </c>
      <c r="DW34">
        <f ca="1"/>
        <v>0</v>
      </c>
      <c r="DX34">
        <f ca="1"/>
        <v>0</v>
      </c>
      <c r="DY34">
        <f ca="1"/>
        <v>0</v>
      </c>
      <c r="DZ34">
        <f ca="1"/>
        <v>0</v>
      </c>
      <c r="EA34">
        <f ca="1"/>
        <v>0</v>
      </c>
      <c r="EB34">
        <f ca="1"/>
        <v>0</v>
      </c>
      <c r="EC34">
        <f ca="1"/>
        <v>0</v>
      </c>
      <c r="ED34">
        <f ca="1"/>
        <v>0</v>
      </c>
      <c r="EE34">
        <f ca="1"/>
        <v>0</v>
      </c>
      <c r="EF34">
        <f ca="1"/>
        <v>0</v>
      </c>
      <c r="EG34">
        <f ca="1"/>
        <v>0</v>
      </c>
      <c r="EH34">
        <f ca="1"/>
        <v>0</v>
      </c>
      <c r="EI34">
        <f ca="1"/>
        <v>0</v>
      </c>
      <c r="EJ34">
        <f ca="1"/>
        <v>0</v>
      </c>
      <c r="EK34">
        <f ca="1"/>
        <v>0</v>
      </c>
      <c r="EL34">
        <f ca="1"/>
        <v>0</v>
      </c>
      <c r="EM34">
        <f ca="1"/>
        <v>0</v>
      </c>
      <c r="EN34">
        <f ca="1"/>
        <v>0</v>
      </c>
      <c r="EO34">
        <f ca="1"/>
        <v>0</v>
      </c>
      <c r="EP34">
        <f ca="1"/>
        <v>0</v>
      </c>
      <c r="EQ34">
        <f ca="1"/>
        <v>0</v>
      </c>
      <c r="ER34">
        <f ca="1"/>
        <v>0</v>
      </c>
      <c r="ES34">
        <f ca="1"/>
        <v>0</v>
      </c>
      <c r="ET34">
        <f ca="1"/>
        <v>0</v>
      </c>
      <c r="EU34">
        <f ca="1"/>
        <v>0</v>
      </c>
      <c r="EV34">
        <f ca="1"/>
        <v>0</v>
      </c>
      <c r="EW34">
        <f ca="1"/>
        <v>0</v>
      </c>
      <c r="EX34">
        <f ca="1"/>
        <v>0</v>
      </c>
      <c r="EY34">
        <f ca="1"/>
        <v>0</v>
      </c>
      <c r="EZ34">
        <f ca="1"/>
        <v>0</v>
      </c>
      <c r="FA34">
        <f ca="1"/>
        <v>0</v>
      </c>
      <c r="FB34">
        <f ca="1"/>
        <v>0</v>
      </c>
      <c r="FC34">
        <f ca="1"/>
        <v>0</v>
      </c>
      <c r="FD34">
        <f ca="1"/>
        <v>0</v>
      </c>
      <c r="FE34">
        <f ca="1"/>
        <v>0</v>
      </c>
      <c r="FF34">
        <f ca="1"/>
        <v>0</v>
      </c>
      <c r="FG34">
        <f ca="1"/>
        <v>0</v>
      </c>
      <c r="FH34">
        <f ca="1"/>
        <v>0</v>
      </c>
      <c r="FI34">
        <f ca="1"/>
        <v>0</v>
      </c>
      <c r="FJ34">
        <f ca="1"/>
        <v>0</v>
      </c>
      <c r="FK34">
        <f ca="1"/>
        <v>0</v>
      </c>
      <c r="FL34">
        <f ca="1"/>
        <v>0</v>
      </c>
      <c r="FM34">
        <f ca="1"/>
        <v>0</v>
      </c>
      <c r="FN34">
        <f ca="1"/>
        <v>0</v>
      </c>
      <c r="FO34">
        <f ca="1"/>
        <v>0</v>
      </c>
      <c r="FP34">
        <f ca="1"/>
        <v>0</v>
      </c>
      <c r="FQ34">
        <f ca="1"/>
        <v>0</v>
      </c>
      <c r="FR34">
        <f ca="1"/>
        <v>0</v>
      </c>
      <c r="FS34">
        <f ca="1"/>
        <v>0</v>
      </c>
      <c r="FT34">
        <f ca="1"/>
        <v>0</v>
      </c>
      <c r="FU34">
        <f ca="1"/>
        <v>0</v>
      </c>
      <c r="FV34">
        <f ca="1"/>
        <v>0</v>
      </c>
      <c r="FW34">
        <f ca="1"/>
        <v>0</v>
      </c>
      <c r="FX34">
        <f ca="1"/>
        <v>0</v>
      </c>
      <c r="FY34">
        <f ca="1"/>
        <v>0</v>
      </c>
      <c r="FZ34">
        <f ca="1"/>
        <v>0</v>
      </c>
    </row>
    <row r="35" spans="3:182">
      <c r="C35" cm="1">
        <f t="array" aca="1" ref="C35:FZ35" ca="1">IFERROR(TRANSPOSE(INDEX(_xlfn._xlws.FILTER(INDIRECT("SubcategoriesTable[Subcategory name]"),INDIRECT("SubcategoriesTable[Category name]")=$B35),,)),"No subcategories")</f>
        <v>0</v>
      </c>
      <c r="D35">
        <f ca="1"/>
        <v>0</v>
      </c>
      <c r="E35">
        <f ca="1"/>
        <v>0</v>
      </c>
      <c r="F35">
        <f ca="1"/>
        <v>0</v>
      </c>
      <c r="G35">
        <f ca="1"/>
        <v>0</v>
      </c>
      <c r="H35">
        <f ca="1"/>
        <v>0</v>
      </c>
      <c r="I35">
        <f ca="1"/>
        <v>0</v>
      </c>
      <c r="J35">
        <f ca="1"/>
        <v>0</v>
      </c>
      <c r="K35">
        <f ca="1"/>
        <v>0</v>
      </c>
      <c r="L35">
        <f ca="1"/>
        <v>0</v>
      </c>
      <c r="M35">
        <f ca="1"/>
        <v>0</v>
      </c>
      <c r="N35">
        <f ca="1"/>
        <v>0</v>
      </c>
      <c r="O35">
        <f ca="1"/>
        <v>0</v>
      </c>
      <c r="P35">
        <f ca="1"/>
        <v>0</v>
      </c>
      <c r="Q35">
        <f ca="1"/>
        <v>0</v>
      </c>
      <c r="R35">
        <f ca="1"/>
        <v>0</v>
      </c>
      <c r="S35">
        <f ca="1"/>
        <v>0</v>
      </c>
      <c r="T35">
        <f ca="1"/>
        <v>0</v>
      </c>
      <c r="U35">
        <f ca="1"/>
        <v>0</v>
      </c>
      <c r="V35">
        <f ca="1"/>
        <v>0</v>
      </c>
      <c r="W35">
        <f ca="1"/>
        <v>0</v>
      </c>
      <c r="X35">
        <f ca="1"/>
        <v>0</v>
      </c>
      <c r="Y35">
        <f ca="1"/>
        <v>0</v>
      </c>
      <c r="Z35">
        <f ca="1"/>
        <v>0</v>
      </c>
      <c r="AA35">
        <f ca="1"/>
        <v>0</v>
      </c>
      <c r="AB35">
        <f ca="1"/>
        <v>0</v>
      </c>
      <c r="AC35">
        <f ca="1"/>
        <v>0</v>
      </c>
      <c r="AD35">
        <f ca="1"/>
        <v>0</v>
      </c>
      <c r="AE35">
        <f ca="1"/>
        <v>0</v>
      </c>
      <c r="AF35">
        <f ca="1"/>
        <v>0</v>
      </c>
      <c r="AG35">
        <f ca="1"/>
        <v>0</v>
      </c>
      <c r="AH35">
        <f ca="1"/>
        <v>0</v>
      </c>
      <c r="AI35">
        <f ca="1"/>
        <v>0</v>
      </c>
      <c r="AJ35">
        <f ca="1"/>
        <v>0</v>
      </c>
      <c r="AK35">
        <f ca="1"/>
        <v>0</v>
      </c>
      <c r="AL35">
        <f ca="1"/>
        <v>0</v>
      </c>
      <c r="AM35">
        <f ca="1"/>
        <v>0</v>
      </c>
      <c r="AN35">
        <f ca="1"/>
        <v>0</v>
      </c>
      <c r="AO35">
        <f ca="1"/>
        <v>0</v>
      </c>
      <c r="AP35">
        <f ca="1"/>
        <v>0</v>
      </c>
      <c r="AQ35">
        <f ca="1"/>
        <v>0</v>
      </c>
      <c r="AR35">
        <f ca="1"/>
        <v>0</v>
      </c>
      <c r="AS35">
        <f ca="1"/>
        <v>0</v>
      </c>
      <c r="AT35">
        <f ca="1"/>
        <v>0</v>
      </c>
      <c r="AU35">
        <f ca="1"/>
        <v>0</v>
      </c>
      <c r="AV35">
        <f ca="1"/>
        <v>0</v>
      </c>
      <c r="AW35">
        <f ca="1"/>
        <v>0</v>
      </c>
      <c r="AX35">
        <f ca="1"/>
        <v>0</v>
      </c>
      <c r="AY35">
        <f ca="1"/>
        <v>0</v>
      </c>
      <c r="AZ35">
        <f ca="1"/>
        <v>0</v>
      </c>
      <c r="BA35">
        <f ca="1"/>
        <v>0</v>
      </c>
      <c r="BB35">
        <f ca="1"/>
        <v>0</v>
      </c>
      <c r="BC35">
        <f ca="1"/>
        <v>0</v>
      </c>
      <c r="BD35">
        <f ca="1"/>
        <v>0</v>
      </c>
      <c r="BE35">
        <f ca="1"/>
        <v>0</v>
      </c>
      <c r="BF35">
        <f ca="1"/>
        <v>0</v>
      </c>
      <c r="BG35">
        <f ca="1"/>
        <v>0</v>
      </c>
      <c r="BH35">
        <f ca="1"/>
        <v>0</v>
      </c>
      <c r="BI35">
        <f ca="1"/>
        <v>0</v>
      </c>
      <c r="BJ35">
        <f ca="1"/>
        <v>0</v>
      </c>
      <c r="BK35">
        <f ca="1"/>
        <v>0</v>
      </c>
      <c r="BL35">
        <f ca="1"/>
        <v>0</v>
      </c>
      <c r="BM35">
        <f ca="1"/>
        <v>0</v>
      </c>
      <c r="BN35">
        <f ca="1"/>
        <v>0</v>
      </c>
      <c r="BO35">
        <f ca="1"/>
        <v>0</v>
      </c>
      <c r="BP35">
        <f ca="1"/>
        <v>0</v>
      </c>
      <c r="BQ35">
        <f ca="1"/>
        <v>0</v>
      </c>
      <c r="BR35">
        <f ca="1"/>
        <v>0</v>
      </c>
      <c r="BS35">
        <f ca="1"/>
        <v>0</v>
      </c>
      <c r="BT35">
        <f ca="1"/>
        <v>0</v>
      </c>
      <c r="BU35">
        <f ca="1"/>
        <v>0</v>
      </c>
      <c r="BV35">
        <f ca="1"/>
        <v>0</v>
      </c>
      <c r="BW35">
        <f ca="1"/>
        <v>0</v>
      </c>
      <c r="BX35">
        <f ca="1"/>
        <v>0</v>
      </c>
      <c r="BY35">
        <f ca="1"/>
        <v>0</v>
      </c>
      <c r="BZ35">
        <f ca="1"/>
        <v>0</v>
      </c>
      <c r="CA35">
        <f ca="1"/>
        <v>0</v>
      </c>
      <c r="CB35">
        <f ca="1"/>
        <v>0</v>
      </c>
      <c r="CC35">
        <f ca="1"/>
        <v>0</v>
      </c>
      <c r="CD35">
        <f ca="1"/>
        <v>0</v>
      </c>
      <c r="CE35">
        <f ca="1"/>
        <v>0</v>
      </c>
      <c r="CF35">
        <f ca="1"/>
        <v>0</v>
      </c>
      <c r="CG35">
        <f ca="1"/>
        <v>0</v>
      </c>
      <c r="CH35">
        <f ca="1"/>
        <v>0</v>
      </c>
      <c r="CI35">
        <f ca="1"/>
        <v>0</v>
      </c>
      <c r="CJ35">
        <f ca="1"/>
        <v>0</v>
      </c>
      <c r="CK35">
        <f ca="1"/>
        <v>0</v>
      </c>
      <c r="CL35">
        <f ca="1"/>
        <v>0</v>
      </c>
      <c r="CM35">
        <f ca="1"/>
        <v>0</v>
      </c>
      <c r="CN35">
        <f ca="1"/>
        <v>0</v>
      </c>
      <c r="CO35">
        <f ca="1"/>
        <v>0</v>
      </c>
      <c r="CP35">
        <f ca="1"/>
        <v>0</v>
      </c>
      <c r="CQ35">
        <f ca="1"/>
        <v>0</v>
      </c>
      <c r="CR35">
        <f ca="1"/>
        <v>0</v>
      </c>
      <c r="CS35">
        <f ca="1"/>
        <v>0</v>
      </c>
      <c r="CT35">
        <f ca="1"/>
        <v>0</v>
      </c>
      <c r="CU35">
        <f ca="1"/>
        <v>0</v>
      </c>
      <c r="CV35">
        <f ca="1"/>
        <v>0</v>
      </c>
      <c r="CW35">
        <f ca="1"/>
        <v>0</v>
      </c>
      <c r="CX35">
        <f ca="1"/>
        <v>0</v>
      </c>
      <c r="CY35">
        <f ca="1"/>
        <v>0</v>
      </c>
      <c r="CZ35">
        <f ca="1"/>
        <v>0</v>
      </c>
      <c r="DA35">
        <f ca="1"/>
        <v>0</v>
      </c>
      <c r="DB35">
        <f ca="1"/>
        <v>0</v>
      </c>
      <c r="DC35">
        <f ca="1"/>
        <v>0</v>
      </c>
      <c r="DD35">
        <f ca="1"/>
        <v>0</v>
      </c>
      <c r="DE35">
        <f ca="1"/>
        <v>0</v>
      </c>
      <c r="DF35">
        <f ca="1"/>
        <v>0</v>
      </c>
      <c r="DG35">
        <f ca="1"/>
        <v>0</v>
      </c>
      <c r="DH35">
        <f ca="1"/>
        <v>0</v>
      </c>
      <c r="DI35">
        <f ca="1"/>
        <v>0</v>
      </c>
      <c r="DJ35">
        <f ca="1"/>
        <v>0</v>
      </c>
      <c r="DK35">
        <f ca="1"/>
        <v>0</v>
      </c>
      <c r="DL35">
        <f ca="1"/>
        <v>0</v>
      </c>
      <c r="DM35">
        <f ca="1"/>
        <v>0</v>
      </c>
      <c r="DN35">
        <f ca="1"/>
        <v>0</v>
      </c>
      <c r="DO35">
        <f ca="1"/>
        <v>0</v>
      </c>
      <c r="DP35">
        <f ca="1"/>
        <v>0</v>
      </c>
      <c r="DQ35">
        <f ca="1"/>
        <v>0</v>
      </c>
      <c r="DR35">
        <f ca="1"/>
        <v>0</v>
      </c>
      <c r="DS35">
        <f ca="1"/>
        <v>0</v>
      </c>
      <c r="DT35">
        <f ca="1"/>
        <v>0</v>
      </c>
      <c r="DU35">
        <f ca="1"/>
        <v>0</v>
      </c>
      <c r="DV35">
        <f ca="1"/>
        <v>0</v>
      </c>
      <c r="DW35">
        <f ca="1"/>
        <v>0</v>
      </c>
      <c r="DX35">
        <f ca="1"/>
        <v>0</v>
      </c>
      <c r="DY35">
        <f ca="1"/>
        <v>0</v>
      </c>
      <c r="DZ35">
        <f ca="1"/>
        <v>0</v>
      </c>
      <c r="EA35">
        <f ca="1"/>
        <v>0</v>
      </c>
      <c r="EB35">
        <f ca="1"/>
        <v>0</v>
      </c>
      <c r="EC35">
        <f ca="1"/>
        <v>0</v>
      </c>
      <c r="ED35">
        <f ca="1"/>
        <v>0</v>
      </c>
      <c r="EE35">
        <f ca="1"/>
        <v>0</v>
      </c>
      <c r="EF35">
        <f ca="1"/>
        <v>0</v>
      </c>
      <c r="EG35">
        <f ca="1"/>
        <v>0</v>
      </c>
      <c r="EH35">
        <f ca="1"/>
        <v>0</v>
      </c>
      <c r="EI35">
        <f ca="1"/>
        <v>0</v>
      </c>
      <c r="EJ35">
        <f ca="1"/>
        <v>0</v>
      </c>
      <c r="EK35">
        <f ca="1"/>
        <v>0</v>
      </c>
      <c r="EL35">
        <f ca="1"/>
        <v>0</v>
      </c>
      <c r="EM35">
        <f ca="1"/>
        <v>0</v>
      </c>
      <c r="EN35">
        <f ca="1"/>
        <v>0</v>
      </c>
      <c r="EO35">
        <f ca="1"/>
        <v>0</v>
      </c>
      <c r="EP35">
        <f ca="1"/>
        <v>0</v>
      </c>
      <c r="EQ35">
        <f ca="1"/>
        <v>0</v>
      </c>
      <c r="ER35">
        <f ca="1"/>
        <v>0</v>
      </c>
      <c r="ES35">
        <f ca="1"/>
        <v>0</v>
      </c>
      <c r="ET35">
        <f ca="1"/>
        <v>0</v>
      </c>
      <c r="EU35">
        <f ca="1"/>
        <v>0</v>
      </c>
      <c r="EV35">
        <f ca="1"/>
        <v>0</v>
      </c>
      <c r="EW35">
        <f ca="1"/>
        <v>0</v>
      </c>
      <c r="EX35">
        <f ca="1"/>
        <v>0</v>
      </c>
      <c r="EY35">
        <f ca="1"/>
        <v>0</v>
      </c>
      <c r="EZ35">
        <f ca="1"/>
        <v>0</v>
      </c>
      <c r="FA35">
        <f ca="1"/>
        <v>0</v>
      </c>
      <c r="FB35">
        <f ca="1"/>
        <v>0</v>
      </c>
      <c r="FC35">
        <f ca="1"/>
        <v>0</v>
      </c>
      <c r="FD35">
        <f ca="1"/>
        <v>0</v>
      </c>
      <c r="FE35">
        <f ca="1"/>
        <v>0</v>
      </c>
      <c r="FF35">
        <f ca="1"/>
        <v>0</v>
      </c>
      <c r="FG35">
        <f ca="1"/>
        <v>0</v>
      </c>
      <c r="FH35">
        <f ca="1"/>
        <v>0</v>
      </c>
      <c r="FI35">
        <f ca="1"/>
        <v>0</v>
      </c>
      <c r="FJ35">
        <f ca="1"/>
        <v>0</v>
      </c>
      <c r="FK35">
        <f ca="1"/>
        <v>0</v>
      </c>
      <c r="FL35">
        <f ca="1"/>
        <v>0</v>
      </c>
      <c r="FM35">
        <f ca="1"/>
        <v>0</v>
      </c>
      <c r="FN35">
        <f ca="1"/>
        <v>0</v>
      </c>
      <c r="FO35">
        <f ca="1"/>
        <v>0</v>
      </c>
      <c r="FP35">
        <f ca="1"/>
        <v>0</v>
      </c>
      <c r="FQ35">
        <f ca="1"/>
        <v>0</v>
      </c>
      <c r="FR35">
        <f ca="1"/>
        <v>0</v>
      </c>
      <c r="FS35">
        <f ca="1"/>
        <v>0</v>
      </c>
      <c r="FT35">
        <f ca="1"/>
        <v>0</v>
      </c>
      <c r="FU35">
        <f ca="1"/>
        <v>0</v>
      </c>
      <c r="FV35">
        <f ca="1"/>
        <v>0</v>
      </c>
      <c r="FW35">
        <f ca="1"/>
        <v>0</v>
      </c>
      <c r="FX35">
        <f ca="1"/>
        <v>0</v>
      </c>
      <c r="FY35">
        <f ca="1"/>
        <v>0</v>
      </c>
      <c r="FZ35">
        <f ca="1"/>
        <v>0</v>
      </c>
    </row>
    <row r="36" spans="3:182">
      <c r="C36" cm="1">
        <f t="array" aca="1" ref="C36:FZ36" ca="1">IFERROR(TRANSPOSE(INDEX(_xlfn._xlws.FILTER(INDIRECT("SubcategoriesTable[Subcategory name]"),INDIRECT("SubcategoriesTable[Category name]")=$B36),,)),"No subcategories")</f>
        <v>0</v>
      </c>
      <c r="D36">
        <f ca="1"/>
        <v>0</v>
      </c>
      <c r="E36">
        <f ca="1"/>
        <v>0</v>
      </c>
      <c r="F36">
        <f ca="1"/>
        <v>0</v>
      </c>
      <c r="G36">
        <f ca="1"/>
        <v>0</v>
      </c>
      <c r="H36">
        <f ca="1"/>
        <v>0</v>
      </c>
      <c r="I36">
        <f ca="1"/>
        <v>0</v>
      </c>
      <c r="J36">
        <f ca="1"/>
        <v>0</v>
      </c>
      <c r="K36">
        <f ca="1"/>
        <v>0</v>
      </c>
      <c r="L36">
        <f ca="1"/>
        <v>0</v>
      </c>
      <c r="M36">
        <f ca="1"/>
        <v>0</v>
      </c>
      <c r="N36">
        <f ca="1"/>
        <v>0</v>
      </c>
      <c r="O36">
        <f ca="1"/>
        <v>0</v>
      </c>
      <c r="P36">
        <f ca="1"/>
        <v>0</v>
      </c>
      <c r="Q36">
        <f ca="1"/>
        <v>0</v>
      </c>
      <c r="R36">
        <f ca="1"/>
        <v>0</v>
      </c>
      <c r="S36">
        <f ca="1"/>
        <v>0</v>
      </c>
      <c r="T36">
        <f ca="1"/>
        <v>0</v>
      </c>
      <c r="U36">
        <f ca="1"/>
        <v>0</v>
      </c>
      <c r="V36">
        <f ca="1"/>
        <v>0</v>
      </c>
      <c r="W36">
        <f ca="1"/>
        <v>0</v>
      </c>
      <c r="X36">
        <f ca="1"/>
        <v>0</v>
      </c>
      <c r="Y36">
        <f ca="1"/>
        <v>0</v>
      </c>
      <c r="Z36">
        <f ca="1"/>
        <v>0</v>
      </c>
      <c r="AA36">
        <f ca="1"/>
        <v>0</v>
      </c>
      <c r="AB36">
        <f ca="1"/>
        <v>0</v>
      </c>
      <c r="AC36">
        <f ca="1"/>
        <v>0</v>
      </c>
      <c r="AD36">
        <f ca="1"/>
        <v>0</v>
      </c>
      <c r="AE36">
        <f ca="1"/>
        <v>0</v>
      </c>
      <c r="AF36">
        <f ca="1"/>
        <v>0</v>
      </c>
      <c r="AG36">
        <f ca="1"/>
        <v>0</v>
      </c>
      <c r="AH36">
        <f ca="1"/>
        <v>0</v>
      </c>
      <c r="AI36">
        <f ca="1"/>
        <v>0</v>
      </c>
      <c r="AJ36">
        <f ca="1"/>
        <v>0</v>
      </c>
      <c r="AK36">
        <f ca="1"/>
        <v>0</v>
      </c>
      <c r="AL36">
        <f ca="1"/>
        <v>0</v>
      </c>
      <c r="AM36">
        <f ca="1"/>
        <v>0</v>
      </c>
      <c r="AN36">
        <f ca="1"/>
        <v>0</v>
      </c>
      <c r="AO36">
        <f ca="1"/>
        <v>0</v>
      </c>
      <c r="AP36">
        <f ca="1"/>
        <v>0</v>
      </c>
      <c r="AQ36">
        <f ca="1"/>
        <v>0</v>
      </c>
      <c r="AR36">
        <f ca="1"/>
        <v>0</v>
      </c>
      <c r="AS36">
        <f ca="1"/>
        <v>0</v>
      </c>
      <c r="AT36">
        <f ca="1"/>
        <v>0</v>
      </c>
      <c r="AU36">
        <f ca="1"/>
        <v>0</v>
      </c>
      <c r="AV36">
        <f ca="1"/>
        <v>0</v>
      </c>
      <c r="AW36">
        <f ca="1"/>
        <v>0</v>
      </c>
      <c r="AX36">
        <f ca="1"/>
        <v>0</v>
      </c>
      <c r="AY36">
        <f ca="1"/>
        <v>0</v>
      </c>
      <c r="AZ36">
        <f ca="1"/>
        <v>0</v>
      </c>
      <c r="BA36">
        <f ca="1"/>
        <v>0</v>
      </c>
      <c r="BB36">
        <f ca="1"/>
        <v>0</v>
      </c>
      <c r="BC36">
        <f ca="1"/>
        <v>0</v>
      </c>
      <c r="BD36">
        <f ca="1"/>
        <v>0</v>
      </c>
      <c r="BE36">
        <f ca="1"/>
        <v>0</v>
      </c>
      <c r="BF36">
        <f ca="1"/>
        <v>0</v>
      </c>
      <c r="BG36">
        <f ca="1"/>
        <v>0</v>
      </c>
      <c r="BH36">
        <f ca="1"/>
        <v>0</v>
      </c>
      <c r="BI36">
        <f ca="1"/>
        <v>0</v>
      </c>
      <c r="BJ36">
        <f ca="1"/>
        <v>0</v>
      </c>
      <c r="BK36">
        <f ca="1"/>
        <v>0</v>
      </c>
      <c r="BL36">
        <f ca="1"/>
        <v>0</v>
      </c>
      <c r="BM36">
        <f ca="1"/>
        <v>0</v>
      </c>
      <c r="BN36">
        <f ca="1"/>
        <v>0</v>
      </c>
      <c r="BO36">
        <f ca="1"/>
        <v>0</v>
      </c>
      <c r="BP36">
        <f ca="1"/>
        <v>0</v>
      </c>
      <c r="BQ36">
        <f ca="1"/>
        <v>0</v>
      </c>
      <c r="BR36">
        <f ca="1"/>
        <v>0</v>
      </c>
      <c r="BS36">
        <f ca="1"/>
        <v>0</v>
      </c>
      <c r="BT36">
        <f ca="1"/>
        <v>0</v>
      </c>
      <c r="BU36">
        <f ca="1"/>
        <v>0</v>
      </c>
      <c r="BV36">
        <f ca="1"/>
        <v>0</v>
      </c>
      <c r="BW36">
        <f ca="1"/>
        <v>0</v>
      </c>
      <c r="BX36">
        <f ca="1"/>
        <v>0</v>
      </c>
      <c r="BY36">
        <f ca="1"/>
        <v>0</v>
      </c>
      <c r="BZ36">
        <f ca="1"/>
        <v>0</v>
      </c>
      <c r="CA36">
        <f ca="1"/>
        <v>0</v>
      </c>
      <c r="CB36">
        <f ca="1"/>
        <v>0</v>
      </c>
      <c r="CC36">
        <f ca="1"/>
        <v>0</v>
      </c>
      <c r="CD36">
        <f ca="1"/>
        <v>0</v>
      </c>
      <c r="CE36">
        <f ca="1"/>
        <v>0</v>
      </c>
      <c r="CF36">
        <f ca="1"/>
        <v>0</v>
      </c>
      <c r="CG36">
        <f ca="1"/>
        <v>0</v>
      </c>
      <c r="CH36">
        <f ca="1"/>
        <v>0</v>
      </c>
      <c r="CI36">
        <f ca="1"/>
        <v>0</v>
      </c>
      <c r="CJ36">
        <f ca="1"/>
        <v>0</v>
      </c>
      <c r="CK36">
        <f ca="1"/>
        <v>0</v>
      </c>
      <c r="CL36">
        <f ca="1"/>
        <v>0</v>
      </c>
      <c r="CM36">
        <f ca="1"/>
        <v>0</v>
      </c>
      <c r="CN36">
        <f ca="1"/>
        <v>0</v>
      </c>
      <c r="CO36">
        <f ca="1"/>
        <v>0</v>
      </c>
      <c r="CP36">
        <f ca="1"/>
        <v>0</v>
      </c>
      <c r="CQ36">
        <f ca="1"/>
        <v>0</v>
      </c>
      <c r="CR36">
        <f ca="1"/>
        <v>0</v>
      </c>
      <c r="CS36">
        <f ca="1"/>
        <v>0</v>
      </c>
      <c r="CT36">
        <f ca="1"/>
        <v>0</v>
      </c>
      <c r="CU36">
        <f ca="1"/>
        <v>0</v>
      </c>
      <c r="CV36">
        <f ca="1"/>
        <v>0</v>
      </c>
      <c r="CW36">
        <f ca="1"/>
        <v>0</v>
      </c>
      <c r="CX36">
        <f ca="1"/>
        <v>0</v>
      </c>
      <c r="CY36">
        <f ca="1"/>
        <v>0</v>
      </c>
      <c r="CZ36">
        <f ca="1"/>
        <v>0</v>
      </c>
      <c r="DA36">
        <f ca="1"/>
        <v>0</v>
      </c>
      <c r="DB36">
        <f ca="1"/>
        <v>0</v>
      </c>
      <c r="DC36">
        <f ca="1"/>
        <v>0</v>
      </c>
      <c r="DD36">
        <f ca="1"/>
        <v>0</v>
      </c>
      <c r="DE36">
        <f ca="1"/>
        <v>0</v>
      </c>
      <c r="DF36">
        <f ca="1"/>
        <v>0</v>
      </c>
      <c r="DG36">
        <f ca="1"/>
        <v>0</v>
      </c>
      <c r="DH36">
        <f ca="1"/>
        <v>0</v>
      </c>
      <c r="DI36">
        <f ca="1"/>
        <v>0</v>
      </c>
      <c r="DJ36">
        <f ca="1"/>
        <v>0</v>
      </c>
      <c r="DK36">
        <f ca="1"/>
        <v>0</v>
      </c>
      <c r="DL36">
        <f ca="1"/>
        <v>0</v>
      </c>
      <c r="DM36">
        <f ca="1"/>
        <v>0</v>
      </c>
      <c r="DN36">
        <f ca="1"/>
        <v>0</v>
      </c>
      <c r="DO36">
        <f ca="1"/>
        <v>0</v>
      </c>
      <c r="DP36">
        <f ca="1"/>
        <v>0</v>
      </c>
      <c r="DQ36">
        <f ca="1"/>
        <v>0</v>
      </c>
      <c r="DR36">
        <f ca="1"/>
        <v>0</v>
      </c>
      <c r="DS36">
        <f ca="1"/>
        <v>0</v>
      </c>
      <c r="DT36">
        <f ca="1"/>
        <v>0</v>
      </c>
      <c r="DU36">
        <f ca="1"/>
        <v>0</v>
      </c>
      <c r="DV36">
        <f ca="1"/>
        <v>0</v>
      </c>
      <c r="DW36">
        <f ca="1"/>
        <v>0</v>
      </c>
      <c r="DX36">
        <f ca="1"/>
        <v>0</v>
      </c>
      <c r="DY36">
        <f ca="1"/>
        <v>0</v>
      </c>
      <c r="DZ36">
        <f ca="1"/>
        <v>0</v>
      </c>
      <c r="EA36">
        <f ca="1"/>
        <v>0</v>
      </c>
      <c r="EB36">
        <f ca="1"/>
        <v>0</v>
      </c>
      <c r="EC36">
        <f ca="1"/>
        <v>0</v>
      </c>
      <c r="ED36">
        <f ca="1"/>
        <v>0</v>
      </c>
      <c r="EE36">
        <f ca="1"/>
        <v>0</v>
      </c>
      <c r="EF36">
        <f ca="1"/>
        <v>0</v>
      </c>
      <c r="EG36">
        <f ca="1"/>
        <v>0</v>
      </c>
      <c r="EH36">
        <f ca="1"/>
        <v>0</v>
      </c>
      <c r="EI36">
        <f ca="1"/>
        <v>0</v>
      </c>
      <c r="EJ36">
        <f ca="1"/>
        <v>0</v>
      </c>
      <c r="EK36">
        <f ca="1"/>
        <v>0</v>
      </c>
      <c r="EL36">
        <f ca="1"/>
        <v>0</v>
      </c>
      <c r="EM36">
        <f ca="1"/>
        <v>0</v>
      </c>
      <c r="EN36">
        <f ca="1"/>
        <v>0</v>
      </c>
      <c r="EO36">
        <f ca="1"/>
        <v>0</v>
      </c>
      <c r="EP36">
        <f ca="1"/>
        <v>0</v>
      </c>
      <c r="EQ36">
        <f ca="1"/>
        <v>0</v>
      </c>
      <c r="ER36">
        <f ca="1"/>
        <v>0</v>
      </c>
      <c r="ES36">
        <f ca="1"/>
        <v>0</v>
      </c>
      <c r="ET36">
        <f ca="1"/>
        <v>0</v>
      </c>
      <c r="EU36">
        <f ca="1"/>
        <v>0</v>
      </c>
      <c r="EV36">
        <f ca="1"/>
        <v>0</v>
      </c>
      <c r="EW36">
        <f ca="1"/>
        <v>0</v>
      </c>
      <c r="EX36">
        <f ca="1"/>
        <v>0</v>
      </c>
      <c r="EY36">
        <f ca="1"/>
        <v>0</v>
      </c>
      <c r="EZ36">
        <f ca="1"/>
        <v>0</v>
      </c>
      <c r="FA36">
        <f ca="1"/>
        <v>0</v>
      </c>
      <c r="FB36">
        <f ca="1"/>
        <v>0</v>
      </c>
      <c r="FC36">
        <f ca="1"/>
        <v>0</v>
      </c>
      <c r="FD36">
        <f ca="1"/>
        <v>0</v>
      </c>
      <c r="FE36">
        <f ca="1"/>
        <v>0</v>
      </c>
      <c r="FF36">
        <f ca="1"/>
        <v>0</v>
      </c>
      <c r="FG36">
        <f ca="1"/>
        <v>0</v>
      </c>
      <c r="FH36">
        <f ca="1"/>
        <v>0</v>
      </c>
      <c r="FI36">
        <f ca="1"/>
        <v>0</v>
      </c>
      <c r="FJ36">
        <f ca="1"/>
        <v>0</v>
      </c>
      <c r="FK36">
        <f ca="1"/>
        <v>0</v>
      </c>
      <c r="FL36">
        <f ca="1"/>
        <v>0</v>
      </c>
      <c r="FM36">
        <f ca="1"/>
        <v>0</v>
      </c>
      <c r="FN36">
        <f ca="1"/>
        <v>0</v>
      </c>
      <c r="FO36">
        <f ca="1"/>
        <v>0</v>
      </c>
      <c r="FP36">
        <f ca="1"/>
        <v>0</v>
      </c>
      <c r="FQ36">
        <f ca="1"/>
        <v>0</v>
      </c>
      <c r="FR36">
        <f ca="1"/>
        <v>0</v>
      </c>
      <c r="FS36">
        <f ca="1"/>
        <v>0</v>
      </c>
      <c r="FT36">
        <f ca="1"/>
        <v>0</v>
      </c>
      <c r="FU36">
        <f ca="1"/>
        <v>0</v>
      </c>
      <c r="FV36">
        <f ca="1"/>
        <v>0</v>
      </c>
      <c r="FW36">
        <f ca="1"/>
        <v>0</v>
      </c>
      <c r="FX36">
        <f ca="1"/>
        <v>0</v>
      </c>
      <c r="FY36">
        <f ca="1"/>
        <v>0</v>
      </c>
      <c r="FZ36">
        <f ca="1"/>
        <v>0</v>
      </c>
    </row>
    <row r="37" spans="3:182">
      <c r="C37" cm="1">
        <f t="array" aca="1" ref="C37:FZ37" ca="1">IFERROR(TRANSPOSE(INDEX(_xlfn._xlws.FILTER(INDIRECT("SubcategoriesTable[Subcategory name]"),INDIRECT("SubcategoriesTable[Category name]")=$B37),,)),"No subcategories")</f>
        <v>0</v>
      </c>
      <c r="D37">
        <f ca="1"/>
        <v>0</v>
      </c>
      <c r="E37">
        <f ca="1"/>
        <v>0</v>
      </c>
      <c r="F37">
        <f ca="1"/>
        <v>0</v>
      </c>
      <c r="G37">
        <f ca="1"/>
        <v>0</v>
      </c>
      <c r="H37">
        <f ca="1"/>
        <v>0</v>
      </c>
      <c r="I37">
        <f ca="1"/>
        <v>0</v>
      </c>
      <c r="J37">
        <f ca="1"/>
        <v>0</v>
      </c>
      <c r="K37">
        <f ca="1"/>
        <v>0</v>
      </c>
      <c r="L37">
        <f ca="1"/>
        <v>0</v>
      </c>
      <c r="M37">
        <f ca="1"/>
        <v>0</v>
      </c>
      <c r="N37">
        <f ca="1"/>
        <v>0</v>
      </c>
      <c r="O37">
        <f ca="1"/>
        <v>0</v>
      </c>
      <c r="P37">
        <f ca="1"/>
        <v>0</v>
      </c>
      <c r="Q37">
        <f ca="1"/>
        <v>0</v>
      </c>
      <c r="R37">
        <f ca="1"/>
        <v>0</v>
      </c>
      <c r="S37">
        <f ca="1"/>
        <v>0</v>
      </c>
      <c r="T37">
        <f ca="1"/>
        <v>0</v>
      </c>
      <c r="U37">
        <f ca="1"/>
        <v>0</v>
      </c>
      <c r="V37">
        <f ca="1"/>
        <v>0</v>
      </c>
      <c r="W37">
        <f ca="1"/>
        <v>0</v>
      </c>
      <c r="X37">
        <f ca="1"/>
        <v>0</v>
      </c>
      <c r="Y37">
        <f ca="1"/>
        <v>0</v>
      </c>
      <c r="Z37">
        <f ca="1"/>
        <v>0</v>
      </c>
      <c r="AA37">
        <f ca="1"/>
        <v>0</v>
      </c>
      <c r="AB37">
        <f ca="1"/>
        <v>0</v>
      </c>
      <c r="AC37">
        <f ca="1"/>
        <v>0</v>
      </c>
      <c r="AD37">
        <f ca="1"/>
        <v>0</v>
      </c>
      <c r="AE37">
        <f ca="1"/>
        <v>0</v>
      </c>
      <c r="AF37">
        <f ca="1"/>
        <v>0</v>
      </c>
      <c r="AG37">
        <f ca="1"/>
        <v>0</v>
      </c>
      <c r="AH37">
        <f ca="1"/>
        <v>0</v>
      </c>
      <c r="AI37">
        <f ca="1"/>
        <v>0</v>
      </c>
      <c r="AJ37">
        <f ca="1"/>
        <v>0</v>
      </c>
      <c r="AK37">
        <f ca="1"/>
        <v>0</v>
      </c>
      <c r="AL37">
        <f ca="1"/>
        <v>0</v>
      </c>
      <c r="AM37">
        <f ca="1"/>
        <v>0</v>
      </c>
      <c r="AN37">
        <f ca="1"/>
        <v>0</v>
      </c>
      <c r="AO37">
        <f ca="1"/>
        <v>0</v>
      </c>
      <c r="AP37">
        <f ca="1"/>
        <v>0</v>
      </c>
      <c r="AQ37">
        <f ca="1"/>
        <v>0</v>
      </c>
      <c r="AR37">
        <f ca="1"/>
        <v>0</v>
      </c>
      <c r="AS37">
        <f ca="1"/>
        <v>0</v>
      </c>
      <c r="AT37">
        <f ca="1"/>
        <v>0</v>
      </c>
      <c r="AU37">
        <f ca="1"/>
        <v>0</v>
      </c>
      <c r="AV37">
        <f ca="1"/>
        <v>0</v>
      </c>
      <c r="AW37">
        <f ca="1"/>
        <v>0</v>
      </c>
      <c r="AX37">
        <f ca="1"/>
        <v>0</v>
      </c>
      <c r="AY37">
        <f ca="1"/>
        <v>0</v>
      </c>
      <c r="AZ37">
        <f ca="1"/>
        <v>0</v>
      </c>
      <c r="BA37">
        <f ca="1"/>
        <v>0</v>
      </c>
      <c r="BB37">
        <f ca="1"/>
        <v>0</v>
      </c>
      <c r="BC37">
        <f ca="1"/>
        <v>0</v>
      </c>
      <c r="BD37">
        <f ca="1"/>
        <v>0</v>
      </c>
      <c r="BE37">
        <f ca="1"/>
        <v>0</v>
      </c>
      <c r="BF37">
        <f ca="1"/>
        <v>0</v>
      </c>
      <c r="BG37">
        <f ca="1"/>
        <v>0</v>
      </c>
      <c r="BH37">
        <f ca="1"/>
        <v>0</v>
      </c>
      <c r="BI37">
        <f ca="1"/>
        <v>0</v>
      </c>
      <c r="BJ37">
        <f ca="1"/>
        <v>0</v>
      </c>
      <c r="BK37">
        <f ca="1"/>
        <v>0</v>
      </c>
      <c r="BL37">
        <f ca="1"/>
        <v>0</v>
      </c>
      <c r="BM37">
        <f ca="1"/>
        <v>0</v>
      </c>
      <c r="BN37">
        <f ca="1"/>
        <v>0</v>
      </c>
      <c r="BO37">
        <f ca="1"/>
        <v>0</v>
      </c>
      <c r="BP37">
        <f ca="1"/>
        <v>0</v>
      </c>
      <c r="BQ37">
        <f ca="1"/>
        <v>0</v>
      </c>
      <c r="BR37">
        <f ca="1"/>
        <v>0</v>
      </c>
      <c r="BS37">
        <f ca="1"/>
        <v>0</v>
      </c>
      <c r="BT37">
        <f ca="1"/>
        <v>0</v>
      </c>
      <c r="BU37">
        <f ca="1"/>
        <v>0</v>
      </c>
      <c r="BV37">
        <f ca="1"/>
        <v>0</v>
      </c>
      <c r="BW37">
        <f ca="1"/>
        <v>0</v>
      </c>
      <c r="BX37">
        <f ca="1"/>
        <v>0</v>
      </c>
      <c r="BY37">
        <f ca="1"/>
        <v>0</v>
      </c>
      <c r="BZ37">
        <f ca="1"/>
        <v>0</v>
      </c>
      <c r="CA37">
        <f ca="1"/>
        <v>0</v>
      </c>
      <c r="CB37">
        <f ca="1"/>
        <v>0</v>
      </c>
      <c r="CC37">
        <f ca="1"/>
        <v>0</v>
      </c>
      <c r="CD37">
        <f ca="1"/>
        <v>0</v>
      </c>
      <c r="CE37">
        <f ca="1"/>
        <v>0</v>
      </c>
      <c r="CF37">
        <f ca="1"/>
        <v>0</v>
      </c>
      <c r="CG37">
        <f ca="1"/>
        <v>0</v>
      </c>
      <c r="CH37">
        <f ca="1"/>
        <v>0</v>
      </c>
      <c r="CI37">
        <f ca="1"/>
        <v>0</v>
      </c>
      <c r="CJ37">
        <f ca="1"/>
        <v>0</v>
      </c>
      <c r="CK37">
        <f ca="1"/>
        <v>0</v>
      </c>
      <c r="CL37">
        <f ca="1"/>
        <v>0</v>
      </c>
      <c r="CM37">
        <f ca="1"/>
        <v>0</v>
      </c>
      <c r="CN37">
        <f ca="1"/>
        <v>0</v>
      </c>
      <c r="CO37">
        <f ca="1"/>
        <v>0</v>
      </c>
      <c r="CP37">
        <f ca="1"/>
        <v>0</v>
      </c>
      <c r="CQ37">
        <f ca="1"/>
        <v>0</v>
      </c>
      <c r="CR37">
        <f ca="1"/>
        <v>0</v>
      </c>
      <c r="CS37">
        <f ca="1"/>
        <v>0</v>
      </c>
      <c r="CT37">
        <f ca="1"/>
        <v>0</v>
      </c>
      <c r="CU37">
        <f ca="1"/>
        <v>0</v>
      </c>
      <c r="CV37">
        <f ca="1"/>
        <v>0</v>
      </c>
      <c r="CW37">
        <f ca="1"/>
        <v>0</v>
      </c>
      <c r="CX37">
        <f ca="1"/>
        <v>0</v>
      </c>
      <c r="CY37">
        <f ca="1"/>
        <v>0</v>
      </c>
      <c r="CZ37">
        <f ca="1"/>
        <v>0</v>
      </c>
      <c r="DA37">
        <f ca="1"/>
        <v>0</v>
      </c>
      <c r="DB37">
        <f ca="1"/>
        <v>0</v>
      </c>
      <c r="DC37">
        <f ca="1"/>
        <v>0</v>
      </c>
      <c r="DD37">
        <f ca="1"/>
        <v>0</v>
      </c>
      <c r="DE37">
        <f ca="1"/>
        <v>0</v>
      </c>
      <c r="DF37">
        <f ca="1"/>
        <v>0</v>
      </c>
      <c r="DG37">
        <f ca="1"/>
        <v>0</v>
      </c>
      <c r="DH37">
        <f ca="1"/>
        <v>0</v>
      </c>
      <c r="DI37">
        <f ca="1"/>
        <v>0</v>
      </c>
      <c r="DJ37">
        <f ca="1"/>
        <v>0</v>
      </c>
      <c r="DK37">
        <f ca="1"/>
        <v>0</v>
      </c>
      <c r="DL37">
        <f ca="1"/>
        <v>0</v>
      </c>
      <c r="DM37">
        <f ca="1"/>
        <v>0</v>
      </c>
      <c r="DN37">
        <f ca="1"/>
        <v>0</v>
      </c>
      <c r="DO37">
        <f ca="1"/>
        <v>0</v>
      </c>
      <c r="DP37">
        <f ca="1"/>
        <v>0</v>
      </c>
      <c r="DQ37">
        <f ca="1"/>
        <v>0</v>
      </c>
      <c r="DR37">
        <f ca="1"/>
        <v>0</v>
      </c>
      <c r="DS37">
        <f ca="1"/>
        <v>0</v>
      </c>
      <c r="DT37">
        <f ca="1"/>
        <v>0</v>
      </c>
      <c r="DU37">
        <f ca="1"/>
        <v>0</v>
      </c>
      <c r="DV37">
        <f ca="1"/>
        <v>0</v>
      </c>
      <c r="DW37">
        <f ca="1"/>
        <v>0</v>
      </c>
      <c r="DX37">
        <f ca="1"/>
        <v>0</v>
      </c>
      <c r="DY37">
        <f ca="1"/>
        <v>0</v>
      </c>
      <c r="DZ37">
        <f ca="1"/>
        <v>0</v>
      </c>
      <c r="EA37">
        <f ca="1"/>
        <v>0</v>
      </c>
      <c r="EB37">
        <f ca="1"/>
        <v>0</v>
      </c>
      <c r="EC37">
        <f ca="1"/>
        <v>0</v>
      </c>
      <c r="ED37">
        <f ca="1"/>
        <v>0</v>
      </c>
      <c r="EE37">
        <f ca="1"/>
        <v>0</v>
      </c>
      <c r="EF37">
        <f ca="1"/>
        <v>0</v>
      </c>
      <c r="EG37">
        <f ca="1"/>
        <v>0</v>
      </c>
      <c r="EH37">
        <f ca="1"/>
        <v>0</v>
      </c>
      <c r="EI37">
        <f ca="1"/>
        <v>0</v>
      </c>
      <c r="EJ37">
        <f ca="1"/>
        <v>0</v>
      </c>
      <c r="EK37">
        <f ca="1"/>
        <v>0</v>
      </c>
      <c r="EL37">
        <f ca="1"/>
        <v>0</v>
      </c>
      <c r="EM37">
        <f ca="1"/>
        <v>0</v>
      </c>
      <c r="EN37">
        <f ca="1"/>
        <v>0</v>
      </c>
      <c r="EO37">
        <f ca="1"/>
        <v>0</v>
      </c>
      <c r="EP37">
        <f ca="1"/>
        <v>0</v>
      </c>
      <c r="EQ37">
        <f ca="1"/>
        <v>0</v>
      </c>
      <c r="ER37">
        <f ca="1"/>
        <v>0</v>
      </c>
      <c r="ES37">
        <f ca="1"/>
        <v>0</v>
      </c>
      <c r="ET37">
        <f ca="1"/>
        <v>0</v>
      </c>
      <c r="EU37">
        <f ca="1"/>
        <v>0</v>
      </c>
      <c r="EV37">
        <f ca="1"/>
        <v>0</v>
      </c>
      <c r="EW37">
        <f ca="1"/>
        <v>0</v>
      </c>
      <c r="EX37">
        <f ca="1"/>
        <v>0</v>
      </c>
      <c r="EY37">
        <f ca="1"/>
        <v>0</v>
      </c>
      <c r="EZ37">
        <f ca="1"/>
        <v>0</v>
      </c>
      <c r="FA37">
        <f ca="1"/>
        <v>0</v>
      </c>
      <c r="FB37">
        <f ca="1"/>
        <v>0</v>
      </c>
      <c r="FC37">
        <f ca="1"/>
        <v>0</v>
      </c>
      <c r="FD37">
        <f ca="1"/>
        <v>0</v>
      </c>
      <c r="FE37">
        <f ca="1"/>
        <v>0</v>
      </c>
      <c r="FF37">
        <f ca="1"/>
        <v>0</v>
      </c>
      <c r="FG37">
        <f ca="1"/>
        <v>0</v>
      </c>
      <c r="FH37">
        <f ca="1"/>
        <v>0</v>
      </c>
      <c r="FI37">
        <f ca="1"/>
        <v>0</v>
      </c>
      <c r="FJ37">
        <f ca="1"/>
        <v>0</v>
      </c>
      <c r="FK37">
        <f ca="1"/>
        <v>0</v>
      </c>
      <c r="FL37">
        <f ca="1"/>
        <v>0</v>
      </c>
      <c r="FM37">
        <f ca="1"/>
        <v>0</v>
      </c>
      <c r="FN37">
        <f ca="1"/>
        <v>0</v>
      </c>
      <c r="FO37">
        <f ca="1"/>
        <v>0</v>
      </c>
      <c r="FP37">
        <f ca="1"/>
        <v>0</v>
      </c>
      <c r="FQ37">
        <f ca="1"/>
        <v>0</v>
      </c>
      <c r="FR37">
        <f ca="1"/>
        <v>0</v>
      </c>
      <c r="FS37">
        <f ca="1"/>
        <v>0</v>
      </c>
      <c r="FT37">
        <f ca="1"/>
        <v>0</v>
      </c>
      <c r="FU37">
        <f ca="1"/>
        <v>0</v>
      </c>
      <c r="FV37">
        <f ca="1"/>
        <v>0</v>
      </c>
      <c r="FW37">
        <f ca="1"/>
        <v>0</v>
      </c>
      <c r="FX37">
        <f ca="1"/>
        <v>0</v>
      </c>
      <c r="FY37">
        <f ca="1"/>
        <v>0</v>
      </c>
      <c r="FZ37">
        <f ca="1"/>
        <v>0</v>
      </c>
    </row>
    <row r="38" spans="3:182">
      <c r="C38" cm="1">
        <f t="array" aca="1" ref="C38:FZ38" ca="1">IFERROR(TRANSPOSE(INDEX(_xlfn._xlws.FILTER(INDIRECT("SubcategoriesTable[Subcategory name]"),INDIRECT("SubcategoriesTable[Category name]")=$B38),,)),"No subcategories")</f>
        <v>0</v>
      </c>
      <c r="D38">
        <f ca="1"/>
        <v>0</v>
      </c>
      <c r="E38">
        <f ca="1"/>
        <v>0</v>
      </c>
      <c r="F38">
        <f ca="1"/>
        <v>0</v>
      </c>
      <c r="G38">
        <f ca="1"/>
        <v>0</v>
      </c>
      <c r="H38">
        <f ca="1"/>
        <v>0</v>
      </c>
      <c r="I38">
        <f ca="1"/>
        <v>0</v>
      </c>
      <c r="J38">
        <f ca="1"/>
        <v>0</v>
      </c>
      <c r="K38">
        <f ca="1"/>
        <v>0</v>
      </c>
      <c r="L38">
        <f ca="1"/>
        <v>0</v>
      </c>
      <c r="M38">
        <f ca="1"/>
        <v>0</v>
      </c>
      <c r="N38">
        <f ca="1"/>
        <v>0</v>
      </c>
      <c r="O38">
        <f ca="1"/>
        <v>0</v>
      </c>
      <c r="P38">
        <f ca="1"/>
        <v>0</v>
      </c>
      <c r="Q38">
        <f ca="1"/>
        <v>0</v>
      </c>
      <c r="R38">
        <f ca="1"/>
        <v>0</v>
      </c>
      <c r="S38">
        <f ca="1"/>
        <v>0</v>
      </c>
      <c r="T38">
        <f ca="1"/>
        <v>0</v>
      </c>
      <c r="U38">
        <f ca="1"/>
        <v>0</v>
      </c>
      <c r="V38">
        <f ca="1"/>
        <v>0</v>
      </c>
      <c r="W38">
        <f ca="1"/>
        <v>0</v>
      </c>
      <c r="X38">
        <f ca="1"/>
        <v>0</v>
      </c>
      <c r="Y38">
        <f ca="1"/>
        <v>0</v>
      </c>
      <c r="Z38">
        <f ca="1"/>
        <v>0</v>
      </c>
      <c r="AA38">
        <f ca="1"/>
        <v>0</v>
      </c>
      <c r="AB38">
        <f ca="1"/>
        <v>0</v>
      </c>
      <c r="AC38">
        <f ca="1"/>
        <v>0</v>
      </c>
      <c r="AD38">
        <f ca="1"/>
        <v>0</v>
      </c>
      <c r="AE38">
        <f ca="1"/>
        <v>0</v>
      </c>
      <c r="AF38">
        <f ca="1"/>
        <v>0</v>
      </c>
      <c r="AG38">
        <f ca="1"/>
        <v>0</v>
      </c>
      <c r="AH38">
        <f ca="1"/>
        <v>0</v>
      </c>
      <c r="AI38">
        <f ca="1"/>
        <v>0</v>
      </c>
      <c r="AJ38">
        <f ca="1"/>
        <v>0</v>
      </c>
      <c r="AK38">
        <f ca="1"/>
        <v>0</v>
      </c>
      <c r="AL38">
        <f ca="1"/>
        <v>0</v>
      </c>
      <c r="AM38">
        <f ca="1"/>
        <v>0</v>
      </c>
      <c r="AN38">
        <f ca="1"/>
        <v>0</v>
      </c>
      <c r="AO38">
        <f ca="1"/>
        <v>0</v>
      </c>
      <c r="AP38">
        <f ca="1"/>
        <v>0</v>
      </c>
      <c r="AQ38">
        <f ca="1"/>
        <v>0</v>
      </c>
      <c r="AR38">
        <f ca="1"/>
        <v>0</v>
      </c>
      <c r="AS38">
        <f ca="1"/>
        <v>0</v>
      </c>
      <c r="AT38">
        <f ca="1"/>
        <v>0</v>
      </c>
      <c r="AU38">
        <f ca="1"/>
        <v>0</v>
      </c>
      <c r="AV38">
        <f ca="1"/>
        <v>0</v>
      </c>
      <c r="AW38">
        <f ca="1"/>
        <v>0</v>
      </c>
      <c r="AX38">
        <f ca="1"/>
        <v>0</v>
      </c>
      <c r="AY38">
        <f ca="1"/>
        <v>0</v>
      </c>
      <c r="AZ38">
        <f ca="1"/>
        <v>0</v>
      </c>
      <c r="BA38">
        <f ca="1"/>
        <v>0</v>
      </c>
      <c r="BB38">
        <f ca="1"/>
        <v>0</v>
      </c>
      <c r="BC38">
        <f ca="1"/>
        <v>0</v>
      </c>
      <c r="BD38">
        <f ca="1"/>
        <v>0</v>
      </c>
      <c r="BE38">
        <f ca="1"/>
        <v>0</v>
      </c>
      <c r="BF38">
        <f ca="1"/>
        <v>0</v>
      </c>
      <c r="BG38">
        <f ca="1"/>
        <v>0</v>
      </c>
      <c r="BH38">
        <f ca="1"/>
        <v>0</v>
      </c>
      <c r="BI38">
        <f ca="1"/>
        <v>0</v>
      </c>
      <c r="BJ38">
        <f ca="1"/>
        <v>0</v>
      </c>
      <c r="BK38">
        <f ca="1"/>
        <v>0</v>
      </c>
      <c r="BL38">
        <f ca="1"/>
        <v>0</v>
      </c>
      <c r="BM38">
        <f ca="1"/>
        <v>0</v>
      </c>
      <c r="BN38">
        <f ca="1"/>
        <v>0</v>
      </c>
      <c r="BO38">
        <f ca="1"/>
        <v>0</v>
      </c>
      <c r="BP38">
        <f ca="1"/>
        <v>0</v>
      </c>
      <c r="BQ38">
        <f ca="1"/>
        <v>0</v>
      </c>
      <c r="BR38">
        <f ca="1"/>
        <v>0</v>
      </c>
      <c r="BS38">
        <f ca="1"/>
        <v>0</v>
      </c>
      <c r="BT38">
        <f ca="1"/>
        <v>0</v>
      </c>
      <c r="BU38">
        <f ca="1"/>
        <v>0</v>
      </c>
      <c r="BV38">
        <f ca="1"/>
        <v>0</v>
      </c>
      <c r="BW38">
        <f ca="1"/>
        <v>0</v>
      </c>
      <c r="BX38">
        <f ca="1"/>
        <v>0</v>
      </c>
      <c r="BY38">
        <f ca="1"/>
        <v>0</v>
      </c>
      <c r="BZ38">
        <f ca="1"/>
        <v>0</v>
      </c>
      <c r="CA38">
        <f ca="1"/>
        <v>0</v>
      </c>
      <c r="CB38">
        <f ca="1"/>
        <v>0</v>
      </c>
      <c r="CC38">
        <f ca="1"/>
        <v>0</v>
      </c>
      <c r="CD38">
        <f ca="1"/>
        <v>0</v>
      </c>
      <c r="CE38">
        <f ca="1"/>
        <v>0</v>
      </c>
      <c r="CF38">
        <f ca="1"/>
        <v>0</v>
      </c>
      <c r="CG38">
        <f ca="1"/>
        <v>0</v>
      </c>
      <c r="CH38">
        <f ca="1"/>
        <v>0</v>
      </c>
      <c r="CI38">
        <f ca="1"/>
        <v>0</v>
      </c>
      <c r="CJ38">
        <f ca="1"/>
        <v>0</v>
      </c>
      <c r="CK38">
        <f ca="1"/>
        <v>0</v>
      </c>
      <c r="CL38">
        <f ca="1"/>
        <v>0</v>
      </c>
      <c r="CM38">
        <f ca="1"/>
        <v>0</v>
      </c>
      <c r="CN38">
        <f ca="1"/>
        <v>0</v>
      </c>
      <c r="CO38">
        <f ca="1"/>
        <v>0</v>
      </c>
      <c r="CP38">
        <f ca="1"/>
        <v>0</v>
      </c>
      <c r="CQ38">
        <f ca="1"/>
        <v>0</v>
      </c>
      <c r="CR38">
        <f ca="1"/>
        <v>0</v>
      </c>
      <c r="CS38">
        <f ca="1"/>
        <v>0</v>
      </c>
      <c r="CT38">
        <f ca="1"/>
        <v>0</v>
      </c>
      <c r="CU38">
        <f ca="1"/>
        <v>0</v>
      </c>
      <c r="CV38">
        <f ca="1"/>
        <v>0</v>
      </c>
      <c r="CW38">
        <f ca="1"/>
        <v>0</v>
      </c>
      <c r="CX38">
        <f ca="1"/>
        <v>0</v>
      </c>
      <c r="CY38">
        <f ca="1"/>
        <v>0</v>
      </c>
      <c r="CZ38">
        <f ca="1"/>
        <v>0</v>
      </c>
      <c r="DA38">
        <f ca="1"/>
        <v>0</v>
      </c>
      <c r="DB38">
        <f ca="1"/>
        <v>0</v>
      </c>
      <c r="DC38">
        <f ca="1"/>
        <v>0</v>
      </c>
      <c r="DD38">
        <f ca="1"/>
        <v>0</v>
      </c>
      <c r="DE38">
        <f ca="1"/>
        <v>0</v>
      </c>
      <c r="DF38">
        <f ca="1"/>
        <v>0</v>
      </c>
      <c r="DG38">
        <f ca="1"/>
        <v>0</v>
      </c>
      <c r="DH38">
        <f ca="1"/>
        <v>0</v>
      </c>
      <c r="DI38">
        <f ca="1"/>
        <v>0</v>
      </c>
      <c r="DJ38">
        <f ca="1"/>
        <v>0</v>
      </c>
      <c r="DK38">
        <f ca="1"/>
        <v>0</v>
      </c>
      <c r="DL38">
        <f ca="1"/>
        <v>0</v>
      </c>
      <c r="DM38">
        <f ca="1"/>
        <v>0</v>
      </c>
      <c r="DN38">
        <f ca="1"/>
        <v>0</v>
      </c>
      <c r="DO38">
        <f ca="1"/>
        <v>0</v>
      </c>
      <c r="DP38">
        <f ca="1"/>
        <v>0</v>
      </c>
      <c r="DQ38">
        <f ca="1"/>
        <v>0</v>
      </c>
      <c r="DR38">
        <f ca="1"/>
        <v>0</v>
      </c>
      <c r="DS38">
        <f ca="1"/>
        <v>0</v>
      </c>
      <c r="DT38">
        <f ca="1"/>
        <v>0</v>
      </c>
      <c r="DU38">
        <f ca="1"/>
        <v>0</v>
      </c>
      <c r="DV38">
        <f ca="1"/>
        <v>0</v>
      </c>
      <c r="DW38">
        <f ca="1"/>
        <v>0</v>
      </c>
      <c r="DX38">
        <f ca="1"/>
        <v>0</v>
      </c>
      <c r="DY38">
        <f ca="1"/>
        <v>0</v>
      </c>
      <c r="DZ38">
        <f ca="1"/>
        <v>0</v>
      </c>
      <c r="EA38">
        <f ca="1"/>
        <v>0</v>
      </c>
      <c r="EB38">
        <f ca="1"/>
        <v>0</v>
      </c>
      <c r="EC38">
        <f ca="1"/>
        <v>0</v>
      </c>
      <c r="ED38">
        <f ca="1"/>
        <v>0</v>
      </c>
      <c r="EE38">
        <f ca="1"/>
        <v>0</v>
      </c>
      <c r="EF38">
        <f ca="1"/>
        <v>0</v>
      </c>
      <c r="EG38">
        <f ca="1"/>
        <v>0</v>
      </c>
      <c r="EH38">
        <f ca="1"/>
        <v>0</v>
      </c>
      <c r="EI38">
        <f ca="1"/>
        <v>0</v>
      </c>
      <c r="EJ38">
        <f ca="1"/>
        <v>0</v>
      </c>
      <c r="EK38">
        <f ca="1"/>
        <v>0</v>
      </c>
      <c r="EL38">
        <f ca="1"/>
        <v>0</v>
      </c>
      <c r="EM38">
        <f ca="1"/>
        <v>0</v>
      </c>
      <c r="EN38">
        <f ca="1"/>
        <v>0</v>
      </c>
      <c r="EO38">
        <f ca="1"/>
        <v>0</v>
      </c>
      <c r="EP38">
        <f ca="1"/>
        <v>0</v>
      </c>
      <c r="EQ38">
        <f ca="1"/>
        <v>0</v>
      </c>
      <c r="ER38">
        <f ca="1"/>
        <v>0</v>
      </c>
      <c r="ES38">
        <f ca="1"/>
        <v>0</v>
      </c>
      <c r="ET38">
        <f ca="1"/>
        <v>0</v>
      </c>
      <c r="EU38">
        <f ca="1"/>
        <v>0</v>
      </c>
      <c r="EV38">
        <f ca="1"/>
        <v>0</v>
      </c>
      <c r="EW38">
        <f ca="1"/>
        <v>0</v>
      </c>
      <c r="EX38">
        <f ca="1"/>
        <v>0</v>
      </c>
      <c r="EY38">
        <f ca="1"/>
        <v>0</v>
      </c>
      <c r="EZ38">
        <f ca="1"/>
        <v>0</v>
      </c>
      <c r="FA38">
        <f ca="1"/>
        <v>0</v>
      </c>
      <c r="FB38">
        <f ca="1"/>
        <v>0</v>
      </c>
      <c r="FC38">
        <f ca="1"/>
        <v>0</v>
      </c>
      <c r="FD38">
        <f ca="1"/>
        <v>0</v>
      </c>
      <c r="FE38">
        <f ca="1"/>
        <v>0</v>
      </c>
      <c r="FF38">
        <f ca="1"/>
        <v>0</v>
      </c>
      <c r="FG38">
        <f ca="1"/>
        <v>0</v>
      </c>
      <c r="FH38">
        <f ca="1"/>
        <v>0</v>
      </c>
      <c r="FI38">
        <f ca="1"/>
        <v>0</v>
      </c>
      <c r="FJ38">
        <f ca="1"/>
        <v>0</v>
      </c>
      <c r="FK38">
        <f ca="1"/>
        <v>0</v>
      </c>
      <c r="FL38">
        <f ca="1"/>
        <v>0</v>
      </c>
      <c r="FM38">
        <f ca="1"/>
        <v>0</v>
      </c>
      <c r="FN38">
        <f ca="1"/>
        <v>0</v>
      </c>
      <c r="FO38">
        <f ca="1"/>
        <v>0</v>
      </c>
      <c r="FP38">
        <f ca="1"/>
        <v>0</v>
      </c>
      <c r="FQ38">
        <f ca="1"/>
        <v>0</v>
      </c>
      <c r="FR38">
        <f ca="1"/>
        <v>0</v>
      </c>
      <c r="FS38">
        <f ca="1"/>
        <v>0</v>
      </c>
      <c r="FT38">
        <f ca="1"/>
        <v>0</v>
      </c>
      <c r="FU38">
        <f ca="1"/>
        <v>0</v>
      </c>
      <c r="FV38">
        <f ca="1"/>
        <v>0</v>
      </c>
      <c r="FW38">
        <f ca="1"/>
        <v>0</v>
      </c>
      <c r="FX38">
        <f ca="1"/>
        <v>0</v>
      </c>
      <c r="FY38">
        <f ca="1"/>
        <v>0</v>
      </c>
      <c r="FZ38">
        <f ca="1"/>
        <v>0</v>
      </c>
    </row>
    <row r="39" spans="3:182">
      <c r="C39" cm="1">
        <f t="array" aca="1" ref="C39:FZ39" ca="1">IFERROR(TRANSPOSE(INDEX(_xlfn._xlws.FILTER(INDIRECT("SubcategoriesTable[Subcategory name]"),INDIRECT("SubcategoriesTable[Category name]")=$B39),,)),"No subcategories")</f>
        <v>0</v>
      </c>
      <c r="D39">
        <f ca="1"/>
        <v>0</v>
      </c>
      <c r="E39">
        <f ca="1"/>
        <v>0</v>
      </c>
      <c r="F39">
        <f ca="1"/>
        <v>0</v>
      </c>
      <c r="G39">
        <f ca="1"/>
        <v>0</v>
      </c>
      <c r="H39">
        <f ca="1"/>
        <v>0</v>
      </c>
      <c r="I39">
        <f ca="1"/>
        <v>0</v>
      </c>
      <c r="J39">
        <f ca="1"/>
        <v>0</v>
      </c>
      <c r="K39">
        <f ca="1"/>
        <v>0</v>
      </c>
      <c r="L39">
        <f ca="1"/>
        <v>0</v>
      </c>
      <c r="M39">
        <f ca="1"/>
        <v>0</v>
      </c>
      <c r="N39">
        <f ca="1"/>
        <v>0</v>
      </c>
      <c r="O39">
        <f ca="1"/>
        <v>0</v>
      </c>
      <c r="P39">
        <f ca="1"/>
        <v>0</v>
      </c>
      <c r="Q39">
        <f ca="1"/>
        <v>0</v>
      </c>
      <c r="R39">
        <f ca="1"/>
        <v>0</v>
      </c>
      <c r="S39">
        <f ca="1"/>
        <v>0</v>
      </c>
      <c r="T39">
        <f ca="1"/>
        <v>0</v>
      </c>
      <c r="U39">
        <f ca="1"/>
        <v>0</v>
      </c>
      <c r="V39">
        <f ca="1"/>
        <v>0</v>
      </c>
      <c r="W39">
        <f ca="1"/>
        <v>0</v>
      </c>
      <c r="X39">
        <f ca="1"/>
        <v>0</v>
      </c>
      <c r="Y39">
        <f ca="1"/>
        <v>0</v>
      </c>
      <c r="Z39">
        <f ca="1"/>
        <v>0</v>
      </c>
      <c r="AA39">
        <f ca="1"/>
        <v>0</v>
      </c>
      <c r="AB39">
        <f ca="1"/>
        <v>0</v>
      </c>
      <c r="AC39">
        <f ca="1"/>
        <v>0</v>
      </c>
      <c r="AD39">
        <f ca="1"/>
        <v>0</v>
      </c>
      <c r="AE39">
        <f ca="1"/>
        <v>0</v>
      </c>
      <c r="AF39">
        <f ca="1"/>
        <v>0</v>
      </c>
      <c r="AG39">
        <f ca="1"/>
        <v>0</v>
      </c>
      <c r="AH39">
        <f ca="1"/>
        <v>0</v>
      </c>
      <c r="AI39">
        <f ca="1"/>
        <v>0</v>
      </c>
      <c r="AJ39">
        <f ca="1"/>
        <v>0</v>
      </c>
      <c r="AK39">
        <f ca="1"/>
        <v>0</v>
      </c>
      <c r="AL39">
        <f ca="1"/>
        <v>0</v>
      </c>
      <c r="AM39">
        <f ca="1"/>
        <v>0</v>
      </c>
      <c r="AN39">
        <f ca="1"/>
        <v>0</v>
      </c>
      <c r="AO39">
        <f ca="1"/>
        <v>0</v>
      </c>
      <c r="AP39">
        <f ca="1"/>
        <v>0</v>
      </c>
      <c r="AQ39">
        <f ca="1"/>
        <v>0</v>
      </c>
      <c r="AR39">
        <f ca="1"/>
        <v>0</v>
      </c>
      <c r="AS39">
        <f ca="1"/>
        <v>0</v>
      </c>
      <c r="AT39">
        <f ca="1"/>
        <v>0</v>
      </c>
      <c r="AU39">
        <f ca="1"/>
        <v>0</v>
      </c>
      <c r="AV39">
        <f ca="1"/>
        <v>0</v>
      </c>
      <c r="AW39">
        <f ca="1"/>
        <v>0</v>
      </c>
      <c r="AX39">
        <f ca="1"/>
        <v>0</v>
      </c>
      <c r="AY39">
        <f ca="1"/>
        <v>0</v>
      </c>
      <c r="AZ39">
        <f ca="1"/>
        <v>0</v>
      </c>
      <c r="BA39">
        <f ca="1"/>
        <v>0</v>
      </c>
      <c r="BB39">
        <f ca="1"/>
        <v>0</v>
      </c>
      <c r="BC39">
        <f ca="1"/>
        <v>0</v>
      </c>
      <c r="BD39">
        <f ca="1"/>
        <v>0</v>
      </c>
      <c r="BE39">
        <f ca="1"/>
        <v>0</v>
      </c>
      <c r="BF39">
        <f ca="1"/>
        <v>0</v>
      </c>
      <c r="BG39">
        <f ca="1"/>
        <v>0</v>
      </c>
      <c r="BH39">
        <f ca="1"/>
        <v>0</v>
      </c>
      <c r="BI39">
        <f ca="1"/>
        <v>0</v>
      </c>
      <c r="BJ39">
        <f ca="1"/>
        <v>0</v>
      </c>
      <c r="BK39">
        <f ca="1"/>
        <v>0</v>
      </c>
      <c r="BL39">
        <f ca="1"/>
        <v>0</v>
      </c>
      <c r="BM39">
        <f ca="1"/>
        <v>0</v>
      </c>
      <c r="BN39">
        <f ca="1"/>
        <v>0</v>
      </c>
      <c r="BO39">
        <f ca="1"/>
        <v>0</v>
      </c>
      <c r="BP39">
        <f ca="1"/>
        <v>0</v>
      </c>
      <c r="BQ39">
        <f ca="1"/>
        <v>0</v>
      </c>
      <c r="BR39">
        <f ca="1"/>
        <v>0</v>
      </c>
      <c r="BS39">
        <f ca="1"/>
        <v>0</v>
      </c>
      <c r="BT39">
        <f ca="1"/>
        <v>0</v>
      </c>
      <c r="BU39">
        <f ca="1"/>
        <v>0</v>
      </c>
      <c r="BV39">
        <f ca="1"/>
        <v>0</v>
      </c>
      <c r="BW39">
        <f ca="1"/>
        <v>0</v>
      </c>
      <c r="BX39">
        <f ca="1"/>
        <v>0</v>
      </c>
      <c r="BY39">
        <f ca="1"/>
        <v>0</v>
      </c>
      <c r="BZ39">
        <f ca="1"/>
        <v>0</v>
      </c>
      <c r="CA39">
        <f ca="1"/>
        <v>0</v>
      </c>
      <c r="CB39">
        <f ca="1"/>
        <v>0</v>
      </c>
      <c r="CC39">
        <f ca="1"/>
        <v>0</v>
      </c>
      <c r="CD39">
        <f ca="1"/>
        <v>0</v>
      </c>
      <c r="CE39">
        <f ca="1"/>
        <v>0</v>
      </c>
      <c r="CF39">
        <f ca="1"/>
        <v>0</v>
      </c>
      <c r="CG39">
        <f ca="1"/>
        <v>0</v>
      </c>
      <c r="CH39">
        <f ca="1"/>
        <v>0</v>
      </c>
      <c r="CI39">
        <f ca="1"/>
        <v>0</v>
      </c>
      <c r="CJ39">
        <f ca="1"/>
        <v>0</v>
      </c>
      <c r="CK39">
        <f ca="1"/>
        <v>0</v>
      </c>
      <c r="CL39">
        <f ca="1"/>
        <v>0</v>
      </c>
      <c r="CM39">
        <f ca="1"/>
        <v>0</v>
      </c>
      <c r="CN39">
        <f ca="1"/>
        <v>0</v>
      </c>
      <c r="CO39">
        <f ca="1"/>
        <v>0</v>
      </c>
      <c r="CP39">
        <f ca="1"/>
        <v>0</v>
      </c>
      <c r="CQ39">
        <f ca="1"/>
        <v>0</v>
      </c>
      <c r="CR39">
        <f ca="1"/>
        <v>0</v>
      </c>
      <c r="CS39">
        <f ca="1"/>
        <v>0</v>
      </c>
      <c r="CT39">
        <f ca="1"/>
        <v>0</v>
      </c>
      <c r="CU39">
        <f ca="1"/>
        <v>0</v>
      </c>
      <c r="CV39">
        <f ca="1"/>
        <v>0</v>
      </c>
      <c r="CW39">
        <f ca="1"/>
        <v>0</v>
      </c>
      <c r="CX39">
        <f ca="1"/>
        <v>0</v>
      </c>
      <c r="CY39">
        <f ca="1"/>
        <v>0</v>
      </c>
      <c r="CZ39">
        <f ca="1"/>
        <v>0</v>
      </c>
      <c r="DA39">
        <f ca="1"/>
        <v>0</v>
      </c>
      <c r="DB39">
        <f ca="1"/>
        <v>0</v>
      </c>
      <c r="DC39">
        <f ca="1"/>
        <v>0</v>
      </c>
      <c r="DD39">
        <f ca="1"/>
        <v>0</v>
      </c>
      <c r="DE39">
        <f ca="1"/>
        <v>0</v>
      </c>
      <c r="DF39">
        <f ca="1"/>
        <v>0</v>
      </c>
      <c r="DG39">
        <f ca="1"/>
        <v>0</v>
      </c>
      <c r="DH39">
        <f ca="1"/>
        <v>0</v>
      </c>
      <c r="DI39">
        <f ca="1"/>
        <v>0</v>
      </c>
      <c r="DJ39">
        <f ca="1"/>
        <v>0</v>
      </c>
      <c r="DK39">
        <f ca="1"/>
        <v>0</v>
      </c>
      <c r="DL39">
        <f ca="1"/>
        <v>0</v>
      </c>
      <c r="DM39">
        <f ca="1"/>
        <v>0</v>
      </c>
      <c r="DN39">
        <f ca="1"/>
        <v>0</v>
      </c>
      <c r="DO39">
        <f ca="1"/>
        <v>0</v>
      </c>
      <c r="DP39">
        <f ca="1"/>
        <v>0</v>
      </c>
      <c r="DQ39">
        <f ca="1"/>
        <v>0</v>
      </c>
      <c r="DR39">
        <f ca="1"/>
        <v>0</v>
      </c>
      <c r="DS39">
        <f ca="1"/>
        <v>0</v>
      </c>
      <c r="DT39">
        <f ca="1"/>
        <v>0</v>
      </c>
      <c r="DU39">
        <f ca="1"/>
        <v>0</v>
      </c>
      <c r="DV39">
        <f ca="1"/>
        <v>0</v>
      </c>
      <c r="DW39">
        <f ca="1"/>
        <v>0</v>
      </c>
      <c r="DX39">
        <f ca="1"/>
        <v>0</v>
      </c>
      <c r="DY39">
        <f ca="1"/>
        <v>0</v>
      </c>
      <c r="DZ39">
        <f ca="1"/>
        <v>0</v>
      </c>
      <c r="EA39">
        <f ca="1"/>
        <v>0</v>
      </c>
      <c r="EB39">
        <f ca="1"/>
        <v>0</v>
      </c>
      <c r="EC39">
        <f ca="1"/>
        <v>0</v>
      </c>
      <c r="ED39">
        <f ca="1"/>
        <v>0</v>
      </c>
      <c r="EE39">
        <f ca="1"/>
        <v>0</v>
      </c>
      <c r="EF39">
        <f ca="1"/>
        <v>0</v>
      </c>
      <c r="EG39">
        <f ca="1"/>
        <v>0</v>
      </c>
      <c r="EH39">
        <f ca="1"/>
        <v>0</v>
      </c>
      <c r="EI39">
        <f ca="1"/>
        <v>0</v>
      </c>
      <c r="EJ39">
        <f ca="1"/>
        <v>0</v>
      </c>
      <c r="EK39">
        <f ca="1"/>
        <v>0</v>
      </c>
      <c r="EL39">
        <f ca="1"/>
        <v>0</v>
      </c>
      <c r="EM39">
        <f ca="1"/>
        <v>0</v>
      </c>
      <c r="EN39">
        <f ca="1"/>
        <v>0</v>
      </c>
      <c r="EO39">
        <f ca="1"/>
        <v>0</v>
      </c>
      <c r="EP39">
        <f ca="1"/>
        <v>0</v>
      </c>
      <c r="EQ39">
        <f ca="1"/>
        <v>0</v>
      </c>
      <c r="ER39">
        <f ca="1"/>
        <v>0</v>
      </c>
      <c r="ES39">
        <f ca="1"/>
        <v>0</v>
      </c>
      <c r="ET39">
        <f ca="1"/>
        <v>0</v>
      </c>
      <c r="EU39">
        <f ca="1"/>
        <v>0</v>
      </c>
      <c r="EV39">
        <f ca="1"/>
        <v>0</v>
      </c>
      <c r="EW39">
        <f ca="1"/>
        <v>0</v>
      </c>
      <c r="EX39">
        <f ca="1"/>
        <v>0</v>
      </c>
      <c r="EY39">
        <f ca="1"/>
        <v>0</v>
      </c>
      <c r="EZ39">
        <f ca="1"/>
        <v>0</v>
      </c>
      <c r="FA39">
        <f ca="1"/>
        <v>0</v>
      </c>
      <c r="FB39">
        <f ca="1"/>
        <v>0</v>
      </c>
      <c r="FC39">
        <f ca="1"/>
        <v>0</v>
      </c>
      <c r="FD39">
        <f ca="1"/>
        <v>0</v>
      </c>
      <c r="FE39">
        <f ca="1"/>
        <v>0</v>
      </c>
      <c r="FF39">
        <f ca="1"/>
        <v>0</v>
      </c>
      <c r="FG39">
        <f ca="1"/>
        <v>0</v>
      </c>
      <c r="FH39">
        <f ca="1"/>
        <v>0</v>
      </c>
      <c r="FI39">
        <f ca="1"/>
        <v>0</v>
      </c>
      <c r="FJ39">
        <f ca="1"/>
        <v>0</v>
      </c>
      <c r="FK39">
        <f ca="1"/>
        <v>0</v>
      </c>
      <c r="FL39">
        <f ca="1"/>
        <v>0</v>
      </c>
      <c r="FM39">
        <f ca="1"/>
        <v>0</v>
      </c>
      <c r="FN39">
        <f ca="1"/>
        <v>0</v>
      </c>
      <c r="FO39">
        <f ca="1"/>
        <v>0</v>
      </c>
      <c r="FP39">
        <f ca="1"/>
        <v>0</v>
      </c>
      <c r="FQ39">
        <f ca="1"/>
        <v>0</v>
      </c>
      <c r="FR39">
        <f ca="1"/>
        <v>0</v>
      </c>
      <c r="FS39">
        <f ca="1"/>
        <v>0</v>
      </c>
      <c r="FT39">
        <f ca="1"/>
        <v>0</v>
      </c>
      <c r="FU39">
        <f ca="1"/>
        <v>0</v>
      </c>
      <c r="FV39">
        <f ca="1"/>
        <v>0</v>
      </c>
      <c r="FW39">
        <f ca="1"/>
        <v>0</v>
      </c>
      <c r="FX39">
        <f ca="1"/>
        <v>0</v>
      </c>
      <c r="FY39">
        <f ca="1"/>
        <v>0</v>
      </c>
      <c r="FZ39">
        <f ca="1"/>
        <v>0</v>
      </c>
    </row>
    <row r="40" spans="3:182">
      <c r="C40" cm="1">
        <f t="array" aca="1" ref="C40:FZ40" ca="1">IFERROR(TRANSPOSE(INDEX(_xlfn._xlws.FILTER(INDIRECT("SubcategoriesTable[Subcategory name]"),INDIRECT("SubcategoriesTable[Category name]")=$B40),,)),"No subcategories")</f>
        <v>0</v>
      </c>
      <c r="D40">
        <f ca="1"/>
        <v>0</v>
      </c>
      <c r="E40">
        <f ca="1"/>
        <v>0</v>
      </c>
      <c r="F40">
        <f ca="1"/>
        <v>0</v>
      </c>
      <c r="G40">
        <f ca="1"/>
        <v>0</v>
      </c>
      <c r="H40">
        <f ca="1"/>
        <v>0</v>
      </c>
      <c r="I40">
        <f ca="1"/>
        <v>0</v>
      </c>
      <c r="J40">
        <f ca="1"/>
        <v>0</v>
      </c>
      <c r="K40">
        <f ca="1"/>
        <v>0</v>
      </c>
      <c r="L40">
        <f ca="1"/>
        <v>0</v>
      </c>
      <c r="M40">
        <f ca="1"/>
        <v>0</v>
      </c>
      <c r="N40">
        <f ca="1"/>
        <v>0</v>
      </c>
      <c r="O40">
        <f ca="1"/>
        <v>0</v>
      </c>
      <c r="P40">
        <f ca="1"/>
        <v>0</v>
      </c>
      <c r="Q40">
        <f ca="1"/>
        <v>0</v>
      </c>
      <c r="R40">
        <f ca="1"/>
        <v>0</v>
      </c>
      <c r="S40">
        <f ca="1"/>
        <v>0</v>
      </c>
      <c r="T40">
        <f ca="1"/>
        <v>0</v>
      </c>
      <c r="U40">
        <f ca="1"/>
        <v>0</v>
      </c>
      <c r="V40">
        <f ca="1"/>
        <v>0</v>
      </c>
      <c r="W40">
        <f ca="1"/>
        <v>0</v>
      </c>
      <c r="X40">
        <f ca="1"/>
        <v>0</v>
      </c>
      <c r="Y40">
        <f ca="1"/>
        <v>0</v>
      </c>
      <c r="Z40">
        <f ca="1"/>
        <v>0</v>
      </c>
      <c r="AA40">
        <f ca="1"/>
        <v>0</v>
      </c>
      <c r="AB40">
        <f ca="1"/>
        <v>0</v>
      </c>
      <c r="AC40">
        <f ca="1"/>
        <v>0</v>
      </c>
      <c r="AD40">
        <f ca="1"/>
        <v>0</v>
      </c>
      <c r="AE40">
        <f ca="1"/>
        <v>0</v>
      </c>
      <c r="AF40">
        <f ca="1"/>
        <v>0</v>
      </c>
      <c r="AG40">
        <f ca="1"/>
        <v>0</v>
      </c>
      <c r="AH40">
        <f ca="1"/>
        <v>0</v>
      </c>
      <c r="AI40">
        <f ca="1"/>
        <v>0</v>
      </c>
      <c r="AJ40">
        <f ca="1"/>
        <v>0</v>
      </c>
      <c r="AK40">
        <f ca="1"/>
        <v>0</v>
      </c>
      <c r="AL40">
        <f ca="1"/>
        <v>0</v>
      </c>
      <c r="AM40">
        <f ca="1"/>
        <v>0</v>
      </c>
      <c r="AN40">
        <f ca="1"/>
        <v>0</v>
      </c>
      <c r="AO40">
        <f ca="1"/>
        <v>0</v>
      </c>
      <c r="AP40">
        <f ca="1"/>
        <v>0</v>
      </c>
      <c r="AQ40">
        <f ca="1"/>
        <v>0</v>
      </c>
      <c r="AR40">
        <f ca="1"/>
        <v>0</v>
      </c>
      <c r="AS40">
        <f ca="1"/>
        <v>0</v>
      </c>
      <c r="AT40">
        <f ca="1"/>
        <v>0</v>
      </c>
      <c r="AU40">
        <f ca="1"/>
        <v>0</v>
      </c>
      <c r="AV40">
        <f ca="1"/>
        <v>0</v>
      </c>
      <c r="AW40">
        <f ca="1"/>
        <v>0</v>
      </c>
      <c r="AX40">
        <f ca="1"/>
        <v>0</v>
      </c>
      <c r="AY40">
        <f ca="1"/>
        <v>0</v>
      </c>
      <c r="AZ40">
        <f ca="1"/>
        <v>0</v>
      </c>
      <c r="BA40">
        <f ca="1"/>
        <v>0</v>
      </c>
      <c r="BB40">
        <f ca="1"/>
        <v>0</v>
      </c>
      <c r="BC40">
        <f ca="1"/>
        <v>0</v>
      </c>
      <c r="BD40">
        <f ca="1"/>
        <v>0</v>
      </c>
      <c r="BE40">
        <f ca="1"/>
        <v>0</v>
      </c>
      <c r="BF40">
        <f ca="1"/>
        <v>0</v>
      </c>
      <c r="BG40">
        <f ca="1"/>
        <v>0</v>
      </c>
      <c r="BH40">
        <f ca="1"/>
        <v>0</v>
      </c>
      <c r="BI40">
        <f ca="1"/>
        <v>0</v>
      </c>
      <c r="BJ40">
        <f ca="1"/>
        <v>0</v>
      </c>
      <c r="BK40">
        <f ca="1"/>
        <v>0</v>
      </c>
      <c r="BL40">
        <f ca="1"/>
        <v>0</v>
      </c>
      <c r="BM40">
        <f ca="1"/>
        <v>0</v>
      </c>
      <c r="BN40">
        <f ca="1"/>
        <v>0</v>
      </c>
      <c r="BO40">
        <f ca="1"/>
        <v>0</v>
      </c>
      <c r="BP40">
        <f ca="1"/>
        <v>0</v>
      </c>
      <c r="BQ40">
        <f ca="1"/>
        <v>0</v>
      </c>
      <c r="BR40">
        <f ca="1"/>
        <v>0</v>
      </c>
      <c r="BS40">
        <f ca="1"/>
        <v>0</v>
      </c>
      <c r="BT40">
        <f ca="1"/>
        <v>0</v>
      </c>
      <c r="BU40">
        <f ca="1"/>
        <v>0</v>
      </c>
      <c r="BV40">
        <f ca="1"/>
        <v>0</v>
      </c>
      <c r="BW40">
        <f ca="1"/>
        <v>0</v>
      </c>
      <c r="BX40">
        <f ca="1"/>
        <v>0</v>
      </c>
      <c r="BY40">
        <f ca="1"/>
        <v>0</v>
      </c>
      <c r="BZ40">
        <f ca="1"/>
        <v>0</v>
      </c>
      <c r="CA40">
        <f ca="1"/>
        <v>0</v>
      </c>
      <c r="CB40">
        <f ca="1"/>
        <v>0</v>
      </c>
      <c r="CC40">
        <f ca="1"/>
        <v>0</v>
      </c>
      <c r="CD40">
        <f ca="1"/>
        <v>0</v>
      </c>
      <c r="CE40">
        <f ca="1"/>
        <v>0</v>
      </c>
      <c r="CF40">
        <f ca="1"/>
        <v>0</v>
      </c>
      <c r="CG40">
        <f ca="1"/>
        <v>0</v>
      </c>
      <c r="CH40">
        <f ca="1"/>
        <v>0</v>
      </c>
      <c r="CI40">
        <f ca="1"/>
        <v>0</v>
      </c>
      <c r="CJ40">
        <f ca="1"/>
        <v>0</v>
      </c>
      <c r="CK40">
        <f ca="1"/>
        <v>0</v>
      </c>
      <c r="CL40">
        <f ca="1"/>
        <v>0</v>
      </c>
      <c r="CM40">
        <f ca="1"/>
        <v>0</v>
      </c>
      <c r="CN40">
        <f ca="1"/>
        <v>0</v>
      </c>
      <c r="CO40">
        <f ca="1"/>
        <v>0</v>
      </c>
      <c r="CP40">
        <f ca="1"/>
        <v>0</v>
      </c>
      <c r="CQ40">
        <f ca="1"/>
        <v>0</v>
      </c>
      <c r="CR40">
        <f ca="1"/>
        <v>0</v>
      </c>
      <c r="CS40">
        <f ca="1"/>
        <v>0</v>
      </c>
      <c r="CT40">
        <f ca="1"/>
        <v>0</v>
      </c>
      <c r="CU40">
        <f ca="1"/>
        <v>0</v>
      </c>
      <c r="CV40">
        <f ca="1"/>
        <v>0</v>
      </c>
      <c r="CW40">
        <f ca="1"/>
        <v>0</v>
      </c>
      <c r="CX40">
        <f ca="1"/>
        <v>0</v>
      </c>
      <c r="CY40">
        <f ca="1"/>
        <v>0</v>
      </c>
      <c r="CZ40">
        <f ca="1"/>
        <v>0</v>
      </c>
      <c r="DA40">
        <f ca="1"/>
        <v>0</v>
      </c>
      <c r="DB40">
        <f ca="1"/>
        <v>0</v>
      </c>
      <c r="DC40">
        <f ca="1"/>
        <v>0</v>
      </c>
      <c r="DD40">
        <f ca="1"/>
        <v>0</v>
      </c>
      <c r="DE40">
        <f ca="1"/>
        <v>0</v>
      </c>
      <c r="DF40">
        <f ca="1"/>
        <v>0</v>
      </c>
      <c r="DG40">
        <f ca="1"/>
        <v>0</v>
      </c>
      <c r="DH40">
        <f ca="1"/>
        <v>0</v>
      </c>
      <c r="DI40">
        <f ca="1"/>
        <v>0</v>
      </c>
      <c r="DJ40">
        <f ca="1"/>
        <v>0</v>
      </c>
      <c r="DK40">
        <f ca="1"/>
        <v>0</v>
      </c>
      <c r="DL40">
        <f ca="1"/>
        <v>0</v>
      </c>
      <c r="DM40">
        <f ca="1"/>
        <v>0</v>
      </c>
      <c r="DN40">
        <f ca="1"/>
        <v>0</v>
      </c>
      <c r="DO40">
        <f ca="1"/>
        <v>0</v>
      </c>
      <c r="DP40">
        <f ca="1"/>
        <v>0</v>
      </c>
      <c r="DQ40">
        <f ca="1"/>
        <v>0</v>
      </c>
      <c r="DR40">
        <f ca="1"/>
        <v>0</v>
      </c>
      <c r="DS40">
        <f ca="1"/>
        <v>0</v>
      </c>
      <c r="DT40">
        <f ca="1"/>
        <v>0</v>
      </c>
      <c r="DU40">
        <f ca="1"/>
        <v>0</v>
      </c>
      <c r="DV40">
        <f ca="1"/>
        <v>0</v>
      </c>
      <c r="DW40">
        <f ca="1"/>
        <v>0</v>
      </c>
      <c r="DX40">
        <f ca="1"/>
        <v>0</v>
      </c>
      <c r="DY40">
        <f ca="1"/>
        <v>0</v>
      </c>
      <c r="DZ40">
        <f ca="1"/>
        <v>0</v>
      </c>
      <c r="EA40">
        <f ca="1"/>
        <v>0</v>
      </c>
      <c r="EB40">
        <f ca="1"/>
        <v>0</v>
      </c>
      <c r="EC40">
        <f ca="1"/>
        <v>0</v>
      </c>
      <c r="ED40">
        <f ca="1"/>
        <v>0</v>
      </c>
      <c r="EE40">
        <f ca="1"/>
        <v>0</v>
      </c>
      <c r="EF40">
        <f ca="1"/>
        <v>0</v>
      </c>
      <c r="EG40">
        <f ca="1"/>
        <v>0</v>
      </c>
      <c r="EH40">
        <f ca="1"/>
        <v>0</v>
      </c>
      <c r="EI40">
        <f ca="1"/>
        <v>0</v>
      </c>
      <c r="EJ40">
        <f ca="1"/>
        <v>0</v>
      </c>
      <c r="EK40">
        <f ca="1"/>
        <v>0</v>
      </c>
      <c r="EL40">
        <f ca="1"/>
        <v>0</v>
      </c>
      <c r="EM40">
        <f ca="1"/>
        <v>0</v>
      </c>
      <c r="EN40">
        <f ca="1"/>
        <v>0</v>
      </c>
      <c r="EO40">
        <f ca="1"/>
        <v>0</v>
      </c>
      <c r="EP40">
        <f ca="1"/>
        <v>0</v>
      </c>
      <c r="EQ40">
        <f ca="1"/>
        <v>0</v>
      </c>
      <c r="ER40">
        <f ca="1"/>
        <v>0</v>
      </c>
      <c r="ES40">
        <f ca="1"/>
        <v>0</v>
      </c>
      <c r="ET40">
        <f ca="1"/>
        <v>0</v>
      </c>
      <c r="EU40">
        <f ca="1"/>
        <v>0</v>
      </c>
      <c r="EV40">
        <f ca="1"/>
        <v>0</v>
      </c>
      <c r="EW40">
        <f ca="1"/>
        <v>0</v>
      </c>
      <c r="EX40">
        <f ca="1"/>
        <v>0</v>
      </c>
      <c r="EY40">
        <f ca="1"/>
        <v>0</v>
      </c>
      <c r="EZ40">
        <f ca="1"/>
        <v>0</v>
      </c>
      <c r="FA40">
        <f ca="1"/>
        <v>0</v>
      </c>
      <c r="FB40">
        <f ca="1"/>
        <v>0</v>
      </c>
      <c r="FC40">
        <f ca="1"/>
        <v>0</v>
      </c>
      <c r="FD40">
        <f ca="1"/>
        <v>0</v>
      </c>
      <c r="FE40">
        <f ca="1"/>
        <v>0</v>
      </c>
      <c r="FF40">
        <f ca="1"/>
        <v>0</v>
      </c>
      <c r="FG40">
        <f ca="1"/>
        <v>0</v>
      </c>
      <c r="FH40">
        <f ca="1"/>
        <v>0</v>
      </c>
      <c r="FI40">
        <f ca="1"/>
        <v>0</v>
      </c>
      <c r="FJ40">
        <f ca="1"/>
        <v>0</v>
      </c>
      <c r="FK40">
        <f ca="1"/>
        <v>0</v>
      </c>
      <c r="FL40">
        <f ca="1"/>
        <v>0</v>
      </c>
      <c r="FM40">
        <f ca="1"/>
        <v>0</v>
      </c>
      <c r="FN40">
        <f ca="1"/>
        <v>0</v>
      </c>
      <c r="FO40">
        <f ca="1"/>
        <v>0</v>
      </c>
      <c r="FP40">
        <f ca="1"/>
        <v>0</v>
      </c>
      <c r="FQ40">
        <f ca="1"/>
        <v>0</v>
      </c>
      <c r="FR40">
        <f ca="1"/>
        <v>0</v>
      </c>
      <c r="FS40">
        <f ca="1"/>
        <v>0</v>
      </c>
      <c r="FT40">
        <f ca="1"/>
        <v>0</v>
      </c>
      <c r="FU40">
        <f ca="1"/>
        <v>0</v>
      </c>
      <c r="FV40">
        <f ca="1"/>
        <v>0</v>
      </c>
      <c r="FW40">
        <f ca="1"/>
        <v>0</v>
      </c>
      <c r="FX40">
        <f ca="1"/>
        <v>0</v>
      </c>
      <c r="FY40">
        <f ca="1"/>
        <v>0</v>
      </c>
      <c r="FZ40">
        <f ca="1"/>
        <v>0</v>
      </c>
    </row>
    <row r="41" spans="3:182">
      <c r="C41" cm="1">
        <f t="array" aca="1" ref="C41:FZ41" ca="1">IFERROR(TRANSPOSE(INDEX(_xlfn._xlws.FILTER(INDIRECT("SubcategoriesTable[Subcategory name]"),INDIRECT("SubcategoriesTable[Category name]")=$B41),,)),"No subcategories")</f>
        <v>0</v>
      </c>
      <c r="D41">
        <f ca="1"/>
        <v>0</v>
      </c>
      <c r="E41">
        <f ca="1"/>
        <v>0</v>
      </c>
      <c r="F41">
        <f ca="1"/>
        <v>0</v>
      </c>
      <c r="G41">
        <f ca="1"/>
        <v>0</v>
      </c>
      <c r="H41">
        <f ca="1"/>
        <v>0</v>
      </c>
      <c r="I41">
        <f ca="1"/>
        <v>0</v>
      </c>
      <c r="J41">
        <f ca="1"/>
        <v>0</v>
      </c>
      <c r="K41">
        <f ca="1"/>
        <v>0</v>
      </c>
      <c r="L41">
        <f ca="1"/>
        <v>0</v>
      </c>
      <c r="M41">
        <f ca="1"/>
        <v>0</v>
      </c>
      <c r="N41">
        <f ca="1"/>
        <v>0</v>
      </c>
      <c r="O41">
        <f ca="1"/>
        <v>0</v>
      </c>
      <c r="P41">
        <f ca="1"/>
        <v>0</v>
      </c>
      <c r="Q41">
        <f ca="1"/>
        <v>0</v>
      </c>
      <c r="R41">
        <f ca="1"/>
        <v>0</v>
      </c>
      <c r="S41">
        <f ca="1"/>
        <v>0</v>
      </c>
      <c r="T41">
        <f ca="1"/>
        <v>0</v>
      </c>
      <c r="U41">
        <f ca="1"/>
        <v>0</v>
      </c>
      <c r="V41">
        <f ca="1"/>
        <v>0</v>
      </c>
      <c r="W41">
        <f ca="1"/>
        <v>0</v>
      </c>
      <c r="X41">
        <f ca="1"/>
        <v>0</v>
      </c>
      <c r="Y41">
        <f ca="1"/>
        <v>0</v>
      </c>
      <c r="Z41">
        <f ca="1"/>
        <v>0</v>
      </c>
      <c r="AA41">
        <f ca="1"/>
        <v>0</v>
      </c>
      <c r="AB41">
        <f ca="1"/>
        <v>0</v>
      </c>
      <c r="AC41">
        <f ca="1"/>
        <v>0</v>
      </c>
      <c r="AD41">
        <f ca="1"/>
        <v>0</v>
      </c>
      <c r="AE41">
        <f ca="1"/>
        <v>0</v>
      </c>
      <c r="AF41">
        <f ca="1"/>
        <v>0</v>
      </c>
      <c r="AG41">
        <f ca="1"/>
        <v>0</v>
      </c>
      <c r="AH41">
        <f ca="1"/>
        <v>0</v>
      </c>
      <c r="AI41">
        <f ca="1"/>
        <v>0</v>
      </c>
      <c r="AJ41">
        <f ca="1"/>
        <v>0</v>
      </c>
      <c r="AK41">
        <f ca="1"/>
        <v>0</v>
      </c>
      <c r="AL41">
        <f ca="1"/>
        <v>0</v>
      </c>
      <c r="AM41">
        <f ca="1"/>
        <v>0</v>
      </c>
      <c r="AN41">
        <f ca="1"/>
        <v>0</v>
      </c>
      <c r="AO41">
        <f ca="1"/>
        <v>0</v>
      </c>
      <c r="AP41">
        <f ca="1"/>
        <v>0</v>
      </c>
      <c r="AQ41">
        <f ca="1"/>
        <v>0</v>
      </c>
      <c r="AR41">
        <f ca="1"/>
        <v>0</v>
      </c>
      <c r="AS41">
        <f ca="1"/>
        <v>0</v>
      </c>
      <c r="AT41">
        <f ca="1"/>
        <v>0</v>
      </c>
      <c r="AU41">
        <f ca="1"/>
        <v>0</v>
      </c>
      <c r="AV41">
        <f ca="1"/>
        <v>0</v>
      </c>
      <c r="AW41">
        <f ca="1"/>
        <v>0</v>
      </c>
      <c r="AX41">
        <f ca="1"/>
        <v>0</v>
      </c>
      <c r="AY41">
        <f ca="1"/>
        <v>0</v>
      </c>
      <c r="AZ41">
        <f ca="1"/>
        <v>0</v>
      </c>
      <c r="BA41">
        <f ca="1"/>
        <v>0</v>
      </c>
      <c r="BB41">
        <f ca="1"/>
        <v>0</v>
      </c>
      <c r="BC41">
        <f ca="1"/>
        <v>0</v>
      </c>
      <c r="BD41">
        <f ca="1"/>
        <v>0</v>
      </c>
      <c r="BE41">
        <f ca="1"/>
        <v>0</v>
      </c>
      <c r="BF41">
        <f ca="1"/>
        <v>0</v>
      </c>
      <c r="BG41">
        <f ca="1"/>
        <v>0</v>
      </c>
      <c r="BH41">
        <f ca="1"/>
        <v>0</v>
      </c>
      <c r="BI41">
        <f ca="1"/>
        <v>0</v>
      </c>
      <c r="BJ41">
        <f ca="1"/>
        <v>0</v>
      </c>
      <c r="BK41">
        <f ca="1"/>
        <v>0</v>
      </c>
      <c r="BL41">
        <f ca="1"/>
        <v>0</v>
      </c>
      <c r="BM41">
        <f ca="1"/>
        <v>0</v>
      </c>
      <c r="BN41">
        <f ca="1"/>
        <v>0</v>
      </c>
      <c r="BO41">
        <f ca="1"/>
        <v>0</v>
      </c>
      <c r="BP41">
        <f ca="1"/>
        <v>0</v>
      </c>
      <c r="BQ41">
        <f ca="1"/>
        <v>0</v>
      </c>
      <c r="BR41">
        <f ca="1"/>
        <v>0</v>
      </c>
      <c r="BS41">
        <f ca="1"/>
        <v>0</v>
      </c>
      <c r="BT41">
        <f ca="1"/>
        <v>0</v>
      </c>
      <c r="BU41">
        <f ca="1"/>
        <v>0</v>
      </c>
      <c r="BV41">
        <f ca="1"/>
        <v>0</v>
      </c>
      <c r="BW41">
        <f ca="1"/>
        <v>0</v>
      </c>
      <c r="BX41">
        <f ca="1"/>
        <v>0</v>
      </c>
      <c r="BY41">
        <f ca="1"/>
        <v>0</v>
      </c>
      <c r="BZ41">
        <f ca="1"/>
        <v>0</v>
      </c>
      <c r="CA41">
        <f ca="1"/>
        <v>0</v>
      </c>
      <c r="CB41">
        <f ca="1"/>
        <v>0</v>
      </c>
      <c r="CC41">
        <f ca="1"/>
        <v>0</v>
      </c>
      <c r="CD41">
        <f ca="1"/>
        <v>0</v>
      </c>
      <c r="CE41">
        <f ca="1"/>
        <v>0</v>
      </c>
      <c r="CF41">
        <f ca="1"/>
        <v>0</v>
      </c>
      <c r="CG41">
        <f ca="1"/>
        <v>0</v>
      </c>
      <c r="CH41">
        <f ca="1"/>
        <v>0</v>
      </c>
      <c r="CI41">
        <f ca="1"/>
        <v>0</v>
      </c>
      <c r="CJ41">
        <f ca="1"/>
        <v>0</v>
      </c>
      <c r="CK41">
        <f ca="1"/>
        <v>0</v>
      </c>
      <c r="CL41">
        <f ca="1"/>
        <v>0</v>
      </c>
      <c r="CM41">
        <f ca="1"/>
        <v>0</v>
      </c>
      <c r="CN41">
        <f ca="1"/>
        <v>0</v>
      </c>
      <c r="CO41">
        <f ca="1"/>
        <v>0</v>
      </c>
      <c r="CP41">
        <f ca="1"/>
        <v>0</v>
      </c>
      <c r="CQ41">
        <f ca="1"/>
        <v>0</v>
      </c>
      <c r="CR41">
        <f ca="1"/>
        <v>0</v>
      </c>
      <c r="CS41">
        <f ca="1"/>
        <v>0</v>
      </c>
      <c r="CT41">
        <f ca="1"/>
        <v>0</v>
      </c>
      <c r="CU41">
        <f ca="1"/>
        <v>0</v>
      </c>
      <c r="CV41">
        <f ca="1"/>
        <v>0</v>
      </c>
      <c r="CW41">
        <f ca="1"/>
        <v>0</v>
      </c>
      <c r="CX41">
        <f ca="1"/>
        <v>0</v>
      </c>
      <c r="CY41">
        <f ca="1"/>
        <v>0</v>
      </c>
      <c r="CZ41">
        <f ca="1"/>
        <v>0</v>
      </c>
      <c r="DA41">
        <f ca="1"/>
        <v>0</v>
      </c>
      <c r="DB41">
        <f ca="1"/>
        <v>0</v>
      </c>
      <c r="DC41">
        <f ca="1"/>
        <v>0</v>
      </c>
      <c r="DD41">
        <f ca="1"/>
        <v>0</v>
      </c>
      <c r="DE41">
        <f ca="1"/>
        <v>0</v>
      </c>
      <c r="DF41">
        <f ca="1"/>
        <v>0</v>
      </c>
      <c r="DG41">
        <f ca="1"/>
        <v>0</v>
      </c>
      <c r="DH41">
        <f ca="1"/>
        <v>0</v>
      </c>
      <c r="DI41">
        <f ca="1"/>
        <v>0</v>
      </c>
      <c r="DJ41">
        <f ca="1"/>
        <v>0</v>
      </c>
      <c r="DK41">
        <f ca="1"/>
        <v>0</v>
      </c>
      <c r="DL41">
        <f ca="1"/>
        <v>0</v>
      </c>
      <c r="DM41">
        <f ca="1"/>
        <v>0</v>
      </c>
      <c r="DN41">
        <f ca="1"/>
        <v>0</v>
      </c>
      <c r="DO41">
        <f ca="1"/>
        <v>0</v>
      </c>
      <c r="DP41">
        <f ca="1"/>
        <v>0</v>
      </c>
      <c r="DQ41">
        <f ca="1"/>
        <v>0</v>
      </c>
      <c r="DR41">
        <f ca="1"/>
        <v>0</v>
      </c>
      <c r="DS41">
        <f ca="1"/>
        <v>0</v>
      </c>
      <c r="DT41">
        <f ca="1"/>
        <v>0</v>
      </c>
      <c r="DU41">
        <f ca="1"/>
        <v>0</v>
      </c>
      <c r="DV41">
        <f ca="1"/>
        <v>0</v>
      </c>
      <c r="DW41">
        <f ca="1"/>
        <v>0</v>
      </c>
      <c r="DX41">
        <f ca="1"/>
        <v>0</v>
      </c>
      <c r="DY41">
        <f ca="1"/>
        <v>0</v>
      </c>
      <c r="DZ41">
        <f ca="1"/>
        <v>0</v>
      </c>
      <c r="EA41">
        <f ca="1"/>
        <v>0</v>
      </c>
      <c r="EB41">
        <f ca="1"/>
        <v>0</v>
      </c>
      <c r="EC41">
        <f ca="1"/>
        <v>0</v>
      </c>
      <c r="ED41">
        <f ca="1"/>
        <v>0</v>
      </c>
      <c r="EE41">
        <f ca="1"/>
        <v>0</v>
      </c>
      <c r="EF41">
        <f ca="1"/>
        <v>0</v>
      </c>
      <c r="EG41">
        <f ca="1"/>
        <v>0</v>
      </c>
      <c r="EH41">
        <f ca="1"/>
        <v>0</v>
      </c>
      <c r="EI41">
        <f ca="1"/>
        <v>0</v>
      </c>
      <c r="EJ41">
        <f ca="1"/>
        <v>0</v>
      </c>
      <c r="EK41">
        <f ca="1"/>
        <v>0</v>
      </c>
      <c r="EL41">
        <f ca="1"/>
        <v>0</v>
      </c>
      <c r="EM41">
        <f ca="1"/>
        <v>0</v>
      </c>
      <c r="EN41">
        <f ca="1"/>
        <v>0</v>
      </c>
      <c r="EO41">
        <f ca="1"/>
        <v>0</v>
      </c>
      <c r="EP41">
        <f ca="1"/>
        <v>0</v>
      </c>
      <c r="EQ41">
        <f ca="1"/>
        <v>0</v>
      </c>
      <c r="ER41">
        <f ca="1"/>
        <v>0</v>
      </c>
      <c r="ES41">
        <f ca="1"/>
        <v>0</v>
      </c>
      <c r="ET41">
        <f ca="1"/>
        <v>0</v>
      </c>
      <c r="EU41">
        <f ca="1"/>
        <v>0</v>
      </c>
      <c r="EV41">
        <f ca="1"/>
        <v>0</v>
      </c>
      <c r="EW41">
        <f ca="1"/>
        <v>0</v>
      </c>
      <c r="EX41">
        <f ca="1"/>
        <v>0</v>
      </c>
      <c r="EY41">
        <f ca="1"/>
        <v>0</v>
      </c>
      <c r="EZ41">
        <f ca="1"/>
        <v>0</v>
      </c>
      <c r="FA41">
        <f ca="1"/>
        <v>0</v>
      </c>
      <c r="FB41">
        <f ca="1"/>
        <v>0</v>
      </c>
      <c r="FC41">
        <f ca="1"/>
        <v>0</v>
      </c>
      <c r="FD41">
        <f ca="1"/>
        <v>0</v>
      </c>
      <c r="FE41">
        <f ca="1"/>
        <v>0</v>
      </c>
      <c r="FF41">
        <f ca="1"/>
        <v>0</v>
      </c>
      <c r="FG41">
        <f ca="1"/>
        <v>0</v>
      </c>
      <c r="FH41">
        <f ca="1"/>
        <v>0</v>
      </c>
      <c r="FI41">
        <f ca="1"/>
        <v>0</v>
      </c>
      <c r="FJ41">
        <f ca="1"/>
        <v>0</v>
      </c>
      <c r="FK41">
        <f ca="1"/>
        <v>0</v>
      </c>
      <c r="FL41">
        <f ca="1"/>
        <v>0</v>
      </c>
      <c r="FM41">
        <f ca="1"/>
        <v>0</v>
      </c>
      <c r="FN41">
        <f ca="1"/>
        <v>0</v>
      </c>
      <c r="FO41">
        <f ca="1"/>
        <v>0</v>
      </c>
      <c r="FP41">
        <f ca="1"/>
        <v>0</v>
      </c>
      <c r="FQ41">
        <f ca="1"/>
        <v>0</v>
      </c>
      <c r="FR41">
        <f ca="1"/>
        <v>0</v>
      </c>
      <c r="FS41">
        <f ca="1"/>
        <v>0</v>
      </c>
      <c r="FT41">
        <f ca="1"/>
        <v>0</v>
      </c>
      <c r="FU41">
        <f ca="1"/>
        <v>0</v>
      </c>
      <c r="FV41">
        <f ca="1"/>
        <v>0</v>
      </c>
      <c r="FW41">
        <f ca="1"/>
        <v>0</v>
      </c>
      <c r="FX41">
        <f ca="1"/>
        <v>0</v>
      </c>
      <c r="FY41">
        <f ca="1"/>
        <v>0</v>
      </c>
      <c r="FZ41">
        <f ca="1"/>
        <v>0</v>
      </c>
    </row>
    <row r="42" spans="3:182">
      <c r="C42" cm="1">
        <f t="array" aca="1" ref="C42:FZ42" ca="1">IFERROR(TRANSPOSE(INDEX(_xlfn._xlws.FILTER(INDIRECT("SubcategoriesTable[Subcategory name]"),INDIRECT("SubcategoriesTable[Category name]")=$B42),,)),"No subcategories")</f>
        <v>0</v>
      </c>
      <c r="D42">
        <f ca="1"/>
        <v>0</v>
      </c>
      <c r="E42">
        <f ca="1"/>
        <v>0</v>
      </c>
      <c r="F42">
        <f ca="1"/>
        <v>0</v>
      </c>
      <c r="G42">
        <f ca="1"/>
        <v>0</v>
      </c>
      <c r="H42">
        <f ca="1"/>
        <v>0</v>
      </c>
      <c r="I42">
        <f ca="1"/>
        <v>0</v>
      </c>
      <c r="J42">
        <f ca="1"/>
        <v>0</v>
      </c>
      <c r="K42">
        <f ca="1"/>
        <v>0</v>
      </c>
      <c r="L42">
        <f ca="1"/>
        <v>0</v>
      </c>
      <c r="M42">
        <f ca="1"/>
        <v>0</v>
      </c>
      <c r="N42">
        <f ca="1"/>
        <v>0</v>
      </c>
      <c r="O42">
        <f ca="1"/>
        <v>0</v>
      </c>
      <c r="P42">
        <f ca="1"/>
        <v>0</v>
      </c>
      <c r="Q42">
        <f ca="1"/>
        <v>0</v>
      </c>
      <c r="R42">
        <f ca="1"/>
        <v>0</v>
      </c>
      <c r="S42">
        <f ca="1"/>
        <v>0</v>
      </c>
      <c r="T42">
        <f ca="1"/>
        <v>0</v>
      </c>
      <c r="U42">
        <f ca="1"/>
        <v>0</v>
      </c>
      <c r="V42">
        <f ca="1"/>
        <v>0</v>
      </c>
      <c r="W42">
        <f ca="1"/>
        <v>0</v>
      </c>
      <c r="X42">
        <f ca="1"/>
        <v>0</v>
      </c>
      <c r="Y42">
        <f ca="1"/>
        <v>0</v>
      </c>
      <c r="Z42">
        <f ca="1"/>
        <v>0</v>
      </c>
      <c r="AA42">
        <f ca="1"/>
        <v>0</v>
      </c>
      <c r="AB42">
        <f ca="1"/>
        <v>0</v>
      </c>
      <c r="AC42">
        <f ca="1"/>
        <v>0</v>
      </c>
      <c r="AD42">
        <f ca="1"/>
        <v>0</v>
      </c>
      <c r="AE42">
        <f ca="1"/>
        <v>0</v>
      </c>
      <c r="AF42">
        <f ca="1"/>
        <v>0</v>
      </c>
      <c r="AG42">
        <f ca="1"/>
        <v>0</v>
      </c>
      <c r="AH42">
        <f ca="1"/>
        <v>0</v>
      </c>
      <c r="AI42">
        <f ca="1"/>
        <v>0</v>
      </c>
      <c r="AJ42">
        <f ca="1"/>
        <v>0</v>
      </c>
      <c r="AK42">
        <f ca="1"/>
        <v>0</v>
      </c>
      <c r="AL42">
        <f ca="1"/>
        <v>0</v>
      </c>
      <c r="AM42">
        <f ca="1"/>
        <v>0</v>
      </c>
      <c r="AN42">
        <f ca="1"/>
        <v>0</v>
      </c>
      <c r="AO42">
        <f ca="1"/>
        <v>0</v>
      </c>
      <c r="AP42">
        <f ca="1"/>
        <v>0</v>
      </c>
      <c r="AQ42">
        <f ca="1"/>
        <v>0</v>
      </c>
      <c r="AR42">
        <f ca="1"/>
        <v>0</v>
      </c>
      <c r="AS42">
        <f ca="1"/>
        <v>0</v>
      </c>
      <c r="AT42">
        <f ca="1"/>
        <v>0</v>
      </c>
      <c r="AU42">
        <f ca="1"/>
        <v>0</v>
      </c>
      <c r="AV42">
        <f ca="1"/>
        <v>0</v>
      </c>
      <c r="AW42">
        <f ca="1"/>
        <v>0</v>
      </c>
      <c r="AX42">
        <f ca="1"/>
        <v>0</v>
      </c>
      <c r="AY42">
        <f ca="1"/>
        <v>0</v>
      </c>
      <c r="AZ42">
        <f ca="1"/>
        <v>0</v>
      </c>
      <c r="BA42">
        <f ca="1"/>
        <v>0</v>
      </c>
      <c r="BB42">
        <f ca="1"/>
        <v>0</v>
      </c>
      <c r="BC42">
        <f ca="1"/>
        <v>0</v>
      </c>
      <c r="BD42">
        <f ca="1"/>
        <v>0</v>
      </c>
      <c r="BE42">
        <f ca="1"/>
        <v>0</v>
      </c>
      <c r="BF42">
        <f ca="1"/>
        <v>0</v>
      </c>
      <c r="BG42">
        <f ca="1"/>
        <v>0</v>
      </c>
      <c r="BH42">
        <f ca="1"/>
        <v>0</v>
      </c>
      <c r="BI42">
        <f ca="1"/>
        <v>0</v>
      </c>
      <c r="BJ42">
        <f ca="1"/>
        <v>0</v>
      </c>
      <c r="BK42">
        <f ca="1"/>
        <v>0</v>
      </c>
      <c r="BL42">
        <f ca="1"/>
        <v>0</v>
      </c>
      <c r="BM42">
        <f ca="1"/>
        <v>0</v>
      </c>
      <c r="BN42">
        <f ca="1"/>
        <v>0</v>
      </c>
      <c r="BO42">
        <f ca="1"/>
        <v>0</v>
      </c>
      <c r="BP42">
        <f ca="1"/>
        <v>0</v>
      </c>
      <c r="BQ42">
        <f ca="1"/>
        <v>0</v>
      </c>
      <c r="BR42">
        <f ca="1"/>
        <v>0</v>
      </c>
      <c r="BS42">
        <f ca="1"/>
        <v>0</v>
      </c>
      <c r="BT42">
        <f ca="1"/>
        <v>0</v>
      </c>
      <c r="BU42">
        <f ca="1"/>
        <v>0</v>
      </c>
      <c r="BV42">
        <f ca="1"/>
        <v>0</v>
      </c>
      <c r="BW42">
        <f ca="1"/>
        <v>0</v>
      </c>
      <c r="BX42">
        <f ca="1"/>
        <v>0</v>
      </c>
      <c r="BY42">
        <f ca="1"/>
        <v>0</v>
      </c>
      <c r="BZ42">
        <f ca="1"/>
        <v>0</v>
      </c>
      <c r="CA42">
        <f ca="1"/>
        <v>0</v>
      </c>
      <c r="CB42">
        <f ca="1"/>
        <v>0</v>
      </c>
      <c r="CC42">
        <f ca="1"/>
        <v>0</v>
      </c>
      <c r="CD42">
        <f ca="1"/>
        <v>0</v>
      </c>
      <c r="CE42">
        <f ca="1"/>
        <v>0</v>
      </c>
      <c r="CF42">
        <f ca="1"/>
        <v>0</v>
      </c>
      <c r="CG42">
        <f ca="1"/>
        <v>0</v>
      </c>
      <c r="CH42">
        <f ca="1"/>
        <v>0</v>
      </c>
      <c r="CI42">
        <f ca="1"/>
        <v>0</v>
      </c>
      <c r="CJ42">
        <f ca="1"/>
        <v>0</v>
      </c>
      <c r="CK42">
        <f ca="1"/>
        <v>0</v>
      </c>
      <c r="CL42">
        <f ca="1"/>
        <v>0</v>
      </c>
      <c r="CM42">
        <f ca="1"/>
        <v>0</v>
      </c>
      <c r="CN42">
        <f ca="1"/>
        <v>0</v>
      </c>
      <c r="CO42">
        <f ca="1"/>
        <v>0</v>
      </c>
      <c r="CP42">
        <f ca="1"/>
        <v>0</v>
      </c>
      <c r="CQ42">
        <f ca="1"/>
        <v>0</v>
      </c>
      <c r="CR42">
        <f ca="1"/>
        <v>0</v>
      </c>
      <c r="CS42">
        <f ca="1"/>
        <v>0</v>
      </c>
      <c r="CT42">
        <f ca="1"/>
        <v>0</v>
      </c>
      <c r="CU42">
        <f ca="1"/>
        <v>0</v>
      </c>
      <c r="CV42">
        <f ca="1"/>
        <v>0</v>
      </c>
      <c r="CW42">
        <f ca="1"/>
        <v>0</v>
      </c>
      <c r="CX42">
        <f ca="1"/>
        <v>0</v>
      </c>
      <c r="CY42">
        <f ca="1"/>
        <v>0</v>
      </c>
      <c r="CZ42">
        <f ca="1"/>
        <v>0</v>
      </c>
      <c r="DA42">
        <f ca="1"/>
        <v>0</v>
      </c>
      <c r="DB42">
        <f ca="1"/>
        <v>0</v>
      </c>
      <c r="DC42">
        <f ca="1"/>
        <v>0</v>
      </c>
      <c r="DD42">
        <f ca="1"/>
        <v>0</v>
      </c>
      <c r="DE42">
        <f ca="1"/>
        <v>0</v>
      </c>
      <c r="DF42">
        <f ca="1"/>
        <v>0</v>
      </c>
      <c r="DG42">
        <f ca="1"/>
        <v>0</v>
      </c>
      <c r="DH42">
        <f ca="1"/>
        <v>0</v>
      </c>
      <c r="DI42">
        <f ca="1"/>
        <v>0</v>
      </c>
      <c r="DJ42">
        <f ca="1"/>
        <v>0</v>
      </c>
      <c r="DK42">
        <f ca="1"/>
        <v>0</v>
      </c>
      <c r="DL42">
        <f ca="1"/>
        <v>0</v>
      </c>
      <c r="DM42">
        <f ca="1"/>
        <v>0</v>
      </c>
      <c r="DN42">
        <f ca="1"/>
        <v>0</v>
      </c>
      <c r="DO42">
        <f ca="1"/>
        <v>0</v>
      </c>
      <c r="DP42">
        <f ca="1"/>
        <v>0</v>
      </c>
      <c r="DQ42">
        <f ca="1"/>
        <v>0</v>
      </c>
      <c r="DR42">
        <f ca="1"/>
        <v>0</v>
      </c>
      <c r="DS42">
        <f ca="1"/>
        <v>0</v>
      </c>
      <c r="DT42">
        <f ca="1"/>
        <v>0</v>
      </c>
      <c r="DU42">
        <f ca="1"/>
        <v>0</v>
      </c>
      <c r="DV42">
        <f ca="1"/>
        <v>0</v>
      </c>
      <c r="DW42">
        <f ca="1"/>
        <v>0</v>
      </c>
      <c r="DX42">
        <f ca="1"/>
        <v>0</v>
      </c>
      <c r="DY42">
        <f ca="1"/>
        <v>0</v>
      </c>
      <c r="DZ42">
        <f ca="1"/>
        <v>0</v>
      </c>
      <c r="EA42">
        <f ca="1"/>
        <v>0</v>
      </c>
      <c r="EB42">
        <f ca="1"/>
        <v>0</v>
      </c>
      <c r="EC42">
        <f ca="1"/>
        <v>0</v>
      </c>
      <c r="ED42">
        <f ca="1"/>
        <v>0</v>
      </c>
      <c r="EE42">
        <f ca="1"/>
        <v>0</v>
      </c>
      <c r="EF42">
        <f ca="1"/>
        <v>0</v>
      </c>
      <c r="EG42">
        <f ca="1"/>
        <v>0</v>
      </c>
      <c r="EH42">
        <f ca="1"/>
        <v>0</v>
      </c>
      <c r="EI42">
        <f ca="1"/>
        <v>0</v>
      </c>
      <c r="EJ42">
        <f ca="1"/>
        <v>0</v>
      </c>
      <c r="EK42">
        <f ca="1"/>
        <v>0</v>
      </c>
      <c r="EL42">
        <f ca="1"/>
        <v>0</v>
      </c>
      <c r="EM42">
        <f ca="1"/>
        <v>0</v>
      </c>
      <c r="EN42">
        <f ca="1"/>
        <v>0</v>
      </c>
      <c r="EO42">
        <f ca="1"/>
        <v>0</v>
      </c>
      <c r="EP42">
        <f ca="1"/>
        <v>0</v>
      </c>
      <c r="EQ42">
        <f ca="1"/>
        <v>0</v>
      </c>
      <c r="ER42">
        <f ca="1"/>
        <v>0</v>
      </c>
      <c r="ES42">
        <f ca="1"/>
        <v>0</v>
      </c>
      <c r="ET42">
        <f ca="1"/>
        <v>0</v>
      </c>
      <c r="EU42">
        <f ca="1"/>
        <v>0</v>
      </c>
      <c r="EV42">
        <f ca="1"/>
        <v>0</v>
      </c>
      <c r="EW42">
        <f ca="1"/>
        <v>0</v>
      </c>
      <c r="EX42">
        <f ca="1"/>
        <v>0</v>
      </c>
      <c r="EY42">
        <f ca="1"/>
        <v>0</v>
      </c>
      <c r="EZ42">
        <f ca="1"/>
        <v>0</v>
      </c>
      <c r="FA42">
        <f ca="1"/>
        <v>0</v>
      </c>
      <c r="FB42">
        <f ca="1"/>
        <v>0</v>
      </c>
      <c r="FC42">
        <f ca="1"/>
        <v>0</v>
      </c>
      <c r="FD42">
        <f ca="1"/>
        <v>0</v>
      </c>
      <c r="FE42">
        <f ca="1"/>
        <v>0</v>
      </c>
      <c r="FF42">
        <f ca="1"/>
        <v>0</v>
      </c>
      <c r="FG42">
        <f ca="1"/>
        <v>0</v>
      </c>
      <c r="FH42">
        <f ca="1"/>
        <v>0</v>
      </c>
      <c r="FI42">
        <f ca="1"/>
        <v>0</v>
      </c>
      <c r="FJ42">
        <f ca="1"/>
        <v>0</v>
      </c>
      <c r="FK42">
        <f ca="1"/>
        <v>0</v>
      </c>
      <c r="FL42">
        <f ca="1"/>
        <v>0</v>
      </c>
      <c r="FM42">
        <f ca="1"/>
        <v>0</v>
      </c>
      <c r="FN42">
        <f ca="1"/>
        <v>0</v>
      </c>
      <c r="FO42">
        <f ca="1"/>
        <v>0</v>
      </c>
      <c r="FP42">
        <f ca="1"/>
        <v>0</v>
      </c>
      <c r="FQ42">
        <f ca="1"/>
        <v>0</v>
      </c>
      <c r="FR42">
        <f ca="1"/>
        <v>0</v>
      </c>
      <c r="FS42">
        <f ca="1"/>
        <v>0</v>
      </c>
      <c r="FT42">
        <f ca="1"/>
        <v>0</v>
      </c>
      <c r="FU42">
        <f ca="1"/>
        <v>0</v>
      </c>
      <c r="FV42">
        <f ca="1"/>
        <v>0</v>
      </c>
      <c r="FW42">
        <f ca="1"/>
        <v>0</v>
      </c>
      <c r="FX42">
        <f ca="1"/>
        <v>0</v>
      </c>
      <c r="FY42">
        <f ca="1"/>
        <v>0</v>
      </c>
      <c r="FZ42">
        <f ca="1"/>
        <v>0</v>
      </c>
    </row>
    <row r="43" spans="3:182">
      <c r="C43" cm="1">
        <f t="array" aca="1" ref="C43:FZ43" ca="1">IFERROR(TRANSPOSE(INDEX(_xlfn._xlws.FILTER(INDIRECT("SubcategoriesTable[Subcategory name]"),INDIRECT("SubcategoriesTable[Category name]")=$B43),,)),"No subcategories")</f>
        <v>0</v>
      </c>
      <c r="D43">
        <f ca="1"/>
        <v>0</v>
      </c>
      <c r="E43">
        <f ca="1"/>
        <v>0</v>
      </c>
      <c r="F43">
        <f ca="1"/>
        <v>0</v>
      </c>
      <c r="G43">
        <f ca="1"/>
        <v>0</v>
      </c>
      <c r="H43">
        <f ca="1"/>
        <v>0</v>
      </c>
      <c r="I43">
        <f ca="1"/>
        <v>0</v>
      </c>
      <c r="J43">
        <f ca="1"/>
        <v>0</v>
      </c>
      <c r="K43">
        <f ca="1"/>
        <v>0</v>
      </c>
      <c r="L43">
        <f ca="1"/>
        <v>0</v>
      </c>
      <c r="M43">
        <f ca="1"/>
        <v>0</v>
      </c>
      <c r="N43">
        <f ca="1"/>
        <v>0</v>
      </c>
      <c r="O43">
        <f ca="1"/>
        <v>0</v>
      </c>
      <c r="P43">
        <f ca="1"/>
        <v>0</v>
      </c>
      <c r="Q43">
        <f ca="1"/>
        <v>0</v>
      </c>
      <c r="R43">
        <f ca="1"/>
        <v>0</v>
      </c>
      <c r="S43">
        <f ca="1"/>
        <v>0</v>
      </c>
      <c r="T43">
        <f ca="1"/>
        <v>0</v>
      </c>
      <c r="U43">
        <f ca="1"/>
        <v>0</v>
      </c>
      <c r="V43">
        <f ca="1"/>
        <v>0</v>
      </c>
      <c r="W43">
        <f ca="1"/>
        <v>0</v>
      </c>
      <c r="X43">
        <f ca="1"/>
        <v>0</v>
      </c>
      <c r="Y43">
        <f ca="1"/>
        <v>0</v>
      </c>
      <c r="Z43">
        <f ca="1"/>
        <v>0</v>
      </c>
      <c r="AA43">
        <f ca="1"/>
        <v>0</v>
      </c>
      <c r="AB43">
        <f ca="1"/>
        <v>0</v>
      </c>
      <c r="AC43">
        <f ca="1"/>
        <v>0</v>
      </c>
      <c r="AD43">
        <f ca="1"/>
        <v>0</v>
      </c>
      <c r="AE43">
        <f ca="1"/>
        <v>0</v>
      </c>
      <c r="AF43">
        <f ca="1"/>
        <v>0</v>
      </c>
      <c r="AG43">
        <f ca="1"/>
        <v>0</v>
      </c>
      <c r="AH43">
        <f ca="1"/>
        <v>0</v>
      </c>
      <c r="AI43">
        <f ca="1"/>
        <v>0</v>
      </c>
      <c r="AJ43">
        <f ca="1"/>
        <v>0</v>
      </c>
      <c r="AK43">
        <f ca="1"/>
        <v>0</v>
      </c>
      <c r="AL43">
        <f ca="1"/>
        <v>0</v>
      </c>
      <c r="AM43">
        <f ca="1"/>
        <v>0</v>
      </c>
      <c r="AN43">
        <f ca="1"/>
        <v>0</v>
      </c>
      <c r="AO43">
        <f ca="1"/>
        <v>0</v>
      </c>
      <c r="AP43">
        <f ca="1"/>
        <v>0</v>
      </c>
      <c r="AQ43">
        <f ca="1"/>
        <v>0</v>
      </c>
      <c r="AR43">
        <f ca="1"/>
        <v>0</v>
      </c>
      <c r="AS43">
        <f ca="1"/>
        <v>0</v>
      </c>
      <c r="AT43">
        <f ca="1"/>
        <v>0</v>
      </c>
      <c r="AU43">
        <f ca="1"/>
        <v>0</v>
      </c>
      <c r="AV43">
        <f ca="1"/>
        <v>0</v>
      </c>
      <c r="AW43">
        <f ca="1"/>
        <v>0</v>
      </c>
      <c r="AX43">
        <f ca="1"/>
        <v>0</v>
      </c>
      <c r="AY43">
        <f ca="1"/>
        <v>0</v>
      </c>
      <c r="AZ43">
        <f ca="1"/>
        <v>0</v>
      </c>
      <c r="BA43">
        <f ca="1"/>
        <v>0</v>
      </c>
      <c r="BB43">
        <f ca="1"/>
        <v>0</v>
      </c>
      <c r="BC43">
        <f ca="1"/>
        <v>0</v>
      </c>
      <c r="BD43">
        <f ca="1"/>
        <v>0</v>
      </c>
      <c r="BE43">
        <f ca="1"/>
        <v>0</v>
      </c>
      <c r="BF43">
        <f ca="1"/>
        <v>0</v>
      </c>
      <c r="BG43">
        <f ca="1"/>
        <v>0</v>
      </c>
      <c r="BH43">
        <f ca="1"/>
        <v>0</v>
      </c>
      <c r="BI43">
        <f ca="1"/>
        <v>0</v>
      </c>
      <c r="BJ43">
        <f ca="1"/>
        <v>0</v>
      </c>
      <c r="BK43">
        <f ca="1"/>
        <v>0</v>
      </c>
      <c r="BL43">
        <f ca="1"/>
        <v>0</v>
      </c>
      <c r="BM43">
        <f ca="1"/>
        <v>0</v>
      </c>
      <c r="BN43">
        <f ca="1"/>
        <v>0</v>
      </c>
      <c r="BO43">
        <f ca="1"/>
        <v>0</v>
      </c>
      <c r="BP43">
        <f ca="1"/>
        <v>0</v>
      </c>
      <c r="BQ43">
        <f ca="1"/>
        <v>0</v>
      </c>
      <c r="BR43">
        <f ca="1"/>
        <v>0</v>
      </c>
      <c r="BS43">
        <f ca="1"/>
        <v>0</v>
      </c>
      <c r="BT43">
        <f ca="1"/>
        <v>0</v>
      </c>
      <c r="BU43">
        <f ca="1"/>
        <v>0</v>
      </c>
      <c r="BV43">
        <f ca="1"/>
        <v>0</v>
      </c>
      <c r="BW43">
        <f ca="1"/>
        <v>0</v>
      </c>
      <c r="BX43">
        <f ca="1"/>
        <v>0</v>
      </c>
      <c r="BY43">
        <f ca="1"/>
        <v>0</v>
      </c>
      <c r="BZ43">
        <f ca="1"/>
        <v>0</v>
      </c>
      <c r="CA43">
        <f ca="1"/>
        <v>0</v>
      </c>
      <c r="CB43">
        <f ca="1"/>
        <v>0</v>
      </c>
      <c r="CC43">
        <f ca="1"/>
        <v>0</v>
      </c>
      <c r="CD43">
        <f ca="1"/>
        <v>0</v>
      </c>
      <c r="CE43">
        <f ca="1"/>
        <v>0</v>
      </c>
      <c r="CF43">
        <f ca="1"/>
        <v>0</v>
      </c>
      <c r="CG43">
        <f ca="1"/>
        <v>0</v>
      </c>
      <c r="CH43">
        <f ca="1"/>
        <v>0</v>
      </c>
      <c r="CI43">
        <f ca="1"/>
        <v>0</v>
      </c>
      <c r="CJ43">
        <f ca="1"/>
        <v>0</v>
      </c>
      <c r="CK43">
        <f ca="1"/>
        <v>0</v>
      </c>
      <c r="CL43">
        <f ca="1"/>
        <v>0</v>
      </c>
      <c r="CM43">
        <f ca="1"/>
        <v>0</v>
      </c>
      <c r="CN43">
        <f ca="1"/>
        <v>0</v>
      </c>
      <c r="CO43">
        <f ca="1"/>
        <v>0</v>
      </c>
      <c r="CP43">
        <f ca="1"/>
        <v>0</v>
      </c>
      <c r="CQ43">
        <f ca="1"/>
        <v>0</v>
      </c>
      <c r="CR43">
        <f ca="1"/>
        <v>0</v>
      </c>
      <c r="CS43">
        <f ca="1"/>
        <v>0</v>
      </c>
      <c r="CT43">
        <f ca="1"/>
        <v>0</v>
      </c>
      <c r="CU43">
        <f ca="1"/>
        <v>0</v>
      </c>
      <c r="CV43">
        <f ca="1"/>
        <v>0</v>
      </c>
      <c r="CW43">
        <f ca="1"/>
        <v>0</v>
      </c>
      <c r="CX43">
        <f ca="1"/>
        <v>0</v>
      </c>
      <c r="CY43">
        <f ca="1"/>
        <v>0</v>
      </c>
      <c r="CZ43">
        <f ca="1"/>
        <v>0</v>
      </c>
      <c r="DA43">
        <f ca="1"/>
        <v>0</v>
      </c>
      <c r="DB43">
        <f ca="1"/>
        <v>0</v>
      </c>
      <c r="DC43">
        <f ca="1"/>
        <v>0</v>
      </c>
      <c r="DD43">
        <f ca="1"/>
        <v>0</v>
      </c>
      <c r="DE43">
        <f ca="1"/>
        <v>0</v>
      </c>
      <c r="DF43">
        <f ca="1"/>
        <v>0</v>
      </c>
      <c r="DG43">
        <f ca="1"/>
        <v>0</v>
      </c>
      <c r="DH43">
        <f ca="1"/>
        <v>0</v>
      </c>
      <c r="DI43">
        <f ca="1"/>
        <v>0</v>
      </c>
      <c r="DJ43">
        <f ca="1"/>
        <v>0</v>
      </c>
      <c r="DK43">
        <f ca="1"/>
        <v>0</v>
      </c>
      <c r="DL43">
        <f ca="1"/>
        <v>0</v>
      </c>
      <c r="DM43">
        <f ca="1"/>
        <v>0</v>
      </c>
      <c r="DN43">
        <f ca="1"/>
        <v>0</v>
      </c>
      <c r="DO43">
        <f ca="1"/>
        <v>0</v>
      </c>
      <c r="DP43">
        <f ca="1"/>
        <v>0</v>
      </c>
      <c r="DQ43">
        <f ca="1"/>
        <v>0</v>
      </c>
      <c r="DR43">
        <f ca="1"/>
        <v>0</v>
      </c>
      <c r="DS43">
        <f ca="1"/>
        <v>0</v>
      </c>
      <c r="DT43">
        <f ca="1"/>
        <v>0</v>
      </c>
      <c r="DU43">
        <f ca="1"/>
        <v>0</v>
      </c>
      <c r="DV43">
        <f ca="1"/>
        <v>0</v>
      </c>
      <c r="DW43">
        <f ca="1"/>
        <v>0</v>
      </c>
      <c r="DX43">
        <f ca="1"/>
        <v>0</v>
      </c>
      <c r="DY43">
        <f ca="1"/>
        <v>0</v>
      </c>
      <c r="DZ43">
        <f ca="1"/>
        <v>0</v>
      </c>
      <c r="EA43">
        <f ca="1"/>
        <v>0</v>
      </c>
      <c r="EB43">
        <f ca="1"/>
        <v>0</v>
      </c>
      <c r="EC43">
        <f ca="1"/>
        <v>0</v>
      </c>
      <c r="ED43">
        <f ca="1"/>
        <v>0</v>
      </c>
      <c r="EE43">
        <f ca="1"/>
        <v>0</v>
      </c>
      <c r="EF43">
        <f ca="1"/>
        <v>0</v>
      </c>
      <c r="EG43">
        <f ca="1"/>
        <v>0</v>
      </c>
      <c r="EH43">
        <f ca="1"/>
        <v>0</v>
      </c>
      <c r="EI43">
        <f ca="1"/>
        <v>0</v>
      </c>
      <c r="EJ43">
        <f ca="1"/>
        <v>0</v>
      </c>
      <c r="EK43">
        <f ca="1"/>
        <v>0</v>
      </c>
      <c r="EL43">
        <f ca="1"/>
        <v>0</v>
      </c>
      <c r="EM43">
        <f ca="1"/>
        <v>0</v>
      </c>
      <c r="EN43">
        <f ca="1"/>
        <v>0</v>
      </c>
      <c r="EO43">
        <f ca="1"/>
        <v>0</v>
      </c>
      <c r="EP43">
        <f ca="1"/>
        <v>0</v>
      </c>
      <c r="EQ43">
        <f ca="1"/>
        <v>0</v>
      </c>
      <c r="ER43">
        <f ca="1"/>
        <v>0</v>
      </c>
      <c r="ES43">
        <f ca="1"/>
        <v>0</v>
      </c>
      <c r="ET43">
        <f ca="1"/>
        <v>0</v>
      </c>
      <c r="EU43">
        <f ca="1"/>
        <v>0</v>
      </c>
      <c r="EV43">
        <f ca="1"/>
        <v>0</v>
      </c>
      <c r="EW43">
        <f ca="1"/>
        <v>0</v>
      </c>
      <c r="EX43">
        <f ca="1"/>
        <v>0</v>
      </c>
      <c r="EY43">
        <f ca="1"/>
        <v>0</v>
      </c>
      <c r="EZ43">
        <f ca="1"/>
        <v>0</v>
      </c>
      <c r="FA43">
        <f ca="1"/>
        <v>0</v>
      </c>
      <c r="FB43">
        <f ca="1"/>
        <v>0</v>
      </c>
      <c r="FC43">
        <f ca="1"/>
        <v>0</v>
      </c>
      <c r="FD43">
        <f ca="1"/>
        <v>0</v>
      </c>
      <c r="FE43">
        <f ca="1"/>
        <v>0</v>
      </c>
      <c r="FF43">
        <f ca="1"/>
        <v>0</v>
      </c>
      <c r="FG43">
        <f ca="1"/>
        <v>0</v>
      </c>
      <c r="FH43">
        <f ca="1"/>
        <v>0</v>
      </c>
      <c r="FI43">
        <f ca="1"/>
        <v>0</v>
      </c>
      <c r="FJ43">
        <f ca="1"/>
        <v>0</v>
      </c>
      <c r="FK43">
        <f ca="1"/>
        <v>0</v>
      </c>
      <c r="FL43">
        <f ca="1"/>
        <v>0</v>
      </c>
      <c r="FM43">
        <f ca="1"/>
        <v>0</v>
      </c>
      <c r="FN43">
        <f ca="1"/>
        <v>0</v>
      </c>
      <c r="FO43">
        <f ca="1"/>
        <v>0</v>
      </c>
      <c r="FP43">
        <f ca="1"/>
        <v>0</v>
      </c>
      <c r="FQ43">
        <f ca="1"/>
        <v>0</v>
      </c>
      <c r="FR43">
        <f ca="1"/>
        <v>0</v>
      </c>
      <c r="FS43">
        <f ca="1"/>
        <v>0</v>
      </c>
      <c r="FT43">
        <f ca="1"/>
        <v>0</v>
      </c>
      <c r="FU43">
        <f ca="1"/>
        <v>0</v>
      </c>
      <c r="FV43">
        <f ca="1"/>
        <v>0</v>
      </c>
      <c r="FW43">
        <f ca="1"/>
        <v>0</v>
      </c>
      <c r="FX43">
        <f ca="1"/>
        <v>0</v>
      </c>
      <c r="FY43">
        <f ca="1"/>
        <v>0</v>
      </c>
      <c r="FZ43">
        <f ca="1"/>
        <v>0</v>
      </c>
    </row>
    <row r="44" spans="3:182">
      <c r="C44" cm="1">
        <f t="array" aca="1" ref="C44:FZ44" ca="1">IFERROR(TRANSPOSE(INDEX(_xlfn._xlws.FILTER(INDIRECT("SubcategoriesTable[Subcategory name]"),INDIRECT("SubcategoriesTable[Category name]")=$B44),,)),"No subcategories")</f>
        <v>0</v>
      </c>
      <c r="D44">
        <f ca="1"/>
        <v>0</v>
      </c>
      <c r="E44">
        <f ca="1"/>
        <v>0</v>
      </c>
      <c r="F44">
        <f ca="1"/>
        <v>0</v>
      </c>
      <c r="G44">
        <f ca="1"/>
        <v>0</v>
      </c>
      <c r="H44">
        <f ca="1"/>
        <v>0</v>
      </c>
      <c r="I44">
        <f ca="1"/>
        <v>0</v>
      </c>
      <c r="J44">
        <f ca="1"/>
        <v>0</v>
      </c>
      <c r="K44">
        <f ca="1"/>
        <v>0</v>
      </c>
      <c r="L44">
        <f ca="1"/>
        <v>0</v>
      </c>
      <c r="M44">
        <f ca="1"/>
        <v>0</v>
      </c>
      <c r="N44">
        <f ca="1"/>
        <v>0</v>
      </c>
      <c r="O44">
        <f ca="1"/>
        <v>0</v>
      </c>
      <c r="P44">
        <f ca="1"/>
        <v>0</v>
      </c>
      <c r="Q44">
        <f ca="1"/>
        <v>0</v>
      </c>
      <c r="R44">
        <f ca="1"/>
        <v>0</v>
      </c>
      <c r="S44">
        <f ca="1"/>
        <v>0</v>
      </c>
      <c r="T44">
        <f ca="1"/>
        <v>0</v>
      </c>
      <c r="U44">
        <f ca="1"/>
        <v>0</v>
      </c>
      <c r="V44">
        <f ca="1"/>
        <v>0</v>
      </c>
      <c r="W44">
        <f ca="1"/>
        <v>0</v>
      </c>
      <c r="X44">
        <f ca="1"/>
        <v>0</v>
      </c>
      <c r="Y44">
        <f ca="1"/>
        <v>0</v>
      </c>
      <c r="Z44">
        <f ca="1"/>
        <v>0</v>
      </c>
      <c r="AA44">
        <f ca="1"/>
        <v>0</v>
      </c>
      <c r="AB44">
        <f ca="1"/>
        <v>0</v>
      </c>
      <c r="AC44">
        <f ca="1"/>
        <v>0</v>
      </c>
      <c r="AD44">
        <f ca="1"/>
        <v>0</v>
      </c>
      <c r="AE44">
        <f ca="1"/>
        <v>0</v>
      </c>
      <c r="AF44">
        <f ca="1"/>
        <v>0</v>
      </c>
      <c r="AG44">
        <f ca="1"/>
        <v>0</v>
      </c>
      <c r="AH44">
        <f ca="1"/>
        <v>0</v>
      </c>
      <c r="AI44">
        <f ca="1"/>
        <v>0</v>
      </c>
      <c r="AJ44">
        <f ca="1"/>
        <v>0</v>
      </c>
      <c r="AK44">
        <f ca="1"/>
        <v>0</v>
      </c>
      <c r="AL44">
        <f ca="1"/>
        <v>0</v>
      </c>
      <c r="AM44">
        <f ca="1"/>
        <v>0</v>
      </c>
      <c r="AN44">
        <f ca="1"/>
        <v>0</v>
      </c>
      <c r="AO44">
        <f ca="1"/>
        <v>0</v>
      </c>
      <c r="AP44">
        <f ca="1"/>
        <v>0</v>
      </c>
      <c r="AQ44">
        <f ca="1"/>
        <v>0</v>
      </c>
      <c r="AR44">
        <f ca="1"/>
        <v>0</v>
      </c>
      <c r="AS44">
        <f ca="1"/>
        <v>0</v>
      </c>
      <c r="AT44">
        <f ca="1"/>
        <v>0</v>
      </c>
      <c r="AU44">
        <f ca="1"/>
        <v>0</v>
      </c>
      <c r="AV44">
        <f ca="1"/>
        <v>0</v>
      </c>
      <c r="AW44">
        <f ca="1"/>
        <v>0</v>
      </c>
      <c r="AX44">
        <f ca="1"/>
        <v>0</v>
      </c>
      <c r="AY44">
        <f ca="1"/>
        <v>0</v>
      </c>
      <c r="AZ44">
        <f ca="1"/>
        <v>0</v>
      </c>
      <c r="BA44">
        <f ca="1"/>
        <v>0</v>
      </c>
      <c r="BB44">
        <f ca="1"/>
        <v>0</v>
      </c>
      <c r="BC44">
        <f ca="1"/>
        <v>0</v>
      </c>
      <c r="BD44">
        <f ca="1"/>
        <v>0</v>
      </c>
      <c r="BE44">
        <f ca="1"/>
        <v>0</v>
      </c>
      <c r="BF44">
        <f ca="1"/>
        <v>0</v>
      </c>
      <c r="BG44">
        <f ca="1"/>
        <v>0</v>
      </c>
      <c r="BH44">
        <f ca="1"/>
        <v>0</v>
      </c>
      <c r="BI44">
        <f ca="1"/>
        <v>0</v>
      </c>
      <c r="BJ44">
        <f ca="1"/>
        <v>0</v>
      </c>
      <c r="BK44">
        <f ca="1"/>
        <v>0</v>
      </c>
      <c r="BL44">
        <f ca="1"/>
        <v>0</v>
      </c>
      <c r="BM44">
        <f ca="1"/>
        <v>0</v>
      </c>
      <c r="BN44">
        <f ca="1"/>
        <v>0</v>
      </c>
      <c r="BO44">
        <f ca="1"/>
        <v>0</v>
      </c>
      <c r="BP44">
        <f ca="1"/>
        <v>0</v>
      </c>
      <c r="BQ44">
        <f ca="1"/>
        <v>0</v>
      </c>
      <c r="BR44">
        <f ca="1"/>
        <v>0</v>
      </c>
      <c r="BS44">
        <f ca="1"/>
        <v>0</v>
      </c>
      <c r="BT44">
        <f ca="1"/>
        <v>0</v>
      </c>
      <c r="BU44">
        <f ca="1"/>
        <v>0</v>
      </c>
      <c r="BV44">
        <f ca="1"/>
        <v>0</v>
      </c>
      <c r="BW44">
        <f ca="1"/>
        <v>0</v>
      </c>
      <c r="BX44">
        <f ca="1"/>
        <v>0</v>
      </c>
      <c r="BY44">
        <f ca="1"/>
        <v>0</v>
      </c>
      <c r="BZ44">
        <f ca="1"/>
        <v>0</v>
      </c>
      <c r="CA44">
        <f ca="1"/>
        <v>0</v>
      </c>
      <c r="CB44">
        <f ca="1"/>
        <v>0</v>
      </c>
      <c r="CC44">
        <f ca="1"/>
        <v>0</v>
      </c>
      <c r="CD44">
        <f ca="1"/>
        <v>0</v>
      </c>
      <c r="CE44">
        <f ca="1"/>
        <v>0</v>
      </c>
      <c r="CF44">
        <f ca="1"/>
        <v>0</v>
      </c>
      <c r="CG44">
        <f ca="1"/>
        <v>0</v>
      </c>
      <c r="CH44">
        <f ca="1"/>
        <v>0</v>
      </c>
      <c r="CI44">
        <f ca="1"/>
        <v>0</v>
      </c>
      <c r="CJ44">
        <f ca="1"/>
        <v>0</v>
      </c>
      <c r="CK44">
        <f ca="1"/>
        <v>0</v>
      </c>
      <c r="CL44">
        <f ca="1"/>
        <v>0</v>
      </c>
      <c r="CM44">
        <f ca="1"/>
        <v>0</v>
      </c>
      <c r="CN44">
        <f ca="1"/>
        <v>0</v>
      </c>
      <c r="CO44">
        <f ca="1"/>
        <v>0</v>
      </c>
      <c r="CP44">
        <f ca="1"/>
        <v>0</v>
      </c>
      <c r="CQ44">
        <f ca="1"/>
        <v>0</v>
      </c>
      <c r="CR44">
        <f ca="1"/>
        <v>0</v>
      </c>
      <c r="CS44">
        <f ca="1"/>
        <v>0</v>
      </c>
      <c r="CT44">
        <f ca="1"/>
        <v>0</v>
      </c>
      <c r="CU44">
        <f ca="1"/>
        <v>0</v>
      </c>
      <c r="CV44">
        <f ca="1"/>
        <v>0</v>
      </c>
      <c r="CW44">
        <f ca="1"/>
        <v>0</v>
      </c>
      <c r="CX44">
        <f ca="1"/>
        <v>0</v>
      </c>
      <c r="CY44">
        <f ca="1"/>
        <v>0</v>
      </c>
      <c r="CZ44">
        <f ca="1"/>
        <v>0</v>
      </c>
      <c r="DA44">
        <f ca="1"/>
        <v>0</v>
      </c>
      <c r="DB44">
        <f ca="1"/>
        <v>0</v>
      </c>
      <c r="DC44">
        <f ca="1"/>
        <v>0</v>
      </c>
      <c r="DD44">
        <f ca="1"/>
        <v>0</v>
      </c>
      <c r="DE44">
        <f ca="1"/>
        <v>0</v>
      </c>
      <c r="DF44">
        <f ca="1"/>
        <v>0</v>
      </c>
      <c r="DG44">
        <f ca="1"/>
        <v>0</v>
      </c>
      <c r="DH44">
        <f ca="1"/>
        <v>0</v>
      </c>
      <c r="DI44">
        <f ca="1"/>
        <v>0</v>
      </c>
      <c r="DJ44">
        <f ca="1"/>
        <v>0</v>
      </c>
      <c r="DK44">
        <f ca="1"/>
        <v>0</v>
      </c>
      <c r="DL44">
        <f ca="1"/>
        <v>0</v>
      </c>
      <c r="DM44">
        <f ca="1"/>
        <v>0</v>
      </c>
      <c r="DN44">
        <f ca="1"/>
        <v>0</v>
      </c>
      <c r="DO44">
        <f ca="1"/>
        <v>0</v>
      </c>
      <c r="DP44">
        <f ca="1"/>
        <v>0</v>
      </c>
      <c r="DQ44">
        <f ca="1"/>
        <v>0</v>
      </c>
      <c r="DR44">
        <f ca="1"/>
        <v>0</v>
      </c>
      <c r="DS44">
        <f ca="1"/>
        <v>0</v>
      </c>
      <c r="DT44">
        <f ca="1"/>
        <v>0</v>
      </c>
      <c r="DU44">
        <f ca="1"/>
        <v>0</v>
      </c>
      <c r="DV44">
        <f ca="1"/>
        <v>0</v>
      </c>
      <c r="DW44">
        <f ca="1"/>
        <v>0</v>
      </c>
      <c r="DX44">
        <f ca="1"/>
        <v>0</v>
      </c>
      <c r="DY44">
        <f ca="1"/>
        <v>0</v>
      </c>
      <c r="DZ44">
        <f ca="1"/>
        <v>0</v>
      </c>
      <c r="EA44">
        <f ca="1"/>
        <v>0</v>
      </c>
      <c r="EB44">
        <f ca="1"/>
        <v>0</v>
      </c>
      <c r="EC44">
        <f ca="1"/>
        <v>0</v>
      </c>
      <c r="ED44">
        <f ca="1"/>
        <v>0</v>
      </c>
      <c r="EE44">
        <f ca="1"/>
        <v>0</v>
      </c>
      <c r="EF44">
        <f ca="1"/>
        <v>0</v>
      </c>
      <c r="EG44">
        <f ca="1"/>
        <v>0</v>
      </c>
      <c r="EH44">
        <f ca="1"/>
        <v>0</v>
      </c>
      <c r="EI44">
        <f ca="1"/>
        <v>0</v>
      </c>
      <c r="EJ44">
        <f ca="1"/>
        <v>0</v>
      </c>
      <c r="EK44">
        <f ca="1"/>
        <v>0</v>
      </c>
      <c r="EL44">
        <f ca="1"/>
        <v>0</v>
      </c>
      <c r="EM44">
        <f ca="1"/>
        <v>0</v>
      </c>
      <c r="EN44">
        <f ca="1"/>
        <v>0</v>
      </c>
      <c r="EO44">
        <f ca="1"/>
        <v>0</v>
      </c>
      <c r="EP44">
        <f ca="1"/>
        <v>0</v>
      </c>
      <c r="EQ44">
        <f ca="1"/>
        <v>0</v>
      </c>
      <c r="ER44">
        <f ca="1"/>
        <v>0</v>
      </c>
      <c r="ES44">
        <f ca="1"/>
        <v>0</v>
      </c>
      <c r="ET44">
        <f ca="1"/>
        <v>0</v>
      </c>
      <c r="EU44">
        <f ca="1"/>
        <v>0</v>
      </c>
      <c r="EV44">
        <f ca="1"/>
        <v>0</v>
      </c>
      <c r="EW44">
        <f ca="1"/>
        <v>0</v>
      </c>
      <c r="EX44">
        <f ca="1"/>
        <v>0</v>
      </c>
      <c r="EY44">
        <f ca="1"/>
        <v>0</v>
      </c>
      <c r="EZ44">
        <f ca="1"/>
        <v>0</v>
      </c>
      <c r="FA44">
        <f ca="1"/>
        <v>0</v>
      </c>
      <c r="FB44">
        <f ca="1"/>
        <v>0</v>
      </c>
      <c r="FC44">
        <f ca="1"/>
        <v>0</v>
      </c>
      <c r="FD44">
        <f ca="1"/>
        <v>0</v>
      </c>
      <c r="FE44">
        <f ca="1"/>
        <v>0</v>
      </c>
      <c r="FF44">
        <f ca="1"/>
        <v>0</v>
      </c>
      <c r="FG44">
        <f ca="1"/>
        <v>0</v>
      </c>
      <c r="FH44">
        <f ca="1"/>
        <v>0</v>
      </c>
      <c r="FI44">
        <f ca="1"/>
        <v>0</v>
      </c>
      <c r="FJ44">
        <f ca="1"/>
        <v>0</v>
      </c>
      <c r="FK44">
        <f ca="1"/>
        <v>0</v>
      </c>
      <c r="FL44">
        <f ca="1"/>
        <v>0</v>
      </c>
      <c r="FM44">
        <f ca="1"/>
        <v>0</v>
      </c>
      <c r="FN44">
        <f ca="1"/>
        <v>0</v>
      </c>
      <c r="FO44">
        <f ca="1"/>
        <v>0</v>
      </c>
      <c r="FP44">
        <f ca="1"/>
        <v>0</v>
      </c>
      <c r="FQ44">
        <f ca="1"/>
        <v>0</v>
      </c>
      <c r="FR44">
        <f ca="1"/>
        <v>0</v>
      </c>
      <c r="FS44">
        <f ca="1"/>
        <v>0</v>
      </c>
      <c r="FT44">
        <f ca="1"/>
        <v>0</v>
      </c>
      <c r="FU44">
        <f ca="1"/>
        <v>0</v>
      </c>
      <c r="FV44">
        <f ca="1"/>
        <v>0</v>
      </c>
      <c r="FW44">
        <f ca="1"/>
        <v>0</v>
      </c>
      <c r="FX44">
        <f ca="1"/>
        <v>0</v>
      </c>
      <c r="FY44">
        <f ca="1"/>
        <v>0</v>
      </c>
      <c r="FZ44">
        <f ca="1"/>
        <v>0</v>
      </c>
    </row>
    <row r="45" spans="3:182">
      <c r="C45" cm="1">
        <f t="array" aca="1" ref="C45:FZ45" ca="1">IFERROR(TRANSPOSE(INDEX(_xlfn._xlws.FILTER(INDIRECT("SubcategoriesTable[Subcategory name]"),INDIRECT("SubcategoriesTable[Category name]")=$B45),,)),"No subcategories")</f>
        <v>0</v>
      </c>
      <c r="D45">
        <f ca="1"/>
        <v>0</v>
      </c>
      <c r="E45">
        <f ca="1"/>
        <v>0</v>
      </c>
      <c r="F45">
        <f ca="1"/>
        <v>0</v>
      </c>
      <c r="G45">
        <f ca="1"/>
        <v>0</v>
      </c>
      <c r="H45">
        <f ca="1"/>
        <v>0</v>
      </c>
      <c r="I45">
        <f ca="1"/>
        <v>0</v>
      </c>
      <c r="J45">
        <f ca="1"/>
        <v>0</v>
      </c>
      <c r="K45">
        <f ca="1"/>
        <v>0</v>
      </c>
      <c r="L45">
        <f ca="1"/>
        <v>0</v>
      </c>
      <c r="M45">
        <f ca="1"/>
        <v>0</v>
      </c>
      <c r="N45">
        <f ca="1"/>
        <v>0</v>
      </c>
      <c r="O45">
        <f ca="1"/>
        <v>0</v>
      </c>
      <c r="P45">
        <f ca="1"/>
        <v>0</v>
      </c>
      <c r="Q45">
        <f ca="1"/>
        <v>0</v>
      </c>
      <c r="R45">
        <f ca="1"/>
        <v>0</v>
      </c>
      <c r="S45">
        <f ca="1"/>
        <v>0</v>
      </c>
      <c r="T45">
        <f ca="1"/>
        <v>0</v>
      </c>
      <c r="U45">
        <f ca="1"/>
        <v>0</v>
      </c>
      <c r="V45">
        <f ca="1"/>
        <v>0</v>
      </c>
      <c r="W45">
        <f ca="1"/>
        <v>0</v>
      </c>
      <c r="X45">
        <f ca="1"/>
        <v>0</v>
      </c>
      <c r="Y45">
        <f ca="1"/>
        <v>0</v>
      </c>
      <c r="Z45">
        <f ca="1"/>
        <v>0</v>
      </c>
      <c r="AA45">
        <f ca="1"/>
        <v>0</v>
      </c>
      <c r="AB45">
        <f ca="1"/>
        <v>0</v>
      </c>
      <c r="AC45">
        <f ca="1"/>
        <v>0</v>
      </c>
      <c r="AD45">
        <f ca="1"/>
        <v>0</v>
      </c>
      <c r="AE45">
        <f ca="1"/>
        <v>0</v>
      </c>
      <c r="AF45">
        <f ca="1"/>
        <v>0</v>
      </c>
      <c r="AG45">
        <f ca="1"/>
        <v>0</v>
      </c>
      <c r="AH45">
        <f ca="1"/>
        <v>0</v>
      </c>
      <c r="AI45">
        <f ca="1"/>
        <v>0</v>
      </c>
      <c r="AJ45">
        <f ca="1"/>
        <v>0</v>
      </c>
      <c r="AK45">
        <f ca="1"/>
        <v>0</v>
      </c>
      <c r="AL45">
        <f ca="1"/>
        <v>0</v>
      </c>
      <c r="AM45">
        <f ca="1"/>
        <v>0</v>
      </c>
      <c r="AN45">
        <f ca="1"/>
        <v>0</v>
      </c>
      <c r="AO45">
        <f ca="1"/>
        <v>0</v>
      </c>
      <c r="AP45">
        <f ca="1"/>
        <v>0</v>
      </c>
      <c r="AQ45">
        <f ca="1"/>
        <v>0</v>
      </c>
      <c r="AR45">
        <f ca="1"/>
        <v>0</v>
      </c>
      <c r="AS45">
        <f ca="1"/>
        <v>0</v>
      </c>
      <c r="AT45">
        <f ca="1"/>
        <v>0</v>
      </c>
      <c r="AU45">
        <f ca="1"/>
        <v>0</v>
      </c>
      <c r="AV45">
        <f ca="1"/>
        <v>0</v>
      </c>
      <c r="AW45">
        <f ca="1"/>
        <v>0</v>
      </c>
      <c r="AX45">
        <f ca="1"/>
        <v>0</v>
      </c>
      <c r="AY45">
        <f ca="1"/>
        <v>0</v>
      </c>
      <c r="AZ45">
        <f ca="1"/>
        <v>0</v>
      </c>
      <c r="BA45">
        <f ca="1"/>
        <v>0</v>
      </c>
      <c r="BB45">
        <f ca="1"/>
        <v>0</v>
      </c>
      <c r="BC45">
        <f ca="1"/>
        <v>0</v>
      </c>
      <c r="BD45">
        <f ca="1"/>
        <v>0</v>
      </c>
      <c r="BE45">
        <f ca="1"/>
        <v>0</v>
      </c>
      <c r="BF45">
        <f ca="1"/>
        <v>0</v>
      </c>
      <c r="BG45">
        <f ca="1"/>
        <v>0</v>
      </c>
      <c r="BH45">
        <f ca="1"/>
        <v>0</v>
      </c>
      <c r="BI45">
        <f ca="1"/>
        <v>0</v>
      </c>
      <c r="BJ45">
        <f ca="1"/>
        <v>0</v>
      </c>
      <c r="BK45">
        <f ca="1"/>
        <v>0</v>
      </c>
      <c r="BL45">
        <f ca="1"/>
        <v>0</v>
      </c>
      <c r="BM45">
        <f ca="1"/>
        <v>0</v>
      </c>
      <c r="BN45">
        <f ca="1"/>
        <v>0</v>
      </c>
      <c r="BO45">
        <f ca="1"/>
        <v>0</v>
      </c>
      <c r="BP45">
        <f ca="1"/>
        <v>0</v>
      </c>
      <c r="BQ45">
        <f ca="1"/>
        <v>0</v>
      </c>
      <c r="BR45">
        <f ca="1"/>
        <v>0</v>
      </c>
      <c r="BS45">
        <f ca="1"/>
        <v>0</v>
      </c>
      <c r="BT45">
        <f ca="1"/>
        <v>0</v>
      </c>
      <c r="BU45">
        <f ca="1"/>
        <v>0</v>
      </c>
      <c r="BV45">
        <f ca="1"/>
        <v>0</v>
      </c>
      <c r="BW45">
        <f ca="1"/>
        <v>0</v>
      </c>
      <c r="BX45">
        <f ca="1"/>
        <v>0</v>
      </c>
      <c r="BY45">
        <f ca="1"/>
        <v>0</v>
      </c>
      <c r="BZ45">
        <f ca="1"/>
        <v>0</v>
      </c>
      <c r="CA45">
        <f ca="1"/>
        <v>0</v>
      </c>
      <c r="CB45">
        <f ca="1"/>
        <v>0</v>
      </c>
      <c r="CC45">
        <f ca="1"/>
        <v>0</v>
      </c>
      <c r="CD45">
        <f ca="1"/>
        <v>0</v>
      </c>
      <c r="CE45">
        <f ca="1"/>
        <v>0</v>
      </c>
      <c r="CF45">
        <f ca="1"/>
        <v>0</v>
      </c>
      <c r="CG45">
        <f ca="1"/>
        <v>0</v>
      </c>
      <c r="CH45">
        <f ca="1"/>
        <v>0</v>
      </c>
      <c r="CI45">
        <f ca="1"/>
        <v>0</v>
      </c>
      <c r="CJ45">
        <f ca="1"/>
        <v>0</v>
      </c>
      <c r="CK45">
        <f ca="1"/>
        <v>0</v>
      </c>
      <c r="CL45">
        <f ca="1"/>
        <v>0</v>
      </c>
      <c r="CM45">
        <f ca="1"/>
        <v>0</v>
      </c>
      <c r="CN45">
        <f ca="1"/>
        <v>0</v>
      </c>
      <c r="CO45">
        <f ca="1"/>
        <v>0</v>
      </c>
      <c r="CP45">
        <f ca="1"/>
        <v>0</v>
      </c>
      <c r="CQ45">
        <f ca="1"/>
        <v>0</v>
      </c>
      <c r="CR45">
        <f ca="1"/>
        <v>0</v>
      </c>
      <c r="CS45">
        <f ca="1"/>
        <v>0</v>
      </c>
      <c r="CT45">
        <f ca="1"/>
        <v>0</v>
      </c>
      <c r="CU45">
        <f ca="1"/>
        <v>0</v>
      </c>
      <c r="CV45">
        <f ca="1"/>
        <v>0</v>
      </c>
      <c r="CW45">
        <f ca="1"/>
        <v>0</v>
      </c>
      <c r="CX45">
        <f ca="1"/>
        <v>0</v>
      </c>
      <c r="CY45">
        <f ca="1"/>
        <v>0</v>
      </c>
      <c r="CZ45">
        <f ca="1"/>
        <v>0</v>
      </c>
      <c r="DA45">
        <f ca="1"/>
        <v>0</v>
      </c>
      <c r="DB45">
        <f ca="1"/>
        <v>0</v>
      </c>
      <c r="DC45">
        <f ca="1"/>
        <v>0</v>
      </c>
      <c r="DD45">
        <f ca="1"/>
        <v>0</v>
      </c>
      <c r="DE45">
        <f ca="1"/>
        <v>0</v>
      </c>
      <c r="DF45">
        <f ca="1"/>
        <v>0</v>
      </c>
      <c r="DG45">
        <f ca="1"/>
        <v>0</v>
      </c>
      <c r="DH45">
        <f ca="1"/>
        <v>0</v>
      </c>
      <c r="DI45">
        <f ca="1"/>
        <v>0</v>
      </c>
      <c r="DJ45">
        <f ca="1"/>
        <v>0</v>
      </c>
      <c r="DK45">
        <f ca="1"/>
        <v>0</v>
      </c>
      <c r="DL45">
        <f ca="1"/>
        <v>0</v>
      </c>
      <c r="DM45">
        <f ca="1"/>
        <v>0</v>
      </c>
      <c r="DN45">
        <f ca="1"/>
        <v>0</v>
      </c>
      <c r="DO45">
        <f ca="1"/>
        <v>0</v>
      </c>
      <c r="DP45">
        <f ca="1"/>
        <v>0</v>
      </c>
      <c r="DQ45">
        <f ca="1"/>
        <v>0</v>
      </c>
      <c r="DR45">
        <f ca="1"/>
        <v>0</v>
      </c>
      <c r="DS45">
        <f ca="1"/>
        <v>0</v>
      </c>
      <c r="DT45">
        <f ca="1"/>
        <v>0</v>
      </c>
      <c r="DU45">
        <f ca="1"/>
        <v>0</v>
      </c>
      <c r="DV45">
        <f ca="1"/>
        <v>0</v>
      </c>
      <c r="DW45">
        <f ca="1"/>
        <v>0</v>
      </c>
      <c r="DX45">
        <f ca="1"/>
        <v>0</v>
      </c>
      <c r="DY45">
        <f ca="1"/>
        <v>0</v>
      </c>
      <c r="DZ45">
        <f ca="1"/>
        <v>0</v>
      </c>
      <c r="EA45">
        <f ca="1"/>
        <v>0</v>
      </c>
      <c r="EB45">
        <f ca="1"/>
        <v>0</v>
      </c>
      <c r="EC45">
        <f ca="1"/>
        <v>0</v>
      </c>
      <c r="ED45">
        <f ca="1"/>
        <v>0</v>
      </c>
      <c r="EE45">
        <f ca="1"/>
        <v>0</v>
      </c>
      <c r="EF45">
        <f ca="1"/>
        <v>0</v>
      </c>
      <c r="EG45">
        <f ca="1"/>
        <v>0</v>
      </c>
      <c r="EH45">
        <f ca="1"/>
        <v>0</v>
      </c>
      <c r="EI45">
        <f ca="1"/>
        <v>0</v>
      </c>
      <c r="EJ45">
        <f ca="1"/>
        <v>0</v>
      </c>
      <c r="EK45">
        <f ca="1"/>
        <v>0</v>
      </c>
      <c r="EL45">
        <f ca="1"/>
        <v>0</v>
      </c>
      <c r="EM45">
        <f ca="1"/>
        <v>0</v>
      </c>
      <c r="EN45">
        <f ca="1"/>
        <v>0</v>
      </c>
      <c r="EO45">
        <f ca="1"/>
        <v>0</v>
      </c>
      <c r="EP45">
        <f ca="1"/>
        <v>0</v>
      </c>
      <c r="EQ45">
        <f ca="1"/>
        <v>0</v>
      </c>
      <c r="ER45">
        <f ca="1"/>
        <v>0</v>
      </c>
      <c r="ES45">
        <f ca="1"/>
        <v>0</v>
      </c>
      <c r="ET45">
        <f ca="1"/>
        <v>0</v>
      </c>
      <c r="EU45">
        <f ca="1"/>
        <v>0</v>
      </c>
      <c r="EV45">
        <f ca="1"/>
        <v>0</v>
      </c>
      <c r="EW45">
        <f ca="1"/>
        <v>0</v>
      </c>
      <c r="EX45">
        <f ca="1"/>
        <v>0</v>
      </c>
      <c r="EY45">
        <f ca="1"/>
        <v>0</v>
      </c>
      <c r="EZ45">
        <f ca="1"/>
        <v>0</v>
      </c>
      <c r="FA45">
        <f ca="1"/>
        <v>0</v>
      </c>
      <c r="FB45">
        <f ca="1"/>
        <v>0</v>
      </c>
      <c r="FC45">
        <f ca="1"/>
        <v>0</v>
      </c>
      <c r="FD45">
        <f ca="1"/>
        <v>0</v>
      </c>
      <c r="FE45">
        <f ca="1"/>
        <v>0</v>
      </c>
      <c r="FF45">
        <f ca="1"/>
        <v>0</v>
      </c>
      <c r="FG45">
        <f ca="1"/>
        <v>0</v>
      </c>
      <c r="FH45">
        <f ca="1"/>
        <v>0</v>
      </c>
      <c r="FI45">
        <f ca="1"/>
        <v>0</v>
      </c>
      <c r="FJ45">
        <f ca="1"/>
        <v>0</v>
      </c>
      <c r="FK45">
        <f ca="1"/>
        <v>0</v>
      </c>
      <c r="FL45">
        <f ca="1"/>
        <v>0</v>
      </c>
      <c r="FM45">
        <f ca="1"/>
        <v>0</v>
      </c>
      <c r="FN45">
        <f ca="1"/>
        <v>0</v>
      </c>
      <c r="FO45">
        <f ca="1"/>
        <v>0</v>
      </c>
      <c r="FP45">
        <f ca="1"/>
        <v>0</v>
      </c>
      <c r="FQ45">
        <f ca="1"/>
        <v>0</v>
      </c>
      <c r="FR45">
        <f ca="1"/>
        <v>0</v>
      </c>
      <c r="FS45">
        <f ca="1"/>
        <v>0</v>
      </c>
      <c r="FT45">
        <f ca="1"/>
        <v>0</v>
      </c>
      <c r="FU45">
        <f ca="1"/>
        <v>0</v>
      </c>
      <c r="FV45">
        <f ca="1"/>
        <v>0</v>
      </c>
      <c r="FW45">
        <f ca="1"/>
        <v>0</v>
      </c>
      <c r="FX45">
        <f ca="1"/>
        <v>0</v>
      </c>
      <c r="FY45">
        <f ca="1"/>
        <v>0</v>
      </c>
      <c r="FZ45">
        <f ca="1"/>
        <v>0</v>
      </c>
    </row>
    <row r="46" spans="3:182">
      <c r="C46" cm="1">
        <f t="array" aca="1" ref="C46:FZ46" ca="1">IFERROR(TRANSPOSE(INDEX(_xlfn._xlws.FILTER(INDIRECT("SubcategoriesTable[Subcategory name]"),INDIRECT("SubcategoriesTable[Category name]")=$B46),,)),"No subcategories")</f>
        <v>0</v>
      </c>
      <c r="D46">
        <f ca="1"/>
        <v>0</v>
      </c>
      <c r="E46">
        <f ca="1"/>
        <v>0</v>
      </c>
      <c r="F46">
        <f ca="1"/>
        <v>0</v>
      </c>
      <c r="G46">
        <f ca="1"/>
        <v>0</v>
      </c>
      <c r="H46">
        <f ca="1"/>
        <v>0</v>
      </c>
      <c r="I46">
        <f ca="1"/>
        <v>0</v>
      </c>
      <c r="J46">
        <f ca="1"/>
        <v>0</v>
      </c>
      <c r="K46">
        <f ca="1"/>
        <v>0</v>
      </c>
      <c r="L46">
        <f ca="1"/>
        <v>0</v>
      </c>
      <c r="M46">
        <f ca="1"/>
        <v>0</v>
      </c>
      <c r="N46">
        <f ca="1"/>
        <v>0</v>
      </c>
      <c r="O46">
        <f ca="1"/>
        <v>0</v>
      </c>
      <c r="P46">
        <f ca="1"/>
        <v>0</v>
      </c>
      <c r="Q46">
        <f ca="1"/>
        <v>0</v>
      </c>
      <c r="R46">
        <f ca="1"/>
        <v>0</v>
      </c>
      <c r="S46">
        <f ca="1"/>
        <v>0</v>
      </c>
      <c r="T46">
        <f ca="1"/>
        <v>0</v>
      </c>
      <c r="U46">
        <f ca="1"/>
        <v>0</v>
      </c>
      <c r="V46">
        <f ca="1"/>
        <v>0</v>
      </c>
      <c r="W46">
        <f ca="1"/>
        <v>0</v>
      </c>
      <c r="X46">
        <f ca="1"/>
        <v>0</v>
      </c>
      <c r="Y46">
        <f ca="1"/>
        <v>0</v>
      </c>
      <c r="Z46">
        <f ca="1"/>
        <v>0</v>
      </c>
      <c r="AA46">
        <f ca="1"/>
        <v>0</v>
      </c>
      <c r="AB46">
        <f ca="1"/>
        <v>0</v>
      </c>
      <c r="AC46">
        <f ca="1"/>
        <v>0</v>
      </c>
      <c r="AD46">
        <f ca="1"/>
        <v>0</v>
      </c>
      <c r="AE46">
        <f ca="1"/>
        <v>0</v>
      </c>
      <c r="AF46">
        <f ca="1"/>
        <v>0</v>
      </c>
      <c r="AG46">
        <f ca="1"/>
        <v>0</v>
      </c>
      <c r="AH46">
        <f ca="1"/>
        <v>0</v>
      </c>
      <c r="AI46">
        <f ca="1"/>
        <v>0</v>
      </c>
      <c r="AJ46">
        <f ca="1"/>
        <v>0</v>
      </c>
      <c r="AK46">
        <f ca="1"/>
        <v>0</v>
      </c>
      <c r="AL46">
        <f ca="1"/>
        <v>0</v>
      </c>
      <c r="AM46">
        <f ca="1"/>
        <v>0</v>
      </c>
      <c r="AN46">
        <f ca="1"/>
        <v>0</v>
      </c>
      <c r="AO46">
        <f ca="1"/>
        <v>0</v>
      </c>
      <c r="AP46">
        <f ca="1"/>
        <v>0</v>
      </c>
      <c r="AQ46">
        <f ca="1"/>
        <v>0</v>
      </c>
      <c r="AR46">
        <f ca="1"/>
        <v>0</v>
      </c>
      <c r="AS46">
        <f ca="1"/>
        <v>0</v>
      </c>
      <c r="AT46">
        <f ca="1"/>
        <v>0</v>
      </c>
      <c r="AU46">
        <f ca="1"/>
        <v>0</v>
      </c>
      <c r="AV46">
        <f ca="1"/>
        <v>0</v>
      </c>
      <c r="AW46">
        <f ca="1"/>
        <v>0</v>
      </c>
      <c r="AX46">
        <f ca="1"/>
        <v>0</v>
      </c>
      <c r="AY46">
        <f ca="1"/>
        <v>0</v>
      </c>
      <c r="AZ46">
        <f ca="1"/>
        <v>0</v>
      </c>
      <c r="BA46">
        <f ca="1"/>
        <v>0</v>
      </c>
      <c r="BB46">
        <f ca="1"/>
        <v>0</v>
      </c>
      <c r="BC46">
        <f ca="1"/>
        <v>0</v>
      </c>
      <c r="BD46">
        <f ca="1"/>
        <v>0</v>
      </c>
      <c r="BE46">
        <f ca="1"/>
        <v>0</v>
      </c>
      <c r="BF46">
        <f ca="1"/>
        <v>0</v>
      </c>
      <c r="BG46">
        <f ca="1"/>
        <v>0</v>
      </c>
      <c r="BH46">
        <f ca="1"/>
        <v>0</v>
      </c>
      <c r="BI46">
        <f ca="1"/>
        <v>0</v>
      </c>
      <c r="BJ46">
        <f ca="1"/>
        <v>0</v>
      </c>
      <c r="BK46">
        <f ca="1"/>
        <v>0</v>
      </c>
      <c r="BL46">
        <f ca="1"/>
        <v>0</v>
      </c>
      <c r="BM46">
        <f ca="1"/>
        <v>0</v>
      </c>
      <c r="BN46">
        <f ca="1"/>
        <v>0</v>
      </c>
      <c r="BO46">
        <f ca="1"/>
        <v>0</v>
      </c>
      <c r="BP46">
        <f ca="1"/>
        <v>0</v>
      </c>
      <c r="BQ46">
        <f ca="1"/>
        <v>0</v>
      </c>
      <c r="BR46">
        <f ca="1"/>
        <v>0</v>
      </c>
      <c r="BS46">
        <f ca="1"/>
        <v>0</v>
      </c>
      <c r="BT46">
        <f ca="1"/>
        <v>0</v>
      </c>
      <c r="BU46">
        <f ca="1"/>
        <v>0</v>
      </c>
      <c r="BV46">
        <f ca="1"/>
        <v>0</v>
      </c>
      <c r="BW46">
        <f ca="1"/>
        <v>0</v>
      </c>
      <c r="BX46">
        <f ca="1"/>
        <v>0</v>
      </c>
      <c r="BY46">
        <f ca="1"/>
        <v>0</v>
      </c>
      <c r="BZ46">
        <f ca="1"/>
        <v>0</v>
      </c>
      <c r="CA46">
        <f ca="1"/>
        <v>0</v>
      </c>
      <c r="CB46">
        <f ca="1"/>
        <v>0</v>
      </c>
      <c r="CC46">
        <f ca="1"/>
        <v>0</v>
      </c>
      <c r="CD46">
        <f ca="1"/>
        <v>0</v>
      </c>
      <c r="CE46">
        <f ca="1"/>
        <v>0</v>
      </c>
      <c r="CF46">
        <f ca="1"/>
        <v>0</v>
      </c>
      <c r="CG46">
        <f ca="1"/>
        <v>0</v>
      </c>
      <c r="CH46">
        <f ca="1"/>
        <v>0</v>
      </c>
      <c r="CI46">
        <f ca="1"/>
        <v>0</v>
      </c>
      <c r="CJ46">
        <f ca="1"/>
        <v>0</v>
      </c>
      <c r="CK46">
        <f ca="1"/>
        <v>0</v>
      </c>
      <c r="CL46">
        <f ca="1"/>
        <v>0</v>
      </c>
      <c r="CM46">
        <f ca="1"/>
        <v>0</v>
      </c>
      <c r="CN46">
        <f ca="1"/>
        <v>0</v>
      </c>
      <c r="CO46">
        <f ca="1"/>
        <v>0</v>
      </c>
      <c r="CP46">
        <f ca="1"/>
        <v>0</v>
      </c>
      <c r="CQ46">
        <f ca="1"/>
        <v>0</v>
      </c>
      <c r="CR46">
        <f ca="1"/>
        <v>0</v>
      </c>
      <c r="CS46">
        <f ca="1"/>
        <v>0</v>
      </c>
      <c r="CT46">
        <f ca="1"/>
        <v>0</v>
      </c>
      <c r="CU46">
        <f ca="1"/>
        <v>0</v>
      </c>
      <c r="CV46">
        <f ca="1"/>
        <v>0</v>
      </c>
      <c r="CW46">
        <f ca="1"/>
        <v>0</v>
      </c>
      <c r="CX46">
        <f ca="1"/>
        <v>0</v>
      </c>
      <c r="CY46">
        <f ca="1"/>
        <v>0</v>
      </c>
      <c r="CZ46">
        <f ca="1"/>
        <v>0</v>
      </c>
      <c r="DA46">
        <f ca="1"/>
        <v>0</v>
      </c>
      <c r="DB46">
        <f ca="1"/>
        <v>0</v>
      </c>
      <c r="DC46">
        <f ca="1"/>
        <v>0</v>
      </c>
      <c r="DD46">
        <f ca="1"/>
        <v>0</v>
      </c>
      <c r="DE46">
        <f ca="1"/>
        <v>0</v>
      </c>
      <c r="DF46">
        <f ca="1"/>
        <v>0</v>
      </c>
      <c r="DG46">
        <f ca="1"/>
        <v>0</v>
      </c>
      <c r="DH46">
        <f ca="1"/>
        <v>0</v>
      </c>
      <c r="DI46">
        <f ca="1"/>
        <v>0</v>
      </c>
      <c r="DJ46">
        <f ca="1"/>
        <v>0</v>
      </c>
      <c r="DK46">
        <f ca="1"/>
        <v>0</v>
      </c>
      <c r="DL46">
        <f ca="1"/>
        <v>0</v>
      </c>
      <c r="DM46">
        <f ca="1"/>
        <v>0</v>
      </c>
      <c r="DN46">
        <f ca="1"/>
        <v>0</v>
      </c>
      <c r="DO46">
        <f ca="1"/>
        <v>0</v>
      </c>
      <c r="DP46">
        <f ca="1"/>
        <v>0</v>
      </c>
      <c r="DQ46">
        <f ca="1"/>
        <v>0</v>
      </c>
      <c r="DR46">
        <f ca="1"/>
        <v>0</v>
      </c>
      <c r="DS46">
        <f ca="1"/>
        <v>0</v>
      </c>
      <c r="DT46">
        <f ca="1"/>
        <v>0</v>
      </c>
      <c r="DU46">
        <f ca="1"/>
        <v>0</v>
      </c>
      <c r="DV46">
        <f ca="1"/>
        <v>0</v>
      </c>
      <c r="DW46">
        <f ca="1"/>
        <v>0</v>
      </c>
      <c r="DX46">
        <f ca="1"/>
        <v>0</v>
      </c>
      <c r="DY46">
        <f ca="1"/>
        <v>0</v>
      </c>
      <c r="DZ46">
        <f ca="1"/>
        <v>0</v>
      </c>
      <c r="EA46">
        <f ca="1"/>
        <v>0</v>
      </c>
      <c r="EB46">
        <f ca="1"/>
        <v>0</v>
      </c>
      <c r="EC46">
        <f ca="1"/>
        <v>0</v>
      </c>
      <c r="ED46">
        <f ca="1"/>
        <v>0</v>
      </c>
      <c r="EE46">
        <f ca="1"/>
        <v>0</v>
      </c>
      <c r="EF46">
        <f ca="1"/>
        <v>0</v>
      </c>
      <c r="EG46">
        <f ca="1"/>
        <v>0</v>
      </c>
      <c r="EH46">
        <f ca="1"/>
        <v>0</v>
      </c>
      <c r="EI46">
        <f ca="1"/>
        <v>0</v>
      </c>
      <c r="EJ46">
        <f ca="1"/>
        <v>0</v>
      </c>
      <c r="EK46">
        <f ca="1"/>
        <v>0</v>
      </c>
      <c r="EL46">
        <f ca="1"/>
        <v>0</v>
      </c>
      <c r="EM46">
        <f ca="1"/>
        <v>0</v>
      </c>
      <c r="EN46">
        <f ca="1"/>
        <v>0</v>
      </c>
      <c r="EO46">
        <f ca="1"/>
        <v>0</v>
      </c>
      <c r="EP46">
        <f ca="1"/>
        <v>0</v>
      </c>
      <c r="EQ46">
        <f ca="1"/>
        <v>0</v>
      </c>
      <c r="ER46">
        <f ca="1"/>
        <v>0</v>
      </c>
      <c r="ES46">
        <f ca="1"/>
        <v>0</v>
      </c>
      <c r="ET46">
        <f ca="1"/>
        <v>0</v>
      </c>
      <c r="EU46">
        <f ca="1"/>
        <v>0</v>
      </c>
      <c r="EV46">
        <f ca="1"/>
        <v>0</v>
      </c>
      <c r="EW46">
        <f ca="1"/>
        <v>0</v>
      </c>
      <c r="EX46">
        <f ca="1"/>
        <v>0</v>
      </c>
      <c r="EY46">
        <f ca="1"/>
        <v>0</v>
      </c>
      <c r="EZ46">
        <f ca="1"/>
        <v>0</v>
      </c>
      <c r="FA46">
        <f ca="1"/>
        <v>0</v>
      </c>
      <c r="FB46">
        <f ca="1"/>
        <v>0</v>
      </c>
      <c r="FC46">
        <f ca="1"/>
        <v>0</v>
      </c>
      <c r="FD46">
        <f ca="1"/>
        <v>0</v>
      </c>
      <c r="FE46">
        <f ca="1"/>
        <v>0</v>
      </c>
      <c r="FF46">
        <f ca="1"/>
        <v>0</v>
      </c>
      <c r="FG46">
        <f ca="1"/>
        <v>0</v>
      </c>
      <c r="FH46">
        <f ca="1"/>
        <v>0</v>
      </c>
      <c r="FI46">
        <f ca="1"/>
        <v>0</v>
      </c>
      <c r="FJ46">
        <f ca="1"/>
        <v>0</v>
      </c>
      <c r="FK46">
        <f ca="1"/>
        <v>0</v>
      </c>
      <c r="FL46">
        <f ca="1"/>
        <v>0</v>
      </c>
      <c r="FM46">
        <f ca="1"/>
        <v>0</v>
      </c>
      <c r="FN46">
        <f ca="1"/>
        <v>0</v>
      </c>
      <c r="FO46">
        <f ca="1"/>
        <v>0</v>
      </c>
      <c r="FP46">
        <f ca="1"/>
        <v>0</v>
      </c>
      <c r="FQ46">
        <f ca="1"/>
        <v>0</v>
      </c>
      <c r="FR46">
        <f ca="1"/>
        <v>0</v>
      </c>
      <c r="FS46">
        <f ca="1"/>
        <v>0</v>
      </c>
      <c r="FT46">
        <f ca="1"/>
        <v>0</v>
      </c>
      <c r="FU46">
        <f ca="1"/>
        <v>0</v>
      </c>
      <c r="FV46">
        <f ca="1"/>
        <v>0</v>
      </c>
      <c r="FW46">
        <f ca="1"/>
        <v>0</v>
      </c>
      <c r="FX46">
        <f ca="1"/>
        <v>0</v>
      </c>
      <c r="FY46">
        <f ca="1"/>
        <v>0</v>
      </c>
      <c r="FZ46">
        <f ca="1"/>
        <v>0</v>
      </c>
    </row>
    <row r="47" spans="3:182">
      <c r="C47" cm="1">
        <f t="array" aca="1" ref="C47:FZ47" ca="1">IFERROR(TRANSPOSE(INDEX(_xlfn._xlws.FILTER(INDIRECT("SubcategoriesTable[Subcategory name]"),INDIRECT("SubcategoriesTable[Category name]")=$B47),,)),"No subcategories")</f>
        <v>0</v>
      </c>
      <c r="D47">
        <f ca="1"/>
        <v>0</v>
      </c>
      <c r="E47">
        <f ca="1"/>
        <v>0</v>
      </c>
      <c r="F47">
        <f ca="1"/>
        <v>0</v>
      </c>
      <c r="G47">
        <f ca="1"/>
        <v>0</v>
      </c>
      <c r="H47">
        <f ca="1"/>
        <v>0</v>
      </c>
      <c r="I47">
        <f ca="1"/>
        <v>0</v>
      </c>
      <c r="J47">
        <f ca="1"/>
        <v>0</v>
      </c>
      <c r="K47">
        <f ca="1"/>
        <v>0</v>
      </c>
      <c r="L47">
        <f ca="1"/>
        <v>0</v>
      </c>
      <c r="M47">
        <f ca="1"/>
        <v>0</v>
      </c>
      <c r="N47">
        <f ca="1"/>
        <v>0</v>
      </c>
      <c r="O47">
        <f ca="1"/>
        <v>0</v>
      </c>
      <c r="P47">
        <f ca="1"/>
        <v>0</v>
      </c>
      <c r="Q47">
        <f ca="1"/>
        <v>0</v>
      </c>
      <c r="R47">
        <f ca="1"/>
        <v>0</v>
      </c>
      <c r="S47">
        <f ca="1"/>
        <v>0</v>
      </c>
      <c r="T47">
        <f ca="1"/>
        <v>0</v>
      </c>
      <c r="U47">
        <f ca="1"/>
        <v>0</v>
      </c>
      <c r="V47">
        <f ca="1"/>
        <v>0</v>
      </c>
      <c r="W47">
        <f ca="1"/>
        <v>0</v>
      </c>
      <c r="X47">
        <f ca="1"/>
        <v>0</v>
      </c>
      <c r="Y47">
        <f ca="1"/>
        <v>0</v>
      </c>
      <c r="Z47">
        <f ca="1"/>
        <v>0</v>
      </c>
      <c r="AA47">
        <f ca="1"/>
        <v>0</v>
      </c>
      <c r="AB47">
        <f ca="1"/>
        <v>0</v>
      </c>
      <c r="AC47">
        <f ca="1"/>
        <v>0</v>
      </c>
      <c r="AD47">
        <f ca="1"/>
        <v>0</v>
      </c>
      <c r="AE47">
        <f ca="1"/>
        <v>0</v>
      </c>
      <c r="AF47">
        <f ca="1"/>
        <v>0</v>
      </c>
      <c r="AG47">
        <f ca="1"/>
        <v>0</v>
      </c>
      <c r="AH47">
        <f ca="1"/>
        <v>0</v>
      </c>
      <c r="AI47">
        <f ca="1"/>
        <v>0</v>
      </c>
      <c r="AJ47">
        <f ca="1"/>
        <v>0</v>
      </c>
      <c r="AK47">
        <f ca="1"/>
        <v>0</v>
      </c>
      <c r="AL47">
        <f ca="1"/>
        <v>0</v>
      </c>
      <c r="AM47">
        <f ca="1"/>
        <v>0</v>
      </c>
      <c r="AN47">
        <f ca="1"/>
        <v>0</v>
      </c>
      <c r="AO47">
        <f ca="1"/>
        <v>0</v>
      </c>
      <c r="AP47">
        <f ca="1"/>
        <v>0</v>
      </c>
      <c r="AQ47">
        <f ca="1"/>
        <v>0</v>
      </c>
      <c r="AR47">
        <f ca="1"/>
        <v>0</v>
      </c>
      <c r="AS47">
        <f ca="1"/>
        <v>0</v>
      </c>
      <c r="AT47">
        <f ca="1"/>
        <v>0</v>
      </c>
      <c r="AU47">
        <f ca="1"/>
        <v>0</v>
      </c>
      <c r="AV47">
        <f ca="1"/>
        <v>0</v>
      </c>
      <c r="AW47">
        <f ca="1"/>
        <v>0</v>
      </c>
      <c r="AX47">
        <f ca="1"/>
        <v>0</v>
      </c>
      <c r="AY47">
        <f ca="1"/>
        <v>0</v>
      </c>
      <c r="AZ47">
        <f ca="1"/>
        <v>0</v>
      </c>
      <c r="BA47">
        <f ca="1"/>
        <v>0</v>
      </c>
      <c r="BB47">
        <f ca="1"/>
        <v>0</v>
      </c>
      <c r="BC47">
        <f ca="1"/>
        <v>0</v>
      </c>
      <c r="BD47">
        <f ca="1"/>
        <v>0</v>
      </c>
      <c r="BE47">
        <f ca="1"/>
        <v>0</v>
      </c>
      <c r="BF47">
        <f ca="1"/>
        <v>0</v>
      </c>
      <c r="BG47">
        <f ca="1"/>
        <v>0</v>
      </c>
      <c r="BH47">
        <f ca="1"/>
        <v>0</v>
      </c>
      <c r="BI47">
        <f ca="1"/>
        <v>0</v>
      </c>
      <c r="BJ47">
        <f ca="1"/>
        <v>0</v>
      </c>
      <c r="BK47">
        <f ca="1"/>
        <v>0</v>
      </c>
      <c r="BL47">
        <f ca="1"/>
        <v>0</v>
      </c>
      <c r="BM47">
        <f ca="1"/>
        <v>0</v>
      </c>
      <c r="BN47">
        <f ca="1"/>
        <v>0</v>
      </c>
      <c r="BO47">
        <f ca="1"/>
        <v>0</v>
      </c>
      <c r="BP47">
        <f ca="1"/>
        <v>0</v>
      </c>
      <c r="BQ47">
        <f ca="1"/>
        <v>0</v>
      </c>
      <c r="BR47">
        <f ca="1"/>
        <v>0</v>
      </c>
      <c r="BS47">
        <f ca="1"/>
        <v>0</v>
      </c>
      <c r="BT47">
        <f ca="1"/>
        <v>0</v>
      </c>
      <c r="BU47">
        <f ca="1"/>
        <v>0</v>
      </c>
      <c r="BV47">
        <f ca="1"/>
        <v>0</v>
      </c>
      <c r="BW47">
        <f ca="1"/>
        <v>0</v>
      </c>
      <c r="BX47">
        <f ca="1"/>
        <v>0</v>
      </c>
      <c r="BY47">
        <f ca="1"/>
        <v>0</v>
      </c>
      <c r="BZ47">
        <f ca="1"/>
        <v>0</v>
      </c>
      <c r="CA47">
        <f ca="1"/>
        <v>0</v>
      </c>
      <c r="CB47">
        <f ca="1"/>
        <v>0</v>
      </c>
      <c r="CC47">
        <f ca="1"/>
        <v>0</v>
      </c>
      <c r="CD47">
        <f ca="1"/>
        <v>0</v>
      </c>
      <c r="CE47">
        <f ca="1"/>
        <v>0</v>
      </c>
      <c r="CF47">
        <f ca="1"/>
        <v>0</v>
      </c>
      <c r="CG47">
        <f ca="1"/>
        <v>0</v>
      </c>
      <c r="CH47">
        <f ca="1"/>
        <v>0</v>
      </c>
      <c r="CI47">
        <f ca="1"/>
        <v>0</v>
      </c>
      <c r="CJ47">
        <f ca="1"/>
        <v>0</v>
      </c>
      <c r="CK47">
        <f ca="1"/>
        <v>0</v>
      </c>
      <c r="CL47">
        <f ca="1"/>
        <v>0</v>
      </c>
      <c r="CM47">
        <f ca="1"/>
        <v>0</v>
      </c>
      <c r="CN47">
        <f ca="1"/>
        <v>0</v>
      </c>
      <c r="CO47">
        <f ca="1"/>
        <v>0</v>
      </c>
      <c r="CP47">
        <f ca="1"/>
        <v>0</v>
      </c>
      <c r="CQ47">
        <f ca="1"/>
        <v>0</v>
      </c>
      <c r="CR47">
        <f ca="1"/>
        <v>0</v>
      </c>
      <c r="CS47">
        <f ca="1"/>
        <v>0</v>
      </c>
      <c r="CT47">
        <f ca="1"/>
        <v>0</v>
      </c>
      <c r="CU47">
        <f ca="1"/>
        <v>0</v>
      </c>
      <c r="CV47">
        <f ca="1"/>
        <v>0</v>
      </c>
      <c r="CW47">
        <f ca="1"/>
        <v>0</v>
      </c>
      <c r="CX47">
        <f ca="1"/>
        <v>0</v>
      </c>
      <c r="CY47">
        <f ca="1"/>
        <v>0</v>
      </c>
      <c r="CZ47">
        <f ca="1"/>
        <v>0</v>
      </c>
      <c r="DA47">
        <f ca="1"/>
        <v>0</v>
      </c>
      <c r="DB47">
        <f ca="1"/>
        <v>0</v>
      </c>
      <c r="DC47">
        <f ca="1"/>
        <v>0</v>
      </c>
      <c r="DD47">
        <f ca="1"/>
        <v>0</v>
      </c>
      <c r="DE47">
        <f ca="1"/>
        <v>0</v>
      </c>
      <c r="DF47">
        <f ca="1"/>
        <v>0</v>
      </c>
      <c r="DG47">
        <f ca="1"/>
        <v>0</v>
      </c>
      <c r="DH47">
        <f ca="1"/>
        <v>0</v>
      </c>
      <c r="DI47">
        <f ca="1"/>
        <v>0</v>
      </c>
      <c r="DJ47">
        <f ca="1"/>
        <v>0</v>
      </c>
      <c r="DK47">
        <f ca="1"/>
        <v>0</v>
      </c>
      <c r="DL47">
        <f ca="1"/>
        <v>0</v>
      </c>
      <c r="DM47">
        <f ca="1"/>
        <v>0</v>
      </c>
      <c r="DN47">
        <f ca="1"/>
        <v>0</v>
      </c>
      <c r="DO47">
        <f ca="1"/>
        <v>0</v>
      </c>
      <c r="DP47">
        <f ca="1"/>
        <v>0</v>
      </c>
      <c r="DQ47">
        <f ca="1"/>
        <v>0</v>
      </c>
      <c r="DR47">
        <f ca="1"/>
        <v>0</v>
      </c>
      <c r="DS47">
        <f ca="1"/>
        <v>0</v>
      </c>
      <c r="DT47">
        <f ca="1"/>
        <v>0</v>
      </c>
      <c r="DU47">
        <f ca="1"/>
        <v>0</v>
      </c>
      <c r="DV47">
        <f ca="1"/>
        <v>0</v>
      </c>
      <c r="DW47">
        <f ca="1"/>
        <v>0</v>
      </c>
      <c r="DX47">
        <f ca="1"/>
        <v>0</v>
      </c>
      <c r="DY47">
        <f ca="1"/>
        <v>0</v>
      </c>
      <c r="DZ47">
        <f ca="1"/>
        <v>0</v>
      </c>
      <c r="EA47">
        <f ca="1"/>
        <v>0</v>
      </c>
      <c r="EB47">
        <f ca="1"/>
        <v>0</v>
      </c>
      <c r="EC47">
        <f ca="1"/>
        <v>0</v>
      </c>
      <c r="ED47">
        <f ca="1"/>
        <v>0</v>
      </c>
      <c r="EE47">
        <f ca="1"/>
        <v>0</v>
      </c>
      <c r="EF47">
        <f ca="1"/>
        <v>0</v>
      </c>
      <c r="EG47">
        <f ca="1"/>
        <v>0</v>
      </c>
      <c r="EH47">
        <f ca="1"/>
        <v>0</v>
      </c>
      <c r="EI47">
        <f ca="1"/>
        <v>0</v>
      </c>
      <c r="EJ47">
        <f ca="1"/>
        <v>0</v>
      </c>
      <c r="EK47">
        <f ca="1"/>
        <v>0</v>
      </c>
      <c r="EL47">
        <f ca="1"/>
        <v>0</v>
      </c>
      <c r="EM47">
        <f ca="1"/>
        <v>0</v>
      </c>
      <c r="EN47">
        <f ca="1"/>
        <v>0</v>
      </c>
      <c r="EO47">
        <f ca="1"/>
        <v>0</v>
      </c>
      <c r="EP47">
        <f ca="1"/>
        <v>0</v>
      </c>
      <c r="EQ47">
        <f ca="1"/>
        <v>0</v>
      </c>
      <c r="ER47">
        <f ca="1"/>
        <v>0</v>
      </c>
      <c r="ES47">
        <f ca="1"/>
        <v>0</v>
      </c>
      <c r="ET47">
        <f ca="1"/>
        <v>0</v>
      </c>
      <c r="EU47">
        <f ca="1"/>
        <v>0</v>
      </c>
      <c r="EV47">
        <f ca="1"/>
        <v>0</v>
      </c>
      <c r="EW47">
        <f ca="1"/>
        <v>0</v>
      </c>
      <c r="EX47">
        <f ca="1"/>
        <v>0</v>
      </c>
      <c r="EY47">
        <f ca="1"/>
        <v>0</v>
      </c>
      <c r="EZ47">
        <f ca="1"/>
        <v>0</v>
      </c>
      <c r="FA47">
        <f ca="1"/>
        <v>0</v>
      </c>
      <c r="FB47">
        <f ca="1"/>
        <v>0</v>
      </c>
      <c r="FC47">
        <f ca="1"/>
        <v>0</v>
      </c>
      <c r="FD47">
        <f ca="1"/>
        <v>0</v>
      </c>
      <c r="FE47">
        <f ca="1"/>
        <v>0</v>
      </c>
      <c r="FF47">
        <f ca="1"/>
        <v>0</v>
      </c>
      <c r="FG47">
        <f ca="1"/>
        <v>0</v>
      </c>
      <c r="FH47">
        <f ca="1"/>
        <v>0</v>
      </c>
      <c r="FI47">
        <f ca="1"/>
        <v>0</v>
      </c>
      <c r="FJ47">
        <f ca="1"/>
        <v>0</v>
      </c>
      <c r="FK47">
        <f ca="1"/>
        <v>0</v>
      </c>
      <c r="FL47">
        <f ca="1"/>
        <v>0</v>
      </c>
      <c r="FM47">
        <f ca="1"/>
        <v>0</v>
      </c>
      <c r="FN47">
        <f ca="1"/>
        <v>0</v>
      </c>
      <c r="FO47">
        <f ca="1"/>
        <v>0</v>
      </c>
      <c r="FP47">
        <f ca="1"/>
        <v>0</v>
      </c>
      <c r="FQ47">
        <f ca="1"/>
        <v>0</v>
      </c>
      <c r="FR47">
        <f ca="1"/>
        <v>0</v>
      </c>
      <c r="FS47">
        <f ca="1"/>
        <v>0</v>
      </c>
      <c r="FT47">
        <f ca="1"/>
        <v>0</v>
      </c>
      <c r="FU47">
        <f ca="1"/>
        <v>0</v>
      </c>
      <c r="FV47">
        <f ca="1"/>
        <v>0</v>
      </c>
      <c r="FW47">
        <f ca="1"/>
        <v>0</v>
      </c>
      <c r="FX47">
        <f ca="1"/>
        <v>0</v>
      </c>
      <c r="FY47">
        <f ca="1"/>
        <v>0</v>
      </c>
      <c r="FZ47">
        <f ca="1"/>
        <v>0</v>
      </c>
    </row>
    <row r="48" spans="3:182">
      <c r="C48" cm="1">
        <f t="array" aca="1" ref="C48:FZ48" ca="1">IFERROR(TRANSPOSE(INDEX(_xlfn._xlws.FILTER(INDIRECT("SubcategoriesTable[Subcategory name]"),INDIRECT("SubcategoriesTable[Category name]")=$B48),,)),"No subcategories")</f>
        <v>0</v>
      </c>
      <c r="D48">
        <f ca="1"/>
        <v>0</v>
      </c>
      <c r="E48">
        <f ca="1"/>
        <v>0</v>
      </c>
      <c r="F48">
        <f ca="1"/>
        <v>0</v>
      </c>
      <c r="G48">
        <f ca="1"/>
        <v>0</v>
      </c>
      <c r="H48">
        <f ca="1"/>
        <v>0</v>
      </c>
      <c r="I48">
        <f ca="1"/>
        <v>0</v>
      </c>
      <c r="J48">
        <f ca="1"/>
        <v>0</v>
      </c>
      <c r="K48">
        <f ca="1"/>
        <v>0</v>
      </c>
      <c r="L48">
        <f ca="1"/>
        <v>0</v>
      </c>
      <c r="M48">
        <f ca="1"/>
        <v>0</v>
      </c>
      <c r="N48">
        <f ca="1"/>
        <v>0</v>
      </c>
      <c r="O48">
        <f ca="1"/>
        <v>0</v>
      </c>
      <c r="P48">
        <f ca="1"/>
        <v>0</v>
      </c>
      <c r="Q48">
        <f ca="1"/>
        <v>0</v>
      </c>
      <c r="R48">
        <f ca="1"/>
        <v>0</v>
      </c>
      <c r="S48">
        <f ca="1"/>
        <v>0</v>
      </c>
      <c r="T48">
        <f ca="1"/>
        <v>0</v>
      </c>
      <c r="U48">
        <f ca="1"/>
        <v>0</v>
      </c>
      <c r="V48">
        <f ca="1"/>
        <v>0</v>
      </c>
      <c r="W48">
        <f ca="1"/>
        <v>0</v>
      </c>
      <c r="X48">
        <f ca="1"/>
        <v>0</v>
      </c>
      <c r="Y48">
        <f ca="1"/>
        <v>0</v>
      </c>
      <c r="Z48">
        <f ca="1"/>
        <v>0</v>
      </c>
      <c r="AA48">
        <f ca="1"/>
        <v>0</v>
      </c>
      <c r="AB48">
        <f ca="1"/>
        <v>0</v>
      </c>
      <c r="AC48">
        <f ca="1"/>
        <v>0</v>
      </c>
      <c r="AD48">
        <f ca="1"/>
        <v>0</v>
      </c>
      <c r="AE48">
        <f ca="1"/>
        <v>0</v>
      </c>
      <c r="AF48">
        <f ca="1"/>
        <v>0</v>
      </c>
      <c r="AG48">
        <f ca="1"/>
        <v>0</v>
      </c>
      <c r="AH48">
        <f ca="1"/>
        <v>0</v>
      </c>
      <c r="AI48">
        <f ca="1"/>
        <v>0</v>
      </c>
      <c r="AJ48">
        <f ca="1"/>
        <v>0</v>
      </c>
      <c r="AK48">
        <f ca="1"/>
        <v>0</v>
      </c>
      <c r="AL48">
        <f ca="1"/>
        <v>0</v>
      </c>
      <c r="AM48">
        <f ca="1"/>
        <v>0</v>
      </c>
      <c r="AN48">
        <f ca="1"/>
        <v>0</v>
      </c>
      <c r="AO48">
        <f ca="1"/>
        <v>0</v>
      </c>
      <c r="AP48">
        <f ca="1"/>
        <v>0</v>
      </c>
      <c r="AQ48">
        <f ca="1"/>
        <v>0</v>
      </c>
      <c r="AR48">
        <f ca="1"/>
        <v>0</v>
      </c>
      <c r="AS48">
        <f ca="1"/>
        <v>0</v>
      </c>
      <c r="AT48">
        <f ca="1"/>
        <v>0</v>
      </c>
      <c r="AU48">
        <f ca="1"/>
        <v>0</v>
      </c>
      <c r="AV48">
        <f ca="1"/>
        <v>0</v>
      </c>
      <c r="AW48">
        <f ca="1"/>
        <v>0</v>
      </c>
      <c r="AX48">
        <f ca="1"/>
        <v>0</v>
      </c>
      <c r="AY48">
        <f ca="1"/>
        <v>0</v>
      </c>
      <c r="AZ48">
        <f ca="1"/>
        <v>0</v>
      </c>
      <c r="BA48">
        <f ca="1"/>
        <v>0</v>
      </c>
      <c r="BB48">
        <f ca="1"/>
        <v>0</v>
      </c>
      <c r="BC48">
        <f ca="1"/>
        <v>0</v>
      </c>
      <c r="BD48">
        <f ca="1"/>
        <v>0</v>
      </c>
      <c r="BE48">
        <f ca="1"/>
        <v>0</v>
      </c>
      <c r="BF48">
        <f ca="1"/>
        <v>0</v>
      </c>
      <c r="BG48">
        <f ca="1"/>
        <v>0</v>
      </c>
      <c r="BH48">
        <f ca="1"/>
        <v>0</v>
      </c>
      <c r="BI48">
        <f ca="1"/>
        <v>0</v>
      </c>
      <c r="BJ48">
        <f ca="1"/>
        <v>0</v>
      </c>
      <c r="BK48">
        <f ca="1"/>
        <v>0</v>
      </c>
      <c r="BL48">
        <f ca="1"/>
        <v>0</v>
      </c>
      <c r="BM48">
        <f ca="1"/>
        <v>0</v>
      </c>
      <c r="BN48">
        <f ca="1"/>
        <v>0</v>
      </c>
      <c r="BO48">
        <f ca="1"/>
        <v>0</v>
      </c>
      <c r="BP48">
        <f ca="1"/>
        <v>0</v>
      </c>
      <c r="BQ48">
        <f ca="1"/>
        <v>0</v>
      </c>
      <c r="BR48">
        <f ca="1"/>
        <v>0</v>
      </c>
      <c r="BS48">
        <f ca="1"/>
        <v>0</v>
      </c>
      <c r="BT48">
        <f ca="1"/>
        <v>0</v>
      </c>
      <c r="BU48">
        <f ca="1"/>
        <v>0</v>
      </c>
      <c r="BV48">
        <f ca="1"/>
        <v>0</v>
      </c>
      <c r="BW48">
        <f ca="1"/>
        <v>0</v>
      </c>
      <c r="BX48">
        <f ca="1"/>
        <v>0</v>
      </c>
      <c r="BY48">
        <f ca="1"/>
        <v>0</v>
      </c>
      <c r="BZ48">
        <f ca="1"/>
        <v>0</v>
      </c>
      <c r="CA48">
        <f ca="1"/>
        <v>0</v>
      </c>
      <c r="CB48">
        <f ca="1"/>
        <v>0</v>
      </c>
      <c r="CC48">
        <f ca="1"/>
        <v>0</v>
      </c>
      <c r="CD48">
        <f ca="1"/>
        <v>0</v>
      </c>
      <c r="CE48">
        <f ca="1"/>
        <v>0</v>
      </c>
      <c r="CF48">
        <f ca="1"/>
        <v>0</v>
      </c>
      <c r="CG48">
        <f ca="1"/>
        <v>0</v>
      </c>
      <c r="CH48">
        <f ca="1"/>
        <v>0</v>
      </c>
      <c r="CI48">
        <f ca="1"/>
        <v>0</v>
      </c>
      <c r="CJ48">
        <f ca="1"/>
        <v>0</v>
      </c>
      <c r="CK48">
        <f ca="1"/>
        <v>0</v>
      </c>
      <c r="CL48">
        <f ca="1"/>
        <v>0</v>
      </c>
      <c r="CM48">
        <f ca="1"/>
        <v>0</v>
      </c>
      <c r="CN48">
        <f ca="1"/>
        <v>0</v>
      </c>
      <c r="CO48">
        <f ca="1"/>
        <v>0</v>
      </c>
      <c r="CP48">
        <f ca="1"/>
        <v>0</v>
      </c>
      <c r="CQ48">
        <f ca="1"/>
        <v>0</v>
      </c>
      <c r="CR48">
        <f ca="1"/>
        <v>0</v>
      </c>
      <c r="CS48">
        <f ca="1"/>
        <v>0</v>
      </c>
      <c r="CT48">
        <f ca="1"/>
        <v>0</v>
      </c>
      <c r="CU48">
        <f ca="1"/>
        <v>0</v>
      </c>
      <c r="CV48">
        <f ca="1"/>
        <v>0</v>
      </c>
      <c r="CW48">
        <f ca="1"/>
        <v>0</v>
      </c>
      <c r="CX48">
        <f ca="1"/>
        <v>0</v>
      </c>
      <c r="CY48">
        <f ca="1"/>
        <v>0</v>
      </c>
      <c r="CZ48">
        <f ca="1"/>
        <v>0</v>
      </c>
      <c r="DA48">
        <f ca="1"/>
        <v>0</v>
      </c>
      <c r="DB48">
        <f ca="1"/>
        <v>0</v>
      </c>
      <c r="DC48">
        <f ca="1"/>
        <v>0</v>
      </c>
      <c r="DD48">
        <f ca="1"/>
        <v>0</v>
      </c>
      <c r="DE48">
        <f ca="1"/>
        <v>0</v>
      </c>
      <c r="DF48">
        <f ca="1"/>
        <v>0</v>
      </c>
      <c r="DG48">
        <f ca="1"/>
        <v>0</v>
      </c>
      <c r="DH48">
        <f ca="1"/>
        <v>0</v>
      </c>
      <c r="DI48">
        <f ca="1"/>
        <v>0</v>
      </c>
      <c r="DJ48">
        <f ca="1"/>
        <v>0</v>
      </c>
      <c r="DK48">
        <f ca="1"/>
        <v>0</v>
      </c>
      <c r="DL48">
        <f ca="1"/>
        <v>0</v>
      </c>
      <c r="DM48">
        <f ca="1"/>
        <v>0</v>
      </c>
      <c r="DN48">
        <f ca="1"/>
        <v>0</v>
      </c>
      <c r="DO48">
        <f ca="1"/>
        <v>0</v>
      </c>
      <c r="DP48">
        <f ca="1"/>
        <v>0</v>
      </c>
      <c r="DQ48">
        <f ca="1"/>
        <v>0</v>
      </c>
      <c r="DR48">
        <f ca="1"/>
        <v>0</v>
      </c>
      <c r="DS48">
        <f ca="1"/>
        <v>0</v>
      </c>
      <c r="DT48">
        <f ca="1"/>
        <v>0</v>
      </c>
      <c r="DU48">
        <f ca="1"/>
        <v>0</v>
      </c>
      <c r="DV48">
        <f ca="1"/>
        <v>0</v>
      </c>
      <c r="DW48">
        <f ca="1"/>
        <v>0</v>
      </c>
      <c r="DX48">
        <f ca="1"/>
        <v>0</v>
      </c>
      <c r="DY48">
        <f ca="1"/>
        <v>0</v>
      </c>
      <c r="DZ48">
        <f ca="1"/>
        <v>0</v>
      </c>
      <c r="EA48">
        <f ca="1"/>
        <v>0</v>
      </c>
      <c r="EB48">
        <f ca="1"/>
        <v>0</v>
      </c>
      <c r="EC48">
        <f ca="1"/>
        <v>0</v>
      </c>
      <c r="ED48">
        <f ca="1"/>
        <v>0</v>
      </c>
      <c r="EE48">
        <f ca="1"/>
        <v>0</v>
      </c>
      <c r="EF48">
        <f ca="1"/>
        <v>0</v>
      </c>
      <c r="EG48">
        <f ca="1"/>
        <v>0</v>
      </c>
      <c r="EH48">
        <f ca="1"/>
        <v>0</v>
      </c>
      <c r="EI48">
        <f ca="1"/>
        <v>0</v>
      </c>
      <c r="EJ48">
        <f ca="1"/>
        <v>0</v>
      </c>
      <c r="EK48">
        <f ca="1"/>
        <v>0</v>
      </c>
      <c r="EL48">
        <f ca="1"/>
        <v>0</v>
      </c>
      <c r="EM48">
        <f ca="1"/>
        <v>0</v>
      </c>
      <c r="EN48">
        <f ca="1"/>
        <v>0</v>
      </c>
      <c r="EO48">
        <f ca="1"/>
        <v>0</v>
      </c>
      <c r="EP48">
        <f ca="1"/>
        <v>0</v>
      </c>
      <c r="EQ48">
        <f ca="1"/>
        <v>0</v>
      </c>
      <c r="ER48">
        <f ca="1"/>
        <v>0</v>
      </c>
      <c r="ES48">
        <f ca="1"/>
        <v>0</v>
      </c>
      <c r="ET48">
        <f ca="1"/>
        <v>0</v>
      </c>
      <c r="EU48">
        <f ca="1"/>
        <v>0</v>
      </c>
      <c r="EV48">
        <f ca="1"/>
        <v>0</v>
      </c>
      <c r="EW48">
        <f ca="1"/>
        <v>0</v>
      </c>
      <c r="EX48">
        <f ca="1"/>
        <v>0</v>
      </c>
      <c r="EY48">
        <f ca="1"/>
        <v>0</v>
      </c>
      <c r="EZ48">
        <f ca="1"/>
        <v>0</v>
      </c>
      <c r="FA48">
        <f ca="1"/>
        <v>0</v>
      </c>
      <c r="FB48">
        <f ca="1"/>
        <v>0</v>
      </c>
      <c r="FC48">
        <f ca="1"/>
        <v>0</v>
      </c>
      <c r="FD48">
        <f ca="1"/>
        <v>0</v>
      </c>
      <c r="FE48">
        <f ca="1"/>
        <v>0</v>
      </c>
      <c r="FF48">
        <f ca="1"/>
        <v>0</v>
      </c>
      <c r="FG48">
        <f ca="1"/>
        <v>0</v>
      </c>
      <c r="FH48">
        <f ca="1"/>
        <v>0</v>
      </c>
      <c r="FI48">
        <f ca="1"/>
        <v>0</v>
      </c>
      <c r="FJ48">
        <f ca="1"/>
        <v>0</v>
      </c>
      <c r="FK48">
        <f ca="1"/>
        <v>0</v>
      </c>
      <c r="FL48">
        <f ca="1"/>
        <v>0</v>
      </c>
      <c r="FM48">
        <f ca="1"/>
        <v>0</v>
      </c>
      <c r="FN48">
        <f ca="1"/>
        <v>0</v>
      </c>
      <c r="FO48">
        <f ca="1"/>
        <v>0</v>
      </c>
      <c r="FP48">
        <f ca="1"/>
        <v>0</v>
      </c>
      <c r="FQ48">
        <f ca="1"/>
        <v>0</v>
      </c>
      <c r="FR48">
        <f ca="1"/>
        <v>0</v>
      </c>
      <c r="FS48">
        <f ca="1"/>
        <v>0</v>
      </c>
      <c r="FT48">
        <f ca="1"/>
        <v>0</v>
      </c>
      <c r="FU48">
        <f ca="1"/>
        <v>0</v>
      </c>
      <c r="FV48">
        <f ca="1"/>
        <v>0</v>
      </c>
      <c r="FW48">
        <f ca="1"/>
        <v>0</v>
      </c>
      <c r="FX48">
        <f ca="1"/>
        <v>0</v>
      </c>
      <c r="FY48">
        <f ca="1"/>
        <v>0</v>
      </c>
      <c r="FZ48">
        <f ca="1"/>
        <v>0</v>
      </c>
    </row>
    <row r="49" spans="3:182">
      <c r="C49" cm="1">
        <f t="array" aca="1" ref="C49:FZ49" ca="1">IFERROR(TRANSPOSE(INDEX(_xlfn._xlws.FILTER(INDIRECT("SubcategoriesTable[Subcategory name]"),INDIRECT("SubcategoriesTable[Category name]")=$B49),,)),"No subcategories")</f>
        <v>0</v>
      </c>
      <c r="D49">
        <f ca="1"/>
        <v>0</v>
      </c>
      <c r="E49">
        <f ca="1"/>
        <v>0</v>
      </c>
      <c r="F49">
        <f ca="1"/>
        <v>0</v>
      </c>
      <c r="G49">
        <f ca="1"/>
        <v>0</v>
      </c>
      <c r="H49">
        <f ca="1"/>
        <v>0</v>
      </c>
      <c r="I49">
        <f ca="1"/>
        <v>0</v>
      </c>
      <c r="J49">
        <f ca="1"/>
        <v>0</v>
      </c>
      <c r="K49">
        <f ca="1"/>
        <v>0</v>
      </c>
      <c r="L49">
        <f ca="1"/>
        <v>0</v>
      </c>
      <c r="M49">
        <f ca="1"/>
        <v>0</v>
      </c>
      <c r="N49">
        <f ca="1"/>
        <v>0</v>
      </c>
      <c r="O49">
        <f ca="1"/>
        <v>0</v>
      </c>
      <c r="P49">
        <f ca="1"/>
        <v>0</v>
      </c>
      <c r="Q49">
        <f ca="1"/>
        <v>0</v>
      </c>
      <c r="R49">
        <f ca="1"/>
        <v>0</v>
      </c>
      <c r="S49">
        <f ca="1"/>
        <v>0</v>
      </c>
      <c r="T49">
        <f ca="1"/>
        <v>0</v>
      </c>
      <c r="U49">
        <f ca="1"/>
        <v>0</v>
      </c>
      <c r="V49">
        <f ca="1"/>
        <v>0</v>
      </c>
      <c r="W49">
        <f ca="1"/>
        <v>0</v>
      </c>
      <c r="X49">
        <f ca="1"/>
        <v>0</v>
      </c>
      <c r="Y49">
        <f ca="1"/>
        <v>0</v>
      </c>
      <c r="Z49">
        <f ca="1"/>
        <v>0</v>
      </c>
      <c r="AA49">
        <f ca="1"/>
        <v>0</v>
      </c>
      <c r="AB49">
        <f ca="1"/>
        <v>0</v>
      </c>
      <c r="AC49">
        <f ca="1"/>
        <v>0</v>
      </c>
      <c r="AD49">
        <f ca="1"/>
        <v>0</v>
      </c>
      <c r="AE49">
        <f ca="1"/>
        <v>0</v>
      </c>
      <c r="AF49">
        <f ca="1"/>
        <v>0</v>
      </c>
      <c r="AG49">
        <f ca="1"/>
        <v>0</v>
      </c>
      <c r="AH49">
        <f ca="1"/>
        <v>0</v>
      </c>
      <c r="AI49">
        <f ca="1"/>
        <v>0</v>
      </c>
      <c r="AJ49">
        <f ca="1"/>
        <v>0</v>
      </c>
      <c r="AK49">
        <f ca="1"/>
        <v>0</v>
      </c>
      <c r="AL49">
        <f ca="1"/>
        <v>0</v>
      </c>
      <c r="AM49">
        <f ca="1"/>
        <v>0</v>
      </c>
      <c r="AN49">
        <f ca="1"/>
        <v>0</v>
      </c>
      <c r="AO49">
        <f ca="1"/>
        <v>0</v>
      </c>
      <c r="AP49">
        <f ca="1"/>
        <v>0</v>
      </c>
      <c r="AQ49">
        <f ca="1"/>
        <v>0</v>
      </c>
      <c r="AR49">
        <f ca="1"/>
        <v>0</v>
      </c>
      <c r="AS49">
        <f ca="1"/>
        <v>0</v>
      </c>
      <c r="AT49">
        <f ca="1"/>
        <v>0</v>
      </c>
      <c r="AU49">
        <f ca="1"/>
        <v>0</v>
      </c>
      <c r="AV49">
        <f ca="1"/>
        <v>0</v>
      </c>
      <c r="AW49">
        <f ca="1"/>
        <v>0</v>
      </c>
      <c r="AX49">
        <f ca="1"/>
        <v>0</v>
      </c>
      <c r="AY49">
        <f ca="1"/>
        <v>0</v>
      </c>
      <c r="AZ49">
        <f ca="1"/>
        <v>0</v>
      </c>
      <c r="BA49">
        <f ca="1"/>
        <v>0</v>
      </c>
      <c r="BB49">
        <f ca="1"/>
        <v>0</v>
      </c>
      <c r="BC49">
        <f ca="1"/>
        <v>0</v>
      </c>
      <c r="BD49">
        <f ca="1"/>
        <v>0</v>
      </c>
      <c r="BE49">
        <f ca="1"/>
        <v>0</v>
      </c>
      <c r="BF49">
        <f ca="1"/>
        <v>0</v>
      </c>
      <c r="BG49">
        <f ca="1"/>
        <v>0</v>
      </c>
      <c r="BH49">
        <f ca="1"/>
        <v>0</v>
      </c>
      <c r="BI49">
        <f ca="1"/>
        <v>0</v>
      </c>
      <c r="BJ49">
        <f ca="1"/>
        <v>0</v>
      </c>
      <c r="BK49">
        <f ca="1"/>
        <v>0</v>
      </c>
      <c r="BL49">
        <f ca="1"/>
        <v>0</v>
      </c>
      <c r="BM49">
        <f ca="1"/>
        <v>0</v>
      </c>
      <c r="BN49">
        <f ca="1"/>
        <v>0</v>
      </c>
      <c r="BO49">
        <f ca="1"/>
        <v>0</v>
      </c>
      <c r="BP49">
        <f ca="1"/>
        <v>0</v>
      </c>
      <c r="BQ49">
        <f ca="1"/>
        <v>0</v>
      </c>
      <c r="BR49">
        <f ca="1"/>
        <v>0</v>
      </c>
      <c r="BS49">
        <f ca="1"/>
        <v>0</v>
      </c>
      <c r="BT49">
        <f ca="1"/>
        <v>0</v>
      </c>
      <c r="BU49">
        <f ca="1"/>
        <v>0</v>
      </c>
      <c r="BV49">
        <f ca="1"/>
        <v>0</v>
      </c>
      <c r="BW49">
        <f ca="1"/>
        <v>0</v>
      </c>
      <c r="BX49">
        <f ca="1"/>
        <v>0</v>
      </c>
      <c r="BY49">
        <f ca="1"/>
        <v>0</v>
      </c>
      <c r="BZ49">
        <f ca="1"/>
        <v>0</v>
      </c>
      <c r="CA49">
        <f ca="1"/>
        <v>0</v>
      </c>
      <c r="CB49">
        <f ca="1"/>
        <v>0</v>
      </c>
      <c r="CC49">
        <f ca="1"/>
        <v>0</v>
      </c>
      <c r="CD49">
        <f ca="1"/>
        <v>0</v>
      </c>
      <c r="CE49">
        <f ca="1"/>
        <v>0</v>
      </c>
      <c r="CF49">
        <f ca="1"/>
        <v>0</v>
      </c>
      <c r="CG49">
        <f ca="1"/>
        <v>0</v>
      </c>
      <c r="CH49">
        <f ca="1"/>
        <v>0</v>
      </c>
      <c r="CI49">
        <f ca="1"/>
        <v>0</v>
      </c>
      <c r="CJ49">
        <f ca="1"/>
        <v>0</v>
      </c>
      <c r="CK49">
        <f ca="1"/>
        <v>0</v>
      </c>
      <c r="CL49">
        <f ca="1"/>
        <v>0</v>
      </c>
      <c r="CM49">
        <f ca="1"/>
        <v>0</v>
      </c>
      <c r="CN49">
        <f ca="1"/>
        <v>0</v>
      </c>
      <c r="CO49">
        <f ca="1"/>
        <v>0</v>
      </c>
      <c r="CP49">
        <f ca="1"/>
        <v>0</v>
      </c>
      <c r="CQ49">
        <f ca="1"/>
        <v>0</v>
      </c>
      <c r="CR49">
        <f ca="1"/>
        <v>0</v>
      </c>
      <c r="CS49">
        <f ca="1"/>
        <v>0</v>
      </c>
      <c r="CT49">
        <f ca="1"/>
        <v>0</v>
      </c>
      <c r="CU49">
        <f ca="1"/>
        <v>0</v>
      </c>
      <c r="CV49">
        <f ca="1"/>
        <v>0</v>
      </c>
      <c r="CW49">
        <f ca="1"/>
        <v>0</v>
      </c>
      <c r="CX49">
        <f ca="1"/>
        <v>0</v>
      </c>
      <c r="CY49">
        <f ca="1"/>
        <v>0</v>
      </c>
      <c r="CZ49">
        <f ca="1"/>
        <v>0</v>
      </c>
      <c r="DA49">
        <f ca="1"/>
        <v>0</v>
      </c>
      <c r="DB49">
        <f ca="1"/>
        <v>0</v>
      </c>
      <c r="DC49">
        <f ca="1"/>
        <v>0</v>
      </c>
      <c r="DD49">
        <f ca="1"/>
        <v>0</v>
      </c>
      <c r="DE49">
        <f ca="1"/>
        <v>0</v>
      </c>
      <c r="DF49">
        <f ca="1"/>
        <v>0</v>
      </c>
      <c r="DG49">
        <f ca="1"/>
        <v>0</v>
      </c>
      <c r="DH49">
        <f ca="1"/>
        <v>0</v>
      </c>
      <c r="DI49">
        <f ca="1"/>
        <v>0</v>
      </c>
      <c r="DJ49">
        <f ca="1"/>
        <v>0</v>
      </c>
      <c r="DK49">
        <f ca="1"/>
        <v>0</v>
      </c>
      <c r="DL49">
        <f ca="1"/>
        <v>0</v>
      </c>
      <c r="DM49">
        <f ca="1"/>
        <v>0</v>
      </c>
      <c r="DN49">
        <f ca="1"/>
        <v>0</v>
      </c>
      <c r="DO49">
        <f ca="1"/>
        <v>0</v>
      </c>
      <c r="DP49">
        <f ca="1"/>
        <v>0</v>
      </c>
      <c r="DQ49">
        <f ca="1"/>
        <v>0</v>
      </c>
      <c r="DR49">
        <f ca="1"/>
        <v>0</v>
      </c>
      <c r="DS49">
        <f ca="1"/>
        <v>0</v>
      </c>
      <c r="DT49">
        <f ca="1"/>
        <v>0</v>
      </c>
      <c r="DU49">
        <f ca="1"/>
        <v>0</v>
      </c>
      <c r="DV49">
        <f ca="1"/>
        <v>0</v>
      </c>
      <c r="DW49">
        <f ca="1"/>
        <v>0</v>
      </c>
      <c r="DX49">
        <f ca="1"/>
        <v>0</v>
      </c>
      <c r="DY49">
        <f ca="1"/>
        <v>0</v>
      </c>
      <c r="DZ49">
        <f ca="1"/>
        <v>0</v>
      </c>
      <c r="EA49">
        <f ca="1"/>
        <v>0</v>
      </c>
      <c r="EB49">
        <f ca="1"/>
        <v>0</v>
      </c>
      <c r="EC49">
        <f ca="1"/>
        <v>0</v>
      </c>
      <c r="ED49">
        <f ca="1"/>
        <v>0</v>
      </c>
      <c r="EE49">
        <f ca="1"/>
        <v>0</v>
      </c>
      <c r="EF49">
        <f ca="1"/>
        <v>0</v>
      </c>
      <c r="EG49">
        <f ca="1"/>
        <v>0</v>
      </c>
      <c r="EH49">
        <f ca="1"/>
        <v>0</v>
      </c>
      <c r="EI49">
        <f ca="1"/>
        <v>0</v>
      </c>
      <c r="EJ49">
        <f ca="1"/>
        <v>0</v>
      </c>
      <c r="EK49">
        <f ca="1"/>
        <v>0</v>
      </c>
      <c r="EL49">
        <f ca="1"/>
        <v>0</v>
      </c>
      <c r="EM49">
        <f ca="1"/>
        <v>0</v>
      </c>
      <c r="EN49">
        <f ca="1"/>
        <v>0</v>
      </c>
      <c r="EO49">
        <f ca="1"/>
        <v>0</v>
      </c>
      <c r="EP49">
        <f ca="1"/>
        <v>0</v>
      </c>
      <c r="EQ49">
        <f ca="1"/>
        <v>0</v>
      </c>
      <c r="ER49">
        <f ca="1"/>
        <v>0</v>
      </c>
      <c r="ES49">
        <f ca="1"/>
        <v>0</v>
      </c>
      <c r="ET49">
        <f ca="1"/>
        <v>0</v>
      </c>
      <c r="EU49">
        <f ca="1"/>
        <v>0</v>
      </c>
      <c r="EV49">
        <f ca="1"/>
        <v>0</v>
      </c>
      <c r="EW49">
        <f ca="1"/>
        <v>0</v>
      </c>
      <c r="EX49">
        <f ca="1"/>
        <v>0</v>
      </c>
      <c r="EY49">
        <f ca="1"/>
        <v>0</v>
      </c>
      <c r="EZ49">
        <f ca="1"/>
        <v>0</v>
      </c>
      <c r="FA49">
        <f ca="1"/>
        <v>0</v>
      </c>
      <c r="FB49">
        <f ca="1"/>
        <v>0</v>
      </c>
      <c r="FC49">
        <f ca="1"/>
        <v>0</v>
      </c>
      <c r="FD49">
        <f ca="1"/>
        <v>0</v>
      </c>
      <c r="FE49">
        <f ca="1"/>
        <v>0</v>
      </c>
      <c r="FF49">
        <f ca="1"/>
        <v>0</v>
      </c>
      <c r="FG49">
        <f ca="1"/>
        <v>0</v>
      </c>
      <c r="FH49">
        <f ca="1"/>
        <v>0</v>
      </c>
      <c r="FI49">
        <f ca="1"/>
        <v>0</v>
      </c>
      <c r="FJ49">
        <f ca="1"/>
        <v>0</v>
      </c>
      <c r="FK49">
        <f ca="1"/>
        <v>0</v>
      </c>
      <c r="FL49">
        <f ca="1"/>
        <v>0</v>
      </c>
      <c r="FM49">
        <f ca="1"/>
        <v>0</v>
      </c>
      <c r="FN49">
        <f ca="1"/>
        <v>0</v>
      </c>
      <c r="FO49">
        <f ca="1"/>
        <v>0</v>
      </c>
      <c r="FP49">
        <f ca="1"/>
        <v>0</v>
      </c>
      <c r="FQ49">
        <f ca="1"/>
        <v>0</v>
      </c>
      <c r="FR49">
        <f ca="1"/>
        <v>0</v>
      </c>
      <c r="FS49">
        <f ca="1"/>
        <v>0</v>
      </c>
      <c r="FT49">
        <f ca="1"/>
        <v>0</v>
      </c>
      <c r="FU49">
        <f ca="1"/>
        <v>0</v>
      </c>
      <c r="FV49">
        <f ca="1"/>
        <v>0</v>
      </c>
      <c r="FW49">
        <f ca="1"/>
        <v>0</v>
      </c>
      <c r="FX49">
        <f ca="1"/>
        <v>0</v>
      </c>
      <c r="FY49">
        <f ca="1"/>
        <v>0</v>
      </c>
      <c r="FZ49">
        <f ca="1"/>
        <v>0</v>
      </c>
    </row>
    <row r="50" spans="3:182">
      <c r="C50" cm="1">
        <f t="array" aca="1" ref="C50:FZ50" ca="1">IFERROR(TRANSPOSE(INDEX(_xlfn._xlws.FILTER(INDIRECT("SubcategoriesTable[Subcategory name]"),INDIRECT("SubcategoriesTable[Category name]")=$B50),,)),"No subcategories")</f>
        <v>0</v>
      </c>
      <c r="D50">
        <f ca="1"/>
        <v>0</v>
      </c>
      <c r="E50">
        <f ca="1"/>
        <v>0</v>
      </c>
      <c r="F50">
        <f ca="1"/>
        <v>0</v>
      </c>
      <c r="G50">
        <f ca="1"/>
        <v>0</v>
      </c>
      <c r="H50">
        <f ca="1"/>
        <v>0</v>
      </c>
      <c r="I50">
        <f ca="1"/>
        <v>0</v>
      </c>
      <c r="J50">
        <f ca="1"/>
        <v>0</v>
      </c>
      <c r="K50">
        <f ca="1"/>
        <v>0</v>
      </c>
      <c r="L50">
        <f ca="1"/>
        <v>0</v>
      </c>
      <c r="M50">
        <f ca="1"/>
        <v>0</v>
      </c>
      <c r="N50">
        <f ca="1"/>
        <v>0</v>
      </c>
      <c r="O50">
        <f ca="1"/>
        <v>0</v>
      </c>
      <c r="P50">
        <f ca="1"/>
        <v>0</v>
      </c>
      <c r="Q50">
        <f ca="1"/>
        <v>0</v>
      </c>
      <c r="R50">
        <f ca="1"/>
        <v>0</v>
      </c>
      <c r="S50">
        <f ca="1"/>
        <v>0</v>
      </c>
      <c r="T50">
        <f ca="1"/>
        <v>0</v>
      </c>
      <c r="U50">
        <f ca="1"/>
        <v>0</v>
      </c>
      <c r="V50">
        <f ca="1"/>
        <v>0</v>
      </c>
      <c r="W50">
        <f ca="1"/>
        <v>0</v>
      </c>
      <c r="X50">
        <f ca="1"/>
        <v>0</v>
      </c>
      <c r="Y50">
        <f ca="1"/>
        <v>0</v>
      </c>
      <c r="Z50">
        <f ca="1"/>
        <v>0</v>
      </c>
      <c r="AA50">
        <f ca="1"/>
        <v>0</v>
      </c>
      <c r="AB50">
        <f ca="1"/>
        <v>0</v>
      </c>
      <c r="AC50">
        <f ca="1"/>
        <v>0</v>
      </c>
      <c r="AD50">
        <f ca="1"/>
        <v>0</v>
      </c>
      <c r="AE50">
        <f ca="1"/>
        <v>0</v>
      </c>
      <c r="AF50">
        <f ca="1"/>
        <v>0</v>
      </c>
      <c r="AG50">
        <f ca="1"/>
        <v>0</v>
      </c>
      <c r="AH50">
        <f ca="1"/>
        <v>0</v>
      </c>
      <c r="AI50">
        <f ca="1"/>
        <v>0</v>
      </c>
      <c r="AJ50">
        <f ca="1"/>
        <v>0</v>
      </c>
      <c r="AK50">
        <f ca="1"/>
        <v>0</v>
      </c>
      <c r="AL50">
        <f ca="1"/>
        <v>0</v>
      </c>
      <c r="AM50">
        <f ca="1"/>
        <v>0</v>
      </c>
      <c r="AN50">
        <f ca="1"/>
        <v>0</v>
      </c>
      <c r="AO50">
        <f ca="1"/>
        <v>0</v>
      </c>
      <c r="AP50">
        <f ca="1"/>
        <v>0</v>
      </c>
      <c r="AQ50">
        <f ca="1"/>
        <v>0</v>
      </c>
      <c r="AR50">
        <f ca="1"/>
        <v>0</v>
      </c>
      <c r="AS50">
        <f ca="1"/>
        <v>0</v>
      </c>
      <c r="AT50">
        <f ca="1"/>
        <v>0</v>
      </c>
      <c r="AU50">
        <f ca="1"/>
        <v>0</v>
      </c>
      <c r="AV50">
        <f ca="1"/>
        <v>0</v>
      </c>
      <c r="AW50">
        <f ca="1"/>
        <v>0</v>
      </c>
      <c r="AX50">
        <f ca="1"/>
        <v>0</v>
      </c>
      <c r="AY50">
        <f ca="1"/>
        <v>0</v>
      </c>
      <c r="AZ50">
        <f ca="1"/>
        <v>0</v>
      </c>
      <c r="BA50">
        <f ca="1"/>
        <v>0</v>
      </c>
      <c r="BB50">
        <f ca="1"/>
        <v>0</v>
      </c>
      <c r="BC50">
        <f ca="1"/>
        <v>0</v>
      </c>
      <c r="BD50">
        <f ca="1"/>
        <v>0</v>
      </c>
      <c r="BE50">
        <f ca="1"/>
        <v>0</v>
      </c>
      <c r="BF50">
        <f ca="1"/>
        <v>0</v>
      </c>
      <c r="BG50">
        <f ca="1"/>
        <v>0</v>
      </c>
      <c r="BH50">
        <f ca="1"/>
        <v>0</v>
      </c>
      <c r="BI50">
        <f ca="1"/>
        <v>0</v>
      </c>
      <c r="BJ50">
        <f ca="1"/>
        <v>0</v>
      </c>
      <c r="BK50">
        <f ca="1"/>
        <v>0</v>
      </c>
      <c r="BL50">
        <f ca="1"/>
        <v>0</v>
      </c>
      <c r="BM50">
        <f ca="1"/>
        <v>0</v>
      </c>
      <c r="BN50">
        <f ca="1"/>
        <v>0</v>
      </c>
      <c r="BO50">
        <f ca="1"/>
        <v>0</v>
      </c>
      <c r="BP50">
        <f ca="1"/>
        <v>0</v>
      </c>
      <c r="BQ50">
        <f ca="1"/>
        <v>0</v>
      </c>
      <c r="BR50">
        <f ca="1"/>
        <v>0</v>
      </c>
      <c r="BS50">
        <f ca="1"/>
        <v>0</v>
      </c>
      <c r="BT50">
        <f ca="1"/>
        <v>0</v>
      </c>
      <c r="BU50">
        <f ca="1"/>
        <v>0</v>
      </c>
      <c r="BV50">
        <f ca="1"/>
        <v>0</v>
      </c>
      <c r="BW50">
        <f ca="1"/>
        <v>0</v>
      </c>
      <c r="BX50">
        <f ca="1"/>
        <v>0</v>
      </c>
      <c r="BY50">
        <f ca="1"/>
        <v>0</v>
      </c>
      <c r="BZ50">
        <f ca="1"/>
        <v>0</v>
      </c>
      <c r="CA50">
        <f ca="1"/>
        <v>0</v>
      </c>
      <c r="CB50">
        <f ca="1"/>
        <v>0</v>
      </c>
      <c r="CC50">
        <f ca="1"/>
        <v>0</v>
      </c>
      <c r="CD50">
        <f ca="1"/>
        <v>0</v>
      </c>
      <c r="CE50">
        <f ca="1"/>
        <v>0</v>
      </c>
      <c r="CF50">
        <f ca="1"/>
        <v>0</v>
      </c>
      <c r="CG50">
        <f ca="1"/>
        <v>0</v>
      </c>
      <c r="CH50">
        <f ca="1"/>
        <v>0</v>
      </c>
      <c r="CI50">
        <f ca="1"/>
        <v>0</v>
      </c>
      <c r="CJ50">
        <f ca="1"/>
        <v>0</v>
      </c>
      <c r="CK50">
        <f ca="1"/>
        <v>0</v>
      </c>
      <c r="CL50">
        <f ca="1"/>
        <v>0</v>
      </c>
      <c r="CM50">
        <f ca="1"/>
        <v>0</v>
      </c>
      <c r="CN50">
        <f ca="1"/>
        <v>0</v>
      </c>
      <c r="CO50">
        <f ca="1"/>
        <v>0</v>
      </c>
      <c r="CP50">
        <f ca="1"/>
        <v>0</v>
      </c>
      <c r="CQ50">
        <f ca="1"/>
        <v>0</v>
      </c>
      <c r="CR50">
        <f ca="1"/>
        <v>0</v>
      </c>
      <c r="CS50">
        <f ca="1"/>
        <v>0</v>
      </c>
      <c r="CT50">
        <f ca="1"/>
        <v>0</v>
      </c>
      <c r="CU50">
        <f ca="1"/>
        <v>0</v>
      </c>
      <c r="CV50">
        <f ca="1"/>
        <v>0</v>
      </c>
      <c r="CW50">
        <f ca="1"/>
        <v>0</v>
      </c>
      <c r="CX50">
        <f ca="1"/>
        <v>0</v>
      </c>
      <c r="CY50">
        <f ca="1"/>
        <v>0</v>
      </c>
      <c r="CZ50">
        <f ca="1"/>
        <v>0</v>
      </c>
      <c r="DA50">
        <f ca="1"/>
        <v>0</v>
      </c>
      <c r="DB50">
        <f ca="1"/>
        <v>0</v>
      </c>
      <c r="DC50">
        <f ca="1"/>
        <v>0</v>
      </c>
      <c r="DD50">
        <f ca="1"/>
        <v>0</v>
      </c>
      <c r="DE50">
        <f ca="1"/>
        <v>0</v>
      </c>
      <c r="DF50">
        <f ca="1"/>
        <v>0</v>
      </c>
      <c r="DG50">
        <f ca="1"/>
        <v>0</v>
      </c>
      <c r="DH50">
        <f ca="1"/>
        <v>0</v>
      </c>
      <c r="DI50">
        <f ca="1"/>
        <v>0</v>
      </c>
      <c r="DJ50">
        <f ca="1"/>
        <v>0</v>
      </c>
      <c r="DK50">
        <f ca="1"/>
        <v>0</v>
      </c>
      <c r="DL50">
        <f ca="1"/>
        <v>0</v>
      </c>
      <c r="DM50">
        <f ca="1"/>
        <v>0</v>
      </c>
      <c r="DN50">
        <f ca="1"/>
        <v>0</v>
      </c>
      <c r="DO50">
        <f ca="1"/>
        <v>0</v>
      </c>
      <c r="DP50">
        <f ca="1"/>
        <v>0</v>
      </c>
      <c r="DQ50">
        <f ca="1"/>
        <v>0</v>
      </c>
      <c r="DR50">
        <f ca="1"/>
        <v>0</v>
      </c>
      <c r="DS50">
        <f ca="1"/>
        <v>0</v>
      </c>
      <c r="DT50">
        <f ca="1"/>
        <v>0</v>
      </c>
      <c r="DU50">
        <f ca="1"/>
        <v>0</v>
      </c>
      <c r="DV50">
        <f ca="1"/>
        <v>0</v>
      </c>
      <c r="DW50">
        <f ca="1"/>
        <v>0</v>
      </c>
      <c r="DX50">
        <f ca="1"/>
        <v>0</v>
      </c>
      <c r="DY50">
        <f ca="1"/>
        <v>0</v>
      </c>
      <c r="DZ50">
        <f ca="1"/>
        <v>0</v>
      </c>
      <c r="EA50">
        <f ca="1"/>
        <v>0</v>
      </c>
      <c r="EB50">
        <f ca="1"/>
        <v>0</v>
      </c>
      <c r="EC50">
        <f ca="1"/>
        <v>0</v>
      </c>
      <c r="ED50">
        <f ca="1"/>
        <v>0</v>
      </c>
      <c r="EE50">
        <f ca="1"/>
        <v>0</v>
      </c>
      <c r="EF50">
        <f ca="1"/>
        <v>0</v>
      </c>
      <c r="EG50">
        <f ca="1"/>
        <v>0</v>
      </c>
      <c r="EH50">
        <f ca="1"/>
        <v>0</v>
      </c>
      <c r="EI50">
        <f ca="1"/>
        <v>0</v>
      </c>
      <c r="EJ50">
        <f ca="1"/>
        <v>0</v>
      </c>
      <c r="EK50">
        <f ca="1"/>
        <v>0</v>
      </c>
      <c r="EL50">
        <f ca="1"/>
        <v>0</v>
      </c>
      <c r="EM50">
        <f ca="1"/>
        <v>0</v>
      </c>
      <c r="EN50">
        <f ca="1"/>
        <v>0</v>
      </c>
      <c r="EO50">
        <f ca="1"/>
        <v>0</v>
      </c>
      <c r="EP50">
        <f ca="1"/>
        <v>0</v>
      </c>
      <c r="EQ50">
        <f ca="1"/>
        <v>0</v>
      </c>
      <c r="ER50">
        <f ca="1"/>
        <v>0</v>
      </c>
      <c r="ES50">
        <f ca="1"/>
        <v>0</v>
      </c>
      <c r="ET50">
        <f ca="1"/>
        <v>0</v>
      </c>
      <c r="EU50">
        <f ca="1"/>
        <v>0</v>
      </c>
      <c r="EV50">
        <f ca="1"/>
        <v>0</v>
      </c>
      <c r="EW50">
        <f ca="1"/>
        <v>0</v>
      </c>
      <c r="EX50">
        <f ca="1"/>
        <v>0</v>
      </c>
      <c r="EY50">
        <f ca="1"/>
        <v>0</v>
      </c>
      <c r="EZ50">
        <f ca="1"/>
        <v>0</v>
      </c>
      <c r="FA50">
        <f ca="1"/>
        <v>0</v>
      </c>
      <c r="FB50">
        <f ca="1"/>
        <v>0</v>
      </c>
      <c r="FC50">
        <f ca="1"/>
        <v>0</v>
      </c>
      <c r="FD50">
        <f ca="1"/>
        <v>0</v>
      </c>
      <c r="FE50">
        <f ca="1"/>
        <v>0</v>
      </c>
      <c r="FF50">
        <f ca="1"/>
        <v>0</v>
      </c>
      <c r="FG50">
        <f ca="1"/>
        <v>0</v>
      </c>
      <c r="FH50">
        <f ca="1"/>
        <v>0</v>
      </c>
      <c r="FI50">
        <f ca="1"/>
        <v>0</v>
      </c>
      <c r="FJ50">
        <f ca="1"/>
        <v>0</v>
      </c>
      <c r="FK50">
        <f ca="1"/>
        <v>0</v>
      </c>
      <c r="FL50">
        <f ca="1"/>
        <v>0</v>
      </c>
      <c r="FM50">
        <f ca="1"/>
        <v>0</v>
      </c>
      <c r="FN50">
        <f ca="1"/>
        <v>0</v>
      </c>
      <c r="FO50">
        <f ca="1"/>
        <v>0</v>
      </c>
      <c r="FP50">
        <f ca="1"/>
        <v>0</v>
      </c>
      <c r="FQ50">
        <f ca="1"/>
        <v>0</v>
      </c>
      <c r="FR50">
        <f ca="1"/>
        <v>0</v>
      </c>
      <c r="FS50">
        <f ca="1"/>
        <v>0</v>
      </c>
      <c r="FT50">
        <f ca="1"/>
        <v>0</v>
      </c>
      <c r="FU50">
        <f ca="1"/>
        <v>0</v>
      </c>
      <c r="FV50">
        <f ca="1"/>
        <v>0</v>
      </c>
      <c r="FW50">
        <f ca="1"/>
        <v>0</v>
      </c>
      <c r="FX50">
        <f ca="1"/>
        <v>0</v>
      </c>
      <c r="FY50">
        <f ca="1"/>
        <v>0</v>
      </c>
      <c r="FZ50">
        <f ca="1"/>
        <v>0</v>
      </c>
    </row>
    <row r="51" spans="3:182">
      <c r="C51" cm="1">
        <f t="array" aca="1" ref="C51:FZ51" ca="1">IFERROR(TRANSPOSE(INDEX(_xlfn._xlws.FILTER(INDIRECT("SubcategoriesTable[Subcategory name]"),INDIRECT("SubcategoriesTable[Category name]")=$B51),,)),"No subcategories")</f>
        <v>0</v>
      </c>
      <c r="D51">
        <f ca="1"/>
        <v>0</v>
      </c>
      <c r="E51">
        <f ca="1"/>
        <v>0</v>
      </c>
      <c r="F51">
        <f ca="1"/>
        <v>0</v>
      </c>
      <c r="G51">
        <f ca="1"/>
        <v>0</v>
      </c>
      <c r="H51">
        <f ca="1"/>
        <v>0</v>
      </c>
      <c r="I51">
        <f ca="1"/>
        <v>0</v>
      </c>
      <c r="J51">
        <f ca="1"/>
        <v>0</v>
      </c>
      <c r="K51">
        <f ca="1"/>
        <v>0</v>
      </c>
      <c r="L51">
        <f ca="1"/>
        <v>0</v>
      </c>
      <c r="M51">
        <f ca="1"/>
        <v>0</v>
      </c>
      <c r="N51">
        <f ca="1"/>
        <v>0</v>
      </c>
      <c r="O51">
        <f ca="1"/>
        <v>0</v>
      </c>
      <c r="P51">
        <f ca="1"/>
        <v>0</v>
      </c>
      <c r="Q51">
        <f ca="1"/>
        <v>0</v>
      </c>
      <c r="R51">
        <f ca="1"/>
        <v>0</v>
      </c>
      <c r="S51">
        <f ca="1"/>
        <v>0</v>
      </c>
      <c r="T51">
        <f ca="1"/>
        <v>0</v>
      </c>
      <c r="U51">
        <f ca="1"/>
        <v>0</v>
      </c>
      <c r="V51">
        <f ca="1"/>
        <v>0</v>
      </c>
      <c r="W51">
        <f ca="1"/>
        <v>0</v>
      </c>
      <c r="X51">
        <f ca="1"/>
        <v>0</v>
      </c>
      <c r="Y51">
        <f ca="1"/>
        <v>0</v>
      </c>
      <c r="Z51">
        <f ca="1"/>
        <v>0</v>
      </c>
      <c r="AA51">
        <f ca="1"/>
        <v>0</v>
      </c>
      <c r="AB51">
        <f ca="1"/>
        <v>0</v>
      </c>
      <c r="AC51">
        <f ca="1"/>
        <v>0</v>
      </c>
      <c r="AD51">
        <f ca="1"/>
        <v>0</v>
      </c>
      <c r="AE51">
        <f ca="1"/>
        <v>0</v>
      </c>
      <c r="AF51">
        <f ca="1"/>
        <v>0</v>
      </c>
      <c r="AG51">
        <f ca="1"/>
        <v>0</v>
      </c>
      <c r="AH51">
        <f ca="1"/>
        <v>0</v>
      </c>
      <c r="AI51">
        <f ca="1"/>
        <v>0</v>
      </c>
      <c r="AJ51">
        <f ca="1"/>
        <v>0</v>
      </c>
      <c r="AK51">
        <f ca="1"/>
        <v>0</v>
      </c>
      <c r="AL51">
        <f ca="1"/>
        <v>0</v>
      </c>
      <c r="AM51">
        <f ca="1"/>
        <v>0</v>
      </c>
      <c r="AN51">
        <f ca="1"/>
        <v>0</v>
      </c>
      <c r="AO51">
        <f ca="1"/>
        <v>0</v>
      </c>
      <c r="AP51">
        <f ca="1"/>
        <v>0</v>
      </c>
      <c r="AQ51">
        <f ca="1"/>
        <v>0</v>
      </c>
      <c r="AR51">
        <f ca="1"/>
        <v>0</v>
      </c>
      <c r="AS51">
        <f ca="1"/>
        <v>0</v>
      </c>
      <c r="AT51">
        <f ca="1"/>
        <v>0</v>
      </c>
      <c r="AU51">
        <f ca="1"/>
        <v>0</v>
      </c>
      <c r="AV51">
        <f ca="1"/>
        <v>0</v>
      </c>
      <c r="AW51">
        <f ca="1"/>
        <v>0</v>
      </c>
      <c r="AX51">
        <f ca="1"/>
        <v>0</v>
      </c>
      <c r="AY51">
        <f ca="1"/>
        <v>0</v>
      </c>
      <c r="AZ51">
        <f ca="1"/>
        <v>0</v>
      </c>
      <c r="BA51">
        <f ca="1"/>
        <v>0</v>
      </c>
      <c r="BB51">
        <f ca="1"/>
        <v>0</v>
      </c>
      <c r="BC51">
        <f ca="1"/>
        <v>0</v>
      </c>
      <c r="BD51">
        <f ca="1"/>
        <v>0</v>
      </c>
      <c r="BE51">
        <f ca="1"/>
        <v>0</v>
      </c>
      <c r="BF51">
        <f ca="1"/>
        <v>0</v>
      </c>
      <c r="BG51">
        <f ca="1"/>
        <v>0</v>
      </c>
      <c r="BH51">
        <f ca="1"/>
        <v>0</v>
      </c>
      <c r="BI51">
        <f ca="1"/>
        <v>0</v>
      </c>
      <c r="BJ51">
        <f ca="1"/>
        <v>0</v>
      </c>
      <c r="BK51">
        <f ca="1"/>
        <v>0</v>
      </c>
      <c r="BL51">
        <f ca="1"/>
        <v>0</v>
      </c>
      <c r="BM51">
        <f ca="1"/>
        <v>0</v>
      </c>
      <c r="BN51">
        <f ca="1"/>
        <v>0</v>
      </c>
      <c r="BO51">
        <f ca="1"/>
        <v>0</v>
      </c>
      <c r="BP51">
        <f ca="1"/>
        <v>0</v>
      </c>
      <c r="BQ51">
        <f ca="1"/>
        <v>0</v>
      </c>
      <c r="BR51">
        <f ca="1"/>
        <v>0</v>
      </c>
      <c r="BS51">
        <f ca="1"/>
        <v>0</v>
      </c>
      <c r="BT51">
        <f ca="1"/>
        <v>0</v>
      </c>
      <c r="BU51">
        <f ca="1"/>
        <v>0</v>
      </c>
      <c r="BV51">
        <f ca="1"/>
        <v>0</v>
      </c>
      <c r="BW51">
        <f ca="1"/>
        <v>0</v>
      </c>
      <c r="BX51">
        <f ca="1"/>
        <v>0</v>
      </c>
      <c r="BY51">
        <f ca="1"/>
        <v>0</v>
      </c>
      <c r="BZ51">
        <f ca="1"/>
        <v>0</v>
      </c>
      <c r="CA51">
        <f ca="1"/>
        <v>0</v>
      </c>
      <c r="CB51">
        <f ca="1"/>
        <v>0</v>
      </c>
      <c r="CC51">
        <f ca="1"/>
        <v>0</v>
      </c>
      <c r="CD51">
        <f ca="1"/>
        <v>0</v>
      </c>
      <c r="CE51">
        <f ca="1"/>
        <v>0</v>
      </c>
      <c r="CF51">
        <f ca="1"/>
        <v>0</v>
      </c>
      <c r="CG51">
        <f ca="1"/>
        <v>0</v>
      </c>
      <c r="CH51">
        <f ca="1"/>
        <v>0</v>
      </c>
      <c r="CI51">
        <f ca="1"/>
        <v>0</v>
      </c>
      <c r="CJ51">
        <f ca="1"/>
        <v>0</v>
      </c>
      <c r="CK51">
        <f ca="1"/>
        <v>0</v>
      </c>
      <c r="CL51">
        <f ca="1"/>
        <v>0</v>
      </c>
      <c r="CM51">
        <f ca="1"/>
        <v>0</v>
      </c>
      <c r="CN51">
        <f ca="1"/>
        <v>0</v>
      </c>
      <c r="CO51">
        <f ca="1"/>
        <v>0</v>
      </c>
      <c r="CP51">
        <f ca="1"/>
        <v>0</v>
      </c>
      <c r="CQ51">
        <f ca="1"/>
        <v>0</v>
      </c>
      <c r="CR51">
        <f ca="1"/>
        <v>0</v>
      </c>
      <c r="CS51">
        <f ca="1"/>
        <v>0</v>
      </c>
      <c r="CT51">
        <f ca="1"/>
        <v>0</v>
      </c>
      <c r="CU51">
        <f ca="1"/>
        <v>0</v>
      </c>
      <c r="CV51">
        <f ca="1"/>
        <v>0</v>
      </c>
      <c r="CW51">
        <f ca="1"/>
        <v>0</v>
      </c>
      <c r="CX51">
        <f ca="1"/>
        <v>0</v>
      </c>
      <c r="CY51">
        <f ca="1"/>
        <v>0</v>
      </c>
      <c r="CZ51">
        <f ca="1"/>
        <v>0</v>
      </c>
      <c r="DA51">
        <f ca="1"/>
        <v>0</v>
      </c>
      <c r="DB51">
        <f ca="1"/>
        <v>0</v>
      </c>
      <c r="DC51">
        <f ca="1"/>
        <v>0</v>
      </c>
      <c r="DD51">
        <f ca="1"/>
        <v>0</v>
      </c>
      <c r="DE51">
        <f ca="1"/>
        <v>0</v>
      </c>
      <c r="DF51">
        <f ca="1"/>
        <v>0</v>
      </c>
      <c r="DG51">
        <f ca="1"/>
        <v>0</v>
      </c>
      <c r="DH51">
        <f ca="1"/>
        <v>0</v>
      </c>
      <c r="DI51">
        <f ca="1"/>
        <v>0</v>
      </c>
      <c r="DJ51">
        <f ca="1"/>
        <v>0</v>
      </c>
      <c r="DK51">
        <f ca="1"/>
        <v>0</v>
      </c>
      <c r="DL51">
        <f ca="1"/>
        <v>0</v>
      </c>
      <c r="DM51">
        <f ca="1"/>
        <v>0</v>
      </c>
      <c r="DN51">
        <f ca="1"/>
        <v>0</v>
      </c>
      <c r="DO51">
        <f ca="1"/>
        <v>0</v>
      </c>
      <c r="DP51">
        <f ca="1"/>
        <v>0</v>
      </c>
      <c r="DQ51">
        <f ca="1"/>
        <v>0</v>
      </c>
      <c r="DR51">
        <f ca="1"/>
        <v>0</v>
      </c>
      <c r="DS51">
        <f ca="1"/>
        <v>0</v>
      </c>
      <c r="DT51">
        <f ca="1"/>
        <v>0</v>
      </c>
      <c r="DU51">
        <f ca="1"/>
        <v>0</v>
      </c>
      <c r="DV51">
        <f ca="1"/>
        <v>0</v>
      </c>
      <c r="DW51">
        <f ca="1"/>
        <v>0</v>
      </c>
      <c r="DX51">
        <f ca="1"/>
        <v>0</v>
      </c>
      <c r="DY51">
        <f ca="1"/>
        <v>0</v>
      </c>
      <c r="DZ51">
        <f ca="1"/>
        <v>0</v>
      </c>
      <c r="EA51">
        <f ca="1"/>
        <v>0</v>
      </c>
      <c r="EB51">
        <f ca="1"/>
        <v>0</v>
      </c>
      <c r="EC51">
        <f ca="1"/>
        <v>0</v>
      </c>
      <c r="ED51">
        <f ca="1"/>
        <v>0</v>
      </c>
      <c r="EE51">
        <f ca="1"/>
        <v>0</v>
      </c>
      <c r="EF51">
        <f ca="1"/>
        <v>0</v>
      </c>
      <c r="EG51">
        <f ca="1"/>
        <v>0</v>
      </c>
      <c r="EH51">
        <f ca="1"/>
        <v>0</v>
      </c>
      <c r="EI51">
        <f ca="1"/>
        <v>0</v>
      </c>
      <c r="EJ51">
        <f ca="1"/>
        <v>0</v>
      </c>
      <c r="EK51">
        <f ca="1"/>
        <v>0</v>
      </c>
      <c r="EL51">
        <f ca="1"/>
        <v>0</v>
      </c>
      <c r="EM51">
        <f ca="1"/>
        <v>0</v>
      </c>
      <c r="EN51">
        <f ca="1"/>
        <v>0</v>
      </c>
      <c r="EO51">
        <f ca="1"/>
        <v>0</v>
      </c>
      <c r="EP51">
        <f ca="1"/>
        <v>0</v>
      </c>
      <c r="EQ51">
        <f ca="1"/>
        <v>0</v>
      </c>
      <c r="ER51">
        <f ca="1"/>
        <v>0</v>
      </c>
      <c r="ES51">
        <f ca="1"/>
        <v>0</v>
      </c>
      <c r="ET51">
        <f ca="1"/>
        <v>0</v>
      </c>
      <c r="EU51">
        <f ca="1"/>
        <v>0</v>
      </c>
      <c r="EV51">
        <f ca="1"/>
        <v>0</v>
      </c>
      <c r="EW51">
        <f ca="1"/>
        <v>0</v>
      </c>
      <c r="EX51">
        <f ca="1"/>
        <v>0</v>
      </c>
      <c r="EY51">
        <f ca="1"/>
        <v>0</v>
      </c>
      <c r="EZ51">
        <f ca="1"/>
        <v>0</v>
      </c>
      <c r="FA51">
        <f ca="1"/>
        <v>0</v>
      </c>
      <c r="FB51">
        <f ca="1"/>
        <v>0</v>
      </c>
      <c r="FC51">
        <f ca="1"/>
        <v>0</v>
      </c>
      <c r="FD51">
        <f ca="1"/>
        <v>0</v>
      </c>
      <c r="FE51">
        <f ca="1"/>
        <v>0</v>
      </c>
      <c r="FF51">
        <f ca="1"/>
        <v>0</v>
      </c>
      <c r="FG51">
        <f ca="1"/>
        <v>0</v>
      </c>
      <c r="FH51">
        <f ca="1"/>
        <v>0</v>
      </c>
      <c r="FI51">
        <f ca="1"/>
        <v>0</v>
      </c>
      <c r="FJ51">
        <f ca="1"/>
        <v>0</v>
      </c>
      <c r="FK51">
        <f ca="1"/>
        <v>0</v>
      </c>
      <c r="FL51">
        <f ca="1"/>
        <v>0</v>
      </c>
      <c r="FM51">
        <f ca="1"/>
        <v>0</v>
      </c>
      <c r="FN51">
        <f ca="1"/>
        <v>0</v>
      </c>
      <c r="FO51">
        <f ca="1"/>
        <v>0</v>
      </c>
      <c r="FP51">
        <f ca="1"/>
        <v>0</v>
      </c>
      <c r="FQ51">
        <f ca="1"/>
        <v>0</v>
      </c>
      <c r="FR51">
        <f ca="1"/>
        <v>0</v>
      </c>
      <c r="FS51">
        <f ca="1"/>
        <v>0</v>
      </c>
      <c r="FT51">
        <f ca="1"/>
        <v>0</v>
      </c>
      <c r="FU51">
        <f ca="1"/>
        <v>0</v>
      </c>
      <c r="FV51">
        <f ca="1"/>
        <v>0</v>
      </c>
      <c r="FW51">
        <f ca="1"/>
        <v>0</v>
      </c>
      <c r="FX51">
        <f ca="1"/>
        <v>0</v>
      </c>
      <c r="FY51">
        <f ca="1"/>
        <v>0</v>
      </c>
      <c r="FZ51">
        <f ca="1"/>
        <v>0</v>
      </c>
    </row>
    <row r="52" spans="3:182">
      <c r="C52" cm="1">
        <f t="array" aca="1" ref="C52:FZ52" ca="1">IFERROR(TRANSPOSE(INDEX(_xlfn._xlws.FILTER(INDIRECT("SubcategoriesTable[Subcategory name]"),INDIRECT("SubcategoriesTable[Category name]")=$B52),,)),"No subcategories")</f>
        <v>0</v>
      </c>
      <c r="D52">
        <f ca="1"/>
        <v>0</v>
      </c>
      <c r="E52">
        <f ca="1"/>
        <v>0</v>
      </c>
      <c r="F52">
        <f ca="1"/>
        <v>0</v>
      </c>
      <c r="G52">
        <f ca="1"/>
        <v>0</v>
      </c>
      <c r="H52">
        <f ca="1"/>
        <v>0</v>
      </c>
      <c r="I52">
        <f ca="1"/>
        <v>0</v>
      </c>
      <c r="J52">
        <f ca="1"/>
        <v>0</v>
      </c>
      <c r="K52">
        <f ca="1"/>
        <v>0</v>
      </c>
      <c r="L52">
        <f ca="1"/>
        <v>0</v>
      </c>
      <c r="M52">
        <f ca="1"/>
        <v>0</v>
      </c>
      <c r="N52">
        <f ca="1"/>
        <v>0</v>
      </c>
      <c r="O52">
        <f ca="1"/>
        <v>0</v>
      </c>
      <c r="P52">
        <f ca="1"/>
        <v>0</v>
      </c>
      <c r="Q52">
        <f ca="1"/>
        <v>0</v>
      </c>
      <c r="R52">
        <f ca="1"/>
        <v>0</v>
      </c>
      <c r="S52">
        <f ca="1"/>
        <v>0</v>
      </c>
      <c r="T52">
        <f ca="1"/>
        <v>0</v>
      </c>
      <c r="U52">
        <f ca="1"/>
        <v>0</v>
      </c>
      <c r="V52">
        <f ca="1"/>
        <v>0</v>
      </c>
      <c r="W52">
        <f ca="1"/>
        <v>0</v>
      </c>
      <c r="X52">
        <f ca="1"/>
        <v>0</v>
      </c>
      <c r="Y52">
        <f ca="1"/>
        <v>0</v>
      </c>
      <c r="Z52">
        <f ca="1"/>
        <v>0</v>
      </c>
      <c r="AA52">
        <f ca="1"/>
        <v>0</v>
      </c>
      <c r="AB52">
        <f ca="1"/>
        <v>0</v>
      </c>
      <c r="AC52">
        <f ca="1"/>
        <v>0</v>
      </c>
      <c r="AD52">
        <f ca="1"/>
        <v>0</v>
      </c>
      <c r="AE52">
        <f ca="1"/>
        <v>0</v>
      </c>
      <c r="AF52">
        <f ca="1"/>
        <v>0</v>
      </c>
      <c r="AG52">
        <f ca="1"/>
        <v>0</v>
      </c>
      <c r="AH52">
        <f ca="1"/>
        <v>0</v>
      </c>
      <c r="AI52">
        <f ca="1"/>
        <v>0</v>
      </c>
      <c r="AJ52">
        <f ca="1"/>
        <v>0</v>
      </c>
      <c r="AK52">
        <f ca="1"/>
        <v>0</v>
      </c>
      <c r="AL52">
        <f ca="1"/>
        <v>0</v>
      </c>
      <c r="AM52">
        <f ca="1"/>
        <v>0</v>
      </c>
      <c r="AN52">
        <f ca="1"/>
        <v>0</v>
      </c>
      <c r="AO52">
        <f ca="1"/>
        <v>0</v>
      </c>
      <c r="AP52">
        <f ca="1"/>
        <v>0</v>
      </c>
      <c r="AQ52">
        <f ca="1"/>
        <v>0</v>
      </c>
      <c r="AR52">
        <f ca="1"/>
        <v>0</v>
      </c>
      <c r="AS52">
        <f ca="1"/>
        <v>0</v>
      </c>
      <c r="AT52">
        <f ca="1"/>
        <v>0</v>
      </c>
      <c r="AU52">
        <f ca="1"/>
        <v>0</v>
      </c>
      <c r="AV52">
        <f ca="1"/>
        <v>0</v>
      </c>
      <c r="AW52">
        <f ca="1"/>
        <v>0</v>
      </c>
      <c r="AX52">
        <f ca="1"/>
        <v>0</v>
      </c>
      <c r="AY52">
        <f ca="1"/>
        <v>0</v>
      </c>
      <c r="AZ52">
        <f ca="1"/>
        <v>0</v>
      </c>
      <c r="BA52">
        <f ca="1"/>
        <v>0</v>
      </c>
      <c r="BB52">
        <f ca="1"/>
        <v>0</v>
      </c>
      <c r="BC52">
        <f ca="1"/>
        <v>0</v>
      </c>
      <c r="BD52">
        <f ca="1"/>
        <v>0</v>
      </c>
      <c r="BE52">
        <f ca="1"/>
        <v>0</v>
      </c>
      <c r="BF52">
        <f ca="1"/>
        <v>0</v>
      </c>
      <c r="BG52">
        <f ca="1"/>
        <v>0</v>
      </c>
      <c r="BH52">
        <f ca="1"/>
        <v>0</v>
      </c>
      <c r="BI52">
        <f ca="1"/>
        <v>0</v>
      </c>
      <c r="BJ52">
        <f ca="1"/>
        <v>0</v>
      </c>
      <c r="BK52">
        <f ca="1"/>
        <v>0</v>
      </c>
      <c r="BL52">
        <f ca="1"/>
        <v>0</v>
      </c>
      <c r="BM52">
        <f ca="1"/>
        <v>0</v>
      </c>
      <c r="BN52">
        <f ca="1"/>
        <v>0</v>
      </c>
      <c r="BO52">
        <f ca="1"/>
        <v>0</v>
      </c>
      <c r="BP52">
        <f ca="1"/>
        <v>0</v>
      </c>
      <c r="BQ52">
        <f ca="1"/>
        <v>0</v>
      </c>
      <c r="BR52">
        <f ca="1"/>
        <v>0</v>
      </c>
      <c r="BS52">
        <f ca="1"/>
        <v>0</v>
      </c>
      <c r="BT52">
        <f ca="1"/>
        <v>0</v>
      </c>
      <c r="BU52">
        <f ca="1"/>
        <v>0</v>
      </c>
      <c r="BV52">
        <f ca="1"/>
        <v>0</v>
      </c>
      <c r="BW52">
        <f ca="1"/>
        <v>0</v>
      </c>
      <c r="BX52">
        <f ca="1"/>
        <v>0</v>
      </c>
      <c r="BY52">
        <f ca="1"/>
        <v>0</v>
      </c>
      <c r="BZ52">
        <f ca="1"/>
        <v>0</v>
      </c>
      <c r="CA52">
        <f ca="1"/>
        <v>0</v>
      </c>
      <c r="CB52">
        <f ca="1"/>
        <v>0</v>
      </c>
      <c r="CC52">
        <f ca="1"/>
        <v>0</v>
      </c>
      <c r="CD52">
        <f ca="1"/>
        <v>0</v>
      </c>
      <c r="CE52">
        <f ca="1"/>
        <v>0</v>
      </c>
      <c r="CF52">
        <f ca="1"/>
        <v>0</v>
      </c>
      <c r="CG52">
        <f ca="1"/>
        <v>0</v>
      </c>
      <c r="CH52">
        <f ca="1"/>
        <v>0</v>
      </c>
      <c r="CI52">
        <f ca="1"/>
        <v>0</v>
      </c>
      <c r="CJ52">
        <f ca="1"/>
        <v>0</v>
      </c>
      <c r="CK52">
        <f ca="1"/>
        <v>0</v>
      </c>
      <c r="CL52">
        <f ca="1"/>
        <v>0</v>
      </c>
      <c r="CM52">
        <f ca="1"/>
        <v>0</v>
      </c>
      <c r="CN52">
        <f ca="1"/>
        <v>0</v>
      </c>
      <c r="CO52">
        <f ca="1"/>
        <v>0</v>
      </c>
      <c r="CP52">
        <f ca="1"/>
        <v>0</v>
      </c>
      <c r="CQ52">
        <f ca="1"/>
        <v>0</v>
      </c>
      <c r="CR52">
        <f ca="1"/>
        <v>0</v>
      </c>
      <c r="CS52">
        <f ca="1"/>
        <v>0</v>
      </c>
      <c r="CT52">
        <f ca="1"/>
        <v>0</v>
      </c>
      <c r="CU52">
        <f ca="1"/>
        <v>0</v>
      </c>
      <c r="CV52">
        <f ca="1"/>
        <v>0</v>
      </c>
      <c r="CW52">
        <f ca="1"/>
        <v>0</v>
      </c>
      <c r="CX52">
        <f ca="1"/>
        <v>0</v>
      </c>
      <c r="CY52">
        <f ca="1"/>
        <v>0</v>
      </c>
      <c r="CZ52">
        <f ca="1"/>
        <v>0</v>
      </c>
      <c r="DA52">
        <f ca="1"/>
        <v>0</v>
      </c>
      <c r="DB52">
        <f ca="1"/>
        <v>0</v>
      </c>
      <c r="DC52">
        <f ca="1"/>
        <v>0</v>
      </c>
      <c r="DD52">
        <f ca="1"/>
        <v>0</v>
      </c>
      <c r="DE52">
        <f ca="1"/>
        <v>0</v>
      </c>
      <c r="DF52">
        <f ca="1"/>
        <v>0</v>
      </c>
      <c r="DG52">
        <f ca="1"/>
        <v>0</v>
      </c>
      <c r="DH52">
        <f ca="1"/>
        <v>0</v>
      </c>
      <c r="DI52">
        <f ca="1"/>
        <v>0</v>
      </c>
      <c r="DJ52">
        <f ca="1"/>
        <v>0</v>
      </c>
      <c r="DK52">
        <f ca="1"/>
        <v>0</v>
      </c>
      <c r="DL52">
        <f ca="1"/>
        <v>0</v>
      </c>
      <c r="DM52">
        <f ca="1"/>
        <v>0</v>
      </c>
      <c r="DN52">
        <f ca="1"/>
        <v>0</v>
      </c>
      <c r="DO52">
        <f ca="1"/>
        <v>0</v>
      </c>
      <c r="DP52">
        <f ca="1"/>
        <v>0</v>
      </c>
      <c r="DQ52">
        <f ca="1"/>
        <v>0</v>
      </c>
      <c r="DR52">
        <f ca="1"/>
        <v>0</v>
      </c>
      <c r="DS52">
        <f ca="1"/>
        <v>0</v>
      </c>
      <c r="DT52">
        <f ca="1"/>
        <v>0</v>
      </c>
      <c r="DU52">
        <f ca="1"/>
        <v>0</v>
      </c>
      <c r="DV52">
        <f ca="1"/>
        <v>0</v>
      </c>
      <c r="DW52">
        <f ca="1"/>
        <v>0</v>
      </c>
      <c r="DX52">
        <f ca="1"/>
        <v>0</v>
      </c>
      <c r="DY52">
        <f ca="1"/>
        <v>0</v>
      </c>
      <c r="DZ52">
        <f ca="1"/>
        <v>0</v>
      </c>
      <c r="EA52">
        <f ca="1"/>
        <v>0</v>
      </c>
      <c r="EB52">
        <f ca="1"/>
        <v>0</v>
      </c>
      <c r="EC52">
        <f ca="1"/>
        <v>0</v>
      </c>
      <c r="ED52">
        <f ca="1"/>
        <v>0</v>
      </c>
      <c r="EE52">
        <f ca="1"/>
        <v>0</v>
      </c>
      <c r="EF52">
        <f ca="1"/>
        <v>0</v>
      </c>
      <c r="EG52">
        <f ca="1"/>
        <v>0</v>
      </c>
      <c r="EH52">
        <f ca="1"/>
        <v>0</v>
      </c>
      <c r="EI52">
        <f ca="1"/>
        <v>0</v>
      </c>
      <c r="EJ52">
        <f ca="1"/>
        <v>0</v>
      </c>
      <c r="EK52">
        <f ca="1"/>
        <v>0</v>
      </c>
      <c r="EL52">
        <f ca="1"/>
        <v>0</v>
      </c>
      <c r="EM52">
        <f ca="1"/>
        <v>0</v>
      </c>
      <c r="EN52">
        <f ca="1"/>
        <v>0</v>
      </c>
      <c r="EO52">
        <f ca="1"/>
        <v>0</v>
      </c>
      <c r="EP52">
        <f ca="1"/>
        <v>0</v>
      </c>
      <c r="EQ52">
        <f ca="1"/>
        <v>0</v>
      </c>
      <c r="ER52">
        <f ca="1"/>
        <v>0</v>
      </c>
      <c r="ES52">
        <f ca="1"/>
        <v>0</v>
      </c>
      <c r="ET52">
        <f ca="1"/>
        <v>0</v>
      </c>
      <c r="EU52">
        <f ca="1"/>
        <v>0</v>
      </c>
      <c r="EV52">
        <f ca="1"/>
        <v>0</v>
      </c>
      <c r="EW52">
        <f ca="1"/>
        <v>0</v>
      </c>
      <c r="EX52">
        <f ca="1"/>
        <v>0</v>
      </c>
      <c r="EY52">
        <f ca="1"/>
        <v>0</v>
      </c>
      <c r="EZ52">
        <f ca="1"/>
        <v>0</v>
      </c>
      <c r="FA52">
        <f ca="1"/>
        <v>0</v>
      </c>
      <c r="FB52">
        <f ca="1"/>
        <v>0</v>
      </c>
      <c r="FC52">
        <f ca="1"/>
        <v>0</v>
      </c>
      <c r="FD52">
        <f ca="1"/>
        <v>0</v>
      </c>
      <c r="FE52">
        <f ca="1"/>
        <v>0</v>
      </c>
      <c r="FF52">
        <f ca="1"/>
        <v>0</v>
      </c>
      <c r="FG52">
        <f ca="1"/>
        <v>0</v>
      </c>
      <c r="FH52">
        <f ca="1"/>
        <v>0</v>
      </c>
      <c r="FI52">
        <f ca="1"/>
        <v>0</v>
      </c>
      <c r="FJ52">
        <f ca="1"/>
        <v>0</v>
      </c>
      <c r="FK52">
        <f ca="1"/>
        <v>0</v>
      </c>
      <c r="FL52">
        <f ca="1"/>
        <v>0</v>
      </c>
      <c r="FM52">
        <f ca="1"/>
        <v>0</v>
      </c>
      <c r="FN52">
        <f ca="1"/>
        <v>0</v>
      </c>
      <c r="FO52">
        <f ca="1"/>
        <v>0</v>
      </c>
      <c r="FP52">
        <f ca="1"/>
        <v>0</v>
      </c>
      <c r="FQ52">
        <f ca="1"/>
        <v>0</v>
      </c>
      <c r="FR52">
        <f ca="1"/>
        <v>0</v>
      </c>
      <c r="FS52">
        <f ca="1"/>
        <v>0</v>
      </c>
      <c r="FT52">
        <f ca="1"/>
        <v>0</v>
      </c>
      <c r="FU52">
        <f ca="1"/>
        <v>0</v>
      </c>
      <c r="FV52">
        <f ca="1"/>
        <v>0</v>
      </c>
      <c r="FW52">
        <f ca="1"/>
        <v>0</v>
      </c>
      <c r="FX52">
        <f ca="1"/>
        <v>0</v>
      </c>
      <c r="FY52">
        <f ca="1"/>
        <v>0</v>
      </c>
      <c r="FZ52">
        <f ca="1"/>
        <v>0</v>
      </c>
    </row>
    <row r="53" spans="3:182">
      <c r="C53" cm="1">
        <f t="array" aca="1" ref="C53:FZ53" ca="1">IFERROR(TRANSPOSE(INDEX(_xlfn._xlws.FILTER(INDIRECT("SubcategoriesTable[Subcategory name]"),INDIRECT("SubcategoriesTable[Category name]")=$B53),,)),"No subcategories")</f>
        <v>0</v>
      </c>
      <c r="D53">
        <f ca="1"/>
        <v>0</v>
      </c>
      <c r="E53">
        <f ca="1"/>
        <v>0</v>
      </c>
      <c r="F53">
        <f ca="1"/>
        <v>0</v>
      </c>
      <c r="G53">
        <f ca="1"/>
        <v>0</v>
      </c>
      <c r="H53">
        <f ca="1"/>
        <v>0</v>
      </c>
      <c r="I53">
        <f ca="1"/>
        <v>0</v>
      </c>
      <c r="J53">
        <f ca="1"/>
        <v>0</v>
      </c>
      <c r="K53">
        <f ca="1"/>
        <v>0</v>
      </c>
      <c r="L53">
        <f ca="1"/>
        <v>0</v>
      </c>
      <c r="M53">
        <f ca="1"/>
        <v>0</v>
      </c>
      <c r="N53">
        <f ca="1"/>
        <v>0</v>
      </c>
      <c r="O53">
        <f ca="1"/>
        <v>0</v>
      </c>
      <c r="P53">
        <f ca="1"/>
        <v>0</v>
      </c>
      <c r="Q53">
        <f ca="1"/>
        <v>0</v>
      </c>
      <c r="R53">
        <f ca="1"/>
        <v>0</v>
      </c>
      <c r="S53">
        <f ca="1"/>
        <v>0</v>
      </c>
      <c r="T53">
        <f ca="1"/>
        <v>0</v>
      </c>
      <c r="U53">
        <f ca="1"/>
        <v>0</v>
      </c>
      <c r="V53">
        <f ca="1"/>
        <v>0</v>
      </c>
      <c r="W53">
        <f ca="1"/>
        <v>0</v>
      </c>
      <c r="X53">
        <f ca="1"/>
        <v>0</v>
      </c>
      <c r="Y53">
        <f ca="1"/>
        <v>0</v>
      </c>
      <c r="Z53">
        <f ca="1"/>
        <v>0</v>
      </c>
      <c r="AA53">
        <f ca="1"/>
        <v>0</v>
      </c>
      <c r="AB53">
        <f ca="1"/>
        <v>0</v>
      </c>
      <c r="AC53">
        <f ca="1"/>
        <v>0</v>
      </c>
      <c r="AD53">
        <f ca="1"/>
        <v>0</v>
      </c>
      <c r="AE53">
        <f ca="1"/>
        <v>0</v>
      </c>
      <c r="AF53">
        <f ca="1"/>
        <v>0</v>
      </c>
      <c r="AG53">
        <f ca="1"/>
        <v>0</v>
      </c>
      <c r="AH53">
        <f ca="1"/>
        <v>0</v>
      </c>
      <c r="AI53">
        <f ca="1"/>
        <v>0</v>
      </c>
      <c r="AJ53">
        <f ca="1"/>
        <v>0</v>
      </c>
      <c r="AK53">
        <f ca="1"/>
        <v>0</v>
      </c>
      <c r="AL53">
        <f ca="1"/>
        <v>0</v>
      </c>
      <c r="AM53">
        <f ca="1"/>
        <v>0</v>
      </c>
      <c r="AN53">
        <f ca="1"/>
        <v>0</v>
      </c>
      <c r="AO53">
        <f ca="1"/>
        <v>0</v>
      </c>
      <c r="AP53">
        <f ca="1"/>
        <v>0</v>
      </c>
      <c r="AQ53">
        <f ca="1"/>
        <v>0</v>
      </c>
      <c r="AR53">
        <f ca="1"/>
        <v>0</v>
      </c>
      <c r="AS53">
        <f ca="1"/>
        <v>0</v>
      </c>
      <c r="AT53">
        <f ca="1"/>
        <v>0</v>
      </c>
      <c r="AU53">
        <f ca="1"/>
        <v>0</v>
      </c>
      <c r="AV53">
        <f ca="1"/>
        <v>0</v>
      </c>
      <c r="AW53">
        <f ca="1"/>
        <v>0</v>
      </c>
      <c r="AX53">
        <f ca="1"/>
        <v>0</v>
      </c>
      <c r="AY53">
        <f ca="1"/>
        <v>0</v>
      </c>
      <c r="AZ53">
        <f ca="1"/>
        <v>0</v>
      </c>
      <c r="BA53">
        <f ca="1"/>
        <v>0</v>
      </c>
      <c r="BB53">
        <f ca="1"/>
        <v>0</v>
      </c>
      <c r="BC53">
        <f ca="1"/>
        <v>0</v>
      </c>
      <c r="BD53">
        <f ca="1"/>
        <v>0</v>
      </c>
      <c r="BE53">
        <f ca="1"/>
        <v>0</v>
      </c>
      <c r="BF53">
        <f ca="1"/>
        <v>0</v>
      </c>
      <c r="BG53">
        <f ca="1"/>
        <v>0</v>
      </c>
      <c r="BH53">
        <f ca="1"/>
        <v>0</v>
      </c>
      <c r="BI53">
        <f ca="1"/>
        <v>0</v>
      </c>
      <c r="BJ53">
        <f ca="1"/>
        <v>0</v>
      </c>
      <c r="BK53">
        <f ca="1"/>
        <v>0</v>
      </c>
      <c r="BL53">
        <f ca="1"/>
        <v>0</v>
      </c>
      <c r="BM53">
        <f ca="1"/>
        <v>0</v>
      </c>
      <c r="BN53">
        <f ca="1"/>
        <v>0</v>
      </c>
      <c r="BO53">
        <f ca="1"/>
        <v>0</v>
      </c>
      <c r="BP53">
        <f ca="1"/>
        <v>0</v>
      </c>
      <c r="BQ53">
        <f ca="1"/>
        <v>0</v>
      </c>
      <c r="BR53">
        <f ca="1"/>
        <v>0</v>
      </c>
      <c r="BS53">
        <f ca="1"/>
        <v>0</v>
      </c>
      <c r="BT53">
        <f ca="1"/>
        <v>0</v>
      </c>
      <c r="BU53">
        <f ca="1"/>
        <v>0</v>
      </c>
      <c r="BV53">
        <f ca="1"/>
        <v>0</v>
      </c>
      <c r="BW53">
        <f ca="1"/>
        <v>0</v>
      </c>
      <c r="BX53">
        <f ca="1"/>
        <v>0</v>
      </c>
      <c r="BY53">
        <f ca="1"/>
        <v>0</v>
      </c>
      <c r="BZ53">
        <f ca="1"/>
        <v>0</v>
      </c>
      <c r="CA53">
        <f ca="1"/>
        <v>0</v>
      </c>
      <c r="CB53">
        <f ca="1"/>
        <v>0</v>
      </c>
      <c r="CC53">
        <f ca="1"/>
        <v>0</v>
      </c>
      <c r="CD53">
        <f ca="1"/>
        <v>0</v>
      </c>
      <c r="CE53">
        <f ca="1"/>
        <v>0</v>
      </c>
      <c r="CF53">
        <f ca="1"/>
        <v>0</v>
      </c>
      <c r="CG53">
        <f ca="1"/>
        <v>0</v>
      </c>
      <c r="CH53">
        <f ca="1"/>
        <v>0</v>
      </c>
      <c r="CI53">
        <f ca="1"/>
        <v>0</v>
      </c>
      <c r="CJ53">
        <f ca="1"/>
        <v>0</v>
      </c>
      <c r="CK53">
        <f ca="1"/>
        <v>0</v>
      </c>
      <c r="CL53">
        <f ca="1"/>
        <v>0</v>
      </c>
      <c r="CM53">
        <f ca="1"/>
        <v>0</v>
      </c>
      <c r="CN53">
        <f ca="1"/>
        <v>0</v>
      </c>
      <c r="CO53">
        <f ca="1"/>
        <v>0</v>
      </c>
      <c r="CP53">
        <f ca="1"/>
        <v>0</v>
      </c>
      <c r="CQ53">
        <f ca="1"/>
        <v>0</v>
      </c>
      <c r="CR53">
        <f ca="1"/>
        <v>0</v>
      </c>
      <c r="CS53">
        <f ca="1"/>
        <v>0</v>
      </c>
      <c r="CT53">
        <f ca="1"/>
        <v>0</v>
      </c>
      <c r="CU53">
        <f ca="1"/>
        <v>0</v>
      </c>
      <c r="CV53">
        <f ca="1"/>
        <v>0</v>
      </c>
      <c r="CW53">
        <f ca="1"/>
        <v>0</v>
      </c>
      <c r="CX53">
        <f ca="1"/>
        <v>0</v>
      </c>
      <c r="CY53">
        <f ca="1"/>
        <v>0</v>
      </c>
      <c r="CZ53">
        <f ca="1"/>
        <v>0</v>
      </c>
      <c r="DA53">
        <f ca="1"/>
        <v>0</v>
      </c>
      <c r="DB53">
        <f ca="1"/>
        <v>0</v>
      </c>
      <c r="DC53">
        <f ca="1"/>
        <v>0</v>
      </c>
      <c r="DD53">
        <f ca="1"/>
        <v>0</v>
      </c>
      <c r="DE53">
        <f ca="1"/>
        <v>0</v>
      </c>
      <c r="DF53">
        <f ca="1"/>
        <v>0</v>
      </c>
      <c r="DG53">
        <f ca="1"/>
        <v>0</v>
      </c>
      <c r="DH53">
        <f ca="1"/>
        <v>0</v>
      </c>
      <c r="DI53">
        <f ca="1"/>
        <v>0</v>
      </c>
      <c r="DJ53">
        <f ca="1"/>
        <v>0</v>
      </c>
      <c r="DK53">
        <f ca="1"/>
        <v>0</v>
      </c>
      <c r="DL53">
        <f ca="1"/>
        <v>0</v>
      </c>
      <c r="DM53">
        <f ca="1"/>
        <v>0</v>
      </c>
      <c r="DN53">
        <f ca="1"/>
        <v>0</v>
      </c>
      <c r="DO53">
        <f ca="1"/>
        <v>0</v>
      </c>
      <c r="DP53">
        <f ca="1"/>
        <v>0</v>
      </c>
      <c r="DQ53">
        <f ca="1"/>
        <v>0</v>
      </c>
      <c r="DR53">
        <f ca="1"/>
        <v>0</v>
      </c>
      <c r="DS53">
        <f ca="1"/>
        <v>0</v>
      </c>
      <c r="DT53">
        <f ca="1"/>
        <v>0</v>
      </c>
      <c r="DU53">
        <f ca="1"/>
        <v>0</v>
      </c>
      <c r="DV53">
        <f ca="1"/>
        <v>0</v>
      </c>
      <c r="DW53">
        <f ca="1"/>
        <v>0</v>
      </c>
      <c r="DX53">
        <f ca="1"/>
        <v>0</v>
      </c>
      <c r="DY53">
        <f ca="1"/>
        <v>0</v>
      </c>
      <c r="DZ53">
        <f ca="1"/>
        <v>0</v>
      </c>
      <c r="EA53">
        <f ca="1"/>
        <v>0</v>
      </c>
      <c r="EB53">
        <f ca="1"/>
        <v>0</v>
      </c>
      <c r="EC53">
        <f ca="1"/>
        <v>0</v>
      </c>
      <c r="ED53">
        <f ca="1"/>
        <v>0</v>
      </c>
      <c r="EE53">
        <f ca="1"/>
        <v>0</v>
      </c>
      <c r="EF53">
        <f ca="1"/>
        <v>0</v>
      </c>
      <c r="EG53">
        <f ca="1"/>
        <v>0</v>
      </c>
      <c r="EH53">
        <f ca="1"/>
        <v>0</v>
      </c>
      <c r="EI53">
        <f ca="1"/>
        <v>0</v>
      </c>
      <c r="EJ53">
        <f ca="1"/>
        <v>0</v>
      </c>
      <c r="EK53">
        <f ca="1"/>
        <v>0</v>
      </c>
      <c r="EL53">
        <f ca="1"/>
        <v>0</v>
      </c>
      <c r="EM53">
        <f ca="1"/>
        <v>0</v>
      </c>
      <c r="EN53">
        <f ca="1"/>
        <v>0</v>
      </c>
      <c r="EO53">
        <f ca="1"/>
        <v>0</v>
      </c>
      <c r="EP53">
        <f ca="1"/>
        <v>0</v>
      </c>
      <c r="EQ53">
        <f ca="1"/>
        <v>0</v>
      </c>
      <c r="ER53">
        <f ca="1"/>
        <v>0</v>
      </c>
      <c r="ES53">
        <f ca="1"/>
        <v>0</v>
      </c>
      <c r="ET53">
        <f ca="1"/>
        <v>0</v>
      </c>
      <c r="EU53">
        <f ca="1"/>
        <v>0</v>
      </c>
      <c r="EV53">
        <f ca="1"/>
        <v>0</v>
      </c>
      <c r="EW53">
        <f ca="1"/>
        <v>0</v>
      </c>
      <c r="EX53">
        <f ca="1"/>
        <v>0</v>
      </c>
      <c r="EY53">
        <f ca="1"/>
        <v>0</v>
      </c>
      <c r="EZ53">
        <f ca="1"/>
        <v>0</v>
      </c>
      <c r="FA53">
        <f ca="1"/>
        <v>0</v>
      </c>
      <c r="FB53">
        <f ca="1"/>
        <v>0</v>
      </c>
      <c r="FC53">
        <f ca="1"/>
        <v>0</v>
      </c>
      <c r="FD53">
        <f ca="1"/>
        <v>0</v>
      </c>
      <c r="FE53">
        <f ca="1"/>
        <v>0</v>
      </c>
      <c r="FF53">
        <f ca="1"/>
        <v>0</v>
      </c>
      <c r="FG53">
        <f ca="1"/>
        <v>0</v>
      </c>
      <c r="FH53">
        <f ca="1"/>
        <v>0</v>
      </c>
      <c r="FI53">
        <f ca="1"/>
        <v>0</v>
      </c>
      <c r="FJ53">
        <f ca="1"/>
        <v>0</v>
      </c>
      <c r="FK53">
        <f ca="1"/>
        <v>0</v>
      </c>
      <c r="FL53">
        <f ca="1"/>
        <v>0</v>
      </c>
      <c r="FM53">
        <f ca="1"/>
        <v>0</v>
      </c>
      <c r="FN53">
        <f ca="1"/>
        <v>0</v>
      </c>
      <c r="FO53">
        <f ca="1"/>
        <v>0</v>
      </c>
      <c r="FP53">
        <f ca="1"/>
        <v>0</v>
      </c>
      <c r="FQ53">
        <f ca="1"/>
        <v>0</v>
      </c>
      <c r="FR53">
        <f ca="1"/>
        <v>0</v>
      </c>
      <c r="FS53">
        <f ca="1"/>
        <v>0</v>
      </c>
      <c r="FT53">
        <f ca="1"/>
        <v>0</v>
      </c>
      <c r="FU53">
        <f ca="1"/>
        <v>0</v>
      </c>
      <c r="FV53">
        <f ca="1"/>
        <v>0</v>
      </c>
      <c r="FW53">
        <f ca="1"/>
        <v>0</v>
      </c>
      <c r="FX53">
        <f ca="1"/>
        <v>0</v>
      </c>
      <c r="FY53">
        <f ca="1"/>
        <v>0</v>
      </c>
      <c r="FZ53">
        <f ca="1"/>
        <v>0</v>
      </c>
    </row>
    <row r="54" spans="3:182">
      <c r="C54" cm="1">
        <f t="array" aca="1" ref="C54:FZ54" ca="1">IFERROR(TRANSPOSE(INDEX(_xlfn._xlws.FILTER(INDIRECT("SubcategoriesTable[Subcategory name]"),INDIRECT("SubcategoriesTable[Category name]")=$B54),,)),"No subcategories")</f>
        <v>0</v>
      </c>
      <c r="D54">
        <f ca="1"/>
        <v>0</v>
      </c>
      <c r="E54">
        <f ca="1"/>
        <v>0</v>
      </c>
      <c r="F54">
        <f ca="1"/>
        <v>0</v>
      </c>
      <c r="G54">
        <f ca="1"/>
        <v>0</v>
      </c>
      <c r="H54">
        <f ca="1"/>
        <v>0</v>
      </c>
      <c r="I54">
        <f ca="1"/>
        <v>0</v>
      </c>
      <c r="J54">
        <f ca="1"/>
        <v>0</v>
      </c>
      <c r="K54">
        <f ca="1"/>
        <v>0</v>
      </c>
      <c r="L54">
        <f ca="1"/>
        <v>0</v>
      </c>
      <c r="M54">
        <f ca="1"/>
        <v>0</v>
      </c>
      <c r="N54">
        <f ca="1"/>
        <v>0</v>
      </c>
      <c r="O54">
        <f ca="1"/>
        <v>0</v>
      </c>
      <c r="P54">
        <f ca="1"/>
        <v>0</v>
      </c>
      <c r="Q54">
        <f ca="1"/>
        <v>0</v>
      </c>
      <c r="R54">
        <f ca="1"/>
        <v>0</v>
      </c>
      <c r="S54">
        <f ca="1"/>
        <v>0</v>
      </c>
      <c r="T54">
        <f ca="1"/>
        <v>0</v>
      </c>
      <c r="U54">
        <f ca="1"/>
        <v>0</v>
      </c>
      <c r="V54">
        <f ca="1"/>
        <v>0</v>
      </c>
      <c r="W54">
        <f ca="1"/>
        <v>0</v>
      </c>
      <c r="X54">
        <f ca="1"/>
        <v>0</v>
      </c>
      <c r="Y54">
        <f ca="1"/>
        <v>0</v>
      </c>
      <c r="Z54">
        <f ca="1"/>
        <v>0</v>
      </c>
      <c r="AA54">
        <f ca="1"/>
        <v>0</v>
      </c>
      <c r="AB54">
        <f ca="1"/>
        <v>0</v>
      </c>
      <c r="AC54">
        <f ca="1"/>
        <v>0</v>
      </c>
      <c r="AD54">
        <f ca="1"/>
        <v>0</v>
      </c>
      <c r="AE54">
        <f ca="1"/>
        <v>0</v>
      </c>
      <c r="AF54">
        <f ca="1"/>
        <v>0</v>
      </c>
      <c r="AG54">
        <f ca="1"/>
        <v>0</v>
      </c>
      <c r="AH54">
        <f ca="1"/>
        <v>0</v>
      </c>
      <c r="AI54">
        <f ca="1"/>
        <v>0</v>
      </c>
      <c r="AJ54">
        <f ca="1"/>
        <v>0</v>
      </c>
      <c r="AK54">
        <f ca="1"/>
        <v>0</v>
      </c>
      <c r="AL54">
        <f ca="1"/>
        <v>0</v>
      </c>
      <c r="AM54">
        <f ca="1"/>
        <v>0</v>
      </c>
      <c r="AN54">
        <f ca="1"/>
        <v>0</v>
      </c>
      <c r="AO54">
        <f ca="1"/>
        <v>0</v>
      </c>
      <c r="AP54">
        <f ca="1"/>
        <v>0</v>
      </c>
      <c r="AQ54">
        <f ca="1"/>
        <v>0</v>
      </c>
      <c r="AR54">
        <f ca="1"/>
        <v>0</v>
      </c>
      <c r="AS54">
        <f ca="1"/>
        <v>0</v>
      </c>
      <c r="AT54">
        <f ca="1"/>
        <v>0</v>
      </c>
      <c r="AU54">
        <f ca="1"/>
        <v>0</v>
      </c>
      <c r="AV54">
        <f ca="1"/>
        <v>0</v>
      </c>
      <c r="AW54">
        <f ca="1"/>
        <v>0</v>
      </c>
      <c r="AX54">
        <f ca="1"/>
        <v>0</v>
      </c>
      <c r="AY54">
        <f ca="1"/>
        <v>0</v>
      </c>
      <c r="AZ54">
        <f ca="1"/>
        <v>0</v>
      </c>
      <c r="BA54">
        <f ca="1"/>
        <v>0</v>
      </c>
      <c r="BB54">
        <f ca="1"/>
        <v>0</v>
      </c>
      <c r="BC54">
        <f ca="1"/>
        <v>0</v>
      </c>
      <c r="BD54">
        <f ca="1"/>
        <v>0</v>
      </c>
      <c r="BE54">
        <f ca="1"/>
        <v>0</v>
      </c>
      <c r="BF54">
        <f ca="1"/>
        <v>0</v>
      </c>
      <c r="BG54">
        <f ca="1"/>
        <v>0</v>
      </c>
      <c r="BH54">
        <f ca="1"/>
        <v>0</v>
      </c>
      <c r="BI54">
        <f ca="1"/>
        <v>0</v>
      </c>
      <c r="BJ54">
        <f ca="1"/>
        <v>0</v>
      </c>
      <c r="BK54">
        <f ca="1"/>
        <v>0</v>
      </c>
      <c r="BL54">
        <f ca="1"/>
        <v>0</v>
      </c>
      <c r="BM54">
        <f ca="1"/>
        <v>0</v>
      </c>
      <c r="BN54">
        <f ca="1"/>
        <v>0</v>
      </c>
      <c r="BO54">
        <f ca="1"/>
        <v>0</v>
      </c>
      <c r="BP54">
        <f ca="1"/>
        <v>0</v>
      </c>
      <c r="BQ54">
        <f ca="1"/>
        <v>0</v>
      </c>
      <c r="BR54">
        <f ca="1"/>
        <v>0</v>
      </c>
      <c r="BS54">
        <f ca="1"/>
        <v>0</v>
      </c>
      <c r="BT54">
        <f ca="1"/>
        <v>0</v>
      </c>
      <c r="BU54">
        <f ca="1"/>
        <v>0</v>
      </c>
      <c r="BV54">
        <f ca="1"/>
        <v>0</v>
      </c>
      <c r="BW54">
        <f ca="1"/>
        <v>0</v>
      </c>
      <c r="BX54">
        <f ca="1"/>
        <v>0</v>
      </c>
      <c r="BY54">
        <f ca="1"/>
        <v>0</v>
      </c>
      <c r="BZ54">
        <f ca="1"/>
        <v>0</v>
      </c>
      <c r="CA54">
        <f ca="1"/>
        <v>0</v>
      </c>
      <c r="CB54">
        <f ca="1"/>
        <v>0</v>
      </c>
      <c r="CC54">
        <f ca="1"/>
        <v>0</v>
      </c>
      <c r="CD54">
        <f ca="1"/>
        <v>0</v>
      </c>
      <c r="CE54">
        <f ca="1"/>
        <v>0</v>
      </c>
      <c r="CF54">
        <f ca="1"/>
        <v>0</v>
      </c>
      <c r="CG54">
        <f ca="1"/>
        <v>0</v>
      </c>
      <c r="CH54">
        <f ca="1"/>
        <v>0</v>
      </c>
      <c r="CI54">
        <f ca="1"/>
        <v>0</v>
      </c>
      <c r="CJ54">
        <f ca="1"/>
        <v>0</v>
      </c>
      <c r="CK54">
        <f ca="1"/>
        <v>0</v>
      </c>
      <c r="CL54">
        <f ca="1"/>
        <v>0</v>
      </c>
      <c r="CM54">
        <f ca="1"/>
        <v>0</v>
      </c>
      <c r="CN54">
        <f ca="1"/>
        <v>0</v>
      </c>
      <c r="CO54">
        <f ca="1"/>
        <v>0</v>
      </c>
      <c r="CP54">
        <f ca="1"/>
        <v>0</v>
      </c>
      <c r="CQ54">
        <f ca="1"/>
        <v>0</v>
      </c>
      <c r="CR54">
        <f ca="1"/>
        <v>0</v>
      </c>
      <c r="CS54">
        <f ca="1"/>
        <v>0</v>
      </c>
      <c r="CT54">
        <f ca="1"/>
        <v>0</v>
      </c>
      <c r="CU54">
        <f ca="1"/>
        <v>0</v>
      </c>
      <c r="CV54">
        <f ca="1"/>
        <v>0</v>
      </c>
      <c r="CW54">
        <f ca="1"/>
        <v>0</v>
      </c>
      <c r="CX54">
        <f ca="1"/>
        <v>0</v>
      </c>
      <c r="CY54">
        <f ca="1"/>
        <v>0</v>
      </c>
      <c r="CZ54">
        <f ca="1"/>
        <v>0</v>
      </c>
      <c r="DA54">
        <f ca="1"/>
        <v>0</v>
      </c>
      <c r="DB54">
        <f ca="1"/>
        <v>0</v>
      </c>
      <c r="DC54">
        <f ca="1"/>
        <v>0</v>
      </c>
      <c r="DD54">
        <f ca="1"/>
        <v>0</v>
      </c>
      <c r="DE54">
        <f ca="1"/>
        <v>0</v>
      </c>
      <c r="DF54">
        <f ca="1"/>
        <v>0</v>
      </c>
      <c r="DG54">
        <f ca="1"/>
        <v>0</v>
      </c>
      <c r="DH54">
        <f ca="1"/>
        <v>0</v>
      </c>
      <c r="DI54">
        <f ca="1"/>
        <v>0</v>
      </c>
      <c r="DJ54">
        <f ca="1"/>
        <v>0</v>
      </c>
      <c r="DK54">
        <f ca="1"/>
        <v>0</v>
      </c>
      <c r="DL54">
        <f ca="1"/>
        <v>0</v>
      </c>
      <c r="DM54">
        <f ca="1"/>
        <v>0</v>
      </c>
      <c r="DN54">
        <f ca="1"/>
        <v>0</v>
      </c>
      <c r="DO54">
        <f ca="1"/>
        <v>0</v>
      </c>
      <c r="DP54">
        <f ca="1"/>
        <v>0</v>
      </c>
      <c r="DQ54">
        <f ca="1"/>
        <v>0</v>
      </c>
      <c r="DR54">
        <f ca="1"/>
        <v>0</v>
      </c>
      <c r="DS54">
        <f ca="1"/>
        <v>0</v>
      </c>
      <c r="DT54">
        <f ca="1"/>
        <v>0</v>
      </c>
      <c r="DU54">
        <f ca="1"/>
        <v>0</v>
      </c>
      <c r="DV54">
        <f ca="1"/>
        <v>0</v>
      </c>
      <c r="DW54">
        <f ca="1"/>
        <v>0</v>
      </c>
      <c r="DX54">
        <f ca="1"/>
        <v>0</v>
      </c>
      <c r="DY54">
        <f ca="1"/>
        <v>0</v>
      </c>
      <c r="DZ54">
        <f ca="1"/>
        <v>0</v>
      </c>
      <c r="EA54">
        <f ca="1"/>
        <v>0</v>
      </c>
      <c r="EB54">
        <f ca="1"/>
        <v>0</v>
      </c>
      <c r="EC54">
        <f ca="1"/>
        <v>0</v>
      </c>
      <c r="ED54">
        <f ca="1"/>
        <v>0</v>
      </c>
      <c r="EE54">
        <f ca="1"/>
        <v>0</v>
      </c>
      <c r="EF54">
        <f ca="1"/>
        <v>0</v>
      </c>
      <c r="EG54">
        <f ca="1"/>
        <v>0</v>
      </c>
      <c r="EH54">
        <f ca="1"/>
        <v>0</v>
      </c>
      <c r="EI54">
        <f ca="1"/>
        <v>0</v>
      </c>
      <c r="EJ54">
        <f ca="1"/>
        <v>0</v>
      </c>
      <c r="EK54">
        <f ca="1"/>
        <v>0</v>
      </c>
      <c r="EL54">
        <f ca="1"/>
        <v>0</v>
      </c>
      <c r="EM54">
        <f ca="1"/>
        <v>0</v>
      </c>
      <c r="EN54">
        <f ca="1"/>
        <v>0</v>
      </c>
      <c r="EO54">
        <f ca="1"/>
        <v>0</v>
      </c>
      <c r="EP54">
        <f ca="1"/>
        <v>0</v>
      </c>
      <c r="EQ54">
        <f ca="1"/>
        <v>0</v>
      </c>
      <c r="ER54">
        <f ca="1"/>
        <v>0</v>
      </c>
      <c r="ES54">
        <f ca="1"/>
        <v>0</v>
      </c>
      <c r="ET54">
        <f ca="1"/>
        <v>0</v>
      </c>
      <c r="EU54">
        <f ca="1"/>
        <v>0</v>
      </c>
      <c r="EV54">
        <f ca="1"/>
        <v>0</v>
      </c>
      <c r="EW54">
        <f ca="1"/>
        <v>0</v>
      </c>
      <c r="EX54">
        <f ca="1"/>
        <v>0</v>
      </c>
      <c r="EY54">
        <f ca="1"/>
        <v>0</v>
      </c>
      <c r="EZ54">
        <f ca="1"/>
        <v>0</v>
      </c>
      <c r="FA54">
        <f ca="1"/>
        <v>0</v>
      </c>
      <c r="FB54">
        <f ca="1"/>
        <v>0</v>
      </c>
      <c r="FC54">
        <f ca="1"/>
        <v>0</v>
      </c>
      <c r="FD54">
        <f ca="1"/>
        <v>0</v>
      </c>
      <c r="FE54">
        <f ca="1"/>
        <v>0</v>
      </c>
      <c r="FF54">
        <f ca="1"/>
        <v>0</v>
      </c>
      <c r="FG54">
        <f ca="1"/>
        <v>0</v>
      </c>
      <c r="FH54">
        <f ca="1"/>
        <v>0</v>
      </c>
      <c r="FI54">
        <f ca="1"/>
        <v>0</v>
      </c>
      <c r="FJ54">
        <f ca="1"/>
        <v>0</v>
      </c>
      <c r="FK54">
        <f ca="1"/>
        <v>0</v>
      </c>
      <c r="FL54">
        <f ca="1"/>
        <v>0</v>
      </c>
      <c r="FM54">
        <f ca="1"/>
        <v>0</v>
      </c>
      <c r="FN54">
        <f ca="1"/>
        <v>0</v>
      </c>
      <c r="FO54">
        <f ca="1"/>
        <v>0</v>
      </c>
      <c r="FP54">
        <f ca="1"/>
        <v>0</v>
      </c>
      <c r="FQ54">
        <f ca="1"/>
        <v>0</v>
      </c>
      <c r="FR54">
        <f ca="1"/>
        <v>0</v>
      </c>
      <c r="FS54">
        <f ca="1"/>
        <v>0</v>
      </c>
      <c r="FT54">
        <f ca="1"/>
        <v>0</v>
      </c>
      <c r="FU54">
        <f ca="1"/>
        <v>0</v>
      </c>
      <c r="FV54">
        <f ca="1"/>
        <v>0</v>
      </c>
      <c r="FW54">
        <f ca="1"/>
        <v>0</v>
      </c>
      <c r="FX54">
        <f ca="1"/>
        <v>0</v>
      </c>
      <c r="FY54">
        <f ca="1"/>
        <v>0</v>
      </c>
      <c r="FZ54">
        <f ca="1"/>
        <v>0</v>
      </c>
    </row>
    <row r="55" spans="3:182">
      <c r="C55" cm="1">
        <f t="array" aca="1" ref="C55:FZ55" ca="1">IFERROR(TRANSPOSE(INDEX(_xlfn._xlws.FILTER(INDIRECT("SubcategoriesTable[Subcategory name]"),INDIRECT("SubcategoriesTable[Category name]")=$B55),,)),"No subcategories")</f>
        <v>0</v>
      </c>
      <c r="D55">
        <f ca="1"/>
        <v>0</v>
      </c>
      <c r="E55">
        <f ca="1"/>
        <v>0</v>
      </c>
      <c r="F55">
        <f ca="1"/>
        <v>0</v>
      </c>
      <c r="G55">
        <f ca="1"/>
        <v>0</v>
      </c>
      <c r="H55">
        <f ca="1"/>
        <v>0</v>
      </c>
      <c r="I55">
        <f ca="1"/>
        <v>0</v>
      </c>
      <c r="J55">
        <f ca="1"/>
        <v>0</v>
      </c>
      <c r="K55">
        <f ca="1"/>
        <v>0</v>
      </c>
      <c r="L55">
        <f ca="1"/>
        <v>0</v>
      </c>
      <c r="M55">
        <f ca="1"/>
        <v>0</v>
      </c>
      <c r="N55">
        <f ca="1"/>
        <v>0</v>
      </c>
      <c r="O55">
        <f ca="1"/>
        <v>0</v>
      </c>
      <c r="P55">
        <f ca="1"/>
        <v>0</v>
      </c>
      <c r="Q55">
        <f ca="1"/>
        <v>0</v>
      </c>
      <c r="R55">
        <f ca="1"/>
        <v>0</v>
      </c>
      <c r="S55">
        <f ca="1"/>
        <v>0</v>
      </c>
      <c r="T55">
        <f ca="1"/>
        <v>0</v>
      </c>
      <c r="U55">
        <f ca="1"/>
        <v>0</v>
      </c>
      <c r="V55">
        <f ca="1"/>
        <v>0</v>
      </c>
      <c r="W55">
        <f ca="1"/>
        <v>0</v>
      </c>
      <c r="X55">
        <f ca="1"/>
        <v>0</v>
      </c>
      <c r="Y55">
        <f ca="1"/>
        <v>0</v>
      </c>
      <c r="Z55">
        <f ca="1"/>
        <v>0</v>
      </c>
      <c r="AA55">
        <f ca="1"/>
        <v>0</v>
      </c>
      <c r="AB55">
        <f ca="1"/>
        <v>0</v>
      </c>
      <c r="AC55">
        <f ca="1"/>
        <v>0</v>
      </c>
      <c r="AD55">
        <f ca="1"/>
        <v>0</v>
      </c>
      <c r="AE55">
        <f ca="1"/>
        <v>0</v>
      </c>
      <c r="AF55">
        <f ca="1"/>
        <v>0</v>
      </c>
      <c r="AG55">
        <f ca="1"/>
        <v>0</v>
      </c>
      <c r="AH55">
        <f ca="1"/>
        <v>0</v>
      </c>
      <c r="AI55">
        <f ca="1"/>
        <v>0</v>
      </c>
      <c r="AJ55">
        <f ca="1"/>
        <v>0</v>
      </c>
      <c r="AK55">
        <f ca="1"/>
        <v>0</v>
      </c>
      <c r="AL55">
        <f ca="1"/>
        <v>0</v>
      </c>
      <c r="AM55">
        <f ca="1"/>
        <v>0</v>
      </c>
      <c r="AN55">
        <f ca="1"/>
        <v>0</v>
      </c>
      <c r="AO55">
        <f ca="1"/>
        <v>0</v>
      </c>
      <c r="AP55">
        <f ca="1"/>
        <v>0</v>
      </c>
      <c r="AQ55">
        <f ca="1"/>
        <v>0</v>
      </c>
      <c r="AR55">
        <f ca="1"/>
        <v>0</v>
      </c>
      <c r="AS55">
        <f ca="1"/>
        <v>0</v>
      </c>
      <c r="AT55">
        <f ca="1"/>
        <v>0</v>
      </c>
      <c r="AU55">
        <f ca="1"/>
        <v>0</v>
      </c>
      <c r="AV55">
        <f ca="1"/>
        <v>0</v>
      </c>
      <c r="AW55">
        <f ca="1"/>
        <v>0</v>
      </c>
      <c r="AX55">
        <f ca="1"/>
        <v>0</v>
      </c>
      <c r="AY55">
        <f ca="1"/>
        <v>0</v>
      </c>
      <c r="AZ55">
        <f ca="1"/>
        <v>0</v>
      </c>
      <c r="BA55">
        <f ca="1"/>
        <v>0</v>
      </c>
      <c r="BB55">
        <f ca="1"/>
        <v>0</v>
      </c>
      <c r="BC55">
        <f ca="1"/>
        <v>0</v>
      </c>
      <c r="BD55">
        <f ca="1"/>
        <v>0</v>
      </c>
      <c r="BE55">
        <f ca="1"/>
        <v>0</v>
      </c>
      <c r="BF55">
        <f ca="1"/>
        <v>0</v>
      </c>
      <c r="BG55">
        <f ca="1"/>
        <v>0</v>
      </c>
      <c r="BH55">
        <f ca="1"/>
        <v>0</v>
      </c>
      <c r="BI55">
        <f ca="1"/>
        <v>0</v>
      </c>
      <c r="BJ55">
        <f ca="1"/>
        <v>0</v>
      </c>
      <c r="BK55">
        <f ca="1"/>
        <v>0</v>
      </c>
      <c r="BL55">
        <f ca="1"/>
        <v>0</v>
      </c>
      <c r="BM55">
        <f ca="1"/>
        <v>0</v>
      </c>
      <c r="BN55">
        <f ca="1"/>
        <v>0</v>
      </c>
      <c r="BO55">
        <f ca="1"/>
        <v>0</v>
      </c>
      <c r="BP55">
        <f ca="1"/>
        <v>0</v>
      </c>
      <c r="BQ55">
        <f ca="1"/>
        <v>0</v>
      </c>
      <c r="BR55">
        <f ca="1"/>
        <v>0</v>
      </c>
      <c r="BS55">
        <f ca="1"/>
        <v>0</v>
      </c>
      <c r="BT55">
        <f ca="1"/>
        <v>0</v>
      </c>
      <c r="BU55">
        <f ca="1"/>
        <v>0</v>
      </c>
      <c r="BV55">
        <f ca="1"/>
        <v>0</v>
      </c>
      <c r="BW55">
        <f ca="1"/>
        <v>0</v>
      </c>
      <c r="BX55">
        <f ca="1"/>
        <v>0</v>
      </c>
      <c r="BY55">
        <f ca="1"/>
        <v>0</v>
      </c>
      <c r="BZ55">
        <f ca="1"/>
        <v>0</v>
      </c>
      <c r="CA55">
        <f ca="1"/>
        <v>0</v>
      </c>
      <c r="CB55">
        <f ca="1"/>
        <v>0</v>
      </c>
      <c r="CC55">
        <f ca="1"/>
        <v>0</v>
      </c>
      <c r="CD55">
        <f ca="1"/>
        <v>0</v>
      </c>
      <c r="CE55">
        <f ca="1"/>
        <v>0</v>
      </c>
      <c r="CF55">
        <f ca="1"/>
        <v>0</v>
      </c>
      <c r="CG55">
        <f ca="1"/>
        <v>0</v>
      </c>
      <c r="CH55">
        <f ca="1"/>
        <v>0</v>
      </c>
      <c r="CI55">
        <f ca="1"/>
        <v>0</v>
      </c>
      <c r="CJ55">
        <f ca="1"/>
        <v>0</v>
      </c>
      <c r="CK55">
        <f ca="1"/>
        <v>0</v>
      </c>
      <c r="CL55">
        <f ca="1"/>
        <v>0</v>
      </c>
      <c r="CM55">
        <f ca="1"/>
        <v>0</v>
      </c>
      <c r="CN55">
        <f ca="1"/>
        <v>0</v>
      </c>
      <c r="CO55">
        <f ca="1"/>
        <v>0</v>
      </c>
      <c r="CP55">
        <f ca="1"/>
        <v>0</v>
      </c>
      <c r="CQ55">
        <f ca="1"/>
        <v>0</v>
      </c>
      <c r="CR55">
        <f ca="1"/>
        <v>0</v>
      </c>
      <c r="CS55">
        <f ca="1"/>
        <v>0</v>
      </c>
      <c r="CT55">
        <f ca="1"/>
        <v>0</v>
      </c>
      <c r="CU55">
        <f ca="1"/>
        <v>0</v>
      </c>
      <c r="CV55">
        <f ca="1"/>
        <v>0</v>
      </c>
      <c r="CW55">
        <f ca="1"/>
        <v>0</v>
      </c>
      <c r="CX55">
        <f ca="1"/>
        <v>0</v>
      </c>
      <c r="CY55">
        <f ca="1"/>
        <v>0</v>
      </c>
      <c r="CZ55">
        <f ca="1"/>
        <v>0</v>
      </c>
      <c r="DA55">
        <f ca="1"/>
        <v>0</v>
      </c>
      <c r="DB55">
        <f ca="1"/>
        <v>0</v>
      </c>
      <c r="DC55">
        <f ca="1"/>
        <v>0</v>
      </c>
      <c r="DD55">
        <f ca="1"/>
        <v>0</v>
      </c>
      <c r="DE55">
        <f ca="1"/>
        <v>0</v>
      </c>
      <c r="DF55">
        <f ca="1"/>
        <v>0</v>
      </c>
      <c r="DG55">
        <f ca="1"/>
        <v>0</v>
      </c>
      <c r="DH55">
        <f ca="1"/>
        <v>0</v>
      </c>
      <c r="DI55">
        <f ca="1"/>
        <v>0</v>
      </c>
      <c r="DJ55">
        <f ca="1"/>
        <v>0</v>
      </c>
      <c r="DK55">
        <f ca="1"/>
        <v>0</v>
      </c>
      <c r="DL55">
        <f ca="1"/>
        <v>0</v>
      </c>
      <c r="DM55">
        <f ca="1"/>
        <v>0</v>
      </c>
      <c r="DN55">
        <f ca="1"/>
        <v>0</v>
      </c>
      <c r="DO55">
        <f ca="1"/>
        <v>0</v>
      </c>
      <c r="DP55">
        <f ca="1"/>
        <v>0</v>
      </c>
      <c r="DQ55">
        <f ca="1"/>
        <v>0</v>
      </c>
      <c r="DR55">
        <f ca="1"/>
        <v>0</v>
      </c>
      <c r="DS55">
        <f ca="1"/>
        <v>0</v>
      </c>
      <c r="DT55">
        <f ca="1"/>
        <v>0</v>
      </c>
      <c r="DU55">
        <f ca="1"/>
        <v>0</v>
      </c>
      <c r="DV55">
        <f ca="1"/>
        <v>0</v>
      </c>
      <c r="DW55">
        <f ca="1"/>
        <v>0</v>
      </c>
      <c r="DX55">
        <f ca="1"/>
        <v>0</v>
      </c>
      <c r="DY55">
        <f ca="1"/>
        <v>0</v>
      </c>
      <c r="DZ55">
        <f ca="1"/>
        <v>0</v>
      </c>
      <c r="EA55">
        <f ca="1"/>
        <v>0</v>
      </c>
      <c r="EB55">
        <f ca="1"/>
        <v>0</v>
      </c>
      <c r="EC55">
        <f ca="1"/>
        <v>0</v>
      </c>
      <c r="ED55">
        <f ca="1"/>
        <v>0</v>
      </c>
      <c r="EE55">
        <f ca="1"/>
        <v>0</v>
      </c>
      <c r="EF55">
        <f ca="1"/>
        <v>0</v>
      </c>
      <c r="EG55">
        <f ca="1"/>
        <v>0</v>
      </c>
      <c r="EH55">
        <f ca="1"/>
        <v>0</v>
      </c>
      <c r="EI55">
        <f ca="1"/>
        <v>0</v>
      </c>
      <c r="EJ55">
        <f ca="1"/>
        <v>0</v>
      </c>
      <c r="EK55">
        <f ca="1"/>
        <v>0</v>
      </c>
      <c r="EL55">
        <f ca="1"/>
        <v>0</v>
      </c>
      <c r="EM55">
        <f ca="1"/>
        <v>0</v>
      </c>
      <c r="EN55">
        <f ca="1"/>
        <v>0</v>
      </c>
      <c r="EO55">
        <f ca="1"/>
        <v>0</v>
      </c>
      <c r="EP55">
        <f ca="1"/>
        <v>0</v>
      </c>
      <c r="EQ55">
        <f ca="1"/>
        <v>0</v>
      </c>
      <c r="ER55">
        <f ca="1"/>
        <v>0</v>
      </c>
      <c r="ES55">
        <f ca="1"/>
        <v>0</v>
      </c>
      <c r="ET55">
        <f ca="1"/>
        <v>0</v>
      </c>
      <c r="EU55">
        <f ca="1"/>
        <v>0</v>
      </c>
      <c r="EV55">
        <f ca="1"/>
        <v>0</v>
      </c>
      <c r="EW55">
        <f ca="1"/>
        <v>0</v>
      </c>
      <c r="EX55">
        <f ca="1"/>
        <v>0</v>
      </c>
      <c r="EY55">
        <f ca="1"/>
        <v>0</v>
      </c>
      <c r="EZ55">
        <f ca="1"/>
        <v>0</v>
      </c>
      <c r="FA55">
        <f ca="1"/>
        <v>0</v>
      </c>
      <c r="FB55">
        <f ca="1"/>
        <v>0</v>
      </c>
      <c r="FC55">
        <f ca="1"/>
        <v>0</v>
      </c>
      <c r="FD55">
        <f ca="1"/>
        <v>0</v>
      </c>
      <c r="FE55">
        <f ca="1"/>
        <v>0</v>
      </c>
      <c r="FF55">
        <f ca="1"/>
        <v>0</v>
      </c>
      <c r="FG55">
        <f ca="1"/>
        <v>0</v>
      </c>
      <c r="FH55">
        <f ca="1"/>
        <v>0</v>
      </c>
      <c r="FI55">
        <f ca="1"/>
        <v>0</v>
      </c>
      <c r="FJ55">
        <f ca="1"/>
        <v>0</v>
      </c>
      <c r="FK55">
        <f ca="1"/>
        <v>0</v>
      </c>
      <c r="FL55">
        <f ca="1"/>
        <v>0</v>
      </c>
      <c r="FM55">
        <f ca="1"/>
        <v>0</v>
      </c>
      <c r="FN55">
        <f ca="1"/>
        <v>0</v>
      </c>
      <c r="FO55">
        <f ca="1"/>
        <v>0</v>
      </c>
      <c r="FP55">
        <f ca="1"/>
        <v>0</v>
      </c>
      <c r="FQ55">
        <f ca="1"/>
        <v>0</v>
      </c>
      <c r="FR55">
        <f ca="1"/>
        <v>0</v>
      </c>
      <c r="FS55">
        <f ca="1"/>
        <v>0</v>
      </c>
      <c r="FT55">
        <f ca="1"/>
        <v>0</v>
      </c>
      <c r="FU55">
        <f ca="1"/>
        <v>0</v>
      </c>
      <c r="FV55">
        <f ca="1"/>
        <v>0</v>
      </c>
      <c r="FW55">
        <f ca="1"/>
        <v>0</v>
      </c>
      <c r="FX55">
        <f ca="1"/>
        <v>0</v>
      </c>
      <c r="FY55">
        <f ca="1"/>
        <v>0</v>
      </c>
      <c r="FZ55">
        <f ca="1"/>
        <v>0</v>
      </c>
    </row>
    <row r="56" spans="3:182">
      <c r="C56" cm="1">
        <f t="array" aca="1" ref="C56:FZ56" ca="1">IFERROR(TRANSPOSE(INDEX(_xlfn._xlws.FILTER(INDIRECT("SubcategoriesTable[Subcategory name]"),INDIRECT("SubcategoriesTable[Category name]")=$B56),,)),"No subcategories")</f>
        <v>0</v>
      </c>
      <c r="D56">
        <f ca="1"/>
        <v>0</v>
      </c>
      <c r="E56">
        <f ca="1"/>
        <v>0</v>
      </c>
      <c r="F56">
        <f ca="1"/>
        <v>0</v>
      </c>
      <c r="G56">
        <f ca="1"/>
        <v>0</v>
      </c>
      <c r="H56">
        <f ca="1"/>
        <v>0</v>
      </c>
      <c r="I56">
        <f ca="1"/>
        <v>0</v>
      </c>
      <c r="J56">
        <f ca="1"/>
        <v>0</v>
      </c>
      <c r="K56">
        <f ca="1"/>
        <v>0</v>
      </c>
      <c r="L56">
        <f ca="1"/>
        <v>0</v>
      </c>
      <c r="M56">
        <f ca="1"/>
        <v>0</v>
      </c>
      <c r="N56">
        <f ca="1"/>
        <v>0</v>
      </c>
      <c r="O56">
        <f ca="1"/>
        <v>0</v>
      </c>
      <c r="P56">
        <f ca="1"/>
        <v>0</v>
      </c>
      <c r="Q56">
        <f ca="1"/>
        <v>0</v>
      </c>
      <c r="R56">
        <f ca="1"/>
        <v>0</v>
      </c>
      <c r="S56">
        <f ca="1"/>
        <v>0</v>
      </c>
      <c r="T56">
        <f ca="1"/>
        <v>0</v>
      </c>
      <c r="U56">
        <f ca="1"/>
        <v>0</v>
      </c>
      <c r="V56">
        <f ca="1"/>
        <v>0</v>
      </c>
      <c r="W56">
        <f ca="1"/>
        <v>0</v>
      </c>
      <c r="X56">
        <f ca="1"/>
        <v>0</v>
      </c>
      <c r="Y56">
        <f ca="1"/>
        <v>0</v>
      </c>
      <c r="Z56">
        <f ca="1"/>
        <v>0</v>
      </c>
      <c r="AA56">
        <f ca="1"/>
        <v>0</v>
      </c>
      <c r="AB56">
        <f ca="1"/>
        <v>0</v>
      </c>
      <c r="AC56">
        <f ca="1"/>
        <v>0</v>
      </c>
      <c r="AD56">
        <f ca="1"/>
        <v>0</v>
      </c>
      <c r="AE56">
        <f ca="1"/>
        <v>0</v>
      </c>
      <c r="AF56">
        <f ca="1"/>
        <v>0</v>
      </c>
      <c r="AG56">
        <f ca="1"/>
        <v>0</v>
      </c>
      <c r="AH56">
        <f ca="1"/>
        <v>0</v>
      </c>
      <c r="AI56">
        <f ca="1"/>
        <v>0</v>
      </c>
      <c r="AJ56">
        <f ca="1"/>
        <v>0</v>
      </c>
      <c r="AK56">
        <f ca="1"/>
        <v>0</v>
      </c>
      <c r="AL56">
        <f ca="1"/>
        <v>0</v>
      </c>
      <c r="AM56">
        <f ca="1"/>
        <v>0</v>
      </c>
      <c r="AN56">
        <f ca="1"/>
        <v>0</v>
      </c>
      <c r="AO56">
        <f ca="1"/>
        <v>0</v>
      </c>
      <c r="AP56">
        <f ca="1"/>
        <v>0</v>
      </c>
      <c r="AQ56">
        <f ca="1"/>
        <v>0</v>
      </c>
      <c r="AR56">
        <f ca="1"/>
        <v>0</v>
      </c>
      <c r="AS56">
        <f ca="1"/>
        <v>0</v>
      </c>
      <c r="AT56">
        <f ca="1"/>
        <v>0</v>
      </c>
      <c r="AU56">
        <f ca="1"/>
        <v>0</v>
      </c>
      <c r="AV56">
        <f ca="1"/>
        <v>0</v>
      </c>
      <c r="AW56">
        <f ca="1"/>
        <v>0</v>
      </c>
      <c r="AX56">
        <f ca="1"/>
        <v>0</v>
      </c>
      <c r="AY56">
        <f ca="1"/>
        <v>0</v>
      </c>
      <c r="AZ56">
        <f ca="1"/>
        <v>0</v>
      </c>
      <c r="BA56">
        <f ca="1"/>
        <v>0</v>
      </c>
      <c r="BB56">
        <f ca="1"/>
        <v>0</v>
      </c>
      <c r="BC56">
        <f ca="1"/>
        <v>0</v>
      </c>
      <c r="BD56">
        <f ca="1"/>
        <v>0</v>
      </c>
      <c r="BE56">
        <f ca="1"/>
        <v>0</v>
      </c>
      <c r="BF56">
        <f ca="1"/>
        <v>0</v>
      </c>
      <c r="BG56">
        <f ca="1"/>
        <v>0</v>
      </c>
      <c r="BH56">
        <f ca="1"/>
        <v>0</v>
      </c>
      <c r="BI56">
        <f ca="1"/>
        <v>0</v>
      </c>
      <c r="BJ56">
        <f ca="1"/>
        <v>0</v>
      </c>
      <c r="BK56">
        <f ca="1"/>
        <v>0</v>
      </c>
      <c r="BL56">
        <f ca="1"/>
        <v>0</v>
      </c>
      <c r="BM56">
        <f ca="1"/>
        <v>0</v>
      </c>
      <c r="BN56">
        <f ca="1"/>
        <v>0</v>
      </c>
      <c r="BO56">
        <f ca="1"/>
        <v>0</v>
      </c>
      <c r="BP56">
        <f ca="1"/>
        <v>0</v>
      </c>
      <c r="BQ56">
        <f ca="1"/>
        <v>0</v>
      </c>
      <c r="BR56">
        <f ca="1"/>
        <v>0</v>
      </c>
      <c r="BS56">
        <f ca="1"/>
        <v>0</v>
      </c>
      <c r="BT56">
        <f ca="1"/>
        <v>0</v>
      </c>
      <c r="BU56">
        <f ca="1"/>
        <v>0</v>
      </c>
      <c r="BV56">
        <f ca="1"/>
        <v>0</v>
      </c>
      <c r="BW56">
        <f ca="1"/>
        <v>0</v>
      </c>
      <c r="BX56">
        <f ca="1"/>
        <v>0</v>
      </c>
      <c r="BY56">
        <f ca="1"/>
        <v>0</v>
      </c>
      <c r="BZ56">
        <f ca="1"/>
        <v>0</v>
      </c>
      <c r="CA56">
        <f ca="1"/>
        <v>0</v>
      </c>
      <c r="CB56">
        <f ca="1"/>
        <v>0</v>
      </c>
      <c r="CC56">
        <f ca="1"/>
        <v>0</v>
      </c>
      <c r="CD56">
        <f ca="1"/>
        <v>0</v>
      </c>
      <c r="CE56">
        <f ca="1"/>
        <v>0</v>
      </c>
      <c r="CF56">
        <f ca="1"/>
        <v>0</v>
      </c>
      <c r="CG56">
        <f ca="1"/>
        <v>0</v>
      </c>
      <c r="CH56">
        <f ca="1"/>
        <v>0</v>
      </c>
      <c r="CI56">
        <f ca="1"/>
        <v>0</v>
      </c>
      <c r="CJ56">
        <f ca="1"/>
        <v>0</v>
      </c>
      <c r="CK56">
        <f ca="1"/>
        <v>0</v>
      </c>
      <c r="CL56">
        <f ca="1"/>
        <v>0</v>
      </c>
      <c r="CM56">
        <f ca="1"/>
        <v>0</v>
      </c>
      <c r="CN56">
        <f ca="1"/>
        <v>0</v>
      </c>
      <c r="CO56">
        <f ca="1"/>
        <v>0</v>
      </c>
      <c r="CP56">
        <f ca="1"/>
        <v>0</v>
      </c>
      <c r="CQ56">
        <f ca="1"/>
        <v>0</v>
      </c>
      <c r="CR56">
        <f ca="1"/>
        <v>0</v>
      </c>
      <c r="CS56">
        <f ca="1"/>
        <v>0</v>
      </c>
      <c r="CT56">
        <f ca="1"/>
        <v>0</v>
      </c>
      <c r="CU56">
        <f ca="1"/>
        <v>0</v>
      </c>
      <c r="CV56">
        <f ca="1"/>
        <v>0</v>
      </c>
      <c r="CW56">
        <f ca="1"/>
        <v>0</v>
      </c>
      <c r="CX56">
        <f ca="1"/>
        <v>0</v>
      </c>
      <c r="CY56">
        <f ca="1"/>
        <v>0</v>
      </c>
      <c r="CZ56">
        <f ca="1"/>
        <v>0</v>
      </c>
      <c r="DA56">
        <f ca="1"/>
        <v>0</v>
      </c>
      <c r="DB56">
        <f ca="1"/>
        <v>0</v>
      </c>
      <c r="DC56">
        <f ca="1"/>
        <v>0</v>
      </c>
      <c r="DD56">
        <f ca="1"/>
        <v>0</v>
      </c>
      <c r="DE56">
        <f ca="1"/>
        <v>0</v>
      </c>
      <c r="DF56">
        <f ca="1"/>
        <v>0</v>
      </c>
      <c r="DG56">
        <f ca="1"/>
        <v>0</v>
      </c>
      <c r="DH56">
        <f ca="1"/>
        <v>0</v>
      </c>
      <c r="DI56">
        <f ca="1"/>
        <v>0</v>
      </c>
      <c r="DJ56">
        <f ca="1"/>
        <v>0</v>
      </c>
      <c r="DK56">
        <f ca="1"/>
        <v>0</v>
      </c>
      <c r="DL56">
        <f ca="1"/>
        <v>0</v>
      </c>
      <c r="DM56">
        <f ca="1"/>
        <v>0</v>
      </c>
      <c r="DN56">
        <f ca="1"/>
        <v>0</v>
      </c>
      <c r="DO56">
        <f ca="1"/>
        <v>0</v>
      </c>
      <c r="DP56">
        <f ca="1"/>
        <v>0</v>
      </c>
      <c r="DQ56">
        <f ca="1"/>
        <v>0</v>
      </c>
      <c r="DR56">
        <f ca="1"/>
        <v>0</v>
      </c>
      <c r="DS56">
        <f ca="1"/>
        <v>0</v>
      </c>
      <c r="DT56">
        <f ca="1"/>
        <v>0</v>
      </c>
      <c r="DU56">
        <f ca="1"/>
        <v>0</v>
      </c>
      <c r="DV56">
        <f ca="1"/>
        <v>0</v>
      </c>
      <c r="DW56">
        <f ca="1"/>
        <v>0</v>
      </c>
      <c r="DX56">
        <f ca="1"/>
        <v>0</v>
      </c>
      <c r="DY56">
        <f ca="1"/>
        <v>0</v>
      </c>
      <c r="DZ56">
        <f ca="1"/>
        <v>0</v>
      </c>
      <c r="EA56">
        <f ca="1"/>
        <v>0</v>
      </c>
      <c r="EB56">
        <f ca="1"/>
        <v>0</v>
      </c>
      <c r="EC56">
        <f ca="1"/>
        <v>0</v>
      </c>
      <c r="ED56">
        <f ca="1"/>
        <v>0</v>
      </c>
      <c r="EE56">
        <f ca="1"/>
        <v>0</v>
      </c>
      <c r="EF56">
        <f ca="1"/>
        <v>0</v>
      </c>
      <c r="EG56">
        <f ca="1"/>
        <v>0</v>
      </c>
      <c r="EH56">
        <f ca="1"/>
        <v>0</v>
      </c>
      <c r="EI56">
        <f ca="1"/>
        <v>0</v>
      </c>
      <c r="EJ56">
        <f ca="1"/>
        <v>0</v>
      </c>
      <c r="EK56">
        <f ca="1"/>
        <v>0</v>
      </c>
      <c r="EL56">
        <f ca="1"/>
        <v>0</v>
      </c>
      <c r="EM56">
        <f ca="1"/>
        <v>0</v>
      </c>
      <c r="EN56">
        <f ca="1"/>
        <v>0</v>
      </c>
      <c r="EO56">
        <f ca="1"/>
        <v>0</v>
      </c>
      <c r="EP56">
        <f ca="1"/>
        <v>0</v>
      </c>
      <c r="EQ56">
        <f ca="1"/>
        <v>0</v>
      </c>
      <c r="ER56">
        <f ca="1"/>
        <v>0</v>
      </c>
      <c r="ES56">
        <f ca="1"/>
        <v>0</v>
      </c>
      <c r="ET56">
        <f ca="1"/>
        <v>0</v>
      </c>
      <c r="EU56">
        <f ca="1"/>
        <v>0</v>
      </c>
      <c r="EV56">
        <f ca="1"/>
        <v>0</v>
      </c>
      <c r="EW56">
        <f ca="1"/>
        <v>0</v>
      </c>
      <c r="EX56">
        <f ca="1"/>
        <v>0</v>
      </c>
      <c r="EY56">
        <f ca="1"/>
        <v>0</v>
      </c>
      <c r="EZ56">
        <f ca="1"/>
        <v>0</v>
      </c>
      <c r="FA56">
        <f ca="1"/>
        <v>0</v>
      </c>
      <c r="FB56">
        <f ca="1"/>
        <v>0</v>
      </c>
      <c r="FC56">
        <f ca="1"/>
        <v>0</v>
      </c>
      <c r="FD56">
        <f ca="1"/>
        <v>0</v>
      </c>
      <c r="FE56">
        <f ca="1"/>
        <v>0</v>
      </c>
      <c r="FF56">
        <f ca="1"/>
        <v>0</v>
      </c>
      <c r="FG56">
        <f ca="1"/>
        <v>0</v>
      </c>
      <c r="FH56">
        <f ca="1"/>
        <v>0</v>
      </c>
      <c r="FI56">
        <f ca="1"/>
        <v>0</v>
      </c>
      <c r="FJ56">
        <f ca="1"/>
        <v>0</v>
      </c>
      <c r="FK56">
        <f ca="1"/>
        <v>0</v>
      </c>
      <c r="FL56">
        <f ca="1"/>
        <v>0</v>
      </c>
      <c r="FM56">
        <f ca="1"/>
        <v>0</v>
      </c>
      <c r="FN56">
        <f ca="1"/>
        <v>0</v>
      </c>
      <c r="FO56">
        <f ca="1"/>
        <v>0</v>
      </c>
      <c r="FP56">
        <f ca="1"/>
        <v>0</v>
      </c>
      <c r="FQ56">
        <f ca="1"/>
        <v>0</v>
      </c>
      <c r="FR56">
        <f ca="1"/>
        <v>0</v>
      </c>
      <c r="FS56">
        <f ca="1"/>
        <v>0</v>
      </c>
      <c r="FT56">
        <f ca="1"/>
        <v>0</v>
      </c>
      <c r="FU56">
        <f ca="1"/>
        <v>0</v>
      </c>
      <c r="FV56">
        <f ca="1"/>
        <v>0</v>
      </c>
      <c r="FW56">
        <f ca="1"/>
        <v>0</v>
      </c>
      <c r="FX56">
        <f ca="1"/>
        <v>0</v>
      </c>
      <c r="FY56">
        <f ca="1"/>
        <v>0</v>
      </c>
      <c r="FZ56">
        <f ca="1"/>
        <v>0</v>
      </c>
    </row>
    <row r="57" spans="3:182">
      <c r="C57" cm="1">
        <f t="array" aca="1" ref="C57:FZ57" ca="1">IFERROR(TRANSPOSE(INDEX(_xlfn._xlws.FILTER(INDIRECT("SubcategoriesTable[Subcategory name]"),INDIRECT("SubcategoriesTable[Category name]")=$B57),,)),"No subcategories")</f>
        <v>0</v>
      </c>
      <c r="D57">
        <f ca="1"/>
        <v>0</v>
      </c>
      <c r="E57">
        <f ca="1"/>
        <v>0</v>
      </c>
      <c r="F57">
        <f ca="1"/>
        <v>0</v>
      </c>
      <c r="G57">
        <f ca="1"/>
        <v>0</v>
      </c>
      <c r="H57">
        <f ca="1"/>
        <v>0</v>
      </c>
      <c r="I57">
        <f ca="1"/>
        <v>0</v>
      </c>
      <c r="J57">
        <f ca="1"/>
        <v>0</v>
      </c>
      <c r="K57">
        <f ca="1"/>
        <v>0</v>
      </c>
      <c r="L57">
        <f ca="1"/>
        <v>0</v>
      </c>
      <c r="M57">
        <f ca="1"/>
        <v>0</v>
      </c>
      <c r="N57">
        <f ca="1"/>
        <v>0</v>
      </c>
      <c r="O57">
        <f ca="1"/>
        <v>0</v>
      </c>
      <c r="P57">
        <f ca="1"/>
        <v>0</v>
      </c>
      <c r="Q57">
        <f ca="1"/>
        <v>0</v>
      </c>
      <c r="R57">
        <f ca="1"/>
        <v>0</v>
      </c>
      <c r="S57">
        <f ca="1"/>
        <v>0</v>
      </c>
      <c r="T57">
        <f ca="1"/>
        <v>0</v>
      </c>
      <c r="U57">
        <f ca="1"/>
        <v>0</v>
      </c>
      <c r="V57">
        <f ca="1"/>
        <v>0</v>
      </c>
      <c r="W57">
        <f ca="1"/>
        <v>0</v>
      </c>
      <c r="X57">
        <f ca="1"/>
        <v>0</v>
      </c>
      <c r="Y57">
        <f ca="1"/>
        <v>0</v>
      </c>
      <c r="Z57">
        <f ca="1"/>
        <v>0</v>
      </c>
      <c r="AA57">
        <f ca="1"/>
        <v>0</v>
      </c>
      <c r="AB57">
        <f ca="1"/>
        <v>0</v>
      </c>
      <c r="AC57">
        <f ca="1"/>
        <v>0</v>
      </c>
      <c r="AD57">
        <f ca="1"/>
        <v>0</v>
      </c>
      <c r="AE57">
        <f ca="1"/>
        <v>0</v>
      </c>
      <c r="AF57">
        <f ca="1"/>
        <v>0</v>
      </c>
      <c r="AG57">
        <f ca="1"/>
        <v>0</v>
      </c>
      <c r="AH57">
        <f ca="1"/>
        <v>0</v>
      </c>
      <c r="AI57">
        <f ca="1"/>
        <v>0</v>
      </c>
      <c r="AJ57">
        <f ca="1"/>
        <v>0</v>
      </c>
      <c r="AK57">
        <f ca="1"/>
        <v>0</v>
      </c>
      <c r="AL57">
        <f ca="1"/>
        <v>0</v>
      </c>
      <c r="AM57">
        <f ca="1"/>
        <v>0</v>
      </c>
      <c r="AN57">
        <f ca="1"/>
        <v>0</v>
      </c>
      <c r="AO57">
        <f ca="1"/>
        <v>0</v>
      </c>
      <c r="AP57">
        <f ca="1"/>
        <v>0</v>
      </c>
      <c r="AQ57">
        <f ca="1"/>
        <v>0</v>
      </c>
      <c r="AR57">
        <f ca="1"/>
        <v>0</v>
      </c>
      <c r="AS57">
        <f ca="1"/>
        <v>0</v>
      </c>
      <c r="AT57">
        <f ca="1"/>
        <v>0</v>
      </c>
      <c r="AU57">
        <f ca="1"/>
        <v>0</v>
      </c>
      <c r="AV57">
        <f ca="1"/>
        <v>0</v>
      </c>
      <c r="AW57">
        <f ca="1"/>
        <v>0</v>
      </c>
      <c r="AX57">
        <f ca="1"/>
        <v>0</v>
      </c>
      <c r="AY57">
        <f ca="1"/>
        <v>0</v>
      </c>
      <c r="AZ57">
        <f ca="1"/>
        <v>0</v>
      </c>
      <c r="BA57">
        <f ca="1"/>
        <v>0</v>
      </c>
      <c r="BB57">
        <f ca="1"/>
        <v>0</v>
      </c>
      <c r="BC57">
        <f ca="1"/>
        <v>0</v>
      </c>
      <c r="BD57">
        <f ca="1"/>
        <v>0</v>
      </c>
      <c r="BE57">
        <f ca="1"/>
        <v>0</v>
      </c>
      <c r="BF57">
        <f ca="1"/>
        <v>0</v>
      </c>
      <c r="BG57">
        <f ca="1"/>
        <v>0</v>
      </c>
      <c r="BH57">
        <f ca="1"/>
        <v>0</v>
      </c>
      <c r="BI57">
        <f ca="1"/>
        <v>0</v>
      </c>
      <c r="BJ57">
        <f ca="1"/>
        <v>0</v>
      </c>
      <c r="BK57">
        <f ca="1"/>
        <v>0</v>
      </c>
      <c r="BL57">
        <f ca="1"/>
        <v>0</v>
      </c>
      <c r="BM57">
        <f ca="1"/>
        <v>0</v>
      </c>
      <c r="BN57">
        <f ca="1"/>
        <v>0</v>
      </c>
      <c r="BO57">
        <f ca="1"/>
        <v>0</v>
      </c>
      <c r="BP57">
        <f ca="1"/>
        <v>0</v>
      </c>
      <c r="BQ57">
        <f ca="1"/>
        <v>0</v>
      </c>
      <c r="BR57">
        <f ca="1"/>
        <v>0</v>
      </c>
      <c r="BS57">
        <f ca="1"/>
        <v>0</v>
      </c>
      <c r="BT57">
        <f ca="1"/>
        <v>0</v>
      </c>
      <c r="BU57">
        <f ca="1"/>
        <v>0</v>
      </c>
      <c r="BV57">
        <f ca="1"/>
        <v>0</v>
      </c>
      <c r="BW57">
        <f ca="1"/>
        <v>0</v>
      </c>
      <c r="BX57">
        <f ca="1"/>
        <v>0</v>
      </c>
      <c r="BY57">
        <f ca="1"/>
        <v>0</v>
      </c>
      <c r="BZ57">
        <f ca="1"/>
        <v>0</v>
      </c>
      <c r="CA57">
        <f ca="1"/>
        <v>0</v>
      </c>
      <c r="CB57">
        <f ca="1"/>
        <v>0</v>
      </c>
      <c r="CC57">
        <f ca="1"/>
        <v>0</v>
      </c>
      <c r="CD57">
        <f ca="1"/>
        <v>0</v>
      </c>
      <c r="CE57">
        <f ca="1"/>
        <v>0</v>
      </c>
      <c r="CF57">
        <f ca="1"/>
        <v>0</v>
      </c>
      <c r="CG57">
        <f ca="1"/>
        <v>0</v>
      </c>
      <c r="CH57">
        <f ca="1"/>
        <v>0</v>
      </c>
      <c r="CI57">
        <f ca="1"/>
        <v>0</v>
      </c>
      <c r="CJ57">
        <f ca="1"/>
        <v>0</v>
      </c>
      <c r="CK57">
        <f ca="1"/>
        <v>0</v>
      </c>
      <c r="CL57">
        <f ca="1"/>
        <v>0</v>
      </c>
      <c r="CM57">
        <f ca="1"/>
        <v>0</v>
      </c>
      <c r="CN57">
        <f ca="1"/>
        <v>0</v>
      </c>
      <c r="CO57">
        <f ca="1"/>
        <v>0</v>
      </c>
      <c r="CP57">
        <f ca="1"/>
        <v>0</v>
      </c>
      <c r="CQ57">
        <f ca="1"/>
        <v>0</v>
      </c>
      <c r="CR57">
        <f ca="1"/>
        <v>0</v>
      </c>
      <c r="CS57">
        <f ca="1"/>
        <v>0</v>
      </c>
      <c r="CT57">
        <f ca="1"/>
        <v>0</v>
      </c>
      <c r="CU57">
        <f ca="1"/>
        <v>0</v>
      </c>
      <c r="CV57">
        <f ca="1"/>
        <v>0</v>
      </c>
      <c r="CW57">
        <f ca="1"/>
        <v>0</v>
      </c>
      <c r="CX57">
        <f ca="1"/>
        <v>0</v>
      </c>
      <c r="CY57">
        <f ca="1"/>
        <v>0</v>
      </c>
      <c r="CZ57">
        <f ca="1"/>
        <v>0</v>
      </c>
      <c r="DA57">
        <f ca="1"/>
        <v>0</v>
      </c>
      <c r="DB57">
        <f ca="1"/>
        <v>0</v>
      </c>
      <c r="DC57">
        <f ca="1"/>
        <v>0</v>
      </c>
      <c r="DD57">
        <f ca="1"/>
        <v>0</v>
      </c>
      <c r="DE57">
        <f ca="1"/>
        <v>0</v>
      </c>
      <c r="DF57">
        <f ca="1"/>
        <v>0</v>
      </c>
      <c r="DG57">
        <f ca="1"/>
        <v>0</v>
      </c>
      <c r="DH57">
        <f ca="1"/>
        <v>0</v>
      </c>
      <c r="DI57">
        <f ca="1"/>
        <v>0</v>
      </c>
      <c r="DJ57">
        <f ca="1"/>
        <v>0</v>
      </c>
      <c r="DK57">
        <f ca="1"/>
        <v>0</v>
      </c>
      <c r="DL57">
        <f ca="1"/>
        <v>0</v>
      </c>
      <c r="DM57">
        <f ca="1"/>
        <v>0</v>
      </c>
      <c r="DN57">
        <f ca="1"/>
        <v>0</v>
      </c>
      <c r="DO57">
        <f ca="1"/>
        <v>0</v>
      </c>
      <c r="DP57">
        <f ca="1"/>
        <v>0</v>
      </c>
      <c r="DQ57">
        <f ca="1"/>
        <v>0</v>
      </c>
      <c r="DR57">
        <f ca="1"/>
        <v>0</v>
      </c>
      <c r="DS57">
        <f ca="1"/>
        <v>0</v>
      </c>
      <c r="DT57">
        <f ca="1"/>
        <v>0</v>
      </c>
      <c r="DU57">
        <f ca="1"/>
        <v>0</v>
      </c>
      <c r="DV57">
        <f ca="1"/>
        <v>0</v>
      </c>
      <c r="DW57">
        <f ca="1"/>
        <v>0</v>
      </c>
      <c r="DX57">
        <f ca="1"/>
        <v>0</v>
      </c>
      <c r="DY57">
        <f ca="1"/>
        <v>0</v>
      </c>
      <c r="DZ57">
        <f ca="1"/>
        <v>0</v>
      </c>
      <c r="EA57">
        <f ca="1"/>
        <v>0</v>
      </c>
      <c r="EB57">
        <f ca="1"/>
        <v>0</v>
      </c>
      <c r="EC57">
        <f ca="1"/>
        <v>0</v>
      </c>
      <c r="ED57">
        <f ca="1"/>
        <v>0</v>
      </c>
      <c r="EE57">
        <f ca="1"/>
        <v>0</v>
      </c>
      <c r="EF57">
        <f ca="1"/>
        <v>0</v>
      </c>
      <c r="EG57">
        <f ca="1"/>
        <v>0</v>
      </c>
      <c r="EH57">
        <f ca="1"/>
        <v>0</v>
      </c>
      <c r="EI57">
        <f ca="1"/>
        <v>0</v>
      </c>
      <c r="EJ57">
        <f ca="1"/>
        <v>0</v>
      </c>
      <c r="EK57">
        <f ca="1"/>
        <v>0</v>
      </c>
      <c r="EL57">
        <f ca="1"/>
        <v>0</v>
      </c>
      <c r="EM57">
        <f ca="1"/>
        <v>0</v>
      </c>
      <c r="EN57">
        <f ca="1"/>
        <v>0</v>
      </c>
      <c r="EO57">
        <f ca="1"/>
        <v>0</v>
      </c>
      <c r="EP57">
        <f ca="1"/>
        <v>0</v>
      </c>
      <c r="EQ57">
        <f ca="1"/>
        <v>0</v>
      </c>
      <c r="ER57">
        <f ca="1"/>
        <v>0</v>
      </c>
      <c r="ES57">
        <f ca="1"/>
        <v>0</v>
      </c>
      <c r="ET57">
        <f ca="1"/>
        <v>0</v>
      </c>
      <c r="EU57">
        <f ca="1"/>
        <v>0</v>
      </c>
      <c r="EV57">
        <f ca="1"/>
        <v>0</v>
      </c>
      <c r="EW57">
        <f ca="1"/>
        <v>0</v>
      </c>
      <c r="EX57">
        <f ca="1"/>
        <v>0</v>
      </c>
      <c r="EY57">
        <f ca="1"/>
        <v>0</v>
      </c>
      <c r="EZ57">
        <f ca="1"/>
        <v>0</v>
      </c>
      <c r="FA57">
        <f ca="1"/>
        <v>0</v>
      </c>
      <c r="FB57">
        <f ca="1"/>
        <v>0</v>
      </c>
      <c r="FC57">
        <f ca="1"/>
        <v>0</v>
      </c>
      <c r="FD57">
        <f ca="1"/>
        <v>0</v>
      </c>
      <c r="FE57">
        <f ca="1"/>
        <v>0</v>
      </c>
      <c r="FF57">
        <f ca="1"/>
        <v>0</v>
      </c>
      <c r="FG57">
        <f ca="1"/>
        <v>0</v>
      </c>
      <c r="FH57">
        <f ca="1"/>
        <v>0</v>
      </c>
      <c r="FI57">
        <f ca="1"/>
        <v>0</v>
      </c>
      <c r="FJ57">
        <f ca="1"/>
        <v>0</v>
      </c>
      <c r="FK57">
        <f ca="1"/>
        <v>0</v>
      </c>
      <c r="FL57">
        <f ca="1"/>
        <v>0</v>
      </c>
      <c r="FM57">
        <f ca="1"/>
        <v>0</v>
      </c>
      <c r="FN57">
        <f ca="1"/>
        <v>0</v>
      </c>
      <c r="FO57">
        <f ca="1"/>
        <v>0</v>
      </c>
      <c r="FP57">
        <f ca="1"/>
        <v>0</v>
      </c>
      <c r="FQ57">
        <f ca="1"/>
        <v>0</v>
      </c>
      <c r="FR57">
        <f ca="1"/>
        <v>0</v>
      </c>
      <c r="FS57">
        <f ca="1"/>
        <v>0</v>
      </c>
      <c r="FT57">
        <f ca="1"/>
        <v>0</v>
      </c>
      <c r="FU57">
        <f ca="1"/>
        <v>0</v>
      </c>
      <c r="FV57">
        <f ca="1"/>
        <v>0</v>
      </c>
      <c r="FW57">
        <f ca="1"/>
        <v>0</v>
      </c>
      <c r="FX57">
        <f ca="1"/>
        <v>0</v>
      </c>
      <c r="FY57">
        <f ca="1"/>
        <v>0</v>
      </c>
      <c r="FZ57">
        <f ca="1"/>
        <v>0</v>
      </c>
    </row>
    <row r="58" spans="3:182">
      <c r="C58" cm="1">
        <f t="array" aca="1" ref="C58:FZ58" ca="1">IFERROR(TRANSPOSE(INDEX(_xlfn._xlws.FILTER(INDIRECT("SubcategoriesTable[Subcategory name]"),INDIRECT("SubcategoriesTable[Category name]")=$B58),,)),"No subcategories")</f>
        <v>0</v>
      </c>
      <c r="D58">
        <f ca="1"/>
        <v>0</v>
      </c>
      <c r="E58">
        <f ca="1"/>
        <v>0</v>
      </c>
      <c r="F58">
        <f ca="1"/>
        <v>0</v>
      </c>
      <c r="G58">
        <f ca="1"/>
        <v>0</v>
      </c>
      <c r="H58">
        <f ca="1"/>
        <v>0</v>
      </c>
      <c r="I58">
        <f ca="1"/>
        <v>0</v>
      </c>
      <c r="J58">
        <f ca="1"/>
        <v>0</v>
      </c>
      <c r="K58">
        <f ca="1"/>
        <v>0</v>
      </c>
      <c r="L58">
        <f ca="1"/>
        <v>0</v>
      </c>
      <c r="M58">
        <f ca="1"/>
        <v>0</v>
      </c>
      <c r="N58">
        <f ca="1"/>
        <v>0</v>
      </c>
      <c r="O58">
        <f ca="1"/>
        <v>0</v>
      </c>
      <c r="P58">
        <f ca="1"/>
        <v>0</v>
      </c>
      <c r="Q58">
        <f ca="1"/>
        <v>0</v>
      </c>
      <c r="R58">
        <f ca="1"/>
        <v>0</v>
      </c>
      <c r="S58">
        <f ca="1"/>
        <v>0</v>
      </c>
      <c r="T58">
        <f ca="1"/>
        <v>0</v>
      </c>
      <c r="U58">
        <f ca="1"/>
        <v>0</v>
      </c>
      <c r="V58">
        <f ca="1"/>
        <v>0</v>
      </c>
      <c r="W58">
        <f ca="1"/>
        <v>0</v>
      </c>
      <c r="X58">
        <f ca="1"/>
        <v>0</v>
      </c>
      <c r="Y58">
        <f ca="1"/>
        <v>0</v>
      </c>
      <c r="Z58">
        <f ca="1"/>
        <v>0</v>
      </c>
      <c r="AA58">
        <f ca="1"/>
        <v>0</v>
      </c>
      <c r="AB58">
        <f ca="1"/>
        <v>0</v>
      </c>
      <c r="AC58">
        <f ca="1"/>
        <v>0</v>
      </c>
      <c r="AD58">
        <f ca="1"/>
        <v>0</v>
      </c>
      <c r="AE58">
        <f ca="1"/>
        <v>0</v>
      </c>
      <c r="AF58">
        <f ca="1"/>
        <v>0</v>
      </c>
      <c r="AG58">
        <f ca="1"/>
        <v>0</v>
      </c>
      <c r="AH58">
        <f ca="1"/>
        <v>0</v>
      </c>
      <c r="AI58">
        <f ca="1"/>
        <v>0</v>
      </c>
      <c r="AJ58">
        <f ca="1"/>
        <v>0</v>
      </c>
      <c r="AK58">
        <f ca="1"/>
        <v>0</v>
      </c>
      <c r="AL58">
        <f ca="1"/>
        <v>0</v>
      </c>
      <c r="AM58">
        <f ca="1"/>
        <v>0</v>
      </c>
      <c r="AN58">
        <f ca="1"/>
        <v>0</v>
      </c>
      <c r="AO58">
        <f ca="1"/>
        <v>0</v>
      </c>
      <c r="AP58">
        <f ca="1"/>
        <v>0</v>
      </c>
      <c r="AQ58">
        <f ca="1"/>
        <v>0</v>
      </c>
      <c r="AR58">
        <f ca="1"/>
        <v>0</v>
      </c>
      <c r="AS58">
        <f ca="1"/>
        <v>0</v>
      </c>
      <c r="AT58">
        <f ca="1"/>
        <v>0</v>
      </c>
      <c r="AU58">
        <f ca="1"/>
        <v>0</v>
      </c>
      <c r="AV58">
        <f ca="1"/>
        <v>0</v>
      </c>
      <c r="AW58">
        <f ca="1"/>
        <v>0</v>
      </c>
      <c r="AX58">
        <f ca="1"/>
        <v>0</v>
      </c>
      <c r="AY58">
        <f ca="1"/>
        <v>0</v>
      </c>
      <c r="AZ58">
        <f ca="1"/>
        <v>0</v>
      </c>
      <c r="BA58">
        <f ca="1"/>
        <v>0</v>
      </c>
      <c r="BB58">
        <f ca="1"/>
        <v>0</v>
      </c>
      <c r="BC58">
        <f ca="1"/>
        <v>0</v>
      </c>
      <c r="BD58">
        <f ca="1"/>
        <v>0</v>
      </c>
      <c r="BE58">
        <f ca="1"/>
        <v>0</v>
      </c>
      <c r="BF58">
        <f ca="1"/>
        <v>0</v>
      </c>
      <c r="BG58">
        <f ca="1"/>
        <v>0</v>
      </c>
      <c r="BH58">
        <f ca="1"/>
        <v>0</v>
      </c>
      <c r="BI58">
        <f ca="1"/>
        <v>0</v>
      </c>
      <c r="BJ58">
        <f ca="1"/>
        <v>0</v>
      </c>
      <c r="BK58">
        <f ca="1"/>
        <v>0</v>
      </c>
      <c r="BL58">
        <f ca="1"/>
        <v>0</v>
      </c>
      <c r="BM58">
        <f ca="1"/>
        <v>0</v>
      </c>
      <c r="BN58">
        <f ca="1"/>
        <v>0</v>
      </c>
      <c r="BO58">
        <f ca="1"/>
        <v>0</v>
      </c>
      <c r="BP58">
        <f ca="1"/>
        <v>0</v>
      </c>
      <c r="BQ58">
        <f ca="1"/>
        <v>0</v>
      </c>
      <c r="BR58">
        <f ca="1"/>
        <v>0</v>
      </c>
      <c r="BS58">
        <f ca="1"/>
        <v>0</v>
      </c>
      <c r="BT58">
        <f ca="1"/>
        <v>0</v>
      </c>
      <c r="BU58">
        <f ca="1"/>
        <v>0</v>
      </c>
      <c r="BV58">
        <f ca="1"/>
        <v>0</v>
      </c>
      <c r="BW58">
        <f ca="1"/>
        <v>0</v>
      </c>
      <c r="BX58">
        <f ca="1"/>
        <v>0</v>
      </c>
      <c r="BY58">
        <f ca="1"/>
        <v>0</v>
      </c>
      <c r="BZ58">
        <f ca="1"/>
        <v>0</v>
      </c>
      <c r="CA58">
        <f ca="1"/>
        <v>0</v>
      </c>
      <c r="CB58">
        <f ca="1"/>
        <v>0</v>
      </c>
      <c r="CC58">
        <f ca="1"/>
        <v>0</v>
      </c>
      <c r="CD58">
        <f ca="1"/>
        <v>0</v>
      </c>
      <c r="CE58">
        <f ca="1"/>
        <v>0</v>
      </c>
      <c r="CF58">
        <f ca="1"/>
        <v>0</v>
      </c>
      <c r="CG58">
        <f ca="1"/>
        <v>0</v>
      </c>
      <c r="CH58">
        <f ca="1"/>
        <v>0</v>
      </c>
      <c r="CI58">
        <f ca="1"/>
        <v>0</v>
      </c>
      <c r="CJ58">
        <f ca="1"/>
        <v>0</v>
      </c>
      <c r="CK58">
        <f ca="1"/>
        <v>0</v>
      </c>
      <c r="CL58">
        <f ca="1"/>
        <v>0</v>
      </c>
      <c r="CM58">
        <f ca="1"/>
        <v>0</v>
      </c>
      <c r="CN58">
        <f ca="1"/>
        <v>0</v>
      </c>
      <c r="CO58">
        <f ca="1"/>
        <v>0</v>
      </c>
      <c r="CP58">
        <f ca="1"/>
        <v>0</v>
      </c>
      <c r="CQ58">
        <f ca="1"/>
        <v>0</v>
      </c>
      <c r="CR58">
        <f ca="1"/>
        <v>0</v>
      </c>
      <c r="CS58">
        <f ca="1"/>
        <v>0</v>
      </c>
      <c r="CT58">
        <f ca="1"/>
        <v>0</v>
      </c>
      <c r="CU58">
        <f ca="1"/>
        <v>0</v>
      </c>
      <c r="CV58">
        <f ca="1"/>
        <v>0</v>
      </c>
      <c r="CW58">
        <f ca="1"/>
        <v>0</v>
      </c>
      <c r="CX58">
        <f ca="1"/>
        <v>0</v>
      </c>
      <c r="CY58">
        <f ca="1"/>
        <v>0</v>
      </c>
      <c r="CZ58">
        <f ca="1"/>
        <v>0</v>
      </c>
      <c r="DA58">
        <f ca="1"/>
        <v>0</v>
      </c>
      <c r="DB58">
        <f ca="1"/>
        <v>0</v>
      </c>
      <c r="DC58">
        <f ca="1"/>
        <v>0</v>
      </c>
      <c r="DD58">
        <f ca="1"/>
        <v>0</v>
      </c>
      <c r="DE58">
        <f ca="1"/>
        <v>0</v>
      </c>
      <c r="DF58">
        <f ca="1"/>
        <v>0</v>
      </c>
      <c r="DG58">
        <f ca="1"/>
        <v>0</v>
      </c>
      <c r="DH58">
        <f ca="1"/>
        <v>0</v>
      </c>
      <c r="DI58">
        <f ca="1"/>
        <v>0</v>
      </c>
      <c r="DJ58">
        <f ca="1"/>
        <v>0</v>
      </c>
      <c r="DK58">
        <f ca="1"/>
        <v>0</v>
      </c>
      <c r="DL58">
        <f ca="1"/>
        <v>0</v>
      </c>
      <c r="DM58">
        <f ca="1"/>
        <v>0</v>
      </c>
      <c r="DN58">
        <f ca="1"/>
        <v>0</v>
      </c>
      <c r="DO58">
        <f ca="1"/>
        <v>0</v>
      </c>
      <c r="DP58">
        <f ca="1"/>
        <v>0</v>
      </c>
      <c r="DQ58">
        <f ca="1"/>
        <v>0</v>
      </c>
      <c r="DR58">
        <f ca="1"/>
        <v>0</v>
      </c>
      <c r="DS58">
        <f ca="1"/>
        <v>0</v>
      </c>
      <c r="DT58">
        <f ca="1"/>
        <v>0</v>
      </c>
      <c r="DU58">
        <f ca="1"/>
        <v>0</v>
      </c>
      <c r="DV58">
        <f ca="1"/>
        <v>0</v>
      </c>
      <c r="DW58">
        <f ca="1"/>
        <v>0</v>
      </c>
      <c r="DX58">
        <f ca="1"/>
        <v>0</v>
      </c>
      <c r="DY58">
        <f ca="1"/>
        <v>0</v>
      </c>
      <c r="DZ58">
        <f ca="1"/>
        <v>0</v>
      </c>
      <c r="EA58">
        <f ca="1"/>
        <v>0</v>
      </c>
      <c r="EB58">
        <f ca="1"/>
        <v>0</v>
      </c>
      <c r="EC58">
        <f ca="1"/>
        <v>0</v>
      </c>
      <c r="ED58">
        <f ca="1"/>
        <v>0</v>
      </c>
      <c r="EE58">
        <f ca="1"/>
        <v>0</v>
      </c>
      <c r="EF58">
        <f ca="1"/>
        <v>0</v>
      </c>
      <c r="EG58">
        <f ca="1"/>
        <v>0</v>
      </c>
      <c r="EH58">
        <f ca="1"/>
        <v>0</v>
      </c>
      <c r="EI58">
        <f ca="1"/>
        <v>0</v>
      </c>
      <c r="EJ58">
        <f ca="1"/>
        <v>0</v>
      </c>
      <c r="EK58">
        <f ca="1"/>
        <v>0</v>
      </c>
      <c r="EL58">
        <f ca="1"/>
        <v>0</v>
      </c>
      <c r="EM58">
        <f ca="1"/>
        <v>0</v>
      </c>
      <c r="EN58">
        <f ca="1"/>
        <v>0</v>
      </c>
      <c r="EO58">
        <f ca="1"/>
        <v>0</v>
      </c>
      <c r="EP58">
        <f ca="1"/>
        <v>0</v>
      </c>
      <c r="EQ58">
        <f ca="1"/>
        <v>0</v>
      </c>
      <c r="ER58">
        <f ca="1"/>
        <v>0</v>
      </c>
      <c r="ES58">
        <f ca="1"/>
        <v>0</v>
      </c>
      <c r="ET58">
        <f ca="1"/>
        <v>0</v>
      </c>
      <c r="EU58">
        <f ca="1"/>
        <v>0</v>
      </c>
      <c r="EV58">
        <f ca="1"/>
        <v>0</v>
      </c>
      <c r="EW58">
        <f ca="1"/>
        <v>0</v>
      </c>
      <c r="EX58">
        <f ca="1"/>
        <v>0</v>
      </c>
      <c r="EY58">
        <f ca="1"/>
        <v>0</v>
      </c>
      <c r="EZ58">
        <f ca="1"/>
        <v>0</v>
      </c>
      <c r="FA58">
        <f ca="1"/>
        <v>0</v>
      </c>
      <c r="FB58">
        <f ca="1"/>
        <v>0</v>
      </c>
      <c r="FC58">
        <f ca="1"/>
        <v>0</v>
      </c>
      <c r="FD58">
        <f ca="1"/>
        <v>0</v>
      </c>
      <c r="FE58">
        <f ca="1"/>
        <v>0</v>
      </c>
      <c r="FF58">
        <f ca="1"/>
        <v>0</v>
      </c>
      <c r="FG58">
        <f ca="1"/>
        <v>0</v>
      </c>
      <c r="FH58">
        <f ca="1"/>
        <v>0</v>
      </c>
      <c r="FI58">
        <f ca="1"/>
        <v>0</v>
      </c>
      <c r="FJ58">
        <f ca="1"/>
        <v>0</v>
      </c>
      <c r="FK58">
        <f ca="1"/>
        <v>0</v>
      </c>
      <c r="FL58">
        <f ca="1"/>
        <v>0</v>
      </c>
      <c r="FM58">
        <f ca="1"/>
        <v>0</v>
      </c>
      <c r="FN58">
        <f ca="1"/>
        <v>0</v>
      </c>
      <c r="FO58">
        <f ca="1"/>
        <v>0</v>
      </c>
      <c r="FP58">
        <f ca="1"/>
        <v>0</v>
      </c>
      <c r="FQ58">
        <f ca="1"/>
        <v>0</v>
      </c>
      <c r="FR58">
        <f ca="1"/>
        <v>0</v>
      </c>
      <c r="FS58">
        <f ca="1"/>
        <v>0</v>
      </c>
      <c r="FT58">
        <f ca="1"/>
        <v>0</v>
      </c>
      <c r="FU58">
        <f ca="1"/>
        <v>0</v>
      </c>
      <c r="FV58">
        <f ca="1"/>
        <v>0</v>
      </c>
      <c r="FW58">
        <f ca="1"/>
        <v>0</v>
      </c>
      <c r="FX58">
        <f ca="1"/>
        <v>0</v>
      </c>
      <c r="FY58">
        <f ca="1"/>
        <v>0</v>
      </c>
      <c r="FZ58">
        <f ca="1"/>
        <v>0</v>
      </c>
    </row>
    <row r="59" spans="3:182">
      <c r="C59" cm="1">
        <f t="array" aca="1" ref="C59:FZ59" ca="1">IFERROR(TRANSPOSE(INDEX(_xlfn._xlws.FILTER(INDIRECT("SubcategoriesTable[Subcategory name]"),INDIRECT("SubcategoriesTable[Category name]")=$B59),,)),"No subcategories")</f>
        <v>0</v>
      </c>
      <c r="D59">
        <f ca="1"/>
        <v>0</v>
      </c>
      <c r="E59">
        <f ca="1"/>
        <v>0</v>
      </c>
      <c r="F59">
        <f ca="1"/>
        <v>0</v>
      </c>
      <c r="G59">
        <f ca="1"/>
        <v>0</v>
      </c>
      <c r="H59">
        <f ca="1"/>
        <v>0</v>
      </c>
      <c r="I59">
        <f ca="1"/>
        <v>0</v>
      </c>
      <c r="J59">
        <f ca="1"/>
        <v>0</v>
      </c>
      <c r="K59">
        <f ca="1"/>
        <v>0</v>
      </c>
      <c r="L59">
        <f ca="1"/>
        <v>0</v>
      </c>
      <c r="M59">
        <f ca="1"/>
        <v>0</v>
      </c>
      <c r="N59">
        <f ca="1"/>
        <v>0</v>
      </c>
      <c r="O59">
        <f ca="1"/>
        <v>0</v>
      </c>
      <c r="P59">
        <f ca="1"/>
        <v>0</v>
      </c>
      <c r="Q59">
        <f ca="1"/>
        <v>0</v>
      </c>
      <c r="R59">
        <f ca="1"/>
        <v>0</v>
      </c>
      <c r="S59">
        <f ca="1"/>
        <v>0</v>
      </c>
      <c r="T59">
        <f ca="1"/>
        <v>0</v>
      </c>
      <c r="U59">
        <f ca="1"/>
        <v>0</v>
      </c>
      <c r="V59">
        <f ca="1"/>
        <v>0</v>
      </c>
      <c r="W59">
        <f ca="1"/>
        <v>0</v>
      </c>
      <c r="X59">
        <f ca="1"/>
        <v>0</v>
      </c>
      <c r="Y59">
        <f ca="1"/>
        <v>0</v>
      </c>
      <c r="Z59">
        <f ca="1"/>
        <v>0</v>
      </c>
      <c r="AA59">
        <f ca="1"/>
        <v>0</v>
      </c>
      <c r="AB59">
        <f ca="1"/>
        <v>0</v>
      </c>
      <c r="AC59">
        <f ca="1"/>
        <v>0</v>
      </c>
      <c r="AD59">
        <f ca="1"/>
        <v>0</v>
      </c>
      <c r="AE59">
        <f ca="1"/>
        <v>0</v>
      </c>
      <c r="AF59">
        <f ca="1"/>
        <v>0</v>
      </c>
      <c r="AG59">
        <f ca="1"/>
        <v>0</v>
      </c>
      <c r="AH59">
        <f ca="1"/>
        <v>0</v>
      </c>
      <c r="AI59">
        <f ca="1"/>
        <v>0</v>
      </c>
      <c r="AJ59">
        <f ca="1"/>
        <v>0</v>
      </c>
      <c r="AK59">
        <f ca="1"/>
        <v>0</v>
      </c>
      <c r="AL59">
        <f ca="1"/>
        <v>0</v>
      </c>
      <c r="AM59">
        <f ca="1"/>
        <v>0</v>
      </c>
      <c r="AN59">
        <f ca="1"/>
        <v>0</v>
      </c>
      <c r="AO59">
        <f ca="1"/>
        <v>0</v>
      </c>
      <c r="AP59">
        <f ca="1"/>
        <v>0</v>
      </c>
      <c r="AQ59">
        <f ca="1"/>
        <v>0</v>
      </c>
      <c r="AR59">
        <f ca="1"/>
        <v>0</v>
      </c>
      <c r="AS59">
        <f ca="1"/>
        <v>0</v>
      </c>
      <c r="AT59">
        <f ca="1"/>
        <v>0</v>
      </c>
      <c r="AU59">
        <f ca="1"/>
        <v>0</v>
      </c>
      <c r="AV59">
        <f ca="1"/>
        <v>0</v>
      </c>
      <c r="AW59">
        <f ca="1"/>
        <v>0</v>
      </c>
      <c r="AX59">
        <f ca="1"/>
        <v>0</v>
      </c>
      <c r="AY59">
        <f ca="1"/>
        <v>0</v>
      </c>
      <c r="AZ59">
        <f ca="1"/>
        <v>0</v>
      </c>
      <c r="BA59">
        <f ca="1"/>
        <v>0</v>
      </c>
      <c r="BB59">
        <f ca="1"/>
        <v>0</v>
      </c>
      <c r="BC59">
        <f ca="1"/>
        <v>0</v>
      </c>
      <c r="BD59">
        <f ca="1"/>
        <v>0</v>
      </c>
      <c r="BE59">
        <f ca="1"/>
        <v>0</v>
      </c>
      <c r="BF59">
        <f ca="1"/>
        <v>0</v>
      </c>
      <c r="BG59">
        <f ca="1"/>
        <v>0</v>
      </c>
      <c r="BH59">
        <f ca="1"/>
        <v>0</v>
      </c>
      <c r="BI59">
        <f ca="1"/>
        <v>0</v>
      </c>
      <c r="BJ59">
        <f ca="1"/>
        <v>0</v>
      </c>
      <c r="BK59">
        <f ca="1"/>
        <v>0</v>
      </c>
      <c r="BL59">
        <f ca="1"/>
        <v>0</v>
      </c>
      <c r="BM59">
        <f ca="1"/>
        <v>0</v>
      </c>
      <c r="BN59">
        <f ca="1"/>
        <v>0</v>
      </c>
      <c r="BO59">
        <f ca="1"/>
        <v>0</v>
      </c>
      <c r="BP59">
        <f ca="1"/>
        <v>0</v>
      </c>
      <c r="BQ59">
        <f ca="1"/>
        <v>0</v>
      </c>
      <c r="BR59">
        <f ca="1"/>
        <v>0</v>
      </c>
      <c r="BS59">
        <f ca="1"/>
        <v>0</v>
      </c>
      <c r="BT59">
        <f ca="1"/>
        <v>0</v>
      </c>
      <c r="BU59">
        <f ca="1"/>
        <v>0</v>
      </c>
      <c r="BV59">
        <f ca="1"/>
        <v>0</v>
      </c>
      <c r="BW59">
        <f ca="1"/>
        <v>0</v>
      </c>
      <c r="BX59">
        <f ca="1"/>
        <v>0</v>
      </c>
      <c r="BY59">
        <f ca="1"/>
        <v>0</v>
      </c>
      <c r="BZ59">
        <f ca="1"/>
        <v>0</v>
      </c>
      <c r="CA59">
        <f ca="1"/>
        <v>0</v>
      </c>
      <c r="CB59">
        <f ca="1"/>
        <v>0</v>
      </c>
      <c r="CC59">
        <f ca="1"/>
        <v>0</v>
      </c>
      <c r="CD59">
        <f ca="1"/>
        <v>0</v>
      </c>
      <c r="CE59">
        <f ca="1"/>
        <v>0</v>
      </c>
      <c r="CF59">
        <f ca="1"/>
        <v>0</v>
      </c>
      <c r="CG59">
        <f ca="1"/>
        <v>0</v>
      </c>
      <c r="CH59">
        <f ca="1"/>
        <v>0</v>
      </c>
      <c r="CI59">
        <f ca="1"/>
        <v>0</v>
      </c>
      <c r="CJ59">
        <f ca="1"/>
        <v>0</v>
      </c>
      <c r="CK59">
        <f ca="1"/>
        <v>0</v>
      </c>
      <c r="CL59">
        <f ca="1"/>
        <v>0</v>
      </c>
      <c r="CM59">
        <f ca="1"/>
        <v>0</v>
      </c>
      <c r="CN59">
        <f ca="1"/>
        <v>0</v>
      </c>
      <c r="CO59">
        <f ca="1"/>
        <v>0</v>
      </c>
      <c r="CP59">
        <f ca="1"/>
        <v>0</v>
      </c>
      <c r="CQ59">
        <f ca="1"/>
        <v>0</v>
      </c>
      <c r="CR59">
        <f ca="1"/>
        <v>0</v>
      </c>
      <c r="CS59">
        <f ca="1"/>
        <v>0</v>
      </c>
      <c r="CT59">
        <f ca="1"/>
        <v>0</v>
      </c>
      <c r="CU59">
        <f ca="1"/>
        <v>0</v>
      </c>
      <c r="CV59">
        <f ca="1"/>
        <v>0</v>
      </c>
      <c r="CW59">
        <f ca="1"/>
        <v>0</v>
      </c>
      <c r="CX59">
        <f ca="1"/>
        <v>0</v>
      </c>
      <c r="CY59">
        <f ca="1"/>
        <v>0</v>
      </c>
      <c r="CZ59">
        <f ca="1"/>
        <v>0</v>
      </c>
      <c r="DA59">
        <f ca="1"/>
        <v>0</v>
      </c>
      <c r="DB59">
        <f ca="1"/>
        <v>0</v>
      </c>
      <c r="DC59">
        <f ca="1"/>
        <v>0</v>
      </c>
      <c r="DD59">
        <f ca="1"/>
        <v>0</v>
      </c>
      <c r="DE59">
        <f ca="1"/>
        <v>0</v>
      </c>
      <c r="DF59">
        <f ca="1"/>
        <v>0</v>
      </c>
      <c r="DG59">
        <f ca="1"/>
        <v>0</v>
      </c>
      <c r="DH59">
        <f ca="1"/>
        <v>0</v>
      </c>
      <c r="DI59">
        <f ca="1"/>
        <v>0</v>
      </c>
      <c r="DJ59">
        <f ca="1"/>
        <v>0</v>
      </c>
      <c r="DK59">
        <f ca="1"/>
        <v>0</v>
      </c>
      <c r="DL59">
        <f ca="1"/>
        <v>0</v>
      </c>
      <c r="DM59">
        <f ca="1"/>
        <v>0</v>
      </c>
      <c r="DN59">
        <f ca="1"/>
        <v>0</v>
      </c>
      <c r="DO59">
        <f ca="1"/>
        <v>0</v>
      </c>
      <c r="DP59">
        <f ca="1"/>
        <v>0</v>
      </c>
      <c r="DQ59">
        <f ca="1"/>
        <v>0</v>
      </c>
      <c r="DR59">
        <f ca="1"/>
        <v>0</v>
      </c>
      <c r="DS59">
        <f ca="1"/>
        <v>0</v>
      </c>
      <c r="DT59">
        <f ca="1"/>
        <v>0</v>
      </c>
      <c r="DU59">
        <f ca="1"/>
        <v>0</v>
      </c>
      <c r="DV59">
        <f ca="1"/>
        <v>0</v>
      </c>
      <c r="DW59">
        <f ca="1"/>
        <v>0</v>
      </c>
      <c r="DX59">
        <f ca="1"/>
        <v>0</v>
      </c>
      <c r="DY59">
        <f ca="1"/>
        <v>0</v>
      </c>
      <c r="DZ59">
        <f ca="1"/>
        <v>0</v>
      </c>
      <c r="EA59">
        <f ca="1"/>
        <v>0</v>
      </c>
      <c r="EB59">
        <f ca="1"/>
        <v>0</v>
      </c>
      <c r="EC59">
        <f ca="1"/>
        <v>0</v>
      </c>
      <c r="ED59">
        <f ca="1"/>
        <v>0</v>
      </c>
      <c r="EE59">
        <f ca="1"/>
        <v>0</v>
      </c>
      <c r="EF59">
        <f ca="1"/>
        <v>0</v>
      </c>
      <c r="EG59">
        <f ca="1"/>
        <v>0</v>
      </c>
      <c r="EH59">
        <f ca="1"/>
        <v>0</v>
      </c>
      <c r="EI59">
        <f ca="1"/>
        <v>0</v>
      </c>
      <c r="EJ59">
        <f ca="1"/>
        <v>0</v>
      </c>
      <c r="EK59">
        <f ca="1"/>
        <v>0</v>
      </c>
      <c r="EL59">
        <f ca="1"/>
        <v>0</v>
      </c>
      <c r="EM59">
        <f ca="1"/>
        <v>0</v>
      </c>
      <c r="EN59">
        <f ca="1"/>
        <v>0</v>
      </c>
      <c r="EO59">
        <f ca="1"/>
        <v>0</v>
      </c>
      <c r="EP59">
        <f ca="1"/>
        <v>0</v>
      </c>
      <c r="EQ59">
        <f ca="1"/>
        <v>0</v>
      </c>
      <c r="ER59">
        <f ca="1"/>
        <v>0</v>
      </c>
      <c r="ES59">
        <f ca="1"/>
        <v>0</v>
      </c>
      <c r="ET59">
        <f ca="1"/>
        <v>0</v>
      </c>
      <c r="EU59">
        <f ca="1"/>
        <v>0</v>
      </c>
      <c r="EV59">
        <f ca="1"/>
        <v>0</v>
      </c>
      <c r="EW59">
        <f ca="1"/>
        <v>0</v>
      </c>
      <c r="EX59">
        <f ca="1"/>
        <v>0</v>
      </c>
      <c r="EY59">
        <f ca="1"/>
        <v>0</v>
      </c>
      <c r="EZ59">
        <f ca="1"/>
        <v>0</v>
      </c>
      <c r="FA59">
        <f ca="1"/>
        <v>0</v>
      </c>
      <c r="FB59">
        <f ca="1"/>
        <v>0</v>
      </c>
      <c r="FC59">
        <f ca="1"/>
        <v>0</v>
      </c>
      <c r="FD59">
        <f ca="1"/>
        <v>0</v>
      </c>
      <c r="FE59">
        <f ca="1"/>
        <v>0</v>
      </c>
      <c r="FF59">
        <f ca="1"/>
        <v>0</v>
      </c>
      <c r="FG59">
        <f ca="1"/>
        <v>0</v>
      </c>
      <c r="FH59">
        <f ca="1"/>
        <v>0</v>
      </c>
      <c r="FI59">
        <f ca="1"/>
        <v>0</v>
      </c>
      <c r="FJ59">
        <f ca="1"/>
        <v>0</v>
      </c>
      <c r="FK59">
        <f ca="1"/>
        <v>0</v>
      </c>
      <c r="FL59">
        <f ca="1"/>
        <v>0</v>
      </c>
      <c r="FM59">
        <f ca="1"/>
        <v>0</v>
      </c>
      <c r="FN59">
        <f ca="1"/>
        <v>0</v>
      </c>
      <c r="FO59">
        <f ca="1"/>
        <v>0</v>
      </c>
      <c r="FP59">
        <f ca="1"/>
        <v>0</v>
      </c>
      <c r="FQ59">
        <f ca="1"/>
        <v>0</v>
      </c>
      <c r="FR59">
        <f ca="1"/>
        <v>0</v>
      </c>
      <c r="FS59">
        <f ca="1"/>
        <v>0</v>
      </c>
      <c r="FT59">
        <f ca="1"/>
        <v>0</v>
      </c>
      <c r="FU59">
        <f ca="1"/>
        <v>0</v>
      </c>
      <c r="FV59">
        <f ca="1"/>
        <v>0</v>
      </c>
      <c r="FW59">
        <f ca="1"/>
        <v>0</v>
      </c>
      <c r="FX59">
        <f ca="1"/>
        <v>0</v>
      </c>
      <c r="FY59">
        <f ca="1"/>
        <v>0</v>
      </c>
      <c r="FZ59">
        <f ca="1"/>
        <v>0</v>
      </c>
    </row>
    <row r="60" spans="3:182">
      <c r="C60" cm="1">
        <f t="array" aca="1" ref="C60:FZ60" ca="1">IFERROR(TRANSPOSE(INDEX(_xlfn._xlws.FILTER(INDIRECT("SubcategoriesTable[Subcategory name]"),INDIRECT("SubcategoriesTable[Category name]")=$B60),,)),"No subcategories")</f>
        <v>0</v>
      </c>
      <c r="D60">
        <f ca="1"/>
        <v>0</v>
      </c>
      <c r="E60">
        <f ca="1"/>
        <v>0</v>
      </c>
      <c r="F60">
        <f ca="1"/>
        <v>0</v>
      </c>
      <c r="G60">
        <f ca="1"/>
        <v>0</v>
      </c>
      <c r="H60">
        <f ca="1"/>
        <v>0</v>
      </c>
      <c r="I60">
        <f ca="1"/>
        <v>0</v>
      </c>
      <c r="J60">
        <f ca="1"/>
        <v>0</v>
      </c>
      <c r="K60">
        <f ca="1"/>
        <v>0</v>
      </c>
      <c r="L60">
        <f ca="1"/>
        <v>0</v>
      </c>
      <c r="M60">
        <f ca="1"/>
        <v>0</v>
      </c>
      <c r="N60">
        <f ca="1"/>
        <v>0</v>
      </c>
      <c r="O60">
        <f ca="1"/>
        <v>0</v>
      </c>
      <c r="P60">
        <f ca="1"/>
        <v>0</v>
      </c>
      <c r="Q60">
        <f ca="1"/>
        <v>0</v>
      </c>
      <c r="R60">
        <f ca="1"/>
        <v>0</v>
      </c>
      <c r="S60">
        <f ca="1"/>
        <v>0</v>
      </c>
      <c r="T60">
        <f ca="1"/>
        <v>0</v>
      </c>
      <c r="U60">
        <f ca="1"/>
        <v>0</v>
      </c>
      <c r="V60">
        <f ca="1"/>
        <v>0</v>
      </c>
      <c r="W60">
        <f ca="1"/>
        <v>0</v>
      </c>
      <c r="X60">
        <f ca="1"/>
        <v>0</v>
      </c>
      <c r="Y60">
        <f ca="1"/>
        <v>0</v>
      </c>
      <c r="Z60">
        <f ca="1"/>
        <v>0</v>
      </c>
      <c r="AA60">
        <f ca="1"/>
        <v>0</v>
      </c>
      <c r="AB60">
        <f ca="1"/>
        <v>0</v>
      </c>
      <c r="AC60">
        <f ca="1"/>
        <v>0</v>
      </c>
      <c r="AD60">
        <f ca="1"/>
        <v>0</v>
      </c>
      <c r="AE60">
        <f ca="1"/>
        <v>0</v>
      </c>
      <c r="AF60">
        <f ca="1"/>
        <v>0</v>
      </c>
      <c r="AG60">
        <f ca="1"/>
        <v>0</v>
      </c>
      <c r="AH60">
        <f ca="1"/>
        <v>0</v>
      </c>
      <c r="AI60">
        <f ca="1"/>
        <v>0</v>
      </c>
      <c r="AJ60">
        <f ca="1"/>
        <v>0</v>
      </c>
      <c r="AK60">
        <f ca="1"/>
        <v>0</v>
      </c>
      <c r="AL60">
        <f ca="1"/>
        <v>0</v>
      </c>
      <c r="AM60">
        <f ca="1"/>
        <v>0</v>
      </c>
      <c r="AN60">
        <f ca="1"/>
        <v>0</v>
      </c>
      <c r="AO60">
        <f ca="1"/>
        <v>0</v>
      </c>
      <c r="AP60">
        <f ca="1"/>
        <v>0</v>
      </c>
      <c r="AQ60">
        <f ca="1"/>
        <v>0</v>
      </c>
      <c r="AR60">
        <f ca="1"/>
        <v>0</v>
      </c>
      <c r="AS60">
        <f ca="1"/>
        <v>0</v>
      </c>
      <c r="AT60">
        <f ca="1"/>
        <v>0</v>
      </c>
      <c r="AU60">
        <f ca="1"/>
        <v>0</v>
      </c>
      <c r="AV60">
        <f ca="1"/>
        <v>0</v>
      </c>
      <c r="AW60">
        <f ca="1"/>
        <v>0</v>
      </c>
      <c r="AX60">
        <f ca="1"/>
        <v>0</v>
      </c>
      <c r="AY60">
        <f ca="1"/>
        <v>0</v>
      </c>
      <c r="AZ60">
        <f ca="1"/>
        <v>0</v>
      </c>
      <c r="BA60">
        <f ca="1"/>
        <v>0</v>
      </c>
      <c r="BB60">
        <f ca="1"/>
        <v>0</v>
      </c>
      <c r="BC60">
        <f ca="1"/>
        <v>0</v>
      </c>
      <c r="BD60">
        <f ca="1"/>
        <v>0</v>
      </c>
      <c r="BE60">
        <f ca="1"/>
        <v>0</v>
      </c>
      <c r="BF60">
        <f ca="1"/>
        <v>0</v>
      </c>
      <c r="BG60">
        <f ca="1"/>
        <v>0</v>
      </c>
      <c r="BH60">
        <f ca="1"/>
        <v>0</v>
      </c>
      <c r="BI60">
        <f ca="1"/>
        <v>0</v>
      </c>
      <c r="BJ60">
        <f ca="1"/>
        <v>0</v>
      </c>
      <c r="BK60">
        <f ca="1"/>
        <v>0</v>
      </c>
      <c r="BL60">
        <f ca="1"/>
        <v>0</v>
      </c>
      <c r="BM60">
        <f ca="1"/>
        <v>0</v>
      </c>
      <c r="BN60">
        <f ca="1"/>
        <v>0</v>
      </c>
      <c r="BO60">
        <f ca="1"/>
        <v>0</v>
      </c>
      <c r="BP60">
        <f ca="1"/>
        <v>0</v>
      </c>
      <c r="BQ60">
        <f ca="1"/>
        <v>0</v>
      </c>
      <c r="BR60">
        <f ca="1"/>
        <v>0</v>
      </c>
      <c r="BS60">
        <f ca="1"/>
        <v>0</v>
      </c>
      <c r="BT60">
        <f ca="1"/>
        <v>0</v>
      </c>
      <c r="BU60">
        <f ca="1"/>
        <v>0</v>
      </c>
      <c r="BV60">
        <f ca="1"/>
        <v>0</v>
      </c>
      <c r="BW60">
        <f ca="1"/>
        <v>0</v>
      </c>
      <c r="BX60">
        <f ca="1"/>
        <v>0</v>
      </c>
      <c r="BY60">
        <f ca="1"/>
        <v>0</v>
      </c>
      <c r="BZ60">
        <f ca="1"/>
        <v>0</v>
      </c>
      <c r="CA60">
        <f ca="1"/>
        <v>0</v>
      </c>
      <c r="CB60">
        <f ca="1"/>
        <v>0</v>
      </c>
      <c r="CC60">
        <f ca="1"/>
        <v>0</v>
      </c>
      <c r="CD60">
        <f ca="1"/>
        <v>0</v>
      </c>
      <c r="CE60">
        <f ca="1"/>
        <v>0</v>
      </c>
      <c r="CF60">
        <f ca="1"/>
        <v>0</v>
      </c>
      <c r="CG60">
        <f ca="1"/>
        <v>0</v>
      </c>
      <c r="CH60">
        <f ca="1"/>
        <v>0</v>
      </c>
      <c r="CI60">
        <f ca="1"/>
        <v>0</v>
      </c>
      <c r="CJ60">
        <f ca="1"/>
        <v>0</v>
      </c>
      <c r="CK60">
        <f ca="1"/>
        <v>0</v>
      </c>
      <c r="CL60">
        <f ca="1"/>
        <v>0</v>
      </c>
      <c r="CM60">
        <f ca="1"/>
        <v>0</v>
      </c>
      <c r="CN60">
        <f ca="1"/>
        <v>0</v>
      </c>
      <c r="CO60">
        <f ca="1"/>
        <v>0</v>
      </c>
      <c r="CP60">
        <f ca="1"/>
        <v>0</v>
      </c>
      <c r="CQ60">
        <f ca="1"/>
        <v>0</v>
      </c>
      <c r="CR60">
        <f ca="1"/>
        <v>0</v>
      </c>
      <c r="CS60">
        <f ca="1"/>
        <v>0</v>
      </c>
      <c r="CT60">
        <f ca="1"/>
        <v>0</v>
      </c>
      <c r="CU60">
        <f ca="1"/>
        <v>0</v>
      </c>
      <c r="CV60">
        <f ca="1"/>
        <v>0</v>
      </c>
      <c r="CW60">
        <f ca="1"/>
        <v>0</v>
      </c>
      <c r="CX60">
        <f ca="1"/>
        <v>0</v>
      </c>
      <c r="CY60">
        <f ca="1"/>
        <v>0</v>
      </c>
      <c r="CZ60">
        <f ca="1"/>
        <v>0</v>
      </c>
      <c r="DA60">
        <f ca="1"/>
        <v>0</v>
      </c>
      <c r="DB60">
        <f ca="1"/>
        <v>0</v>
      </c>
      <c r="DC60">
        <f ca="1"/>
        <v>0</v>
      </c>
      <c r="DD60">
        <f ca="1"/>
        <v>0</v>
      </c>
      <c r="DE60">
        <f ca="1"/>
        <v>0</v>
      </c>
      <c r="DF60">
        <f ca="1"/>
        <v>0</v>
      </c>
      <c r="DG60">
        <f ca="1"/>
        <v>0</v>
      </c>
      <c r="DH60">
        <f ca="1"/>
        <v>0</v>
      </c>
      <c r="DI60">
        <f ca="1"/>
        <v>0</v>
      </c>
      <c r="DJ60">
        <f ca="1"/>
        <v>0</v>
      </c>
      <c r="DK60">
        <f ca="1"/>
        <v>0</v>
      </c>
      <c r="DL60">
        <f ca="1"/>
        <v>0</v>
      </c>
      <c r="DM60">
        <f ca="1"/>
        <v>0</v>
      </c>
      <c r="DN60">
        <f ca="1"/>
        <v>0</v>
      </c>
      <c r="DO60">
        <f ca="1"/>
        <v>0</v>
      </c>
      <c r="DP60">
        <f ca="1"/>
        <v>0</v>
      </c>
      <c r="DQ60">
        <f ca="1"/>
        <v>0</v>
      </c>
      <c r="DR60">
        <f ca="1"/>
        <v>0</v>
      </c>
      <c r="DS60">
        <f ca="1"/>
        <v>0</v>
      </c>
      <c r="DT60">
        <f ca="1"/>
        <v>0</v>
      </c>
      <c r="DU60">
        <f ca="1"/>
        <v>0</v>
      </c>
      <c r="DV60">
        <f ca="1"/>
        <v>0</v>
      </c>
      <c r="DW60">
        <f ca="1"/>
        <v>0</v>
      </c>
      <c r="DX60">
        <f ca="1"/>
        <v>0</v>
      </c>
      <c r="DY60">
        <f ca="1"/>
        <v>0</v>
      </c>
      <c r="DZ60">
        <f ca="1"/>
        <v>0</v>
      </c>
      <c r="EA60">
        <f ca="1"/>
        <v>0</v>
      </c>
      <c r="EB60">
        <f ca="1"/>
        <v>0</v>
      </c>
      <c r="EC60">
        <f ca="1"/>
        <v>0</v>
      </c>
      <c r="ED60">
        <f ca="1"/>
        <v>0</v>
      </c>
      <c r="EE60">
        <f ca="1"/>
        <v>0</v>
      </c>
      <c r="EF60">
        <f ca="1"/>
        <v>0</v>
      </c>
      <c r="EG60">
        <f ca="1"/>
        <v>0</v>
      </c>
      <c r="EH60">
        <f ca="1"/>
        <v>0</v>
      </c>
      <c r="EI60">
        <f ca="1"/>
        <v>0</v>
      </c>
      <c r="EJ60">
        <f ca="1"/>
        <v>0</v>
      </c>
      <c r="EK60">
        <f ca="1"/>
        <v>0</v>
      </c>
      <c r="EL60">
        <f ca="1"/>
        <v>0</v>
      </c>
      <c r="EM60">
        <f ca="1"/>
        <v>0</v>
      </c>
      <c r="EN60">
        <f ca="1"/>
        <v>0</v>
      </c>
      <c r="EO60">
        <f ca="1"/>
        <v>0</v>
      </c>
      <c r="EP60">
        <f ca="1"/>
        <v>0</v>
      </c>
      <c r="EQ60">
        <f ca="1"/>
        <v>0</v>
      </c>
      <c r="ER60">
        <f ca="1"/>
        <v>0</v>
      </c>
      <c r="ES60">
        <f ca="1"/>
        <v>0</v>
      </c>
      <c r="ET60">
        <f ca="1"/>
        <v>0</v>
      </c>
      <c r="EU60">
        <f ca="1"/>
        <v>0</v>
      </c>
      <c r="EV60">
        <f ca="1"/>
        <v>0</v>
      </c>
      <c r="EW60">
        <f ca="1"/>
        <v>0</v>
      </c>
      <c r="EX60">
        <f ca="1"/>
        <v>0</v>
      </c>
      <c r="EY60">
        <f ca="1"/>
        <v>0</v>
      </c>
      <c r="EZ60">
        <f ca="1"/>
        <v>0</v>
      </c>
      <c r="FA60">
        <f ca="1"/>
        <v>0</v>
      </c>
      <c r="FB60">
        <f ca="1"/>
        <v>0</v>
      </c>
      <c r="FC60">
        <f ca="1"/>
        <v>0</v>
      </c>
      <c r="FD60">
        <f ca="1"/>
        <v>0</v>
      </c>
      <c r="FE60">
        <f ca="1"/>
        <v>0</v>
      </c>
      <c r="FF60">
        <f ca="1"/>
        <v>0</v>
      </c>
      <c r="FG60">
        <f ca="1"/>
        <v>0</v>
      </c>
      <c r="FH60">
        <f ca="1"/>
        <v>0</v>
      </c>
      <c r="FI60">
        <f ca="1"/>
        <v>0</v>
      </c>
      <c r="FJ60">
        <f ca="1"/>
        <v>0</v>
      </c>
      <c r="FK60">
        <f ca="1"/>
        <v>0</v>
      </c>
      <c r="FL60">
        <f ca="1"/>
        <v>0</v>
      </c>
      <c r="FM60">
        <f ca="1"/>
        <v>0</v>
      </c>
      <c r="FN60">
        <f ca="1"/>
        <v>0</v>
      </c>
      <c r="FO60">
        <f ca="1"/>
        <v>0</v>
      </c>
      <c r="FP60">
        <f ca="1"/>
        <v>0</v>
      </c>
      <c r="FQ60">
        <f ca="1"/>
        <v>0</v>
      </c>
      <c r="FR60">
        <f ca="1"/>
        <v>0</v>
      </c>
      <c r="FS60">
        <f ca="1"/>
        <v>0</v>
      </c>
      <c r="FT60">
        <f ca="1"/>
        <v>0</v>
      </c>
      <c r="FU60">
        <f ca="1"/>
        <v>0</v>
      </c>
      <c r="FV60">
        <f ca="1"/>
        <v>0</v>
      </c>
      <c r="FW60">
        <f ca="1"/>
        <v>0</v>
      </c>
      <c r="FX60">
        <f ca="1"/>
        <v>0</v>
      </c>
      <c r="FY60">
        <f ca="1"/>
        <v>0</v>
      </c>
      <c r="FZ60">
        <f ca="1"/>
        <v>0</v>
      </c>
    </row>
    <row r="61" spans="3:182">
      <c r="C61" cm="1">
        <f t="array" aca="1" ref="C61:FZ61" ca="1">IFERROR(TRANSPOSE(INDEX(_xlfn._xlws.FILTER(INDIRECT("SubcategoriesTable[Subcategory name]"),INDIRECT("SubcategoriesTable[Category name]")=$B61),,)),"No subcategories")</f>
        <v>0</v>
      </c>
      <c r="D61">
        <f ca="1"/>
        <v>0</v>
      </c>
      <c r="E61">
        <f ca="1"/>
        <v>0</v>
      </c>
      <c r="F61">
        <f ca="1"/>
        <v>0</v>
      </c>
      <c r="G61">
        <f ca="1"/>
        <v>0</v>
      </c>
      <c r="H61">
        <f ca="1"/>
        <v>0</v>
      </c>
      <c r="I61">
        <f ca="1"/>
        <v>0</v>
      </c>
      <c r="J61">
        <f ca="1"/>
        <v>0</v>
      </c>
      <c r="K61">
        <f ca="1"/>
        <v>0</v>
      </c>
      <c r="L61">
        <f ca="1"/>
        <v>0</v>
      </c>
      <c r="M61">
        <f ca="1"/>
        <v>0</v>
      </c>
      <c r="N61">
        <f ca="1"/>
        <v>0</v>
      </c>
      <c r="O61">
        <f ca="1"/>
        <v>0</v>
      </c>
      <c r="P61">
        <f ca="1"/>
        <v>0</v>
      </c>
      <c r="Q61">
        <f ca="1"/>
        <v>0</v>
      </c>
      <c r="R61">
        <f ca="1"/>
        <v>0</v>
      </c>
      <c r="S61">
        <f ca="1"/>
        <v>0</v>
      </c>
      <c r="T61">
        <f ca="1"/>
        <v>0</v>
      </c>
      <c r="U61">
        <f ca="1"/>
        <v>0</v>
      </c>
      <c r="V61">
        <f ca="1"/>
        <v>0</v>
      </c>
      <c r="W61">
        <f ca="1"/>
        <v>0</v>
      </c>
      <c r="X61">
        <f ca="1"/>
        <v>0</v>
      </c>
      <c r="Y61">
        <f ca="1"/>
        <v>0</v>
      </c>
      <c r="Z61">
        <f ca="1"/>
        <v>0</v>
      </c>
      <c r="AA61">
        <f ca="1"/>
        <v>0</v>
      </c>
      <c r="AB61">
        <f ca="1"/>
        <v>0</v>
      </c>
      <c r="AC61">
        <f ca="1"/>
        <v>0</v>
      </c>
      <c r="AD61">
        <f ca="1"/>
        <v>0</v>
      </c>
      <c r="AE61">
        <f ca="1"/>
        <v>0</v>
      </c>
      <c r="AF61">
        <f ca="1"/>
        <v>0</v>
      </c>
      <c r="AG61">
        <f ca="1"/>
        <v>0</v>
      </c>
      <c r="AH61">
        <f ca="1"/>
        <v>0</v>
      </c>
      <c r="AI61">
        <f ca="1"/>
        <v>0</v>
      </c>
      <c r="AJ61">
        <f ca="1"/>
        <v>0</v>
      </c>
      <c r="AK61">
        <f ca="1"/>
        <v>0</v>
      </c>
      <c r="AL61">
        <f ca="1"/>
        <v>0</v>
      </c>
      <c r="AM61">
        <f ca="1"/>
        <v>0</v>
      </c>
      <c r="AN61">
        <f ca="1"/>
        <v>0</v>
      </c>
      <c r="AO61">
        <f ca="1"/>
        <v>0</v>
      </c>
      <c r="AP61">
        <f ca="1"/>
        <v>0</v>
      </c>
      <c r="AQ61">
        <f ca="1"/>
        <v>0</v>
      </c>
      <c r="AR61">
        <f ca="1"/>
        <v>0</v>
      </c>
      <c r="AS61">
        <f ca="1"/>
        <v>0</v>
      </c>
      <c r="AT61">
        <f ca="1"/>
        <v>0</v>
      </c>
      <c r="AU61">
        <f ca="1"/>
        <v>0</v>
      </c>
      <c r="AV61">
        <f ca="1"/>
        <v>0</v>
      </c>
      <c r="AW61">
        <f ca="1"/>
        <v>0</v>
      </c>
      <c r="AX61">
        <f ca="1"/>
        <v>0</v>
      </c>
      <c r="AY61">
        <f ca="1"/>
        <v>0</v>
      </c>
      <c r="AZ61">
        <f ca="1"/>
        <v>0</v>
      </c>
      <c r="BA61">
        <f ca="1"/>
        <v>0</v>
      </c>
      <c r="BB61">
        <f ca="1"/>
        <v>0</v>
      </c>
      <c r="BC61">
        <f ca="1"/>
        <v>0</v>
      </c>
      <c r="BD61">
        <f ca="1"/>
        <v>0</v>
      </c>
      <c r="BE61">
        <f ca="1"/>
        <v>0</v>
      </c>
      <c r="BF61">
        <f ca="1"/>
        <v>0</v>
      </c>
      <c r="BG61">
        <f ca="1"/>
        <v>0</v>
      </c>
      <c r="BH61">
        <f ca="1"/>
        <v>0</v>
      </c>
      <c r="BI61">
        <f ca="1"/>
        <v>0</v>
      </c>
      <c r="BJ61">
        <f ca="1"/>
        <v>0</v>
      </c>
      <c r="BK61">
        <f ca="1"/>
        <v>0</v>
      </c>
      <c r="BL61">
        <f ca="1"/>
        <v>0</v>
      </c>
      <c r="BM61">
        <f ca="1"/>
        <v>0</v>
      </c>
      <c r="BN61">
        <f ca="1"/>
        <v>0</v>
      </c>
      <c r="BO61">
        <f ca="1"/>
        <v>0</v>
      </c>
      <c r="BP61">
        <f ca="1"/>
        <v>0</v>
      </c>
      <c r="BQ61">
        <f ca="1"/>
        <v>0</v>
      </c>
      <c r="BR61">
        <f ca="1"/>
        <v>0</v>
      </c>
      <c r="BS61">
        <f ca="1"/>
        <v>0</v>
      </c>
      <c r="BT61">
        <f ca="1"/>
        <v>0</v>
      </c>
      <c r="BU61">
        <f ca="1"/>
        <v>0</v>
      </c>
      <c r="BV61">
        <f ca="1"/>
        <v>0</v>
      </c>
      <c r="BW61">
        <f ca="1"/>
        <v>0</v>
      </c>
      <c r="BX61">
        <f ca="1"/>
        <v>0</v>
      </c>
      <c r="BY61">
        <f ca="1"/>
        <v>0</v>
      </c>
      <c r="BZ61">
        <f ca="1"/>
        <v>0</v>
      </c>
      <c r="CA61">
        <f ca="1"/>
        <v>0</v>
      </c>
      <c r="CB61">
        <f ca="1"/>
        <v>0</v>
      </c>
      <c r="CC61">
        <f ca="1"/>
        <v>0</v>
      </c>
      <c r="CD61">
        <f ca="1"/>
        <v>0</v>
      </c>
      <c r="CE61">
        <f ca="1"/>
        <v>0</v>
      </c>
      <c r="CF61">
        <f ca="1"/>
        <v>0</v>
      </c>
      <c r="CG61">
        <f ca="1"/>
        <v>0</v>
      </c>
      <c r="CH61">
        <f ca="1"/>
        <v>0</v>
      </c>
      <c r="CI61">
        <f ca="1"/>
        <v>0</v>
      </c>
      <c r="CJ61">
        <f ca="1"/>
        <v>0</v>
      </c>
      <c r="CK61">
        <f ca="1"/>
        <v>0</v>
      </c>
      <c r="CL61">
        <f ca="1"/>
        <v>0</v>
      </c>
      <c r="CM61">
        <f ca="1"/>
        <v>0</v>
      </c>
      <c r="CN61">
        <f ca="1"/>
        <v>0</v>
      </c>
      <c r="CO61">
        <f ca="1"/>
        <v>0</v>
      </c>
      <c r="CP61">
        <f ca="1"/>
        <v>0</v>
      </c>
      <c r="CQ61">
        <f ca="1"/>
        <v>0</v>
      </c>
      <c r="CR61">
        <f ca="1"/>
        <v>0</v>
      </c>
      <c r="CS61">
        <f ca="1"/>
        <v>0</v>
      </c>
      <c r="CT61">
        <f ca="1"/>
        <v>0</v>
      </c>
      <c r="CU61">
        <f ca="1"/>
        <v>0</v>
      </c>
      <c r="CV61">
        <f ca="1"/>
        <v>0</v>
      </c>
      <c r="CW61">
        <f ca="1"/>
        <v>0</v>
      </c>
      <c r="CX61">
        <f ca="1"/>
        <v>0</v>
      </c>
      <c r="CY61">
        <f ca="1"/>
        <v>0</v>
      </c>
      <c r="CZ61">
        <f ca="1"/>
        <v>0</v>
      </c>
      <c r="DA61">
        <f ca="1"/>
        <v>0</v>
      </c>
      <c r="DB61">
        <f ca="1"/>
        <v>0</v>
      </c>
      <c r="DC61">
        <f ca="1"/>
        <v>0</v>
      </c>
      <c r="DD61">
        <f ca="1"/>
        <v>0</v>
      </c>
      <c r="DE61">
        <f ca="1"/>
        <v>0</v>
      </c>
      <c r="DF61">
        <f ca="1"/>
        <v>0</v>
      </c>
      <c r="DG61">
        <f ca="1"/>
        <v>0</v>
      </c>
      <c r="DH61">
        <f ca="1"/>
        <v>0</v>
      </c>
      <c r="DI61">
        <f ca="1"/>
        <v>0</v>
      </c>
      <c r="DJ61">
        <f ca="1"/>
        <v>0</v>
      </c>
      <c r="DK61">
        <f ca="1"/>
        <v>0</v>
      </c>
      <c r="DL61">
        <f ca="1"/>
        <v>0</v>
      </c>
      <c r="DM61">
        <f ca="1"/>
        <v>0</v>
      </c>
      <c r="DN61">
        <f ca="1"/>
        <v>0</v>
      </c>
      <c r="DO61">
        <f ca="1"/>
        <v>0</v>
      </c>
      <c r="DP61">
        <f ca="1"/>
        <v>0</v>
      </c>
      <c r="DQ61">
        <f ca="1"/>
        <v>0</v>
      </c>
      <c r="DR61">
        <f ca="1"/>
        <v>0</v>
      </c>
      <c r="DS61">
        <f ca="1"/>
        <v>0</v>
      </c>
      <c r="DT61">
        <f ca="1"/>
        <v>0</v>
      </c>
      <c r="DU61">
        <f ca="1"/>
        <v>0</v>
      </c>
      <c r="DV61">
        <f ca="1"/>
        <v>0</v>
      </c>
      <c r="DW61">
        <f ca="1"/>
        <v>0</v>
      </c>
      <c r="DX61">
        <f ca="1"/>
        <v>0</v>
      </c>
      <c r="DY61">
        <f ca="1"/>
        <v>0</v>
      </c>
      <c r="DZ61">
        <f ca="1"/>
        <v>0</v>
      </c>
      <c r="EA61">
        <f ca="1"/>
        <v>0</v>
      </c>
      <c r="EB61">
        <f ca="1"/>
        <v>0</v>
      </c>
      <c r="EC61">
        <f ca="1"/>
        <v>0</v>
      </c>
      <c r="ED61">
        <f ca="1"/>
        <v>0</v>
      </c>
      <c r="EE61">
        <f ca="1"/>
        <v>0</v>
      </c>
      <c r="EF61">
        <f ca="1"/>
        <v>0</v>
      </c>
      <c r="EG61">
        <f ca="1"/>
        <v>0</v>
      </c>
      <c r="EH61">
        <f ca="1"/>
        <v>0</v>
      </c>
      <c r="EI61">
        <f ca="1"/>
        <v>0</v>
      </c>
      <c r="EJ61">
        <f ca="1"/>
        <v>0</v>
      </c>
      <c r="EK61">
        <f ca="1"/>
        <v>0</v>
      </c>
      <c r="EL61">
        <f ca="1"/>
        <v>0</v>
      </c>
      <c r="EM61">
        <f ca="1"/>
        <v>0</v>
      </c>
      <c r="EN61">
        <f ca="1"/>
        <v>0</v>
      </c>
      <c r="EO61">
        <f ca="1"/>
        <v>0</v>
      </c>
      <c r="EP61">
        <f ca="1"/>
        <v>0</v>
      </c>
      <c r="EQ61">
        <f ca="1"/>
        <v>0</v>
      </c>
      <c r="ER61">
        <f ca="1"/>
        <v>0</v>
      </c>
      <c r="ES61">
        <f ca="1"/>
        <v>0</v>
      </c>
      <c r="ET61">
        <f ca="1"/>
        <v>0</v>
      </c>
      <c r="EU61">
        <f ca="1"/>
        <v>0</v>
      </c>
      <c r="EV61">
        <f ca="1"/>
        <v>0</v>
      </c>
      <c r="EW61">
        <f ca="1"/>
        <v>0</v>
      </c>
      <c r="EX61">
        <f ca="1"/>
        <v>0</v>
      </c>
      <c r="EY61">
        <f ca="1"/>
        <v>0</v>
      </c>
      <c r="EZ61">
        <f ca="1"/>
        <v>0</v>
      </c>
      <c r="FA61">
        <f ca="1"/>
        <v>0</v>
      </c>
      <c r="FB61">
        <f ca="1"/>
        <v>0</v>
      </c>
      <c r="FC61">
        <f ca="1"/>
        <v>0</v>
      </c>
      <c r="FD61">
        <f ca="1"/>
        <v>0</v>
      </c>
      <c r="FE61">
        <f ca="1"/>
        <v>0</v>
      </c>
      <c r="FF61">
        <f ca="1"/>
        <v>0</v>
      </c>
      <c r="FG61">
        <f ca="1"/>
        <v>0</v>
      </c>
      <c r="FH61">
        <f ca="1"/>
        <v>0</v>
      </c>
      <c r="FI61">
        <f ca="1"/>
        <v>0</v>
      </c>
      <c r="FJ61">
        <f ca="1"/>
        <v>0</v>
      </c>
      <c r="FK61">
        <f ca="1"/>
        <v>0</v>
      </c>
      <c r="FL61">
        <f ca="1"/>
        <v>0</v>
      </c>
      <c r="FM61">
        <f ca="1"/>
        <v>0</v>
      </c>
      <c r="FN61">
        <f ca="1"/>
        <v>0</v>
      </c>
      <c r="FO61">
        <f ca="1"/>
        <v>0</v>
      </c>
      <c r="FP61">
        <f ca="1"/>
        <v>0</v>
      </c>
      <c r="FQ61">
        <f ca="1"/>
        <v>0</v>
      </c>
      <c r="FR61">
        <f ca="1"/>
        <v>0</v>
      </c>
      <c r="FS61">
        <f ca="1"/>
        <v>0</v>
      </c>
      <c r="FT61">
        <f ca="1"/>
        <v>0</v>
      </c>
      <c r="FU61">
        <f ca="1"/>
        <v>0</v>
      </c>
      <c r="FV61">
        <f ca="1"/>
        <v>0</v>
      </c>
      <c r="FW61">
        <f ca="1"/>
        <v>0</v>
      </c>
      <c r="FX61">
        <f ca="1"/>
        <v>0</v>
      </c>
      <c r="FY61">
        <f ca="1"/>
        <v>0</v>
      </c>
      <c r="FZ61">
        <f ca="1"/>
        <v>0</v>
      </c>
    </row>
    <row r="62" spans="3:182">
      <c r="C62" cm="1">
        <f t="array" aca="1" ref="C62:FZ62" ca="1">IFERROR(TRANSPOSE(INDEX(_xlfn._xlws.FILTER(INDIRECT("SubcategoriesTable[Subcategory name]"),INDIRECT("SubcategoriesTable[Category name]")=$B62),,)),"No subcategories")</f>
        <v>0</v>
      </c>
      <c r="D62">
        <f ca="1"/>
        <v>0</v>
      </c>
      <c r="E62">
        <f ca="1"/>
        <v>0</v>
      </c>
      <c r="F62">
        <f ca="1"/>
        <v>0</v>
      </c>
      <c r="G62">
        <f ca="1"/>
        <v>0</v>
      </c>
      <c r="H62">
        <f ca="1"/>
        <v>0</v>
      </c>
      <c r="I62">
        <f ca="1"/>
        <v>0</v>
      </c>
      <c r="J62">
        <f ca="1"/>
        <v>0</v>
      </c>
      <c r="K62">
        <f ca="1"/>
        <v>0</v>
      </c>
      <c r="L62">
        <f ca="1"/>
        <v>0</v>
      </c>
      <c r="M62">
        <f ca="1"/>
        <v>0</v>
      </c>
      <c r="N62">
        <f ca="1"/>
        <v>0</v>
      </c>
      <c r="O62">
        <f ca="1"/>
        <v>0</v>
      </c>
      <c r="P62">
        <f ca="1"/>
        <v>0</v>
      </c>
      <c r="Q62">
        <f ca="1"/>
        <v>0</v>
      </c>
      <c r="R62">
        <f ca="1"/>
        <v>0</v>
      </c>
      <c r="S62">
        <f ca="1"/>
        <v>0</v>
      </c>
      <c r="T62">
        <f ca="1"/>
        <v>0</v>
      </c>
      <c r="U62">
        <f ca="1"/>
        <v>0</v>
      </c>
      <c r="V62">
        <f ca="1"/>
        <v>0</v>
      </c>
      <c r="W62">
        <f ca="1"/>
        <v>0</v>
      </c>
      <c r="X62">
        <f ca="1"/>
        <v>0</v>
      </c>
      <c r="Y62">
        <f ca="1"/>
        <v>0</v>
      </c>
      <c r="Z62">
        <f ca="1"/>
        <v>0</v>
      </c>
      <c r="AA62">
        <f ca="1"/>
        <v>0</v>
      </c>
      <c r="AB62">
        <f ca="1"/>
        <v>0</v>
      </c>
      <c r="AC62">
        <f ca="1"/>
        <v>0</v>
      </c>
      <c r="AD62">
        <f ca="1"/>
        <v>0</v>
      </c>
      <c r="AE62">
        <f ca="1"/>
        <v>0</v>
      </c>
      <c r="AF62">
        <f ca="1"/>
        <v>0</v>
      </c>
      <c r="AG62">
        <f ca="1"/>
        <v>0</v>
      </c>
      <c r="AH62">
        <f ca="1"/>
        <v>0</v>
      </c>
      <c r="AI62">
        <f ca="1"/>
        <v>0</v>
      </c>
      <c r="AJ62">
        <f ca="1"/>
        <v>0</v>
      </c>
      <c r="AK62">
        <f ca="1"/>
        <v>0</v>
      </c>
      <c r="AL62">
        <f ca="1"/>
        <v>0</v>
      </c>
      <c r="AM62">
        <f ca="1"/>
        <v>0</v>
      </c>
      <c r="AN62">
        <f ca="1"/>
        <v>0</v>
      </c>
      <c r="AO62">
        <f ca="1"/>
        <v>0</v>
      </c>
      <c r="AP62">
        <f ca="1"/>
        <v>0</v>
      </c>
      <c r="AQ62">
        <f ca="1"/>
        <v>0</v>
      </c>
      <c r="AR62">
        <f ca="1"/>
        <v>0</v>
      </c>
      <c r="AS62">
        <f ca="1"/>
        <v>0</v>
      </c>
      <c r="AT62">
        <f ca="1"/>
        <v>0</v>
      </c>
      <c r="AU62">
        <f ca="1"/>
        <v>0</v>
      </c>
      <c r="AV62">
        <f ca="1"/>
        <v>0</v>
      </c>
      <c r="AW62">
        <f ca="1"/>
        <v>0</v>
      </c>
      <c r="AX62">
        <f ca="1"/>
        <v>0</v>
      </c>
      <c r="AY62">
        <f ca="1"/>
        <v>0</v>
      </c>
      <c r="AZ62">
        <f ca="1"/>
        <v>0</v>
      </c>
      <c r="BA62">
        <f ca="1"/>
        <v>0</v>
      </c>
      <c r="BB62">
        <f ca="1"/>
        <v>0</v>
      </c>
      <c r="BC62">
        <f ca="1"/>
        <v>0</v>
      </c>
      <c r="BD62">
        <f ca="1"/>
        <v>0</v>
      </c>
      <c r="BE62">
        <f ca="1"/>
        <v>0</v>
      </c>
      <c r="BF62">
        <f ca="1"/>
        <v>0</v>
      </c>
      <c r="BG62">
        <f ca="1"/>
        <v>0</v>
      </c>
      <c r="BH62">
        <f ca="1"/>
        <v>0</v>
      </c>
      <c r="BI62">
        <f ca="1"/>
        <v>0</v>
      </c>
      <c r="BJ62">
        <f ca="1"/>
        <v>0</v>
      </c>
      <c r="BK62">
        <f ca="1"/>
        <v>0</v>
      </c>
      <c r="BL62">
        <f ca="1"/>
        <v>0</v>
      </c>
      <c r="BM62">
        <f ca="1"/>
        <v>0</v>
      </c>
      <c r="BN62">
        <f ca="1"/>
        <v>0</v>
      </c>
      <c r="BO62">
        <f ca="1"/>
        <v>0</v>
      </c>
      <c r="BP62">
        <f ca="1"/>
        <v>0</v>
      </c>
      <c r="BQ62">
        <f ca="1"/>
        <v>0</v>
      </c>
      <c r="BR62">
        <f ca="1"/>
        <v>0</v>
      </c>
      <c r="BS62">
        <f ca="1"/>
        <v>0</v>
      </c>
      <c r="BT62">
        <f ca="1"/>
        <v>0</v>
      </c>
      <c r="BU62">
        <f ca="1"/>
        <v>0</v>
      </c>
      <c r="BV62">
        <f ca="1"/>
        <v>0</v>
      </c>
      <c r="BW62">
        <f ca="1"/>
        <v>0</v>
      </c>
      <c r="BX62">
        <f ca="1"/>
        <v>0</v>
      </c>
      <c r="BY62">
        <f ca="1"/>
        <v>0</v>
      </c>
      <c r="BZ62">
        <f ca="1"/>
        <v>0</v>
      </c>
      <c r="CA62">
        <f ca="1"/>
        <v>0</v>
      </c>
      <c r="CB62">
        <f ca="1"/>
        <v>0</v>
      </c>
      <c r="CC62">
        <f ca="1"/>
        <v>0</v>
      </c>
      <c r="CD62">
        <f ca="1"/>
        <v>0</v>
      </c>
      <c r="CE62">
        <f ca="1"/>
        <v>0</v>
      </c>
      <c r="CF62">
        <f ca="1"/>
        <v>0</v>
      </c>
      <c r="CG62">
        <f ca="1"/>
        <v>0</v>
      </c>
      <c r="CH62">
        <f ca="1"/>
        <v>0</v>
      </c>
      <c r="CI62">
        <f ca="1"/>
        <v>0</v>
      </c>
      <c r="CJ62">
        <f ca="1"/>
        <v>0</v>
      </c>
      <c r="CK62">
        <f ca="1"/>
        <v>0</v>
      </c>
      <c r="CL62">
        <f ca="1"/>
        <v>0</v>
      </c>
      <c r="CM62">
        <f ca="1"/>
        <v>0</v>
      </c>
      <c r="CN62">
        <f ca="1"/>
        <v>0</v>
      </c>
      <c r="CO62">
        <f ca="1"/>
        <v>0</v>
      </c>
      <c r="CP62">
        <f ca="1"/>
        <v>0</v>
      </c>
      <c r="CQ62">
        <f ca="1"/>
        <v>0</v>
      </c>
      <c r="CR62">
        <f ca="1"/>
        <v>0</v>
      </c>
      <c r="CS62">
        <f ca="1"/>
        <v>0</v>
      </c>
      <c r="CT62">
        <f ca="1"/>
        <v>0</v>
      </c>
      <c r="CU62">
        <f ca="1"/>
        <v>0</v>
      </c>
      <c r="CV62">
        <f ca="1"/>
        <v>0</v>
      </c>
      <c r="CW62">
        <f ca="1"/>
        <v>0</v>
      </c>
      <c r="CX62">
        <f ca="1"/>
        <v>0</v>
      </c>
      <c r="CY62">
        <f ca="1"/>
        <v>0</v>
      </c>
      <c r="CZ62">
        <f ca="1"/>
        <v>0</v>
      </c>
      <c r="DA62">
        <f ca="1"/>
        <v>0</v>
      </c>
      <c r="DB62">
        <f ca="1"/>
        <v>0</v>
      </c>
      <c r="DC62">
        <f ca="1"/>
        <v>0</v>
      </c>
      <c r="DD62">
        <f ca="1"/>
        <v>0</v>
      </c>
      <c r="DE62">
        <f ca="1"/>
        <v>0</v>
      </c>
      <c r="DF62">
        <f ca="1"/>
        <v>0</v>
      </c>
      <c r="DG62">
        <f ca="1"/>
        <v>0</v>
      </c>
      <c r="DH62">
        <f ca="1"/>
        <v>0</v>
      </c>
      <c r="DI62">
        <f ca="1"/>
        <v>0</v>
      </c>
      <c r="DJ62">
        <f ca="1"/>
        <v>0</v>
      </c>
      <c r="DK62">
        <f ca="1"/>
        <v>0</v>
      </c>
      <c r="DL62">
        <f ca="1"/>
        <v>0</v>
      </c>
      <c r="DM62">
        <f ca="1"/>
        <v>0</v>
      </c>
      <c r="DN62">
        <f ca="1"/>
        <v>0</v>
      </c>
      <c r="DO62">
        <f ca="1"/>
        <v>0</v>
      </c>
      <c r="DP62">
        <f ca="1"/>
        <v>0</v>
      </c>
      <c r="DQ62">
        <f ca="1"/>
        <v>0</v>
      </c>
      <c r="DR62">
        <f ca="1"/>
        <v>0</v>
      </c>
      <c r="DS62">
        <f ca="1"/>
        <v>0</v>
      </c>
      <c r="DT62">
        <f ca="1"/>
        <v>0</v>
      </c>
      <c r="DU62">
        <f ca="1"/>
        <v>0</v>
      </c>
      <c r="DV62">
        <f ca="1"/>
        <v>0</v>
      </c>
      <c r="DW62">
        <f ca="1"/>
        <v>0</v>
      </c>
      <c r="DX62">
        <f ca="1"/>
        <v>0</v>
      </c>
      <c r="DY62">
        <f ca="1"/>
        <v>0</v>
      </c>
      <c r="DZ62">
        <f ca="1"/>
        <v>0</v>
      </c>
      <c r="EA62">
        <f ca="1"/>
        <v>0</v>
      </c>
      <c r="EB62">
        <f ca="1"/>
        <v>0</v>
      </c>
      <c r="EC62">
        <f ca="1"/>
        <v>0</v>
      </c>
      <c r="ED62">
        <f ca="1"/>
        <v>0</v>
      </c>
      <c r="EE62">
        <f ca="1"/>
        <v>0</v>
      </c>
      <c r="EF62">
        <f ca="1"/>
        <v>0</v>
      </c>
      <c r="EG62">
        <f ca="1"/>
        <v>0</v>
      </c>
      <c r="EH62">
        <f ca="1"/>
        <v>0</v>
      </c>
      <c r="EI62">
        <f ca="1"/>
        <v>0</v>
      </c>
      <c r="EJ62">
        <f ca="1"/>
        <v>0</v>
      </c>
      <c r="EK62">
        <f ca="1"/>
        <v>0</v>
      </c>
      <c r="EL62">
        <f ca="1"/>
        <v>0</v>
      </c>
      <c r="EM62">
        <f ca="1"/>
        <v>0</v>
      </c>
      <c r="EN62">
        <f ca="1"/>
        <v>0</v>
      </c>
      <c r="EO62">
        <f ca="1"/>
        <v>0</v>
      </c>
      <c r="EP62">
        <f ca="1"/>
        <v>0</v>
      </c>
      <c r="EQ62">
        <f ca="1"/>
        <v>0</v>
      </c>
      <c r="ER62">
        <f ca="1"/>
        <v>0</v>
      </c>
      <c r="ES62">
        <f ca="1"/>
        <v>0</v>
      </c>
      <c r="ET62">
        <f ca="1"/>
        <v>0</v>
      </c>
      <c r="EU62">
        <f ca="1"/>
        <v>0</v>
      </c>
      <c r="EV62">
        <f ca="1"/>
        <v>0</v>
      </c>
      <c r="EW62">
        <f ca="1"/>
        <v>0</v>
      </c>
      <c r="EX62">
        <f ca="1"/>
        <v>0</v>
      </c>
      <c r="EY62">
        <f ca="1"/>
        <v>0</v>
      </c>
      <c r="EZ62">
        <f ca="1"/>
        <v>0</v>
      </c>
      <c r="FA62">
        <f ca="1"/>
        <v>0</v>
      </c>
      <c r="FB62">
        <f ca="1"/>
        <v>0</v>
      </c>
      <c r="FC62">
        <f ca="1"/>
        <v>0</v>
      </c>
      <c r="FD62">
        <f ca="1"/>
        <v>0</v>
      </c>
      <c r="FE62">
        <f ca="1"/>
        <v>0</v>
      </c>
      <c r="FF62">
        <f ca="1"/>
        <v>0</v>
      </c>
      <c r="FG62">
        <f ca="1"/>
        <v>0</v>
      </c>
      <c r="FH62">
        <f ca="1"/>
        <v>0</v>
      </c>
      <c r="FI62">
        <f ca="1"/>
        <v>0</v>
      </c>
      <c r="FJ62">
        <f ca="1"/>
        <v>0</v>
      </c>
      <c r="FK62">
        <f ca="1"/>
        <v>0</v>
      </c>
      <c r="FL62">
        <f ca="1"/>
        <v>0</v>
      </c>
      <c r="FM62">
        <f ca="1"/>
        <v>0</v>
      </c>
      <c r="FN62">
        <f ca="1"/>
        <v>0</v>
      </c>
      <c r="FO62">
        <f ca="1"/>
        <v>0</v>
      </c>
      <c r="FP62">
        <f ca="1"/>
        <v>0</v>
      </c>
      <c r="FQ62">
        <f ca="1"/>
        <v>0</v>
      </c>
      <c r="FR62">
        <f ca="1"/>
        <v>0</v>
      </c>
      <c r="FS62">
        <f ca="1"/>
        <v>0</v>
      </c>
      <c r="FT62">
        <f ca="1"/>
        <v>0</v>
      </c>
      <c r="FU62">
        <f ca="1"/>
        <v>0</v>
      </c>
      <c r="FV62">
        <f ca="1"/>
        <v>0</v>
      </c>
      <c r="FW62">
        <f ca="1"/>
        <v>0</v>
      </c>
      <c r="FX62">
        <f ca="1"/>
        <v>0</v>
      </c>
      <c r="FY62">
        <f ca="1"/>
        <v>0</v>
      </c>
      <c r="FZ62">
        <f ca="1"/>
        <v>0</v>
      </c>
    </row>
    <row r="63" spans="3:182">
      <c r="C63" cm="1">
        <f t="array" aca="1" ref="C63:FZ63" ca="1">IFERROR(TRANSPOSE(INDEX(_xlfn._xlws.FILTER(INDIRECT("SubcategoriesTable[Subcategory name]"),INDIRECT("SubcategoriesTable[Category name]")=$B63),,)),"No subcategories")</f>
        <v>0</v>
      </c>
      <c r="D63">
        <f ca="1"/>
        <v>0</v>
      </c>
      <c r="E63">
        <f ca="1"/>
        <v>0</v>
      </c>
      <c r="F63">
        <f ca="1"/>
        <v>0</v>
      </c>
      <c r="G63">
        <f ca="1"/>
        <v>0</v>
      </c>
      <c r="H63">
        <f ca="1"/>
        <v>0</v>
      </c>
      <c r="I63">
        <f ca="1"/>
        <v>0</v>
      </c>
      <c r="J63">
        <f ca="1"/>
        <v>0</v>
      </c>
      <c r="K63">
        <f ca="1"/>
        <v>0</v>
      </c>
      <c r="L63">
        <f ca="1"/>
        <v>0</v>
      </c>
      <c r="M63">
        <f ca="1"/>
        <v>0</v>
      </c>
      <c r="N63">
        <f ca="1"/>
        <v>0</v>
      </c>
      <c r="O63">
        <f ca="1"/>
        <v>0</v>
      </c>
      <c r="P63">
        <f ca="1"/>
        <v>0</v>
      </c>
      <c r="Q63">
        <f ca="1"/>
        <v>0</v>
      </c>
      <c r="R63">
        <f ca="1"/>
        <v>0</v>
      </c>
      <c r="S63">
        <f ca="1"/>
        <v>0</v>
      </c>
      <c r="T63">
        <f ca="1"/>
        <v>0</v>
      </c>
      <c r="U63">
        <f ca="1"/>
        <v>0</v>
      </c>
      <c r="V63">
        <f ca="1"/>
        <v>0</v>
      </c>
      <c r="W63">
        <f ca="1"/>
        <v>0</v>
      </c>
      <c r="X63">
        <f ca="1"/>
        <v>0</v>
      </c>
      <c r="Y63">
        <f ca="1"/>
        <v>0</v>
      </c>
      <c r="Z63">
        <f ca="1"/>
        <v>0</v>
      </c>
      <c r="AA63">
        <f ca="1"/>
        <v>0</v>
      </c>
      <c r="AB63">
        <f ca="1"/>
        <v>0</v>
      </c>
      <c r="AC63">
        <f ca="1"/>
        <v>0</v>
      </c>
      <c r="AD63">
        <f ca="1"/>
        <v>0</v>
      </c>
      <c r="AE63">
        <f ca="1"/>
        <v>0</v>
      </c>
      <c r="AF63">
        <f ca="1"/>
        <v>0</v>
      </c>
      <c r="AG63">
        <f ca="1"/>
        <v>0</v>
      </c>
      <c r="AH63">
        <f ca="1"/>
        <v>0</v>
      </c>
      <c r="AI63">
        <f ca="1"/>
        <v>0</v>
      </c>
      <c r="AJ63">
        <f ca="1"/>
        <v>0</v>
      </c>
      <c r="AK63">
        <f ca="1"/>
        <v>0</v>
      </c>
      <c r="AL63">
        <f ca="1"/>
        <v>0</v>
      </c>
      <c r="AM63">
        <f ca="1"/>
        <v>0</v>
      </c>
      <c r="AN63">
        <f ca="1"/>
        <v>0</v>
      </c>
      <c r="AO63">
        <f ca="1"/>
        <v>0</v>
      </c>
      <c r="AP63">
        <f ca="1"/>
        <v>0</v>
      </c>
      <c r="AQ63">
        <f ca="1"/>
        <v>0</v>
      </c>
      <c r="AR63">
        <f ca="1"/>
        <v>0</v>
      </c>
      <c r="AS63">
        <f ca="1"/>
        <v>0</v>
      </c>
      <c r="AT63">
        <f ca="1"/>
        <v>0</v>
      </c>
      <c r="AU63">
        <f ca="1"/>
        <v>0</v>
      </c>
      <c r="AV63">
        <f ca="1"/>
        <v>0</v>
      </c>
      <c r="AW63">
        <f ca="1"/>
        <v>0</v>
      </c>
      <c r="AX63">
        <f ca="1"/>
        <v>0</v>
      </c>
      <c r="AY63">
        <f ca="1"/>
        <v>0</v>
      </c>
      <c r="AZ63">
        <f ca="1"/>
        <v>0</v>
      </c>
      <c r="BA63">
        <f ca="1"/>
        <v>0</v>
      </c>
      <c r="BB63">
        <f ca="1"/>
        <v>0</v>
      </c>
      <c r="BC63">
        <f ca="1"/>
        <v>0</v>
      </c>
      <c r="BD63">
        <f ca="1"/>
        <v>0</v>
      </c>
      <c r="BE63">
        <f ca="1"/>
        <v>0</v>
      </c>
      <c r="BF63">
        <f ca="1"/>
        <v>0</v>
      </c>
      <c r="BG63">
        <f ca="1"/>
        <v>0</v>
      </c>
      <c r="BH63">
        <f ca="1"/>
        <v>0</v>
      </c>
      <c r="BI63">
        <f ca="1"/>
        <v>0</v>
      </c>
      <c r="BJ63">
        <f ca="1"/>
        <v>0</v>
      </c>
      <c r="BK63">
        <f ca="1"/>
        <v>0</v>
      </c>
      <c r="BL63">
        <f ca="1"/>
        <v>0</v>
      </c>
      <c r="BM63">
        <f ca="1"/>
        <v>0</v>
      </c>
      <c r="BN63">
        <f ca="1"/>
        <v>0</v>
      </c>
      <c r="BO63">
        <f ca="1"/>
        <v>0</v>
      </c>
      <c r="BP63">
        <f ca="1"/>
        <v>0</v>
      </c>
      <c r="BQ63">
        <f ca="1"/>
        <v>0</v>
      </c>
      <c r="BR63">
        <f ca="1"/>
        <v>0</v>
      </c>
      <c r="BS63">
        <f ca="1"/>
        <v>0</v>
      </c>
      <c r="BT63">
        <f ca="1"/>
        <v>0</v>
      </c>
      <c r="BU63">
        <f ca="1"/>
        <v>0</v>
      </c>
      <c r="BV63">
        <f ca="1"/>
        <v>0</v>
      </c>
      <c r="BW63">
        <f ca="1"/>
        <v>0</v>
      </c>
      <c r="BX63">
        <f ca="1"/>
        <v>0</v>
      </c>
      <c r="BY63">
        <f ca="1"/>
        <v>0</v>
      </c>
      <c r="BZ63">
        <f ca="1"/>
        <v>0</v>
      </c>
      <c r="CA63">
        <f ca="1"/>
        <v>0</v>
      </c>
      <c r="CB63">
        <f ca="1"/>
        <v>0</v>
      </c>
      <c r="CC63">
        <f ca="1"/>
        <v>0</v>
      </c>
      <c r="CD63">
        <f ca="1"/>
        <v>0</v>
      </c>
      <c r="CE63">
        <f ca="1"/>
        <v>0</v>
      </c>
      <c r="CF63">
        <f ca="1"/>
        <v>0</v>
      </c>
      <c r="CG63">
        <f ca="1"/>
        <v>0</v>
      </c>
      <c r="CH63">
        <f ca="1"/>
        <v>0</v>
      </c>
      <c r="CI63">
        <f ca="1"/>
        <v>0</v>
      </c>
      <c r="CJ63">
        <f ca="1"/>
        <v>0</v>
      </c>
      <c r="CK63">
        <f ca="1"/>
        <v>0</v>
      </c>
      <c r="CL63">
        <f ca="1"/>
        <v>0</v>
      </c>
      <c r="CM63">
        <f ca="1"/>
        <v>0</v>
      </c>
      <c r="CN63">
        <f ca="1"/>
        <v>0</v>
      </c>
      <c r="CO63">
        <f ca="1"/>
        <v>0</v>
      </c>
      <c r="CP63">
        <f ca="1"/>
        <v>0</v>
      </c>
      <c r="CQ63">
        <f ca="1"/>
        <v>0</v>
      </c>
      <c r="CR63">
        <f ca="1"/>
        <v>0</v>
      </c>
      <c r="CS63">
        <f ca="1"/>
        <v>0</v>
      </c>
      <c r="CT63">
        <f ca="1"/>
        <v>0</v>
      </c>
      <c r="CU63">
        <f ca="1"/>
        <v>0</v>
      </c>
      <c r="CV63">
        <f ca="1"/>
        <v>0</v>
      </c>
      <c r="CW63">
        <f ca="1"/>
        <v>0</v>
      </c>
      <c r="CX63">
        <f ca="1"/>
        <v>0</v>
      </c>
      <c r="CY63">
        <f ca="1"/>
        <v>0</v>
      </c>
      <c r="CZ63">
        <f ca="1"/>
        <v>0</v>
      </c>
      <c r="DA63">
        <f ca="1"/>
        <v>0</v>
      </c>
      <c r="DB63">
        <f ca="1"/>
        <v>0</v>
      </c>
      <c r="DC63">
        <f ca="1"/>
        <v>0</v>
      </c>
      <c r="DD63">
        <f ca="1"/>
        <v>0</v>
      </c>
      <c r="DE63">
        <f ca="1"/>
        <v>0</v>
      </c>
      <c r="DF63">
        <f ca="1"/>
        <v>0</v>
      </c>
      <c r="DG63">
        <f ca="1"/>
        <v>0</v>
      </c>
      <c r="DH63">
        <f ca="1"/>
        <v>0</v>
      </c>
      <c r="DI63">
        <f ca="1"/>
        <v>0</v>
      </c>
      <c r="DJ63">
        <f ca="1"/>
        <v>0</v>
      </c>
      <c r="DK63">
        <f ca="1"/>
        <v>0</v>
      </c>
      <c r="DL63">
        <f ca="1"/>
        <v>0</v>
      </c>
      <c r="DM63">
        <f ca="1"/>
        <v>0</v>
      </c>
      <c r="DN63">
        <f ca="1"/>
        <v>0</v>
      </c>
      <c r="DO63">
        <f ca="1"/>
        <v>0</v>
      </c>
      <c r="DP63">
        <f ca="1"/>
        <v>0</v>
      </c>
      <c r="DQ63">
        <f ca="1"/>
        <v>0</v>
      </c>
      <c r="DR63">
        <f ca="1"/>
        <v>0</v>
      </c>
      <c r="DS63">
        <f ca="1"/>
        <v>0</v>
      </c>
      <c r="DT63">
        <f ca="1"/>
        <v>0</v>
      </c>
      <c r="DU63">
        <f ca="1"/>
        <v>0</v>
      </c>
      <c r="DV63">
        <f ca="1"/>
        <v>0</v>
      </c>
      <c r="DW63">
        <f ca="1"/>
        <v>0</v>
      </c>
      <c r="DX63">
        <f ca="1"/>
        <v>0</v>
      </c>
      <c r="DY63">
        <f ca="1"/>
        <v>0</v>
      </c>
      <c r="DZ63">
        <f ca="1"/>
        <v>0</v>
      </c>
      <c r="EA63">
        <f ca="1"/>
        <v>0</v>
      </c>
      <c r="EB63">
        <f ca="1"/>
        <v>0</v>
      </c>
      <c r="EC63">
        <f ca="1"/>
        <v>0</v>
      </c>
      <c r="ED63">
        <f ca="1"/>
        <v>0</v>
      </c>
      <c r="EE63">
        <f ca="1"/>
        <v>0</v>
      </c>
      <c r="EF63">
        <f ca="1"/>
        <v>0</v>
      </c>
      <c r="EG63">
        <f ca="1"/>
        <v>0</v>
      </c>
      <c r="EH63">
        <f ca="1"/>
        <v>0</v>
      </c>
      <c r="EI63">
        <f ca="1"/>
        <v>0</v>
      </c>
      <c r="EJ63">
        <f ca="1"/>
        <v>0</v>
      </c>
      <c r="EK63">
        <f ca="1"/>
        <v>0</v>
      </c>
      <c r="EL63">
        <f ca="1"/>
        <v>0</v>
      </c>
      <c r="EM63">
        <f ca="1"/>
        <v>0</v>
      </c>
      <c r="EN63">
        <f ca="1"/>
        <v>0</v>
      </c>
      <c r="EO63">
        <f ca="1"/>
        <v>0</v>
      </c>
      <c r="EP63">
        <f ca="1"/>
        <v>0</v>
      </c>
      <c r="EQ63">
        <f ca="1"/>
        <v>0</v>
      </c>
      <c r="ER63">
        <f ca="1"/>
        <v>0</v>
      </c>
      <c r="ES63">
        <f ca="1"/>
        <v>0</v>
      </c>
      <c r="ET63">
        <f ca="1"/>
        <v>0</v>
      </c>
      <c r="EU63">
        <f ca="1"/>
        <v>0</v>
      </c>
      <c r="EV63">
        <f ca="1"/>
        <v>0</v>
      </c>
      <c r="EW63">
        <f ca="1"/>
        <v>0</v>
      </c>
      <c r="EX63">
        <f ca="1"/>
        <v>0</v>
      </c>
      <c r="EY63">
        <f ca="1"/>
        <v>0</v>
      </c>
      <c r="EZ63">
        <f ca="1"/>
        <v>0</v>
      </c>
      <c r="FA63">
        <f ca="1"/>
        <v>0</v>
      </c>
      <c r="FB63">
        <f ca="1"/>
        <v>0</v>
      </c>
      <c r="FC63">
        <f ca="1"/>
        <v>0</v>
      </c>
      <c r="FD63">
        <f ca="1"/>
        <v>0</v>
      </c>
      <c r="FE63">
        <f ca="1"/>
        <v>0</v>
      </c>
      <c r="FF63">
        <f ca="1"/>
        <v>0</v>
      </c>
      <c r="FG63">
        <f ca="1"/>
        <v>0</v>
      </c>
      <c r="FH63">
        <f ca="1"/>
        <v>0</v>
      </c>
      <c r="FI63">
        <f ca="1"/>
        <v>0</v>
      </c>
      <c r="FJ63">
        <f ca="1"/>
        <v>0</v>
      </c>
      <c r="FK63">
        <f ca="1"/>
        <v>0</v>
      </c>
      <c r="FL63">
        <f ca="1"/>
        <v>0</v>
      </c>
      <c r="FM63">
        <f ca="1"/>
        <v>0</v>
      </c>
      <c r="FN63">
        <f ca="1"/>
        <v>0</v>
      </c>
      <c r="FO63">
        <f ca="1"/>
        <v>0</v>
      </c>
      <c r="FP63">
        <f ca="1"/>
        <v>0</v>
      </c>
      <c r="FQ63">
        <f ca="1"/>
        <v>0</v>
      </c>
      <c r="FR63">
        <f ca="1"/>
        <v>0</v>
      </c>
      <c r="FS63">
        <f ca="1"/>
        <v>0</v>
      </c>
      <c r="FT63">
        <f ca="1"/>
        <v>0</v>
      </c>
      <c r="FU63">
        <f ca="1"/>
        <v>0</v>
      </c>
      <c r="FV63">
        <f ca="1"/>
        <v>0</v>
      </c>
      <c r="FW63">
        <f ca="1"/>
        <v>0</v>
      </c>
      <c r="FX63">
        <f ca="1"/>
        <v>0</v>
      </c>
      <c r="FY63">
        <f ca="1"/>
        <v>0</v>
      </c>
      <c r="FZ63">
        <f ca="1"/>
        <v>0</v>
      </c>
    </row>
    <row r="64" spans="3:182">
      <c r="C64" cm="1">
        <f t="array" aca="1" ref="C64:FZ64" ca="1">IFERROR(TRANSPOSE(INDEX(_xlfn._xlws.FILTER(INDIRECT("SubcategoriesTable[Subcategory name]"),INDIRECT("SubcategoriesTable[Category name]")=$B64),,)),"No subcategories")</f>
        <v>0</v>
      </c>
      <c r="D64">
        <f ca="1"/>
        <v>0</v>
      </c>
      <c r="E64">
        <f ca="1"/>
        <v>0</v>
      </c>
      <c r="F64">
        <f ca="1"/>
        <v>0</v>
      </c>
      <c r="G64">
        <f ca="1"/>
        <v>0</v>
      </c>
      <c r="H64">
        <f ca="1"/>
        <v>0</v>
      </c>
      <c r="I64">
        <f ca="1"/>
        <v>0</v>
      </c>
      <c r="J64">
        <f ca="1"/>
        <v>0</v>
      </c>
      <c r="K64">
        <f ca="1"/>
        <v>0</v>
      </c>
      <c r="L64">
        <f ca="1"/>
        <v>0</v>
      </c>
      <c r="M64">
        <f ca="1"/>
        <v>0</v>
      </c>
      <c r="N64">
        <f ca="1"/>
        <v>0</v>
      </c>
      <c r="O64">
        <f ca="1"/>
        <v>0</v>
      </c>
      <c r="P64">
        <f ca="1"/>
        <v>0</v>
      </c>
      <c r="Q64">
        <f ca="1"/>
        <v>0</v>
      </c>
      <c r="R64">
        <f ca="1"/>
        <v>0</v>
      </c>
      <c r="S64">
        <f ca="1"/>
        <v>0</v>
      </c>
      <c r="T64">
        <f ca="1"/>
        <v>0</v>
      </c>
      <c r="U64">
        <f ca="1"/>
        <v>0</v>
      </c>
      <c r="V64">
        <f ca="1"/>
        <v>0</v>
      </c>
      <c r="W64">
        <f ca="1"/>
        <v>0</v>
      </c>
      <c r="X64">
        <f ca="1"/>
        <v>0</v>
      </c>
      <c r="Y64">
        <f ca="1"/>
        <v>0</v>
      </c>
      <c r="Z64">
        <f ca="1"/>
        <v>0</v>
      </c>
      <c r="AA64">
        <f ca="1"/>
        <v>0</v>
      </c>
      <c r="AB64">
        <f ca="1"/>
        <v>0</v>
      </c>
      <c r="AC64">
        <f ca="1"/>
        <v>0</v>
      </c>
      <c r="AD64">
        <f ca="1"/>
        <v>0</v>
      </c>
      <c r="AE64">
        <f ca="1"/>
        <v>0</v>
      </c>
      <c r="AF64">
        <f ca="1"/>
        <v>0</v>
      </c>
      <c r="AG64">
        <f ca="1"/>
        <v>0</v>
      </c>
      <c r="AH64">
        <f ca="1"/>
        <v>0</v>
      </c>
      <c r="AI64">
        <f ca="1"/>
        <v>0</v>
      </c>
      <c r="AJ64">
        <f ca="1"/>
        <v>0</v>
      </c>
      <c r="AK64">
        <f ca="1"/>
        <v>0</v>
      </c>
      <c r="AL64">
        <f ca="1"/>
        <v>0</v>
      </c>
      <c r="AM64">
        <f ca="1"/>
        <v>0</v>
      </c>
      <c r="AN64">
        <f ca="1"/>
        <v>0</v>
      </c>
      <c r="AO64">
        <f ca="1"/>
        <v>0</v>
      </c>
      <c r="AP64">
        <f ca="1"/>
        <v>0</v>
      </c>
      <c r="AQ64">
        <f ca="1"/>
        <v>0</v>
      </c>
      <c r="AR64">
        <f ca="1"/>
        <v>0</v>
      </c>
      <c r="AS64">
        <f ca="1"/>
        <v>0</v>
      </c>
      <c r="AT64">
        <f ca="1"/>
        <v>0</v>
      </c>
      <c r="AU64">
        <f ca="1"/>
        <v>0</v>
      </c>
      <c r="AV64">
        <f ca="1"/>
        <v>0</v>
      </c>
      <c r="AW64">
        <f ca="1"/>
        <v>0</v>
      </c>
      <c r="AX64">
        <f ca="1"/>
        <v>0</v>
      </c>
      <c r="AY64">
        <f ca="1"/>
        <v>0</v>
      </c>
      <c r="AZ64">
        <f ca="1"/>
        <v>0</v>
      </c>
      <c r="BA64">
        <f ca="1"/>
        <v>0</v>
      </c>
      <c r="BB64">
        <f ca="1"/>
        <v>0</v>
      </c>
      <c r="BC64">
        <f ca="1"/>
        <v>0</v>
      </c>
      <c r="BD64">
        <f ca="1"/>
        <v>0</v>
      </c>
      <c r="BE64">
        <f ca="1"/>
        <v>0</v>
      </c>
      <c r="BF64">
        <f ca="1"/>
        <v>0</v>
      </c>
      <c r="BG64">
        <f ca="1"/>
        <v>0</v>
      </c>
      <c r="BH64">
        <f ca="1"/>
        <v>0</v>
      </c>
      <c r="BI64">
        <f ca="1"/>
        <v>0</v>
      </c>
      <c r="BJ64">
        <f ca="1"/>
        <v>0</v>
      </c>
      <c r="BK64">
        <f ca="1"/>
        <v>0</v>
      </c>
      <c r="BL64">
        <f ca="1"/>
        <v>0</v>
      </c>
      <c r="BM64">
        <f ca="1"/>
        <v>0</v>
      </c>
      <c r="BN64">
        <f ca="1"/>
        <v>0</v>
      </c>
      <c r="BO64">
        <f ca="1"/>
        <v>0</v>
      </c>
      <c r="BP64">
        <f ca="1"/>
        <v>0</v>
      </c>
      <c r="BQ64">
        <f ca="1"/>
        <v>0</v>
      </c>
      <c r="BR64">
        <f ca="1"/>
        <v>0</v>
      </c>
      <c r="BS64">
        <f ca="1"/>
        <v>0</v>
      </c>
      <c r="BT64">
        <f ca="1"/>
        <v>0</v>
      </c>
      <c r="BU64">
        <f ca="1"/>
        <v>0</v>
      </c>
      <c r="BV64">
        <f ca="1"/>
        <v>0</v>
      </c>
      <c r="BW64">
        <f ca="1"/>
        <v>0</v>
      </c>
      <c r="BX64">
        <f ca="1"/>
        <v>0</v>
      </c>
      <c r="BY64">
        <f ca="1"/>
        <v>0</v>
      </c>
      <c r="BZ64">
        <f ca="1"/>
        <v>0</v>
      </c>
      <c r="CA64">
        <f ca="1"/>
        <v>0</v>
      </c>
      <c r="CB64">
        <f ca="1"/>
        <v>0</v>
      </c>
      <c r="CC64">
        <f ca="1"/>
        <v>0</v>
      </c>
      <c r="CD64">
        <f ca="1"/>
        <v>0</v>
      </c>
      <c r="CE64">
        <f ca="1"/>
        <v>0</v>
      </c>
      <c r="CF64">
        <f ca="1"/>
        <v>0</v>
      </c>
      <c r="CG64">
        <f ca="1"/>
        <v>0</v>
      </c>
      <c r="CH64">
        <f ca="1"/>
        <v>0</v>
      </c>
      <c r="CI64">
        <f ca="1"/>
        <v>0</v>
      </c>
      <c r="CJ64">
        <f ca="1"/>
        <v>0</v>
      </c>
      <c r="CK64">
        <f ca="1"/>
        <v>0</v>
      </c>
      <c r="CL64">
        <f ca="1"/>
        <v>0</v>
      </c>
      <c r="CM64">
        <f ca="1"/>
        <v>0</v>
      </c>
      <c r="CN64">
        <f ca="1"/>
        <v>0</v>
      </c>
      <c r="CO64">
        <f ca="1"/>
        <v>0</v>
      </c>
      <c r="CP64">
        <f ca="1"/>
        <v>0</v>
      </c>
      <c r="CQ64">
        <f ca="1"/>
        <v>0</v>
      </c>
      <c r="CR64">
        <f ca="1"/>
        <v>0</v>
      </c>
      <c r="CS64">
        <f ca="1"/>
        <v>0</v>
      </c>
      <c r="CT64">
        <f ca="1"/>
        <v>0</v>
      </c>
      <c r="CU64">
        <f ca="1"/>
        <v>0</v>
      </c>
      <c r="CV64">
        <f ca="1"/>
        <v>0</v>
      </c>
      <c r="CW64">
        <f ca="1"/>
        <v>0</v>
      </c>
      <c r="CX64">
        <f ca="1"/>
        <v>0</v>
      </c>
      <c r="CY64">
        <f ca="1"/>
        <v>0</v>
      </c>
      <c r="CZ64">
        <f ca="1"/>
        <v>0</v>
      </c>
      <c r="DA64">
        <f ca="1"/>
        <v>0</v>
      </c>
      <c r="DB64">
        <f ca="1"/>
        <v>0</v>
      </c>
      <c r="DC64">
        <f ca="1"/>
        <v>0</v>
      </c>
      <c r="DD64">
        <f ca="1"/>
        <v>0</v>
      </c>
      <c r="DE64">
        <f ca="1"/>
        <v>0</v>
      </c>
      <c r="DF64">
        <f ca="1"/>
        <v>0</v>
      </c>
      <c r="DG64">
        <f ca="1"/>
        <v>0</v>
      </c>
      <c r="DH64">
        <f ca="1"/>
        <v>0</v>
      </c>
      <c r="DI64">
        <f ca="1"/>
        <v>0</v>
      </c>
      <c r="DJ64">
        <f ca="1"/>
        <v>0</v>
      </c>
      <c r="DK64">
        <f ca="1"/>
        <v>0</v>
      </c>
      <c r="DL64">
        <f ca="1"/>
        <v>0</v>
      </c>
      <c r="DM64">
        <f ca="1"/>
        <v>0</v>
      </c>
      <c r="DN64">
        <f ca="1"/>
        <v>0</v>
      </c>
      <c r="DO64">
        <f ca="1"/>
        <v>0</v>
      </c>
      <c r="DP64">
        <f ca="1"/>
        <v>0</v>
      </c>
      <c r="DQ64">
        <f ca="1"/>
        <v>0</v>
      </c>
      <c r="DR64">
        <f ca="1"/>
        <v>0</v>
      </c>
      <c r="DS64">
        <f ca="1"/>
        <v>0</v>
      </c>
      <c r="DT64">
        <f ca="1"/>
        <v>0</v>
      </c>
      <c r="DU64">
        <f ca="1"/>
        <v>0</v>
      </c>
      <c r="DV64">
        <f ca="1"/>
        <v>0</v>
      </c>
      <c r="DW64">
        <f ca="1"/>
        <v>0</v>
      </c>
      <c r="DX64">
        <f ca="1"/>
        <v>0</v>
      </c>
      <c r="DY64">
        <f ca="1"/>
        <v>0</v>
      </c>
      <c r="DZ64">
        <f ca="1"/>
        <v>0</v>
      </c>
      <c r="EA64">
        <f ca="1"/>
        <v>0</v>
      </c>
      <c r="EB64">
        <f ca="1"/>
        <v>0</v>
      </c>
      <c r="EC64">
        <f ca="1"/>
        <v>0</v>
      </c>
      <c r="ED64">
        <f ca="1"/>
        <v>0</v>
      </c>
      <c r="EE64">
        <f ca="1"/>
        <v>0</v>
      </c>
      <c r="EF64">
        <f ca="1"/>
        <v>0</v>
      </c>
      <c r="EG64">
        <f ca="1"/>
        <v>0</v>
      </c>
      <c r="EH64">
        <f ca="1"/>
        <v>0</v>
      </c>
      <c r="EI64">
        <f ca="1"/>
        <v>0</v>
      </c>
      <c r="EJ64">
        <f ca="1"/>
        <v>0</v>
      </c>
      <c r="EK64">
        <f ca="1"/>
        <v>0</v>
      </c>
      <c r="EL64">
        <f ca="1"/>
        <v>0</v>
      </c>
      <c r="EM64">
        <f ca="1"/>
        <v>0</v>
      </c>
      <c r="EN64">
        <f ca="1"/>
        <v>0</v>
      </c>
      <c r="EO64">
        <f ca="1"/>
        <v>0</v>
      </c>
      <c r="EP64">
        <f ca="1"/>
        <v>0</v>
      </c>
      <c r="EQ64">
        <f ca="1"/>
        <v>0</v>
      </c>
      <c r="ER64">
        <f ca="1"/>
        <v>0</v>
      </c>
      <c r="ES64">
        <f ca="1"/>
        <v>0</v>
      </c>
      <c r="ET64">
        <f ca="1"/>
        <v>0</v>
      </c>
      <c r="EU64">
        <f ca="1"/>
        <v>0</v>
      </c>
      <c r="EV64">
        <f ca="1"/>
        <v>0</v>
      </c>
      <c r="EW64">
        <f ca="1"/>
        <v>0</v>
      </c>
      <c r="EX64">
        <f ca="1"/>
        <v>0</v>
      </c>
      <c r="EY64">
        <f ca="1"/>
        <v>0</v>
      </c>
      <c r="EZ64">
        <f ca="1"/>
        <v>0</v>
      </c>
      <c r="FA64">
        <f ca="1"/>
        <v>0</v>
      </c>
      <c r="FB64">
        <f ca="1"/>
        <v>0</v>
      </c>
      <c r="FC64">
        <f ca="1"/>
        <v>0</v>
      </c>
      <c r="FD64">
        <f ca="1"/>
        <v>0</v>
      </c>
      <c r="FE64">
        <f ca="1"/>
        <v>0</v>
      </c>
      <c r="FF64">
        <f ca="1"/>
        <v>0</v>
      </c>
      <c r="FG64">
        <f ca="1"/>
        <v>0</v>
      </c>
      <c r="FH64">
        <f ca="1"/>
        <v>0</v>
      </c>
      <c r="FI64">
        <f ca="1"/>
        <v>0</v>
      </c>
      <c r="FJ64">
        <f ca="1"/>
        <v>0</v>
      </c>
      <c r="FK64">
        <f ca="1"/>
        <v>0</v>
      </c>
      <c r="FL64">
        <f ca="1"/>
        <v>0</v>
      </c>
      <c r="FM64">
        <f ca="1"/>
        <v>0</v>
      </c>
      <c r="FN64">
        <f ca="1"/>
        <v>0</v>
      </c>
      <c r="FO64">
        <f ca="1"/>
        <v>0</v>
      </c>
      <c r="FP64">
        <f ca="1"/>
        <v>0</v>
      </c>
      <c r="FQ64">
        <f ca="1"/>
        <v>0</v>
      </c>
      <c r="FR64">
        <f ca="1"/>
        <v>0</v>
      </c>
      <c r="FS64">
        <f ca="1"/>
        <v>0</v>
      </c>
      <c r="FT64">
        <f ca="1"/>
        <v>0</v>
      </c>
      <c r="FU64">
        <f ca="1"/>
        <v>0</v>
      </c>
      <c r="FV64">
        <f ca="1"/>
        <v>0</v>
      </c>
      <c r="FW64">
        <f ca="1"/>
        <v>0</v>
      </c>
      <c r="FX64">
        <f ca="1"/>
        <v>0</v>
      </c>
      <c r="FY64">
        <f ca="1"/>
        <v>0</v>
      </c>
      <c r="FZ64">
        <f ca="1"/>
        <v>0</v>
      </c>
    </row>
    <row r="65" spans="3:182">
      <c r="C65" cm="1">
        <f t="array" aca="1" ref="C65:FZ65" ca="1">IFERROR(TRANSPOSE(INDEX(_xlfn._xlws.FILTER(INDIRECT("SubcategoriesTable[Subcategory name]"),INDIRECT("SubcategoriesTable[Category name]")=$B65),,)),"No subcategories")</f>
        <v>0</v>
      </c>
      <c r="D65">
        <f ca="1"/>
        <v>0</v>
      </c>
      <c r="E65">
        <f ca="1"/>
        <v>0</v>
      </c>
      <c r="F65">
        <f ca="1"/>
        <v>0</v>
      </c>
      <c r="G65">
        <f ca="1"/>
        <v>0</v>
      </c>
      <c r="H65">
        <f ca="1"/>
        <v>0</v>
      </c>
      <c r="I65">
        <f ca="1"/>
        <v>0</v>
      </c>
      <c r="J65">
        <f ca="1"/>
        <v>0</v>
      </c>
      <c r="K65">
        <f ca="1"/>
        <v>0</v>
      </c>
      <c r="L65">
        <f ca="1"/>
        <v>0</v>
      </c>
      <c r="M65">
        <f ca="1"/>
        <v>0</v>
      </c>
      <c r="N65">
        <f ca="1"/>
        <v>0</v>
      </c>
      <c r="O65">
        <f ca="1"/>
        <v>0</v>
      </c>
      <c r="P65">
        <f ca="1"/>
        <v>0</v>
      </c>
      <c r="Q65">
        <f ca="1"/>
        <v>0</v>
      </c>
      <c r="R65">
        <f ca="1"/>
        <v>0</v>
      </c>
      <c r="S65">
        <f ca="1"/>
        <v>0</v>
      </c>
      <c r="T65">
        <f ca="1"/>
        <v>0</v>
      </c>
      <c r="U65">
        <f ca="1"/>
        <v>0</v>
      </c>
      <c r="V65">
        <f ca="1"/>
        <v>0</v>
      </c>
      <c r="W65">
        <f ca="1"/>
        <v>0</v>
      </c>
      <c r="X65">
        <f ca="1"/>
        <v>0</v>
      </c>
      <c r="Y65">
        <f ca="1"/>
        <v>0</v>
      </c>
      <c r="Z65">
        <f ca="1"/>
        <v>0</v>
      </c>
      <c r="AA65">
        <f ca="1"/>
        <v>0</v>
      </c>
      <c r="AB65">
        <f ca="1"/>
        <v>0</v>
      </c>
      <c r="AC65">
        <f ca="1"/>
        <v>0</v>
      </c>
      <c r="AD65">
        <f ca="1"/>
        <v>0</v>
      </c>
      <c r="AE65">
        <f ca="1"/>
        <v>0</v>
      </c>
      <c r="AF65">
        <f ca="1"/>
        <v>0</v>
      </c>
      <c r="AG65">
        <f ca="1"/>
        <v>0</v>
      </c>
      <c r="AH65">
        <f ca="1"/>
        <v>0</v>
      </c>
      <c r="AI65">
        <f ca="1"/>
        <v>0</v>
      </c>
      <c r="AJ65">
        <f ca="1"/>
        <v>0</v>
      </c>
      <c r="AK65">
        <f ca="1"/>
        <v>0</v>
      </c>
      <c r="AL65">
        <f ca="1"/>
        <v>0</v>
      </c>
      <c r="AM65">
        <f ca="1"/>
        <v>0</v>
      </c>
      <c r="AN65">
        <f ca="1"/>
        <v>0</v>
      </c>
      <c r="AO65">
        <f ca="1"/>
        <v>0</v>
      </c>
      <c r="AP65">
        <f ca="1"/>
        <v>0</v>
      </c>
      <c r="AQ65">
        <f ca="1"/>
        <v>0</v>
      </c>
      <c r="AR65">
        <f ca="1"/>
        <v>0</v>
      </c>
      <c r="AS65">
        <f ca="1"/>
        <v>0</v>
      </c>
      <c r="AT65">
        <f ca="1"/>
        <v>0</v>
      </c>
      <c r="AU65">
        <f ca="1"/>
        <v>0</v>
      </c>
      <c r="AV65">
        <f ca="1"/>
        <v>0</v>
      </c>
      <c r="AW65">
        <f ca="1"/>
        <v>0</v>
      </c>
      <c r="AX65">
        <f ca="1"/>
        <v>0</v>
      </c>
      <c r="AY65">
        <f ca="1"/>
        <v>0</v>
      </c>
      <c r="AZ65">
        <f ca="1"/>
        <v>0</v>
      </c>
      <c r="BA65">
        <f ca="1"/>
        <v>0</v>
      </c>
      <c r="BB65">
        <f ca="1"/>
        <v>0</v>
      </c>
      <c r="BC65">
        <f ca="1"/>
        <v>0</v>
      </c>
      <c r="BD65">
        <f ca="1"/>
        <v>0</v>
      </c>
      <c r="BE65">
        <f ca="1"/>
        <v>0</v>
      </c>
      <c r="BF65">
        <f ca="1"/>
        <v>0</v>
      </c>
      <c r="BG65">
        <f ca="1"/>
        <v>0</v>
      </c>
      <c r="BH65">
        <f ca="1"/>
        <v>0</v>
      </c>
      <c r="BI65">
        <f ca="1"/>
        <v>0</v>
      </c>
      <c r="BJ65">
        <f ca="1"/>
        <v>0</v>
      </c>
      <c r="BK65">
        <f ca="1"/>
        <v>0</v>
      </c>
      <c r="BL65">
        <f ca="1"/>
        <v>0</v>
      </c>
      <c r="BM65">
        <f ca="1"/>
        <v>0</v>
      </c>
      <c r="BN65">
        <f ca="1"/>
        <v>0</v>
      </c>
      <c r="BO65">
        <f ca="1"/>
        <v>0</v>
      </c>
      <c r="BP65">
        <f ca="1"/>
        <v>0</v>
      </c>
      <c r="BQ65">
        <f ca="1"/>
        <v>0</v>
      </c>
      <c r="BR65">
        <f ca="1"/>
        <v>0</v>
      </c>
      <c r="BS65">
        <f ca="1"/>
        <v>0</v>
      </c>
      <c r="BT65">
        <f ca="1"/>
        <v>0</v>
      </c>
      <c r="BU65">
        <f ca="1"/>
        <v>0</v>
      </c>
      <c r="BV65">
        <f ca="1"/>
        <v>0</v>
      </c>
      <c r="BW65">
        <f ca="1"/>
        <v>0</v>
      </c>
      <c r="BX65">
        <f ca="1"/>
        <v>0</v>
      </c>
      <c r="BY65">
        <f ca="1"/>
        <v>0</v>
      </c>
      <c r="BZ65">
        <f ca="1"/>
        <v>0</v>
      </c>
      <c r="CA65">
        <f ca="1"/>
        <v>0</v>
      </c>
      <c r="CB65">
        <f ca="1"/>
        <v>0</v>
      </c>
      <c r="CC65">
        <f ca="1"/>
        <v>0</v>
      </c>
      <c r="CD65">
        <f ca="1"/>
        <v>0</v>
      </c>
      <c r="CE65">
        <f ca="1"/>
        <v>0</v>
      </c>
      <c r="CF65">
        <f ca="1"/>
        <v>0</v>
      </c>
      <c r="CG65">
        <f ca="1"/>
        <v>0</v>
      </c>
      <c r="CH65">
        <f ca="1"/>
        <v>0</v>
      </c>
      <c r="CI65">
        <f ca="1"/>
        <v>0</v>
      </c>
      <c r="CJ65">
        <f ca="1"/>
        <v>0</v>
      </c>
      <c r="CK65">
        <f ca="1"/>
        <v>0</v>
      </c>
      <c r="CL65">
        <f ca="1"/>
        <v>0</v>
      </c>
      <c r="CM65">
        <f ca="1"/>
        <v>0</v>
      </c>
      <c r="CN65">
        <f ca="1"/>
        <v>0</v>
      </c>
      <c r="CO65">
        <f ca="1"/>
        <v>0</v>
      </c>
      <c r="CP65">
        <f ca="1"/>
        <v>0</v>
      </c>
      <c r="CQ65">
        <f ca="1"/>
        <v>0</v>
      </c>
      <c r="CR65">
        <f ca="1"/>
        <v>0</v>
      </c>
      <c r="CS65">
        <f ca="1"/>
        <v>0</v>
      </c>
      <c r="CT65">
        <f ca="1"/>
        <v>0</v>
      </c>
      <c r="CU65">
        <f ca="1"/>
        <v>0</v>
      </c>
      <c r="CV65">
        <f ca="1"/>
        <v>0</v>
      </c>
      <c r="CW65">
        <f ca="1"/>
        <v>0</v>
      </c>
      <c r="CX65">
        <f ca="1"/>
        <v>0</v>
      </c>
      <c r="CY65">
        <f ca="1"/>
        <v>0</v>
      </c>
      <c r="CZ65">
        <f ca="1"/>
        <v>0</v>
      </c>
      <c r="DA65">
        <f ca="1"/>
        <v>0</v>
      </c>
      <c r="DB65">
        <f ca="1"/>
        <v>0</v>
      </c>
      <c r="DC65">
        <f ca="1"/>
        <v>0</v>
      </c>
      <c r="DD65">
        <f ca="1"/>
        <v>0</v>
      </c>
      <c r="DE65">
        <f ca="1"/>
        <v>0</v>
      </c>
      <c r="DF65">
        <f ca="1"/>
        <v>0</v>
      </c>
      <c r="DG65">
        <f ca="1"/>
        <v>0</v>
      </c>
      <c r="DH65">
        <f ca="1"/>
        <v>0</v>
      </c>
      <c r="DI65">
        <f ca="1"/>
        <v>0</v>
      </c>
      <c r="DJ65">
        <f ca="1"/>
        <v>0</v>
      </c>
      <c r="DK65">
        <f ca="1"/>
        <v>0</v>
      </c>
      <c r="DL65">
        <f ca="1"/>
        <v>0</v>
      </c>
      <c r="DM65">
        <f ca="1"/>
        <v>0</v>
      </c>
      <c r="DN65">
        <f ca="1"/>
        <v>0</v>
      </c>
      <c r="DO65">
        <f ca="1"/>
        <v>0</v>
      </c>
      <c r="DP65">
        <f ca="1"/>
        <v>0</v>
      </c>
      <c r="DQ65">
        <f ca="1"/>
        <v>0</v>
      </c>
      <c r="DR65">
        <f ca="1"/>
        <v>0</v>
      </c>
      <c r="DS65">
        <f ca="1"/>
        <v>0</v>
      </c>
      <c r="DT65">
        <f ca="1"/>
        <v>0</v>
      </c>
      <c r="DU65">
        <f ca="1"/>
        <v>0</v>
      </c>
      <c r="DV65">
        <f ca="1"/>
        <v>0</v>
      </c>
      <c r="DW65">
        <f ca="1"/>
        <v>0</v>
      </c>
      <c r="DX65">
        <f ca="1"/>
        <v>0</v>
      </c>
      <c r="DY65">
        <f ca="1"/>
        <v>0</v>
      </c>
      <c r="DZ65">
        <f ca="1"/>
        <v>0</v>
      </c>
      <c r="EA65">
        <f ca="1"/>
        <v>0</v>
      </c>
      <c r="EB65">
        <f ca="1"/>
        <v>0</v>
      </c>
      <c r="EC65">
        <f ca="1"/>
        <v>0</v>
      </c>
      <c r="ED65">
        <f ca="1"/>
        <v>0</v>
      </c>
      <c r="EE65">
        <f ca="1"/>
        <v>0</v>
      </c>
      <c r="EF65">
        <f ca="1"/>
        <v>0</v>
      </c>
      <c r="EG65">
        <f ca="1"/>
        <v>0</v>
      </c>
      <c r="EH65">
        <f ca="1"/>
        <v>0</v>
      </c>
      <c r="EI65">
        <f ca="1"/>
        <v>0</v>
      </c>
      <c r="EJ65">
        <f ca="1"/>
        <v>0</v>
      </c>
      <c r="EK65">
        <f ca="1"/>
        <v>0</v>
      </c>
      <c r="EL65">
        <f ca="1"/>
        <v>0</v>
      </c>
      <c r="EM65">
        <f ca="1"/>
        <v>0</v>
      </c>
      <c r="EN65">
        <f ca="1"/>
        <v>0</v>
      </c>
      <c r="EO65">
        <f ca="1"/>
        <v>0</v>
      </c>
      <c r="EP65">
        <f ca="1"/>
        <v>0</v>
      </c>
      <c r="EQ65">
        <f ca="1"/>
        <v>0</v>
      </c>
      <c r="ER65">
        <f ca="1"/>
        <v>0</v>
      </c>
      <c r="ES65">
        <f ca="1"/>
        <v>0</v>
      </c>
      <c r="ET65">
        <f ca="1"/>
        <v>0</v>
      </c>
      <c r="EU65">
        <f ca="1"/>
        <v>0</v>
      </c>
      <c r="EV65">
        <f ca="1"/>
        <v>0</v>
      </c>
      <c r="EW65">
        <f ca="1"/>
        <v>0</v>
      </c>
      <c r="EX65">
        <f ca="1"/>
        <v>0</v>
      </c>
      <c r="EY65">
        <f ca="1"/>
        <v>0</v>
      </c>
      <c r="EZ65">
        <f ca="1"/>
        <v>0</v>
      </c>
      <c r="FA65">
        <f ca="1"/>
        <v>0</v>
      </c>
      <c r="FB65">
        <f ca="1"/>
        <v>0</v>
      </c>
      <c r="FC65">
        <f ca="1"/>
        <v>0</v>
      </c>
      <c r="FD65">
        <f ca="1"/>
        <v>0</v>
      </c>
      <c r="FE65">
        <f ca="1"/>
        <v>0</v>
      </c>
      <c r="FF65">
        <f ca="1"/>
        <v>0</v>
      </c>
      <c r="FG65">
        <f ca="1"/>
        <v>0</v>
      </c>
      <c r="FH65">
        <f ca="1"/>
        <v>0</v>
      </c>
      <c r="FI65">
        <f ca="1"/>
        <v>0</v>
      </c>
      <c r="FJ65">
        <f ca="1"/>
        <v>0</v>
      </c>
      <c r="FK65">
        <f ca="1"/>
        <v>0</v>
      </c>
      <c r="FL65">
        <f ca="1"/>
        <v>0</v>
      </c>
      <c r="FM65">
        <f ca="1"/>
        <v>0</v>
      </c>
      <c r="FN65">
        <f ca="1"/>
        <v>0</v>
      </c>
      <c r="FO65">
        <f ca="1"/>
        <v>0</v>
      </c>
      <c r="FP65">
        <f ca="1"/>
        <v>0</v>
      </c>
      <c r="FQ65">
        <f ca="1"/>
        <v>0</v>
      </c>
      <c r="FR65">
        <f ca="1"/>
        <v>0</v>
      </c>
      <c r="FS65">
        <f ca="1"/>
        <v>0</v>
      </c>
      <c r="FT65">
        <f ca="1"/>
        <v>0</v>
      </c>
      <c r="FU65">
        <f ca="1"/>
        <v>0</v>
      </c>
      <c r="FV65">
        <f ca="1"/>
        <v>0</v>
      </c>
      <c r="FW65">
        <f ca="1"/>
        <v>0</v>
      </c>
      <c r="FX65">
        <f ca="1"/>
        <v>0</v>
      </c>
      <c r="FY65">
        <f ca="1"/>
        <v>0</v>
      </c>
      <c r="FZ65">
        <f ca="1"/>
        <v>0</v>
      </c>
    </row>
    <row r="66" spans="3:182">
      <c r="C66" cm="1">
        <f t="array" aca="1" ref="C66:FZ66" ca="1">IFERROR(TRANSPOSE(INDEX(_xlfn._xlws.FILTER(INDIRECT("SubcategoriesTable[Subcategory name]"),INDIRECT("SubcategoriesTable[Category name]")=$B66),,)),"No subcategories")</f>
        <v>0</v>
      </c>
      <c r="D66">
        <f ca="1"/>
        <v>0</v>
      </c>
      <c r="E66">
        <f ca="1"/>
        <v>0</v>
      </c>
      <c r="F66">
        <f ca="1"/>
        <v>0</v>
      </c>
      <c r="G66">
        <f ca="1"/>
        <v>0</v>
      </c>
      <c r="H66">
        <f ca="1"/>
        <v>0</v>
      </c>
      <c r="I66">
        <f ca="1"/>
        <v>0</v>
      </c>
      <c r="J66">
        <f ca="1"/>
        <v>0</v>
      </c>
      <c r="K66">
        <f ca="1"/>
        <v>0</v>
      </c>
      <c r="L66">
        <f ca="1"/>
        <v>0</v>
      </c>
      <c r="M66">
        <f ca="1"/>
        <v>0</v>
      </c>
      <c r="N66">
        <f ca="1"/>
        <v>0</v>
      </c>
      <c r="O66">
        <f ca="1"/>
        <v>0</v>
      </c>
      <c r="P66">
        <f ca="1"/>
        <v>0</v>
      </c>
      <c r="Q66">
        <f ca="1"/>
        <v>0</v>
      </c>
      <c r="R66">
        <f ca="1"/>
        <v>0</v>
      </c>
      <c r="S66">
        <f ca="1"/>
        <v>0</v>
      </c>
      <c r="T66">
        <f ca="1"/>
        <v>0</v>
      </c>
      <c r="U66">
        <f ca="1"/>
        <v>0</v>
      </c>
      <c r="V66">
        <f ca="1"/>
        <v>0</v>
      </c>
      <c r="W66">
        <f ca="1"/>
        <v>0</v>
      </c>
      <c r="X66">
        <f ca="1"/>
        <v>0</v>
      </c>
      <c r="Y66">
        <f ca="1"/>
        <v>0</v>
      </c>
      <c r="Z66">
        <f ca="1"/>
        <v>0</v>
      </c>
      <c r="AA66">
        <f ca="1"/>
        <v>0</v>
      </c>
      <c r="AB66">
        <f ca="1"/>
        <v>0</v>
      </c>
      <c r="AC66">
        <f ca="1"/>
        <v>0</v>
      </c>
      <c r="AD66">
        <f ca="1"/>
        <v>0</v>
      </c>
      <c r="AE66">
        <f ca="1"/>
        <v>0</v>
      </c>
      <c r="AF66">
        <f ca="1"/>
        <v>0</v>
      </c>
      <c r="AG66">
        <f ca="1"/>
        <v>0</v>
      </c>
      <c r="AH66">
        <f ca="1"/>
        <v>0</v>
      </c>
      <c r="AI66">
        <f ca="1"/>
        <v>0</v>
      </c>
      <c r="AJ66">
        <f ca="1"/>
        <v>0</v>
      </c>
      <c r="AK66">
        <f ca="1"/>
        <v>0</v>
      </c>
      <c r="AL66">
        <f ca="1"/>
        <v>0</v>
      </c>
      <c r="AM66">
        <f ca="1"/>
        <v>0</v>
      </c>
      <c r="AN66">
        <f ca="1"/>
        <v>0</v>
      </c>
      <c r="AO66">
        <f ca="1"/>
        <v>0</v>
      </c>
      <c r="AP66">
        <f ca="1"/>
        <v>0</v>
      </c>
      <c r="AQ66">
        <f ca="1"/>
        <v>0</v>
      </c>
      <c r="AR66">
        <f ca="1"/>
        <v>0</v>
      </c>
      <c r="AS66">
        <f ca="1"/>
        <v>0</v>
      </c>
      <c r="AT66">
        <f ca="1"/>
        <v>0</v>
      </c>
      <c r="AU66">
        <f ca="1"/>
        <v>0</v>
      </c>
      <c r="AV66">
        <f ca="1"/>
        <v>0</v>
      </c>
      <c r="AW66">
        <f ca="1"/>
        <v>0</v>
      </c>
      <c r="AX66">
        <f ca="1"/>
        <v>0</v>
      </c>
      <c r="AY66">
        <f ca="1"/>
        <v>0</v>
      </c>
      <c r="AZ66">
        <f ca="1"/>
        <v>0</v>
      </c>
      <c r="BA66">
        <f ca="1"/>
        <v>0</v>
      </c>
      <c r="BB66">
        <f ca="1"/>
        <v>0</v>
      </c>
      <c r="BC66">
        <f ca="1"/>
        <v>0</v>
      </c>
      <c r="BD66">
        <f ca="1"/>
        <v>0</v>
      </c>
      <c r="BE66">
        <f ca="1"/>
        <v>0</v>
      </c>
      <c r="BF66">
        <f ca="1"/>
        <v>0</v>
      </c>
      <c r="BG66">
        <f ca="1"/>
        <v>0</v>
      </c>
      <c r="BH66">
        <f ca="1"/>
        <v>0</v>
      </c>
      <c r="BI66">
        <f ca="1"/>
        <v>0</v>
      </c>
      <c r="BJ66">
        <f ca="1"/>
        <v>0</v>
      </c>
      <c r="BK66">
        <f ca="1"/>
        <v>0</v>
      </c>
      <c r="BL66">
        <f ca="1"/>
        <v>0</v>
      </c>
      <c r="BM66">
        <f ca="1"/>
        <v>0</v>
      </c>
      <c r="BN66">
        <f ca="1"/>
        <v>0</v>
      </c>
      <c r="BO66">
        <f ca="1"/>
        <v>0</v>
      </c>
      <c r="BP66">
        <f ca="1"/>
        <v>0</v>
      </c>
      <c r="BQ66">
        <f ca="1"/>
        <v>0</v>
      </c>
      <c r="BR66">
        <f ca="1"/>
        <v>0</v>
      </c>
      <c r="BS66">
        <f ca="1"/>
        <v>0</v>
      </c>
      <c r="BT66">
        <f ca="1"/>
        <v>0</v>
      </c>
      <c r="BU66">
        <f ca="1"/>
        <v>0</v>
      </c>
      <c r="BV66">
        <f ca="1"/>
        <v>0</v>
      </c>
      <c r="BW66">
        <f ca="1"/>
        <v>0</v>
      </c>
      <c r="BX66">
        <f ca="1"/>
        <v>0</v>
      </c>
      <c r="BY66">
        <f ca="1"/>
        <v>0</v>
      </c>
      <c r="BZ66">
        <f ca="1"/>
        <v>0</v>
      </c>
      <c r="CA66">
        <f ca="1"/>
        <v>0</v>
      </c>
      <c r="CB66">
        <f ca="1"/>
        <v>0</v>
      </c>
      <c r="CC66">
        <f ca="1"/>
        <v>0</v>
      </c>
      <c r="CD66">
        <f ca="1"/>
        <v>0</v>
      </c>
      <c r="CE66">
        <f ca="1"/>
        <v>0</v>
      </c>
      <c r="CF66">
        <f ca="1"/>
        <v>0</v>
      </c>
      <c r="CG66">
        <f ca="1"/>
        <v>0</v>
      </c>
      <c r="CH66">
        <f ca="1"/>
        <v>0</v>
      </c>
      <c r="CI66">
        <f ca="1"/>
        <v>0</v>
      </c>
      <c r="CJ66">
        <f ca="1"/>
        <v>0</v>
      </c>
      <c r="CK66">
        <f ca="1"/>
        <v>0</v>
      </c>
      <c r="CL66">
        <f ca="1"/>
        <v>0</v>
      </c>
      <c r="CM66">
        <f ca="1"/>
        <v>0</v>
      </c>
      <c r="CN66">
        <f ca="1"/>
        <v>0</v>
      </c>
      <c r="CO66">
        <f ca="1"/>
        <v>0</v>
      </c>
      <c r="CP66">
        <f ca="1"/>
        <v>0</v>
      </c>
      <c r="CQ66">
        <f ca="1"/>
        <v>0</v>
      </c>
      <c r="CR66">
        <f ca="1"/>
        <v>0</v>
      </c>
      <c r="CS66">
        <f ca="1"/>
        <v>0</v>
      </c>
      <c r="CT66">
        <f ca="1"/>
        <v>0</v>
      </c>
      <c r="CU66">
        <f ca="1"/>
        <v>0</v>
      </c>
      <c r="CV66">
        <f ca="1"/>
        <v>0</v>
      </c>
      <c r="CW66">
        <f ca="1"/>
        <v>0</v>
      </c>
      <c r="CX66">
        <f ca="1"/>
        <v>0</v>
      </c>
      <c r="CY66">
        <f ca="1"/>
        <v>0</v>
      </c>
      <c r="CZ66">
        <f ca="1"/>
        <v>0</v>
      </c>
      <c r="DA66">
        <f ca="1"/>
        <v>0</v>
      </c>
      <c r="DB66">
        <f ca="1"/>
        <v>0</v>
      </c>
      <c r="DC66">
        <f ca="1"/>
        <v>0</v>
      </c>
      <c r="DD66">
        <f ca="1"/>
        <v>0</v>
      </c>
      <c r="DE66">
        <f ca="1"/>
        <v>0</v>
      </c>
      <c r="DF66">
        <f ca="1"/>
        <v>0</v>
      </c>
      <c r="DG66">
        <f ca="1"/>
        <v>0</v>
      </c>
      <c r="DH66">
        <f ca="1"/>
        <v>0</v>
      </c>
      <c r="DI66">
        <f ca="1"/>
        <v>0</v>
      </c>
      <c r="DJ66">
        <f ca="1"/>
        <v>0</v>
      </c>
      <c r="DK66">
        <f ca="1"/>
        <v>0</v>
      </c>
      <c r="DL66">
        <f ca="1"/>
        <v>0</v>
      </c>
      <c r="DM66">
        <f ca="1"/>
        <v>0</v>
      </c>
      <c r="DN66">
        <f ca="1"/>
        <v>0</v>
      </c>
      <c r="DO66">
        <f ca="1"/>
        <v>0</v>
      </c>
      <c r="DP66">
        <f ca="1"/>
        <v>0</v>
      </c>
      <c r="DQ66">
        <f ca="1"/>
        <v>0</v>
      </c>
      <c r="DR66">
        <f ca="1"/>
        <v>0</v>
      </c>
      <c r="DS66">
        <f ca="1"/>
        <v>0</v>
      </c>
      <c r="DT66">
        <f ca="1"/>
        <v>0</v>
      </c>
      <c r="DU66">
        <f ca="1"/>
        <v>0</v>
      </c>
      <c r="DV66">
        <f ca="1"/>
        <v>0</v>
      </c>
      <c r="DW66">
        <f ca="1"/>
        <v>0</v>
      </c>
      <c r="DX66">
        <f ca="1"/>
        <v>0</v>
      </c>
      <c r="DY66">
        <f ca="1"/>
        <v>0</v>
      </c>
      <c r="DZ66">
        <f ca="1"/>
        <v>0</v>
      </c>
      <c r="EA66">
        <f ca="1"/>
        <v>0</v>
      </c>
      <c r="EB66">
        <f ca="1"/>
        <v>0</v>
      </c>
      <c r="EC66">
        <f ca="1"/>
        <v>0</v>
      </c>
      <c r="ED66">
        <f ca="1"/>
        <v>0</v>
      </c>
      <c r="EE66">
        <f ca="1"/>
        <v>0</v>
      </c>
      <c r="EF66">
        <f ca="1"/>
        <v>0</v>
      </c>
      <c r="EG66">
        <f ca="1"/>
        <v>0</v>
      </c>
      <c r="EH66">
        <f ca="1"/>
        <v>0</v>
      </c>
      <c r="EI66">
        <f ca="1"/>
        <v>0</v>
      </c>
      <c r="EJ66">
        <f ca="1"/>
        <v>0</v>
      </c>
      <c r="EK66">
        <f ca="1"/>
        <v>0</v>
      </c>
      <c r="EL66">
        <f ca="1"/>
        <v>0</v>
      </c>
      <c r="EM66">
        <f ca="1"/>
        <v>0</v>
      </c>
      <c r="EN66">
        <f ca="1"/>
        <v>0</v>
      </c>
      <c r="EO66">
        <f ca="1"/>
        <v>0</v>
      </c>
      <c r="EP66">
        <f ca="1"/>
        <v>0</v>
      </c>
      <c r="EQ66">
        <f ca="1"/>
        <v>0</v>
      </c>
      <c r="ER66">
        <f ca="1"/>
        <v>0</v>
      </c>
      <c r="ES66">
        <f ca="1"/>
        <v>0</v>
      </c>
      <c r="ET66">
        <f ca="1"/>
        <v>0</v>
      </c>
      <c r="EU66">
        <f ca="1"/>
        <v>0</v>
      </c>
      <c r="EV66">
        <f ca="1"/>
        <v>0</v>
      </c>
      <c r="EW66">
        <f ca="1"/>
        <v>0</v>
      </c>
      <c r="EX66">
        <f ca="1"/>
        <v>0</v>
      </c>
      <c r="EY66">
        <f ca="1"/>
        <v>0</v>
      </c>
      <c r="EZ66">
        <f ca="1"/>
        <v>0</v>
      </c>
      <c r="FA66">
        <f ca="1"/>
        <v>0</v>
      </c>
      <c r="FB66">
        <f ca="1"/>
        <v>0</v>
      </c>
      <c r="FC66">
        <f ca="1"/>
        <v>0</v>
      </c>
      <c r="FD66">
        <f ca="1"/>
        <v>0</v>
      </c>
      <c r="FE66">
        <f ca="1"/>
        <v>0</v>
      </c>
      <c r="FF66">
        <f ca="1"/>
        <v>0</v>
      </c>
      <c r="FG66">
        <f ca="1"/>
        <v>0</v>
      </c>
      <c r="FH66">
        <f ca="1"/>
        <v>0</v>
      </c>
      <c r="FI66">
        <f ca="1"/>
        <v>0</v>
      </c>
      <c r="FJ66">
        <f ca="1"/>
        <v>0</v>
      </c>
      <c r="FK66">
        <f ca="1"/>
        <v>0</v>
      </c>
      <c r="FL66">
        <f ca="1"/>
        <v>0</v>
      </c>
      <c r="FM66">
        <f ca="1"/>
        <v>0</v>
      </c>
      <c r="FN66">
        <f ca="1"/>
        <v>0</v>
      </c>
      <c r="FO66">
        <f ca="1"/>
        <v>0</v>
      </c>
      <c r="FP66">
        <f ca="1"/>
        <v>0</v>
      </c>
      <c r="FQ66">
        <f ca="1"/>
        <v>0</v>
      </c>
      <c r="FR66">
        <f ca="1"/>
        <v>0</v>
      </c>
      <c r="FS66">
        <f ca="1"/>
        <v>0</v>
      </c>
      <c r="FT66">
        <f ca="1"/>
        <v>0</v>
      </c>
      <c r="FU66">
        <f ca="1"/>
        <v>0</v>
      </c>
      <c r="FV66">
        <f ca="1"/>
        <v>0</v>
      </c>
      <c r="FW66">
        <f ca="1"/>
        <v>0</v>
      </c>
      <c r="FX66">
        <f ca="1"/>
        <v>0</v>
      </c>
      <c r="FY66">
        <f ca="1"/>
        <v>0</v>
      </c>
      <c r="FZ66">
        <f ca="1"/>
        <v>0</v>
      </c>
    </row>
    <row r="67" spans="3:182">
      <c r="C67" cm="1">
        <f t="array" aca="1" ref="C67:FZ67" ca="1">IFERROR(TRANSPOSE(INDEX(_xlfn._xlws.FILTER(INDIRECT("SubcategoriesTable[Subcategory name]"),INDIRECT("SubcategoriesTable[Category name]")=$B67),,)),"No subcategories")</f>
        <v>0</v>
      </c>
      <c r="D67">
        <f ca="1"/>
        <v>0</v>
      </c>
      <c r="E67">
        <f ca="1"/>
        <v>0</v>
      </c>
      <c r="F67">
        <f ca="1"/>
        <v>0</v>
      </c>
      <c r="G67">
        <f ca="1"/>
        <v>0</v>
      </c>
      <c r="H67">
        <f ca="1"/>
        <v>0</v>
      </c>
      <c r="I67">
        <f ca="1"/>
        <v>0</v>
      </c>
      <c r="J67">
        <f ca="1"/>
        <v>0</v>
      </c>
      <c r="K67">
        <f ca="1"/>
        <v>0</v>
      </c>
      <c r="L67">
        <f ca="1"/>
        <v>0</v>
      </c>
      <c r="M67">
        <f ca="1"/>
        <v>0</v>
      </c>
      <c r="N67">
        <f ca="1"/>
        <v>0</v>
      </c>
      <c r="O67">
        <f ca="1"/>
        <v>0</v>
      </c>
      <c r="P67">
        <f ca="1"/>
        <v>0</v>
      </c>
      <c r="Q67">
        <f ca="1"/>
        <v>0</v>
      </c>
      <c r="R67">
        <f ca="1"/>
        <v>0</v>
      </c>
      <c r="S67">
        <f ca="1"/>
        <v>0</v>
      </c>
      <c r="T67">
        <f ca="1"/>
        <v>0</v>
      </c>
      <c r="U67">
        <f ca="1"/>
        <v>0</v>
      </c>
      <c r="V67">
        <f ca="1"/>
        <v>0</v>
      </c>
      <c r="W67">
        <f ca="1"/>
        <v>0</v>
      </c>
      <c r="X67">
        <f ca="1"/>
        <v>0</v>
      </c>
      <c r="Y67">
        <f ca="1"/>
        <v>0</v>
      </c>
      <c r="Z67">
        <f ca="1"/>
        <v>0</v>
      </c>
      <c r="AA67">
        <f ca="1"/>
        <v>0</v>
      </c>
      <c r="AB67">
        <f ca="1"/>
        <v>0</v>
      </c>
      <c r="AC67">
        <f ca="1"/>
        <v>0</v>
      </c>
      <c r="AD67">
        <f ca="1"/>
        <v>0</v>
      </c>
      <c r="AE67">
        <f ca="1"/>
        <v>0</v>
      </c>
      <c r="AF67">
        <f ca="1"/>
        <v>0</v>
      </c>
      <c r="AG67">
        <f ca="1"/>
        <v>0</v>
      </c>
      <c r="AH67">
        <f ca="1"/>
        <v>0</v>
      </c>
      <c r="AI67">
        <f ca="1"/>
        <v>0</v>
      </c>
      <c r="AJ67">
        <f ca="1"/>
        <v>0</v>
      </c>
      <c r="AK67">
        <f ca="1"/>
        <v>0</v>
      </c>
      <c r="AL67">
        <f ca="1"/>
        <v>0</v>
      </c>
      <c r="AM67">
        <f ca="1"/>
        <v>0</v>
      </c>
      <c r="AN67">
        <f ca="1"/>
        <v>0</v>
      </c>
      <c r="AO67">
        <f ca="1"/>
        <v>0</v>
      </c>
      <c r="AP67">
        <f ca="1"/>
        <v>0</v>
      </c>
      <c r="AQ67">
        <f ca="1"/>
        <v>0</v>
      </c>
      <c r="AR67">
        <f ca="1"/>
        <v>0</v>
      </c>
      <c r="AS67">
        <f ca="1"/>
        <v>0</v>
      </c>
      <c r="AT67">
        <f ca="1"/>
        <v>0</v>
      </c>
      <c r="AU67">
        <f ca="1"/>
        <v>0</v>
      </c>
      <c r="AV67">
        <f ca="1"/>
        <v>0</v>
      </c>
      <c r="AW67">
        <f ca="1"/>
        <v>0</v>
      </c>
      <c r="AX67">
        <f ca="1"/>
        <v>0</v>
      </c>
      <c r="AY67">
        <f ca="1"/>
        <v>0</v>
      </c>
      <c r="AZ67">
        <f ca="1"/>
        <v>0</v>
      </c>
      <c r="BA67">
        <f ca="1"/>
        <v>0</v>
      </c>
      <c r="BB67">
        <f ca="1"/>
        <v>0</v>
      </c>
      <c r="BC67">
        <f ca="1"/>
        <v>0</v>
      </c>
      <c r="BD67">
        <f ca="1"/>
        <v>0</v>
      </c>
      <c r="BE67">
        <f ca="1"/>
        <v>0</v>
      </c>
      <c r="BF67">
        <f ca="1"/>
        <v>0</v>
      </c>
      <c r="BG67">
        <f ca="1"/>
        <v>0</v>
      </c>
      <c r="BH67">
        <f ca="1"/>
        <v>0</v>
      </c>
      <c r="BI67">
        <f ca="1"/>
        <v>0</v>
      </c>
      <c r="BJ67">
        <f ca="1"/>
        <v>0</v>
      </c>
      <c r="BK67">
        <f ca="1"/>
        <v>0</v>
      </c>
      <c r="BL67">
        <f ca="1"/>
        <v>0</v>
      </c>
      <c r="BM67">
        <f ca="1"/>
        <v>0</v>
      </c>
      <c r="BN67">
        <f ca="1"/>
        <v>0</v>
      </c>
      <c r="BO67">
        <f ca="1"/>
        <v>0</v>
      </c>
      <c r="BP67">
        <f ca="1"/>
        <v>0</v>
      </c>
      <c r="BQ67">
        <f ca="1"/>
        <v>0</v>
      </c>
      <c r="BR67">
        <f ca="1"/>
        <v>0</v>
      </c>
      <c r="BS67">
        <f ca="1"/>
        <v>0</v>
      </c>
      <c r="BT67">
        <f ca="1"/>
        <v>0</v>
      </c>
      <c r="BU67">
        <f ca="1"/>
        <v>0</v>
      </c>
      <c r="BV67">
        <f ca="1"/>
        <v>0</v>
      </c>
      <c r="BW67">
        <f ca="1"/>
        <v>0</v>
      </c>
      <c r="BX67">
        <f ca="1"/>
        <v>0</v>
      </c>
      <c r="BY67">
        <f ca="1"/>
        <v>0</v>
      </c>
      <c r="BZ67">
        <f ca="1"/>
        <v>0</v>
      </c>
      <c r="CA67">
        <f ca="1"/>
        <v>0</v>
      </c>
      <c r="CB67">
        <f ca="1"/>
        <v>0</v>
      </c>
      <c r="CC67">
        <f ca="1"/>
        <v>0</v>
      </c>
      <c r="CD67">
        <f ca="1"/>
        <v>0</v>
      </c>
      <c r="CE67">
        <f ca="1"/>
        <v>0</v>
      </c>
      <c r="CF67">
        <f ca="1"/>
        <v>0</v>
      </c>
      <c r="CG67">
        <f ca="1"/>
        <v>0</v>
      </c>
      <c r="CH67">
        <f ca="1"/>
        <v>0</v>
      </c>
      <c r="CI67">
        <f ca="1"/>
        <v>0</v>
      </c>
      <c r="CJ67">
        <f ca="1"/>
        <v>0</v>
      </c>
      <c r="CK67">
        <f ca="1"/>
        <v>0</v>
      </c>
      <c r="CL67">
        <f ca="1"/>
        <v>0</v>
      </c>
      <c r="CM67">
        <f ca="1"/>
        <v>0</v>
      </c>
      <c r="CN67">
        <f ca="1"/>
        <v>0</v>
      </c>
      <c r="CO67">
        <f ca="1"/>
        <v>0</v>
      </c>
      <c r="CP67">
        <f ca="1"/>
        <v>0</v>
      </c>
      <c r="CQ67">
        <f ca="1"/>
        <v>0</v>
      </c>
      <c r="CR67">
        <f ca="1"/>
        <v>0</v>
      </c>
      <c r="CS67">
        <f ca="1"/>
        <v>0</v>
      </c>
      <c r="CT67">
        <f ca="1"/>
        <v>0</v>
      </c>
      <c r="CU67">
        <f ca="1"/>
        <v>0</v>
      </c>
      <c r="CV67">
        <f ca="1"/>
        <v>0</v>
      </c>
      <c r="CW67">
        <f ca="1"/>
        <v>0</v>
      </c>
      <c r="CX67">
        <f ca="1"/>
        <v>0</v>
      </c>
      <c r="CY67">
        <f ca="1"/>
        <v>0</v>
      </c>
      <c r="CZ67">
        <f ca="1"/>
        <v>0</v>
      </c>
      <c r="DA67">
        <f ca="1"/>
        <v>0</v>
      </c>
      <c r="DB67">
        <f ca="1"/>
        <v>0</v>
      </c>
      <c r="DC67">
        <f ca="1"/>
        <v>0</v>
      </c>
      <c r="DD67">
        <f ca="1"/>
        <v>0</v>
      </c>
      <c r="DE67">
        <f ca="1"/>
        <v>0</v>
      </c>
      <c r="DF67">
        <f ca="1"/>
        <v>0</v>
      </c>
      <c r="DG67">
        <f ca="1"/>
        <v>0</v>
      </c>
      <c r="DH67">
        <f ca="1"/>
        <v>0</v>
      </c>
      <c r="DI67">
        <f ca="1"/>
        <v>0</v>
      </c>
      <c r="DJ67">
        <f ca="1"/>
        <v>0</v>
      </c>
      <c r="DK67">
        <f ca="1"/>
        <v>0</v>
      </c>
      <c r="DL67">
        <f ca="1"/>
        <v>0</v>
      </c>
      <c r="DM67">
        <f ca="1"/>
        <v>0</v>
      </c>
      <c r="DN67">
        <f ca="1"/>
        <v>0</v>
      </c>
      <c r="DO67">
        <f ca="1"/>
        <v>0</v>
      </c>
      <c r="DP67">
        <f ca="1"/>
        <v>0</v>
      </c>
      <c r="DQ67">
        <f ca="1"/>
        <v>0</v>
      </c>
      <c r="DR67">
        <f ca="1"/>
        <v>0</v>
      </c>
      <c r="DS67">
        <f ca="1"/>
        <v>0</v>
      </c>
      <c r="DT67">
        <f ca="1"/>
        <v>0</v>
      </c>
      <c r="DU67">
        <f ca="1"/>
        <v>0</v>
      </c>
      <c r="DV67">
        <f ca="1"/>
        <v>0</v>
      </c>
      <c r="DW67">
        <f ca="1"/>
        <v>0</v>
      </c>
      <c r="DX67">
        <f ca="1"/>
        <v>0</v>
      </c>
      <c r="DY67">
        <f ca="1"/>
        <v>0</v>
      </c>
      <c r="DZ67">
        <f ca="1"/>
        <v>0</v>
      </c>
      <c r="EA67">
        <f ca="1"/>
        <v>0</v>
      </c>
      <c r="EB67">
        <f ca="1"/>
        <v>0</v>
      </c>
      <c r="EC67">
        <f ca="1"/>
        <v>0</v>
      </c>
      <c r="ED67">
        <f ca="1"/>
        <v>0</v>
      </c>
      <c r="EE67">
        <f ca="1"/>
        <v>0</v>
      </c>
      <c r="EF67">
        <f ca="1"/>
        <v>0</v>
      </c>
      <c r="EG67">
        <f ca="1"/>
        <v>0</v>
      </c>
      <c r="EH67">
        <f ca="1"/>
        <v>0</v>
      </c>
      <c r="EI67">
        <f ca="1"/>
        <v>0</v>
      </c>
      <c r="EJ67">
        <f ca="1"/>
        <v>0</v>
      </c>
      <c r="EK67">
        <f ca="1"/>
        <v>0</v>
      </c>
      <c r="EL67">
        <f ca="1"/>
        <v>0</v>
      </c>
      <c r="EM67">
        <f ca="1"/>
        <v>0</v>
      </c>
      <c r="EN67">
        <f ca="1"/>
        <v>0</v>
      </c>
      <c r="EO67">
        <f ca="1"/>
        <v>0</v>
      </c>
      <c r="EP67">
        <f ca="1"/>
        <v>0</v>
      </c>
      <c r="EQ67">
        <f ca="1"/>
        <v>0</v>
      </c>
      <c r="ER67">
        <f ca="1"/>
        <v>0</v>
      </c>
      <c r="ES67">
        <f ca="1"/>
        <v>0</v>
      </c>
      <c r="ET67">
        <f ca="1"/>
        <v>0</v>
      </c>
      <c r="EU67">
        <f ca="1"/>
        <v>0</v>
      </c>
      <c r="EV67">
        <f ca="1"/>
        <v>0</v>
      </c>
      <c r="EW67">
        <f ca="1"/>
        <v>0</v>
      </c>
      <c r="EX67">
        <f ca="1"/>
        <v>0</v>
      </c>
      <c r="EY67">
        <f ca="1"/>
        <v>0</v>
      </c>
      <c r="EZ67">
        <f ca="1"/>
        <v>0</v>
      </c>
      <c r="FA67">
        <f ca="1"/>
        <v>0</v>
      </c>
      <c r="FB67">
        <f ca="1"/>
        <v>0</v>
      </c>
      <c r="FC67">
        <f ca="1"/>
        <v>0</v>
      </c>
      <c r="FD67">
        <f ca="1"/>
        <v>0</v>
      </c>
      <c r="FE67">
        <f ca="1"/>
        <v>0</v>
      </c>
      <c r="FF67">
        <f ca="1"/>
        <v>0</v>
      </c>
      <c r="FG67">
        <f ca="1"/>
        <v>0</v>
      </c>
      <c r="FH67">
        <f ca="1"/>
        <v>0</v>
      </c>
      <c r="FI67">
        <f ca="1"/>
        <v>0</v>
      </c>
      <c r="FJ67">
        <f ca="1"/>
        <v>0</v>
      </c>
      <c r="FK67">
        <f ca="1"/>
        <v>0</v>
      </c>
      <c r="FL67">
        <f ca="1"/>
        <v>0</v>
      </c>
      <c r="FM67">
        <f ca="1"/>
        <v>0</v>
      </c>
      <c r="FN67">
        <f ca="1"/>
        <v>0</v>
      </c>
      <c r="FO67">
        <f ca="1"/>
        <v>0</v>
      </c>
      <c r="FP67">
        <f ca="1"/>
        <v>0</v>
      </c>
      <c r="FQ67">
        <f ca="1"/>
        <v>0</v>
      </c>
      <c r="FR67">
        <f ca="1"/>
        <v>0</v>
      </c>
      <c r="FS67">
        <f ca="1"/>
        <v>0</v>
      </c>
      <c r="FT67">
        <f ca="1"/>
        <v>0</v>
      </c>
      <c r="FU67">
        <f ca="1"/>
        <v>0</v>
      </c>
      <c r="FV67">
        <f ca="1"/>
        <v>0</v>
      </c>
      <c r="FW67">
        <f ca="1"/>
        <v>0</v>
      </c>
      <c r="FX67">
        <f ca="1"/>
        <v>0</v>
      </c>
      <c r="FY67">
        <f ca="1"/>
        <v>0</v>
      </c>
      <c r="FZ67">
        <f ca="1"/>
        <v>0</v>
      </c>
    </row>
    <row r="68" spans="3:182">
      <c r="C68" cm="1">
        <f t="array" aca="1" ref="C68:FZ68" ca="1">IFERROR(TRANSPOSE(INDEX(_xlfn._xlws.FILTER(INDIRECT("SubcategoriesTable[Subcategory name]"),INDIRECT("SubcategoriesTable[Category name]")=$B68),,)),"No subcategories")</f>
        <v>0</v>
      </c>
      <c r="D68">
        <f ca="1"/>
        <v>0</v>
      </c>
      <c r="E68">
        <f ca="1"/>
        <v>0</v>
      </c>
      <c r="F68">
        <f ca="1"/>
        <v>0</v>
      </c>
      <c r="G68">
        <f ca="1"/>
        <v>0</v>
      </c>
      <c r="H68">
        <f ca="1"/>
        <v>0</v>
      </c>
      <c r="I68">
        <f ca="1"/>
        <v>0</v>
      </c>
      <c r="J68">
        <f ca="1"/>
        <v>0</v>
      </c>
      <c r="K68">
        <f ca="1"/>
        <v>0</v>
      </c>
      <c r="L68">
        <f ca="1"/>
        <v>0</v>
      </c>
      <c r="M68">
        <f ca="1"/>
        <v>0</v>
      </c>
      <c r="N68">
        <f ca="1"/>
        <v>0</v>
      </c>
      <c r="O68">
        <f ca="1"/>
        <v>0</v>
      </c>
      <c r="P68">
        <f ca="1"/>
        <v>0</v>
      </c>
      <c r="Q68">
        <f ca="1"/>
        <v>0</v>
      </c>
      <c r="R68">
        <f ca="1"/>
        <v>0</v>
      </c>
      <c r="S68">
        <f ca="1"/>
        <v>0</v>
      </c>
      <c r="T68">
        <f ca="1"/>
        <v>0</v>
      </c>
      <c r="U68">
        <f ca="1"/>
        <v>0</v>
      </c>
      <c r="V68">
        <f ca="1"/>
        <v>0</v>
      </c>
      <c r="W68">
        <f ca="1"/>
        <v>0</v>
      </c>
      <c r="X68">
        <f ca="1"/>
        <v>0</v>
      </c>
      <c r="Y68">
        <f ca="1"/>
        <v>0</v>
      </c>
      <c r="Z68">
        <f ca="1"/>
        <v>0</v>
      </c>
      <c r="AA68">
        <f ca="1"/>
        <v>0</v>
      </c>
      <c r="AB68">
        <f ca="1"/>
        <v>0</v>
      </c>
      <c r="AC68">
        <f ca="1"/>
        <v>0</v>
      </c>
      <c r="AD68">
        <f ca="1"/>
        <v>0</v>
      </c>
      <c r="AE68">
        <f ca="1"/>
        <v>0</v>
      </c>
      <c r="AF68">
        <f ca="1"/>
        <v>0</v>
      </c>
      <c r="AG68">
        <f ca="1"/>
        <v>0</v>
      </c>
      <c r="AH68">
        <f ca="1"/>
        <v>0</v>
      </c>
      <c r="AI68">
        <f ca="1"/>
        <v>0</v>
      </c>
      <c r="AJ68">
        <f ca="1"/>
        <v>0</v>
      </c>
      <c r="AK68">
        <f ca="1"/>
        <v>0</v>
      </c>
      <c r="AL68">
        <f ca="1"/>
        <v>0</v>
      </c>
      <c r="AM68">
        <f ca="1"/>
        <v>0</v>
      </c>
      <c r="AN68">
        <f ca="1"/>
        <v>0</v>
      </c>
      <c r="AO68">
        <f ca="1"/>
        <v>0</v>
      </c>
      <c r="AP68">
        <f ca="1"/>
        <v>0</v>
      </c>
      <c r="AQ68">
        <f ca="1"/>
        <v>0</v>
      </c>
      <c r="AR68">
        <f ca="1"/>
        <v>0</v>
      </c>
      <c r="AS68">
        <f ca="1"/>
        <v>0</v>
      </c>
      <c r="AT68">
        <f ca="1"/>
        <v>0</v>
      </c>
      <c r="AU68">
        <f ca="1"/>
        <v>0</v>
      </c>
      <c r="AV68">
        <f ca="1"/>
        <v>0</v>
      </c>
      <c r="AW68">
        <f ca="1"/>
        <v>0</v>
      </c>
      <c r="AX68">
        <f ca="1"/>
        <v>0</v>
      </c>
      <c r="AY68">
        <f ca="1"/>
        <v>0</v>
      </c>
      <c r="AZ68">
        <f ca="1"/>
        <v>0</v>
      </c>
      <c r="BA68">
        <f ca="1"/>
        <v>0</v>
      </c>
      <c r="BB68">
        <f ca="1"/>
        <v>0</v>
      </c>
      <c r="BC68">
        <f ca="1"/>
        <v>0</v>
      </c>
      <c r="BD68">
        <f ca="1"/>
        <v>0</v>
      </c>
      <c r="BE68">
        <f ca="1"/>
        <v>0</v>
      </c>
      <c r="BF68">
        <f ca="1"/>
        <v>0</v>
      </c>
      <c r="BG68">
        <f ca="1"/>
        <v>0</v>
      </c>
      <c r="BH68">
        <f ca="1"/>
        <v>0</v>
      </c>
      <c r="BI68">
        <f ca="1"/>
        <v>0</v>
      </c>
      <c r="BJ68">
        <f ca="1"/>
        <v>0</v>
      </c>
      <c r="BK68">
        <f ca="1"/>
        <v>0</v>
      </c>
      <c r="BL68">
        <f ca="1"/>
        <v>0</v>
      </c>
      <c r="BM68">
        <f ca="1"/>
        <v>0</v>
      </c>
      <c r="BN68">
        <f ca="1"/>
        <v>0</v>
      </c>
      <c r="BO68">
        <f ca="1"/>
        <v>0</v>
      </c>
      <c r="BP68">
        <f ca="1"/>
        <v>0</v>
      </c>
      <c r="BQ68">
        <f ca="1"/>
        <v>0</v>
      </c>
      <c r="BR68">
        <f ca="1"/>
        <v>0</v>
      </c>
      <c r="BS68">
        <f ca="1"/>
        <v>0</v>
      </c>
      <c r="BT68">
        <f ca="1"/>
        <v>0</v>
      </c>
      <c r="BU68">
        <f ca="1"/>
        <v>0</v>
      </c>
      <c r="BV68">
        <f ca="1"/>
        <v>0</v>
      </c>
      <c r="BW68">
        <f ca="1"/>
        <v>0</v>
      </c>
      <c r="BX68">
        <f ca="1"/>
        <v>0</v>
      </c>
      <c r="BY68">
        <f ca="1"/>
        <v>0</v>
      </c>
      <c r="BZ68">
        <f ca="1"/>
        <v>0</v>
      </c>
      <c r="CA68">
        <f ca="1"/>
        <v>0</v>
      </c>
      <c r="CB68">
        <f ca="1"/>
        <v>0</v>
      </c>
      <c r="CC68">
        <f ca="1"/>
        <v>0</v>
      </c>
      <c r="CD68">
        <f ca="1"/>
        <v>0</v>
      </c>
      <c r="CE68">
        <f ca="1"/>
        <v>0</v>
      </c>
      <c r="CF68">
        <f ca="1"/>
        <v>0</v>
      </c>
      <c r="CG68">
        <f ca="1"/>
        <v>0</v>
      </c>
      <c r="CH68">
        <f ca="1"/>
        <v>0</v>
      </c>
      <c r="CI68">
        <f ca="1"/>
        <v>0</v>
      </c>
      <c r="CJ68">
        <f ca="1"/>
        <v>0</v>
      </c>
      <c r="CK68">
        <f ca="1"/>
        <v>0</v>
      </c>
      <c r="CL68">
        <f ca="1"/>
        <v>0</v>
      </c>
      <c r="CM68">
        <f ca="1"/>
        <v>0</v>
      </c>
      <c r="CN68">
        <f ca="1"/>
        <v>0</v>
      </c>
      <c r="CO68">
        <f ca="1"/>
        <v>0</v>
      </c>
      <c r="CP68">
        <f ca="1"/>
        <v>0</v>
      </c>
      <c r="CQ68">
        <f ca="1"/>
        <v>0</v>
      </c>
      <c r="CR68">
        <f ca="1"/>
        <v>0</v>
      </c>
      <c r="CS68">
        <f ca="1"/>
        <v>0</v>
      </c>
      <c r="CT68">
        <f ca="1"/>
        <v>0</v>
      </c>
      <c r="CU68">
        <f ca="1"/>
        <v>0</v>
      </c>
      <c r="CV68">
        <f ca="1"/>
        <v>0</v>
      </c>
      <c r="CW68">
        <f ca="1"/>
        <v>0</v>
      </c>
      <c r="CX68">
        <f ca="1"/>
        <v>0</v>
      </c>
      <c r="CY68">
        <f ca="1"/>
        <v>0</v>
      </c>
      <c r="CZ68">
        <f ca="1"/>
        <v>0</v>
      </c>
      <c r="DA68">
        <f ca="1"/>
        <v>0</v>
      </c>
      <c r="DB68">
        <f ca="1"/>
        <v>0</v>
      </c>
      <c r="DC68">
        <f ca="1"/>
        <v>0</v>
      </c>
      <c r="DD68">
        <f ca="1"/>
        <v>0</v>
      </c>
      <c r="DE68">
        <f ca="1"/>
        <v>0</v>
      </c>
      <c r="DF68">
        <f ca="1"/>
        <v>0</v>
      </c>
      <c r="DG68">
        <f ca="1"/>
        <v>0</v>
      </c>
      <c r="DH68">
        <f ca="1"/>
        <v>0</v>
      </c>
      <c r="DI68">
        <f ca="1"/>
        <v>0</v>
      </c>
      <c r="DJ68">
        <f ca="1"/>
        <v>0</v>
      </c>
      <c r="DK68">
        <f ca="1"/>
        <v>0</v>
      </c>
      <c r="DL68">
        <f ca="1"/>
        <v>0</v>
      </c>
      <c r="DM68">
        <f ca="1"/>
        <v>0</v>
      </c>
      <c r="DN68">
        <f ca="1"/>
        <v>0</v>
      </c>
      <c r="DO68">
        <f ca="1"/>
        <v>0</v>
      </c>
      <c r="DP68">
        <f ca="1"/>
        <v>0</v>
      </c>
      <c r="DQ68">
        <f ca="1"/>
        <v>0</v>
      </c>
      <c r="DR68">
        <f ca="1"/>
        <v>0</v>
      </c>
      <c r="DS68">
        <f ca="1"/>
        <v>0</v>
      </c>
      <c r="DT68">
        <f ca="1"/>
        <v>0</v>
      </c>
      <c r="DU68">
        <f ca="1"/>
        <v>0</v>
      </c>
      <c r="DV68">
        <f ca="1"/>
        <v>0</v>
      </c>
      <c r="DW68">
        <f ca="1"/>
        <v>0</v>
      </c>
      <c r="DX68">
        <f ca="1"/>
        <v>0</v>
      </c>
      <c r="DY68">
        <f ca="1"/>
        <v>0</v>
      </c>
      <c r="DZ68">
        <f ca="1"/>
        <v>0</v>
      </c>
      <c r="EA68">
        <f ca="1"/>
        <v>0</v>
      </c>
      <c r="EB68">
        <f ca="1"/>
        <v>0</v>
      </c>
      <c r="EC68">
        <f ca="1"/>
        <v>0</v>
      </c>
      <c r="ED68">
        <f ca="1"/>
        <v>0</v>
      </c>
      <c r="EE68">
        <f ca="1"/>
        <v>0</v>
      </c>
      <c r="EF68">
        <f ca="1"/>
        <v>0</v>
      </c>
      <c r="EG68">
        <f ca="1"/>
        <v>0</v>
      </c>
      <c r="EH68">
        <f ca="1"/>
        <v>0</v>
      </c>
      <c r="EI68">
        <f ca="1"/>
        <v>0</v>
      </c>
      <c r="EJ68">
        <f ca="1"/>
        <v>0</v>
      </c>
      <c r="EK68">
        <f ca="1"/>
        <v>0</v>
      </c>
      <c r="EL68">
        <f ca="1"/>
        <v>0</v>
      </c>
      <c r="EM68">
        <f ca="1"/>
        <v>0</v>
      </c>
      <c r="EN68">
        <f ca="1"/>
        <v>0</v>
      </c>
      <c r="EO68">
        <f ca="1"/>
        <v>0</v>
      </c>
      <c r="EP68">
        <f ca="1"/>
        <v>0</v>
      </c>
      <c r="EQ68">
        <f ca="1"/>
        <v>0</v>
      </c>
      <c r="ER68">
        <f ca="1"/>
        <v>0</v>
      </c>
      <c r="ES68">
        <f ca="1"/>
        <v>0</v>
      </c>
      <c r="ET68">
        <f ca="1"/>
        <v>0</v>
      </c>
      <c r="EU68">
        <f ca="1"/>
        <v>0</v>
      </c>
      <c r="EV68">
        <f ca="1"/>
        <v>0</v>
      </c>
      <c r="EW68">
        <f ca="1"/>
        <v>0</v>
      </c>
      <c r="EX68">
        <f ca="1"/>
        <v>0</v>
      </c>
      <c r="EY68">
        <f ca="1"/>
        <v>0</v>
      </c>
      <c r="EZ68">
        <f ca="1"/>
        <v>0</v>
      </c>
      <c r="FA68">
        <f ca="1"/>
        <v>0</v>
      </c>
      <c r="FB68">
        <f ca="1"/>
        <v>0</v>
      </c>
      <c r="FC68">
        <f ca="1"/>
        <v>0</v>
      </c>
      <c r="FD68">
        <f ca="1"/>
        <v>0</v>
      </c>
      <c r="FE68">
        <f ca="1"/>
        <v>0</v>
      </c>
      <c r="FF68">
        <f ca="1"/>
        <v>0</v>
      </c>
      <c r="FG68">
        <f ca="1"/>
        <v>0</v>
      </c>
      <c r="FH68">
        <f ca="1"/>
        <v>0</v>
      </c>
      <c r="FI68">
        <f ca="1"/>
        <v>0</v>
      </c>
      <c r="FJ68">
        <f ca="1"/>
        <v>0</v>
      </c>
      <c r="FK68">
        <f ca="1"/>
        <v>0</v>
      </c>
      <c r="FL68">
        <f ca="1"/>
        <v>0</v>
      </c>
      <c r="FM68">
        <f ca="1"/>
        <v>0</v>
      </c>
      <c r="FN68">
        <f ca="1"/>
        <v>0</v>
      </c>
      <c r="FO68">
        <f ca="1"/>
        <v>0</v>
      </c>
      <c r="FP68">
        <f ca="1"/>
        <v>0</v>
      </c>
      <c r="FQ68">
        <f ca="1"/>
        <v>0</v>
      </c>
      <c r="FR68">
        <f ca="1"/>
        <v>0</v>
      </c>
      <c r="FS68">
        <f ca="1"/>
        <v>0</v>
      </c>
      <c r="FT68">
        <f ca="1"/>
        <v>0</v>
      </c>
      <c r="FU68">
        <f ca="1"/>
        <v>0</v>
      </c>
      <c r="FV68">
        <f ca="1"/>
        <v>0</v>
      </c>
      <c r="FW68">
        <f ca="1"/>
        <v>0</v>
      </c>
      <c r="FX68">
        <f ca="1"/>
        <v>0</v>
      </c>
      <c r="FY68">
        <f ca="1"/>
        <v>0</v>
      </c>
      <c r="FZ68">
        <f ca="1"/>
        <v>0</v>
      </c>
    </row>
    <row r="69" spans="3:182">
      <c r="C69" cm="1">
        <f t="array" aca="1" ref="C69:FZ69" ca="1">IFERROR(TRANSPOSE(INDEX(_xlfn._xlws.FILTER(INDIRECT("SubcategoriesTable[Subcategory name]"),INDIRECT("SubcategoriesTable[Category name]")=$B69),,)),"No subcategories")</f>
        <v>0</v>
      </c>
      <c r="D69">
        <f ca="1"/>
        <v>0</v>
      </c>
      <c r="E69">
        <f ca="1"/>
        <v>0</v>
      </c>
      <c r="F69">
        <f ca="1"/>
        <v>0</v>
      </c>
      <c r="G69">
        <f ca="1"/>
        <v>0</v>
      </c>
      <c r="H69">
        <f ca="1"/>
        <v>0</v>
      </c>
      <c r="I69">
        <f ca="1"/>
        <v>0</v>
      </c>
      <c r="J69">
        <f ca="1"/>
        <v>0</v>
      </c>
      <c r="K69">
        <f ca="1"/>
        <v>0</v>
      </c>
      <c r="L69">
        <f ca="1"/>
        <v>0</v>
      </c>
      <c r="M69">
        <f ca="1"/>
        <v>0</v>
      </c>
      <c r="N69">
        <f ca="1"/>
        <v>0</v>
      </c>
      <c r="O69">
        <f ca="1"/>
        <v>0</v>
      </c>
      <c r="P69">
        <f ca="1"/>
        <v>0</v>
      </c>
      <c r="Q69">
        <f ca="1"/>
        <v>0</v>
      </c>
      <c r="R69">
        <f ca="1"/>
        <v>0</v>
      </c>
      <c r="S69">
        <f ca="1"/>
        <v>0</v>
      </c>
      <c r="T69">
        <f ca="1"/>
        <v>0</v>
      </c>
      <c r="U69">
        <f ca="1"/>
        <v>0</v>
      </c>
      <c r="V69">
        <f ca="1"/>
        <v>0</v>
      </c>
      <c r="W69">
        <f ca="1"/>
        <v>0</v>
      </c>
      <c r="X69">
        <f ca="1"/>
        <v>0</v>
      </c>
      <c r="Y69">
        <f ca="1"/>
        <v>0</v>
      </c>
      <c r="Z69">
        <f ca="1"/>
        <v>0</v>
      </c>
      <c r="AA69">
        <f ca="1"/>
        <v>0</v>
      </c>
      <c r="AB69">
        <f ca="1"/>
        <v>0</v>
      </c>
      <c r="AC69">
        <f ca="1"/>
        <v>0</v>
      </c>
      <c r="AD69">
        <f ca="1"/>
        <v>0</v>
      </c>
      <c r="AE69">
        <f ca="1"/>
        <v>0</v>
      </c>
      <c r="AF69">
        <f ca="1"/>
        <v>0</v>
      </c>
      <c r="AG69">
        <f ca="1"/>
        <v>0</v>
      </c>
      <c r="AH69">
        <f ca="1"/>
        <v>0</v>
      </c>
      <c r="AI69">
        <f ca="1"/>
        <v>0</v>
      </c>
      <c r="AJ69">
        <f ca="1"/>
        <v>0</v>
      </c>
      <c r="AK69">
        <f ca="1"/>
        <v>0</v>
      </c>
      <c r="AL69">
        <f ca="1"/>
        <v>0</v>
      </c>
      <c r="AM69">
        <f ca="1"/>
        <v>0</v>
      </c>
      <c r="AN69">
        <f ca="1"/>
        <v>0</v>
      </c>
      <c r="AO69">
        <f ca="1"/>
        <v>0</v>
      </c>
      <c r="AP69">
        <f ca="1"/>
        <v>0</v>
      </c>
      <c r="AQ69">
        <f ca="1"/>
        <v>0</v>
      </c>
      <c r="AR69">
        <f ca="1"/>
        <v>0</v>
      </c>
      <c r="AS69">
        <f ca="1"/>
        <v>0</v>
      </c>
      <c r="AT69">
        <f ca="1"/>
        <v>0</v>
      </c>
      <c r="AU69">
        <f ca="1"/>
        <v>0</v>
      </c>
      <c r="AV69">
        <f ca="1"/>
        <v>0</v>
      </c>
      <c r="AW69">
        <f ca="1"/>
        <v>0</v>
      </c>
      <c r="AX69">
        <f ca="1"/>
        <v>0</v>
      </c>
      <c r="AY69">
        <f ca="1"/>
        <v>0</v>
      </c>
      <c r="AZ69">
        <f ca="1"/>
        <v>0</v>
      </c>
      <c r="BA69">
        <f ca="1"/>
        <v>0</v>
      </c>
      <c r="BB69">
        <f ca="1"/>
        <v>0</v>
      </c>
      <c r="BC69">
        <f ca="1"/>
        <v>0</v>
      </c>
      <c r="BD69">
        <f ca="1"/>
        <v>0</v>
      </c>
      <c r="BE69">
        <f ca="1"/>
        <v>0</v>
      </c>
      <c r="BF69">
        <f ca="1"/>
        <v>0</v>
      </c>
      <c r="BG69">
        <f ca="1"/>
        <v>0</v>
      </c>
      <c r="BH69">
        <f ca="1"/>
        <v>0</v>
      </c>
      <c r="BI69">
        <f ca="1"/>
        <v>0</v>
      </c>
      <c r="BJ69">
        <f ca="1"/>
        <v>0</v>
      </c>
      <c r="BK69">
        <f ca="1"/>
        <v>0</v>
      </c>
      <c r="BL69">
        <f ca="1"/>
        <v>0</v>
      </c>
      <c r="BM69">
        <f ca="1"/>
        <v>0</v>
      </c>
      <c r="BN69">
        <f ca="1"/>
        <v>0</v>
      </c>
      <c r="BO69">
        <f ca="1"/>
        <v>0</v>
      </c>
      <c r="BP69">
        <f ca="1"/>
        <v>0</v>
      </c>
      <c r="BQ69">
        <f ca="1"/>
        <v>0</v>
      </c>
      <c r="BR69">
        <f ca="1"/>
        <v>0</v>
      </c>
      <c r="BS69">
        <f ca="1"/>
        <v>0</v>
      </c>
      <c r="BT69">
        <f ca="1"/>
        <v>0</v>
      </c>
      <c r="BU69">
        <f ca="1"/>
        <v>0</v>
      </c>
      <c r="BV69">
        <f ca="1"/>
        <v>0</v>
      </c>
      <c r="BW69">
        <f ca="1"/>
        <v>0</v>
      </c>
      <c r="BX69">
        <f ca="1"/>
        <v>0</v>
      </c>
      <c r="BY69">
        <f ca="1"/>
        <v>0</v>
      </c>
      <c r="BZ69">
        <f ca="1"/>
        <v>0</v>
      </c>
      <c r="CA69">
        <f ca="1"/>
        <v>0</v>
      </c>
      <c r="CB69">
        <f ca="1"/>
        <v>0</v>
      </c>
      <c r="CC69">
        <f ca="1"/>
        <v>0</v>
      </c>
      <c r="CD69">
        <f ca="1"/>
        <v>0</v>
      </c>
      <c r="CE69">
        <f ca="1"/>
        <v>0</v>
      </c>
      <c r="CF69">
        <f ca="1"/>
        <v>0</v>
      </c>
      <c r="CG69">
        <f ca="1"/>
        <v>0</v>
      </c>
      <c r="CH69">
        <f ca="1"/>
        <v>0</v>
      </c>
      <c r="CI69">
        <f ca="1"/>
        <v>0</v>
      </c>
      <c r="CJ69">
        <f ca="1"/>
        <v>0</v>
      </c>
      <c r="CK69">
        <f ca="1"/>
        <v>0</v>
      </c>
      <c r="CL69">
        <f ca="1"/>
        <v>0</v>
      </c>
      <c r="CM69">
        <f ca="1"/>
        <v>0</v>
      </c>
      <c r="CN69">
        <f ca="1"/>
        <v>0</v>
      </c>
      <c r="CO69">
        <f ca="1"/>
        <v>0</v>
      </c>
      <c r="CP69">
        <f ca="1"/>
        <v>0</v>
      </c>
      <c r="CQ69">
        <f ca="1"/>
        <v>0</v>
      </c>
      <c r="CR69">
        <f ca="1"/>
        <v>0</v>
      </c>
      <c r="CS69">
        <f ca="1"/>
        <v>0</v>
      </c>
      <c r="CT69">
        <f ca="1"/>
        <v>0</v>
      </c>
      <c r="CU69">
        <f ca="1"/>
        <v>0</v>
      </c>
      <c r="CV69">
        <f ca="1"/>
        <v>0</v>
      </c>
      <c r="CW69">
        <f ca="1"/>
        <v>0</v>
      </c>
      <c r="CX69">
        <f ca="1"/>
        <v>0</v>
      </c>
      <c r="CY69">
        <f ca="1"/>
        <v>0</v>
      </c>
      <c r="CZ69">
        <f ca="1"/>
        <v>0</v>
      </c>
      <c r="DA69">
        <f ca="1"/>
        <v>0</v>
      </c>
      <c r="DB69">
        <f ca="1"/>
        <v>0</v>
      </c>
      <c r="DC69">
        <f ca="1"/>
        <v>0</v>
      </c>
      <c r="DD69">
        <f ca="1"/>
        <v>0</v>
      </c>
      <c r="DE69">
        <f ca="1"/>
        <v>0</v>
      </c>
      <c r="DF69">
        <f ca="1"/>
        <v>0</v>
      </c>
      <c r="DG69">
        <f ca="1"/>
        <v>0</v>
      </c>
      <c r="DH69">
        <f ca="1"/>
        <v>0</v>
      </c>
      <c r="DI69">
        <f ca="1"/>
        <v>0</v>
      </c>
      <c r="DJ69">
        <f ca="1"/>
        <v>0</v>
      </c>
      <c r="DK69">
        <f ca="1"/>
        <v>0</v>
      </c>
      <c r="DL69">
        <f ca="1"/>
        <v>0</v>
      </c>
      <c r="DM69">
        <f ca="1"/>
        <v>0</v>
      </c>
      <c r="DN69">
        <f ca="1"/>
        <v>0</v>
      </c>
      <c r="DO69">
        <f ca="1"/>
        <v>0</v>
      </c>
      <c r="DP69">
        <f ca="1"/>
        <v>0</v>
      </c>
      <c r="DQ69">
        <f ca="1"/>
        <v>0</v>
      </c>
      <c r="DR69">
        <f ca="1"/>
        <v>0</v>
      </c>
      <c r="DS69">
        <f ca="1"/>
        <v>0</v>
      </c>
      <c r="DT69">
        <f ca="1"/>
        <v>0</v>
      </c>
      <c r="DU69">
        <f ca="1"/>
        <v>0</v>
      </c>
      <c r="DV69">
        <f ca="1"/>
        <v>0</v>
      </c>
      <c r="DW69">
        <f ca="1"/>
        <v>0</v>
      </c>
      <c r="DX69">
        <f ca="1"/>
        <v>0</v>
      </c>
      <c r="DY69">
        <f ca="1"/>
        <v>0</v>
      </c>
      <c r="DZ69">
        <f ca="1"/>
        <v>0</v>
      </c>
      <c r="EA69">
        <f ca="1"/>
        <v>0</v>
      </c>
      <c r="EB69">
        <f ca="1"/>
        <v>0</v>
      </c>
      <c r="EC69">
        <f ca="1"/>
        <v>0</v>
      </c>
      <c r="ED69">
        <f ca="1"/>
        <v>0</v>
      </c>
      <c r="EE69">
        <f ca="1"/>
        <v>0</v>
      </c>
      <c r="EF69">
        <f ca="1"/>
        <v>0</v>
      </c>
      <c r="EG69">
        <f ca="1"/>
        <v>0</v>
      </c>
      <c r="EH69">
        <f ca="1"/>
        <v>0</v>
      </c>
      <c r="EI69">
        <f ca="1"/>
        <v>0</v>
      </c>
      <c r="EJ69">
        <f ca="1"/>
        <v>0</v>
      </c>
      <c r="EK69">
        <f ca="1"/>
        <v>0</v>
      </c>
      <c r="EL69">
        <f ca="1"/>
        <v>0</v>
      </c>
      <c r="EM69">
        <f ca="1"/>
        <v>0</v>
      </c>
      <c r="EN69">
        <f ca="1"/>
        <v>0</v>
      </c>
      <c r="EO69">
        <f ca="1"/>
        <v>0</v>
      </c>
      <c r="EP69">
        <f ca="1"/>
        <v>0</v>
      </c>
      <c r="EQ69">
        <f ca="1"/>
        <v>0</v>
      </c>
      <c r="ER69">
        <f ca="1"/>
        <v>0</v>
      </c>
      <c r="ES69">
        <f ca="1"/>
        <v>0</v>
      </c>
      <c r="ET69">
        <f ca="1"/>
        <v>0</v>
      </c>
      <c r="EU69">
        <f ca="1"/>
        <v>0</v>
      </c>
      <c r="EV69">
        <f ca="1"/>
        <v>0</v>
      </c>
      <c r="EW69">
        <f ca="1"/>
        <v>0</v>
      </c>
      <c r="EX69">
        <f ca="1"/>
        <v>0</v>
      </c>
      <c r="EY69">
        <f ca="1"/>
        <v>0</v>
      </c>
      <c r="EZ69">
        <f ca="1"/>
        <v>0</v>
      </c>
      <c r="FA69">
        <f ca="1"/>
        <v>0</v>
      </c>
      <c r="FB69">
        <f ca="1"/>
        <v>0</v>
      </c>
      <c r="FC69">
        <f ca="1"/>
        <v>0</v>
      </c>
      <c r="FD69">
        <f ca="1"/>
        <v>0</v>
      </c>
      <c r="FE69">
        <f ca="1"/>
        <v>0</v>
      </c>
      <c r="FF69">
        <f ca="1"/>
        <v>0</v>
      </c>
      <c r="FG69">
        <f ca="1"/>
        <v>0</v>
      </c>
      <c r="FH69">
        <f ca="1"/>
        <v>0</v>
      </c>
      <c r="FI69">
        <f ca="1"/>
        <v>0</v>
      </c>
      <c r="FJ69">
        <f ca="1"/>
        <v>0</v>
      </c>
      <c r="FK69">
        <f ca="1"/>
        <v>0</v>
      </c>
      <c r="FL69">
        <f ca="1"/>
        <v>0</v>
      </c>
      <c r="FM69">
        <f ca="1"/>
        <v>0</v>
      </c>
      <c r="FN69">
        <f ca="1"/>
        <v>0</v>
      </c>
      <c r="FO69">
        <f ca="1"/>
        <v>0</v>
      </c>
      <c r="FP69">
        <f ca="1"/>
        <v>0</v>
      </c>
      <c r="FQ69">
        <f ca="1"/>
        <v>0</v>
      </c>
      <c r="FR69">
        <f ca="1"/>
        <v>0</v>
      </c>
      <c r="FS69">
        <f ca="1"/>
        <v>0</v>
      </c>
      <c r="FT69">
        <f ca="1"/>
        <v>0</v>
      </c>
      <c r="FU69">
        <f ca="1"/>
        <v>0</v>
      </c>
      <c r="FV69">
        <f ca="1"/>
        <v>0</v>
      </c>
      <c r="FW69">
        <f ca="1"/>
        <v>0</v>
      </c>
      <c r="FX69">
        <f ca="1"/>
        <v>0</v>
      </c>
      <c r="FY69">
        <f ca="1"/>
        <v>0</v>
      </c>
      <c r="FZ69">
        <f ca="1"/>
        <v>0</v>
      </c>
    </row>
    <row r="70" spans="3:182">
      <c r="C70" cm="1">
        <f t="array" aca="1" ref="C70:FZ70" ca="1">IFERROR(TRANSPOSE(INDEX(_xlfn._xlws.FILTER(INDIRECT("SubcategoriesTable[Subcategory name]"),INDIRECT("SubcategoriesTable[Category name]")=$B70),,)),"No subcategories")</f>
        <v>0</v>
      </c>
      <c r="D70">
        <f ca="1"/>
        <v>0</v>
      </c>
      <c r="E70">
        <f ca="1"/>
        <v>0</v>
      </c>
      <c r="F70">
        <f ca="1"/>
        <v>0</v>
      </c>
      <c r="G70">
        <f ca="1"/>
        <v>0</v>
      </c>
      <c r="H70">
        <f ca="1"/>
        <v>0</v>
      </c>
      <c r="I70">
        <f ca="1"/>
        <v>0</v>
      </c>
      <c r="J70">
        <f ca="1"/>
        <v>0</v>
      </c>
      <c r="K70">
        <f ca="1"/>
        <v>0</v>
      </c>
      <c r="L70">
        <f ca="1"/>
        <v>0</v>
      </c>
      <c r="M70">
        <f ca="1"/>
        <v>0</v>
      </c>
      <c r="N70">
        <f ca="1"/>
        <v>0</v>
      </c>
      <c r="O70">
        <f ca="1"/>
        <v>0</v>
      </c>
      <c r="P70">
        <f ca="1"/>
        <v>0</v>
      </c>
      <c r="Q70">
        <f ca="1"/>
        <v>0</v>
      </c>
      <c r="R70">
        <f ca="1"/>
        <v>0</v>
      </c>
      <c r="S70">
        <f ca="1"/>
        <v>0</v>
      </c>
      <c r="T70">
        <f ca="1"/>
        <v>0</v>
      </c>
      <c r="U70">
        <f ca="1"/>
        <v>0</v>
      </c>
      <c r="V70">
        <f ca="1"/>
        <v>0</v>
      </c>
      <c r="W70">
        <f ca="1"/>
        <v>0</v>
      </c>
      <c r="X70">
        <f ca="1"/>
        <v>0</v>
      </c>
      <c r="Y70">
        <f ca="1"/>
        <v>0</v>
      </c>
      <c r="Z70">
        <f ca="1"/>
        <v>0</v>
      </c>
      <c r="AA70">
        <f ca="1"/>
        <v>0</v>
      </c>
      <c r="AB70">
        <f ca="1"/>
        <v>0</v>
      </c>
      <c r="AC70">
        <f ca="1"/>
        <v>0</v>
      </c>
      <c r="AD70">
        <f ca="1"/>
        <v>0</v>
      </c>
      <c r="AE70">
        <f ca="1"/>
        <v>0</v>
      </c>
      <c r="AF70">
        <f ca="1"/>
        <v>0</v>
      </c>
      <c r="AG70">
        <f ca="1"/>
        <v>0</v>
      </c>
      <c r="AH70">
        <f ca="1"/>
        <v>0</v>
      </c>
      <c r="AI70">
        <f ca="1"/>
        <v>0</v>
      </c>
      <c r="AJ70">
        <f ca="1"/>
        <v>0</v>
      </c>
      <c r="AK70">
        <f ca="1"/>
        <v>0</v>
      </c>
      <c r="AL70">
        <f ca="1"/>
        <v>0</v>
      </c>
      <c r="AM70">
        <f ca="1"/>
        <v>0</v>
      </c>
      <c r="AN70">
        <f ca="1"/>
        <v>0</v>
      </c>
      <c r="AO70">
        <f ca="1"/>
        <v>0</v>
      </c>
      <c r="AP70">
        <f ca="1"/>
        <v>0</v>
      </c>
      <c r="AQ70">
        <f ca="1"/>
        <v>0</v>
      </c>
      <c r="AR70">
        <f ca="1"/>
        <v>0</v>
      </c>
      <c r="AS70">
        <f ca="1"/>
        <v>0</v>
      </c>
      <c r="AT70">
        <f ca="1"/>
        <v>0</v>
      </c>
      <c r="AU70">
        <f ca="1"/>
        <v>0</v>
      </c>
      <c r="AV70">
        <f ca="1"/>
        <v>0</v>
      </c>
      <c r="AW70">
        <f ca="1"/>
        <v>0</v>
      </c>
      <c r="AX70">
        <f ca="1"/>
        <v>0</v>
      </c>
      <c r="AY70">
        <f ca="1"/>
        <v>0</v>
      </c>
      <c r="AZ70">
        <f ca="1"/>
        <v>0</v>
      </c>
      <c r="BA70">
        <f ca="1"/>
        <v>0</v>
      </c>
      <c r="BB70">
        <f ca="1"/>
        <v>0</v>
      </c>
      <c r="BC70">
        <f ca="1"/>
        <v>0</v>
      </c>
      <c r="BD70">
        <f ca="1"/>
        <v>0</v>
      </c>
      <c r="BE70">
        <f ca="1"/>
        <v>0</v>
      </c>
      <c r="BF70">
        <f ca="1"/>
        <v>0</v>
      </c>
      <c r="BG70">
        <f ca="1"/>
        <v>0</v>
      </c>
      <c r="BH70">
        <f ca="1"/>
        <v>0</v>
      </c>
      <c r="BI70">
        <f ca="1"/>
        <v>0</v>
      </c>
      <c r="BJ70">
        <f ca="1"/>
        <v>0</v>
      </c>
      <c r="BK70">
        <f ca="1"/>
        <v>0</v>
      </c>
      <c r="BL70">
        <f ca="1"/>
        <v>0</v>
      </c>
      <c r="BM70">
        <f ca="1"/>
        <v>0</v>
      </c>
      <c r="BN70">
        <f ca="1"/>
        <v>0</v>
      </c>
      <c r="BO70">
        <f ca="1"/>
        <v>0</v>
      </c>
      <c r="BP70">
        <f ca="1"/>
        <v>0</v>
      </c>
      <c r="BQ70">
        <f ca="1"/>
        <v>0</v>
      </c>
      <c r="BR70">
        <f ca="1"/>
        <v>0</v>
      </c>
      <c r="BS70">
        <f ca="1"/>
        <v>0</v>
      </c>
      <c r="BT70">
        <f ca="1"/>
        <v>0</v>
      </c>
      <c r="BU70">
        <f ca="1"/>
        <v>0</v>
      </c>
      <c r="BV70">
        <f ca="1"/>
        <v>0</v>
      </c>
      <c r="BW70">
        <f ca="1"/>
        <v>0</v>
      </c>
      <c r="BX70">
        <f ca="1"/>
        <v>0</v>
      </c>
      <c r="BY70">
        <f ca="1"/>
        <v>0</v>
      </c>
      <c r="BZ70">
        <f ca="1"/>
        <v>0</v>
      </c>
      <c r="CA70">
        <f ca="1"/>
        <v>0</v>
      </c>
      <c r="CB70">
        <f ca="1"/>
        <v>0</v>
      </c>
      <c r="CC70">
        <f ca="1"/>
        <v>0</v>
      </c>
      <c r="CD70">
        <f ca="1"/>
        <v>0</v>
      </c>
      <c r="CE70">
        <f ca="1"/>
        <v>0</v>
      </c>
      <c r="CF70">
        <f ca="1"/>
        <v>0</v>
      </c>
      <c r="CG70">
        <f ca="1"/>
        <v>0</v>
      </c>
      <c r="CH70">
        <f ca="1"/>
        <v>0</v>
      </c>
      <c r="CI70">
        <f ca="1"/>
        <v>0</v>
      </c>
      <c r="CJ70">
        <f ca="1"/>
        <v>0</v>
      </c>
      <c r="CK70">
        <f ca="1"/>
        <v>0</v>
      </c>
      <c r="CL70">
        <f ca="1"/>
        <v>0</v>
      </c>
      <c r="CM70">
        <f ca="1"/>
        <v>0</v>
      </c>
      <c r="CN70">
        <f ca="1"/>
        <v>0</v>
      </c>
      <c r="CO70">
        <f ca="1"/>
        <v>0</v>
      </c>
      <c r="CP70">
        <f ca="1"/>
        <v>0</v>
      </c>
      <c r="CQ70">
        <f ca="1"/>
        <v>0</v>
      </c>
      <c r="CR70">
        <f ca="1"/>
        <v>0</v>
      </c>
      <c r="CS70">
        <f ca="1"/>
        <v>0</v>
      </c>
      <c r="CT70">
        <f ca="1"/>
        <v>0</v>
      </c>
      <c r="CU70">
        <f ca="1"/>
        <v>0</v>
      </c>
      <c r="CV70">
        <f ca="1"/>
        <v>0</v>
      </c>
      <c r="CW70">
        <f ca="1"/>
        <v>0</v>
      </c>
      <c r="CX70">
        <f ca="1"/>
        <v>0</v>
      </c>
      <c r="CY70">
        <f ca="1"/>
        <v>0</v>
      </c>
      <c r="CZ70">
        <f ca="1"/>
        <v>0</v>
      </c>
      <c r="DA70">
        <f ca="1"/>
        <v>0</v>
      </c>
      <c r="DB70">
        <f ca="1"/>
        <v>0</v>
      </c>
      <c r="DC70">
        <f ca="1"/>
        <v>0</v>
      </c>
      <c r="DD70">
        <f ca="1"/>
        <v>0</v>
      </c>
      <c r="DE70">
        <f ca="1"/>
        <v>0</v>
      </c>
      <c r="DF70">
        <f ca="1"/>
        <v>0</v>
      </c>
      <c r="DG70">
        <f ca="1"/>
        <v>0</v>
      </c>
      <c r="DH70">
        <f ca="1"/>
        <v>0</v>
      </c>
      <c r="DI70">
        <f ca="1"/>
        <v>0</v>
      </c>
      <c r="DJ70">
        <f ca="1"/>
        <v>0</v>
      </c>
      <c r="DK70">
        <f ca="1"/>
        <v>0</v>
      </c>
      <c r="DL70">
        <f ca="1"/>
        <v>0</v>
      </c>
      <c r="DM70">
        <f ca="1"/>
        <v>0</v>
      </c>
      <c r="DN70">
        <f ca="1"/>
        <v>0</v>
      </c>
      <c r="DO70">
        <f ca="1"/>
        <v>0</v>
      </c>
      <c r="DP70">
        <f ca="1"/>
        <v>0</v>
      </c>
      <c r="DQ70">
        <f ca="1"/>
        <v>0</v>
      </c>
      <c r="DR70">
        <f ca="1"/>
        <v>0</v>
      </c>
      <c r="DS70">
        <f ca="1"/>
        <v>0</v>
      </c>
      <c r="DT70">
        <f ca="1"/>
        <v>0</v>
      </c>
      <c r="DU70">
        <f ca="1"/>
        <v>0</v>
      </c>
      <c r="DV70">
        <f ca="1"/>
        <v>0</v>
      </c>
      <c r="DW70">
        <f ca="1"/>
        <v>0</v>
      </c>
      <c r="DX70">
        <f ca="1"/>
        <v>0</v>
      </c>
      <c r="DY70">
        <f ca="1"/>
        <v>0</v>
      </c>
      <c r="DZ70">
        <f ca="1"/>
        <v>0</v>
      </c>
      <c r="EA70">
        <f ca="1"/>
        <v>0</v>
      </c>
      <c r="EB70">
        <f ca="1"/>
        <v>0</v>
      </c>
      <c r="EC70">
        <f ca="1"/>
        <v>0</v>
      </c>
      <c r="ED70">
        <f ca="1"/>
        <v>0</v>
      </c>
      <c r="EE70">
        <f ca="1"/>
        <v>0</v>
      </c>
      <c r="EF70">
        <f ca="1"/>
        <v>0</v>
      </c>
      <c r="EG70">
        <f ca="1"/>
        <v>0</v>
      </c>
      <c r="EH70">
        <f ca="1"/>
        <v>0</v>
      </c>
      <c r="EI70">
        <f ca="1"/>
        <v>0</v>
      </c>
      <c r="EJ70">
        <f ca="1"/>
        <v>0</v>
      </c>
      <c r="EK70">
        <f ca="1"/>
        <v>0</v>
      </c>
      <c r="EL70">
        <f ca="1"/>
        <v>0</v>
      </c>
      <c r="EM70">
        <f ca="1"/>
        <v>0</v>
      </c>
      <c r="EN70">
        <f ca="1"/>
        <v>0</v>
      </c>
      <c r="EO70">
        <f ca="1"/>
        <v>0</v>
      </c>
      <c r="EP70">
        <f ca="1"/>
        <v>0</v>
      </c>
      <c r="EQ70">
        <f ca="1"/>
        <v>0</v>
      </c>
      <c r="ER70">
        <f ca="1"/>
        <v>0</v>
      </c>
      <c r="ES70">
        <f ca="1"/>
        <v>0</v>
      </c>
      <c r="ET70">
        <f ca="1"/>
        <v>0</v>
      </c>
      <c r="EU70">
        <f ca="1"/>
        <v>0</v>
      </c>
      <c r="EV70">
        <f ca="1"/>
        <v>0</v>
      </c>
      <c r="EW70">
        <f ca="1"/>
        <v>0</v>
      </c>
      <c r="EX70">
        <f ca="1"/>
        <v>0</v>
      </c>
      <c r="EY70">
        <f ca="1"/>
        <v>0</v>
      </c>
      <c r="EZ70">
        <f ca="1"/>
        <v>0</v>
      </c>
      <c r="FA70">
        <f ca="1"/>
        <v>0</v>
      </c>
      <c r="FB70">
        <f ca="1"/>
        <v>0</v>
      </c>
      <c r="FC70">
        <f ca="1"/>
        <v>0</v>
      </c>
      <c r="FD70">
        <f ca="1"/>
        <v>0</v>
      </c>
      <c r="FE70">
        <f ca="1"/>
        <v>0</v>
      </c>
      <c r="FF70">
        <f ca="1"/>
        <v>0</v>
      </c>
      <c r="FG70">
        <f ca="1"/>
        <v>0</v>
      </c>
      <c r="FH70">
        <f ca="1"/>
        <v>0</v>
      </c>
      <c r="FI70">
        <f ca="1"/>
        <v>0</v>
      </c>
      <c r="FJ70">
        <f ca="1"/>
        <v>0</v>
      </c>
      <c r="FK70">
        <f ca="1"/>
        <v>0</v>
      </c>
      <c r="FL70">
        <f ca="1"/>
        <v>0</v>
      </c>
      <c r="FM70">
        <f ca="1"/>
        <v>0</v>
      </c>
      <c r="FN70">
        <f ca="1"/>
        <v>0</v>
      </c>
      <c r="FO70">
        <f ca="1"/>
        <v>0</v>
      </c>
      <c r="FP70">
        <f ca="1"/>
        <v>0</v>
      </c>
      <c r="FQ70">
        <f ca="1"/>
        <v>0</v>
      </c>
      <c r="FR70">
        <f ca="1"/>
        <v>0</v>
      </c>
      <c r="FS70">
        <f ca="1"/>
        <v>0</v>
      </c>
      <c r="FT70">
        <f ca="1"/>
        <v>0</v>
      </c>
      <c r="FU70">
        <f ca="1"/>
        <v>0</v>
      </c>
      <c r="FV70">
        <f ca="1"/>
        <v>0</v>
      </c>
      <c r="FW70">
        <f ca="1"/>
        <v>0</v>
      </c>
      <c r="FX70">
        <f ca="1"/>
        <v>0</v>
      </c>
      <c r="FY70">
        <f ca="1"/>
        <v>0</v>
      </c>
      <c r="FZ70">
        <f ca="1"/>
        <v>0</v>
      </c>
    </row>
    <row r="71" spans="3:182">
      <c r="C71" cm="1">
        <f t="array" aca="1" ref="C71:FZ71" ca="1">IFERROR(TRANSPOSE(INDEX(_xlfn._xlws.FILTER(INDIRECT("SubcategoriesTable[Subcategory name]"),INDIRECT("SubcategoriesTable[Category name]")=$B71),,)),"No subcategories")</f>
        <v>0</v>
      </c>
      <c r="D71">
        <f ca="1"/>
        <v>0</v>
      </c>
      <c r="E71">
        <f ca="1"/>
        <v>0</v>
      </c>
      <c r="F71">
        <f ca="1"/>
        <v>0</v>
      </c>
      <c r="G71">
        <f ca="1"/>
        <v>0</v>
      </c>
      <c r="H71">
        <f ca="1"/>
        <v>0</v>
      </c>
      <c r="I71">
        <f ca="1"/>
        <v>0</v>
      </c>
      <c r="J71">
        <f ca="1"/>
        <v>0</v>
      </c>
      <c r="K71">
        <f ca="1"/>
        <v>0</v>
      </c>
      <c r="L71">
        <f ca="1"/>
        <v>0</v>
      </c>
      <c r="M71">
        <f ca="1"/>
        <v>0</v>
      </c>
      <c r="N71">
        <f ca="1"/>
        <v>0</v>
      </c>
      <c r="O71">
        <f ca="1"/>
        <v>0</v>
      </c>
      <c r="P71">
        <f ca="1"/>
        <v>0</v>
      </c>
      <c r="Q71">
        <f ca="1"/>
        <v>0</v>
      </c>
      <c r="R71">
        <f ca="1"/>
        <v>0</v>
      </c>
      <c r="S71">
        <f ca="1"/>
        <v>0</v>
      </c>
      <c r="T71">
        <f ca="1"/>
        <v>0</v>
      </c>
      <c r="U71">
        <f ca="1"/>
        <v>0</v>
      </c>
      <c r="V71">
        <f ca="1"/>
        <v>0</v>
      </c>
      <c r="W71">
        <f ca="1"/>
        <v>0</v>
      </c>
      <c r="X71">
        <f ca="1"/>
        <v>0</v>
      </c>
      <c r="Y71">
        <f ca="1"/>
        <v>0</v>
      </c>
      <c r="Z71">
        <f ca="1"/>
        <v>0</v>
      </c>
      <c r="AA71">
        <f ca="1"/>
        <v>0</v>
      </c>
      <c r="AB71">
        <f ca="1"/>
        <v>0</v>
      </c>
      <c r="AC71">
        <f ca="1"/>
        <v>0</v>
      </c>
      <c r="AD71">
        <f ca="1"/>
        <v>0</v>
      </c>
      <c r="AE71">
        <f ca="1"/>
        <v>0</v>
      </c>
      <c r="AF71">
        <f ca="1"/>
        <v>0</v>
      </c>
      <c r="AG71">
        <f ca="1"/>
        <v>0</v>
      </c>
      <c r="AH71">
        <f ca="1"/>
        <v>0</v>
      </c>
      <c r="AI71">
        <f ca="1"/>
        <v>0</v>
      </c>
      <c r="AJ71">
        <f ca="1"/>
        <v>0</v>
      </c>
      <c r="AK71">
        <f ca="1"/>
        <v>0</v>
      </c>
      <c r="AL71">
        <f ca="1"/>
        <v>0</v>
      </c>
      <c r="AM71">
        <f ca="1"/>
        <v>0</v>
      </c>
      <c r="AN71">
        <f ca="1"/>
        <v>0</v>
      </c>
      <c r="AO71">
        <f ca="1"/>
        <v>0</v>
      </c>
      <c r="AP71">
        <f ca="1"/>
        <v>0</v>
      </c>
      <c r="AQ71">
        <f ca="1"/>
        <v>0</v>
      </c>
      <c r="AR71">
        <f ca="1"/>
        <v>0</v>
      </c>
      <c r="AS71">
        <f ca="1"/>
        <v>0</v>
      </c>
      <c r="AT71">
        <f ca="1"/>
        <v>0</v>
      </c>
      <c r="AU71">
        <f ca="1"/>
        <v>0</v>
      </c>
      <c r="AV71">
        <f ca="1"/>
        <v>0</v>
      </c>
      <c r="AW71">
        <f ca="1"/>
        <v>0</v>
      </c>
      <c r="AX71">
        <f ca="1"/>
        <v>0</v>
      </c>
      <c r="AY71">
        <f ca="1"/>
        <v>0</v>
      </c>
      <c r="AZ71">
        <f ca="1"/>
        <v>0</v>
      </c>
      <c r="BA71">
        <f ca="1"/>
        <v>0</v>
      </c>
      <c r="BB71">
        <f ca="1"/>
        <v>0</v>
      </c>
      <c r="BC71">
        <f ca="1"/>
        <v>0</v>
      </c>
      <c r="BD71">
        <f ca="1"/>
        <v>0</v>
      </c>
      <c r="BE71">
        <f ca="1"/>
        <v>0</v>
      </c>
      <c r="BF71">
        <f ca="1"/>
        <v>0</v>
      </c>
      <c r="BG71">
        <f ca="1"/>
        <v>0</v>
      </c>
      <c r="BH71">
        <f ca="1"/>
        <v>0</v>
      </c>
      <c r="BI71">
        <f ca="1"/>
        <v>0</v>
      </c>
      <c r="BJ71">
        <f ca="1"/>
        <v>0</v>
      </c>
      <c r="BK71">
        <f ca="1"/>
        <v>0</v>
      </c>
      <c r="BL71">
        <f ca="1"/>
        <v>0</v>
      </c>
      <c r="BM71">
        <f ca="1"/>
        <v>0</v>
      </c>
      <c r="BN71">
        <f ca="1"/>
        <v>0</v>
      </c>
      <c r="BO71">
        <f ca="1"/>
        <v>0</v>
      </c>
      <c r="BP71">
        <f ca="1"/>
        <v>0</v>
      </c>
      <c r="BQ71">
        <f ca="1"/>
        <v>0</v>
      </c>
      <c r="BR71">
        <f ca="1"/>
        <v>0</v>
      </c>
      <c r="BS71">
        <f ca="1"/>
        <v>0</v>
      </c>
      <c r="BT71">
        <f ca="1"/>
        <v>0</v>
      </c>
      <c r="BU71">
        <f ca="1"/>
        <v>0</v>
      </c>
      <c r="BV71">
        <f ca="1"/>
        <v>0</v>
      </c>
      <c r="BW71">
        <f ca="1"/>
        <v>0</v>
      </c>
      <c r="BX71">
        <f ca="1"/>
        <v>0</v>
      </c>
      <c r="BY71">
        <f ca="1"/>
        <v>0</v>
      </c>
      <c r="BZ71">
        <f ca="1"/>
        <v>0</v>
      </c>
      <c r="CA71">
        <f ca="1"/>
        <v>0</v>
      </c>
      <c r="CB71">
        <f ca="1"/>
        <v>0</v>
      </c>
      <c r="CC71">
        <f ca="1"/>
        <v>0</v>
      </c>
      <c r="CD71">
        <f ca="1"/>
        <v>0</v>
      </c>
      <c r="CE71">
        <f ca="1"/>
        <v>0</v>
      </c>
      <c r="CF71">
        <f ca="1"/>
        <v>0</v>
      </c>
      <c r="CG71">
        <f ca="1"/>
        <v>0</v>
      </c>
      <c r="CH71">
        <f ca="1"/>
        <v>0</v>
      </c>
      <c r="CI71">
        <f ca="1"/>
        <v>0</v>
      </c>
      <c r="CJ71">
        <f ca="1"/>
        <v>0</v>
      </c>
      <c r="CK71">
        <f ca="1"/>
        <v>0</v>
      </c>
      <c r="CL71">
        <f ca="1"/>
        <v>0</v>
      </c>
      <c r="CM71">
        <f ca="1"/>
        <v>0</v>
      </c>
      <c r="CN71">
        <f ca="1"/>
        <v>0</v>
      </c>
      <c r="CO71">
        <f ca="1"/>
        <v>0</v>
      </c>
      <c r="CP71">
        <f ca="1"/>
        <v>0</v>
      </c>
      <c r="CQ71">
        <f ca="1"/>
        <v>0</v>
      </c>
      <c r="CR71">
        <f ca="1"/>
        <v>0</v>
      </c>
      <c r="CS71">
        <f ca="1"/>
        <v>0</v>
      </c>
      <c r="CT71">
        <f ca="1"/>
        <v>0</v>
      </c>
      <c r="CU71">
        <f ca="1"/>
        <v>0</v>
      </c>
      <c r="CV71">
        <f ca="1"/>
        <v>0</v>
      </c>
      <c r="CW71">
        <f ca="1"/>
        <v>0</v>
      </c>
      <c r="CX71">
        <f ca="1"/>
        <v>0</v>
      </c>
      <c r="CY71">
        <f ca="1"/>
        <v>0</v>
      </c>
      <c r="CZ71">
        <f ca="1"/>
        <v>0</v>
      </c>
      <c r="DA71">
        <f ca="1"/>
        <v>0</v>
      </c>
      <c r="DB71">
        <f ca="1"/>
        <v>0</v>
      </c>
      <c r="DC71">
        <f ca="1"/>
        <v>0</v>
      </c>
      <c r="DD71">
        <f ca="1"/>
        <v>0</v>
      </c>
      <c r="DE71">
        <f ca="1"/>
        <v>0</v>
      </c>
      <c r="DF71">
        <f ca="1"/>
        <v>0</v>
      </c>
      <c r="DG71">
        <f ca="1"/>
        <v>0</v>
      </c>
      <c r="DH71">
        <f ca="1"/>
        <v>0</v>
      </c>
      <c r="DI71">
        <f ca="1"/>
        <v>0</v>
      </c>
      <c r="DJ71">
        <f ca="1"/>
        <v>0</v>
      </c>
      <c r="DK71">
        <f ca="1"/>
        <v>0</v>
      </c>
      <c r="DL71">
        <f ca="1"/>
        <v>0</v>
      </c>
      <c r="DM71">
        <f ca="1"/>
        <v>0</v>
      </c>
      <c r="DN71">
        <f ca="1"/>
        <v>0</v>
      </c>
      <c r="DO71">
        <f ca="1"/>
        <v>0</v>
      </c>
      <c r="DP71">
        <f ca="1"/>
        <v>0</v>
      </c>
      <c r="DQ71">
        <f ca="1"/>
        <v>0</v>
      </c>
      <c r="DR71">
        <f ca="1"/>
        <v>0</v>
      </c>
      <c r="DS71">
        <f ca="1"/>
        <v>0</v>
      </c>
      <c r="DT71">
        <f ca="1"/>
        <v>0</v>
      </c>
      <c r="DU71">
        <f ca="1"/>
        <v>0</v>
      </c>
      <c r="DV71">
        <f ca="1"/>
        <v>0</v>
      </c>
      <c r="DW71">
        <f ca="1"/>
        <v>0</v>
      </c>
      <c r="DX71">
        <f ca="1"/>
        <v>0</v>
      </c>
      <c r="DY71">
        <f ca="1"/>
        <v>0</v>
      </c>
      <c r="DZ71">
        <f ca="1"/>
        <v>0</v>
      </c>
      <c r="EA71">
        <f ca="1"/>
        <v>0</v>
      </c>
      <c r="EB71">
        <f ca="1"/>
        <v>0</v>
      </c>
      <c r="EC71">
        <f ca="1"/>
        <v>0</v>
      </c>
      <c r="ED71">
        <f ca="1"/>
        <v>0</v>
      </c>
      <c r="EE71">
        <f ca="1"/>
        <v>0</v>
      </c>
      <c r="EF71">
        <f ca="1"/>
        <v>0</v>
      </c>
      <c r="EG71">
        <f ca="1"/>
        <v>0</v>
      </c>
      <c r="EH71">
        <f ca="1"/>
        <v>0</v>
      </c>
      <c r="EI71">
        <f ca="1"/>
        <v>0</v>
      </c>
      <c r="EJ71">
        <f ca="1"/>
        <v>0</v>
      </c>
      <c r="EK71">
        <f ca="1"/>
        <v>0</v>
      </c>
      <c r="EL71">
        <f ca="1"/>
        <v>0</v>
      </c>
      <c r="EM71">
        <f ca="1"/>
        <v>0</v>
      </c>
      <c r="EN71">
        <f ca="1"/>
        <v>0</v>
      </c>
      <c r="EO71">
        <f ca="1"/>
        <v>0</v>
      </c>
      <c r="EP71">
        <f ca="1"/>
        <v>0</v>
      </c>
      <c r="EQ71">
        <f ca="1"/>
        <v>0</v>
      </c>
      <c r="ER71">
        <f ca="1"/>
        <v>0</v>
      </c>
      <c r="ES71">
        <f ca="1"/>
        <v>0</v>
      </c>
      <c r="ET71">
        <f ca="1"/>
        <v>0</v>
      </c>
      <c r="EU71">
        <f ca="1"/>
        <v>0</v>
      </c>
      <c r="EV71">
        <f ca="1"/>
        <v>0</v>
      </c>
      <c r="EW71">
        <f ca="1"/>
        <v>0</v>
      </c>
      <c r="EX71">
        <f ca="1"/>
        <v>0</v>
      </c>
      <c r="EY71">
        <f ca="1"/>
        <v>0</v>
      </c>
      <c r="EZ71">
        <f ca="1"/>
        <v>0</v>
      </c>
      <c r="FA71">
        <f ca="1"/>
        <v>0</v>
      </c>
      <c r="FB71">
        <f ca="1"/>
        <v>0</v>
      </c>
      <c r="FC71">
        <f ca="1"/>
        <v>0</v>
      </c>
      <c r="FD71">
        <f ca="1"/>
        <v>0</v>
      </c>
      <c r="FE71">
        <f ca="1"/>
        <v>0</v>
      </c>
      <c r="FF71">
        <f ca="1"/>
        <v>0</v>
      </c>
      <c r="FG71">
        <f ca="1"/>
        <v>0</v>
      </c>
      <c r="FH71">
        <f ca="1"/>
        <v>0</v>
      </c>
      <c r="FI71">
        <f ca="1"/>
        <v>0</v>
      </c>
      <c r="FJ71">
        <f ca="1"/>
        <v>0</v>
      </c>
      <c r="FK71">
        <f ca="1"/>
        <v>0</v>
      </c>
      <c r="FL71">
        <f ca="1"/>
        <v>0</v>
      </c>
      <c r="FM71">
        <f ca="1"/>
        <v>0</v>
      </c>
      <c r="FN71">
        <f ca="1"/>
        <v>0</v>
      </c>
      <c r="FO71">
        <f ca="1"/>
        <v>0</v>
      </c>
      <c r="FP71">
        <f ca="1"/>
        <v>0</v>
      </c>
      <c r="FQ71">
        <f ca="1"/>
        <v>0</v>
      </c>
      <c r="FR71">
        <f ca="1"/>
        <v>0</v>
      </c>
      <c r="FS71">
        <f ca="1"/>
        <v>0</v>
      </c>
      <c r="FT71">
        <f ca="1"/>
        <v>0</v>
      </c>
      <c r="FU71">
        <f ca="1"/>
        <v>0</v>
      </c>
      <c r="FV71">
        <f ca="1"/>
        <v>0</v>
      </c>
      <c r="FW71">
        <f ca="1"/>
        <v>0</v>
      </c>
      <c r="FX71">
        <f ca="1"/>
        <v>0</v>
      </c>
      <c r="FY71">
        <f ca="1"/>
        <v>0</v>
      </c>
      <c r="FZ71">
        <f ca="1"/>
        <v>0</v>
      </c>
    </row>
    <row r="72" spans="3:182">
      <c r="C72" cm="1">
        <f t="array" aca="1" ref="C72:FZ72" ca="1">IFERROR(TRANSPOSE(INDEX(_xlfn._xlws.FILTER(INDIRECT("SubcategoriesTable[Subcategory name]"),INDIRECT("SubcategoriesTable[Category name]")=$B72),,)),"No subcategories")</f>
        <v>0</v>
      </c>
      <c r="D72">
        <f ca="1"/>
        <v>0</v>
      </c>
      <c r="E72">
        <f ca="1"/>
        <v>0</v>
      </c>
      <c r="F72">
        <f ca="1"/>
        <v>0</v>
      </c>
      <c r="G72">
        <f ca="1"/>
        <v>0</v>
      </c>
      <c r="H72">
        <f ca="1"/>
        <v>0</v>
      </c>
      <c r="I72">
        <f ca="1"/>
        <v>0</v>
      </c>
      <c r="J72">
        <f ca="1"/>
        <v>0</v>
      </c>
      <c r="K72">
        <f ca="1"/>
        <v>0</v>
      </c>
      <c r="L72">
        <f ca="1"/>
        <v>0</v>
      </c>
      <c r="M72">
        <f ca="1"/>
        <v>0</v>
      </c>
      <c r="N72">
        <f ca="1"/>
        <v>0</v>
      </c>
      <c r="O72">
        <f ca="1"/>
        <v>0</v>
      </c>
      <c r="P72">
        <f ca="1"/>
        <v>0</v>
      </c>
      <c r="Q72">
        <f ca="1"/>
        <v>0</v>
      </c>
      <c r="R72">
        <f ca="1"/>
        <v>0</v>
      </c>
      <c r="S72">
        <f ca="1"/>
        <v>0</v>
      </c>
      <c r="T72">
        <f ca="1"/>
        <v>0</v>
      </c>
      <c r="U72">
        <f ca="1"/>
        <v>0</v>
      </c>
      <c r="V72">
        <f ca="1"/>
        <v>0</v>
      </c>
      <c r="W72">
        <f ca="1"/>
        <v>0</v>
      </c>
      <c r="X72">
        <f ca="1"/>
        <v>0</v>
      </c>
      <c r="Y72">
        <f ca="1"/>
        <v>0</v>
      </c>
      <c r="Z72">
        <f ca="1"/>
        <v>0</v>
      </c>
      <c r="AA72">
        <f ca="1"/>
        <v>0</v>
      </c>
      <c r="AB72">
        <f ca="1"/>
        <v>0</v>
      </c>
      <c r="AC72">
        <f ca="1"/>
        <v>0</v>
      </c>
      <c r="AD72">
        <f ca="1"/>
        <v>0</v>
      </c>
      <c r="AE72">
        <f ca="1"/>
        <v>0</v>
      </c>
      <c r="AF72">
        <f ca="1"/>
        <v>0</v>
      </c>
      <c r="AG72">
        <f ca="1"/>
        <v>0</v>
      </c>
      <c r="AH72">
        <f ca="1"/>
        <v>0</v>
      </c>
      <c r="AI72">
        <f ca="1"/>
        <v>0</v>
      </c>
      <c r="AJ72">
        <f ca="1"/>
        <v>0</v>
      </c>
      <c r="AK72">
        <f ca="1"/>
        <v>0</v>
      </c>
      <c r="AL72">
        <f ca="1"/>
        <v>0</v>
      </c>
      <c r="AM72">
        <f ca="1"/>
        <v>0</v>
      </c>
      <c r="AN72">
        <f ca="1"/>
        <v>0</v>
      </c>
      <c r="AO72">
        <f ca="1"/>
        <v>0</v>
      </c>
      <c r="AP72">
        <f ca="1"/>
        <v>0</v>
      </c>
      <c r="AQ72">
        <f ca="1"/>
        <v>0</v>
      </c>
      <c r="AR72">
        <f ca="1"/>
        <v>0</v>
      </c>
      <c r="AS72">
        <f ca="1"/>
        <v>0</v>
      </c>
      <c r="AT72">
        <f ca="1"/>
        <v>0</v>
      </c>
      <c r="AU72">
        <f ca="1"/>
        <v>0</v>
      </c>
      <c r="AV72">
        <f ca="1"/>
        <v>0</v>
      </c>
      <c r="AW72">
        <f ca="1"/>
        <v>0</v>
      </c>
      <c r="AX72">
        <f ca="1"/>
        <v>0</v>
      </c>
      <c r="AY72">
        <f ca="1"/>
        <v>0</v>
      </c>
      <c r="AZ72">
        <f ca="1"/>
        <v>0</v>
      </c>
      <c r="BA72">
        <f ca="1"/>
        <v>0</v>
      </c>
      <c r="BB72">
        <f ca="1"/>
        <v>0</v>
      </c>
      <c r="BC72">
        <f ca="1"/>
        <v>0</v>
      </c>
      <c r="BD72">
        <f ca="1"/>
        <v>0</v>
      </c>
      <c r="BE72">
        <f ca="1"/>
        <v>0</v>
      </c>
      <c r="BF72">
        <f ca="1"/>
        <v>0</v>
      </c>
      <c r="BG72">
        <f ca="1"/>
        <v>0</v>
      </c>
      <c r="BH72">
        <f ca="1"/>
        <v>0</v>
      </c>
      <c r="BI72">
        <f ca="1"/>
        <v>0</v>
      </c>
      <c r="BJ72">
        <f ca="1"/>
        <v>0</v>
      </c>
      <c r="BK72">
        <f ca="1"/>
        <v>0</v>
      </c>
      <c r="BL72">
        <f ca="1"/>
        <v>0</v>
      </c>
      <c r="BM72">
        <f ca="1"/>
        <v>0</v>
      </c>
      <c r="BN72">
        <f ca="1"/>
        <v>0</v>
      </c>
      <c r="BO72">
        <f ca="1"/>
        <v>0</v>
      </c>
      <c r="BP72">
        <f ca="1"/>
        <v>0</v>
      </c>
      <c r="BQ72">
        <f ca="1"/>
        <v>0</v>
      </c>
      <c r="BR72">
        <f ca="1"/>
        <v>0</v>
      </c>
      <c r="BS72">
        <f ca="1"/>
        <v>0</v>
      </c>
      <c r="BT72">
        <f ca="1"/>
        <v>0</v>
      </c>
      <c r="BU72">
        <f ca="1"/>
        <v>0</v>
      </c>
      <c r="BV72">
        <f ca="1"/>
        <v>0</v>
      </c>
      <c r="BW72">
        <f ca="1"/>
        <v>0</v>
      </c>
      <c r="BX72">
        <f ca="1"/>
        <v>0</v>
      </c>
      <c r="BY72">
        <f ca="1"/>
        <v>0</v>
      </c>
      <c r="BZ72">
        <f ca="1"/>
        <v>0</v>
      </c>
      <c r="CA72">
        <f ca="1"/>
        <v>0</v>
      </c>
      <c r="CB72">
        <f ca="1"/>
        <v>0</v>
      </c>
      <c r="CC72">
        <f ca="1"/>
        <v>0</v>
      </c>
      <c r="CD72">
        <f ca="1"/>
        <v>0</v>
      </c>
      <c r="CE72">
        <f ca="1"/>
        <v>0</v>
      </c>
      <c r="CF72">
        <f ca="1"/>
        <v>0</v>
      </c>
      <c r="CG72">
        <f ca="1"/>
        <v>0</v>
      </c>
      <c r="CH72">
        <f ca="1"/>
        <v>0</v>
      </c>
      <c r="CI72">
        <f ca="1"/>
        <v>0</v>
      </c>
      <c r="CJ72">
        <f ca="1"/>
        <v>0</v>
      </c>
      <c r="CK72">
        <f ca="1"/>
        <v>0</v>
      </c>
      <c r="CL72">
        <f ca="1"/>
        <v>0</v>
      </c>
      <c r="CM72">
        <f ca="1"/>
        <v>0</v>
      </c>
      <c r="CN72">
        <f ca="1"/>
        <v>0</v>
      </c>
      <c r="CO72">
        <f ca="1"/>
        <v>0</v>
      </c>
      <c r="CP72">
        <f ca="1"/>
        <v>0</v>
      </c>
      <c r="CQ72">
        <f ca="1"/>
        <v>0</v>
      </c>
      <c r="CR72">
        <f ca="1"/>
        <v>0</v>
      </c>
      <c r="CS72">
        <f ca="1"/>
        <v>0</v>
      </c>
      <c r="CT72">
        <f ca="1"/>
        <v>0</v>
      </c>
      <c r="CU72">
        <f ca="1"/>
        <v>0</v>
      </c>
      <c r="CV72">
        <f ca="1"/>
        <v>0</v>
      </c>
      <c r="CW72">
        <f ca="1"/>
        <v>0</v>
      </c>
      <c r="CX72">
        <f ca="1"/>
        <v>0</v>
      </c>
      <c r="CY72">
        <f ca="1"/>
        <v>0</v>
      </c>
      <c r="CZ72">
        <f ca="1"/>
        <v>0</v>
      </c>
      <c r="DA72">
        <f ca="1"/>
        <v>0</v>
      </c>
      <c r="DB72">
        <f ca="1"/>
        <v>0</v>
      </c>
      <c r="DC72">
        <f ca="1"/>
        <v>0</v>
      </c>
      <c r="DD72">
        <f ca="1"/>
        <v>0</v>
      </c>
      <c r="DE72">
        <f ca="1"/>
        <v>0</v>
      </c>
      <c r="DF72">
        <f ca="1"/>
        <v>0</v>
      </c>
      <c r="DG72">
        <f ca="1"/>
        <v>0</v>
      </c>
      <c r="DH72">
        <f ca="1"/>
        <v>0</v>
      </c>
      <c r="DI72">
        <f ca="1"/>
        <v>0</v>
      </c>
      <c r="DJ72">
        <f ca="1"/>
        <v>0</v>
      </c>
      <c r="DK72">
        <f ca="1"/>
        <v>0</v>
      </c>
      <c r="DL72">
        <f ca="1"/>
        <v>0</v>
      </c>
      <c r="DM72">
        <f ca="1"/>
        <v>0</v>
      </c>
      <c r="DN72">
        <f ca="1"/>
        <v>0</v>
      </c>
      <c r="DO72">
        <f ca="1"/>
        <v>0</v>
      </c>
      <c r="DP72">
        <f ca="1"/>
        <v>0</v>
      </c>
      <c r="DQ72">
        <f ca="1"/>
        <v>0</v>
      </c>
      <c r="DR72">
        <f ca="1"/>
        <v>0</v>
      </c>
      <c r="DS72">
        <f ca="1"/>
        <v>0</v>
      </c>
      <c r="DT72">
        <f ca="1"/>
        <v>0</v>
      </c>
      <c r="DU72">
        <f ca="1"/>
        <v>0</v>
      </c>
      <c r="DV72">
        <f ca="1"/>
        <v>0</v>
      </c>
      <c r="DW72">
        <f ca="1"/>
        <v>0</v>
      </c>
      <c r="DX72">
        <f ca="1"/>
        <v>0</v>
      </c>
      <c r="DY72">
        <f ca="1"/>
        <v>0</v>
      </c>
      <c r="DZ72">
        <f ca="1"/>
        <v>0</v>
      </c>
      <c r="EA72">
        <f ca="1"/>
        <v>0</v>
      </c>
      <c r="EB72">
        <f ca="1"/>
        <v>0</v>
      </c>
      <c r="EC72">
        <f ca="1"/>
        <v>0</v>
      </c>
      <c r="ED72">
        <f ca="1"/>
        <v>0</v>
      </c>
      <c r="EE72">
        <f ca="1"/>
        <v>0</v>
      </c>
      <c r="EF72">
        <f ca="1"/>
        <v>0</v>
      </c>
      <c r="EG72">
        <f ca="1"/>
        <v>0</v>
      </c>
      <c r="EH72">
        <f ca="1"/>
        <v>0</v>
      </c>
      <c r="EI72">
        <f ca="1"/>
        <v>0</v>
      </c>
      <c r="EJ72">
        <f ca="1"/>
        <v>0</v>
      </c>
      <c r="EK72">
        <f ca="1"/>
        <v>0</v>
      </c>
      <c r="EL72">
        <f ca="1"/>
        <v>0</v>
      </c>
      <c r="EM72">
        <f ca="1"/>
        <v>0</v>
      </c>
      <c r="EN72">
        <f ca="1"/>
        <v>0</v>
      </c>
      <c r="EO72">
        <f ca="1"/>
        <v>0</v>
      </c>
      <c r="EP72">
        <f ca="1"/>
        <v>0</v>
      </c>
      <c r="EQ72">
        <f ca="1"/>
        <v>0</v>
      </c>
      <c r="ER72">
        <f ca="1"/>
        <v>0</v>
      </c>
      <c r="ES72">
        <f ca="1"/>
        <v>0</v>
      </c>
      <c r="ET72">
        <f ca="1"/>
        <v>0</v>
      </c>
      <c r="EU72">
        <f ca="1"/>
        <v>0</v>
      </c>
      <c r="EV72">
        <f ca="1"/>
        <v>0</v>
      </c>
      <c r="EW72">
        <f ca="1"/>
        <v>0</v>
      </c>
      <c r="EX72">
        <f ca="1"/>
        <v>0</v>
      </c>
      <c r="EY72">
        <f ca="1"/>
        <v>0</v>
      </c>
      <c r="EZ72">
        <f ca="1"/>
        <v>0</v>
      </c>
      <c r="FA72">
        <f ca="1"/>
        <v>0</v>
      </c>
      <c r="FB72">
        <f ca="1"/>
        <v>0</v>
      </c>
      <c r="FC72">
        <f ca="1"/>
        <v>0</v>
      </c>
      <c r="FD72">
        <f ca="1"/>
        <v>0</v>
      </c>
      <c r="FE72">
        <f ca="1"/>
        <v>0</v>
      </c>
      <c r="FF72">
        <f ca="1"/>
        <v>0</v>
      </c>
      <c r="FG72">
        <f ca="1"/>
        <v>0</v>
      </c>
      <c r="FH72">
        <f ca="1"/>
        <v>0</v>
      </c>
      <c r="FI72">
        <f ca="1"/>
        <v>0</v>
      </c>
      <c r="FJ72">
        <f ca="1"/>
        <v>0</v>
      </c>
      <c r="FK72">
        <f ca="1"/>
        <v>0</v>
      </c>
      <c r="FL72">
        <f ca="1"/>
        <v>0</v>
      </c>
      <c r="FM72">
        <f ca="1"/>
        <v>0</v>
      </c>
      <c r="FN72">
        <f ca="1"/>
        <v>0</v>
      </c>
      <c r="FO72">
        <f ca="1"/>
        <v>0</v>
      </c>
      <c r="FP72">
        <f ca="1"/>
        <v>0</v>
      </c>
      <c r="FQ72">
        <f ca="1"/>
        <v>0</v>
      </c>
      <c r="FR72">
        <f ca="1"/>
        <v>0</v>
      </c>
      <c r="FS72">
        <f ca="1"/>
        <v>0</v>
      </c>
      <c r="FT72">
        <f ca="1"/>
        <v>0</v>
      </c>
      <c r="FU72">
        <f ca="1"/>
        <v>0</v>
      </c>
      <c r="FV72">
        <f ca="1"/>
        <v>0</v>
      </c>
      <c r="FW72">
        <f ca="1"/>
        <v>0</v>
      </c>
      <c r="FX72">
        <f ca="1"/>
        <v>0</v>
      </c>
      <c r="FY72">
        <f ca="1"/>
        <v>0</v>
      </c>
      <c r="FZ72">
        <f ca="1"/>
        <v>0</v>
      </c>
    </row>
    <row r="73" spans="3:182">
      <c r="C73" cm="1">
        <f t="array" aca="1" ref="C73:FZ73" ca="1">IFERROR(TRANSPOSE(INDEX(_xlfn._xlws.FILTER(INDIRECT("SubcategoriesTable[Subcategory name]"),INDIRECT("SubcategoriesTable[Category name]")=$B73),,)),"No subcategories")</f>
        <v>0</v>
      </c>
      <c r="D73">
        <f ca="1"/>
        <v>0</v>
      </c>
      <c r="E73">
        <f ca="1"/>
        <v>0</v>
      </c>
      <c r="F73">
        <f ca="1"/>
        <v>0</v>
      </c>
      <c r="G73">
        <f ca="1"/>
        <v>0</v>
      </c>
      <c r="H73">
        <f ca="1"/>
        <v>0</v>
      </c>
      <c r="I73">
        <f ca="1"/>
        <v>0</v>
      </c>
      <c r="J73">
        <f ca="1"/>
        <v>0</v>
      </c>
      <c r="K73">
        <f ca="1"/>
        <v>0</v>
      </c>
      <c r="L73">
        <f ca="1"/>
        <v>0</v>
      </c>
      <c r="M73">
        <f ca="1"/>
        <v>0</v>
      </c>
      <c r="N73">
        <f ca="1"/>
        <v>0</v>
      </c>
      <c r="O73">
        <f ca="1"/>
        <v>0</v>
      </c>
      <c r="P73">
        <f ca="1"/>
        <v>0</v>
      </c>
      <c r="Q73">
        <f ca="1"/>
        <v>0</v>
      </c>
      <c r="R73">
        <f ca="1"/>
        <v>0</v>
      </c>
      <c r="S73">
        <f ca="1"/>
        <v>0</v>
      </c>
      <c r="T73">
        <f ca="1"/>
        <v>0</v>
      </c>
      <c r="U73">
        <f ca="1"/>
        <v>0</v>
      </c>
      <c r="V73">
        <f ca="1"/>
        <v>0</v>
      </c>
      <c r="W73">
        <f ca="1"/>
        <v>0</v>
      </c>
      <c r="X73">
        <f ca="1"/>
        <v>0</v>
      </c>
      <c r="Y73">
        <f ca="1"/>
        <v>0</v>
      </c>
      <c r="Z73">
        <f ca="1"/>
        <v>0</v>
      </c>
      <c r="AA73">
        <f ca="1"/>
        <v>0</v>
      </c>
      <c r="AB73">
        <f ca="1"/>
        <v>0</v>
      </c>
      <c r="AC73">
        <f ca="1"/>
        <v>0</v>
      </c>
      <c r="AD73">
        <f ca="1"/>
        <v>0</v>
      </c>
      <c r="AE73">
        <f ca="1"/>
        <v>0</v>
      </c>
      <c r="AF73">
        <f ca="1"/>
        <v>0</v>
      </c>
      <c r="AG73">
        <f ca="1"/>
        <v>0</v>
      </c>
      <c r="AH73">
        <f ca="1"/>
        <v>0</v>
      </c>
      <c r="AI73">
        <f ca="1"/>
        <v>0</v>
      </c>
      <c r="AJ73">
        <f ca="1"/>
        <v>0</v>
      </c>
      <c r="AK73">
        <f ca="1"/>
        <v>0</v>
      </c>
      <c r="AL73">
        <f ca="1"/>
        <v>0</v>
      </c>
      <c r="AM73">
        <f ca="1"/>
        <v>0</v>
      </c>
      <c r="AN73">
        <f ca="1"/>
        <v>0</v>
      </c>
      <c r="AO73">
        <f ca="1"/>
        <v>0</v>
      </c>
      <c r="AP73">
        <f ca="1"/>
        <v>0</v>
      </c>
      <c r="AQ73">
        <f ca="1"/>
        <v>0</v>
      </c>
      <c r="AR73">
        <f ca="1"/>
        <v>0</v>
      </c>
      <c r="AS73">
        <f ca="1"/>
        <v>0</v>
      </c>
      <c r="AT73">
        <f ca="1"/>
        <v>0</v>
      </c>
      <c r="AU73">
        <f ca="1"/>
        <v>0</v>
      </c>
      <c r="AV73">
        <f ca="1"/>
        <v>0</v>
      </c>
      <c r="AW73">
        <f ca="1"/>
        <v>0</v>
      </c>
      <c r="AX73">
        <f ca="1"/>
        <v>0</v>
      </c>
      <c r="AY73">
        <f ca="1"/>
        <v>0</v>
      </c>
      <c r="AZ73">
        <f ca="1"/>
        <v>0</v>
      </c>
      <c r="BA73">
        <f ca="1"/>
        <v>0</v>
      </c>
      <c r="BB73">
        <f ca="1"/>
        <v>0</v>
      </c>
      <c r="BC73">
        <f ca="1"/>
        <v>0</v>
      </c>
      <c r="BD73">
        <f ca="1"/>
        <v>0</v>
      </c>
      <c r="BE73">
        <f ca="1"/>
        <v>0</v>
      </c>
      <c r="BF73">
        <f ca="1"/>
        <v>0</v>
      </c>
      <c r="BG73">
        <f ca="1"/>
        <v>0</v>
      </c>
      <c r="BH73">
        <f ca="1"/>
        <v>0</v>
      </c>
      <c r="BI73">
        <f ca="1"/>
        <v>0</v>
      </c>
      <c r="BJ73">
        <f ca="1"/>
        <v>0</v>
      </c>
      <c r="BK73">
        <f ca="1"/>
        <v>0</v>
      </c>
      <c r="BL73">
        <f ca="1"/>
        <v>0</v>
      </c>
      <c r="BM73">
        <f ca="1"/>
        <v>0</v>
      </c>
      <c r="BN73">
        <f ca="1"/>
        <v>0</v>
      </c>
      <c r="BO73">
        <f ca="1"/>
        <v>0</v>
      </c>
      <c r="BP73">
        <f ca="1"/>
        <v>0</v>
      </c>
      <c r="BQ73">
        <f ca="1"/>
        <v>0</v>
      </c>
      <c r="BR73">
        <f ca="1"/>
        <v>0</v>
      </c>
      <c r="BS73">
        <f ca="1"/>
        <v>0</v>
      </c>
      <c r="BT73">
        <f ca="1"/>
        <v>0</v>
      </c>
      <c r="BU73">
        <f ca="1"/>
        <v>0</v>
      </c>
      <c r="BV73">
        <f ca="1"/>
        <v>0</v>
      </c>
      <c r="BW73">
        <f ca="1"/>
        <v>0</v>
      </c>
      <c r="BX73">
        <f ca="1"/>
        <v>0</v>
      </c>
      <c r="BY73">
        <f ca="1"/>
        <v>0</v>
      </c>
      <c r="BZ73">
        <f ca="1"/>
        <v>0</v>
      </c>
      <c r="CA73">
        <f ca="1"/>
        <v>0</v>
      </c>
      <c r="CB73">
        <f ca="1"/>
        <v>0</v>
      </c>
      <c r="CC73">
        <f ca="1"/>
        <v>0</v>
      </c>
      <c r="CD73">
        <f ca="1"/>
        <v>0</v>
      </c>
      <c r="CE73">
        <f ca="1"/>
        <v>0</v>
      </c>
      <c r="CF73">
        <f ca="1"/>
        <v>0</v>
      </c>
      <c r="CG73">
        <f ca="1"/>
        <v>0</v>
      </c>
      <c r="CH73">
        <f ca="1"/>
        <v>0</v>
      </c>
      <c r="CI73">
        <f ca="1"/>
        <v>0</v>
      </c>
      <c r="CJ73">
        <f ca="1"/>
        <v>0</v>
      </c>
      <c r="CK73">
        <f ca="1"/>
        <v>0</v>
      </c>
      <c r="CL73">
        <f ca="1"/>
        <v>0</v>
      </c>
      <c r="CM73">
        <f ca="1"/>
        <v>0</v>
      </c>
      <c r="CN73">
        <f ca="1"/>
        <v>0</v>
      </c>
      <c r="CO73">
        <f ca="1"/>
        <v>0</v>
      </c>
      <c r="CP73">
        <f ca="1"/>
        <v>0</v>
      </c>
      <c r="CQ73">
        <f ca="1"/>
        <v>0</v>
      </c>
      <c r="CR73">
        <f ca="1"/>
        <v>0</v>
      </c>
      <c r="CS73">
        <f ca="1"/>
        <v>0</v>
      </c>
      <c r="CT73">
        <f ca="1"/>
        <v>0</v>
      </c>
      <c r="CU73">
        <f ca="1"/>
        <v>0</v>
      </c>
      <c r="CV73">
        <f ca="1"/>
        <v>0</v>
      </c>
      <c r="CW73">
        <f ca="1"/>
        <v>0</v>
      </c>
      <c r="CX73">
        <f ca="1"/>
        <v>0</v>
      </c>
      <c r="CY73">
        <f ca="1"/>
        <v>0</v>
      </c>
      <c r="CZ73">
        <f ca="1"/>
        <v>0</v>
      </c>
      <c r="DA73">
        <f ca="1"/>
        <v>0</v>
      </c>
      <c r="DB73">
        <f ca="1"/>
        <v>0</v>
      </c>
      <c r="DC73">
        <f ca="1"/>
        <v>0</v>
      </c>
      <c r="DD73">
        <f ca="1"/>
        <v>0</v>
      </c>
      <c r="DE73">
        <f ca="1"/>
        <v>0</v>
      </c>
      <c r="DF73">
        <f ca="1"/>
        <v>0</v>
      </c>
      <c r="DG73">
        <f ca="1"/>
        <v>0</v>
      </c>
      <c r="DH73">
        <f ca="1"/>
        <v>0</v>
      </c>
      <c r="DI73">
        <f ca="1"/>
        <v>0</v>
      </c>
      <c r="DJ73">
        <f ca="1"/>
        <v>0</v>
      </c>
      <c r="DK73">
        <f ca="1"/>
        <v>0</v>
      </c>
      <c r="DL73">
        <f ca="1"/>
        <v>0</v>
      </c>
      <c r="DM73">
        <f ca="1"/>
        <v>0</v>
      </c>
      <c r="DN73">
        <f ca="1"/>
        <v>0</v>
      </c>
      <c r="DO73">
        <f ca="1"/>
        <v>0</v>
      </c>
      <c r="DP73">
        <f ca="1"/>
        <v>0</v>
      </c>
      <c r="DQ73">
        <f ca="1"/>
        <v>0</v>
      </c>
      <c r="DR73">
        <f ca="1"/>
        <v>0</v>
      </c>
      <c r="DS73">
        <f ca="1"/>
        <v>0</v>
      </c>
      <c r="DT73">
        <f ca="1"/>
        <v>0</v>
      </c>
      <c r="DU73">
        <f ca="1"/>
        <v>0</v>
      </c>
      <c r="DV73">
        <f ca="1"/>
        <v>0</v>
      </c>
      <c r="DW73">
        <f ca="1"/>
        <v>0</v>
      </c>
      <c r="DX73">
        <f ca="1"/>
        <v>0</v>
      </c>
      <c r="DY73">
        <f ca="1"/>
        <v>0</v>
      </c>
      <c r="DZ73">
        <f ca="1"/>
        <v>0</v>
      </c>
      <c r="EA73">
        <f ca="1"/>
        <v>0</v>
      </c>
      <c r="EB73">
        <f ca="1"/>
        <v>0</v>
      </c>
      <c r="EC73">
        <f ca="1"/>
        <v>0</v>
      </c>
      <c r="ED73">
        <f ca="1"/>
        <v>0</v>
      </c>
      <c r="EE73">
        <f ca="1"/>
        <v>0</v>
      </c>
      <c r="EF73">
        <f ca="1"/>
        <v>0</v>
      </c>
      <c r="EG73">
        <f ca="1"/>
        <v>0</v>
      </c>
      <c r="EH73">
        <f ca="1"/>
        <v>0</v>
      </c>
      <c r="EI73">
        <f ca="1"/>
        <v>0</v>
      </c>
      <c r="EJ73">
        <f ca="1"/>
        <v>0</v>
      </c>
      <c r="EK73">
        <f ca="1"/>
        <v>0</v>
      </c>
      <c r="EL73">
        <f ca="1"/>
        <v>0</v>
      </c>
      <c r="EM73">
        <f ca="1"/>
        <v>0</v>
      </c>
      <c r="EN73">
        <f ca="1"/>
        <v>0</v>
      </c>
      <c r="EO73">
        <f ca="1"/>
        <v>0</v>
      </c>
      <c r="EP73">
        <f ca="1"/>
        <v>0</v>
      </c>
      <c r="EQ73">
        <f ca="1"/>
        <v>0</v>
      </c>
      <c r="ER73">
        <f ca="1"/>
        <v>0</v>
      </c>
      <c r="ES73">
        <f ca="1"/>
        <v>0</v>
      </c>
      <c r="ET73">
        <f ca="1"/>
        <v>0</v>
      </c>
      <c r="EU73">
        <f ca="1"/>
        <v>0</v>
      </c>
      <c r="EV73">
        <f ca="1"/>
        <v>0</v>
      </c>
      <c r="EW73">
        <f ca="1"/>
        <v>0</v>
      </c>
      <c r="EX73">
        <f ca="1"/>
        <v>0</v>
      </c>
      <c r="EY73">
        <f ca="1"/>
        <v>0</v>
      </c>
      <c r="EZ73">
        <f ca="1"/>
        <v>0</v>
      </c>
      <c r="FA73">
        <f ca="1"/>
        <v>0</v>
      </c>
      <c r="FB73">
        <f ca="1"/>
        <v>0</v>
      </c>
      <c r="FC73">
        <f ca="1"/>
        <v>0</v>
      </c>
      <c r="FD73">
        <f ca="1"/>
        <v>0</v>
      </c>
      <c r="FE73">
        <f ca="1"/>
        <v>0</v>
      </c>
      <c r="FF73">
        <f ca="1"/>
        <v>0</v>
      </c>
      <c r="FG73">
        <f ca="1"/>
        <v>0</v>
      </c>
      <c r="FH73">
        <f ca="1"/>
        <v>0</v>
      </c>
      <c r="FI73">
        <f ca="1"/>
        <v>0</v>
      </c>
      <c r="FJ73">
        <f ca="1"/>
        <v>0</v>
      </c>
      <c r="FK73">
        <f ca="1"/>
        <v>0</v>
      </c>
      <c r="FL73">
        <f ca="1"/>
        <v>0</v>
      </c>
      <c r="FM73">
        <f ca="1"/>
        <v>0</v>
      </c>
      <c r="FN73">
        <f ca="1"/>
        <v>0</v>
      </c>
      <c r="FO73">
        <f ca="1"/>
        <v>0</v>
      </c>
      <c r="FP73">
        <f ca="1"/>
        <v>0</v>
      </c>
      <c r="FQ73">
        <f ca="1"/>
        <v>0</v>
      </c>
      <c r="FR73">
        <f ca="1"/>
        <v>0</v>
      </c>
      <c r="FS73">
        <f ca="1"/>
        <v>0</v>
      </c>
      <c r="FT73">
        <f ca="1"/>
        <v>0</v>
      </c>
      <c r="FU73">
        <f ca="1"/>
        <v>0</v>
      </c>
      <c r="FV73">
        <f ca="1"/>
        <v>0</v>
      </c>
      <c r="FW73">
        <f ca="1"/>
        <v>0</v>
      </c>
      <c r="FX73">
        <f ca="1"/>
        <v>0</v>
      </c>
      <c r="FY73">
        <f ca="1"/>
        <v>0</v>
      </c>
      <c r="FZ73">
        <f ca="1"/>
        <v>0</v>
      </c>
    </row>
    <row r="74" spans="3:182">
      <c r="C74" cm="1">
        <f t="array" aca="1" ref="C74:FZ74" ca="1">IFERROR(TRANSPOSE(INDEX(_xlfn._xlws.FILTER(INDIRECT("SubcategoriesTable[Subcategory name]"),INDIRECT("SubcategoriesTable[Category name]")=$B74),,)),"No subcategories")</f>
        <v>0</v>
      </c>
      <c r="D74">
        <f ca="1"/>
        <v>0</v>
      </c>
      <c r="E74">
        <f ca="1"/>
        <v>0</v>
      </c>
      <c r="F74">
        <f ca="1"/>
        <v>0</v>
      </c>
      <c r="G74">
        <f ca="1"/>
        <v>0</v>
      </c>
      <c r="H74">
        <f ca="1"/>
        <v>0</v>
      </c>
      <c r="I74">
        <f ca="1"/>
        <v>0</v>
      </c>
      <c r="J74">
        <f ca="1"/>
        <v>0</v>
      </c>
      <c r="K74">
        <f ca="1"/>
        <v>0</v>
      </c>
      <c r="L74">
        <f ca="1"/>
        <v>0</v>
      </c>
      <c r="M74">
        <f ca="1"/>
        <v>0</v>
      </c>
      <c r="N74">
        <f ca="1"/>
        <v>0</v>
      </c>
      <c r="O74">
        <f ca="1"/>
        <v>0</v>
      </c>
      <c r="P74">
        <f ca="1"/>
        <v>0</v>
      </c>
      <c r="Q74">
        <f ca="1"/>
        <v>0</v>
      </c>
      <c r="R74">
        <f ca="1"/>
        <v>0</v>
      </c>
      <c r="S74">
        <f ca="1"/>
        <v>0</v>
      </c>
      <c r="T74">
        <f ca="1"/>
        <v>0</v>
      </c>
      <c r="U74">
        <f ca="1"/>
        <v>0</v>
      </c>
      <c r="V74">
        <f ca="1"/>
        <v>0</v>
      </c>
      <c r="W74">
        <f ca="1"/>
        <v>0</v>
      </c>
      <c r="X74">
        <f ca="1"/>
        <v>0</v>
      </c>
      <c r="Y74">
        <f ca="1"/>
        <v>0</v>
      </c>
      <c r="Z74">
        <f ca="1"/>
        <v>0</v>
      </c>
      <c r="AA74">
        <f ca="1"/>
        <v>0</v>
      </c>
      <c r="AB74">
        <f ca="1"/>
        <v>0</v>
      </c>
      <c r="AC74">
        <f ca="1"/>
        <v>0</v>
      </c>
      <c r="AD74">
        <f ca="1"/>
        <v>0</v>
      </c>
      <c r="AE74">
        <f ca="1"/>
        <v>0</v>
      </c>
      <c r="AF74">
        <f ca="1"/>
        <v>0</v>
      </c>
      <c r="AG74">
        <f ca="1"/>
        <v>0</v>
      </c>
      <c r="AH74">
        <f ca="1"/>
        <v>0</v>
      </c>
      <c r="AI74">
        <f ca="1"/>
        <v>0</v>
      </c>
      <c r="AJ74">
        <f ca="1"/>
        <v>0</v>
      </c>
      <c r="AK74">
        <f ca="1"/>
        <v>0</v>
      </c>
      <c r="AL74">
        <f ca="1"/>
        <v>0</v>
      </c>
      <c r="AM74">
        <f ca="1"/>
        <v>0</v>
      </c>
      <c r="AN74">
        <f ca="1"/>
        <v>0</v>
      </c>
      <c r="AO74">
        <f ca="1"/>
        <v>0</v>
      </c>
      <c r="AP74">
        <f ca="1"/>
        <v>0</v>
      </c>
      <c r="AQ74">
        <f ca="1"/>
        <v>0</v>
      </c>
      <c r="AR74">
        <f ca="1"/>
        <v>0</v>
      </c>
      <c r="AS74">
        <f ca="1"/>
        <v>0</v>
      </c>
      <c r="AT74">
        <f ca="1"/>
        <v>0</v>
      </c>
      <c r="AU74">
        <f ca="1"/>
        <v>0</v>
      </c>
      <c r="AV74">
        <f ca="1"/>
        <v>0</v>
      </c>
      <c r="AW74">
        <f ca="1"/>
        <v>0</v>
      </c>
      <c r="AX74">
        <f ca="1"/>
        <v>0</v>
      </c>
      <c r="AY74">
        <f ca="1"/>
        <v>0</v>
      </c>
      <c r="AZ74">
        <f ca="1"/>
        <v>0</v>
      </c>
      <c r="BA74">
        <f ca="1"/>
        <v>0</v>
      </c>
      <c r="BB74">
        <f ca="1"/>
        <v>0</v>
      </c>
      <c r="BC74">
        <f ca="1"/>
        <v>0</v>
      </c>
      <c r="BD74">
        <f ca="1"/>
        <v>0</v>
      </c>
      <c r="BE74">
        <f ca="1"/>
        <v>0</v>
      </c>
      <c r="BF74">
        <f ca="1"/>
        <v>0</v>
      </c>
      <c r="BG74">
        <f ca="1"/>
        <v>0</v>
      </c>
      <c r="BH74">
        <f ca="1"/>
        <v>0</v>
      </c>
      <c r="BI74">
        <f ca="1"/>
        <v>0</v>
      </c>
      <c r="BJ74">
        <f ca="1"/>
        <v>0</v>
      </c>
      <c r="BK74">
        <f ca="1"/>
        <v>0</v>
      </c>
      <c r="BL74">
        <f ca="1"/>
        <v>0</v>
      </c>
      <c r="BM74">
        <f ca="1"/>
        <v>0</v>
      </c>
      <c r="BN74">
        <f ca="1"/>
        <v>0</v>
      </c>
      <c r="BO74">
        <f ca="1"/>
        <v>0</v>
      </c>
      <c r="BP74">
        <f ca="1"/>
        <v>0</v>
      </c>
      <c r="BQ74">
        <f ca="1"/>
        <v>0</v>
      </c>
      <c r="BR74">
        <f ca="1"/>
        <v>0</v>
      </c>
      <c r="BS74">
        <f ca="1"/>
        <v>0</v>
      </c>
      <c r="BT74">
        <f ca="1"/>
        <v>0</v>
      </c>
      <c r="BU74">
        <f ca="1"/>
        <v>0</v>
      </c>
      <c r="BV74">
        <f ca="1"/>
        <v>0</v>
      </c>
      <c r="BW74">
        <f ca="1"/>
        <v>0</v>
      </c>
      <c r="BX74">
        <f ca="1"/>
        <v>0</v>
      </c>
      <c r="BY74">
        <f ca="1"/>
        <v>0</v>
      </c>
      <c r="BZ74">
        <f ca="1"/>
        <v>0</v>
      </c>
      <c r="CA74">
        <f ca="1"/>
        <v>0</v>
      </c>
      <c r="CB74">
        <f ca="1"/>
        <v>0</v>
      </c>
      <c r="CC74">
        <f ca="1"/>
        <v>0</v>
      </c>
      <c r="CD74">
        <f ca="1"/>
        <v>0</v>
      </c>
      <c r="CE74">
        <f ca="1"/>
        <v>0</v>
      </c>
      <c r="CF74">
        <f ca="1"/>
        <v>0</v>
      </c>
      <c r="CG74">
        <f ca="1"/>
        <v>0</v>
      </c>
      <c r="CH74">
        <f ca="1"/>
        <v>0</v>
      </c>
      <c r="CI74">
        <f ca="1"/>
        <v>0</v>
      </c>
      <c r="CJ74">
        <f ca="1"/>
        <v>0</v>
      </c>
      <c r="CK74">
        <f ca="1"/>
        <v>0</v>
      </c>
      <c r="CL74">
        <f ca="1"/>
        <v>0</v>
      </c>
      <c r="CM74">
        <f ca="1"/>
        <v>0</v>
      </c>
      <c r="CN74">
        <f ca="1"/>
        <v>0</v>
      </c>
      <c r="CO74">
        <f ca="1"/>
        <v>0</v>
      </c>
      <c r="CP74">
        <f ca="1"/>
        <v>0</v>
      </c>
      <c r="CQ74">
        <f ca="1"/>
        <v>0</v>
      </c>
      <c r="CR74">
        <f ca="1"/>
        <v>0</v>
      </c>
      <c r="CS74">
        <f ca="1"/>
        <v>0</v>
      </c>
      <c r="CT74">
        <f ca="1"/>
        <v>0</v>
      </c>
      <c r="CU74">
        <f ca="1"/>
        <v>0</v>
      </c>
      <c r="CV74">
        <f ca="1"/>
        <v>0</v>
      </c>
      <c r="CW74">
        <f ca="1"/>
        <v>0</v>
      </c>
      <c r="CX74">
        <f ca="1"/>
        <v>0</v>
      </c>
      <c r="CY74">
        <f ca="1"/>
        <v>0</v>
      </c>
      <c r="CZ74">
        <f ca="1"/>
        <v>0</v>
      </c>
      <c r="DA74">
        <f ca="1"/>
        <v>0</v>
      </c>
      <c r="DB74">
        <f ca="1"/>
        <v>0</v>
      </c>
      <c r="DC74">
        <f ca="1"/>
        <v>0</v>
      </c>
      <c r="DD74">
        <f ca="1"/>
        <v>0</v>
      </c>
      <c r="DE74">
        <f ca="1"/>
        <v>0</v>
      </c>
      <c r="DF74">
        <f ca="1"/>
        <v>0</v>
      </c>
      <c r="DG74">
        <f ca="1"/>
        <v>0</v>
      </c>
      <c r="DH74">
        <f ca="1"/>
        <v>0</v>
      </c>
      <c r="DI74">
        <f ca="1"/>
        <v>0</v>
      </c>
      <c r="DJ74">
        <f ca="1"/>
        <v>0</v>
      </c>
      <c r="DK74">
        <f ca="1"/>
        <v>0</v>
      </c>
      <c r="DL74">
        <f ca="1"/>
        <v>0</v>
      </c>
      <c r="DM74">
        <f ca="1"/>
        <v>0</v>
      </c>
      <c r="DN74">
        <f ca="1"/>
        <v>0</v>
      </c>
      <c r="DO74">
        <f ca="1"/>
        <v>0</v>
      </c>
      <c r="DP74">
        <f ca="1"/>
        <v>0</v>
      </c>
      <c r="DQ74">
        <f ca="1"/>
        <v>0</v>
      </c>
      <c r="DR74">
        <f ca="1"/>
        <v>0</v>
      </c>
      <c r="DS74">
        <f ca="1"/>
        <v>0</v>
      </c>
      <c r="DT74">
        <f ca="1"/>
        <v>0</v>
      </c>
      <c r="DU74">
        <f ca="1"/>
        <v>0</v>
      </c>
      <c r="DV74">
        <f ca="1"/>
        <v>0</v>
      </c>
      <c r="DW74">
        <f ca="1"/>
        <v>0</v>
      </c>
      <c r="DX74">
        <f ca="1"/>
        <v>0</v>
      </c>
      <c r="DY74">
        <f ca="1"/>
        <v>0</v>
      </c>
      <c r="DZ74">
        <f ca="1"/>
        <v>0</v>
      </c>
      <c r="EA74">
        <f ca="1"/>
        <v>0</v>
      </c>
      <c r="EB74">
        <f ca="1"/>
        <v>0</v>
      </c>
      <c r="EC74">
        <f ca="1"/>
        <v>0</v>
      </c>
      <c r="ED74">
        <f ca="1"/>
        <v>0</v>
      </c>
      <c r="EE74">
        <f ca="1"/>
        <v>0</v>
      </c>
      <c r="EF74">
        <f ca="1"/>
        <v>0</v>
      </c>
      <c r="EG74">
        <f ca="1"/>
        <v>0</v>
      </c>
      <c r="EH74">
        <f ca="1"/>
        <v>0</v>
      </c>
      <c r="EI74">
        <f ca="1"/>
        <v>0</v>
      </c>
      <c r="EJ74">
        <f ca="1"/>
        <v>0</v>
      </c>
      <c r="EK74">
        <f ca="1"/>
        <v>0</v>
      </c>
      <c r="EL74">
        <f ca="1"/>
        <v>0</v>
      </c>
      <c r="EM74">
        <f ca="1"/>
        <v>0</v>
      </c>
      <c r="EN74">
        <f ca="1"/>
        <v>0</v>
      </c>
      <c r="EO74">
        <f ca="1"/>
        <v>0</v>
      </c>
      <c r="EP74">
        <f ca="1"/>
        <v>0</v>
      </c>
      <c r="EQ74">
        <f ca="1"/>
        <v>0</v>
      </c>
      <c r="ER74">
        <f ca="1"/>
        <v>0</v>
      </c>
      <c r="ES74">
        <f ca="1"/>
        <v>0</v>
      </c>
      <c r="ET74">
        <f ca="1"/>
        <v>0</v>
      </c>
      <c r="EU74">
        <f ca="1"/>
        <v>0</v>
      </c>
      <c r="EV74">
        <f ca="1"/>
        <v>0</v>
      </c>
      <c r="EW74">
        <f ca="1"/>
        <v>0</v>
      </c>
      <c r="EX74">
        <f ca="1"/>
        <v>0</v>
      </c>
      <c r="EY74">
        <f ca="1"/>
        <v>0</v>
      </c>
      <c r="EZ74">
        <f ca="1"/>
        <v>0</v>
      </c>
      <c r="FA74">
        <f ca="1"/>
        <v>0</v>
      </c>
      <c r="FB74">
        <f ca="1"/>
        <v>0</v>
      </c>
      <c r="FC74">
        <f ca="1"/>
        <v>0</v>
      </c>
      <c r="FD74">
        <f ca="1"/>
        <v>0</v>
      </c>
      <c r="FE74">
        <f ca="1"/>
        <v>0</v>
      </c>
      <c r="FF74">
        <f ca="1"/>
        <v>0</v>
      </c>
      <c r="FG74">
        <f ca="1"/>
        <v>0</v>
      </c>
      <c r="FH74">
        <f ca="1"/>
        <v>0</v>
      </c>
      <c r="FI74">
        <f ca="1"/>
        <v>0</v>
      </c>
      <c r="FJ74">
        <f ca="1"/>
        <v>0</v>
      </c>
      <c r="FK74">
        <f ca="1"/>
        <v>0</v>
      </c>
      <c r="FL74">
        <f ca="1"/>
        <v>0</v>
      </c>
      <c r="FM74">
        <f ca="1"/>
        <v>0</v>
      </c>
      <c r="FN74">
        <f ca="1"/>
        <v>0</v>
      </c>
      <c r="FO74">
        <f ca="1"/>
        <v>0</v>
      </c>
      <c r="FP74">
        <f ca="1"/>
        <v>0</v>
      </c>
      <c r="FQ74">
        <f ca="1"/>
        <v>0</v>
      </c>
      <c r="FR74">
        <f ca="1"/>
        <v>0</v>
      </c>
      <c r="FS74">
        <f ca="1"/>
        <v>0</v>
      </c>
      <c r="FT74">
        <f ca="1"/>
        <v>0</v>
      </c>
      <c r="FU74">
        <f ca="1"/>
        <v>0</v>
      </c>
      <c r="FV74">
        <f ca="1"/>
        <v>0</v>
      </c>
      <c r="FW74">
        <f ca="1"/>
        <v>0</v>
      </c>
      <c r="FX74">
        <f ca="1"/>
        <v>0</v>
      </c>
      <c r="FY74">
        <f ca="1"/>
        <v>0</v>
      </c>
      <c r="FZ74">
        <f ca="1"/>
        <v>0</v>
      </c>
    </row>
    <row r="75" spans="3:182">
      <c r="C75" cm="1">
        <f t="array" aca="1" ref="C75:FZ75" ca="1">IFERROR(TRANSPOSE(INDEX(_xlfn._xlws.FILTER(INDIRECT("SubcategoriesTable[Subcategory name]"),INDIRECT("SubcategoriesTable[Category name]")=$B75),,)),"No subcategories")</f>
        <v>0</v>
      </c>
      <c r="D75">
        <f ca="1"/>
        <v>0</v>
      </c>
      <c r="E75">
        <f ca="1"/>
        <v>0</v>
      </c>
      <c r="F75">
        <f ca="1"/>
        <v>0</v>
      </c>
      <c r="G75">
        <f ca="1"/>
        <v>0</v>
      </c>
      <c r="H75">
        <f ca="1"/>
        <v>0</v>
      </c>
      <c r="I75">
        <f ca="1"/>
        <v>0</v>
      </c>
      <c r="J75">
        <f ca="1"/>
        <v>0</v>
      </c>
      <c r="K75">
        <f ca="1"/>
        <v>0</v>
      </c>
      <c r="L75">
        <f ca="1"/>
        <v>0</v>
      </c>
      <c r="M75">
        <f ca="1"/>
        <v>0</v>
      </c>
      <c r="N75">
        <f ca="1"/>
        <v>0</v>
      </c>
      <c r="O75">
        <f ca="1"/>
        <v>0</v>
      </c>
      <c r="P75">
        <f ca="1"/>
        <v>0</v>
      </c>
      <c r="Q75">
        <f ca="1"/>
        <v>0</v>
      </c>
      <c r="R75">
        <f ca="1"/>
        <v>0</v>
      </c>
      <c r="S75">
        <f ca="1"/>
        <v>0</v>
      </c>
      <c r="T75">
        <f ca="1"/>
        <v>0</v>
      </c>
      <c r="U75">
        <f ca="1"/>
        <v>0</v>
      </c>
      <c r="V75">
        <f ca="1"/>
        <v>0</v>
      </c>
      <c r="W75">
        <f ca="1"/>
        <v>0</v>
      </c>
      <c r="X75">
        <f ca="1"/>
        <v>0</v>
      </c>
      <c r="Y75">
        <f ca="1"/>
        <v>0</v>
      </c>
      <c r="Z75">
        <f ca="1"/>
        <v>0</v>
      </c>
      <c r="AA75">
        <f ca="1"/>
        <v>0</v>
      </c>
      <c r="AB75">
        <f ca="1"/>
        <v>0</v>
      </c>
      <c r="AC75">
        <f ca="1"/>
        <v>0</v>
      </c>
      <c r="AD75">
        <f ca="1"/>
        <v>0</v>
      </c>
      <c r="AE75">
        <f ca="1"/>
        <v>0</v>
      </c>
      <c r="AF75">
        <f ca="1"/>
        <v>0</v>
      </c>
      <c r="AG75">
        <f ca="1"/>
        <v>0</v>
      </c>
      <c r="AH75">
        <f ca="1"/>
        <v>0</v>
      </c>
      <c r="AI75">
        <f ca="1"/>
        <v>0</v>
      </c>
      <c r="AJ75">
        <f ca="1"/>
        <v>0</v>
      </c>
      <c r="AK75">
        <f ca="1"/>
        <v>0</v>
      </c>
      <c r="AL75">
        <f ca="1"/>
        <v>0</v>
      </c>
      <c r="AM75">
        <f ca="1"/>
        <v>0</v>
      </c>
      <c r="AN75">
        <f ca="1"/>
        <v>0</v>
      </c>
      <c r="AO75">
        <f ca="1"/>
        <v>0</v>
      </c>
      <c r="AP75">
        <f ca="1"/>
        <v>0</v>
      </c>
      <c r="AQ75">
        <f ca="1"/>
        <v>0</v>
      </c>
      <c r="AR75">
        <f ca="1"/>
        <v>0</v>
      </c>
      <c r="AS75">
        <f ca="1"/>
        <v>0</v>
      </c>
      <c r="AT75">
        <f ca="1"/>
        <v>0</v>
      </c>
      <c r="AU75">
        <f ca="1"/>
        <v>0</v>
      </c>
      <c r="AV75">
        <f ca="1"/>
        <v>0</v>
      </c>
      <c r="AW75">
        <f ca="1"/>
        <v>0</v>
      </c>
      <c r="AX75">
        <f ca="1"/>
        <v>0</v>
      </c>
      <c r="AY75">
        <f ca="1"/>
        <v>0</v>
      </c>
      <c r="AZ75">
        <f ca="1"/>
        <v>0</v>
      </c>
      <c r="BA75">
        <f ca="1"/>
        <v>0</v>
      </c>
      <c r="BB75">
        <f ca="1"/>
        <v>0</v>
      </c>
      <c r="BC75">
        <f ca="1"/>
        <v>0</v>
      </c>
      <c r="BD75">
        <f ca="1"/>
        <v>0</v>
      </c>
      <c r="BE75">
        <f ca="1"/>
        <v>0</v>
      </c>
      <c r="BF75">
        <f ca="1"/>
        <v>0</v>
      </c>
      <c r="BG75">
        <f ca="1"/>
        <v>0</v>
      </c>
      <c r="BH75">
        <f ca="1"/>
        <v>0</v>
      </c>
      <c r="BI75">
        <f ca="1"/>
        <v>0</v>
      </c>
      <c r="BJ75">
        <f ca="1"/>
        <v>0</v>
      </c>
      <c r="BK75">
        <f ca="1"/>
        <v>0</v>
      </c>
      <c r="BL75">
        <f ca="1"/>
        <v>0</v>
      </c>
      <c r="BM75">
        <f ca="1"/>
        <v>0</v>
      </c>
      <c r="BN75">
        <f ca="1"/>
        <v>0</v>
      </c>
      <c r="BO75">
        <f ca="1"/>
        <v>0</v>
      </c>
      <c r="BP75">
        <f ca="1"/>
        <v>0</v>
      </c>
      <c r="BQ75">
        <f ca="1"/>
        <v>0</v>
      </c>
      <c r="BR75">
        <f ca="1"/>
        <v>0</v>
      </c>
      <c r="BS75">
        <f ca="1"/>
        <v>0</v>
      </c>
      <c r="BT75">
        <f ca="1"/>
        <v>0</v>
      </c>
      <c r="BU75">
        <f ca="1"/>
        <v>0</v>
      </c>
      <c r="BV75">
        <f ca="1"/>
        <v>0</v>
      </c>
      <c r="BW75">
        <f ca="1"/>
        <v>0</v>
      </c>
      <c r="BX75">
        <f ca="1"/>
        <v>0</v>
      </c>
      <c r="BY75">
        <f ca="1"/>
        <v>0</v>
      </c>
      <c r="BZ75">
        <f ca="1"/>
        <v>0</v>
      </c>
      <c r="CA75">
        <f ca="1"/>
        <v>0</v>
      </c>
      <c r="CB75">
        <f ca="1"/>
        <v>0</v>
      </c>
      <c r="CC75">
        <f ca="1"/>
        <v>0</v>
      </c>
      <c r="CD75">
        <f ca="1"/>
        <v>0</v>
      </c>
      <c r="CE75">
        <f ca="1"/>
        <v>0</v>
      </c>
      <c r="CF75">
        <f ca="1"/>
        <v>0</v>
      </c>
      <c r="CG75">
        <f ca="1"/>
        <v>0</v>
      </c>
      <c r="CH75">
        <f ca="1"/>
        <v>0</v>
      </c>
      <c r="CI75">
        <f ca="1"/>
        <v>0</v>
      </c>
      <c r="CJ75">
        <f ca="1"/>
        <v>0</v>
      </c>
      <c r="CK75">
        <f ca="1"/>
        <v>0</v>
      </c>
      <c r="CL75">
        <f ca="1"/>
        <v>0</v>
      </c>
      <c r="CM75">
        <f ca="1"/>
        <v>0</v>
      </c>
      <c r="CN75">
        <f ca="1"/>
        <v>0</v>
      </c>
      <c r="CO75">
        <f ca="1"/>
        <v>0</v>
      </c>
      <c r="CP75">
        <f ca="1"/>
        <v>0</v>
      </c>
      <c r="CQ75">
        <f ca="1"/>
        <v>0</v>
      </c>
      <c r="CR75">
        <f ca="1"/>
        <v>0</v>
      </c>
      <c r="CS75">
        <f ca="1"/>
        <v>0</v>
      </c>
      <c r="CT75">
        <f ca="1"/>
        <v>0</v>
      </c>
      <c r="CU75">
        <f ca="1"/>
        <v>0</v>
      </c>
      <c r="CV75">
        <f ca="1"/>
        <v>0</v>
      </c>
      <c r="CW75">
        <f ca="1"/>
        <v>0</v>
      </c>
      <c r="CX75">
        <f ca="1"/>
        <v>0</v>
      </c>
      <c r="CY75">
        <f ca="1"/>
        <v>0</v>
      </c>
      <c r="CZ75">
        <f ca="1"/>
        <v>0</v>
      </c>
      <c r="DA75">
        <f ca="1"/>
        <v>0</v>
      </c>
      <c r="DB75">
        <f ca="1"/>
        <v>0</v>
      </c>
      <c r="DC75">
        <f ca="1"/>
        <v>0</v>
      </c>
      <c r="DD75">
        <f ca="1"/>
        <v>0</v>
      </c>
      <c r="DE75">
        <f ca="1"/>
        <v>0</v>
      </c>
      <c r="DF75">
        <f ca="1"/>
        <v>0</v>
      </c>
      <c r="DG75">
        <f ca="1"/>
        <v>0</v>
      </c>
      <c r="DH75">
        <f ca="1"/>
        <v>0</v>
      </c>
      <c r="DI75">
        <f ca="1"/>
        <v>0</v>
      </c>
      <c r="DJ75">
        <f ca="1"/>
        <v>0</v>
      </c>
      <c r="DK75">
        <f ca="1"/>
        <v>0</v>
      </c>
      <c r="DL75">
        <f ca="1"/>
        <v>0</v>
      </c>
      <c r="DM75">
        <f ca="1"/>
        <v>0</v>
      </c>
      <c r="DN75">
        <f ca="1"/>
        <v>0</v>
      </c>
      <c r="DO75">
        <f ca="1"/>
        <v>0</v>
      </c>
      <c r="DP75">
        <f ca="1"/>
        <v>0</v>
      </c>
      <c r="DQ75">
        <f ca="1"/>
        <v>0</v>
      </c>
      <c r="DR75">
        <f ca="1"/>
        <v>0</v>
      </c>
      <c r="DS75">
        <f ca="1"/>
        <v>0</v>
      </c>
      <c r="DT75">
        <f ca="1"/>
        <v>0</v>
      </c>
      <c r="DU75">
        <f ca="1"/>
        <v>0</v>
      </c>
      <c r="DV75">
        <f ca="1"/>
        <v>0</v>
      </c>
      <c r="DW75">
        <f ca="1"/>
        <v>0</v>
      </c>
      <c r="DX75">
        <f ca="1"/>
        <v>0</v>
      </c>
      <c r="DY75">
        <f ca="1"/>
        <v>0</v>
      </c>
      <c r="DZ75">
        <f ca="1"/>
        <v>0</v>
      </c>
      <c r="EA75">
        <f ca="1"/>
        <v>0</v>
      </c>
      <c r="EB75">
        <f ca="1"/>
        <v>0</v>
      </c>
      <c r="EC75">
        <f ca="1"/>
        <v>0</v>
      </c>
      <c r="ED75">
        <f ca="1"/>
        <v>0</v>
      </c>
      <c r="EE75">
        <f ca="1"/>
        <v>0</v>
      </c>
      <c r="EF75">
        <f ca="1"/>
        <v>0</v>
      </c>
      <c r="EG75">
        <f ca="1"/>
        <v>0</v>
      </c>
      <c r="EH75">
        <f ca="1"/>
        <v>0</v>
      </c>
      <c r="EI75">
        <f ca="1"/>
        <v>0</v>
      </c>
      <c r="EJ75">
        <f ca="1"/>
        <v>0</v>
      </c>
      <c r="EK75">
        <f ca="1"/>
        <v>0</v>
      </c>
      <c r="EL75">
        <f ca="1"/>
        <v>0</v>
      </c>
      <c r="EM75">
        <f ca="1"/>
        <v>0</v>
      </c>
      <c r="EN75">
        <f ca="1"/>
        <v>0</v>
      </c>
      <c r="EO75">
        <f ca="1"/>
        <v>0</v>
      </c>
      <c r="EP75">
        <f ca="1"/>
        <v>0</v>
      </c>
      <c r="EQ75">
        <f ca="1"/>
        <v>0</v>
      </c>
      <c r="ER75">
        <f ca="1"/>
        <v>0</v>
      </c>
      <c r="ES75">
        <f ca="1"/>
        <v>0</v>
      </c>
      <c r="ET75">
        <f ca="1"/>
        <v>0</v>
      </c>
      <c r="EU75">
        <f ca="1"/>
        <v>0</v>
      </c>
      <c r="EV75">
        <f ca="1"/>
        <v>0</v>
      </c>
      <c r="EW75">
        <f ca="1"/>
        <v>0</v>
      </c>
      <c r="EX75">
        <f ca="1"/>
        <v>0</v>
      </c>
      <c r="EY75">
        <f ca="1"/>
        <v>0</v>
      </c>
      <c r="EZ75">
        <f ca="1"/>
        <v>0</v>
      </c>
      <c r="FA75">
        <f ca="1"/>
        <v>0</v>
      </c>
      <c r="FB75">
        <f ca="1"/>
        <v>0</v>
      </c>
      <c r="FC75">
        <f ca="1"/>
        <v>0</v>
      </c>
      <c r="FD75">
        <f ca="1"/>
        <v>0</v>
      </c>
      <c r="FE75">
        <f ca="1"/>
        <v>0</v>
      </c>
      <c r="FF75">
        <f ca="1"/>
        <v>0</v>
      </c>
      <c r="FG75">
        <f ca="1"/>
        <v>0</v>
      </c>
      <c r="FH75">
        <f ca="1"/>
        <v>0</v>
      </c>
      <c r="FI75">
        <f ca="1"/>
        <v>0</v>
      </c>
      <c r="FJ75">
        <f ca="1"/>
        <v>0</v>
      </c>
      <c r="FK75">
        <f ca="1"/>
        <v>0</v>
      </c>
      <c r="FL75">
        <f ca="1"/>
        <v>0</v>
      </c>
      <c r="FM75">
        <f ca="1"/>
        <v>0</v>
      </c>
      <c r="FN75">
        <f ca="1"/>
        <v>0</v>
      </c>
      <c r="FO75">
        <f ca="1"/>
        <v>0</v>
      </c>
      <c r="FP75">
        <f ca="1"/>
        <v>0</v>
      </c>
      <c r="FQ75">
        <f ca="1"/>
        <v>0</v>
      </c>
      <c r="FR75">
        <f ca="1"/>
        <v>0</v>
      </c>
      <c r="FS75">
        <f ca="1"/>
        <v>0</v>
      </c>
      <c r="FT75">
        <f ca="1"/>
        <v>0</v>
      </c>
      <c r="FU75">
        <f ca="1"/>
        <v>0</v>
      </c>
      <c r="FV75">
        <f ca="1"/>
        <v>0</v>
      </c>
      <c r="FW75">
        <f ca="1"/>
        <v>0</v>
      </c>
      <c r="FX75">
        <f ca="1"/>
        <v>0</v>
      </c>
      <c r="FY75">
        <f ca="1"/>
        <v>0</v>
      </c>
      <c r="FZ75">
        <f ca="1"/>
        <v>0</v>
      </c>
    </row>
    <row r="76" spans="3:182">
      <c r="C76" cm="1">
        <f t="array" aca="1" ref="C76:FZ76" ca="1">IFERROR(TRANSPOSE(INDEX(_xlfn._xlws.FILTER(INDIRECT("SubcategoriesTable[Subcategory name]"),INDIRECT("SubcategoriesTable[Category name]")=$B76),,)),"No subcategories")</f>
        <v>0</v>
      </c>
      <c r="D76">
        <f ca="1"/>
        <v>0</v>
      </c>
      <c r="E76">
        <f ca="1"/>
        <v>0</v>
      </c>
      <c r="F76">
        <f ca="1"/>
        <v>0</v>
      </c>
      <c r="G76">
        <f ca="1"/>
        <v>0</v>
      </c>
      <c r="H76">
        <f ca="1"/>
        <v>0</v>
      </c>
      <c r="I76">
        <f ca="1"/>
        <v>0</v>
      </c>
      <c r="J76">
        <f ca="1"/>
        <v>0</v>
      </c>
      <c r="K76">
        <f ca="1"/>
        <v>0</v>
      </c>
      <c r="L76">
        <f ca="1"/>
        <v>0</v>
      </c>
      <c r="M76">
        <f ca="1"/>
        <v>0</v>
      </c>
      <c r="N76">
        <f ca="1"/>
        <v>0</v>
      </c>
      <c r="O76">
        <f ca="1"/>
        <v>0</v>
      </c>
      <c r="P76">
        <f ca="1"/>
        <v>0</v>
      </c>
      <c r="Q76">
        <f ca="1"/>
        <v>0</v>
      </c>
      <c r="R76">
        <f ca="1"/>
        <v>0</v>
      </c>
      <c r="S76">
        <f ca="1"/>
        <v>0</v>
      </c>
      <c r="T76">
        <f ca="1"/>
        <v>0</v>
      </c>
      <c r="U76">
        <f ca="1"/>
        <v>0</v>
      </c>
      <c r="V76">
        <f ca="1"/>
        <v>0</v>
      </c>
      <c r="W76">
        <f ca="1"/>
        <v>0</v>
      </c>
      <c r="X76">
        <f ca="1"/>
        <v>0</v>
      </c>
      <c r="Y76">
        <f ca="1"/>
        <v>0</v>
      </c>
      <c r="Z76">
        <f ca="1"/>
        <v>0</v>
      </c>
      <c r="AA76">
        <f ca="1"/>
        <v>0</v>
      </c>
      <c r="AB76">
        <f ca="1"/>
        <v>0</v>
      </c>
      <c r="AC76">
        <f ca="1"/>
        <v>0</v>
      </c>
      <c r="AD76">
        <f ca="1"/>
        <v>0</v>
      </c>
      <c r="AE76">
        <f ca="1"/>
        <v>0</v>
      </c>
      <c r="AF76">
        <f ca="1"/>
        <v>0</v>
      </c>
      <c r="AG76">
        <f ca="1"/>
        <v>0</v>
      </c>
      <c r="AH76">
        <f ca="1"/>
        <v>0</v>
      </c>
      <c r="AI76">
        <f ca="1"/>
        <v>0</v>
      </c>
      <c r="AJ76">
        <f ca="1"/>
        <v>0</v>
      </c>
      <c r="AK76">
        <f ca="1"/>
        <v>0</v>
      </c>
      <c r="AL76">
        <f ca="1"/>
        <v>0</v>
      </c>
      <c r="AM76">
        <f ca="1"/>
        <v>0</v>
      </c>
      <c r="AN76">
        <f ca="1"/>
        <v>0</v>
      </c>
      <c r="AO76">
        <f ca="1"/>
        <v>0</v>
      </c>
      <c r="AP76">
        <f ca="1"/>
        <v>0</v>
      </c>
      <c r="AQ76">
        <f ca="1"/>
        <v>0</v>
      </c>
      <c r="AR76">
        <f ca="1"/>
        <v>0</v>
      </c>
      <c r="AS76">
        <f ca="1"/>
        <v>0</v>
      </c>
      <c r="AT76">
        <f ca="1"/>
        <v>0</v>
      </c>
      <c r="AU76">
        <f ca="1"/>
        <v>0</v>
      </c>
      <c r="AV76">
        <f ca="1"/>
        <v>0</v>
      </c>
      <c r="AW76">
        <f ca="1"/>
        <v>0</v>
      </c>
      <c r="AX76">
        <f ca="1"/>
        <v>0</v>
      </c>
      <c r="AY76">
        <f ca="1"/>
        <v>0</v>
      </c>
      <c r="AZ76">
        <f ca="1"/>
        <v>0</v>
      </c>
      <c r="BA76">
        <f ca="1"/>
        <v>0</v>
      </c>
      <c r="BB76">
        <f ca="1"/>
        <v>0</v>
      </c>
      <c r="BC76">
        <f ca="1"/>
        <v>0</v>
      </c>
      <c r="BD76">
        <f ca="1"/>
        <v>0</v>
      </c>
      <c r="BE76">
        <f ca="1"/>
        <v>0</v>
      </c>
      <c r="BF76">
        <f ca="1"/>
        <v>0</v>
      </c>
      <c r="BG76">
        <f ca="1"/>
        <v>0</v>
      </c>
      <c r="BH76">
        <f ca="1"/>
        <v>0</v>
      </c>
      <c r="BI76">
        <f ca="1"/>
        <v>0</v>
      </c>
      <c r="BJ76">
        <f ca="1"/>
        <v>0</v>
      </c>
      <c r="BK76">
        <f ca="1"/>
        <v>0</v>
      </c>
      <c r="BL76">
        <f ca="1"/>
        <v>0</v>
      </c>
      <c r="BM76">
        <f ca="1"/>
        <v>0</v>
      </c>
      <c r="BN76">
        <f ca="1"/>
        <v>0</v>
      </c>
      <c r="BO76">
        <f ca="1"/>
        <v>0</v>
      </c>
      <c r="BP76">
        <f ca="1"/>
        <v>0</v>
      </c>
      <c r="BQ76">
        <f ca="1"/>
        <v>0</v>
      </c>
      <c r="BR76">
        <f ca="1"/>
        <v>0</v>
      </c>
      <c r="BS76">
        <f ca="1"/>
        <v>0</v>
      </c>
      <c r="BT76">
        <f ca="1"/>
        <v>0</v>
      </c>
      <c r="BU76">
        <f ca="1"/>
        <v>0</v>
      </c>
      <c r="BV76">
        <f ca="1"/>
        <v>0</v>
      </c>
      <c r="BW76">
        <f ca="1"/>
        <v>0</v>
      </c>
      <c r="BX76">
        <f ca="1"/>
        <v>0</v>
      </c>
      <c r="BY76">
        <f ca="1"/>
        <v>0</v>
      </c>
      <c r="BZ76">
        <f ca="1"/>
        <v>0</v>
      </c>
      <c r="CA76">
        <f ca="1"/>
        <v>0</v>
      </c>
      <c r="CB76">
        <f ca="1"/>
        <v>0</v>
      </c>
      <c r="CC76">
        <f ca="1"/>
        <v>0</v>
      </c>
      <c r="CD76">
        <f ca="1"/>
        <v>0</v>
      </c>
      <c r="CE76">
        <f ca="1"/>
        <v>0</v>
      </c>
      <c r="CF76">
        <f ca="1"/>
        <v>0</v>
      </c>
      <c r="CG76">
        <f ca="1"/>
        <v>0</v>
      </c>
      <c r="CH76">
        <f ca="1"/>
        <v>0</v>
      </c>
      <c r="CI76">
        <f ca="1"/>
        <v>0</v>
      </c>
      <c r="CJ76">
        <f ca="1"/>
        <v>0</v>
      </c>
      <c r="CK76">
        <f ca="1"/>
        <v>0</v>
      </c>
      <c r="CL76">
        <f ca="1"/>
        <v>0</v>
      </c>
      <c r="CM76">
        <f ca="1"/>
        <v>0</v>
      </c>
      <c r="CN76">
        <f ca="1"/>
        <v>0</v>
      </c>
      <c r="CO76">
        <f ca="1"/>
        <v>0</v>
      </c>
      <c r="CP76">
        <f ca="1"/>
        <v>0</v>
      </c>
      <c r="CQ76">
        <f ca="1"/>
        <v>0</v>
      </c>
      <c r="CR76">
        <f ca="1"/>
        <v>0</v>
      </c>
      <c r="CS76">
        <f ca="1"/>
        <v>0</v>
      </c>
      <c r="CT76">
        <f ca="1"/>
        <v>0</v>
      </c>
      <c r="CU76">
        <f ca="1"/>
        <v>0</v>
      </c>
      <c r="CV76">
        <f ca="1"/>
        <v>0</v>
      </c>
      <c r="CW76">
        <f ca="1"/>
        <v>0</v>
      </c>
      <c r="CX76">
        <f ca="1"/>
        <v>0</v>
      </c>
      <c r="CY76">
        <f ca="1"/>
        <v>0</v>
      </c>
      <c r="CZ76">
        <f ca="1"/>
        <v>0</v>
      </c>
      <c r="DA76">
        <f ca="1"/>
        <v>0</v>
      </c>
      <c r="DB76">
        <f ca="1"/>
        <v>0</v>
      </c>
      <c r="DC76">
        <f ca="1"/>
        <v>0</v>
      </c>
      <c r="DD76">
        <f ca="1"/>
        <v>0</v>
      </c>
      <c r="DE76">
        <f ca="1"/>
        <v>0</v>
      </c>
      <c r="DF76">
        <f ca="1"/>
        <v>0</v>
      </c>
      <c r="DG76">
        <f ca="1"/>
        <v>0</v>
      </c>
      <c r="DH76">
        <f ca="1"/>
        <v>0</v>
      </c>
      <c r="DI76">
        <f ca="1"/>
        <v>0</v>
      </c>
      <c r="DJ76">
        <f ca="1"/>
        <v>0</v>
      </c>
      <c r="DK76">
        <f ca="1"/>
        <v>0</v>
      </c>
      <c r="DL76">
        <f ca="1"/>
        <v>0</v>
      </c>
      <c r="DM76">
        <f ca="1"/>
        <v>0</v>
      </c>
      <c r="DN76">
        <f ca="1"/>
        <v>0</v>
      </c>
      <c r="DO76">
        <f ca="1"/>
        <v>0</v>
      </c>
      <c r="DP76">
        <f ca="1"/>
        <v>0</v>
      </c>
      <c r="DQ76">
        <f ca="1"/>
        <v>0</v>
      </c>
      <c r="DR76">
        <f ca="1"/>
        <v>0</v>
      </c>
      <c r="DS76">
        <f ca="1"/>
        <v>0</v>
      </c>
      <c r="DT76">
        <f ca="1"/>
        <v>0</v>
      </c>
      <c r="DU76">
        <f ca="1"/>
        <v>0</v>
      </c>
      <c r="DV76">
        <f ca="1"/>
        <v>0</v>
      </c>
      <c r="DW76">
        <f ca="1"/>
        <v>0</v>
      </c>
      <c r="DX76">
        <f ca="1"/>
        <v>0</v>
      </c>
      <c r="DY76">
        <f ca="1"/>
        <v>0</v>
      </c>
      <c r="DZ76">
        <f ca="1"/>
        <v>0</v>
      </c>
      <c r="EA76">
        <f ca="1"/>
        <v>0</v>
      </c>
      <c r="EB76">
        <f ca="1"/>
        <v>0</v>
      </c>
      <c r="EC76">
        <f ca="1"/>
        <v>0</v>
      </c>
      <c r="ED76">
        <f ca="1"/>
        <v>0</v>
      </c>
      <c r="EE76">
        <f ca="1"/>
        <v>0</v>
      </c>
      <c r="EF76">
        <f ca="1"/>
        <v>0</v>
      </c>
      <c r="EG76">
        <f ca="1"/>
        <v>0</v>
      </c>
      <c r="EH76">
        <f ca="1"/>
        <v>0</v>
      </c>
      <c r="EI76">
        <f ca="1"/>
        <v>0</v>
      </c>
      <c r="EJ76">
        <f ca="1"/>
        <v>0</v>
      </c>
      <c r="EK76">
        <f ca="1"/>
        <v>0</v>
      </c>
      <c r="EL76">
        <f ca="1"/>
        <v>0</v>
      </c>
      <c r="EM76">
        <f ca="1"/>
        <v>0</v>
      </c>
      <c r="EN76">
        <f ca="1"/>
        <v>0</v>
      </c>
      <c r="EO76">
        <f ca="1"/>
        <v>0</v>
      </c>
      <c r="EP76">
        <f ca="1"/>
        <v>0</v>
      </c>
      <c r="EQ76">
        <f ca="1"/>
        <v>0</v>
      </c>
      <c r="ER76">
        <f ca="1"/>
        <v>0</v>
      </c>
      <c r="ES76">
        <f ca="1"/>
        <v>0</v>
      </c>
      <c r="ET76">
        <f ca="1"/>
        <v>0</v>
      </c>
      <c r="EU76">
        <f ca="1"/>
        <v>0</v>
      </c>
      <c r="EV76">
        <f ca="1"/>
        <v>0</v>
      </c>
      <c r="EW76">
        <f ca="1"/>
        <v>0</v>
      </c>
      <c r="EX76">
        <f ca="1"/>
        <v>0</v>
      </c>
      <c r="EY76">
        <f ca="1"/>
        <v>0</v>
      </c>
      <c r="EZ76">
        <f ca="1"/>
        <v>0</v>
      </c>
      <c r="FA76">
        <f ca="1"/>
        <v>0</v>
      </c>
      <c r="FB76">
        <f ca="1"/>
        <v>0</v>
      </c>
      <c r="FC76">
        <f ca="1"/>
        <v>0</v>
      </c>
      <c r="FD76">
        <f ca="1"/>
        <v>0</v>
      </c>
      <c r="FE76">
        <f ca="1"/>
        <v>0</v>
      </c>
      <c r="FF76">
        <f ca="1"/>
        <v>0</v>
      </c>
      <c r="FG76">
        <f ca="1"/>
        <v>0</v>
      </c>
      <c r="FH76">
        <f ca="1"/>
        <v>0</v>
      </c>
      <c r="FI76">
        <f ca="1"/>
        <v>0</v>
      </c>
      <c r="FJ76">
        <f ca="1"/>
        <v>0</v>
      </c>
      <c r="FK76">
        <f ca="1"/>
        <v>0</v>
      </c>
      <c r="FL76">
        <f ca="1"/>
        <v>0</v>
      </c>
      <c r="FM76">
        <f ca="1"/>
        <v>0</v>
      </c>
      <c r="FN76">
        <f ca="1"/>
        <v>0</v>
      </c>
      <c r="FO76">
        <f ca="1"/>
        <v>0</v>
      </c>
      <c r="FP76">
        <f ca="1"/>
        <v>0</v>
      </c>
      <c r="FQ76">
        <f ca="1"/>
        <v>0</v>
      </c>
      <c r="FR76">
        <f ca="1"/>
        <v>0</v>
      </c>
      <c r="FS76">
        <f ca="1"/>
        <v>0</v>
      </c>
      <c r="FT76">
        <f ca="1"/>
        <v>0</v>
      </c>
      <c r="FU76">
        <f ca="1"/>
        <v>0</v>
      </c>
      <c r="FV76">
        <f ca="1"/>
        <v>0</v>
      </c>
      <c r="FW76">
        <f ca="1"/>
        <v>0</v>
      </c>
      <c r="FX76">
        <f ca="1"/>
        <v>0</v>
      </c>
      <c r="FY76">
        <f ca="1"/>
        <v>0</v>
      </c>
      <c r="FZ76">
        <f ca="1"/>
        <v>0</v>
      </c>
    </row>
    <row r="77" spans="3:182">
      <c r="C77" cm="1">
        <f t="array" aca="1" ref="C77:FZ77" ca="1">IFERROR(TRANSPOSE(INDEX(_xlfn._xlws.FILTER(INDIRECT("SubcategoriesTable[Subcategory name]"),INDIRECT("SubcategoriesTable[Category name]")=$B77),,)),"No subcategories")</f>
        <v>0</v>
      </c>
      <c r="D77">
        <f ca="1"/>
        <v>0</v>
      </c>
      <c r="E77">
        <f ca="1"/>
        <v>0</v>
      </c>
      <c r="F77">
        <f ca="1"/>
        <v>0</v>
      </c>
      <c r="G77">
        <f ca="1"/>
        <v>0</v>
      </c>
      <c r="H77">
        <f ca="1"/>
        <v>0</v>
      </c>
      <c r="I77">
        <f ca="1"/>
        <v>0</v>
      </c>
      <c r="J77">
        <f ca="1"/>
        <v>0</v>
      </c>
      <c r="K77">
        <f ca="1"/>
        <v>0</v>
      </c>
      <c r="L77">
        <f ca="1"/>
        <v>0</v>
      </c>
      <c r="M77">
        <f ca="1"/>
        <v>0</v>
      </c>
      <c r="N77">
        <f ca="1"/>
        <v>0</v>
      </c>
      <c r="O77">
        <f ca="1"/>
        <v>0</v>
      </c>
      <c r="P77">
        <f ca="1"/>
        <v>0</v>
      </c>
      <c r="Q77">
        <f ca="1"/>
        <v>0</v>
      </c>
      <c r="R77">
        <f ca="1"/>
        <v>0</v>
      </c>
      <c r="S77">
        <f ca="1"/>
        <v>0</v>
      </c>
      <c r="T77">
        <f ca="1"/>
        <v>0</v>
      </c>
      <c r="U77">
        <f ca="1"/>
        <v>0</v>
      </c>
      <c r="V77">
        <f ca="1"/>
        <v>0</v>
      </c>
      <c r="W77">
        <f ca="1"/>
        <v>0</v>
      </c>
      <c r="X77">
        <f ca="1"/>
        <v>0</v>
      </c>
      <c r="Y77">
        <f ca="1"/>
        <v>0</v>
      </c>
      <c r="Z77">
        <f ca="1"/>
        <v>0</v>
      </c>
      <c r="AA77">
        <f ca="1"/>
        <v>0</v>
      </c>
      <c r="AB77">
        <f ca="1"/>
        <v>0</v>
      </c>
      <c r="AC77">
        <f ca="1"/>
        <v>0</v>
      </c>
      <c r="AD77">
        <f ca="1"/>
        <v>0</v>
      </c>
      <c r="AE77">
        <f ca="1"/>
        <v>0</v>
      </c>
      <c r="AF77">
        <f ca="1"/>
        <v>0</v>
      </c>
      <c r="AG77">
        <f ca="1"/>
        <v>0</v>
      </c>
      <c r="AH77">
        <f ca="1"/>
        <v>0</v>
      </c>
      <c r="AI77">
        <f ca="1"/>
        <v>0</v>
      </c>
      <c r="AJ77">
        <f ca="1"/>
        <v>0</v>
      </c>
      <c r="AK77">
        <f ca="1"/>
        <v>0</v>
      </c>
      <c r="AL77">
        <f ca="1"/>
        <v>0</v>
      </c>
      <c r="AM77">
        <f ca="1"/>
        <v>0</v>
      </c>
      <c r="AN77">
        <f ca="1"/>
        <v>0</v>
      </c>
      <c r="AO77">
        <f ca="1"/>
        <v>0</v>
      </c>
      <c r="AP77">
        <f ca="1"/>
        <v>0</v>
      </c>
      <c r="AQ77">
        <f ca="1"/>
        <v>0</v>
      </c>
      <c r="AR77">
        <f ca="1"/>
        <v>0</v>
      </c>
      <c r="AS77">
        <f ca="1"/>
        <v>0</v>
      </c>
      <c r="AT77">
        <f ca="1"/>
        <v>0</v>
      </c>
      <c r="AU77">
        <f ca="1"/>
        <v>0</v>
      </c>
      <c r="AV77">
        <f ca="1"/>
        <v>0</v>
      </c>
      <c r="AW77">
        <f ca="1"/>
        <v>0</v>
      </c>
      <c r="AX77">
        <f ca="1"/>
        <v>0</v>
      </c>
      <c r="AY77">
        <f ca="1"/>
        <v>0</v>
      </c>
      <c r="AZ77">
        <f ca="1"/>
        <v>0</v>
      </c>
      <c r="BA77">
        <f ca="1"/>
        <v>0</v>
      </c>
      <c r="BB77">
        <f ca="1"/>
        <v>0</v>
      </c>
      <c r="BC77">
        <f ca="1"/>
        <v>0</v>
      </c>
      <c r="BD77">
        <f ca="1"/>
        <v>0</v>
      </c>
      <c r="BE77">
        <f ca="1"/>
        <v>0</v>
      </c>
      <c r="BF77">
        <f ca="1"/>
        <v>0</v>
      </c>
      <c r="BG77">
        <f ca="1"/>
        <v>0</v>
      </c>
      <c r="BH77">
        <f ca="1"/>
        <v>0</v>
      </c>
      <c r="BI77">
        <f ca="1"/>
        <v>0</v>
      </c>
      <c r="BJ77">
        <f ca="1"/>
        <v>0</v>
      </c>
      <c r="BK77">
        <f ca="1"/>
        <v>0</v>
      </c>
      <c r="BL77">
        <f ca="1"/>
        <v>0</v>
      </c>
      <c r="BM77">
        <f ca="1"/>
        <v>0</v>
      </c>
      <c r="BN77">
        <f ca="1"/>
        <v>0</v>
      </c>
      <c r="BO77">
        <f ca="1"/>
        <v>0</v>
      </c>
      <c r="BP77">
        <f ca="1"/>
        <v>0</v>
      </c>
      <c r="BQ77">
        <f ca="1"/>
        <v>0</v>
      </c>
      <c r="BR77">
        <f ca="1"/>
        <v>0</v>
      </c>
      <c r="BS77">
        <f ca="1"/>
        <v>0</v>
      </c>
      <c r="BT77">
        <f ca="1"/>
        <v>0</v>
      </c>
      <c r="BU77">
        <f ca="1"/>
        <v>0</v>
      </c>
      <c r="BV77">
        <f ca="1"/>
        <v>0</v>
      </c>
      <c r="BW77">
        <f ca="1"/>
        <v>0</v>
      </c>
      <c r="BX77">
        <f ca="1"/>
        <v>0</v>
      </c>
      <c r="BY77">
        <f ca="1"/>
        <v>0</v>
      </c>
      <c r="BZ77">
        <f ca="1"/>
        <v>0</v>
      </c>
      <c r="CA77">
        <f ca="1"/>
        <v>0</v>
      </c>
      <c r="CB77">
        <f ca="1"/>
        <v>0</v>
      </c>
      <c r="CC77">
        <f ca="1"/>
        <v>0</v>
      </c>
      <c r="CD77">
        <f ca="1"/>
        <v>0</v>
      </c>
      <c r="CE77">
        <f ca="1"/>
        <v>0</v>
      </c>
      <c r="CF77">
        <f ca="1"/>
        <v>0</v>
      </c>
      <c r="CG77">
        <f ca="1"/>
        <v>0</v>
      </c>
      <c r="CH77">
        <f ca="1"/>
        <v>0</v>
      </c>
      <c r="CI77">
        <f ca="1"/>
        <v>0</v>
      </c>
      <c r="CJ77">
        <f ca="1"/>
        <v>0</v>
      </c>
      <c r="CK77">
        <f ca="1"/>
        <v>0</v>
      </c>
      <c r="CL77">
        <f ca="1"/>
        <v>0</v>
      </c>
      <c r="CM77">
        <f ca="1"/>
        <v>0</v>
      </c>
      <c r="CN77">
        <f ca="1"/>
        <v>0</v>
      </c>
      <c r="CO77">
        <f ca="1"/>
        <v>0</v>
      </c>
      <c r="CP77">
        <f ca="1"/>
        <v>0</v>
      </c>
      <c r="CQ77">
        <f ca="1"/>
        <v>0</v>
      </c>
      <c r="CR77">
        <f ca="1"/>
        <v>0</v>
      </c>
      <c r="CS77">
        <f ca="1"/>
        <v>0</v>
      </c>
      <c r="CT77">
        <f ca="1"/>
        <v>0</v>
      </c>
      <c r="CU77">
        <f ca="1"/>
        <v>0</v>
      </c>
      <c r="CV77">
        <f ca="1"/>
        <v>0</v>
      </c>
      <c r="CW77">
        <f ca="1"/>
        <v>0</v>
      </c>
      <c r="CX77">
        <f ca="1"/>
        <v>0</v>
      </c>
      <c r="CY77">
        <f ca="1"/>
        <v>0</v>
      </c>
      <c r="CZ77">
        <f ca="1"/>
        <v>0</v>
      </c>
      <c r="DA77">
        <f ca="1"/>
        <v>0</v>
      </c>
      <c r="DB77">
        <f ca="1"/>
        <v>0</v>
      </c>
      <c r="DC77">
        <f ca="1"/>
        <v>0</v>
      </c>
      <c r="DD77">
        <f ca="1"/>
        <v>0</v>
      </c>
      <c r="DE77">
        <f ca="1"/>
        <v>0</v>
      </c>
      <c r="DF77">
        <f ca="1"/>
        <v>0</v>
      </c>
      <c r="DG77">
        <f ca="1"/>
        <v>0</v>
      </c>
      <c r="DH77">
        <f ca="1"/>
        <v>0</v>
      </c>
      <c r="DI77">
        <f ca="1"/>
        <v>0</v>
      </c>
      <c r="DJ77">
        <f ca="1"/>
        <v>0</v>
      </c>
      <c r="DK77">
        <f ca="1"/>
        <v>0</v>
      </c>
      <c r="DL77">
        <f ca="1"/>
        <v>0</v>
      </c>
      <c r="DM77">
        <f ca="1"/>
        <v>0</v>
      </c>
      <c r="DN77">
        <f ca="1"/>
        <v>0</v>
      </c>
      <c r="DO77">
        <f ca="1"/>
        <v>0</v>
      </c>
      <c r="DP77">
        <f ca="1"/>
        <v>0</v>
      </c>
      <c r="DQ77">
        <f ca="1"/>
        <v>0</v>
      </c>
      <c r="DR77">
        <f ca="1"/>
        <v>0</v>
      </c>
      <c r="DS77">
        <f ca="1"/>
        <v>0</v>
      </c>
      <c r="DT77">
        <f ca="1"/>
        <v>0</v>
      </c>
      <c r="DU77">
        <f ca="1"/>
        <v>0</v>
      </c>
      <c r="DV77">
        <f ca="1"/>
        <v>0</v>
      </c>
      <c r="DW77">
        <f ca="1"/>
        <v>0</v>
      </c>
      <c r="DX77">
        <f ca="1"/>
        <v>0</v>
      </c>
      <c r="DY77">
        <f ca="1"/>
        <v>0</v>
      </c>
      <c r="DZ77">
        <f ca="1"/>
        <v>0</v>
      </c>
      <c r="EA77">
        <f ca="1"/>
        <v>0</v>
      </c>
      <c r="EB77">
        <f ca="1"/>
        <v>0</v>
      </c>
      <c r="EC77">
        <f ca="1"/>
        <v>0</v>
      </c>
      <c r="ED77">
        <f ca="1"/>
        <v>0</v>
      </c>
      <c r="EE77">
        <f ca="1"/>
        <v>0</v>
      </c>
      <c r="EF77">
        <f ca="1"/>
        <v>0</v>
      </c>
      <c r="EG77">
        <f ca="1"/>
        <v>0</v>
      </c>
      <c r="EH77">
        <f ca="1"/>
        <v>0</v>
      </c>
      <c r="EI77">
        <f ca="1"/>
        <v>0</v>
      </c>
      <c r="EJ77">
        <f ca="1"/>
        <v>0</v>
      </c>
      <c r="EK77">
        <f ca="1"/>
        <v>0</v>
      </c>
      <c r="EL77">
        <f ca="1"/>
        <v>0</v>
      </c>
      <c r="EM77">
        <f ca="1"/>
        <v>0</v>
      </c>
      <c r="EN77">
        <f ca="1"/>
        <v>0</v>
      </c>
      <c r="EO77">
        <f ca="1"/>
        <v>0</v>
      </c>
      <c r="EP77">
        <f ca="1"/>
        <v>0</v>
      </c>
      <c r="EQ77">
        <f ca="1"/>
        <v>0</v>
      </c>
      <c r="ER77">
        <f ca="1"/>
        <v>0</v>
      </c>
      <c r="ES77">
        <f ca="1"/>
        <v>0</v>
      </c>
      <c r="ET77">
        <f ca="1"/>
        <v>0</v>
      </c>
      <c r="EU77">
        <f ca="1"/>
        <v>0</v>
      </c>
      <c r="EV77">
        <f ca="1"/>
        <v>0</v>
      </c>
      <c r="EW77">
        <f ca="1"/>
        <v>0</v>
      </c>
      <c r="EX77">
        <f ca="1"/>
        <v>0</v>
      </c>
      <c r="EY77">
        <f ca="1"/>
        <v>0</v>
      </c>
      <c r="EZ77">
        <f ca="1"/>
        <v>0</v>
      </c>
      <c r="FA77">
        <f ca="1"/>
        <v>0</v>
      </c>
      <c r="FB77">
        <f ca="1"/>
        <v>0</v>
      </c>
      <c r="FC77">
        <f ca="1"/>
        <v>0</v>
      </c>
      <c r="FD77">
        <f ca="1"/>
        <v>0</v>
      </c>
      <c r="FE77">
        <f ca="1"/>
        <v>0</v>
      </c>
      <c r="FF77">
        <f ca="1"/>
        <v>0</v>
      </c>
      <c r="FG77">
        <f ca="1"/>
        <v>0</v>
      </c>
      <c r="FH77">
        <f ca="1"/>
        <v>0</v>
      </c>
      <c r="FI77">
        <f ca="1"/>
        <v>0</v>
      </c>
      <c r="FJ77">
        <f ca="1"/>
        <v>0</v>
      </c>
      <c r="FK77">
        <f ca="1"/>
        <v>0</v>
      </c>
      <c r="FL77">
        <f ca="1"/>
        <v>0</v>
      </c>
      <c r="FM77">
        <f ca="1"/>
        <v>0</v>
      </c>
      <c r="FN77">
        <f ca="1"/>
        <v>0</v>
      </c>
      <c r="FO77">
        <f ca="1"/>
        <v>0</v>
      </c>
      <c r="FP77">
        <f ca="1"/>
        <v>0</v>
      </c>
      <c r="FQ77">
        <f ca="1"/>
        <v>0</v>
      </c>
      <c r="FR77">
        <f ca="1"/>
        <v>0</v>
      </c>
      <c r="FS77">
        <f ca="1"/>
        <v>0</v>
      </c>
      <c r="FT77">
        <f ca="1"/>
        <v>0</v>
      </c>
      <c r="FU77">
        <f ca="1"/>
        <v>0</v>
      </c>
      <c r="FV77">
        <f ca="1"/>
        <v>0</v>
      </c>
      <c r="FW77">
        <f ca="1"/>
        <v>0</v>
      </c>
      <c r="FX77">
        <f ca="1"/>
        <v>0</v>
      </c>
      <c r="FY77">
        <f ca="1"/>
        <v>0</v>
      </c>
      <c r="FZ77">
        <f ca="1"/>
        <v>0</v>
      </c>
    </row>
    <row r="78" spans="3:182">
      <c r="C78" cm="1">
        <f t="array" aca="1" ref="C78:FZ78" ca="1">IFERROR(TRANSPOSE(INDEX(_xlfn._xlws.FILTER(INDIRECT("SubcategoriesTable[Subcategory name]"),INDIRECT("SubcategoriesTable[Category name]")=$B78),,)),"No subcategories")</f>
        <v>0</v>
      </c>
      <c r="D78">
        <f ca="1"/>
        <v>0</v>
      </c>
      <c r="E78">
        <f ca="1"/>
        <v>0</v>
      </c>
      <c r="F78">
        <f ca="1"/>
        <v>0</v>
      </c>
      <c r="G78">
        <f ca="1"/>
        <v>0</v>
      </c>
      <c r="H78">
        <f ca="1"/>
        <v>0</v>
      </c>
      <c r="I78">
        <f ca="1"/>
        <v>0</v>
      </c>
      <c r="J78">
        <f ca="1"/>
        <v>0</v>
      </c>
      <c r="K78">
        <f ca="1"/>
        <v>0</v>
      </c>
      <c r="L78">
        <f ca="1"/>
        <v>0</v>
      </c>
      <c r="M78">
        <f ca="1"/>
        <v>0</v>
      </c>
      <c r="N78">
        <f ca="1"/>
        <v>0</v>
      </c>
      <c r="O78">
        <f ca="1"/>
        <v>0</v>
      </c>
      <c r="P78">
        <f ca="1"/>
        <v>0</v>
      </c>
      <c r="Q78">
        <f ca="1"/>
        <v>0</v>
      </c>
      <c r="R78">
        <f ca="1"/>
        <v>0</v>
      </c>
      <c r="S78">
        <f ca="1"/>
        <v>0</v>
      </c>
      <c r="T78">
        <f ca="1"/>
        <v>0</v>
      </c>
      <c r="U78">
        <f ca="1"/>
        <v>0</v>
      </c>
      <c r="V78">
        <f ca="1"/>
        <v>0</v>
      </c>
      <c r="W78">
        <f ca="1"/>
        <v>0</v>
      </c>
      <c r="X78">
        <f ca="1"/>
        <v>0</v>
      </c>
      <c r="Y78">
        <f ca="1"/>
        <v>0</v>
      </c>
      <c r="Z78">
        <f ca="1"/>
        <v>0</v>
      </c>
      <c r="AA78">
        <f ca="1"/>
        <v>0</v>
      </c>
      <c r="AB78">
        <f ca="1"/>
        <v>0</v>
      </c>
      <c r="AC78">
        <f ca="1"/>
        <v>0</v>
      </c>
      <c r="AD78">
        <f ca="1"/>
        <v>0</v>
      </c>
      <c r="AE78">
        <f ca="1"/>
        <v>0</v>
      </c>
      <c r="AF78">
        <f ca="1"/>
        <v>0</v>
      </c>
      <c r="AG78">
        <f ca="1"/>
        <v>0</v>
      </c>
      <c r="AH78">
        <f ca="1"/>
        <v>0</v>
      </c>
      <c r="AI78">
        <f ca="1"/>
        <v>0</v>
      </c>
      <c r="AJ78">
        <f ca="1"/>
        <v>0</v>
      </c>
      <c r="AK78">
        <f ca="1"/>
        <v>0</v>
      </c>
      <c r="AL78">
        <f ca="1"/>
        <v>0</v>
      </c>
      <c r="AM78">
        <f ca="1"/>
        <v>0</v>
      </c>
      <c r="AN78">
        <f ca="1"/>
        <v>0</v>
      </c>
      <c r="AO78">
        <f ca="1"/>
        <v>0</v>
      </c>
      <c r="AP78">
        <f ca="1"/>
        <v>0</v>
      </c>
      <c r="AQ78">
        <f ca="1"/>
        <v>0</v>
      </c>
      <c r="AR78">
        <f ca="1"/>
        <v>0</v>
      </c>
      <c r="AS78">
        <f ca="1"/>
        <v>0</v>
      </c>
      <c r="AT78">
        <f ca="1"/>
        <v>0</v>
      </c>
      <c r="AU78">
        <f ca="1"/>
        <v>0</v>
      </c>
      <c r="AV78">
        <f ca="1"/>
        <v>0</v>
      </c>
      <c r="AW78">
        <f ca="1"/>
        <v>0</v>
      </c>
      <c r="AX78">
        <f ca="1"/>
        <v>0</v>
      </c>
      <c r="AY78">
        <f ca="1"/>
        <v>0</v>
      </c>
      <c r="AZ78">
        <f ca="1"/>
        <v>0</v>
      </c>
      <c r="BA78">
        <f ca="1"/>
        <v>0</v>
      </c>
      <c r="BB78">
        <f ca="1"/>
        <v>0</v>
      </c>
      <c r="BC78">
        <f ca="1"/>
        <v>0</v>
      </c>
      <c r="BD78">
        <f ca="1"/>
        <v>0</v>
      </c>
      <c r="BE78">
        <f ca="1"/>
        <v>0</v>
      </c>
      <c r="BF78">
        <f ca="1"/>
        <v>0</v>
      </c>
      <c r="BG78">
        <f ca="1"/>
        <v>0</v>
      </c>
      <c r="BH78">
        <f ca="1"/>
        <v>0</v>
      </c>
      <c r="BI78">
        <f ca="1"/>
        <v>0</v>
      </c>
      <c r="BJ78">
        <f ca="1"/>
        <v>0</v>
      </c>
      <c r="BK78">
        <f ca="1"/>
        <v>0</v>
      </c>
      <c r="BL78">
        <f ca="1"/>
        <v>0</v>
      </c>
      <c r="BM78">
        <f ca="1"/>
        <v>0</v>
      </c>
      <c r="BN78">
        <f ca="1"/>
        <v>0</v>
      </c>
      <c r="BO78">
        <f ca="1"/>
        <v>0</v>
      </c>
      <c r="BP78">
        <f ca="1"/>
        <v>0</v>
      </c>
      <c r="BQ78">
        <f ca="1"/>
        <v>0</v>
      </c>
      <c r="BR78">
        <f ca="1"/>
        <v>0</v>
      </c>
      <c r="BS78">
        <f ca="1"/>
        <v>0</v>
      </c>
      <c r="BT78">
        <f ca="1"/>
        <v>0</v>
      </c>
      <c r="BU78">
        <f ca="1"/>
        <v>0</v>
      </c>
      <c r="BV78">
        <f ca="1"/>
        <v>0</v>
      </c>
      <c r="BW78">
        <f ca="1"/>
        <v>0</v>
      </c>
      <c r="BX78">
        <f ca="1"/>
        <v>0</v>
      </c>
      <c r="BY78">
        <f ca="1"/>
        <v>0</v>
      </c>
      <c r="BZ78">
        <f ca="1"/>
        <v>0</v>
      </c>
      <c r="CA78">
        <f ca="1"/>
        <v>0</v>
      </c>
      <c r="CB78">
        <f ca="1"/>
        <v>0</v>
      </c>
      <c r="CC78">
        <f ca="1"/>
        <v>0</v>
      </c>
      <c r="CD78">
        <f ca="1"/>
        <v>0</v>
      </c>
      <c r="CE78">
        <f ca="1"/>
        <v>0</v>
      </c>
      <c r="CF78">
        <f ca="1"/>
        <v>0</v>
      </c>
      <c r="CG78">
        <f ca="1"/>
        <v>0</v>
      </c>
      <c r="CH78">
        <f ca="1"/>
        <v>0</v>
      </c>
      <c r="CI78">
        <f ca="1"/>
        <v>0</v>
      </c>
      <c r="CJ78">
        <f ca="1"/>
        <v>0</v>
      </c>
      <c r="CK78">
        <f ca="1"/>
        <v>0</v>
      </c>
      <c r="CL78">
        <f ca="1"/>
        <v>0</v>
      </c>
      <c r="CM78">
        <f ca="1"/>
        <v>0</v>
      </c>
      <c r="CN78">
        <f ca="1"/>
        <v>0</v>
      </c>
      <c r="CO78">
        <f ca="1"/>
        <v>0</v>
      </c>
      <c r="CP78">
        <f ca="1"/>
        <v>0</v>
      </c>
      <c r="CQ78">
        <f ca="1"/>
        <v>0</v>
      </c>
      <c r="CR78">
        <f ca="1"/>
        <v>0</v>
      </c>
      <c r="CS78">
        <f ca="1"/>
        <v>0</v>
      </c>
      <c r="CT78">
        <f ca="1"/>
        <v>0</v>
      </c>
      <c r="CU78">
        <f ca="1"/>
        <v>0</v>
      </c>
      <c r="CV78">
        <f ca="1"/>
        <v>0</v>
      </c>
      <c r="CW78">
        <f ca="1"/>
        <v>0</v>
      </c>
      <c r="CX78">
        <f ca="1"/>
        <v>0</v>
      </c>
      <c r="CY78">
        <f ca="1"/>
        <v>0</v>
      </c>
      <c r="CZ78">
        <f ca="1"/>
        <v>0</v>
      </c>
      <c r="DA78">
        <f ca="1"/>
        <v>0</v>
      </c>
      <c r="DB78">
        <f ca="1"/>
        <v>0</v>
      </c>
      <c r="DC78">
        <f ca="1"/>
        <v>0</v>
      </c>
      <c r="DD78">
        <f ca="1"/>
        <v>0</v>
      </c>
      <c r="DE78">
        <f ca="1"/>
        <v>0</v>
      </c>
      <c r="DF78">
        <f ca="1"/>
        <v>0</v>
      </c>
      <c r="DG78">
        <f ca="1"/>
        <v>0</v>
      </c>
      <c r="DH78">
        <f ca="1"/>
        <v>0</v>
      </c>
      <c r="DI78">
        <f ca="1"/>
        <v>0</v>
      </c>
      <c r="DJ78">
        <f ca="1"/>
        <v>0</v>
      </c>
      <c r="DK78">
        <f ca="1"/>
        <v>0</v>
      </c>
      <c r="DL78">
        <f ca="1"/>
        <v>0</v>
      </c>
      <c r="DM78">
        <f ca="1"/>
        <v>0</v>
      </c>
      <c r="DN78">
        <f ca="1"/>
        <v>0</v>
      </c>
      <c r="DO78">
        <f ca="1"/>
        <v>0</v>
      </c>
      <c r="DP78">
        <f ca="1"/>
        <v>0</v>
      </c>
      <c r="DQ78">
        <f ca="1"/>
        <v>0</v>
      </c>
      <c r="DR78">
        <f ca="1"/>
        <v>0</v>
      </c>
      <c r="DS78">
        <f ca="1"/>
        <v>0</v>
      </c>
      <c r="DT78">
        <f ca="1"/>
        <v>0</v>
      </c>
      <c r="DU78">
        <f ca="1"/>
        <v>0</v>
      </c>
      <c r="DV78">
        <f ca="1"/>
        <v>0</v>
      </c>
      <c r="DW78">
        <f ca="1"/>
        <v>0</v>
      </c>
      <c r="DX78">
        <f ca="1"/>
        <v>0</v>
      </c>
      <c r="DY78">
        <f ca="1"/>
        <v>0</v>
      </c>
      <c r="DZ78">
        <f ca="1"/>
        <v>0</v>
      </c>
      <c r="EA78">
        <f ca="1"/>
        <v>0</v>
      </c>
      <c r="EB78">
        <f ca="1"/>
        <v>0</v>
      </c>
      <c r="EC78">
        <f ca="1"/>
        <v>0</v>
      </c>
      <c r="ED78">
        <f ca="1"/>
        <v>0</v>
      </c>
      <c r="EE78">
        <f ca="1"/>
        <v>0</v>
      </c>
      <c r="EF78">
        <f ca="1"/>
        <v>0</v>
      </c>
      <c r="EG78">
        <f ca="1"/>
        <v>0</v>
      </c>
      <c r="EH78">
        <f ca="1"/>
        <v>0</v>
      </c>
      <c r="EI78">
        <f ca="1"/>
        <v>0</v>
      </c>
      <c r="EJ78">
        <f ca="1"/>
        <v>0</v>
      </c>
      <c r="EK78">
        <f ca="1"/>
        <v>0</v>
      </c>
      <c r="EL78">
        <f ca="1"/>
        <v>0</v>
      </c>
      <c r="EM78">
        <f ca="1"/>
        <v>0</v>
      </c>
      <c r="EN78">
        <f ca="1"/>
        <v>0</v>
      </c>
      <c r="EO78">
        <f ca="1"/>
        <v>0</v>
      </c>
      <c r="EP78">
        <f ca="1"/>
        <v>0</v>
      </c>
      <c r="EQ78">
        <f ca="1"/>
        <v>0</v>
      </c>
      <c r="ER78">
        <f ca="1"/>
        <v>0</v>
      </c>
      <c r="ES78">
        <f ca="1"/>
        <v>0</v>
      </c>
      <c r="ET78">
        <f ca="1"/>
        <v>0</v>
      </c>
      <c r="EU78">
        <f ca="1"/>
        <v>0</v>
      </c>
      <c r="EV78">
        <f ca="1"/>
        <v>0</v>
      </c>
      <c r="EW78">
        <f ca="1"/>
        <v>0</v>
      </c>
      <c r="EX78">
        <f ca="1"/>
        <v>0</v>
      </c>
      <c r="EY78">
        <f ca="1"/>
        <v>0</v>
      </c>
      <c r="EZ78">
        <f ca="1"/>
        <v>0</v>
      </c>
      <c r="FA78">
        <f ca="1"/>
        <v>0</v>
      </c>
      <c r="FB78">
        <f ca="1"/>
        <v>0</v>
      </c>
      <c r="FC78">
        <f ca="1"/>
        <v>0</v>
      </c>
      <c r="FD78">
        <f ca="1"/>
        <v>0</v>
      </c>
      <c r="FE78">
        <f ca="1"/>
        <v>0</v>
      </c>
      <c r="FF78">
        <f ca="1"/>
        <v>0</v>
      </c>
      <c r="FG78">
        <f ca="1"/>
        <v>0</v>
      </c>
      <c r="FH78">
        <f ca="1"/>
        <v>0</v>
      </c>
      <c r="FI78">
        <f ca="1"/>
        <v>0</v>
      </c>
      <c r="FJ78">
        <f ca="1"/>
        <v>0</v>
      </c>
      <c r="FK78">
        <f ca="1"/>
        <v>0</v>
      </c>
      <c r="FL78">
        <f ca="1"/>
        <v>0</v>
      </c>
      <c r="FM78">
        <f ca="1"/>
        <v>0</v>
      </c>
      <c r="FN78">
        <f ca="1"/>
        <v>0</v>
      </c>
      <c r="FO78">
        <f ca="1"/>
        <v>0</v>
      </c>
      <c r="FP78">
        <f ca="1"/>
        <v>0</v>
      </c>
      <c r="FQ78">
        <f ca="1"/>
        <v>0</v>
      </c>
      <c r="FR78">
        <f ca="1"/>
        <v>0</v>
      </c>
      <c r="FS78">
        <f ca="1"/>
        <v>0</v>
      </c>
      <c r="FT78">
        <f ca="1"/>
        <v>0</v>
      </c>
      <c r="FU78">
        <f ca="1"/>
        <v>0</v>
      </c>
      <c r="FV78">
        <f ca="1"/>
        <v>0</v>
      </c>
      <c r="FW78">
        <f ca="1"/>
        <v>0</v>
      </c>
      <c r="FX78">
        <f ca="1"/>
        <v>0</v>
      </c>
      <c r="FY78">
        <f ca="1"/>
        <v>0</v>
      </c>
      <c r="FZ78">
        <f ca="1"/>
        <v>0</v>
      </c>
    </row>
    <row r="79" spans="3:182">
      <c r="C79" cm="1">
        <f t="array" aca="1" ref="C79:FZ79" ca="1">IFERROR(TRANSPOSE(INDEX(_xlfn._xlws.FILTER(INDIRECT("SubcategoriesTable[Subcategory name]"),INDIRECT("SubcategoriesTable[Category name]")=$B79),,)),"No subcategories")</f>
        <v>0</v>
      </c>
      <c r="D79">
        <f ca="1"/>
        <v>0</v>
      </c>
      <c r="E79">
        <f ca="1"/>
        <v>0</v>
      </c>
      <c r="F79">
        <f ca="1"/>
        <v>0</v>
      </c>
      <c r="G79">
        <f ca="1"/>
        <v>0</v>
      </c>
      <c r="H79">
        <f ca="1"/>
        <v>0</v>
      </c>
      <c r="I79">
        <f ca="1"/>
        <v>0</v>
      </c>
      <c r="J79">
        <f ca="1"/>
        <v>0</v>
      </c>
      <c r="K79">
        <f ca="1"/>
        <v>0</v>
      </c>
      <c r="L79">
        <f ca="1"/>
        <v>0</v>
      </c>
      <c r="M79">
        <f ca="1"/>
        <v>0</v>
      </c>
      <c r="N79">
        <f ca="1"/>
        <v>0</v>
      </c>
      <c r="O79">
        <f ca="1"/>
        <v>0</v>
      </c>
      <c r="P79">
        <f ca="1"/>
        <v>0</v>
      </c>
      <c r="Q79">
        <f ca="1"/>
        <v>0</v>
      </c>
      <c r="R79">
        <f ca="1"/>
        <v>0</v>
      </c>
      <c r="S79">
        <f ca="1"/>
        <v>0</v>
      </c>
      <c r="T79">
        <f ca="1"/>
        <v>0</v>
      </c>
      <c r="U79">
        <f ca="1"/>
        <v>0</v>
      </c>
      <c r="V79">
        <f ca="1"/>
        <v>0</v>
      </c>
      <c r="W79">
        <f ca="1"/>
        <v>0</v>
      </c>
      <c r="X79">
        <f ca="1"/>
        <v>0</v>
      </c>
      <c r="Y79">
        <f ca="1"/>
        <v>0</v>
      </c>
      <c r="Z79">
        <f ca="1"/>
        <v>0</v>
      </c>
      <c r="AA79">
        <f ca="1"/>
        <v>0</v>
      </c>
      <c r="AB79">
        <f ca="1"/>
        <v>0</v>
      </c>
      <c r="AC79">
        <f ca="1"/>
        <v>0</v>
      </c>
      <c r="AD79">
        <f ca="1"/>
        <v>0</v>
      </c>
      <c r="AE79">
        <f ca="1"/>
        <v>0</v>
      </c>
      <c r="AF79">
        <f ca="1"/>
        <v>0</v>
      </c>
      <c r="AG79">
        <f ca="1"/>
        <v>0</v>
      </c>
      <c r="AH79">
        <f ca="1"/>
        <v>0</v>
      </c>
      <c r="AI79">
        <f ca="1"/>
        <v>0</v>
      </c>
      <c r="AJ79">
        <f ca="1"/>
        <v>0</v>
      </c>
      <c r="AK79">
        <f ca="1"/>
        <v>0</v>
      </c>
      <c r="AL79">
        <f ca="1"/>
        <v>0</v>
      </c>
      <c r="AM79">
        <f ca="1"/>
        <v>0</v>
      </c>
      <c r="AN79">
        <f ca="1"/>
        <v>0</v>
      </c>
      <c r="AO79">
        <f ca="1"/>
        <v>0</v>
      </c>
      <c r="AP79">
        <f ca="1"/>
        <v>0</v>
      </c>
      <c r="AQ79">
        <f ca="1"/>
        <v>0</v>
      </c>
      <c r="AR79">
        <f ca="1"/>
        <v>0</v>
      </c>
      <c r="AS79">
        <f ca="1"/>
        <v>0</v>
      </c>
      <c r="AT79">
        <f ca="1"/>
        <v>0</v>
      </c>
      <c r="AU79">
        <f ca="1"/>
        <v>0</v>
      </c>
      <c r="AV79">
        <f ca="1"/>
        <v>0</v>
      </c>
      <c r="AW79">
        <f ca="1"/>
        <v>0</v>
      </c>
      <c r="AX79">
        <f ca="1"/>
        <v>0</v>
      </c>
      <c r="AY79">
        <f ca="1"/>
        <v>0</v>
      </c>
      <c r="AZ79">
        <f ca="1"/>
        <v>0</v>
      </c>
      <c r="BA79">
        <f ca="1"/>
        <v>0</v>
      </c>
      <c r="BB79">
        <f ca="1"/>
        <v>0</v>
      </c>
      <c r="BC79">
        <f ca="1"/>
        <v>0</v>
      </c>
      <c r="BD79">
        <f ca="1"/>
        <v>0</v>
      </c>
      <c r="BE79">
        <f ca="1"/>
        <v>0</v>
      </c>
      <c r="BF79">
        <f ca="1"/>
        <v>0</v>
      </c>
      <c r="BG79">
        <f ca="1"/>
        <v>0</v>
      </c>
      <c r="BH79">
        <f ca="1"/>
        <v>0</v>
      </c>
      <c r="BI79">
        <f ca="1"/>
        <v>0</v>
      </c>
      <c r="BJ79">
        <f ca="1"/>
        <v>0</v>
      </c>
      <c r="BK79">
        <f ca="1"/>
        <v>0</v>
      </c>
      <c r="BL79">
        <f ca="1"/>
        <v>0</v>
      </c>
      <c r="BM79">
        <f ca="1"/>
        <v>0</v>
      </c>
      <c r="BN79">
        <f ca="1"/>
        <v>0</v>
      </c>
      <c r="BO79">
        <f ca="1"/>
        <v>0</v>
      </c>
      <c r="BP79">
        <f ca="1"/>
        <v>0</v>
      </c>
      <c r="BQ79">
        <f ca="1"/>
        <v>0</v>
      </c>
      <c r="BR79">
        <f ca="1"/>
        <v>0</v>
      </c>
      <c r="BS79">
        <f ca="1"/>
        <v>0</v>
      </c>
      <c r="BT79">
        <f ca="1"/>
        <v>0</v>
      </c>
      <c r="BU79">
        <f ca="1"/>
        <v>0</v>
      </c>
      <c r="BV79">
        <f ca="1"/>
        <v>0</v>
      </c>
      <c r="BW79">
        <f ca="1"/>
        <v>0</v>
      </c>
      <c r="BX79">
        <f ca="1"/>
        <v>0</v>
      </c>
      <c r="BY79">
        <f ca="1"/>
        <v>0</v>
      </c>
      <c r="BZ79">
        <f ca="1"/>
        <v>0</v>
      </c>
      <c r="CA79">
        <f ca="1"/>
        <v>0</v>
      </c>
      <c r="CB79">
        <f ca="1"/>
        <v>0</v>
      </c>
      <c r="CC79">
        <f ca="1"/>
        <v>0</v>
      </c>
      <c r="CD79">
        <f ca="1"/>
        <v>0</v>
      </c>
      <c r="CE79">
        <f ca="1"/>
        <v>0</v>
      </c>
      <c r="CF79">
        <f ca="1"/>
        <v>0</v>
      </c>
      <c r="CG79">
        <f ca="1"/>
        <v>0</v>
      </c>
      <c r="CH79">
        <f ca="1"/>
        <v>0</v>
      </c>
      <c r="CI79">
        <f ca="1"/>
        <v>0</v>
      </c>
      <c r="CJ79">
        <f ca="1"/>
        <v>0</v>
      </c>
      <c r="CK79">
        <f ca="1"/>
        <v>0</v>
      </c>
      <c r="CL79">
        <f ca="1"/>
        <v>0</v>
      </c>
      <c r="CM79">
        <f ca="1"/>
        <v>0</v>
      </c>
      <c r="CN79">
        <f ca="1"/>
        <v>0</v>
      </c>
      <c r="CO79">
        <f ca="1"/>
        <v>0</v>
      </c>
      <c r="CP79">
        <f ca="1"/>
        <v>0</v>
      </c>
      <c r="CQ79">
        <f ca="1"/>
        <v>0</v>
      </c>
      <c r="CR79">
        <f ca="1"/>
        <v>0</v>
      </c>
      <c r="CS79">
        <f ca="1"/>
        <v>0</v>
      </c>
      <c r="CT79">
        <f ca="1"/>
        <v>0</v>
      </c>
      <c r="CU79">
        <f ca="1"/>
        <v>0</v>
      </c>
      <c r="CV79">
        <f ca="1"/>
        <v>0</v>
      </c>
      <c r="CW79">
        <f ca="1"/>
        <v>0</v>
      </c>
      <c r="CX79">
        <f ca="1"/>
        <v>0</v>
      </c>
      <c r="CY79">
        <f ca="1"/>
        <v>0</v>
      </c>
      <c r="CZ79">
        <f ca="1"/>
        <v>0</v>
      </c>
      <c r="DA79">
        <f ca="1"/>
        <v>0</v>
      </c>
      <c r="DB79">
        <f ca="1"/>
        <v>0</v>
      </c>
      <c r="DC79">
        <f ca="1"/>
        <v>0</v>
      </c>
      <c r="DD79">
        <f ca="1"/>
        <v>0</v>
      </c>
      <c r="DE79">
        <f ca="1"/>
        <v>0</v>
      </c>
      <c r="DF79">
        <f ca="1"/>
        <v>0</v>
      </c>
      <c r="DG79">
        <f ca="1"/>
        <v>0</v>
      </c>
      <c r="DH79">
        <f ca="1"/>
        <v>0</v>
      </c>
      <c r="DI79">
        <f ca="1"/>
        <v>0</v>
      </c>
      <c r="DJ79">
        <f ca="1"/>
        <v>0</v>
      </c>
      <c r="DK79">
        <f ca="1"/>
        <v>0</v>
      </c>
      <c r="DL79">
        <f ca="1"/>
        <v>0</v>
      </c>
      <c r="DM79">
        <f ca="1"/>
        <v>0</v>
      </c>
      <c r="DN79">
        <f ca="1"/>
        <v>0</v>
      </c>
      <c r="DO79">
        <f ca="1"/>
        <v>0</v>
      </c>
      <c r="DP79">
        <f ca="1"/>
        <v>0</v>
      </c>
      <c r="DQ79">
        <f ca="1"/>
        <v>0</v>
      </c>
      <c r="DR79">
        <f ca="1"/>
        <v>0</v>
      </c>
      <c r="DS79">
        <f ca="1"/>
        <v>0</v>
      </c>
      <c r="DT79">
        <f ca="1"/>
        <v>0</v>
      </c>
      <c r="DU79">
        <f ca="1"/>
        <v>0</v>
      </c>
      <c r="DV79">
        <f ca="1"/>
        <v>0</v>
      </c>
      <c r="DW79">
        <f ca="1"/>
        <v>0</v>
      </c>
      <c r="DX79">
        <f ca="1"/>
        <v>0</v>
      </c>
      <c r="DY79">
        <f ca="1"/>
        <v>0</v>
      </c>
      <c r="DZ79">
        <f ca="1"/>
        <v>0</v>
      </c>
      <c r="EA79">
        <f ca="1"/>
        <v>0</v>
      </c>
      <c r="EB79">
        <f ca="1"/>
        <v>0</v>
      </c>
      <c r="EC79">
        <f ca="1"/>
        <v>0</v>
      </c>
      <c r="ED79">
        <f ca="1"/>
        <v>0</v>
      </c>
      <c r="EE79">
        <f ca="1"/>
        <v>0</v>
      </c>
      <c r="EF79">
        <f ca="1"/>
        <v>0</v>
      </c>
      <c r="EG79">
        <f ca="1"/>
        <v>0</v>
      </c>
      <c r="EH79">
        <f ca="1"/>
        <v>0</v>
      </c>
      <c r="EI79">
        <f ca="1"/>
        <v>0</v>
      </c>
      <c r="EJ79">
        <f ca="1"/>
        <v>0</v>
      </c>
      <c r="EK79">
        <f ca="1"/>
        <v>0</v>
      </c>
      <c r="EL79">
        <f ca="1"/>
        <v>0</v>
      </c>
      <c r="EM79">
        <f ca="1"/>
        <v>0</v>
      </c>
      <c r="EN79">
        <f ca="1"/>
        <v>0</v>
      </c>
      <c r="EO79">
        <f ca="1"/>
        <v>0</v>
      </c>
      <c r="EP79">
        <f ca="1"/>
        <v>0</v>
      </c>
      <c r="EQ79">
        <f ca="1"/>
        <v>0</v>
      </c>
      <c r="ER79">
        <f ca="1"/>
        <v>0</v>
      </c>
      <c r="ES79">
        <f ca="1"/>
        <v>0</v>
      </c>
      <c r="ET79">
        <f ca="1"/>
        <v>0</v>
      </c>
      <c r="EU79">
        <f ca="1"/>
        <v>0</v>
      </c>
      <c r="EV79">
        <f ca="1"/>
        <v>0</v>
      </c>
      <c r="EW79">
        <f ca="1"/>
        <v>0</v>
      </c>
      <c r="EX79">
        <f ca="1"/>
        <v>0</v>
      </c>
      <c r="EY79">
        <f ca="1"/>
        <v>0</v>
      </c>
      <c r="EZ79">
        <f ca="1"/>
        <v>0</v>
      </c>
      <c r="FA79">
        <f ca="1"/>
        <v>0</v>
      </c>
      <c r="FB79">
        <f ca="1"/>
        <v>0</v>
      </c>
      <c r="FC79">
        <f ca="1"/>
        <v>0</v>
      </c>
      <c r="FD79">
        <f ca="1"/>
        <v>0</v>
      </c>
      <c r="FE79">
        <f ca="1"/>
        <v>0</v>
      </c>
      <c r="FF79">
        <f ca="1"/>
        <v>0</v>
      </c>
      <c r="FG79">
        <f ca="1"/>
        <v>0</v>
      </c>
      <c r="FH79">
        <f ca="1"/>
        <v>0</v>
      </c>
      <c r="FI79">
        <f ca="1"/>
        <v>0</v>
      </c>
      <c r="FJ79">
        <f ca="1"/>
        <v>0</v>
      </c>
      <c r="FK79">
        <f ca="1"/>
        <v>0</v>
      </c>
      <c r="FL79">
        <f ca="1"/>
        <v>0</v>
      </c>
      <c r="FM79">
        <f ca="1"/>
        <v>0</v>
      </c>
      <c r="FN79">
        <f ca="1"/>
        <v>0</v>
      </c>
      <c r="FO79">
        <f ca="1"/>
        <v>0</v>
      </c>
      <c r="FP79">
        <f ca="1"/>
        <v>0</v>
      </c>
      <c r="FQ79">
        <f ca="1"/>
        <v>0</v>
      </c>
      <c r="FR79">
        <f ca="1"/>
        <v>0</v>
      </c>
      <c r="FS79">
        <f ca="1"/>
        <v>0</v>
      </c>
      <c r="FT79">
        <f ca="1"/>
        <v>0</v>
      </c>
      <c r="FU79">
        <f ca="1"/>
        <v>0</v>
      </c>
      <c r="FV79">
        <f ca="1"/>
        <v>0</v>
      </c>
      <c r="FW79">
        <f ca="1"/>
        <v>0</v>
      </c>
      <c r="FX79">
        <f ca="1"/>
        <v>0</v>
      </c>
      <c r="FY79">
        <f ca="1"/>
        <v>0</v>
      </c>
      <c r="FZ79">
        <f ca="1"/>
        <v>0</v>
      </c>
    </row>
    <row r="80" spans="3:182">
      <c r="C80" cm="1">
        <f t="array" aca="1" ref="C80:FZ80" ca="1">IFERROR(TRANSPOSE(INDEX(_xlfn._xlws.FILTER(INDIRECT("SubcategoriesTable[Subcategory name]"),INDIRECT("SubcategoriesTable[Category name]")=$B80),,)),"No subcategories")</f>
        <v>0</v>
      </c>
      <c r="D80">
        <f ca="1"/>
        <v>0</v>
      </c>
      <c r="E80">
        <f ca="1"/>
        <v>0</v>
      </c>
      <c r="F80">
        <f ca="1"/>
        <v>0</v>
      </c>
      <c r="G80">
        <f ca="1"/>
        <v>0</v>
      </c>
      <c r="H80">
        <f ca="1"/>
        <v>0</v>
      </c>
      <c r="I80">
        <f ca="1"/>
        <v>0</v>
      </c>
      <c r="J80">
        <f ca="1"/>
        <v>0</v>
      </c>
      <c r="K80">
        <f ca="1"/>
        <v>0</v>
      </c>
      <c r="L80">
        <f ca="1"/>
        <v>0</v>
      </c>
      <c r="M80">
        <f ca="1"/>
        <v>0</v>
      </c>
      <c r="N80">
        <f ca="1"/>
        <v>0</v>
      </c>
      <c r="O80">
        <f ca="1"/>
        <v>0</v>
      </c>
      <c r="P80">
        <f ca="1"/>
        <v>0</v>
      </c>
      <c r="Q80">
        <f ca="1"/>
        <v>0</v>
      </c>
      <c r="R80">
        <f ca="1"/>
        <v>0</v>
      </c>
      <c r="S80">
        <f ca="1"/>
        <v>0</v>
      </c>
      <c r="T80">
        <f ca="1"/>
        <v>0</v>
      </c>
      <c r="U80">
        <f ca="1"/>
        <v>0</v>
      </c>
      <c r="V80">
        <f ca="1"/>
        <v>0</v>
      </c>
      <c r="W80">
        <f ca="1"/>
        <v>0</v>
      </c>
      <c r="X80">
        <f ca="1"/>
        <v>0</v>
      </c>
      <c r="Y80">
        <f ca="1"/>
        <v>0</v>
      </c>
      <c r="Z80">
        <f ca="1"/>
        <v>0</v>
      </c>
      <c r="AA80">
        <f ca="1"/>
        <v>0</v>
      </c>
      <c r="AB80">
        <f ca="1"/>
        <v>0</v>
      </c>
      <c r="AC80">
        <f ca="1"/>
        <v>0</v>
      </c>
      <c r="AD80">
        <f ca="1"/>
        <v>0</v>
      </c>
      <c r="AE80">
        <f ca="1"/>
        <v>0</v>
      </c>
      <c r="AF80">
        <f ca="1"/>
        <v>0</v>
      </c>
      <c r="AG80">
        <f ca="1"/>
        <v>0</v>
      </c>
      <c r="AH80">
        <f ca="1"/>
        <v>0</v>
      </c>
      <c r="AI80">
        <f ca="1"/>
        <v>0</v>
      </c>
      <c r="AJ80">
        <f ca="1"/>
        <v>0</v>
      </c>
      <c r="AK80">
        <f ca="1"/>
        <v>0</v>
      </c>
      <c r="AL80">
        <f ca="1"/>
        <v>0</v>
      </c>
      <c r="AM80">
        <f ca="1"/>
        <v>0</v>
      </c>
      <c r="AN80">
        <f ca="1"/>
        <v>0</v>
      </c>
      <c r="AO80">
        <f ca="1"/>
        <v>0</v>
      </c>
      <c r="AP80">
        <f ca="1"/>
        <v>0</v>
      </c>
      <c r="AQ80">
        <f ca="1"/>
        <v>0</v>
      </c>
      <c r="AR80">
        <f ca="1"/>
        <v>0</v>
      </c>
      <c r="AS80">
        <f ca="1"/>
        <v>0</v>
      </c>
      <c r="AT80">
        <f ca="1"/>
        <v>0</v>
      </c>
      <c r="AU80">
        <f ca="1"/>
        <v>0</v>
      </c>
      <c r="AV80">
        <f ca="1"/>
        <v>0</v>
      </c>
      <c r="AW80">
        <f ca="1"/>
        <v>0</v>
      </c>
      <c r="AX80">
        <f ca="1"/>
        <v>0</v>
      </c>
      <c r="AY80">
        <f ca="1"/>
        <v>0</v>
      </c>
      <c r="AZ80">
        <f ca="1"/>
        <v>0</v>
      </c>
      <c r="BA80">
        <f ca="1"/>
        <v>0</v>
      </c>
      <c r="BB80">
        <f ca="1"/>
        <v>0</v>
      </c>
      <c r="BC80">
        <f ca="1"/>
        <v>0</v>
      </c>
      <c r="BD80">
        <f ca="1"/>
        <v>0</v>
      </c>
      <c r="BE80">
        <f ca="1"/>
        <v>0</v>
      </c>
      <c r="BF80">
        <f ca="1"/>
        <v>0</v>
      </c>
      <c r="BG80">
        <f ca="1"/>
        <v>0</v>
      </c>
      <c r="BH80">
        <f ca="1"/>
        <v>0</v>
      </c>
      <c r="BI80">
        <f ca="1"/>
        <v>0</v>
      </c>
      <c r="BJ80">
        <f ca="1"/>
        <v>0</v>
      </c>
      <c r="BK80">
        <f ca="1"/>
        <v>0</v>
      </c>
      <c r="BL80">
        <f ca="1"/>
        <v>0</v>
      </c>
      <c r="BM80">
        <f ca="1"/>
        <v>0</v>
      </c>
      <c r="BN80">
        <f ca="1"/>
        <v>0</v>
      </c>
      <c r="BO80">
        <f ca="1"/>
        <v>0</v>
      </c>
      <c r="BP80">
        <f ca="1"/>
        <v>0</v>
      </c>
      <c r="BQ80">
        <f ca="1"/>
        <v>0</v>
      </c>
      <c r="BR80">
        <f ca="1"/>
        <v>0</v>
      </c>
      <c r="BS80">
        <f ca="1"/>
        <v>0</v>
      </c>
      <c r="BT80">
        <f ca="1"/>
        <v>0</v>
      </c>
      <c r="BU80">
        <f ca="1"/>
        <v>0</v>
      </c>
      <c r="BV80">
        <f ca="1"/>
        <v>0</v>
      </c>
      <c r="BW80">
        <f ca="1"/>
        <v>0</v>
      </c>
      <c r="BX80">
        <f ca="1"/>
        <v>0</v>
      </c>
      <c r="BY80">
        <f ca="1"/>
        <v>0</v>
      </c>
      <c r="BZ80">
        <f ca="1"/>
        <v>0</v>
      </c>
      <c r="CA80">
        <f ca="1"/>
        <v>0</v>
      </c>
      <c r="CB80">
        <f ca="1"/>
        <v>0</v>
      </c>
      <c r="CC80">
        <f ca="1"/>
        <v>0</v>
      </c>
      <c r="CD80">
        <f ca="1"/>
        <v>0</v>
      </c>
      <c r="CE80">
        <f ca="1"/>
        <v>0</v>
      </c>
      <c r="CF80">
        <f ca="1"/>
        <v>0</v>
      </c>
      <c r="CG80">
        <f ca="1"/>
        <v>0</v>
      </c>
      <c r="CH80">
        <f ca="1"/>
        <v>0</v>
      </c>
      <c r="CI80">
        <f ca="1"/>
        <v>0</v>
      </c>
      <c r="CJ80">
        <f ca="1"/>
        <v>0</v>
      </c>
      <c r="CK80">
        <f ca="1"/>
        <v>0</v>
      </c>
      <c r="CL80">
        <f ca="1"/>
        <v>0</v>
      </c>
      <c r="CM80">
        <f ca="1"/>
        <v>0</v>
      </c>
      <c r="CN80">
        <f ca="1"/>
        <v>0</v>
      </c>
      <c r="CO80">
        <f ca="1"/>
        <v>0</v>
      </c>
      <c r="CP80">
        <f ca="1"/>
        <v>0</v>
      </c>
      <c r="CQ80">
        <f ca="1"/>
        <v>0</v>
      </c>
      <c r="CR80">
        <f ca="1"/>
        <v>0</v>
      </c>
      <c r="CS80">
        <f ca="1"/>
        <v>0</v>
      </c>
      <c r="CT80">
        <f ca="1"/>
        <v>0</v>
      </c>
      <c r="CU80">
        <f ca="1"/>
        <v>0</v>
      </c>
      <c r="CV80">
        <f ca="1"/>
        <v>0</v>
      </c>
      <c r="CW80">
        <f ca="1"/>
        <v>0</v>
      </c>
      <c r="CX80">
        <f ca="1"/>
        <v>0</v>
      </c>
      <c r="CY80">
        <f ca="1"/>
        <v>0</v>
      </c>
      <c r="CZ80">
        <f ca="1"/>
        <v>0</v>
      </c>
      <c r="DA80">
        <f ca="1"/>
        <v>0</v>
      </c>
      <c r="DB80">
        <f ca="1"/>
        <v>0</v>
      </c>
      <c r="DC80">
        <f ca="1"/>
        <v>0</v>
      </c>
      <c r="DD80">
        <f ca="1"/>
        <v>0</v>
      </c>
      <c r="DE80">
        <f ca="1"/>
        <v>0</v>
      </c>
      <c r="DF80">
        <f ca="1"/>
        <v>0</v>
      </c>
      <c r="DG80">
        <f ca="1"/>
        <v>0</v>
      </c>
      <c r="DH80">
        <f ca="1"/>
        <v>0</v>
      </c>
      <c r="DI80">
        <f ca="1"/>
        <v>0</v>
      </c>
      <c r="DJ80">
        <f ca="1"/>
        <v>0</v>
      </c>
      <c r="DK80">
        <f ca="1"/>
        <v>0</v>
      </c>
      <c r="DL80">
        <f ca="1"/>
        <v>0</v>
      </c>
      <c r="DM80">
        <f ca="1"/>
        <v>0</v>
      </c>
      <c r="DN80">
        <f ca="1"/>
        <v>0</v>
      </c>
      <c r="DO80">
        <f ca="1"/>
        <v>0</v>
      </c>
      <c r="DP80">
        <f ca="1"/>
        <v>0</v>
      </c>
      <c r="DQ80">
        <f ca="1"/>
        <v>0</v>
      </c>
      <c r="DR80">
        <f ca="1"/>
        <v>0</v>
      </c>
      <c r="DS80">
        <f ca="1"/>
        <v>0</v>
      </c>
      <c r="DT80">
        <f ca="1"/>
        <v>0</v>
      </c>
      <c r="DU80">
        <f ca="1"/>
        <v>0</v>
      </c>
      <c r="DV80">
        <f ca="1"/>
        <v>0</v>
      </c>
      <c r="DW80">
        <f ca="1"/>
        <v>0</v>
      </c>
      <c r="DX80">
        <f ca="1"/>
        <v>0</v>
      </c>
      <c r="DY80">
        <f ca="1"/>
        <v>0</v>
      </c>
      <c r="DZ80">
        <f ca="1"/>
        <v>0</v>
      </c>
      <c r="EA80">
        <f ca="1"/>
        <v>0</v>
      </c>
      <c r="EB80">
        <f ca="1"/>
        <v>0</v>
      </c>
      <c r="EC80">
        <f ca="1"/>
        <v>0</v>
      </c>
      <c r="ED80">
        <f ca="1"/>
        <v>0</v>
      </c>
      <c r="EE80">
        <f ca="1"/>
        <v>0</v>
      </c>
      <c r="EF80">
        <f ca="1"/>
        <v>0</v>
      </c>
      <c r="EG80">
        <f ca="1"/>
        <v>0</v>
      </c>
      <c r="EH80">
        <f ca="1"/>
        <v>0</v>
      </c>
      <c r="EI80">
        <f ca="1"/>
        <v>0</v>
      </c>
      <c r="EJ80">
        <f ca="1"/>
        <v>0</v>
      </c>
      <c r="EK80">
        <f ca="1"/>
        <v>0</v>
      </c>
      <c r="EL80">
        <f ca="1"/>
        <v>0</v>
      </c>
      <c r="EM80">
        <f ca="1"/>
        <v>0</v>
      </c>
      <c r="EN80">
        <f ca="1"/>
        <v>0</v>
      </c>
      <c r="EO80">
        <f ca="1"/>
        <v>0</v>
      </c>
      <c r="EP80">
        <f ca="1"/>
        <v>0</v>
      </c>
      <c r="EQ80">
        <f ca="1"/>
        <v>0</v>
      </c>
      <c r="ER80">
        <f ca="1"/>
        <v>0</v>
      </c>
      <c r="ES80">
        <f ca="1"/>
        <v>0</v>
      </c>
      <c r="ET80">
        <f ca="1"/>
        <v>0</v>
      </c>
      <c r="EU80">
        <f ca="1"/>
        <v>0</v>
      </c>
      <c r="EV80">
        <f ca="1"/>
        <v>0</v>
      </c>
      <c r="EW80">
        <f ca="1"/>
        <v>0</v>
      </c>
      <c r="EX80">
        <f ca="1"/>
        <v>0</v>
      </c>
      <c r="EY80">
        <f ca="1"/>
        <v>0</v>
      </c>
      <c r="EZ80">
        <f ca="1"/>
        <v>0</v>
      </c>
      <c r="FA80">
        <f ca="1"/>
        <v>0</v>
      </c>
      <c r="FB80">
        <f ca="1"/>
        <v>0</v>
      </c>
      <c r="FC80">
        <f ca="1"/>
        <v>0</v>
      </c>
      <c r="FD80">
        <f ca="1"/>
        <v>0</v>
      </c>
      <c r="FE80">
        <f ca="1"/>
        <v>0</v>
      </c>
      <c r="FF80">
        <f ca="1"/>
        <v>0</v>
      </c>
      <c r="FG80">
        <f ca="1"/>
        <v>0</v>
      </c>
      <c r="FH80">
        <f ca="1"/>
        <v>0</v>
      </c>
      <c r="FI80">
        <f ca="1"/>
        <v>0</v>
      </c>
      <c r="FJ80">
        <f ca="1"/>
        <v>0</v>
      </c>
      <c r="FK80">
        <f ca="1"/>
        <v>0</v>
      </c>
      <c r="FL80">
        <f ca="1"/>
        <v>0</v>
      </c>
      <c r="FM80">
        <f ca="1"/>
        <v>0</v>
      </c>
      <c r="FN80">
        <f ca="1"/>
        <v>0</v>
      </c>
      <c r="FO80">
        <f ca="1"/>
        <v>0</v>
      </c>
      <c r="FP80">
        <f ca="1"/>
        <v>0</v>
      </c>
      <c r="FQ80">
        <f ca="1"/>
        <v>0</v>
      </c>
      <c r="FR80">
        <f ca="1"/>
        <v>0</v>
      </c>
      <c r="FS80">
        <f ca="1"/>
        <v>0</v>
      </c>
      <c r="FT80">
        <f ca="1"/>
        <v>0</v>
      </c>
      <c r="FU80">
        <f ca="1"/>
        <v>0</v>
      </c>
      <c r="FV80">
        <f ca="1"/>
        <v>0</v>
      </c>
      <c r="FW80">
        <f ca="1"/>
        <v>0</v>
      </c>
      <c r="FX80">
        <f ca="1"/>
        <v>0</v>
      </c>
      <c r="FY80">
        <f ca="1"/>
        <v>0</v>
      </c>
      <c r="FZ80">
        <f ca="1"/>
        <v>0</v>
      </c>
    </row>
    <row r="81" spans="3:182">
      <c r="C81" cm="1">
        <f t="array" aca="1" ref="C81:FZ81" ca="1">IFERROR(TRANSPOSE(INDEX(_xlfn._xlws.FILTER(INDIRECT("SubcategoriesTable[Subcategory name]"),INDIRECT("SubcategoriesTable[Category name]")=$B81),,)),"No subcategories")</f>
        <v>0</v>
      </c>
      <c r="D81">
        <f ca="1"/>
        <v>0</v>
      </c>
      <c r="E81">
        <f ca="1"/>
        <v>0</v>
      </c>
      <c r="F81">
        <f ca="1"/>
        <v>0</v>
      </c>
      <c r="G81">
        <f ca="1"/>
        <v>0</v>
      </c>
      <c r="H81">
        <f ca="1"/>
        <v>0</v>
      </c>
      <c r="I81">
        <f ca="1"/>
        <v>0</v>
      </c>
      <c r="J81">
        <f ca="1"/>
        <v>0</v>
      </c>
      <c r="K81">
        <f ca="1"/>
        <v>0</v>
      </c>
      <c r="L81">
        <f ca="1"/>
        <v>0</v>
      </c>
      <c r="M81">
        <f ca="1"/>
        <v>0</v>
      </c>
      <c r="N81">
        <f ca="1"/>
        <v>0</v>
      </c>
      <c r="O81">
        <f ca="1"/>
        <v>0</v>
      </c>
      <c r="P81">
        <f ca="1"/>
        <v>0</v>
      </c>
      <c r="Q81">
        <f ca="1"/>
        <v>0</v>
      </c>
      <c r="R81">
        <f ca="1"/>
        <v>0</v>
      </c>
      <c r="S81">
        <f ca="1"/>
        <v>0</v>
      </c>
      <c r="T81">
        <f ca="1"/>
        <v>0</v>
      </c>
      <c r="U81">
        <f ca="1"/>
        <v>0</v>
      </c>
      <c r="V81">
        <f ca="1"/>
        <v>0</v>
      </c>
      <c r="W81">
        <f ca="1"/>
        <v>0</v>
      </c>
      <c r="X81">
        <f ca="1"/>
        <v>0</v>
      </c>
      <c r="Y81">
        <f ca="1"/>
        <v>0</v>
      </c>
      <c r="Z81">
        <f ca="1"/>
        <v>0</v>
      </c>
      <c r="AA81">
        <f ca="1"/>
        <v>0</v>
      </c>
      <c r="AB81">
        <f ca="1"/>
        <v>0</v>
      </c>
      <c r="AC81">
        <f ca="1"/>
        <v>0</v>
      </c>
      <c r="AD81">
        <f ca="1"/>
        <v>0</v>
      </c>
      <c r="AE81">
        <f ca="1"/>
        <v>0</v>
      </c>
      <c r="AF81">
        <f ca="1"/>
        <v>0</v>
      </c>
      <c r="AG81">
        <f ca="1"/>
        <v>0</v>
      </c>
      <c r="AH81">
        <f ca="1"/>
        <v>0</v>
      </c>
      <c r="AI81">
        <f ca="1"/>
        <v>0</v>
      </c>
      <c r="AJ81">
        <f ca="1"/>
        <v>0</v>
      </c>
      <c r="AK81">
        <f ca="1"/>
        <v>0</v>
      </c>
      <c r="AL81">
        <f ca="1"/>
        <v>0</v>
      </c>
      <c r="AM81">
        <f ca="1"/>
        <v>0</v>
      </c>
      <c r="AN81">
        <f ca="1"/>
        <v>0</v>
      </c>
      <c r="AO81">
        <f ca="1"/>
        <v>0</v>
      </c>
      <c r="AP81">
        <f ca="1"/>
        <v>0</v>
      </c>
      <c r="AQ81">
        <f ca="1"/>
        <v>0</v>
      </c>
      <c r="AR81">
        <f ca="1"/>
        <v>0</v>
      </c>
      <c r="AS81">
        <f ca="1"/>
        <v>0</v>
      </c>
      <c r="AT81">
        <f ca="1"/>
        <v>0</v>
      </c>
      <c r="AU81">
        <f ca="1"/>
        <v>0</v>
      </c>
      <c r="AV81">
        <f ca="1"/>
        <v>0</v>
      </c>
      <c r="AW81">
        <f ca="1"/>
        <v>0</v>
      </c>
      <c r="AX81">
        <f ca="1"/>
        <v>0</v>
      </c>
      <c r="AY81">
        <f ca="1"/>
        <v>0</v>
      </c>
      <c r="AZ81">
        <f ca="1"/>
        <v>0</v>
      </c>
      <c r="BA81">
        <f ca="1"/>
        <v>0</v>
      </c>
      <c r="BB81">
        <f ca="1"/>
        <v>0</v>
      </c>
      <c r="BC81">
        <f ca="1"/>
        <v>0</v>
      </c>
      <c r="BD81">
        <f ca="1"/>
        <v>0</v>
      </c>
      <c r="BE81">
        <f ca="1"/>
        <v>0</v>
      </c>
      <c r="BF81">
        <f ca="1"/>
        <v>0</v>
      </c>
      <c r="BG81">
        <f ca="1"/>
        <v>0</v>
      </c>
      <c r="BH81">
        <f ca="1"/>
        <v>0</v>
      </c>
      <c r="BI81">
        <f ca="1"/>
        <v>0</v>
      </c>
      <c r="BJ81">
        <f ca="1"/>
        <v>0</v>
      </c>
      <c r="BK81">
        <f ca="1"/>
        <v>0</v>
      </c>
      <c r="BL81">
        <f ca="1"/>
        <v>0</v>
      </c>
      <c r="BM81">
        <f ca="1"/>
        <v>0</v>
      </c>
      <c r="BN81">
        <f ca="1"/>
        <v>0</v>
      </c>
      <c r="BO81">
        <f ca="1"/>
        <v>0</v>
      </c>
      <c r="BP81">
        <f ca="1"/>
        <v>0</v>
      </c>
      <c r="BQ81">
        <f ca="1"/>
        <v>0</v>
      </c>
      <c r="BR81">
        <f ca="1"/>
        <v>0</v>
      </c>
      <c r="BS81">
        <f ca="1"/>
        <v>0</v>
      </c>
      <c r="BT81">
        <f ca="1"/>
        <v>0</v>
      </c>
      <c r="BU81">
        <f ca="1"/>
        <v>0</v>
      </c>
      <c r="BV81">
        <f ca="1"/>
        <v>0</v>
      </c>
      <c r="BW81">
        <f ca="1"/>
        <v>0</v>
      </c>
      <c r="BX81">
        <f ca="1"/>
        <v>0</v>
      </c>
      <c r="BY81">
        <f ca="1"/>
        <v>0</v>
      </c>
      <c r="BZ81">
        <f ca="1"/>
        <v>0</v>
      </c>
      <c r="CA81">
        <f ca="1"/>
        <v>0</v>
      </c>
      <c r="CB81">
        <f ca="1"/>
        <v>0</v>
      </c>
      <c r="CC81">
        <f ca="1"/>
        <v>0</v>
      </c>
      <c r="CD81">
        <f ca="1"/>
        <v>0</v>
      </c>
      <c r="CE81">
        <f ca="1"/>
        <v>0</v>
      </c>
      <c r="CF81">
        <f ca="1"/>
        <v>0</v>
      </c>
      <c r="CG81">
        <f ca="1"/>
        <v>0</v>
      </c>
      <c r="CH81">
        <f ca="1"/>
        <v>0</v>
      </c>
      <c r="CI81">
        <f ca="1"/>
        <v>0</v>
      </c>
      <c r="CJ81">
        <f ca="1"/>
        <v>0</v>
      </c>
      <c r="CK81">
        <f ca="1"/>
        <v>0</v>
      </c>
      <c r="CL81">
        <f ca="1"/>
        <v>0</v>
      </c>
      <c r="CM81">
        <f ca="1"/>
        <v>0</v>
      </c>
      <c r="CN81">
        <f ca="1"/>
        <v>0</v>
      </c>
      <c r="CO81">
        <f ca="1"/>
        <v>0</v>
      </c>
      <c r="CP81">
        <f ca="1"/>
        <v>0</v>
      </c>
      <c r="CQ81">
        <f ca="1"/>
        <v>0</v>
      </c>
      <c r="CR81">
        <f ca="1"/>
        <v>0</v>
      </c>
      <c r="CS81">
        <f ca="1"/>
        <v>0</v>
      </c>
      <c r="CT81">
        <f ca="1"/>
        <v>0</v>
      </c>
      <c r="CU81">
        <f ca="1"/>
        <v>0</v>
      </c>
      <c r="CV81">
        <f ca="1"/>
        <v>0</v>
      </c>
      <c r="CW81">
        <f ca="1"/>
        <v>0</v>
      </c>
      <c r="CX81">
        <f ca="1"/>
        <v>0</v>
      </c>
      <c r="CY81">
        <f ca="1"/>
        <v>0</v>
      </c>
      <c r="CZ81">
        <f ca="1"/>
        <v>0</v>
      </c>
      <c r="DA81">
        <f ca="1"/>
        <v>0</v>
      </c>
      <c r="DB81">
        <f ca="1"/>
        <v>0</v>
      </c>
      <c r="DC81">
        <f ca="1"/>
        <v>0</v>
      </c>
      <c r="DD81">
        <f ca="1"/>
        <v>0</v>
      </c>
      <c r="DE81">
        <f ca="1"/>
        <v>0</v>
      </c>
      <c r="DF81">
        <f ca="1"/>
        <v>0</v>
      </c>
      <c r="DG81">
        <f ca="1"/>
        <v>0</v>
      </c>
      <c r="DH81">
        <f ca="1"/>
        <v>0</v>
      </c>
      <c r="DI81">
        <f ca="1"/>
        <v>0</v>
      </c>
      <c r="DJ81">
        <f ca="1"/>
        <v>0</v>
      </c>
      <c r="DK81">
        <f ca="1"/>
        <v>0</v>
      </c>
      <c r="DL81">
        <f ca="1"/>
        <v>0</v>
      </c>
      <c r="DM81">
        <f ca="1"/>
        <v>0</v>
      </c>
      <c r="DN81">
        <f ca="1"/>
        <v>0</v>
      </c>
      <c r="DO81">
        <f ca="1"/>
        <v>0</v>
      </c>
      <c r="DP81">
        <f ca="1"/>
        <v>0</v>
      </c>
      <c r="DQ81">
        <f ca="1"/>
        <v>0</v>
      </c>
      <c r="DR81">
        <f ca="1"/>
        <v>0</v>
      </c>
      <c r="DS81">
        <f ca="1"/>
        <v>0</v>
      </c>
      <c r="DT81">
        <f ca="1"/>
        <v>0</v>
      </c>
      <c r="DU81">
        <f ca="1"/>
        <v>0</v>
      </c>
      <c r="DV81">
        <f ca="1"/>
        <v>0</v>
      </c>
      <c r="DW81">
        <f ca="1"/>
        <v>0</v>
      </c>
      <c r="DX81">
        <f ca="1"/>
        <v>0</v>
      </c>
      <c r="DY81">
        <f ca="1"/>
        <v>0</v>
      </c>
      <c r="DZ81">
        <f ca="1"/>
        <v>0</v>
      </c>
      <c r="EA81">
        <f ca="1"/>
        <v>0</v>
      </c>
      <c r="EB81">
        <f ca="1"/>
        <v>0</v>
      </c>
      <c r="EC81">
        <f ca="1"/>
        <v>0</v>
      </c>
      <c r="ED81">
        <f ca="1"/>
        <v>0</v>
      </c>
      <c r="EE81">
        <f ca="1"/>
        <v>0</v>
      </c>
      <c r="EF81">
        <f ca="1"/>
        <v>0</v>
      </c>
      <c r="EG81">
        <f ca="1"/>
        <v>0</v>
      </c>
      <c r="EH81">
        <f ca="1"/>
        <v>0</v>
      </c>
      <c r="EI81">
        <f ca="1"/>
        <v>0</v>
      </c>
      <c r="EJ81">
        <f ca="1"/>
        <v>0</v>
      </c>
      <c r="EK81">
        <f ca="1"/>
        <v>0</v>
      </c>
      <c r="EL81">
        <f ca="1"/>
        <v>0</v>
      </c>
      <c r="EM81">
        <f ca="1"/>
        <v>0</v>
      </c>
      <c r="EN81">
        <f ca="1"/>
        <v>0</v>
      </c>
      <c r="EO81">
        <f ca="1"/>
        <v>0</v>
      </c>
      <c r="EP81">
        <f ca="1"/>
        <v>0</v>
      </c>
      <c r="EQ81">
        <f ca="1"/>
        <v>0</v>
      </c>
      <c r="ER81">
        <f ca="1"/>
        <v>0</v>
      </c>
      <c r="ES81">
        <f ca="1"/>
        <v>0</v>
      </c>
      <c r="ET81">
        <f ca="1"/>
        <v>0</v>
      </c>
      <c r="EU81">
        <f ca="1"/>
        <v>0</v>
      </c>
      <c r="EV81">
        <f ca="1"/>
        <v>0</v>
      </c>
      <c r="EW81">
        <f ca="1"/>
        <v>0</v>
      </c>
      <c r="EX81">
        <f ca="1"/>
        <v>0</v>
      </c>
      <c r="EY81">
        <f ca="1"/>
        <v>0</v>
      </c>
      <c r="EZ81">
        <f ca="1"/>
        <v>0</v>
      </c>
      <c r="FA81">
        <f ca="1"/>
        <v>0</v>
      </c>
      <c r="FB81">
        <f ca="1"/>
        <v>0</v>
      </c>
      <c r="FC81">
        <f ca="1"/>
        <v>0</v>
      </c>
      <c r="FD81">
        <f ca="1"/>
        <v>0</v>
      </c>
      <c r="FE81">
        <f ca="1"/>
        <v>0</v>
      </c>
      <c r="FF81">
        <f ca="1"/>
        <v>0</v>
      </c>
      <c r="FG81">
        <f ca="1"/>
        <v>0</v>
      </c>
      <c r="FH81">
        <f ca="1"/>
        <v>0</v>
      </c>
      <c r="FI81">
        <f ca="1"/>
        <v>0</v>
      </c>
      <c r="FJ81">
        <f ca="1"/>
        <v>0</v>
      </c>
      <c r="FK81">
        <f ca="1"/>
        <v>0</v>
      </c>
      <c r="FL81">
        <f ca="1"/>
        <v>0</v>
      </c>
      <c r="FM81">
        <f ca="1"/>
        <v>0</v>
      </c>
      <c r="FN81">
        <f ca="1"/>
        <v>0</v>
      </c>
      <c r="FO81">
        <f ca="1"/>
        <v>0</v>
      </c>
      <c r="FP81">
        <f ca="1"/>
        <v>0</v>
      </c>
      <c r="FQ81">
        <f ca="1"/>
        <v>0</v>
      </c>
      <c r="FR81">
        <f ca="1"/>
        <v>0</v>
      </c>
      <c r="FS81">
        <f ca="1"/>
        <v>0</v>
      </c>
      <c r="FT81">
        <f ca="1"/>
        <v>0</v>
      </c>
      <c r="FU81">
        <f ca="1"/>
        <v>0</v>
      </c>
      <c r="FV81">
        <f ca="1"/>
        <v>0</v>
      </c>
      <c r="FW81">
        <f ca="1"/>
        <v>0</v>
      </c>
      <c r="FX81">
        <f ca="1"/>
        <v>0</v>
      </c>
      <c r="FY81">
        <f ca="1"/>
        <v>0</v>
      </c>
      <c r="FZ81">
        <f ca="1"/>
        <v>0</v>
      </c>
    </row>
    <row r="82" spans="3:182">
      <c r="C82" cm="1">
        <f t="array" aca="1" ref="C82:FZ82" ca="1">IFERROR(TRANSPOSE(INDEX(_xlfn._xlws.FILTER(INDIRECT("SubcategoriesTable[Subcategory name]"),INDIRECT("SubcategoriesTable[Category name]")=$B82),,)),"No subcategories")</f>
        <v>0</v>
      </c>
      <c r="D82">
        <f ca="1"/>
        <v>0</v>
      </c>
      <c r="E82">
        <f ca="1"/>
        <v>0</v>
      </c>
      <c r="F82">
        <f ca="1"/>
        <v>0</v>
      </c>
      <c r="G82">
        <f ca="1"/>
        <v>0</v>
      </c>
      <c r="H82">
        <f ca="1"/>
        <v>0</v>
      </c>
      <c r="I82">
        <f ca="1"/>
        <v>0</v>
      </c>
      <c r="J82">
        <f ca="1"/>
        <v>0</v>
      </c>
      <c r="K82">
        <f ca="1"/>
        <v>0</v>
      </c>
      <c r="L82">
        <f ca="1"/>
        <v>0</v>
      </c>
      <c r="M82">
        <f ca="1"/>
        <v>0</v>
      </c>
      <c r="N82">
        <f ca="1"/>
        <v>0</v>
      </c>
      <c r="O82">
        <f ca="1"/>
        <v>0</v>
      </c>
      <c r="P82">
        <f ca="1"/>
        <v>0</v>
      </c>
      <c r="Q82">
        <f ca="1"/>
        <v>0</v>
      </c>
      <c r="R82">
        <f ca="1"/>
        <v>0</v>
      </c>
      <c r="S82">
        <f ca="1"/>
        <v>0</v>
      </c>
      <c r="T82">
        <f ca="1"/>
        <v>0</v>
      </c>
      <c r="U82">
        <f ca="1"/>
        <v>0</v>
      </c>
      <c r="V82">
        <f ca="1"/>
        <v>0</v>
      </c>
      <c r="W82">
        <f ca="1"/>
        <v>0</v>
      </c>
      <c r="X82">
        <f ca="1"/>
        <v>0</v>
      </c>
      <c r="Y82">
        <f ca="1"/>
        <v>0</v>
      </c>
      <c r="Z82">
        <f ca="1"/>
        <v>0</v>
      </c>
      <c r="AA82">
        <f ca="1"/>
        <v>0</v>
      </c>
      <c r="AB82">
        <f ca="1"/>
        <v>0</v>
      </c>
      <c r="AC82">
        <f ca="1"/>
        <v>0</v>
      </c>
      <c r="AD82">
        <f ca="1"/>
        <v>0</v>
      </c>
      <c r="AE82">
        <f ca="1"/>
        <v>0</v>
      </c>
      <c r="AF82">
        <f ca="1"/>
        <v>0</v>
      </c>
      <c r="AG82">
        <f ca="1"/>
        <v>0</v>
      </c>
      <c r="AH82">
        <f ca="1"/>
        <v>0</v>
      </c>
      <c r="AI82">
        <f ca="1"/>
        <v>0</v>
      </c>
      <c r="AJ82">
        <f ca="1"/>
        <v>0</v>
      </c>
      <c r="AK82">
        <f ca="1"/>
        <v>0</v>
      </c>
      <c r="AL82">
        <f ca="1"/>
        <v>0</v>
      </c>
      <c r="AM82">
        <f ca="1"/>
        <v>0</v>
      </c>
      <c r="AN82">
        <f ca="1"/>
        <v>0</v>
      </c>
      <c r="AO82">
        <f ca="1"/>
        <v>0</v>
      </c>
      <c r="AP82">
        <f ca="1"/>
        <v>0</v>
      </c>
      <c r="AQ82">
        <f ca="1"/>
        <v>0</v>
      </c>
      <c r="AR82">
        <f ca="1"/>
        <v>0</v>
      </c>
      <c r="AS82">
        <f ca="1"/>
        <v>0</v>
      </c>
      <c r="AT82">
        <f ca="1"/>
        <v>0</v>
      </c>
      <c r="AU82">
        <f ca="1"/>
        <v>0</v>
      </c>
      <c r="AV82">
        <f ca="1"/>
        <v>0</v>
      </c>
      <c r="AW82">
        <f ca="1"/>
        <v>0</v>
      </c>
      <c r="AX82">
        <f ca="1"/>
        <v>0</v>
      </c>
      <c r="AY82">
        <f ca="1"/>
        <v>0</v>
      </c>
      <c r="AZ82">
        <f ca="1"/>
        <v>0</v>
      </c>
      <c r="BA82">
        <f ca="1"/>
        <v>0</v>
      </c>
      <c r="BB82">
        <f ca="1"/>
        <v>0</v>
      </c>
      <c r="BC82">
        <f ca="1"/>
        <v>0</v>
      </c>
      <c r="BD82">
        <f ca="1"/>
        <v>0</v>
      </c>
      <c r="BE82">
        <f ca="1"/>
        <v>0</v>
      </c>
      <c r="BF82">
        <f ca="1"/>
        <v>0</v>
      </c>
      <c r="BG82">
        <f ca="1"/>
        <v>0</v>
      </c>
      <c r="BH82">
        <f ca="1"/>
        <v>0</v>
      </c>
      <c r="BI82">
        <f ca="1"/>
        <v>0</v>
      </c>
      <c r="BJ82">
        <f ca="1"/>
        <v>0</v>
      </c>
      <c r="BK82">
        <f ca="1"/>
        <v>0</v>
      </c>
      <c r="BL82">
        <f ca="1"/>
        <v>0</v>
      </c>
      <c r="BM82">
        <f ca="1"/>
        <v>0</v>
      </c>
      <c r="BN82">
        <f ca="1"/>
        <v>0</v>
      </c>
      <c r="BO82">
        <f ca="1"/>
        <v>0</v>
      </c>
      <c r="BP82">
        <f ca="1"/>
        <v>0</v>
      </c>
      <c r="BQ82">
        <f ca="1"/>
        <v>0</v>
      </c>
      <c r="BR82">
        <f ca="1"/>
        <v>0</v>
      </c>
      <c r="BS82">
        <f ca="1"/>
        <v>0</v>
      </c>
      <c r="BT82">
        <f ca="1"/>
        <v>0</v>
      </c>
      <c r="BU82">
        <f ca="1"/>
        <v>0</v>
      </c>
      <c r="BV82">
        <f ca="1"/>
        <v>0</v>
      </c>
      <c r="BW82">
        <f ca="1"/>
        <v>0</v>
      </c>
      <c r="BX82">
        <f ca="1"/>
        <v>0</v>
      </c>
      <c r="BY82">
        <f ca="1"/>
        <v>0</v>
      </c>
      <c r="BZ82">
        <f ca="1"/>
        <v>0</v>
      </c>
      <c r="CA82">
        <f ca="1"/>
        <v>0</v>
      </c>
      <c r="CB82">
        <f ca="1"/>
        <v>0</v>
      </c>
      <c r="CC82">
        <f ca="1"/>
        <v>0</v>
      </c>
      <c r="CD82">
        <f ca="1"/>
        <v>0</v>
      </c>
      <c r="CE82">
        <f ca="1"/>
        <v>0</v>
      </c>
      <c r="CF82">
        <f ca="1"/>
        <v>0</v>
      </c>
      <c r="CG82">
        <f ca="1"/>
        <v>0</v>
      </c>
      <c r="CH82">
        <f ca="1"/>
        <v>0</v>
      </c>
      <c r="CI82">
        <f ca="1"/>
        <v>0</v>
      </c>
      <c r="CJ82">
        <f ca="1"/>
        <v>0</v>
      </c>
      <c r="CK82">
        <f ca="1"/>
        <v>0</v>
      </c>
      <c r="CL82">
        <f ca="1"/>
        <v>0</v>
      </c>
      <c r="CM82">
        <f ca="1"/>
        <v>0</v>
      </c>
      <c r="CN82">
        <f ca="1"/>
        <v>0</v>
      </c>
      <c r="CO82">
        <f ca="1"/>
        <v>0</v>
      </c>
      <c r="CP82">
        <f ca="1"/>
        <v>0</v>
      </c>
      <c r="CQ82">
        <f ca="1"/>
        <v>0</v>
      </c>
      <c r="CR82">
        <f ca="1"/>
        <v>0</v>
      </c>
      <c r="CS82">
        <f ca="1"/>
        <v>0</v>
      </c>
      <c r="CT82">
        <f ca="1"/>
        <v>0</v>
      </c>
      <c r="CU82">
        <f ca="1"/>
        <v>0</v>
      </c>
      <c r="CV82">
        <f ca="1"/>
        <v>0</v>
      </c>
      <c r="CW82">
        <f ca="1"/>
        <v>0</v>
      </c>
      <c r="CX82">
        <f ca="1"/>
        <v>0</v>
      </c>
      <c r="CY82">
        <f ca="1"/>
        <v>0</v>
      </c>
      <c r="CZ82">
        <f ca="1"/>
        <v>0</v>
      </c>
      <c r="DA82">
        <f ca="1"/>
        <v>0</v>
      </c>
      <c r="DB82">
        <f ca="1"/>
        <v>0</v>
      </c>
      <c r="DC82">
        <f ca="1"/>
        <v>0</v>
      </c>
      <c r="DD82">
        <f ca="1"/>
        <v>0</v>
      </c>
      <c r="DE82">
        <f ca="1"/>
        <v>0</v>
      </c>
      <c r="DF82">
        <f ca="1"/>
        <v>0</v>
      </c>
      <c r="DG82">
        <f ca="1"/>
        <v>0</v>
      </c>
      <c r="DH82">
        <f ca="1"/>
        <v>0</v>
      </c>
      <c r="DI82">
        <f ca="1"/>
        <v>0</v>
      </c>
      <c r="DJ82">
        <f ca="1"/>
        <v>0</v>
      </c>
      <c r="DK82">
        <f ca="1"/>
        <v>0</v>
      </c>
      <c r="DL82">
        <f ca="1"/>
        <v>0</v>
      </c>
      <c r="DM82">
        <f ca="1"/>
        <v>0</v>
      </c>
      <c r="DN82">
        <f ca="1"/>
        <v>0</v>
      </c>
      <c r="DO82">
        <f ca="1"/>
        <v>0</v>
      </c>
      <c r="DP82">
        <f ca="1"/>
        <v>0</v>
      </c>
      <c r="DQ82">
        <f ca="1"/>
        <v>0</v>
      </c>
      <c r="DR82">
        <f ca="1"/>
        <v>0</v>
      </c>
      <c r="DS82">
        <f ca="1"/>
        <v>0</v>
      </c>
      <c r="DT82">
        <f ca="1"/>
        <v>0</v>
      </c>
      <c r="DU82">
        <f ca="1"/>
        <v>0</v>
      </c>
      <c r="DV82">
        <f ca="1"/>
        <v>0</v>
      </c>
      <c r="DW82">
        <f ca="1"/>
        <v>0</v>
      </c>
      <c r="DX82">
        <f ca="1"/>
        <v>0</v>
      </c>
      <c r="DY82">
        <f ca="1"/>
        <v>0</v>
      </c>
      <c r="DZ82">
        <f ca="1"/>
        <v>0</v>
      </c>
      <c r="EA82">
        <f ca="1"/>
        <v>0</v>
      </c>
      <c r="EB82">
        <f ca="1"/>
        <v>0</v>
      </c>
      <c r="EC82">
        <f ca="1"/>
        <v>0</v>
      </c>
      <c r="ED82">
        <f ca="1"/>
        <v>0</v>
      </c>
      <c r="EE82">
        <f ca="1"/>
        <v>0</v>
      </c>
      <c r="EF82">
        <f ca="1"/>
        <v>0</v>
      </c>
      <c r="EG82">
        <f ca="1"/>
        <v>0</v>
      </c>
      <c r="EH82">
        <f ca="1"/>
        <v>0</v>
      </c>
      <c r="EI82">
        <f ca="1"/>
        <v>0</v>
      </c>
      <c r="EJ82">
        <f ca="1"/>
        <v>0</v>
      </c>
      <c r="EK82">
        <f ca="1"/>
        <v>0</v>
      </c>
      <c r="EL82">
        <f ca="1"/>
        <v>0</v>
      </c>
      <c r="EM82">
        <f ca="1"/>
        <v>0</v>
      </c>
      <c r="EN82">
        <f ca="1"/>
        <v>0</v>
      </c>
      <c r="EO82">
        <f ca="1"/>
        <v>0</v>
      </c>
      <c r="EP82">
        <f ca="1"/>
        <v>0</v>
      </c>
      <c r="EQ82">
        <f ca="1"/>
        <v>0</v>
      </c>
      <c r="ER82">
        <f ca="1"/>
        <v>0</v>
      </c>
      <c r="ES82">
        <f ca="1"/>
        <v>0</v>
      </c>
      <c r="ET82">
        <f ca="1"/>
        <v>0</v>
      </c>
      <c r="EU82">
        <f ca="1"/>
        <v>0</v>
      </c>
      <c r="EV82">
        <f ca="1"/>
        <v>0</v>
      </c>
      <c r="EW82">
        <f ca="1"/>
        <v>0</v>
      </c>
      <c r="EX82">
        <f ca="1"/>
        <v>0</v>
      </c>
      <c r="EY82">
        <f ca="1"/>
        <v>0</v>
      </c>
      <c r="EZ82">
        <f ca="1"/>
        <v>0</v>
      </c>
      <c r="FA82">
        <f ca="1"/>
        <v>0</v>
      </c>
      <c r="FB82">
        <f ca="1"/>
        <v>0</v>
      </c>
      <c r="FC82">
        <f ca="1"/>
        <v>0</v>
      </c>
      <c r="FD82">
        <f ca="1"/>
        <v>0</v>
      </c>
      <c r="FE82">
        <f ca="1"/>
        <v>0</v>
      </c>
      <c r="FF82">
        <f ca="1"/>
        <v>0</v>
      </c>
      <c r="FG82">
        <f ca="1"/>
        <v>0</v>
      </c>
      <c r="FH82">
        <f ca="1"/>
        <v>0</v>
      </c>
      <c r="FI82">
        <f ca="1"/>
        <v>0</v>
      </c>
      <c r="FJ82">
        <f ca="1"/>
        <v>0</v>
      </c>
      <c r="FK82">
        <f ca="1"/>
        <v>0</v>
      </c>
      <c r="FL82">
        <f ca="1"/>
        <v>0</v>
      </c>
      <c r="FM82">
        <f ca="1"/>
        <v>0</v>
      </c>
      <c r="FN82">
        <f ca="1"/>
        <v>0</v>
      </c>
      <c r="FO82">
        <f ca="1"/>
        <v>0</v>
      </c>
      <c r="FP82">
        <f ca="1"/>
        <v>0</v>
      </c>
      <c r="FQ82">
        <f ca="1"/>
        <v>0</v>
      </c>
      <c r="FR82">
        <f ca="1"/>
        <v>0</v>
      </c>
      <c r="FS82">
        <f ca="1"/>
        <v>0</v>
      </c>
      <c r="FT82">
        <f ca="1"/>
        <v>0</v>
      </c>
      <c r="FU82">
        <f ca="1"/>
        <v>0</v>
      </c>
      <c r="FV82">
        <f ca="1"/>
        <v>0</v>
      </c>
      <c r="FW82">
        <f ca="1"/>
        <v>0</v>
      </c>
      <c r="FX82">
        <f ca="1"/>
        <v>0</v>
      </c>
      <c r="FY82">
        <f ca="1"/>
        <v>0</v>
      </c>
      <c r="FZ82">
        <f ca="1"/>
        <v>0</v>
      </c>
    </row>
    <row r="83" spans="3:182">
      <c r="C83" cm="1">
        <f t="array" aca="1" ref="C83:FZ83" ca="1">IFERROR(TRANSPOSE(INDEX(_xlfn._xlws.FILTER(INDIRECT("SubcategoriesTable[Subcategory name]"),INDIRECT("SubcategoriesTable[Category name]")=$B83),,)),"No subcategories")</f>
        <v>0</v>
      </c>
      <c r="D83">
        <f ca="1"/>
        <v>0</v>
      </c>
      <c r="E83">
        <f ca="1"/>
        <v>0</v>
      </c>
      <c r="F83">
        <f ca="1"/>
        <v>0</v>
      </c>
      <c r="G83">
        <f ca="1"/>
        <v>0</v>
      </c>
      <c r="H83">
        <f ca="1"/>
        <v>0</v>
      </c>
      <c r="I83">
        <f ca="1"/>
        <v>0</v>
      </c>
      <c r="J83">
        <f ca="1"/>
        <v>0</v>
      </c>
      <c r="K83">
        <f ca="1"/>
        <v>0</v>
      </c>
      <c r="L83">
        <f ca="1"/>
        <v>0</v>
      </c>
      <c r="M83">
        <f ca="1"/>
        <v>0</v>
      </c>
      <c r="N83">
        <f ca="1"/>
        <v>0</v>
      </c>
      <c r="O83">
        <f ca="1"/>
        <v>0</v>
      </c>
      <c r="P83">
        <f ca="1"/>
        <v>0</v>
      </c>
      <c r="Q83">
        <f ca="1"/>
        <v>0</v>
      </c>
      <c r="R83">
        <f ca="1"/>
        <v>0</v>
      </c>
      <c r="S83">
        <f ca="1"/>
        <v>0</v>
      </c>
      <c r="T83">
        <f ca="1"/>
        <v>0</v>
      </c>
      <c r="U83">
        <f ca="1"/>
        <v>0</v>
      </c>
      <c r="V83">
        <f ca="1"/>
        <v>0</v>
      </c>
      <c r="W83">
        <f ca="1"/>
        <v>0</v>
      </c>
      <c r="X83">
        <f ca="1"/>
        <v>0</v>
      </c>
      <c r="Y83">
        <f ca="1"/>
        <v>0</v>
      </c>
      <c r="Z83">
        <f ca="1"/>
        <v>0</v>
      </c>
      <c r="AA83">
        <f ca="1"/>
        <v>0</v>
      </c>
      <c r="AB83">
        <f ca="1"/>
        <v>0</v>
      </c>
      <c r="AC83">
        <f ca="1"/>
        <v>0</v>
      </c>
      <c r="AD83">
        <f ca="1"/>
        <v>0</v>
      </c>
      <c r="AE83">
        <f ca="1"/>
        <v>0</v>
      </c>
      <c r="AF83">
        <f ca="1"/>
        <v>0</v>
      </c>
      <c r="AG83">
        <f ca="1"/>
        <v>0</v>
      </c>
      <c r="AH83">
        <f ca="1"/>
        <v>0</v>
      </c>
      <c r="AI83">
        <f ca="1"/>
        <v>0</v>
      </c>
      <c r="AJ83">
        <f ca="1"/>
        <v>0</v>
      </c>
      <c r="AK83">
        <f ca="1"/>
        <v>0</v>
      </c>
      <c r="AL83">
        <f ca="1"/>
        <v>0</v>
      </c>
      <c r="AM83">
        <f ca="1"/>
        <v>0</v>
      </c>
      <c r="AN83">
        <f ca="1"/>
        <v>0</v>
      </c>
      <c r="AO83">
        <f ca="1"/>
        <v>0</v>
      </c>
      <c r="AP83">
        <f ca="1"/>
        <v>0</v>
      </c>
      <c r="AQ83">
        <f ca="1"/>
        <v>0</v>
      </c>
      <c r="AR83">
        <f ca="1"/>
        <v>0</v>
      </c>
      <c r="AS83">
        <f ca="1"/>
        <v>0</v>
      </c>
      <c r="AT83">
        <f ca="1"/>
        <v>0</v>
      </c>
      <c r="AU83">
        <f ca="1"/>
        <v>0</v>
      </c>
      <c r="AV83">
        <f ca="1"/>
        <v>0</v>
      </c>
      <c r="AW83">
        <f ca="1"/>
        <v>0</v>
      </c>
      <c r="AX83">
        <f ca="1"/>
        <v>0</v>
      </c>
      <c r="AY83">
        <f ca="1"/>
        <v>0</v>
      </c>
      <c r="AZ83">
        <f ca="1"/>
        <v>0</v>
      </c>
      <c r="BA83">
        <f ca="1"/>
        <v>0</v>
      </c>
      <c r="BB83">
        <f ca="1"/>
        <v>0</v>
      </c>
      <c r="BC83">
        <f ca="1"/>
        <v>0</v>
      </c>
      <c r="BD83">
        <f ca="1"/>
        <v>0</v>
      </c>
      <c r="BE83">
        <f ca="1"/>
        <v>0</v>
      </c>
      <c r="BF83">
        <f ca="1"/>
        <v>0</v>
      </c>
      <c r="BG83">
        <f ca="1"/>
        <v>0</v>
      </c>
      <c r="BH83">
        <f ca="1"/>
        <v>0</v>
      </c>
      <c r="BI83">
        <f ca="1"/>
        <v>0</v>
      </c>
      <c r="BJ83">
        <f ca="1"/>
        <v>0</v>
      </c>
      <c r="BK83">
        <f ca="1"/>
        <v>0</v>
      </c>
      <c r="BL83">
        <f ca="1"/>
        <v>0</v>
      </c>
      <c r="BM83">
        <f ca="1"/>
        <v>0</v>
      </c>
      <c r="BN83">
        <f ca="1"/>
        <v>0</v>
      </c>
      <c r="BO83">
        <f ca="1"/>
        <v>0</v>
      </c>
      <c r="BP83">
        <f ca="1"/>
        <v>0</v>
      </c>
      <c r="BQ83">
        <f ca="1"/>
        <v>0</v>
      </c>
      <c r="BR83">
        <f ca="1"/>
        <v>0</v>
      </c>
      <c r="BS83">
        <f ca="1"/>
        <v>0</v>
      </c>
      <c r="BT83">
        <f ca="1"/>
        <v>0</v>
      </c>
      <c r="BU83">
        <f ca="1"/>
        <v>0</v>
      </c>
      <c r="BV83">
        <f ca="1"/>
        <v>0</v>
      </c>
      <c r="BW83">
        <f ca="1"/>
        <v>0</v>
      </c>
      <c r="BX83">
        <f ca="1"/>
        <v>0</v>
      </c>
      <c r="BY83">
        <f ca="1"/>
        <v>0</v>
      </c>
      <c r="BZ83">
        <f ca="1"/>
        <v>0</v>
      </c>
      <c r="CA83">
        <f ca="1"/>
        <v>0</v>
      </c>
      <c r="CB83">
        <f ca="1"/>
        <v>0</v>
      </c>
      <c r="CC83">
        <f ca="1"/>
        <v>0</v>
      </c>
      <c r="CD83">
        <f ca="1"/>
        <v>0</v>
      </c>
      <c r="CE83">
        <f ca="1"/>
        <v>0</v>
      </c>
      <c r="CF83">
        <f ca="1"/>
        <v>0</v>
      </c>
      <c r="CG83">
        <f ca="1"/>
        <v>0</v>
      </c>
      <c r="CH83">
        <f ca="1"/>
        <v>0</v>
      </c>
      <c r="CI83">
        <f ca="1"/>
        <v>0</v>
      </c>
      <c r="CJ83">
        <f ca="1"/>
        <v>0</v>
      </c>
      <c r="CK83">
        <f ca="1"/>
        <v>0</v>
      </c>
      <c r="CL83">
        <f ca="1"/>
        <v>0</v>
      </c>
      <c r="CM83">
        <f ca="1"/>
        <v>0</v>
      </c>
      <c r="CN83">
        <f ca="1"/>
        <v>0</v>
      </c>
      <c r="CO83">
        <f ca="1"/>
        <v>0</v>
      </c>
      <c r="CP83">
        <f ca="1"/>
        <v>0</v>
      </c>
      <c r="CQ83">
        <f ca="1"/>
        <v>0</v>
      </c>
      <c r="CR83">
        <f ca="1"/>
        <v>0</v>
      </c>
      <c r="CS83">
        <f ca="1"/>
        <v>0</v>
      </c>
      <c r="CT83">
        <f ca="1"/>
        <v>0</v>
      </c>
      <c r="CU83">
        <f ca="1"/>
        <v>0</v>
      </c>
      <c r="CV83">
        <f ca="1"/>
        <v>0</v>
      </c>
      <c r="CW83">
        <f ca="1"/>
        <v>0</v>
      </c>
      <c r="CX83">
        <f ca="1"/>
        <v>0</v>
      </c>
      <c r="CY83">
        <f ca="1"/>
        <v>0</v>
      </c>
      <c r="CZ83">
        <f ca="1"/>
        <v>0</v>
      </c>
      <c r="DA83">
        <f ca="1"/>
        <v>0</v>
      </c>
      <c r="DB83">
        <f ca="1"/>
        <v>0</v>
      </c>
      <c r="DC83">
        <f ca="1"/>
        <v>0</v>
      </c>
      <c r="DD83">
        <f ca="1"/>
        <v>0</v>
      </c>
      <c r="DE83">
        <f ca="1"/>
        <v>0</v>
      </c>
      <c r="DF83">
        <f ca="1"/>
        <v>0</v>
      </c>
      <c r="DG83">
        <f ca="1"/>
        <v>0</v>
      </c>
      <c r="DH83">
        <f ca="1"/>
        <v>0</v>
      </c>
      <c r="DI83">
        <f ca="1"/>
        <v>0</v>
      </c>
      <c r="DJ83">
        <f ca="1"/>
        <v>0</v>
      </c>
      <c r="DK83">
        <f ca="1"/>
        <v>0</v>
      </c>
      <c r="DL83">
        <f ca="1"/>
        <v>0</v>
      </c>
      <c r="DM83">
        <f ca="1"/>
        <v>0</v>
      </c>
      <c r="DN83">
        <f ca="1"/>
        <v>0</v>
      </c>
      <c r="DO83">
        <f ca="1"/>
        <v>0</v>
      </c>
      <c r="DP83">
        <f ca="1"/>
        <v>0</v>
      </c>
      <c r="DQ83">
        <f ca="1"/>
        <v>0</v>
      </c>
      <c r="DR83">
        <f ca="1"/>
        <v>0</v>
      </c>
      <c r="DS83">
        <f ca="1"/>
        <v>0</v>
      </c>
      <c r="DT83">
        <f ca="1"/>
        <v>0</v>
      </c>
      <c r="DU83">
        <f ca="1"/>
        <v>0</v>
      </c>
      <c r="DV83">
        <f ca="1"/>
        <v>0</v>
      </c>
      <c r="DW83">
        <f ca="1"/>
        <v>0</v>
      </c>
      <c r="DX83">
        <f ca="1"/>
        <v>0</v>
      </c>
      <c r="DY83">
        <f ca="1"/>
        <v>0</v>
      </c>
      <c r="DZ83">
        <f ca="1"/>
        <v>0</v>
      </c>
      <c r="EA83">
        <f ca="1"/>
        <v>0</v>
      </c>
      <c r="EB83">
        <f ca="1"/>
        <v>0</v>
      </c>
      <c r="EC83">
        <f ca="1"/>
        <v>0</v>
      </c>
      <c r="ED83">
        <f ca="1"/>
        <v>0</v>
      </c>
      <c r="EE83">
        <f ca="1"/>
        <v>0</v>
      </c>
      <c r="EF83">
        <f ca="1"/>
        <v>0</v>
      </c>
      <c r="EG83">
        <f ca="1"/>
        <v>0</v>
      </c>
      <c r="EH83">
        <f ca="1"/>
        <v>0</v>
      </c>
      <c r="EI83">
        <f ca="1"/>
        <v>0</v>
      </c>
      <c r="EJ83">
        <f ca="1"/>
        <v>0</v>
      </c>
      <c r="EK83">
        <f ca="1"/>
        <v>0</v>
      </c>
      <c r="EL83">
        <f ca="1"/>
        <v>0</v>
      </c>
      <c r="EM83">
        <f ca="1"/>
        <v>0</v>
      </c>
      <c r="EN83">
        <f ca="1"/>
        <v>0</v>
      </c>
      <c r="EO83">
        <f ca="1"/>
        <v>0</v>
      </c>
      <c r="EP83">
        <f ca="1"/>
        <v>0</v>
      </c>
      <c r="EQ83">
        <f ca="1"/>
        <v>0</v>
      </c>
      <c r="ER83">
        <f ca="1"/>
        <v>0</v>
      </c>
      <c r="ES83">
        <f ca="1"/>
        <v>0</v>
      </c>
      <c r="ET83">
        <f ca="1"/>
        <v>0</v>
      </c>
      <c r="EU83">
        <f ca="1"/>
        <v>0</v>
      </c>
      <c r="EV83">
        <f ca="1"/>
        <v>0</v>
      </c>
      <c r="EW83">
        <f ca="1"/>
        <v>0</v>
      </c>
      <c r="EX83">
        <f ca="1"/>
        <v>0</v>
      </c>
      <c r="EY83">
        <f ca="1"/>
        <v>0</v>
      </c>
      <c r="EZ83">
        <f ca="1"/>
        <v>0</v>
      </c>
      <c r="FA83">
        <f ca="1"/>
        <v>0</v>
      </c>
      <c r="FB83">
        <f ca="1"/>
        <v>0</v>
      </c>
      <c r="FC83">
        <f ca="1"/>
        <v>0</v>
      </c>
      <c r="FD83">
        <f ca="1"/>
        <v>0</v>
      </c>
      <c r="FE83">
        <f ca="1"/>
        <v>0</v>
      </c>
      <c r="FF83">
        <f ca="1"/>
        <v>0</v>
      </c>
      <c r="FG83">
        <f ca="1"/>
        <v>0</v>
      </c>
      <c r="FH83">
        <f ca="1"/>
        <v>0</v>
      </c>
      <c r="FI83">
        <f ca="1"/>
        <v>0</v>
      </c>
      <c r="FJ83">
        <f ca="1"/>
        <v>0</v>
      </c>
      <c r="FK83">
        <f ca="1"/>
        <v>0</v>
      </c>
      <c r="FL83">
        <f ca="1"/>
        <v>0</v>
      </c>
      <c r="FM83">
        <f ca="1"/>
        <v>0</v>
      </c>
      <c r="FN83">
        <f ca="1"/>
        <v>0</v>
      </c>
      <c r="FO83">
        <f ca="1"/>
        <v>0</v>
      </c>
      <c r="FP83">
        <f ca="1"/>
        <v>0</v>
      </c>
      <c r="FQ83">
        <f ca="1"/>
        <v>0</v>
      </c>
      <c r="FR83">
        <f ca="1"/>
        <v>0</v>
      </c>
      <c r="FS83">
        <f ca="1"/>
        <v>0</v>
      </c>
      <c r="FT83">
        <f ca="1"/>
        <v>0</v>
      </c>
      <c r="FU83">
        <f ca="1"/>
        <v>0</v>
      </c>
      <c r="FV83">
        <f ca="1"/>
        <v>0</v>
      </c>
      <c r="FW83">
        <f ca="1"/>
        <v>0</v>
      </c>
      <c r="FX83">
        <f ca="1"/>
        <v>0</v>
      </c>
      <c r="FY83">
        <f ca="1"/>
        <v>0</v>
      </c>
      <c r="FZ83">
        <f ca="1"/>
        <v>0</v>
      </c>
    </row>
    <row r="84" spans="3:182">
      <c r="C84" cm="1">
        <f t="array" aca="1" ref="C84:FZ84" ca="1">IFERROR(TRANSPOSE(INDEX(_xlfn._xlws.FILTER(INDIRECT("SubcategoriesTable[Subcategory name]"),INDIRECT("SubcategoriesTable[Category name]")=$B84),,)),"No subcategories")</f>
        <v>0</v>
      </c>
      <c r="D84">
        <f ca="1"/>
        <v>0</v>
      </c>
      <c r="E84">
        <f ca="1"/>
        <v>0</v>
      </c>
      <c r="F84">
        <f ca="1"/>
        <v>0</v>
      </c>
      <c r="G84">
        <f ca="1"/>
        <v>0</v>
      </c>
      <c r="H84">
        <f ca="1"/>
        <v>0</v>
      </c>
      <c r="I84">
        <f ca="1"/>
        <v>0</v>
      </c>
      <c r="J84">
        <f ca="1"/>
        <v>0</v>
      </c>
      <c r="K84">
        <f ca="1"/>
        <v>0</v>
      </c>
      <c r="L84">
        <f ca="1"/>
        <v>0</v>
      </c>
      <c r="M84">
        <f ca="1"/>
        <v>0</v>
      </c>
      <c r="N84">
        <f ca="1"/>
        <v>0</v>
      </c>
      <c r="O84">
        <f ca="1"/>
        <v>0</v>
      </c>
      <c r="P84">
        <f ca="1"/>
        <v>0</v>
      </c>
      <c r="Q84">
        <f ca="1"/>
        <v>0</v>
      </c>
      <c r="R84">
        <f ca="1"/>
        <v>0</v>
      </c>
      <c r="S84">
        <f ca="1"/>
        <v>0</v>
      </c>
      <c r="T84">
        <f ca="1"/>
        <v>0</v>
      </c>
      <c r="U84">
        <f ca="1"/>
        <v>0</v>
      </c>
      <c r="V84">
        <f ca="1"/>
        <v>0</v>
      </c>
      <c r="W84">
        <f ca="1"/>
        <v>0</v>
      </c>
      <c r="X84">
        <f ca="1"/>
        <v>0</v>
      </c>
      <c r="Y84">
        <f ca="1"/>
        <v>0</v>
      </c>
      <c r="Z84">
        <f ca="1"/>
        <v>0</v>
      </c>
      <c r="AA84">
        <f ca="1"/>
        <v>0</v>
      </c>
      <c r="AB84">
        <f ca="1"/>
        <v>0</v>
      </c>
      <c r="AC84">
        <f ca="1"/>
        <v>0</v>
      </c>
      <c r="AD84">
        <f ca="1"/>
        <v>0</v>
      </c>
      <c r="AE84">
        <f ca="1"/>
        <v>0</v>
      </c>
      <c r="AF84">
        <f ca="1"/>
        <v>0</v>
      </c>
      <c r="AG84">
        <f ca="1"/>
        <v>0</v>
      </c>
      <c r="AH84">
        <f ca="1"/>
        <v>0</v>
      </c>
      <c r="AI84">
        <f ca="1"/>
        <v>0</v>
      </c>
      <c r="AJ84">
        <f ca="1"/>
        <v>0</v>
      </c>
      <c r="AK84">
        <f ca="1"/>
        <v>0</v>
      </c>
      <c r="AL84">
        <f ca="1"/>
        <v>0</v>
      </c>
      <c r="AM84">
        <f ca="1"/>
        <v>0</v>
      </c>
      <c r="AN84">
        <f ca="1"/>
        <v>0</v>
      </c>
      <c r="AO84">
        <f ca="1"/>
        <v>0</v>
      </c>
      <c r="AP84">
        <f ca="1"/>
        <v>0</v>
      </c>
      <c r="AQ84">
        <f ca="1"/>
        <v>0</v>
      </c>
      <c r="AR84">
        <f ca="1"/>
        <v>0</v>
      </c>
      <c r="AS84">
        <f ca="1"/>
        <v>0</v>
      </c>
      <c r="AT84">
        <f ca="1"/>
        <v>0</v>
      </c>
      <c r="AU84">
        <f ca="1"/>
        <v>0</v>
      </c>
      <c r="AV84">
        <f ca="1"/>
        <v>0</v>
      </c>
      <c r="AW84">
        <f ca="1"/>
        <v>0</v>
      </c>
      <c r="AX84">
        <f ca="1"/>
        <v>0</v>
      </c>
      <c r="AY84">
        <f ca="1"/>
        <v>0</v>
      </c>
      <c r="AZ84">
        <f ca="1"/>
        <v>0</v>
      </c>
      <c r="BA84">
        <f ca="1"/>
        <v>0</v>
      </c>
      <c r="BB84">
        <f ca="1"/>
        <v>0</v>
      </c>
      <c r="BC84">
        <f ca="1"/>
        <v>0</v>
      </c>
      <c r="BD84">
        <f ca="1"/>
        <v>0</v>
      </c>
      <c r="BE84">
        <f ca="1"/>
        <v>0</v>
      </c>
      <c r="BF84">
        <f ca="1"/>
        <v>0</v>
      </c>
      <c r="BG84">
        <f ca="1"/>
        <v>0</v>
      </c>
      <c r="BH84">
        <f ca="1"/>
        <v>0</v>
      </c>
      <c r="BI84">
        <f ca="1"/>
        <v>0</v>
      </c>
      <c r="BJ84">
        <f ca="1"/>
        <v>0</v>
      </c>
      <c r="BK84">
        <f ca="1"/>
        <v>0</v>
      </c>
      <c r="BL84">
        <f ca="1"/>
        <v>0</v>
      </c>
      <c r="BM84">
        <f ca="1"/>
        <v>0</v>
      </c>
      <c r="BN84">
        <f ca="1"/>
        <v>0</v>
      </c>
      <c r="BO84">
        <f ca="1"/>
        <v>0</v>
      </c>
      <c r="BP84">
        <f ca="1"/>
        <v>0</v>
      </c>
      <c r="BQ84">
        <f ca="1"/>
        <v>0</v>
      </c>
      <c r="BR84">
        <f ca="1"/>
        <v>0</v>
      </c>
      <c r="BS84">
        <f ca="1"/>
        <v>0</v>
      </c>
      <c r="BT84">
        <f ca="1"/>
        <v>0</v>
      </c>
      <c r="BU84">
        <f ca="1"/>
        <v>0</v>
      </c>
      <c r="BV84">
        <f ca="1"/>
        <v>0</v>
      </c>
      <c r="BW84">
        <f ca="1"/>
        <v>0</v>
      </c>
      <c r="BX84">
        <f ca="1"/>
        <v>0</v>
      </c>
      <c r="BY84">
        <f ca="1"/>
        <v>0</v>
      </c>
      <c r="BZ84">
        <f ca="1"/>
        <v>0</v>
      </c>
      <c r="CA84">
        <f ca="1"/>
        <v>0</v>
      </c>
      <c r="CB84">
        <f ca="1"/>
        <v>0</v>
      </c>
      <c r="CC84">
        <f ca="1"/>
        <v>0</v>
      </c>
      <c r="CD84">
        <f ca="1"/>
        <v>0</v>
      </c>
      <c r="CE84">
        <f ca="1"/>
        <v>0</v>
      </c>
      <c r="CF84">
        <f ca="1"/>
        <v>0</v>
      </c>
      <c r="CG84">
        <f ca="1"/>
        <v>0</v>
      </c>
      <c r="CH84">
        <f ca="1"/>
        <v>0</v>
      </c>
      <c r="CI84">
        <f ca="1"/>
        <v>0</v>
      </c>
      <c r="CJ84">
        <f ca="1"/>
        <v>0</v>
      </c>
      <c r="CK84">
        <f ca="1"/>
        <v>0</v>
      </c>
      <c r="CL84">
        <f ca="1"/>
        <v>0</v>
      </c>
      <c r="CM84">
        <f ca="1"/>
        <v>0</v>
      </c>
      <c r="CN84">
        <f ca="1"/>
        <v>0</v>
      </c>
      <c r="CO84">
        <f ca="1"/>
        <v>0</v>
      </c>
      <c r="CP84">
        <f ca="1"/>
        <v>0</v>
      </c>
      <c r="CQ84">
        <f ca="1"/>
        <v>0</v>
      </c>
      <c r="CR84">
        <f ca="1"/>
        <v>0</v>
      </c>
      <c r="CS84">
        <f ca="1"/>
        <v>0</v>
      </c>
      <c r="CT84">
        <f ca="1"/>
        <v>0</v>
      </c>
      <c r="CU84">
        <f ca="1"/>
        <v>0</v>
      </c>
      <c r="CV84">
        <f ca="1"/>
        <v>0</v>
      </c>
      <c r="CW84">
        <f ca="1"/>
        <v>0</v>
      </c>
      <c r="CX84">
        <f ca="1"/>
        <v>0</v>
      </c>
      <c r="CY84">
        <f ca="1"/>
        <v>0</v>
      </c>
      <c r="CZ84">
        <f ca="1"/>
        <v>0</v>
      </c>
      <c r="DA84">
        <f ca="1"/>
        <v>0</v>
      </c>
      <c r="DB84">
        <f ca="1"/>
        <v>0</v>
      </c>
      <c r="DC84">
        <f ca="1"/>
        <v>0</v>
      </c>
      <c r="DD84">
        <f ca="1"/>
        <v>0</v>
      </c>
      <c r="DE84">
        <f ca="1"/>
        <v>0</v>
      </c>
      <c r="DF84">
        <f ca="1"/>
        <v>0</v>
      </c>
      <c r="DG84">
        <f ca="1"/>
        <v>0</v>
      </c>
      <c r="DH84">
        <f ca="1"/>
        <v>0</v>
      </c>
      <c r="DI84">
        <f ca="1"/>
        <v>0</v>
      </c>
      <c r="DJ84">
        <f ca="1"/>
        <v>0</v>
      </c>
      <c r="DK84">
        <f ca="1"/>
        <v>0</v>
      </c>
      <c r="DL84">
        <f ca="1"/>
        <v>0</v>
      </c>
      <c r="DM84">
        <f ca="1"/>
        <v>0</v>
      </c>
      <c r="DN84">
        <f ca="1"/>
        <v>0</v>
      </c>
      <c r="DO84">
        <f ca="1"/>
        <v>0</v>
      </c>
      <c r="DP84">
        <f ca="1"/>
        <v>0</v>
      </c>
      <c r="DQ84">
        <f ca="1"/>
        <v>0</v>
      </c>
      <c r="DR84">
        <f ca="1"/>
        <v>0</v>
      </c>
      <c r="DS84">
        <f ca="1"/>
        <v>0</v>
      </c>
      <c r="DT84">
        <f ca="1"/>
        <v>0</v>
      </c>
      <c r="DU84">
        <f ca="1"/>
        <v>0</v>
      </c>
      <c r="DV84">
        <f ca="1"/>
        <v>0</v>
      </c>
      <c r="DW84">
        <f ca="1"/>
        <v>0</v>
      </c>
      <c r="DX84">
        <f ca="1"/>
        <v>0</v>
      </c>
      <c r="DY84">
        <f ca="1"/>
        <v>0</v>
      </c>
      <c r="DZ84">
        <f ca="1"/>
        <v>0</v>
      </c>
      <c r="EA84">
        <f ca="1"/>
        <v>0</v>
      </c>
      <c r="EB84">
        <f ca="1"/>
        <v>0</v>
      </c>
      <c r="EC84">
        <f ca="1"/>
        <v>0</v>
      </c>
      <c r="ED84">
        <f ca="1"/>
        <v>0</v>
      </c>
      <c r="EE84">
        <f ca="1"/>
        <v>0</v>
      </c>
      <c r="EF84">
        <f ca="1"/>
        <v>0</v>
      </c>
      <c r="EG84">
        <f ca="1"/>
        <v>0</v>
      </c>
      <c r="EH84">
        <f ca="1"/>
        <v>0</v>
      </c>
      <c r="EI84">
        <f ca="1"/>
        <v>0</v>
      </c>
      <c r="EJ84">
        <f ca="1"/>
        <v>0</v>
      </c>
      <c r="EK84">
        <f ca="1"/>
        <v>0</v>
      </c>
      <c r="EL84">
        <f ca="1"/>
        <v>0</v>
      </c>
      <c r="EM84">
        <f ca="1"/>
        <v>0</v>
      </c>
      <c r="EN84">
        <f ca="1"/>
        <v>0</v>
      </c>
      <c r="EO84">
        <f ca="1"/>
        <v>0</v>
      </c>
      <c r="EP84">
        <f ca="1"/>
        <v>0</v>
      </c>
      <c r="EQ84">
        <f ca="1"/>
        <v>0</v>
      </c>
      <c r="ER84">
        <f ca="1"/>
        <v>0</v>
      </c>
      <c r="ES84">
        <f ca="1"/>
        <v>0</v>
      </c>
      <c r="ET84">
        <f ca="1"/>
        <v>0</v>
      </c>
      <c r="EU84">
        <f ca="1"/>
        <v>0</v>
      </c>
      <c r="EV84">
        <f ca="1"/>
        <v>0</v>
      </c>
      <c r="EW84">
        <f ca="1"/>
        <v>0</v>
      </c>
      <c r="EX84">
        <f ca="1"/>
        <v>0</v>
      </c>
      <c r="EY84">
        <f ca="1"/>
        <v>0</v>
      </c>
      <c r="EZ84">
        <f ca="1"/>
        <v>0</v>
      </c>
      <c r="FA84">
        <f ca="1"/>
        <v>0</v>
      </c>
      <c r="FB84">
        <f ca="1"/>
        <v>0</v>
      </c>
      <c r="FC84">
        <f ca="1"/>
        <v>0</v>
      </c>
      <c r="FD84">
        <f ca="1"/>
        <v>0</v>
      </c>
      <c r="FE84">
        <f ca="1"/>
        <v>0</v>
      </c>
      <c r="FF84">
        <f ca="1"/>
        <v>0</v>
      </c>
      <c r="FG84">
        <f ca="1"/>
        <v>0</v>
      </c>
      <c r="FH84">
        <f ca="1"/>
        <v>0</v>
      </c>
      <c r="FI84">
        <f ca="1"/>
        <v>0</v>
      </c>
      <c r="FJ84">
        <f ca="1"/>
        <v>0</v>
      </c>
      <c r="FK84">
        <f ca="1"/>
        <v>0</v>
      </c>
      <c r="FL84">
        <f ca="1"/>
        <v>0</v>
      </c>
      <c r="FM84">
        <f ca="1"/>
        <v>0</v>
      </c>
      <c r="FN84">
        <f ca="1"/>
        <v>0</v>
      </c>
      <c r="FO84">
        <f ca="1"/>
        <v>0</v>
      </c>
      <c r="FP84">
        <f ca="1"/>
        <v>0</v>
      </c>
      <c r="FQ84">
        <f ca="1"/>
        <v>0</v>
      </c>
      <c r="FR84">
        <f ca="1"/>
        <v>0</v>
      </c>
      <c r="FS84">
        <f ca="1"/>
        <v>0</v>
      </c>
      <c r="FT84">
        <f ca="1"/>
        <v>0</v>
      </c>
      <c r="FU84">
        <f ca="1"/>
        <v>0</v>
      </c>
      <c r="FV84">
        <f ca="1"/>
        <v>0</v>
      </c>
      <c r="FW84">
        <f ca="1"/>
        <v>0</v>
      </c>
      <c r="FX84">
        <f ca="1"/>
        <v>0</v>
      </c>
      <c r="FY84">
        <f ca="1"/>
        <v>0</v>
      </c>
      <c r="FZ84">
        <f ca="1"/>
        <v>0</v>
      </c>
    </row>
    <row r="85" spans="3:182">
      <c r="C85" cm="1">
        <f t="array" aca="1" ref="C85:FZ85" ca="1">IFERROR(TRANSPOSE(INDEX(_xlfn._xlws.FILTER(INDIRECT("SubcategoriesTable[Subcategory name]"),INDIRECT("SubcategoriesTable[Category name]")=$B85),,)),"No subcategories")</f>
        <v>0</v>
      </c>
      <c r="D85">
        <f ca="1"/>
        <v>0</v>
      </c>
      <c r="E85">
        <f ca="1"/>
        <v>0</v>
      </c>
      <c r="F85">
        <f ca="1"/>
        <v>0</v>
      </c>
      <c r="G85">
        <f ca="1"/>
        <v>0</v>
      </c>
      <c r="H85">
        <f ca="1"/>
        <v>0</v>
      </c>
      <c r="I85">
        <f ca="1"/>
        <v>0</v>
      </c>
      <c r="J85">
        <f ca="1"/>
        <v>0</v>
      </c>
      <c r="K85">
        <f ca="1"/>
        <v>0</v>
      </c>
      <c r="L85">
        <f ca="1"/>
        <v>0</v>
      </c>
      <c r="M85">
        <f ca="1"/>
        <v>0</v>
      </c>
      <c r="N85">
        <f ca="1"/>
        <v>0</v>
      </c>
      <c r="O85">
        <f ca="1"/>
        <v>0</v>
      </c>
      <c r="P85">
        <f ca="1"/>
        <v>0</v>
      </c>
      <c r="Q85">
        <f ca="1"/>
        <v>0</v>
      </c>
      <c r="R85">
        <f ca="1"/>
        <v>0</v>
      </c>
      <c r="S85">
        <f ca="1"/>
        <v>0</v>
      </c>
      <c r="T85">
        <f ca="1"/>
        <v>0</v>
      </c>
      <c r="U85">
        <f ca="1"/>
        <v>0</v>
      </c>
      <c r="V85">
        <f ca="1"/>
        <v>0</v>
      </c>
      <c r="W85">
        <f ca="1"/>
        <v>0</v>
      </c>
      <c r="X85">
        <f ca="1"/>
        <v>0</v>
      </c>
      <c r="Y85">
        <f ca="1"/>
        <v>0</v>
      </c>
      <c r="Z85">
        <f ca="1"/>
        <v>0</v>
      </c>
      <c r="AA85">
        <f ca="1"/>
        <v>0</v>
      </c>
      <c r="AB85">
        <f ca="1"/>
        <v>0</v>
      </c>
      <c r="AC85">
        <f ca="1"/>
        <v>0</v>
      </c>
      <c r="AD85">
        <f ca="1"/>
        <v>0</v>
      </c>
      <c r="AE85">
        <f ca="1"/>
        <v>0</v>
      </c>
      <c r="AF85">
        <f ca="1"/>
        <v>0</v>
      </c>
      <c r="AG85">
        <f ca="1"/>
        <v>0</v>
      </c>
      <c r="AH85">
        <f ca="1"/>
        <v>0</v>
      </c>
      <c r="AI85">
        <f ca="1"/>
        <v>0</v>
      </c>
      <c r="AJ85">
        <f ca="1"/>
        <v>0</v>
      </c>
      <c r="AK85">
        <f ca="1"/>
        <v>0</v>
      </c>
      <c r="AL85">
        <f ca="1"/>
        <v>0</v>
      </c>
      <c r="AM85">
        <f ca="1"/>
        <v>0</v>
      </c>
      <c r="AN85">
        <f ca="1"/>
        <v>0</v>
      </c>
      <c r="AO85">
        <f ca="1"/>
        <v>0</v>
      </c>
      <c r="AP85">
        <f ca="1"/>
        <v>0</v>
      </c>
      <c r="AQ85">
        <f ca="1"/>
        <v>0</v>
      </c>
      <c r="AR85">
        <f ca="1"/>
        <v>0</v>
      </c>
      <c r="AS85">
        <f ca="1"/>
        <v>0</v>
      </c>
      <c r="AT85">
        <f ca="1"/>
        <v>0</v>
      </c>
      <c r="AU85">
        <f ca="1"/>
        <v>0</v>
      </c>
      <c r="AV85">
        <f ca="1"/>
        <v>0</v>
      </c>
      <c r="AW85">
        <f ca="1"/>
        <v>0</v>
      </c>
      <c r="AX85">
        <f ca="1"/>
        <v>0</v>
      </c>
      <c r="AY85">
        <f ca="1"/>
        <v>0</v>
      </c>
      <c r="AZ85">
        <f ca="1"/>
        <v>0</v>
      </c>
      <c r="BA85">
        <f ca="1"/>
        <v>0</v>
      </c>
      <c r="BB85">
        <f ca="1"/>
        <v>0</v>
      </c>
      <c r="BC85">
        <f ca="1"/>
        <v>0</v>
      </c>
      <c r="BD85">
        <f ca="1"/>
        <v>0</v>
      </c>
      <c r="BE85">
        <f ca="1"/>
        <v>0</v>
      </c>
      <c r="BF85">
        <f ca="1"/>
        <v>0</v>
      </c>
      <c r="BG85">
        <f ca="1"/>
        <v>0</v>
      </c>
      <c r="BH85">
        <f ca="1"/>
        <v>0</v>
      </c>
      <c r="BI85">
        <f ca="1"/>
        <v>0</v>
      </c>
      <c r="BJ85">
        <f ca="1"/>
        <v>0</v>
      </c>
      <c r="BK85">
        <f ca="1"/>
        <v>0</v>
      </c>
      <c r="BL85">
        <f ca="1"/>
        <v>0</v>
      </c>
      <c r="BM85">
        <f ca="1"/>
        <v>0</v>
      </c>
      <c r="BN85">
        <f ca="1"/>
        <v>0</v>
      </c>
      <c r="BO85">
        <f ca="1"/>
        <v>0</v>
      </c>
      <c r="BP85">
        <f ca="1"/>
        <v>0</v>
      </c>
      <c r="BQ85">
        <f ca="1"/>
        <v>0</v>
      </c>
      <c r="BR85">
        <f ca="1"/>
        <v>0</v>
      </c>
      <c r="BS85">
        <f ca="1"/>
        <v>0</v>
      </c>
      <c r="BT85">
        <f ca="1"/>
        <v>0</v>
      </c>
      <c r="BU85">
        <f ca="1"/>
        <v>0</v>
      </c>
      <c r="BV85">
        <f ca="1"/>
        <v>0</v>
      </c>
      <c r="BW85">
        <f ca="1"/>
        <v>0</v>
      </c>
      <c r="BX85">
        <f ca="1"/>
        <v>0</v>
      </c>
      <c r="BY85">
        <f ca="1"/>
        <v>0</v>
      </c>
      <c r="BZ85">
        <f ca="1"/>
        <v>0</v>
      </c>
      <c r="CA85">
        <f ca="1"/>
        <v>0</v>
      </c>
      <c r="CB85">
        <f ca="1"/>
        <v>0</v>
      </c>
      <c r="CC85">
        <f ca="1"/>
        <v>0</v>
      </c>
      <c r="CD85">
        <f ca="1"/>
        <v>0</v>
      </c>
      <c r="CE85">
        <f ca="1"/>
        <v>0</v>
      </c>
      <c r="CF85">
        <f ca="1"/>
        <v>0</v>
      </c>
      <c r="CG85">
        <f ca="1"/>
        <v>0</v>
      </c>
      <c r="CH85">
        <f ca="1"/>
        <v>0</v>
      </c>
      <c r="CI85">
        <f ca="1"/>
        <v>0</v>
      </c>
      <c r="CJ85">
        <f ca="1"/>
        <v>0</v>
      </c>
      <c r="CK85">
        <f ca="1"/>
        <v>0</v>
      </c>
      <c r="CL85">
        <f ca="1"/>
        <v>0</v>
      </c>
      <c r="CM85">
        <f ca="1"/>
        <v>0</v>
      </c>
      <c r="CN85">
        <f ca="1"/>
        <v>0</v>
      </c>
      <c r="CO85">
        <f ca="1"/>
        <v>0</v>
      </c>
      <c r="CP85">
        <f ca="1"/>
        <v>0</v>
      </c>
      <c r="CQ85">
        <f ca="1"/>
        <v>0</v>
      </c>
      <c r="CR85">
        <f ca="1"/>
        <v>0</v>
      </c>
      <c r="CS85">
        <f ca="1"/>
        <v>0</v>
      </c>
      <c r="CT85">
        <f ca="1"/>
        <v>0</v>
      </c>
      <c r="CU85">
        <f ca="1"/>
        <v>0</v>
      </c>
      <c r="CV85">
        <f ca="1"/>
        <v>0</v>
      </c>
      <c r="CW85">
        <f ca="1"/>
        <v>0</v>
      </c>
      <c r="CX85">
        <f ca="1"/>
        <v>0</v>
      </c>
      <c r="CY85">
        <f ca="1"/>
        <v>0</v>
      </c>
      <c r="CZ85">
        <f ca="1"/>
        <v>0</v>
      </c>
      <c r="DA85">
        <f ca="1"/>
        <v>0</v>
      </c>
      <c r="DB85">
        <f ca="1"/>
        <v>0</v>
      </c>
      <c r="DC85">
        <f ca="1"/>
        <v>0</v>
      </c>
      <c r="DD85">
        <f ca="1"/>
        <v>0</v>
      </c>
      <c r="DE85">
        <f ca="1"/>
        <v>0</v>
      </c>
      <c r="DF85">
        <f ca="1"/>
        <v>0</v>
      </c>
      <c r="DG85">
        <f ca="1"/>
        <v>0</v>
      </c>
      <c r="DH85">
        <f ca="1"/>
        <v>0</v>
      </c>
      <c r="DI85">
        <f ca="1"/>
        <v>0</v>
      </c>
      <c r="DJ85">
        <f ca="1"/>
        <v>0</v>
      </c>
      <c r="DK85">
        <f ca="1"/>
        <v>0</v>
      </c>
      <c r="DL85">
        <f ca="1"/>
        <v>0</v>
      </c>
      <c r="DM85">
        <f ca="1"/>
        <v>0</v>
      </c>
      <c r="DN85">
        <f ca="1"/>
        <v>0</v>
      </c>
      <c r="DO85">
        <f ca="1"/>
        <v>0</v>
      </c>
      <c r="DP85">
        <f ca="1"/>
        <v>0</v>
      </c>
      <c r="DQ85">
        <f ca="1"/>
        <v>0</v>
      </c>
      <c r="DR85">
        <f ca="1"/>
        <v>0</v>
      </c>
      <c r="DS85">
        <f ca="1"/>
        <v>0</v>
      </c>
      <c r="DT85">
        <f ca="1"/>
        <v>0</v>
      </c>
      <c r="DU85">
        <f ca="1"/>
        <v>0</v>
      </c>
      <c r="DV85">
        <f ca="1"/>
        <v>0</v>
      </c>
      <c r="DW85">
        <f ca="1"/>
        <v>0</v>
      </c>
      <c r="DX85">
        <f ca="1"/>
        <v>0</v>
      </c>
      <c r="DY85">
        <f ca="1"/>
        <v>0</v>
      </c>
      <c r="DZ85">
        <f ca="1"/>
        <v>0</v>
      </c>
      <c r="EA85">
        <f ca="1"/>
        <v>0</v>
      </c>
      <c r="EB85">
        <f ca="1"/>
        <v>0</v>
      </c>
      <c r="EC85">
        <f ca="1"/>
        <v>0</v>
      </c>
      <c r="ED85">
        <f ca="1"/>
        <v>0</v>
      </c>
      <c r="EE85">
        <f ca="1"/>
        <v>0</v>
      </c>
      <c r="EF85">
        <f ca="1"/>
        <v>0</v>
      </c>
      <c r="EG85">
        <f ca="1"/>
        <v>0</v>
      </c>
      <c r="EH85">
        <f ca="1"/>
        <v>0</v>
      </c>
      <c r="EI85">
        <f ca="1"/>
        <v>0</v>
      </c>
      <c r="EJ85">
        <f ca="1"/>
        <v>0</v>
      </c>
      <c r="EK85">
        <f ca="1"/>
        <v>0</v>
      </c>
      <c r="EL85">
        <f ca="1"/>
        <v>0</v>
      </c>
      <c r="EM85">
        <f ca="1"/>
        <v>0</v>
      </c>
      <c r="EN85">
        <f ca="1"/>
        <v>0</v>
      </c>
      <c r="EO85">
        <f ca="1"/>
        <v>0</v>
      </c>
      <c r="EP85">
        <f ca="1"/>
        <v>0</v>
      </c>
      <c r="EQ85">
        <f ca="1"/>
        <v>0</v>
      </c>
      <c r="ER85">
        <f ca="1"/>
        <v>0</v>
      </c>
      <c r="ES85">
        <f ca="1"/>
        <v>0</v>
      </c>
      <c r="ET85">
        <f ca="1"/>
        <v>0</v>
      </c>
      <c r="EU85">
        <f ca="1"/>
        <v>0</v>
      </c>
      <c r="EV85">
        <f ca="1"/>
        <v>0</v>
      </c>
      <c r="EW85">
        <f ca="1"/>
        <v>0</v>
      </c>
      <c r="EX85">
        <f ca="1"/>
        <v>0</v>
      </c>
      <c r="EY85">
        <f ca="1"/>
        <v>0</v>
      </c>
      <c r="EZ85">
        <f ca="1"/>
        <v>0</v>
      </c>
      <c r="FA85">
        <f ca="1"/>
        <v>0</v>
      </c>
      <c r="FB85">
        <f ca="1"/>
        <v>0</v>
      </c>
      <c r="FC85">
        <f ca="1"/>
        <v>0</v>
      </c>
      <c r="FD85">
        <f ca="1"/>
        <v>0</v>
      </c>
      <c r="FE85">
        <f ca="1"/>
        <v>0</v>
      </c>
      <c r="FF85">
        <f ca="1"/>
        <v>0</v>
      </c>
      <c r="FG85">
        <f ca="1"/>
        <v>0</v>
      </c>
      <c r="FH85">
        <f ca="1"/>
        <v>0</v>
      </c>
      <c r="FI85">
        <f ca="1"/>
        <v>0</v>
      </c>
      <c r="FJ85">
        <f ca="1"/>
        <v>0</v>
      </c>
      <c r="FK85">
        <f ca="1"/>
        <v>0</v>
      </c>
      <c r="FL85">
        <f ca="1"/>
        <v>0</v>
      </c>
      <c r="FM85">
        <f ca="1"/>
        <v>0</v>
      </c>
      <c r="FN85">
        <f ca="1"/>
        <v>0</v>
      </c>
      <c r="FO85">
        <f ca="1"/>
        <v>0</v>
      </c>
      <c r="FP85">
        <f ca="1"/>
        <v>0</v>
      </c>
      <c r="FQ85">
        <f ca="1"/>
        <v>0</v>
      </c>
      <c r="FR85">
        <f ca="1"/>
        <v>0</v>
      </c>
      <c r="FS85">
        <f ca="1"/>
        <v>0</v>
      </c>
      <c r="FT85">
        <f ca="1"/>
        <v>0</v>
      </c>
      <c r="FU85">
        <f ca="1"/>
        <v>0</v>
      </c>
      <c r="FV85">
        <f ca="1"/>
        <v>0</v>
      </c>
      <c r="FW85">
        <f ca="1"/>
        <v>0</v>
      </c>
      <c r="FX85">
        <f ca="1"/>
        <v>0</v>
      </c>
      <c r="FY85">
        <f ca="1"/>
        <v>0</v>
      </c>
      <c r="FZ85">
        <f ca="1"/>
        <v>0</v>
      </c>
    </row>
    <row r="86" spans="3:182">
      <c r="C86" cm="1">
        <f t="array" aca="1" ref="C86:FZ86" ca="1">IFERROR(TRANSPOSE(INDEX(_xlfn._xlws.FILTER(INDIRECT("SubcategoriesTable[Subcategory name]"),INDIRECT("SubcategoriesTable[Category name]")=$B86),,)),"No subcategories")</f>
        <v>0</v>
      </c>
      <c r="D86">
        <f ca="1"/>
        <v>0</v>
      </c>
      <c r="E86">
        <f ca="1"/>
        <v>0</v>
      </c>
      <c r="F86">
        <f ca="1"/>
        <v>0</v>
      </c>
      <c r="G86">
        <f ca="1"/>
        <v>0</v>
      </c>
      <c r="H86">
        <f ca="1"/>
        <v>0</v>
      </c>
      <c r="I86">
        <f ca="1"/>
        <v>0</v>
      </c>
      <c r="J86">
        <f ca="1"/>
        <v>0</v>
      </c>
      <c r="K86">
        <f ca="1"/>
        <v>0</v>
      </c>
      <c r="L86">
        <f ca="1"/>
        <v>0</v>
      </c>
      <c r="M86">
        <f ca="1"/>
        <v>0</v>
      </c>
      <c r="N86">
        <f ca="1"/>
        <v>0</v>
      </c>
      <c r="O86">
        <f ca="1"/>
        <v>0</v>
      </c>
      <c r="P86">
        <f ca="1"/>
        <v>0</v>
      </c>
      <c r="Q86">
        <f ca="1"/>
        <v>0</v>
      </c>
      <c r="R86">
        <f ca="1"/>
        <v>0</v>
      </c>
      <c r="S86">
        <f ca="1"/>
        <v>0</v>
      </c>
      <c r="T86">
        <f ca="1"/>
        <v>0</v>
      </c>
      <c r="U86">
        <f ca="1"/>
        <v>0</v>
      </c>
      <c r="V86">
        <f ca="1"/>
        <v>0</v>
      </c>
      <c r="W86">
        <f ca="1"/>
        <v>0</v>
      </c>
      <c r="X86">
        <f ca="1"/>
        <v>0</v>
      </c>
      <c r="Y86">
        <f ca="1"/>
        <v>0</v>
      </c>
      <c r="Z86">
        <f ca="1"/>
        <v>0</v>
      </c>
      <c r="AA86">
        <f ca="1"/>
        <v>0</v>
      </c>
      <c r="AB86">
        <f ca="1"/>
        <v>0</v>
      </c>
      <c r="AC86">
        <f ca="1"/>
        <v>0</v>
      </c>
      <c r="AD86">
        <f ca="1"/>
        <v>0</v>
      </c>
      <c r="AE86">
        <f ca="1"/>
        <v>0</v>
      </c>
      <c r="AF86">
        <f ca="1"/>
        <v>0</v>
      </c>
      <c r="AG86">
        <f ca="1"/>
        <v>0</v>
      </c>
      <c r="AH86">
        <f ca="1"/>
        <v>0</v>
      </c>
      <c r="AI86">
        <f ca="1"/>
        <v>0</v>
      </c>
      <c r="AJ86">
        <f ca="1"/>
        <v>0</v>
      </c>
      <c r="AK86">
        <f ca="1"/>
        <v>0</v>
      </c>
      <c r="AL86">
        <f ca="1"/>
        <v>0</v>
      </c>
      <c r="AM86">
        <f ca="1"/>
        <v>0</v>
      </c>
      <c r="AN86">
        <f ca="1"/>
        <v>0</v>
      </c>
      <c r="AO86">
        <f ca="1"/>
        <v>0</v>
      </c>
      <c r="AP86">
        <f ca="1"/>
        <v>0</v>
      </c>
      <c r="AQ86">
        <f ca="1"/>
        <v>0</v>
      </c>
      <c r="AR86">
        <f ca="1"/>
        <v>0</v>
      </c>
      <c r="AS86">
        <f ca="1"/>
        <v>0</v>
      </c>
      <c r="AT86">
        <f ca="1"/>
        <v>0</v>
      </c>
      <c r="AU86">
        <f ca="1"/>
        <v>0</v>
      </c>
      <c r="AV86">
        <f ca="1"/>
        <v>0</v>
      </c>
      <c r="AW86">
        <f ca="1"/>
        <v>0</v>
      </c>
      <c r="AX86">
        <f ca="1"/>
        <v>0</v>
      </c>
      <c r="AY86">
        <f ca="1"/>
        <v>0</v>
      </c>
      <c r="AZ86">
        <f ca="1"/>
        <v>0</v>
      </c>
      <c r="BA86">
        <f ca="1"/>
        <v>0</v>
      </c>
      <c r="BB86">
        <f ca="1"/>
        <v>0</v>
      </c>
      <c r="BC86">
        <f ca="1"/>
        <v>0</v>
      </c>
      <c r="BD86">
        <f ca="1"/>
        <v>0</v>
      </c>
      <c r="BE86">
        <f ca="1"/>
        <v>0</v>
      </c>
      <c r="BF86">
        <f ca="1"/>
        <v>0</v>
      </c>
      <c r="BG86">
        <f ca="1"/>
        <v>0</v>
      </c>
      <c r="BH86">
        <f ca="1"/>
        <v>0</v>
      </c>
      <c r="BI86">
        <f ca="1"/>
        <v>0</v>
      </c>
      <c r="BJ86">
        <f ca="1"/>
        <v>0</v>
      </c>
      <c r="BK86">
        <f ca="1"/>
        <v>0</v>
      </c>
      <c r="BL86">
        <f ca="1"/>
        <v>0</v>
      </c>
      <c r="BM86">
        <f ca="1"/>
        <v>0</v>
      </c>
      <c r="BN86">
        <f ca="1"/>
        <v>0</v>
      </c>
      <c r="BO86">
        <f ca="1"/>
        <v>0</v>
      </c>
      <c r="BP86">
        <f ca="1"/>
        <v>0</v>
      </c>
      <c r="BQ86">
        <f ca="1"/>
        <v>0</v>
      </c>
      <c r="BR86">
        <f ca="1"/>
        <v>0</v>
      </c>
      <c r="BS86">
        <f ca="1"/>
        <v>0</v>
      </c>
      <c r="BT86">
        <f ca="1"/>
        <v>0</v>
      </c>
      <c r="BU86">
        <f ca="1"/>
        <v>0</v>
      </c>
      <c r="BV86">
        <f ca="1"/>
        <v>0</v>
      </c>
      <c r="BW86">
        <f ca="1"/>
        <v>0</v>
      </c>
      <c r="BX86">
        <f ca="1"/>
        <v>0</v>
      </c>
      <c r="BY86">
        <f ca="1"/>
        <v>0</v>
      </c>
      <c r="BZ86">
        <f ca="1"/>
        <v>0</v>
      </c>
      <c r="CA86">
        <f ca="1"/>
        <v>0</v>
      </c>
      <c r="CB86">
        <f ca="1"/>
        <v>0</v>
      </c>
      <c r="CC86">
        <f ca="1"/>
        <v>0</v>
      </c>
      <c r="CD86">
        <f ca="1"/>
        <v>0</v>
      </c>
      <c r="CE86">
        <f ca="1"/>
        <v>0</v>
      </c>
      <c r="CF86">
        <f ca="1"/>
        <v>0</v>
      </c>
      <c r="CG86">
        <f ca="1"/>
        <v>0</v>
      </c>
      <c r="CH86">
        <f ca="1"/>
        <v>0</v>
      </c>
      <c r="CI86">
        <f ca="1"/>
        <v>0</v>
      </c>
      <c r="CJ86">
        <f ca="1"/>
        <v>0</v>
      </c>
      <c r="CK86">
        <f ca="1"/>
        <v>0</v>
      </c>
      <c r="CL86">
        <f ca="1"/>
        <v>0</v>
      </c>
      <c r="CM86">
        <f ca="1"/>
        <v>0</v>
      </c>
      <c r="CN86">
        <f ca="1"/>
        <v>0</v>
      </c>
      <c r="CO86">
        <f ca="1"/>
        <v>0</v>
      </c>
      <c r="CP86">
        <f ca="1"/>
        <v>0</v>
      </c>
      <c r="CQ86">
        <f ca="1"/>
        <v>0</v>
      </c>
      <c r="CR86">
        <f ca="1"/>
        <v>0</v>
      </c>
      <c r="CS86">
        <f ca="1"/>
        <v>0</v>
      </c>
      <c r="CT86">
        <f ca="1"/>
        <v>0</v>
      </c>
      <c r="CU86">
        <f ca="1"/>
        <v>0</v>
      </c>
      <c r="CV86">
        <f ca="1"/>
        <v>0</v>
      </c>
      <c r="CW86">
        <f ca="1"/>
        <v>0</v>
      </c>
      <c r="CX86">
        <f ca="1"/>
        <v>0</v>
      </c>
      <c r="CY86">
        <f ca="1"/>
        <v>0</v>
      </c>
      <c r="CZ86">
        <f ca="1"/>
        <v>0</v>
      </c>
      <c r="DA86">
        <f ca="1"/>
        <v>0</v>
      </c>
      <c r="DB86">
        <f ca="1"/>
        <v>0</v>
      </c>
      <c r="DC86">
        <f ca="1"/>
        <v>0</v>
      </c>
      <c r="DD86">
        <f ca="1"/>
        <v>0</v>
      </c>
      <c r="DE86">
        <f ca="1"/>
        <v>0</v>
      </c>
      <c r="DF86">
        <f ca="1"/>
        <v>0</v>
      </c>
      <c r="DG86">
        <f ca="1"/>
        <v>0</v>
      </c>
      <c r="DH86">
        <f ca="1"/>
        <v>0</v>
      </c>
      <c r="DI86">
        <f ca="1"/>
        <v>0</v>
      </c>
      <c r="DJ86">
        <f ca="1"/>
        <v>0</v>
      </c>
      <c r="DK86">
        <f ca="1"/>
        <v>0</v>
      </c>
      <c r="DL86">
        <f ca="1"/>
        <v>0</v>
      </c>
      <c r="DM86">
        <f ca="1"/>
        <v>0</v>
      </c>
      <c r="DN86">
        <f ca="1"/>
        <v>0</v>
      </c>
      <c r="DO86">
        <f ca="1"/>
        <v>0</v>
      </c>
      <c r="DP86">
        <f ca="1"/>
        <v>0</v>
      </c>
      <c r="DQ86">
        <f ca="1"/>
        <v>0</v>
      </c>
      <c r="DR86">
        <f ca="1"/>
        <v>0</v>
      </c>
      <c r="DS86">
        <f ca="1"/>
        <v>0</v>
      </c>
      <c r="DT86">
        <f ca="1"/>
        <v>0</v>
      </c>
      <c r="DU86">
        <f ca="1"/>
        <v>0</v>
      </c>
      <c r="DV86">
        <f ca="1"/>
        <v>0</v>
      </c>
      <c r="DW86">
        <f ca="1"/>
        <v>0</v>
      </c>
      <c r="DX86">
        <f ca="1"/>
        <v>0</v>
      </c>
      <c r="DY86">
        <f ca="1"/>
        <v>0</v>
      </c>
      <c r="DZ86">
        <f ca="1"/>
        <v>0</v>
      </c>
      <c r="EA86">
        <f ca="1"/>
        <v>0</v>
      </c>
      <c r="EB86">
        <f ca="1"/>
        <v>0</v>
      </c>
      <c r="EC86">
        <f ca="1"/>
        <v>0</v>
      </c>
      <c r="ED86">
        <f ca="1"/>
        <v>0</v>
      </c>
      <c r="EE86">
        <f ca="1"/>
        <v>0</v>
      </c>
      <c r="EF86">
        <f ca="1"/>
        <v>0</v>
      </c>
      <c r="EG86">
        <f ca="1"/>
        <v>0</v>
      </c>
      <c r="EH86">
        <f ca="1"/>
        <v>0</v>
      </c>
      <c r="EI86">
        <f ca="1"/>
        <v>0</v>
      </c>
      <c r="EJ86">
        <f ca="1"/>
        <v>0</v>
      </c>
      <c r="EK86">
        <f ca="1"/>
        <v>0</v>
      </c>
      <c r="EL86">
        <f ca="1"/>
        <v>0</v>
      </c>
      <c r="EM86">
        <f ca="1"/>
        <v>0</v>
      </c>
      <c r="EN86">
        <f ca="1"/>
        <v>0</v>
      </c>
      <c r="EO86">
        <f ca="1"/>
        <v>0</v>
      </c>
      <c r="EP86">
        <f ca="1"/>
        <v>0</v>
      </c>
      <c r="EQ86">
        <f ca="1"/>
        <v>0</v>
      </c>
      <c r="ER86">
        <f ca="1"/>
        <v>0</v>
      </c>
      <c r="ES86">
        <f ca="1"/>
        <v>0</v>
      </c>
      <c r="ET86">
        <f ca="1"/>
        <v>0</v>
      </c>
      <c r="EU86">
        <f ca="1"/>
        <v>0</v>
      </c>
      <c r="EV86">
        <f ca="1"/>
        <v>0</v>
      </c>
      <c r="EW86">
        <f ca="1"/>
        <v>0</v>
      </c>
      <c r="EX86">
        <f ca="1"/>
        <v>0</v>
      </c>
      <c r="EY86">
        <f ca="1"/>
        <v>0</v>
      </c>
      <c r="EZ86">
        <f ca="1"/>
        <v>0</v>
      </c>
      <c r="FA86">
        <f ca="1"/>
        <v>0</v>
      </c>
      <c r="FB86">
        <f ca="1"/>
        <v>0</v>
      </c>
      <c r="FC86">
        <f ca="1"/>
        <v>0</v>
      </c>
      <c r="FD86">
        <f ca="1"/>
        <v>0</v>
      </c>
      <c r="FE86">
        <f ca="1"/>
        <v>0</v>
      </c>
      <c r="FF86">
        <f ca="1"/>
        <v>0</v>
      </c>
      <c r="FG86">
        <f ca="1"/>
        <v>0</v>
      </c>
      <c r="FH86">
        <f ca="1"/>
        <v>0</v>
      </c>
      <c r="FI86">
        <f ca="1"/>
        <v>0</v>
      </c>
      <c r="FJ86">
        <f ca="1"/>
        <v>0</v>
      </c>
      <c r="FK86">
        <f ca="1"/>
        <v>0</v>
      </c>
      <c r="FL86">
        <f ca="1"/>
        <v>0</v>
      </c>
      <c r="FM86">
        <f ca="1"/>
        <v>0</v>
      </c>
      <c r="FN86">
        <f ca="1"/>
        <v>0</v>
      </c>
      <c r="FO86">
        <f ca="1"/>
        <v>0</v>
      </c>
      <c r="FP86">
        <f ca="1"/>
        <v>0</v>
      </c>
      <c r="FQ86">
        <f ca="1"/>
        <v>0</v>
      </c>
      <c r="FR86">
        <f ca="1"/>
        <v>0</v>
      </c>
      <c r="FS86">
        <f ca="1"/>
        <v>0</v>
      </c>
      <c r="FT86">
        <f ca="1"/>
        <v>0</v>
      </c>
      <c r="FU86">
        <f ca="1"/>
        <v>0</v>
      </c>
      <c r="FV86">
        <f ca="1"/>
        <v>0</v>
      </c>
      <c r="FW86">
        <f ca="1"/>
        <v>0</v>
      </c>
      <c r="FX86">
        <f ca="1"/>
        <v>0</v>
      </c>
      <c r="FY86">
        <f ca="1"/>
        <v>0</v>
      </c>
      <c r="FZ86">
        <f ca="1"/>
        <v>0</v>
      </c>
    </row>
    <row r="87" spans="3:182">
      <c r="C87" cm="1">
        <f t="array" aca="1" ref="C87:FZ87" ca="1">IFERROR(TRANSPOSE(INDEX(_xlfn._xlws.FILTER(INDIRECT("SubcategoriesTable[Subcategory name]"),INDIRECT("SubcategoriesTable[Category name]")=$B87),,)),"No subcategories")</f>
        <v>0</v>
      </c>
      <c r="D87">
        <f ca="1"/>
        <v>0</v>
      </c>
      <c r="E87">
        <f ca="1"/>
        <v>0</v>
      </c>
      <c r="F87">
        <f ca="1"/>
        <v>0</v>
      </c>
      <c r="G87">
        <f ca="1"/>
        <v>0</v>
      </c>
      <c r="H87">
        <f ca="1"/>
        <v>0</v>
      </c>
      <c r="I87">
        <f ca="1"/>
        <v>0</v>
      </c>
      <c r="J87">
        <f ca="1"/>
        <v>0</v>
      </c>
      <c r="K87">
        <f ca="1"/>
        <v>0</v>
      </c>
      <c r="L87">
        <f ca="1"/>
        <v>0</v>
      </c>
      <c r="M87">
        <f ca="1"/>
        <v>0</v>
      </c>
      <c r="N87">
        <f ca="1"/>
        <v>0</v>
      </c>
      <c r="O87">
        <f ca="1"/>
        <v>0</v>
      </c>
      <c r="P87">
        <f ca="1"/>
        <v>0</v>
      </c>
      <c r="Q87">
        <f ca="1"/>
        <v>0</v>
      </c>
      <c r="R87">
        <f ca="1"/>
        <v>0</v>
      </c>
      <c r="S87">
        <f ca="1"/>
        <v>0</v>
      </c>
      <c r="T87">
        <f ca="1"/>
        <v>0</v>
      </c>
      <c r="U87">
        <f ca="1"/>
        <v>0</v>
      </c>
      <c r="V87">
        <f ca="1"/>
        <v>0</v>
      </c>
      <c r="W87">
        <f ca="1"/>
        <v>0</v>
      </c>
      <c r="X87">
        <f ca="1"/>
        <v>0</v>
      </c>
      <c r="Y87">
        <f ca="1"/>
        <v>0</v>
      </c>
      <c r="Z87">
        <f ca="1"/>
        <v>0</v>
      </c>
      <c r="AA87">
        <f ca="1"/>
        <v>0</v>
      </c>
      <c r="AB87">
        <f ca="1"/>
        <v>0</v>
      </c>
      <c r="AC87">
        <f ca="1"/>
        <v>0</v>
      </c>
      <c r="AD87">
        <f ca="1"/>
        <v>0</v>
      </c>
      <c r="AE87">
        <f ca="1"/>
        <v>0</v>
      </c>
      <c r="AF87">
        <f ca="1"/>
        <v>0</v>
      </c>
      <c r="AG87">
        <f ca="1"/>
        <v>0</v>
      </c>
      <c r="AH87">
        <f ca="1"/>
        <v>0</v>
      </c>
      <c r="AI87">
        <f ca="1"/>
        <v>0</v>
      </c>
      <c r="AJ87">
        <f ca="1"/>
        <v>0</v>
      </c>
      <c r="AK87">
        <f ca="1"/>
        <v>0</v>
      </c>
      <c r="AL87">
        <f ca="1"/>
        <v>0</v>
      </c>
      <c r="AM87">
        <f ca="1"/>
        <v>0</v>
      </c>
      <c r="AN87">
        <f ca="1"/>
        <v>0</v>
      </c>
      <c r="AO87">
        <f ca="1"/>
        <v>0</v>
      </c>
      <c r="AP87">
        <f ca="1"/>
        <v>0</v>
      </c>
      <c r="AQ87">
        <f ca="1"/>
        <v>0</v>
      </c>
      <c r="AR87">
        <f ca="1"/>
        <v>0</v>
      </c>
      <c r="AS87">
        <f ca="1"/>
        <v>0</v>
      </c>
      <c r="AT87">
        <f ca="1"/>
        <v>0</v>
      </c>
      <c r="AU87">
        <f ca="1"/>
        <v>0</v>
      </c>
      <c r="AV87">
        <f ca="1"/>
        <v>0</v>
      </c>
      <c r="AW87">
        <f ca="1"/>
        <v>0</v>
      </c>
      <c r="AX87">
        <f ca="1"/>
        <v>0</v>
      </c>
      <c r="AY87">
        <f ca="1"/>
        <v>0</v>
      </c>
      <c r="AZ87">
        <f ca="1"/>
        <v>0</v>
      </c>
      <c r="BA87">
        <f ca="1"/>
        <v>0</v>
      </c>
      <c r="BB87">
        <f ca="1"/>
        <v>0</v>
      </c>
      <c r="BC87">
        <f ca="1"/>
        <v>0</v>
      </c>
      <c r="BD87">
        <f ca="1"/>
        <v>0</v>
      </c>
      <c r="BE87">
        <f ca="1"/>
        <v>0</v>
      </c>
      <c r="BF87">
        <f ca="1"/>
        <v>0</v>
      </c>
      <c r="BG87">
        <f ca="1"/>
        <v>0</v>
      </c>
      <c r="BH87">
        <f ca="1"/>
        <v>0</v>
      </c>
      <c r="BI87">
        <f ca="1"/>
        <v>0</v>
      </c>
      <c r="BJ87">
        <f ca="1"/>
        <v>0</v>
      </c>
      <c r="BK87">
        <f ca="1"/>
        <v>0</v>
      </c>
      <c r="BL87">
        <f ca="1"/>
        <v>0</v>
      </c>
      <c r="BM87">
        <f ca="1"/>
        <v>0</v>
      </c>
      <c r="BN87">
        <f ca="1"/>
        <v>0</v>
      </c>
      <c r="BO87">
        <f ca="1"/>
        <v>0</v>
      </c>
      <c r="BP87">
        <f ca="1"/>
        <v>0</v>
      </c>
      <c r="BQ87">
        <f ca="1"/>
        <v>0</v>
      </c>
      <c r="BR87">
        <f ca="1"/>
        <v>0</v>
      </c>
      <c r="BS87">
        <f ca="1"/>
        <v>0</v>
      </c>
      <c r="BT87">
        <f ca="1"/>
        <v>0</v>
      </c>
      <c r="BU87">
        <f ca="1"/>
        <v>0</v>
      </c>
      <c r="BV87">
        <f ca="1"/>
        <v>0</v>
      </c>
      <c r="BW87">
        <f ca="1"/>
        <v>0</v>
      </c>
      <c r="BX87">
        <f ca="1"/>
        <v>0</v>
      </c>
      <c r="BY87">
        <f ca="1"/>
        <v>0</v>
      </c>
      <c r="BZ87">
        <f ca="1"/>
        <v>0</v>
      </c>
      <c r="CA87">
        <f ca="1"/>
        <v>0</v>
      </c>
      <c r="CB87">
        <f ca="1"/>
        <v>0</v>
      </c>
      <c r="CC87">
        <f ca="1"/>
        <v>0</v>
      </c>
      <c r="CD87">
        <f ca="1"/>
        <v>0</v>
      </c>
      <c r="CE87">
        <f ca="1"/>
        <v>0</v>
      </c>
      <c r="CF87">
        <f ca="1"/>
        <v>0</v>
      </c>
      <c r="CG87">
        <f ca="1"/>
        <v>0</v>
      </c>
      <c r="CH87">
        <f ca="1"/>
        <v>0</v>
      </c>
      <c r="CI87">
        <f ca="1"/>
        <v>0</v>
      </c>
      <c r="CJ87">
        <f ca="1"/>
        <v>0</v>
      </c>
      <c r="CK87">
        <f ca="1"/>
        <v>0</v>
      </c>
      <c r="CL87">
        <f ca="1"/>
        <v>0</v>
      </c>
      <c r="CM87">
        <f ca="1"/>
        <v>0</v>
      </c>
      <c r="CN87">
        <f ca="1"/>
        <v>0</v>
      </c>
      <c r="CO87">
        <f ca="1"/>
        <v>0</v>
      </c>
      <c r="CP87">
        <f ca="1"/>
        <v>0</v>
      </c>
      <c r="CQ87">
        <f ca="1"/>
        <v>0</v>
      </c>
      <c r="CR87">
        <f ca="1"/>
        <v>0</v>
      </c>
      <c r="CS87">
        <f ca="1"/>
        <v>0</v>
      </c>
      <c r="CT87">
        <f ca="1"/>
        <v>0</v>
      </c>
      <c r="CU87">
        <f ca="1"/>
        <v>0</v>
      </c>
      <c r="CV87">
        <f ca="1"/>
        <v>0</v>
      </c>
      <c r="CW87">
        <f ca="1"/>
        <v>0</v>
      </c>
      <c r="CX87">
        <f ca="1"/>
        <v>0</v>
      </c>
      <c r="CY87">
        <f ca="1"/>
        <v>0</v>
      </c>
      <c r="CZ87">
        <f ca="1"/>
        <v>0</v>
      </c>
      <c r="DA87">
        <f ca="1"/>
        <v>0</v>
      </c>
      <c r="DB87">
        <f ca="1"/>
        <v>0</v>
      </c>
      <c r="DC87">
        <f ca="1"/>
        <v>0</v>
      </c>
      <c r="DD87">
        <f ca="1"/>
        <v>0</v>
      </c>
      <c r="DE87">
        <f ca="1"/>
        <v>0</v>
      </c>
      <c r="DF87">
        <f ca="1"/>
        <v>0</v>
      </c>
      <c r="DG87">
        <f ca="1"/>
        <v>0</v>
      </c>
      <c r="DH87">
        <f ca="1"/>
        <v>0</v>
      </c>
      <c r="DI87">
        <f ca="1"/>
        <v>0</v>
      </c>
      <c r="DJ87">
        <f ca="1"/>
        <v>0</v>
      </c>
      <c r="DK87">
        <f ca="1"/>
        <v>0</v>
      </c>
      <c r="DL87">
        <f ca="1"/>
        <v>0</v>
      </c>
      <c r="DM87">
        <f ca="1"/>
        <v>0</v>
      </c>
      <c r="DN87">
        <f ca="1"/>
        <v>0</v>
      </c>
      <c r="DO87">
        <f ca="1"/>
        <v>0</v>
      </c>
      <c r="DP87">
        <f ca="1"/>
        <v>0</v>
      </c>
      <c r="DQ87">
        <f ca="1"/>
        <v>0</v>
      </c>
      <c r="DR87">
        <f ca="1"/>
        <v>0</v>
      </c>
      <c r="DS87">
        <f ca="1"/>
        <v>0</v>
      </c>
      <c r="DT87">
        <f ca="1"/>
        <v>0</v>
      </c>
      <c r="DU87">
        <f ca="1"/>
        <v>0</v>
      </c>
      <c r="DV87">
        <f ca="1"/>
        <v>0</v>
      </c>
      <c r="DW87">
        <f ca="1"/>
        <v>0</v>
      </c>
      <c r="DX87">
        <f ca="1"/>
        <v>0</v>
      </c>
      <c r="DY87">
        <f ca="1"/>
        <v>0</v>
      </c>
      <c r="DZ87">
        <f ca="1"/>
        <v>0</v>
      </c>
      <c r="EA87">
        <f ca="1"/>
        <v>0</v>
      </c>
      <c r="EB87">
        <f ca="1"/>
        <v>0</v>
      </c>
      <c r="EC87">
        <f ca="1"/>
        <v>0</v>
      </c>
      <c r="ED87">
        <f ca="1"/>
        <v>0</v>
      </c>
      <c r="EE87">
        <f ca="1"/>
        <v>0</v>
      </c>
      <c r="EF87">
        <f ca="1"/>
        <v>0</v>
      </c>
      <c r="EG87">
        <f ca="1"/>
        <v>0</v>
      </c>
      <c r="EH87">
        <f ca="1"/>
        <v>0</v>
      </c>
      <c r="EI87">
        <f ca="1"/>
        <v>0</v>
      </c>
      <c r="EJ87">
        <f ca="1"/>
        <v>0</v>
      </c>
      <c r="EK87">
        <f ca="1"/>
        <v>0</v>
      </c>
      <c r="EL87">
        <f ca="1"/>
        <v>0</v>
      </c>
      <c r="EM87">
        <f ca="1"/>
        <v>0</v>
      </c>
      <c r="EN87">
        <f ca="1"/>
        <v>0</v>
      </c>
      <c r="EO87">
        <f ca="1"/>
        <v>0</v>
      </c>
      <c r="EP87">
        <f ca="1"/>
        <v>0</v>
      </c>
      <c r="EQ87">
        <f ca="1"/>
        <v>0</v>
      </c>
      <c r="ER87">
        <f ca="1"/>
        <v>0</v>
      </c>
      <c r="ES87">
        <f ca="1"/>
        <v>0</v>
      </c>
      <c r="ET87">
        <f ca="1"/>
        <v>0</v>
      </c>
      <c r="EU87">
        <f ca="1"/>
        <v>0</v>
      </c>
      <c r="EV87">
        <f ca="1"/>
        <v>0</v>
      </c>
      <c r="EW87">
        <f ca="1"/>
        <v>0</v>
      </c>
      <c r="EX87">
        <f ca="1"/>
        <v>0</v>
      </c>
      <c r="EY87">
        <f ca="1"/>
        <v>0</v>
      </c>
      <c r="EZ87">
        <f ca="1"/>
        <v>0</v>
      </c>
      <c r="FA87">
        <f ca="1"/>
        <v>0</v>
      </c>
      <c r="FB87">
        <f ca="1"/>
        <v>0</v>
      </c>
      <c r="FC87">
        <f ca="1"/>
        <v>0</v>
      </c>
      <c r="FD87">
        <f ca="1"/>
        <v>0</v>
      </c>
      <c r="FE87">
        <f ca="1"/>
        <v>0</v>
      </c>
      <c r="FF87">
        <f ca="1"/>
        <v>0</v>
      </c>
      <c r="FG87">
        <f ca="1"/>
        <v>0</v>
      </c>
      <c r="FH87">
        <f ca="1"/>
        <v>0</v>
      </c>
      <c r="FI87">
        <f ca="1"/>
        <v>0</v>
      </c>
      <c r="FJ87">
        <f ca="1"/>
        <v>0</v>
      </c>
      <c r="FK87">
        <f ca="1"/>
        <v>0</v>
      </c>
      <c r="FL87">
        <f ca="1"/>
        <v>0</v>
      </c>
      <c r="FM87">
        <f ca="1"/>
        <v>0</v>
      </c>
      <c r="FN87">
        <f ca="1"/>
        <v>0</v>
      </c>
      <c r="FO87">
        <f ca="1"/>
        <v>0</v>
      </c>
      <c r="FP87">
        <f ca="1"/>
        <v>0</v>
      </c>
      <c r="FQ87">
        <f ca="1"/>
        <v>0</v>
      </c>
      <c r="FR87">
        <f ca="1"/>
        <v>0</v>
      </c>
      <c r="FS87">
        <f ca="1"/>
        <v>0</v>
      </c>
      <c r="FT87">
        <f ca="1"/>
        <v>0</v>
      </c>
      <c r="FU87">
        <f ca="1"/>
        <v>0</v>
      </c>
      <c r="FV87">
        <f ca="1"/>
        <v>0</v>
      </c>
      <c r="FW87">
        <f ca="1"/>
        <v>0</v>
      </c>
      <c r="FX87">
        <f ca="1"/>
        <v>0</v>
      </c>
      <c r="FY87">
        <f ca="1"/>
        <v>0</v>
      </c>
      <c r="FZ87">
        <f ca="1"/>
        <v>0</v>
      </c>
    </row>
    <row r="88" spans="3:182">
      <c r="C88" cm="1">
        <f t="array" aca="1" ref="C88:FZ88" ca="1">IFERROR(TRANSPOSE(INDEX(_xlfn._xlws.FILTER(INDIRECT("SubcategoriesTable[Subcategory name]"),INDIRECT("SubcategoriesTable[Category name]")=$B88),,)),"No subcategories")</f>
        <v>0</v>
      </c>
      <c r="D88">
        <f ca="1"/>
        <v>0</v>
      </c>
      <c r="E88">
        <f ca="1"/>
        <v>0</v>
      </c>
      <c r="F88">
        <f ca="1"/>
        <v>0</v>
      </c>
      <c r="G88">
        <f ca="1"/>
        <v>0</v>
      </c>
      <c r="H88">
        <f ca="1"/>
        <v>0</v>
      </c>
      <c r="I88">
        <f ca="1"/>
        <v>0</v>
      </c>
      <c r="J88">
        <f ca="1"/>
        <v>0</v>
      </c>
      <c r="K88">
        <f ca="1"/>
        <v>0</v>
      </c>
      <c r="L88">
        <f ca="1"/>
        <v>0</v>
      </c>
      <c r="M88">
        <f ca="1"/>
        <v>0</v>
      </c>
      <c r="N88">
        <f ca="1"/>
        <v>0</v>
      </c>
      <c r="O88">
        <f ca="1"/>
        <v>0</v>
      </c>
      <c r="P88">
        <f ca="1"/>
        <v>0</v>
      </c>
      <c r="Q88">
        <f ca="1"/>
        <v>0</v>
      </c>
      <c r="R88">
        <f ca="1"/>
        <v>0</v>
      </c>
      <c r="S88">
        <f ca="1"/>
        <v>0</v>
      </c>
      <c r="T88">
        <f ca="1"/>
        <v>0</v>
      </c>
      <c r="U88">
        <f ca="1"/>
        <v>0</v>
      </c>
      <c r="V88">
        <f ca="1"/>
        <v>0</v>
      </c>
      <c r="W88">
        <f ca="1"/>
        <v>0</v>
      </c>
      <c r="X88">
        <f ca="1"/>
        <v>0</v>
      </c>
      <c r="Y88">
        <f ca="1"/>
        <v>0</v>
      </c>
      <c r="Z88">
        <f ca="1"/>
        <v>0</v>
      </c>
      <c r="AA88">
        <f ca="1"/>
        <v>0</v>
      </c>
      <c r="AB88">
        <f ca="1"/>
        <v>0</v>
      </c>
      <c r="AC88">
        <f ca="1"/>
        <v>0</v>
      </c>
      <c r="AD88">
        <f ca="1"/>
        <v>0</v>
      </c>
      <c r="AE88">
        <f ca="1"/>
        <v>0</v>
      </c>
      <c r="AF88">
        <f ca="1"/>
        <v>0</v>
      </c>
      <c r="AG88">
        <f ca="1"/>
        <v>0</v>
      </c>
      <c r="AH88">
        <f ca="1"/>
        <v>0</v>
      </c>
      <c r="AI88">
        <f ca="1"/>
        <v>0</v>
      </c>
      <c r="AJ88">
        <f ca="1"/>
        <v>0</v>
      </c>
      <c r="AK88">
        <f ca="1"/>
        <v>0</v>
      </c>
      <c r="AL88">
        <f ca="1"/>
        <v>0</v>
      </c>
      <c r="AM88">
        <f ca="1"/>
        <v>0</v>
      </c>
      <c r="AN88">
        <f ca="1"/>
        <v>0</v>
      </c>
      <c r="AO88">
        <f ca="1"/>
        <v>0</v>
      </c>
      <c r="AP88">
        <f ca="1"/>
        <v>0</v>
      </c>
      <c r="AQ88">
        <f ca="1"/>
        <v>0</v>
      </c>
      <c r="AR88">
        <f ca="1"/>
        <v>0</v>
      </c>
      <c r="AS88">
        <f ca="1"/>
        <v>0</v>
      </c>
      <c r="AT88">
        <f ca="1"/>
        <v>0</v>
      </c>
      <c r="AU88">
        <f ca="1"/>
        <v>0</v>
      </c>
      <c r="AV88">
        <f ca="1"/>
        <v>0</v>
      </c>
      <c r="AW88">
        <f ca="1"/>
        <v>0</v>
      </c>
      <c r="AX88">
        <f ca="1"/>
        <v>0</v>
      </c>
      <c r="AY88">
        <f ca="1"/>
        <v>0</v>
      </c>
      <c r="AZ88">
        <f ca="1"/>
        <v>0</v>
      </c>
      <c r="BA88">
        <f ca="1"/>
        <v>0</v>
      </c>
      <c r="BB88">
        <f ca="1"/>
        <v>0</v>
      </c>
      <c r="BC88">
        <f ca="1"/>
        <v>0</v>
      </c>
      <c r="BD88">
        <f ca="1"/>
        <v>0</v>
      </c>
      <c r="BE88">
        <f ca="1"/>
        <v>0</v>
      </c>
      <c r="BF88">
        <f ca="1"/>
        <v>0</v>
      </c>
      <c r="BG88">
        <f ca="1"/>
        <v>0</v>
      </c>
      <c r="BH88">
        <f ca="1"/>
        <v>0</v>
      </c>
      <c r="BI88">
        <f ca="1"/>
        <v>0</v>
      </c>
      <c r="BJ88">
        <f ca="1"/>
        <v>0</v>
      </c>
      <c r="BK88">
        <f ca="1"/>
        <v>0</v>
      </c>
      <c r="BL88">
        <f ca="1"/>
        <v>0</v>
      </c>
      <c r="BM88">
        <f ca="1"/>
        <v>0</v>
      </c>
      <c r="BN88">
        <f ca="1"/>
        <v>0</v>
      </c>
      <c r="BO88">
        <f ca="1"/>
        <v>0</v>
      </c>
      <c r="BP88">
        <f ca="1"/>
        <v>0</v>
      </c>
      <c r="BQ88">
        <f ca="1"/>
        <v>0</v>
      </c>
      <c r="BR88">
        <f ca="1"/>
        <v>0</v>
      </c>
      <c r="BS88">
        <f ca="1"/>
        <v>0</v>
      </c>
      <c r="BT88">
        <f ca="1"/>
        <v>0</v>
      </c>
      <c r="BU88">
        <f ca="1"/>
        <v>0</v>
      </c>
      <c r="BV88">
        <f ca="1"/>
        <v>0</v>
      </c>
      <c r="BW88">
        <f ca="1"/>
        <v>0</v>
      </c>
      <c r="BX88">
        <f ca="1"/>
        <v>0</v>
      </c>
      <c r="BY88">
        <f ca="1"/>
        <v>0</v>
      </c>
      <c r="BZ88">
        <f ca="1"/>
        <v>0</v>
      </c>
      <c r="CA88">
        <f ca="1"/>
        <v>0</v>
      </c>
      <c r="CB88">
        <f ca="1"/>
        <v>0</v>
      </c>
      <c r="CC88">
        <f ca="1"/>
        <v>0</v>
      </c>
      <c r="CD88">
        <f ca="1"/>
        <v>0</v>
      </c>
      <c r="CE88">
        <f ca="1"/>
        <v>0</v>
      </c>
      <c r="CF88">
        <f ca="1"/>
        <v>0</v>
      </c>
      <c r="CG88">
        <f ca="1"/>
        <v>0</v>
      </c>
      <c r="CH88">
        <f ca="1"/>
        <v>0</v>
      </c>
      <c r="CI88">
        <f ca="1"/>
        <v>0</v>
      </c>
      <c r="CJ88">
        <f ca="1"/>
        <v>0</v>
      </c>
      <c r="CK88">
        <f ca="1"/>
        <v>0</v>
      </c>
      <c r="CL88">
        <f ca="1"/>
        <v>0</v>
      </c>
      <c r="CM88">
        <f ca="1"/>
        <v>0</v>
      </c>
      <c r="CN88">
        <f ca="1"/>
        <v>0</v>
      </c>
      <c r="CO88">
        <f ca="1"/>
        <v>0</v>
      </c>
      <c r="CP88">
        <f ca="1"/>
        <v>0</v>
      </c>
      <c r="CQ88">
        <f ca="1"/>
        <v>0</v>
      </c>
      <c r="CR88">
        <f ca="1"/>
        <v>0</v>
      </c>
      <c r="CS88">
        <f ca="1"/>
        <v>0</v>
      </c>
      <c r="CT88">
        <f ca="1"/>
        <v>0</v>
      </c>
      <c r="CU88">
        <f ca="1"/>
        <v>0</v>
      </c>
      <c r="CV88">
        <f ca="1"/>
        <v>0</v>
      </c>
      <c r="CW88">
        <f ca="1"/>
        <v>0</v>
      </c>
      <c r="CX88">
        <f ca="1"/>
        <v>0</v>
      </c>
      <c r="CY88">
        <f ca="1"/>
        <v>0</v>
      </c>
      <c r="CZ88">
        <f ca="1"/>
        <v>0</v>
      </c>
      <c r="DA88">
        <f ca="1"/>
        <v>0</v>
      </c>
      <c r="DB88">
        <f ca="1"/>
        <v>0</v>
      </c>
      <c r="DC88">
        <f ca="1"/>
        <v>0</v>
      </c>
      <c r="DD88">
        <f ca="1"/>
        <v>0</v>
      </c>
      <c r="DE88">
        <f ca="1"/>
        <v>0</v>
      </c>
      <c r="DF88">
        <f ca="1"/>
        <v>0</v>
      </c>
      <c r="DG88">
        <f ca="1"/>
        <v>0</v>
      </c>
      <c r="DH88">
        <f ca="1"/>
        <v>0</v>
      </c>
      <c r="DI88">
        <f ca="1"/>
        <v>0</v>
      </c>
      <c r="DJ88">
        <f ca="1"/>
        <v>0</v>
      </c>
      <c r="DK88">
        <f ca="1"/>
        <v>0</v>
      </c>
      <c r="DL88">
        <f ca="1"/>
        <v>0</v>
      </c>
      <c r="DM88">
        <f ca="1"/>
        <v>0</v>
      </c>
      <c r="DN88">
        <f ca="1"/>
        <v>0</v>
      </c>
      <c r="DO88">
        <f ca="1"/>
        <v>0</v>
      </c>
      <c r="DP88">
        <f ca="1"/>
        <v>0</v>
      </c>
      <c r="DQ88">
        <f ca="1"/>
        <v>0</v>
      </c>
      <c r="DR88">
        <f ca="1"/>
        <v>0</v>
      </c>
      <c r="DS88">
        <f ca="1"/>
        <v>0</v>
      </c>
      <c r="DT88">
        <f ca="1"/>
        <v>0</v>
      </c>
      <c r="DU88">
        <f ca="1"/>
        <v>0</v>
      </c>
      <c r="DV88">
        <f ca="1"/>
        <v>0</v>
      </c>
      <c r="DW88">
        <f ca="1"/>
        <v>0</v>
      </c>
      <c r="DX88">
        <f ca="1"/>
        <v>0</v>
      </c>
      <c r="DY88">
        <f ca="1"/>
        <v>0</v>
      </c>
      <c r="DZ88">
        <f ca="1"/>
        <v>0</v>
      </c>
      <c r="EA88">
        <f ca="1"/>
        <v>0</v>
      </c>
      <c r="EB88">
        <f ca="1"/>
        <v>0</v>
      </c>
      <c r="EC88">
        <f ca="1"/>
        <v>0</v>
      </c>
      <c r="ED88">
        <f ca="1"/>
        <v>0</v>
      </c>
      <c r="EE88">
        <f ca="1"/>
        <v>0</v>
      </c>
      <c r="EF88">
        <f ca="1"/>
        <v>0</v>
      </c>
      <c r="EG88">
        <f ca="1"/>
        <v>0</v>
      </c>
      <c r="EH88">
        <f ca="1"/>
        <v>0</v>
      </c>
      <c r="EI88">
        <f ca="1"/>
        <v>0</v>
      </c>
      <c r="EJ88">
        <f ca="1"/>
        <v>0</v>
      </c>
      <c r="EK88">
        <f ca="1"/>
        <v>0</v>
      </c>
      <c r="EL88">
        <f ca="1"/>
        <v>0</v>
      </c>
      <c r="EM88">
        <f ca="1"/>
        <v>0</v>
      </c>
      <c r="EN88">
        <f ca="1"/>
        <v>0</v>
      </c>
      <c r="EO88">
        <f ca="1"/>
        <v>0</v>
      </c>
      <c r="EP88">
        <f ca="1"/>
        <v>0</v>
      </c>
      <c r="EQ88">
        <f ca="1"/>
        <v>0</v>
      </c>
      <c r="ER88">
        <f ca="1"/>
        <v>0</v>
      </c>
      <c r="ES88">
        <f ca="1"/>
        <v>0</v>
      </c>
      <c r="ET88">
        <f ca="1"/>
        <v>0</v>
      </c>
      <c r="EU88">
        <f ca="1"/>
        <v>0</v>
      </c>
      <c r="EV88">
        <f ca="1"/>
        <v>0</v>
      </c>
      <c r="EW88">
        <f ca="1"/>
        <v>0</v>
      </c>
      <c r="EX88">
        <f ca="1"/>
        <v>0</v>
      </c>
      <c r="EY88">
        <f ca="1"/>
        <v>0</v>
      </c>
      <c r="EZ88">
        <f ca="1"/>
        <v>0</v>
      </c>
      <c r="FA88">
        <f ca="1"/>
        <v>0</v>
      </c>
      <c r="FB88">
        <f ca="1"/>
        <v>0</v>
      </c>
      <c r="FC88">
        <f ca="1"/>
        <v>0</v>
      </c>
      <c r="FD88">
        <f ca="1"/>
        <v>0</v>
      </c>
      <c r="FE88">
        <f ca="1"/>
        <v>0</v>
      </c>
      <c r="FF88">
        <f ca="1"/>
        <v>0</v>
      </c>
      <c r="FG88">
        <f ca="1"/>
        <v>0</v>
      </c>
      <c r="FH88">
        <f ca="1"/>
        <v>0</v>
      </c>
      <c r="FI88">
        <f ca="1"/>
        <v>0</v>
      </c>
      <c r="FJ88">
        <f ca="1"/>
        <v>0</v>
      </c>
      <c r="FK88">
        <f ca="1"/>
        <v>0</v>
      </c>
      <c r="FL88">
        <f ca="1"/>
        <v>0</v>
      </c>
      <c r="FM88">
        <f ca="1"/>
        <v>0</v>
      </c>
      <c r="FN88">
        <f ca="1"/>
        <v>0</v>
      </c>
      <c r="FO88">
        <f ca="1"/>
        <v>0</v>
      </c>
      <c r="FP88">
        <f ca="1"/>
        <v>0</v>
      </c>
      <c r="FQ88">
        <f ca="1"/>
        <v>0</v>
      </c>
      <c r="FR88">
        <f ca="1"/>
        <v>0</v>
      </c>
      <c r="FS88">
        <f ca="1"/>
        <v>0</v>
      </c>
      <c r="FT88">
        <f ca="1"/>
        <v>0</v>
      </c>
      <c r="FU88">
        <f ca="1"/>
        <v>0</v>
      </c>
      <c r="FV88">
        <f ca="1"/>
        <v>0</v>
      </c>
      <c r="FW88">
        <f ca="1"/>
        <v>0</v>
      </c>
      <c r="FX88">
        <f ca="1"/>
        <v>0</v>
      </c>
      <c r="FY88">
        <f ca="1"/>
        <v>0</v>
      </c>
      <c r="FZ88">
        <f ca="1"/>
        <v>0</v>
      </c>
    </row>
    <row r="89" spans="3:182">
      <c r="C89" cm="1">
        <f t="array" aca="1" ref="C89:FZ89" ca="1">IFERROR(TRANSPOSE(INDEX(_xlfn._xlws.FILTER(INDIRECT("SubcategoriesTable[Subcategory name]"),INDIRECT("SubcategoriesTable[Category name]")=$B89),,)),"No subcategories")</f>
        <v>0</v>
      </c>
      <c r="D89">
        <f ca="1"/>
        <v>0</v>
      </c>
      <c r="E89">
        <f ca="1"/>
        <v>0</v>
      </c>
      <c r="F89">
        <f ca="1"/>
        <v>0</v>
      </c>
      <c r="G89">
        <f ca="1"/>
        <v>0</v>
      </c>
      <c r="H89">
        <f ca="1"/>
        <v>0</v>
      </c>
      <c r="I89">
        <f ca="1"/>
        <v>0</v>
      </c>
      <c r="J89">
        <f ca="1"/>
        <v>0</v>
      </c>
      <c r="K89">
        <f ca="1"/>
        <v>0</v>
      </c>
      <c r="L89">
        <f ca="1"/>
        <v>0</v>
      </c>
      <c r="M89">
        <f ca="1"/>
        <v>0</v>
      </c>
      <c r="N89">
        <f ca="1"/>
        <v>0</v>
      </c>
      <c r="O89">
        <f ca="1"/>
        <v>0</v>
      </c>
      <c r="P89">
        <f ca="1"/>
        <v>0</v>
      </c>
      <c r="Q89">
        <f ca="1"/>
        <v>0</v>
      </c>
      <c r="R89">
        <f ca="1"/>
        <v>0</v>
      </c>
      <c r="S89">
        <f ca="1"/>
        <v>0</v>
      </c>
      <c r="T89">
        <f ca="1"/>
        <v>0</v>
      </c>
      <c r="U89">
        <f ca="1"/>
        <v>0</v>
      </c>
      <c r="V89">
        <f ca="1"/>
        <v>0</v>
      </c>
      <c r="W89">
        <f ca="1"/>
        <v>0</v>
      </c>
      <c r="X89">
        <f ca="1"/>
        <v>0</v>
      </c>
      <c r="Y89">
        <f ca="1"/>
        <v>0</v>
      </c>
      <c r="Z89">
        <f ca="1"/>
        <v>0</v>
      </c>
      <c r="AA89">
        <f ca="1"/>
        <v>0</v>
      </c>
      <c r="AB89">
        <f ca="1"/>
        <v>0</v>
      </c>
      <c r="AC89">
        <f ca="1"/>
        <v>0</v>
      </c>
      <c r="AD89">
        <f ca="1"/>
        <v>0</v>
      </c>
      <c r="AE89">
        <f ca="1"/>
        <v>0</v>
      </c>
      <c r="AF89">
        <f ca="1"/>
        <v>0</v>
      </c>
      <c r="AG89">
        <f ca="1"/>
        <v>0</v>
      </c>
      <c r="AH89">
        <f ca="1"/>
        <v>0</v>
      </c>
      <c r="AI89">
        <f ca="1"/>
        <v>0</v>
      </c>
      <c r="AJ89">
        <f ca="1"/>
        <v>0</v>
      </c>
      <c r="AK89">
        <f ca="1"/>
        <v>0</v>
      </c>
      <c r="AL89">
        <f ca="1"/>
        <v>0</v>
      </c>
      <c r="AM89">
        <f ca="1"/>
        <v>0</v>
      </c>
      <c r="AN89">
        <f ca="1"/>
        <v>0</v>
      </c>
      <c r="AO89">
        <f ca="1"/>
        <v>0</v>
      </c>
      <c r="AP89">
        <f ca="1"/>
        <v>0</v>
      </c>
      <c r="AQ89">
        <f ca="1"/>
        <v>0</v>
      </c>
      <c r="AR89">
        <f ca="1"/>
        <v>0</v>
      </c>
      <c r="AS89">
        <f ca="1"/>
        <v>0</v>
      </c>
      <c r="AT89">
        <f ca="1"/>
        <v>0</v>
      </c>
      <c r="AU89">
        <f ca="1"/>
        <v>0</v>
      </c>
      <c r="AV89">
        <f ca="1"/>
        <v>0</v>
      </c>
      <c r="AW89">
        <f ca="1"/>
        <v>0</v>
      </c>
      <c r="AX89">
        <f ca="1"/>
        <v>0</v>
      </c>
      <c r="AY89">
        <f ca="1"/>
        <v>0</v>
      </c>
      <c r="AZ89">
        <f ca="1"/>
        <v>0</v>
      </c>
      <c r="BA89">
        <f ca="1"/>
        <v>0</v>
      </c>
      <c r="BB89">
        <f ca="1"/>
        <v>0</v>
      </c>
      <c r="BC89">
        <f ca="1"/>
        <v>0</v>
      </c>
      <c r="BD89">
        <f ca="1"/>
        <v>0</v>
      </c>
      <c r="BE89">
        <f ca="1"/>
        <v>0</v>
      </c>
      <c r="BF89">
        <f ca="1"/>
        <v>0</v>
      </c>
      <c r="BG89">
        <f ca="1"/>
        <v>0</v>
      </c>
      <c r="BH89">
        <f ca="1"/>
        <v>0</v>
      </c>
      <c r="BI89">
        <f ca="1"/>
        <v>0</v>
      </c>
      <c r="BJ89">
        <f ca="1"/>
        <v>0</v>
      </c>
      <c r="BK89">
        <f ca="1"/>
        <v>0</v>
      </c>
      <c r="BL89">
        <f ca="1"/>
        <v>0</v>
      </c>
      <c r="BM89">
        <f ca="1"/>
        <v>0</v>
      </c>
      <c r="BN89">
        <f ca="1"/>
        <v>0</v>
      </c>
      <c r="BO89">
        <f ca="1"/>
        <v>0</v>
      </c>
      <c r="BP89">
        <f ca="1"/>
        <v>0</v>
      </c>
      <c r="BQ89">
        <f ca="1"/>
        <v>0</v>
      </c>
      <c r="BR89">
        <f ca="1"/>
        <v>0</v>
      </c>
      <c r="BS89">
        <f ca="1"/>
        <v>0</v>
      </c>
      <c r="BT89">
        <f ca="1"/>
        <v>0</v>
      </c>
      <c r="BU89">
        <f ca="1"/>
        <v>0</v>
      </c>
      <c r="BV89">
        <f ca="1"/>
        <v>0</v>
      </c>
      <c r="BW89">
        <f ca="1"/>
        <v>0</v>
      </c>
      <c r="BX89">
        <f ca="1"/>
        <v>0</v>
      </c>
      <c r="BY89">
        <f ca="1"/>
        <v>0</v>
      </c>
      <c r="BZ89">
        <f ca="1"/>
        <v>0</v>
      </c>
      <c r="CA89">
        <f ca="1"/>
        <v>0</v>
      </c>
      <c r="CB89">
        <f ca="1"/>
        <v>0</v>
      </c>
      <c r="CC89">
        <f ca="1"/>
        <v>0</v>
      </c>
      <c r="CD89">
        <f ca="1"/>
        <v>0</v>
      </c>
      <c r="CE89">
        <f ca="1"/>
        <v>0</v>
      </c>
      <c r="CF89">
        <f ca="1"/>
        <v>0</v>
      </c>
      <c r="CG89">
        <f ca="1"/>
        <v>0</v>
      </c>
      <c r="CH89">
        <f ca="1"/>
        <v>0</v>
      </c>
      <c r="CI89">
        <f ca="1"/>
        <v>0</v>
      </c>
      <c r="CJ89">
        <f ca="1"/>
        <v>0</v>
      </c>
      <c r="CK89">
        <f ca="1"/>
        <v>0</v>
      </c>
      <c r="CL89">
        <f ca="1"/>
        <v>0</v>
      </c>
      <c r="CM89">
        <f ca="1"/>
        <v>0</v>
      </c>
      <c r="CN89">
        <f ca="1"/>
        <v>0</v>
      </c>
      <c r="CO89">
        <f ca="1"/>
        <v>0</v>
      </c>
      <c r="CP89">
        <f ca="1"/>
        <v>0</v>
      </c>
      <c r="CQ89">
        <f ca="1"/>
        <v>0</v>
      </c>
      <c r="CR89">
        <f ca="1"/>
        <v>0</v>
      </c>
      <c r="CS89">
        <f ca="1"/>
        <v>0</v>
      </c>
      <c r="CT89">
        <f ca="1"/>
        <v>0</v>
      </c>
      <c r="CU89">
        <f ca="1"/>
        <v>0</v>
      </c>
      <c r="CV89">
        <f ca="1"/>
        <v>0</v>
      </c>
      <c r="CW89">
        <f ca="1"/>
        <v>0</v>
      </c>
      <c r="CX89">
        <f ca="1"/>
        <v>0</v>
      </c>
      <c r="CY89">
        <f ca="1"/>
        <v>0</v>
      </c>
      <c r="CZ89">
        <f ca="1"/>
        <v>0</v>
      </c>
      <c r="DA89">
        <f ca="1"/>
        <v>0</v>
      </c>
      <c r="DB89">
        <f ca="1"/>
        <v>0</v>
      </c>
      <c r="DC89">
        <f ca="1"/>
        <v>0</v>
      </c>
      <c r="DD89">
        <f ca="1"/>
        <v>0</v>
      </c>
      <c r="DE89">
        <f ca="1"/>
        <v>0</v>
      </c>
      <c r="DF89">
        <f ca="1"/>
        <v>0</v>
      </c>
      <c r="DG89">
        <f ca="1"/>
        <v>0</v>
      </c>
      <c r="DH89">
        <f ca="1"/>
        <v>0</v>
      </c>
      <c r="DI89">
        <f ca="1"/>
        <v>0</v>
      </c>
      <c r="DJ89">
        <f ca="1"/>
        <v>0</v>
      </c>
      <c r="DK89">
        <f ca="1"/>
        <v>0</v>
      </c>
      <c r="DL89">
        <f ca="1"/>
        <v>0</v>
      </c>
      <c r="DM89">
        <f ca="1"/>
        <v>0</v>
      </c>
      <c r="DN89">
        <f ca="1"/>
        <v>0</v>
      </c>
      <c r="DO89">
        <f ca="1"/>
        <v>0</v>
      </c>
      <c r="DP89">
        <f ca="1"/>
        <v>0</v>
      </c>
      <c r="DQ89">
        <f ca="1"/>
        <v>0</v>
      </c>
      <c r="DR89">
        <f ca="1"/>
        <v>0</v>
      </c>
      <c r="DS89">
        <f ca="1"/>
        <v>0</v>
      </c>
      <c r="DT89">
        <f ca="1"/>
        <v>0</v>
      </c>
      <c r="DU89">
        <f ca="1"/>
        <v>0</v>
      </c>
      <c r="DV89">
        <f ca="1"/>
        <v>0</v>
      </c>
      <c r="DW89">
        <f ca="1"/>
        <v>0</v>
      </c>
      <c r="DX89">
        <f ca="1"/>
        <v>0</v>
      </c>
      <c r="DY89">
        <f ca="1"/>
        <v>0</v>
      </c>
      <c r="DZ89">
        <f ca="1"/>
        <v>0</v>
      </c>
      <c r="EA89">
        <f ca="1"/>
        <v>0</v>
      </c>
      <c r="EB89">
        <f ca="1"/>
        <v>0</v>
      </c>
      <c r="EC89">
        <f ca="1"/>
        <v>0</v>
      </c>
      <c r="ED89">
        <f ca="1"/>
        <v>0</v>
      </c>
      <c r="EE89">
        <f ca="1"/>
        <v>0</v>
      </c>
      <c r="EF89">
        <f ca="1"/>
        <v>0</v>
      </c>
      <c r="EG89">
        <f ca="1"/>
        <v>0</v>
      </c>
      <c r="EH89">
        <f ca="1"/>
        <v>0</v>
      </c>
      <c r="EI89">
        <f ca="1"/>
        <v>0</v>
      </c>
      <c r="EJ89">
        <f ca="1"/>
        <v>0</v>
      </c>
      <c r="EK89">
        <f ca="1"/>
        <v>0</v>
      </c>
      <c r="EL89">
        <f ca="1"/>
        <v>0</v>
      </c>
      <c r="EM89">
        <f ca="1"/>
        <v>0</v>
      </c>
      <c r="EN89">
        <f ca="1"/>
        <v>0</v>
      </c>
      <c r="EO89">
        <f ca="1"/>
        <v>0</v>
      </c>
      <c r="EP89">
        <f ca="1"/>
        <v>0</v>
      </c>
      <c r="EQ89">
        <f ca="1"/>
        <v>0</v>
      </c>
      <c r="ER89">
        <f ca="1"/>
        <v>0</v>
      </c>
      <c r="ES89">
        <f ca="1"/>
        <v>0</v>
      </c>
      <c r="ET89">
        <f ca="1"/>
        <v>0</v>
      </c>
      <c r="EU89">
        <f ca="1"/>
        <v>0</v>
      </c>
      <c r="EV89">
        <f ca="1"/>
        <v>0</v>
      </c>
      <c r="EW89">
        <f ca="1"/>
        <v>0</v>
      </c>
      <c r="EX89">
        <f ca="1"/>
        <v>0</v>
      </c>
      <c r="EY89">
        <f ca="1"/>
        <v>0</v>
      </c>
      <c r="EZ89">
        <f ca="1"/>
        <v>0</v>
      </c>
      <c r="FA89">
        <f ca="1"/>
        <v>0</v>
      </c>
      <c r="FB89">
        <f ca="1"/>
        <v>0</v>
      </c>
      <c r="FC89">
        <f ca="1"/>
        <v>0</v>
      </c>
      <c r="FD89">
        <f ca="1"/>
        <v>0</v>
      </c>
      <c r="FE89">
        <f ca="1"/>
        <v>0</v>
      </c>
      <c r="FF89">
        <f ca="1"/>
        <v>0</v>
      </c>
      <c r="FG89">
        <f ca="1"/>
        <v>0</v>
      </c>
      <c r="FH89">
        <f ca="1"/>
        <v>0</v>
      </c>
      <c r="FI89">
        <f ca="1"/>
        <v>0</v>
      </c>
      <c r="FJ89">
        <f ca="1"/>
        <v>0</v>
      </c>
      <c r="FK89">
        <f ca="1"/>
        <v>0</v>
      </c>
      <c r="FL89">
        <f ca="1"/>
        <v>0</v>
      </c>
      <c r="FM89">
        <f ca="1"/>
        <v>0</v>
      </c>
      <c r="FN89">
        <f ca="1"/>
        <v>0</v>
      </c>
      <c r="FO89">
        <f ca="1"/>
        <v>0</v>
      </c>
      <c r="FP89">
        <f ca="1"/>
        <v>0</v>
      </c>
      <c r="FQ89">
        <f ca="1"/>
        <v>0</v>
      </c>
      <c r="FR89">
        <f ca="1"/>
        <v>0</v>
      </c>
      <c r="FS89">
        <f ca="1"/>
        <v>0</v>
      </c>
      <c r="FT89">
        <f ca="1"/>
        <v>0</v>
      </c>
      <c r="FU89">
        <f ca="1"/>
        <v>0</v>
      </c>
      <c r="FV89">
        <f ca="1"/>
        <v>0</v>
      </c>
      <c r="FW89">
        <f ca="1"/>
        <v>0</v>
      </c>
      <c r="FX89">
        <f ca="1"/>
        <v>0</v>
      </c>
      <c r="FY89">
        <f ca="1"/>
        <v>0</v>
      </c>
      <c r="FZ89">
        <f ca="1"/>
        <v>0</v>
      </c>
    </row>
    <row r="90" spans="3:182">
      <c r="C90" cm="1">
        <f t="array" aca="1" ref="C90:FZ90" ca="1">IFERROR(TRANSPOSE(INDEX(_xlfn._xlws.FILTER(INDIRECT("SubcategoriesTable[Subcategory name]"),INDIRECT("SubcategoriesTable[Category name]")=$B90),,)),"No subcategories")</f>
        <v>0</v>
      </c>
      <c r="D90">
        <f ca="1"/>
        <v>0</v>
      </c>
      <c r="E90">
        <f ca="1"/>
        <v>0</v>
      </c>
      <c r="F90">
        <f ca="1"/>
        <v>0</v>
      </c>
      <c r="G90">
        <f ca="1"/>
        <v>0</v>
      </c>
      <c r="H90">
        <f ca="1"/>
        <v>0</v>
      </c>
      <c r="I90">
        <f ca="1"/>
        <v>0</v>
      </c>
      <c r="J90">
        <f ca="1"/>
        <v>0</v>
      </c>
      <c r="K90">
        <f ca="1"/>
        <v>0</v>
      </c>
      <c r="L90">
        <f ca="1"/>
        <v>0</v>
      </c>
      <c r="M90">
        <f ca="1"/>
        <v>0</v>
      </c>
      <c r="N90">
        <f ca="1"/>
        <v>0</v>
      </c>
      <c r="O90">
        <f ca="1"/>
        <v>0</v>
      </c>
      <c r="P90">
        <f ca="1"/>
        <v>0</v>
      </c>
      <c r="Q90">
        <f ca="1"/>
        <v>0</v>
      </c>
      <c r="R90">
        <f ca="1"/>
        <v>0</v>
      </c>
      <c r="S90">
        <f ca="1"/>
        <v>0</v>
      </c>
      <c r="T90">
        <f ca="1"/>
        <v>0</v>
      </c>
      <c r="U90">
        <f ca="1"/>
        <v>0</v>
      </c>
      <c r="V90">
        <f ca="1"/>
        <v>0</v>
      </c>
      <c r="W90">
        <f ca="1"/>
        <v>0</v>
      </c>
      <c r="X90">
        <f ca="1"/>
        <v>0</v>
      </c>
      <c r="Y90">
        <f ca="1"/>
        <v>0</v>
      </c>
      <c r="Z90">
        <f ca="1"/>
        <v>0</v>
      </c>
      <c r="AA90">
        <f ca="1"/>
        <v>0</v>
      </c>
      <c r="AB90">
        <f ca="1"/>
        <v>0</v>
      </c>
      <c r="AC90">
        <f ca="1"/>
        <v>0</v>
      </c>
      <c r="AD90">
        <f ca="1"/>
        <v>0</v>
      </c>
      <c r="AE90">
        <f ca="1"/>
        <v>0</v>
      </c>
      <c r="AF90">
        <f ca="1"/>
        <v>0</v>
      </c>
      <c r="AG90">
        <f ca="1"/>
        <v>0</v>
      </c>
      <c r="AH90">
        <f ca="1"/>
        <v>0</v>
      </c>
      <c r="AI90">
        <f ca="1"/>
        <v>0</v>
      </c>
      <c r="AJ90">
        <f ca="1"/>
        <v>0</v>
      </c>
      <c r="AK90">
        <f ca="1"/>
        <v>0</v>
      </c>
      <c r="AL90">
        <f ca="1"/>
        <v>0</v>
      </c>
      <c r="AM90">
        <f ca="1"/>
        <v>0</v>
      </c>
      <c r="AN90">
        <f ca="1"/>
        <v>0</v>
      </c>
      <c r="AO90">
        <f ca="1"/>
        <v>0</v>
      </c>
      <c r="AP90">
        <f ca="1"/>
        <v>0</v>
      </c>
      <c r="AQ90">
        <f ca="1"/>
        <v>0</v>
      </c>
      <c r="AR90">
        <f ca="1"/>
        <v>0</v>
      </c>
      <c r="AS90">
        <f ca="1"/>
        <v>0</v>
      </c>
      <c r="AT90">
        <f ca="1"/>
        <v>0</v>
      </c>
      <c r="AU90">
        <f ca="1"/>
        <v>0</v>
      </c>
      <c r="AV90">
        <f ca="1"/>
        <v>0</v>
      </c>
      <c r="AW90">
        <f ca="1"/>
        <v>0</v>
      </c>
      <c r="AX90">
        <f ca="1"/>
        <v>0</v>
      </c>
      <c r="AY90">
        <f ca="1"/>
        <v>0</v>
      </c>
      <c r="AZ90">
        <f ca="1"/>
        <v>0</v>
      </c>
      <c r="BA90">
        <f ca="1"/>
        <v>0</v>
      </c>
      <c r="BB90">
        <f ca="1"/>
        <v>0</v>
      </c>
      <c r="BC90">
        <f ca="1"/>
        <v>0</v>
      </c>
      <c r="BD90">
        <f ca="1"/>
        <v>0</v>
      </c>
      <c r="BE90">
        <f ca="1"/>
        <v>0</v>
      </c>
      <c r="BF90">
        <f ca="1"/>
        <v>0</v>
      </c>
      <c r="BG90">
        <f ca="1"/>
        <v>0</v>
      </c>
      <c r="BH90">
        <f ca="1"/>
        <v>0</v>
      </c>
      <c r="BI90">
        <f ca="1"/>
        <v>0</v>
      </c>
      <c r="BJ90">
        <f ca="1"/>
        <v>0</v>
      </c>
      <c r="BK90">
        <f ca="1"/>
        <v>0</v>
      </c>
      <c r="BL90">
        <f ca="1"/>
        <v>0</v>
      </c>
      <c r="BM90">
        <f ca="1"/>
        <v>0</v>
      </c>
      <c r="BN90">
        <f ca="1"/>
        <v>0</v>
      </c>
      <c r="BO90">
        <f ca="1"/>
        <v>0</v>
      </c>
      <c r="BP90">
        <f ca="1"/>
        <v>0</v>
      </c>
      <c r="BQ90">
        <f ca="1"/>
        <v>0</v>
      </c>
      <c r="BR90">
        <f ca="1"/>
        <v>0</v>
      </c>
      <c r="BS90">
        <f ca="1"/>
        <v>0</v>
      </c>
      <c r="BT90">
        <f ca="1"/>
        <v>0</v>
      </c>
      <c r="BU90">
        <f ca="1"/>
        <v>0</v>
      </c>
      <c r="BV90">
        <f ca="1"/>
        <v>0</v>
      </c>
      <c r="BW90">
        <f ca="1"/>
        <v>0</v>
      </c>
      <c r="BX90">
        <f ca="1"/>
        <v>0</v>
      </c>
      <c r="BY90">
        <f ca="1"/>
        <v>0</v>
      </c>
      <c r="BZ90">
        <f ca="1"/>
        <v>0</v>
      </c>
      <c r="CA90">
        <f ca="1"/>
        <v>0</v>
      </c>
      <c r="CB90">
        <f ca="1"/>
        <v>0</v>
      </c>
      <c r="CC90">
        <f ca="1"/>
        <v>0</v>
      </c>
      <c r="CD90">
        <f ca="1"/>
        <v>0</v>
      </c>
      <c r="CE90">
        <f ca="1"/>
        <v>0</v>
      </c>
      <c r="CF90">
        <f ca="1"/>
        <v>0</v>
      </c>
      <c r="CG90">
        <f ca="1"/>
        <v>0</v>
      </c>
      <c r="CH90">
        <f ca="1"/>
        <v>0</v>
      </c>
      <c r="CI90">
        <f ca="1"/>
        <v>0</v>
      </c>
      <c r="CJ90">
        <f ca="1"/>
        <v>0</v>
      </c>
      <c r="CK90">
        <f ca="1"/>
        <v>0</v>
      </c>
      <c r="CL90">
        <f ca="1"/>
        <v>0</v>
      </c>
      <c r="CM90">
        <f ca="1"/>
        <v>0</v>
      </c>
      <c r="CN90">
        <f ca="1"/>
        <v>0</v>
      </c>
      <c r="CO90">
        <f ca="1"/>
        <v>0</v>
      </c>
      <c r="CP90">
        <f ca="1"/>
        <v>0</v>
      </c>
      <c r="CQ90">
        <f ca="1"/>
        <v>0</v>
      </c>
      <c r="CR90">
        <f ca="1"/>
        <v>0</v>
      </c>
      <c r="CS90">
        <f ca="1"/>
        <v>0</v>
      </c>
      <c r="CT90">
        <f ca="1"/>
        <v>0</v>
      </c>
      <c r="CU90">
        <f ca="1"/>
        <v>0</v>
      </c>
      <c r="CV90">
        <f ca="1"/>
        <v>0</v>
      </c>
      <c r="CW90">
        <f ca="1"/>
        <v>0</v>
      </c>
      <c r="CX90">
        <f ca="1"/>
        <v>0</v>
      </c>
      <c r="CY90">
        <f ca="1"/>
        <v>0</v>
      </c>
      <c r="CZ90">
        <f ca="1"/>
        <v>0</v>
      </c>
      <c r="DA90">
        <f ca="1"/>
        <v>0</v>
      </c>
      <c r="DB90">
        <f ca="1"/>
        <v>0</v>
      </c>
      <c r="DC90">
        <f ca="1"/>
        <v>0</v>
      </c>
      <c r="DD90">
        <f ca="1"/>
        <v>0</v>
      </c>
      <c r="DE90">
        <f ca="1"/>
        <v>0</v>
      </c>
      <c r="DF90">
        <f ca="1"/>
        <v>0</v>
      </c>
      <c r="DG90">
        <f ca="1"/>
        <v>0</v>
      </c>
      <c r="DH90">
        <f ca="1"/>
        <v>0</v>
      </c>
      <c r="DI90">
        <f ca="1"/>
        <v>0</v>
      </c>
      <c r="DJ90">
        <f ca="1"/>
        <v>0</v>
      </c>
      <c r="DK90">
        <f ca="1"/>
        <v>0</v>
      </c>
      <c r="DL90">
        <f ca="1"/>
        <v>0</v>
      </c>
      <c r="DM90">
        <f ca="1"/>
        <v>0</v>
      </c>
      <c r="DN90">
        <f ca="1"/>
        <v>0</v>
      </c>
      <c r="DO90">
        <f ca="1"/>
        <v>0</v>
      </c>
      <c r="DP90">
        <f ca="1"/>
        <v>0</v>
      </c>
      <c r="DQ90">
        <f ca="1"/>
        <v>0</v>
      </c>
      <c r="DR90">
        <f ca="1"/>
        <v>0</v>
      </c>
      <c r="DS90">
        <f ca="1"/>
        <v>0</v>
      </c>
      <c r="DT90">
        <f ca="1"/>
        <v>0</v>
      </c>
      <c r="DU90">
        <f ca="1"/>
        <v>0</v>
      </c>
      <c r="DV90">
        <f ca="1"/>
        <v>0</v>
      </c>
      <c r="DW90">
        <f ca="1"/>
        <v>0</v>
      </c>
      <c r="DX90">
        <f ca="1"/>
        <v>0</v>
      </c>
      <c r="DY90">
        <f ca="1"/>
        <v>0</v>
      </c>
      <c r="DZ90">
        <f ca="1"/>
        <v>0</v>
      </c>
      <c r="EA90">
        <f ca="1"/>
        <v>0</v>
      </c>
      <c r="EB90">
        <f ca="1"/>
        <v>0</v>
      </c>
      <c r="EC90">
        <f ca="1"/>
        <v>0</v>
      </c>
      <c r="ED90">
        <f ca="1"/>
        <v>0</v>
      </c>
      <c r="EE90">
        <f ca="1"/>
        <v>0</v>
      </c>
      <c r="EF90">
        <f ca="1"/>
        <v>0</v>
      </c>
      <c r="EG90">
        <f ca="1"/>
        <v>0</v>
      </c>
      <c r="EH90">
        <f ca="1"/>
        <v>0</v>
      </c>
      <c r="EI90">
        <f ca="1"/>
        <v>0</v>
      </c>
      <c r="EJ90">
        <f ca="1"/>
        <v>0</v>
      </c>
      <c r="EK90">
        <f ca="1"/>
        <v>0</v>
      </c>
      <c r="EL90">
        <f ca="1"/>
        <v>0</v>
      </c>
      <c r="EM90">
        <f ca="1"/>
        <v>0</v>
      </c>
      <c r="EN90">
        <f ca="1"/>
        <v>0</v>
      </c>
      <c r="EO90">
        <f ca="1"/>
        <v>0</v>
      </c>
      <c r="EP90">
        <f ca="1"/>
        <v>0</v>
      </c>
      <c r="EQ90">
        <f ca="1"/>
        <v>0</v>
      </c>
      <c r="ER90">
        <f ca="1"/>
        <v>0</v>
      </c>
      <c r="ES90">
        <f ca="1"/>
        <v>0</v>
      </c>
      <c r="ET90">
        <f ca="1"/>
        <v>0</v>
      </c>
      <c r="EU90">
        <f ca="1"/>
        <v>0</v>
      </c>
      <c r="EV90">
        <f ca="1"/>
        <v>0</v>
      </c>
      <c r="EW90">
        <f ca="1"/>
        <v>0</v>
      </c>
      <c r="EX90">
        <f ca="1"/>
        <v>0</v>
      </c>
      <c r="EY90">
        <f ca="1"/>
        <v>0</v>
      </c>
      <c r="EZ90">
        <f ca="1"/>
        <v>0</v>
      </c>
      <c r="FA90">
        <f ca="1"/>
        <v>0</v>
      </c>
      <c r="FB90">
        <f ca="1"/>
        <v>0</v>
      </c>
      <c r="FC90">
        <f ca="1"/>
        <v>0</v>
      </c>
      <c r="FD90">
        <f ca="1"/>
        <v>0</v>
      </c>
      <c r="FE90">
        <f ca="1"/>
        <v>0</v>
      </c>
      <c r="FF90">
        <f ca="1"/>
        <v>0</v>
      </c>
      <c r="FG90">
        <f ca="1"/>
        <v>0</v>
      </c>
      <c r="FH90">
        <f ca="1"/>
        <v>0</v>
      </c>
      <c r="FI90">
        <f ca="1"/>
        <v>0</v>
      </c>
      <c r="FJ90">
        <f ca="1"/>
        <v>0</v>
      </c>
      <c r="FK90">
        <f ca="1"/>
        <v>0</v>
      </c>
      <c r="FL90">
        <f ca="1"/>
        <v>0</v>
      </c>
      <c r="FM90">
        <f ca="1"/>
        <v>0</v>
      </c>
      <c r="FN90">
        <f ca="1"/>
        <v>0</v>
      </c>
      <c r="FO90">
        <f ca="1"/>
        <v>0</v>
      </c>
      <c r="FP90">
        <f ca="1"/>
        <v>0</v>
      </c>
      <c r="FQ90">
        <f ca="1"/>
        <v>0</v>
      </c>
      <c r="FR90">
        <f ca="1"/>
        <v>0</v>
      </c>
      <c r="FS90">
        <f ca="1"/>
        <v>0</v>
      </c>
      <c r="FT90">
        <f ca="1"/>
        <v>0</v>
      </c>
      <c r="FU90">
        <f ca="1"/>
        <v>0</v>
      </c>
      <c r="FV90">
        <f ca="1"/>
        <v>0</v>
      </c>
      <c r="FW90">
        <f ca="1"/>
        <v>0</v>
      </c>
      <c r="FX90">
        <f ca="1"/>
        <v>0</v>
      </c>
      <c r="FY90">
        <f ca="1"/>
        <v>0</v>
      </c>
      <c r="FZ90">
        <f ca="1"/>
        <v>0</v>
      </c>
    </row>
    <row r="91" spans="3:182">
      <c r="C91" cm="1">
        <f t="array" aca="1" ref="C91:FZ91" ca="1">IFERROR(TRANSPOSE(INDEX(_xlfn._xlws.FILTER(INDIRECT("SubcategoriesTable[Subcategory name]"),INDIRECT("SubcategoriesTable[Category name]")=$B91),,)),"No subcategories")</f>
        <v>0</v>
      </c>
      <c r="D91">
        <f ca="1"/>
        <v>0</v>
      </c>
      <c r="E91">
        <f ca="1"/>
        <v>0</v>
      </c>
      <c r="F91">
        <f ca="1"/>
        <v>0</v>
      </c>
      <c r="G91">
        <f ca="1"/>
        <v>0</v>
      </c>
      <c r="H91">
        <f ca="1"/>
        <v>0</v>
      </c>
      <c r="I91">
        <f ca="1"/>
        <v>0</v>
      </c>
      <c r="J91">
        <f ca="1"/>
        <v>0</v>
      </c>
      <c r="K91">
        <f ca="1"/>
        <v>0</v>
      </c>
      <c r="L91">
        <f ca="1"/>
        <v>0</v>
      </c>
      <c r="M91">
        <f ca="1"/>
        <v>0</v>
      </c>
      <c r="N91">
        <f ca="1"/>
        <v>0</v>
      </c>
      <c r="O91">
        <f ca="1"/>
        <v>0</v>
      </c>
      <c r="P91">
        <f ca="1"/>
        <v>0</v>
      </c>
      <c r="Q91">
        <f ca="1"/>
        <v>0</v>
      </c>
      <c r="R91">
        <f ca="1"/>
        <v>0</v>
      </c>
      <c r="S91">
        <f ca="1"/>
        <v>0</v>
      </c>
      <c r="T91">
        <f ca="1"/>
        <v>0</v>
      </c>
      <c r="U91">
        <f ca="1"/>
        <v>0</v>
      </c>
      <c r="V91">
        <f ca="1"/>
        <v>0</v>
      </c>
      <c r="W91">
        <f ca="1"/>
        <v>0</v>
      </c>
      <c r="X91">
        <f ca="1"/>
        <v>0</v>
      </c>
      <c r="Y91">
        <f ca="1"/>
        <v>0</v>
      </c>
      <c r="Z91">
        <f ca="1"/>
        <v>0</v>
      </c>
      <c r="AA91">
        <f ca="1"/>
        <v>0</v>
      </c>
      <c r="AB91">
        <f ca="1"/>
        <v>0</v>
      </c>
      <c r="AC91">
        <f ca="1"/>
        <v>0</v>
      </c>
      <c r="AD91">
        <f ca="1"/>
        <v>0</v>
      </c>
      <c r="AE91">
        <f ca="1"/>
        <v>0</v>
      </c>
      <c r="AF91">
        <f ca="1"/>
        <v>0</v>
      </c>
      <c r="AG91">
        <f ca="1"/>
        <v>0</v>
      </c>
      <c r="AH91">
        <f ca="1"/>
        <v>0</v>
      </c>
      <c r="AI91">
        <f ca="1"/>
        <v>0</v>
      </c>
      <c r="AJ91">
        <f ca="1"/>
        <v>0</v>
      </c>
      <c r="AK91">
        <f ca="1"/>
        <v>0</v>
      </c>
      <c r="AL91">
        <f ca="1"/>
        <v>0</v>
      </c>
      <c r="AM91">
        <f ca="1"/>
        <v>0</v>
      </c>
      <c r="AN91">
        <f ca="1"/>
        <v>0</v>
      </c>
      <c r="AO91">
        <f ca="1"/>
        <v>0</v>
      </c>
      <c r="AP91">
        <f ca="1"/>
        <v>0</v>
      </c>
      <c r="AQ91">
        <f ca="1"/>
        <v>0</v>
      </c>
      <c r="AR91">
        <f ca="1"/>
        <v>0</v>
      </c>
      <c r="AS91">
        <f ca="1"/>
        <v>0</v>
      </c>
      <c r="AT91">
        <f ca="1"/>
        <v>0</v>
      </c>
      <c r="AU91">
        <f ca="1"/>
        <v>0</v>
      </c>
      <c r="AV91">
        <f ca="1"/>
        <v>0</v>
      </c>
      <c r="AW91">
        <f ca="1"/>
        <v>0</v>
      </c>
      <c r="AX91">
        <f ca="1"/>
        <v>0</v>
      </c>
      <c r="AY91">
        <f ca="1"/>
        <v>0</v>
      </c>
      <c r="AZ91">
        <f ca="1"/>
        <v>0</v>
      </c>
      <c r="BA91">
        <f ca="1"/>
        <v>0</v>
      </c>
      <c r="BB91">
        <f ca="1"/>
        <v>0</v>
      </c>
      <c r="BC91">
        <f ca="1"/>
        <v>0</v>
      </c>
      <c r="BD91">
        <f ca="1"/>
        <v>0</v>
      </c>
      <c r="BE91">
        <f ca="1"/>
        <v>0</v>
      </c>
      <c r="BF91">
        <f ca="1"/>
        <v>0</v>
      </c>
      <c r="BG91">
        <f ca="1"/>
        <v>0</v>
      </c>
      <c r="BH91">
        <f ca="1"/>
        <v>0</v>
      </c>
      <c r="BI91">
        <f ca="1"/>
        <v>0</v>
      </c>
      <c r="BJ91">
        <f ca="1"/>
        <v>0</v>
      </c>
      <c r="BK91">
        <f ca="1"/>
        <v>0</v>
      </c>
      <c r="BL91">
        <f ca="1"/>
        <v>0</v>
      </c>
      <c r="BM91">
        <f ca="1"/>
        <v>0</v>
      </c>
      <c r="BN91">
        <f ca="1"/>
        <v>0</v>
      </c>
      <c r="BO91">
        <f ca="1"/>
        <v>0</v>
      </c>
      <c r="BP91">
        <f ca="1"/>
        <v>0</v>
      </c>
      <c r="BQ91">
        <f ca="1"/>
        <v>0</v>
      </c>
      <c r="BR91">
        <f ca="1"/>
        <v>0</v>
      </c>
      <c r="BS91">
        <f ca="1"/>
        <v>0</v>
      </c>
      <c r="BT91">
        <f ca="1"/>
        <v>0</v>
      </c>
      <c r="BU91">
        <f ca="1"/>
        <v>0</v>
      </c>
      <c r="BV91">
        <f ca="1"/>
        <v>0</v>
      </c>
      <c r="BW91">
        <f ca="1"/>
        <v>0</v>
      </c>
      <c r="BX91">
        <f ca="1"/>
        <v>0</v>
      </c>
      <c r="BY91">
        <f ca="1"/>
        <v>0</v>
      </c>
      <c r="BZ91">
        <f ca="1"/>
        <v>0</v>
      </c>
      <c r="CA91">
        <f ca="1"/>
        <v>0</v>
      </c>
      <c r="CB91">
        <f ca="1"/>
        <v>0</v>
      </c>
      <c r="CC91">
        <f ca="1"/>
        <v>0</v>
      </c>
      <c r="CD91">
        <f ca="1"/>
        <v>0</v>
      </c>
      <c r="CE91">
        <f ca="1"/>
        <v>0</v>
      </c>
      <c r="CF91">
        <f ca="1"/>
        <v>0</v>
      </c>
      <c r="CG91">
        <f ca="1"/>
        <v>0</v>
      </c>
      <c r="CH91">
        <f ca="1"/>
        <v>0</v>
      </c>
      <c r="CI91">
        <f ca="1"/>
        <v>0</v>
      </c>
      <c r="CJ91">
        <f ca="1"/>
        <v>0</v>
      </c>
      <c r="CK91">
        <f ca="1"/>
        <v>0</v>
      </c>
      <c r="CL91">
        <f ca="1"/>
        <v>0</v>
      </c>
      <c r="CM91">
        <f ca="1"/>
        <v>0</v>
      </c>
      <c r="CN91">
        <f ca="1"/>
        <v>0</v>
      </c>
      <c r="CO91">
        <f ca="1"/>
        <v>0</v>
      </c>
      <c r="CP91">
        <f ca="1"/>
        <v>0</v>
      </c>
      <c r="CQ91">
        <f ca="1"/>
        <v>0</v>
      </c>
      <c r="CR91">
        <f ca="1"/>
        <v>0</v>
      </c>
      <c r="CS91">
        <f ca="1"/>
        <v>0</v>
      </c>
      <c r="CT91">
        <f ca="1"/>
        <v>0</v>
      </c>
      <c r="CU91">
        <f ca="1"/>
        <v>0</v>
      </c>
      <c r="CV91">
        <f ca="1"/>
        <v>0</v>
      </c>
      <c r="CW91">
        <f ca="1"/>
        <v>0</v>
      </c>
      <c r="CX91">
        <f ca="1"/>
        <v>0</v>
      </c>
      <c r="CY91">
        <f ca="1"/>
        <v>0</v>
      </c>
      <c r="CZ91">
        <f ca="1"/>
        <v>0</v>
      </c>
      <c r="DA91">
        <f ca="1"/>
        <v>0</v>
      </c>
      <c r="DB91">
        <f ca="1"/>
        <v>0</v>
      </c>
      <c r="DC91">
        <f ca="1"/>
        <v>0</v>
      </c>
      <c r="DD91">
        <f ca="1"/>
        <v>0</v>
      </c>
      <c r="DE91">
        <f ca="1"/>
        <v>0</v>
      </c>
      <c r="DF91">
        <f ca="1"/>
        <v>0</v>
      </c>
      <c r="DG91">
        <f ca="1"/>
        <v>0</v>
      </c>
      <c r="DH91">
        <f ca="1"/>
        <v>0</v>
      </c>
      <c r="DI91">
        <f ca="1"/>
        <v>0</v>
      </c>
      <c r="DJ91">
        <f ca="1"/>
        <v>0</v>
      </c>
      <c r="DK91">
        <f ca="1"/>
        <v>0</v>
      </c>
      <c r="DL91">
        <f ca="1"/>
        <v>0</v>
      </c>
      <c r="DM91">
        <f ca="1"/>
        <v>0</v>
      </c>
      <c r="DN91">
        <f ca="1"/>
        <v>0</v>
      </c>
      <c r="DO91">
        <f ca="1"/>
        <v>0</v>
      </c>
      <c r="DP91">
        <f ca="1"/>
        <v>0</v>
      </c>
      <c r="DQ91">
        <f ca="1"/>
        <v>0</v>
      </c>
      <c r="DR91">
        <f ca="1"/>
        <v>0</v>
      </c>
      <c r="DS91">
        <f ca="1"/>
        <v>0</v>
      </c>
      <c r="DT91">
        <f ca="1"/>
        <v>0</v>
      </c>
      <c r="DU91">
        <f ca="1"/>
        <v>0</v>
      </c>
      <c r="DV91">
        <f ca="1"/>
        <v>0</v>
      </c>
      <c r="DW91">
        <f ca="1"/>
        <v>0</v>
      </c>
      <c r="DX91">
        <f ca="1"/>
        <v>0</v>
      </c>
      <c r="DY91">
        <f ca="1"/>
        <v>0</v>
      </c>
      <c r="DZ91">
        <f ca="1"/>
        <v>0</v>
      </c>
      <c r="EA91">
        <f ca="1"/>
        <v>0</v>
      </c>
      <c r="EB91">
        <f ca="1"/>
        <v>0</v>
      </c>
      <c r="EC91">
        <f ca="1"/>
        <v>0</v>
      </c>
      <c r="ED91">
        <f ca="1"/>
        <v>0</v>
      </c>
      <c r="EE91">
        <f ca="1"/>
        <v>0</v>
      </c>
      <c r="EF91">
        <f ca="1"/>
        <v>0</v>
      </c>
      <c r="EG91">
        <f ca="1"/>
        <v>0</v>
      </c>
      <c r="EH91">
        <f ca="1"/>
        <v>0</v>
      </c>
      <c r="EI91">
        <f ca="1"/>
        <v>0</v>
      </c>
      <c r="EJ91">
        <f ca="1"/>
        <v>0</v>
      </c>
      <c r="EK91">
        <f ca="1"/>
        <v>0</v>
      </c>
      <c r="EL91">
        <f ca="1"/>
        <v>0</v>
      </c>
      <c r="EM91">
        <f ca="1"/>
        <v>0</v>
      </c>
      <c r="EN91">
        <f ca="1"/>
        <v>0</v>
      </c>
      <c r="EO91">
        <f ca="1"/>
        <v>0</v>
      </c>
      <c r="EP91">
        <f ca="1"/>
        <v>0</v>
      </c>
      <c r="EQ91">
        <f ca="1"/>
        <v>0</v>
      </c>
      <c r="ER91">
        <f ca="1"/>
        <v>0</v>
      </c>
      <c r="ES91">
        <f ca="1"/>
        <v>0</v>
      </c>
      <c r="ET91">
        <f ca="1"/>
        <v>0</v>
      </c>
      <c r="EU91">
        <f ca="1"/>
        <v>0</v>
      </c>
      <c r="EV91">
        <f ca="1"/>
        <v>0</v>
      </c>
      <c r="EW91">
        <f ca="1"/>
        <v>0</v>
      </c>
      <c r="EX91">
        <f ca="1"/>
        <v>0</v>
      </c>
      <c r="EY91">
        <f ca="1"/>
        <v>0</v>
      </c>
      <c r="EZ91">
        <f ca="1"/>
        <v>0</v>
      </c>
      <c r="FA91">
        <f ca="1"/>
        <v>0</v>
      </c>
      <c r="FB91">
        <f ca="1"/>
        <v>0</v>
      </c>
      <c r="FC91">
        <f ca="1"/>
        <v>0</v>
      </c>
      <c r="FD91">
        <f ca="1"/>
        <v>0</v>
      </c>
      <c r="FE91">
        <f ca="1"/>
        <v>0</v>
      </c>
      <c r="FF91">
        <f ca="1"/>
        <v>0</v>
      </c>
      <c r="FG91">
        <f ca="1"/>
        <v>0</v>
      </c>
      <c r="FH91">
        <f ca="1"/>
        <v>0</v>
      </c>
      <c r="FI91">
        <f ca="1"/>
        <v>0</v>
      </c>
      <c r="FJ91">
        <f ca="1"/>
        <v>0</v>
      </c>
      <c r="FK91">
        <f ca="1"/>
        <v>0</v>
      </c>
      <c r="FL91">
        <f ca="1"/>
        <v>0</v>
      </c>
      <c r="FM91">
        <f ca="1"/>
        <v>0</v>
      </c>
      <c r="FN91">
        <f ca="1"/>
        <v>0</v>
      </c>
      <c r="FO91">
        <f ca="1"/>
        <v>0</v>
      </c>
      <c r="FP91">
        <f ca="1"/>
        <v>0</v>
      </c>
      <c r="FQ91">
        <f ca="1"/>
        <v>0</v>
      </c>
      <c r="FR91">
        <f ca="1"/>
        <v>0</v>
      </c>
      <c r="FS91">
        <f ca="1"/>
        <v>0</v>
      </c>
      <c r="FT91">
        <f ca="1"/>
        <v>0</v>
      </c>
      <c r="FU91">
        <f ca="1"/>
        <v>0</v>
      </c>
      <c r="FV91">
        <f ca="1"/>
        <v>0</v>
      </c>
      <c r="FW91">
        <f ca="1"/>
        <v>0</v>
      </c>
      <c r="FX91">
        <f ca="1"/>
        <v>0</v>
      </c>
      <c r="FY91">
        <f ca="1"/>
        <v>0</v>
      </c>
      <c r="FZ91">
        <f ca="1"/>
        <v>0</v>
      </c>
    </row>
    <row r="92" spans="3:182">
      <c r="C92" cm="1">
        <f t="array" aca="1" ref="C92:FZ92" ca="1">IFERROR(TRANSPOSE(INDEX(_xlfn._xlws.FILTER(INDIRECT("SubcategoriesTable[Subcategory name]"),INDIRECT("SubcategoriesTable[Category name]")=$B92),,)),"No subcategories")</f>
        <v>0</v>
      </c>
      <c r="D92">
        <f ca="1"/>
        <v>0</v>
      </c>
      <c r="E92">
        <f ca="1"/>
        <v>0</v>
      </c>
      <c r="F92">
        <f ca="1"/>
        <v>0</v>
      </c>
      <c r="G92">
        <f ca="1"/>
        <v>0</v>
      </c>
      <c r="H92">
        <f ca="1"/>
        <v>0</v>
      </c>
      <c r="I92">
        <f ca="1"/>
        <v>0</v>
      </c>
      <c r="J92">
        <f ca="1"/>
        <v>0</v>
      </c>
      <c r="K92">
        <f ca="1"/>
        <v>0</v>
      </c>
      <c r="L92">
        <f ca="1"/>
        <v>0</v>
      </c>
      <c r="M92">
        <f ca="1"/>
        <v>0</v>
      </c>
      <c r="N92">
        <f ca="1"/>
        <v>0</v>
      </c>
      <c r="O92">
        <f ca="1"/>
        <v>0</v>
      </c>
      <c r="P92">
        <f ca="1"/>
        <v>0</v>
      </c>
      <c r="Q92">
        <f ca="1"/>
        <v>0</v>
      </c>
      <c r="R92">
        <f ca="1"/>
        <v>0</v>
      </c>
      <c r="S92">
        <f ca="1"/>
        <v>0</v>
      </c>
      <c r="T92">
        <f ca="1"/>
        <v>0</v>
      </c>
      <c r="U92">
        <f ca="1"/>
        <v>0</v>
      </c>
      <c r="V92">
        <f ca="1"/>
        <v>0</v>
      </c>
      <c r="W92">
        <f ca="1"/>
        <v>0</v>
      </c>
      <c r="X92">
        <f ca="1"/>
        <v>0</v>
      </c>
      <c r="Y92">
        <f ca="1"/>
        <v>0</v>
      </c>
      <c r="Z92">
        <f ca="1"/>
        <v>0</v>
      </c>
      <c r="AA92">
        <f ca="1"/>
        <v>0</v>
      </c>
      <c r="AB92">
        <f ca="1"/>
        <v>0</v>
      </c>
      <c r="AC92">
        <f ca="1"/>
        <v>0</v>
      </c>
      <c r="AD92">
        <f ca="1"/>
        <v>0</v>
      </c>
      <c r="AE92">
        <f ca="1"/>
        <v>0</v>
      </c>
      <c r="AF92">
        <f ca="1"/>
        <v>0</v>
      </c>
      <c r="AG92">
        <f ca="1"/>
        <v>0</v>
      </c>
      <c r="AH92">
        <f ca="1"/>
        <v>0</v>
      </c>
      <c r="AI92">
        <f ca="1"/>
        <v>0</v>
      </c>
      <c r="AJ92">
        <f ca="1"/>
        <v>0</v>
      </c>
      <c r="AK92">
        <f ca="1"/>
        <v>0</v>
      </c>
      <c r="AL92">
        <f ca="1"/>
        <v>0</v>
      </c>
      <c r="AM92">
        <f ca="1"/>
        <v>0</v>
      </c>
      <c r="AN92">
        <f ca="1"/>
        <v>0</v>
      </c>
      <c r="AO92">
        <f ca="1"/>
        <v>0</v>
      </c>
      <c r="AP92">
        <f ca="1"/>
        <v>0</v>
      </c>
      <c r="AQ92">
        <f ca="1"/>
        <v>0</v>
      </c>
      <c r="AR92">
        <f ca="1"/>
        <v>0</v>
      </c>
      <c r="AS92">
        <f ca="1"/>
        <v>0</v>
      </c>
      <c r="AT92">
        <f ca="1"/>
        <v>0</v>
      </c>
      <c r="AU92">
        <f ca="1"/>
        <v>0</v>
      </c>
      <c r="AV92">
        <f ca="1"/>
        <v>0</v>
      </c>
      <c r="AW92">
        <f ca="1"/>
        <v>0</v>
      </c>
      <c r="AX92">
        <f ca="1"/>
        <v>0</v>
      </c>
      <c r="AY92">
        <f ca="1"/>
        <v>0</v>
      </c>
      <c r="AZ92">
        <f ca="1"/>
        <v>0</v>
      </c>
      <c r="BA92">
        <f ca="1"/>
        <v>0</v>
      </c>
      <c r="BB92">
        <f ca="1"/>
        <v>0</v>
      </c>
      <c r="BC92">
        <f ca="1"/>
        <v>0</v>
      </c>
      <c r="BD92">
        <f ca="1"/>
        <v>0</v>
      </c>
      <c r="BE92">
        <f ca="1"/>
        <v>0</v>
      </c>
      <c r="BF92">
        <f ca="1"/>
        <v>0</v>
      </c>
      <c r="BG92">
        <f ca="1"/>
        <v>0</v>
      </c>
      <c r="BH92">
        <f ca="1"/>
        <v>0</v>
      </c>
      <c r="BI92">
        <f ca="1"/>
        <v>0</v>
      </c>
      <c r="BJ92">
        <f ca="1"/>
        <v>0</v>
      </c>
      <c r="BK92">
        <f ca="1"/>
        <v>0</v>
      </c>
      <c r="BL92">
        <f ca="1"/>
        <v>0</v>
      </c>
      <c r="BM92">
        <f ca="1"/>
        <v>0</v>
      </c>
      <c r="BN92">
        <f ca="1"/>
        <v>0</v>
      </c>
      <c r="BO92">
        <f ca="1"/>
        <v>0</v>
      </c>
      <c r="BP92">
        <f ca="1"/>
        <v>0</v>
      </c>
      <c r="BQ92">
        <f ca="1"/>
        <v>0</v>
      </c>
      <c r="BR92">
        <f ca="1"/>
        <v>0</v>
      </c>
      <c r="BS92">
        <f ca="1"/>
        <v>0</v>
      </c>
      <c r="BT92">
        <f ca="1"/>
        <v>0</v>
      </c>
      <c r="BU92">
        <f ca="1"/>
        <v>0</v>
      </c>
      <c r="BV92">
        <f ca="1"/>
        <v>0</v>
      </c>
      <c r="BW92">
        <f ca="1"/>
        <v>0</v>
      </c>
      <c r="BX92">
        <f ca="1"/>
        <v>0</v>
      </c>
      <c r="BY92">
        <f ca="1"/>
        <v>0</v>
      </c>
      <c r="BZ92">
        <f ca="1"/>
        <v>0</v>
      </c>
      <c r="CA92">
        <f ca="1"/>
        <v>0</v>
      </c>
      <c r="CB92">
        <f ca="1"/>
        <v>0</v>
      </c>
      <c r="CC92">
        <f ca="1"/>
        <v>0</v>
      </c>
      <c r="CD92">
        <f ca="1"/>
        <v>0</v>
      </c>
      <c r="CE92">
        <f ca="1"/>
        <v>0</v>
      </c>
      <c r="CF92">
        <f ca="1"/>
        <v>0</v>
      </c>
      <c r="CG92">
        <f ca="1"/>
        <v>0</v>
      </c>
      <c r="CH92">
        <f ca="1"/>
        <v>0</v>
      </c>
      <c r="CI92">
        <f ca="1"/>
        <v>0</v>
      </c>
      <c r="CJ92">
        <f ca="1"/>
        <v>0</v>
      </c>
      <c r="CK92">
        <f ca="1"/>
        <v>0</v>
      </c>
      <c r="CL92">
        <f ca="1"/>
        <v>0</v>
      </c>
      <c r="CM92">
        <f ca="1"/>
        <v>0</v>
      </c>
      <c r="CN92">
        <f ca="1"/>
        <v>0</v>
      </c>
      <c r="CO92">
        <f ca="1"/>
        <v>0</v>
      </c>
      <c r="CP92">
        <f ca="1"/>
        <v>0</v>
      </c>
      <c r="CQ92">
        <f ca="1"/>
        <v>0</v>
      </c>
      <c r="CR92">
        <f ca="1"/>
        <v>0</v>
      </c>
      <c r="CS92">
        <f ca="1"/>
        <v>0</v>
      </c>
      <c r="CT92">
        <f ca="1"/>
        <v>0</v>
      </c>
      <c r="CU92">
        <f ca="1"/>
        <v>0</v>
      </c>
      <c r="CV92">
        <f ca="1"/>
        <v>0</v>
      </c>
      <c r="CW92">
        <f ca="1"/>
        <v>0</v>
      </c>
      <c r="CX92">
        <f ca="1"/>
        <v>0</v>
      </c>
      <c r="CY92">
        <f ca="1"/>
        <v>0</v>
      </c>
      <c r="CZ92">
        <f ca="1"/>
        <v>0</v>
      </c>
      <c r="DA92">
        <f ca="1"/>
        <v>0</v>
      </c>
      <c r="DB92">
        <f ca="1"/>
        <v>0</v>
      </c>
      <c r="DC92">
        <f ca="1"/>
        <v>0</v>
      </c>
      <c r="DD92">
        <f ca="1"/>
        <v>0</v>
      </c>
      <c r="DE92">
        <f ca="1"/>
        <v>0</v>
      </c>
      <c r="DF92">
        <f ca="1"/>
        <v>0</v>
      </c>
      <c r="DG92">
        <f ca="1"/>
        <v>0</v>
      </c>
      <c r="DH92">
        <f ca="1"/>
        <v>0</v>
      </c>
      <c r="DI92">
        <f ca="1"/>
        <v>0</v>
      </c>
      <c r="DJ92">
        <f ca="1"/>
        <v>0</v>
      </c>
      <c r="DK92">
        <f ca="1"/>
        <v>0</v>
      </c>
      <c r="DL92">
        <f ca="1"/>
        <v>0</v>
      </c>
      <c r="DM92">
        <f ca="1"/>
        <v>0</v>
      </c>
      <c r="DN92">
        <f ca="1"/>
        <v>0</v>
      </c>
      <c r="DO92">
        <f ca="1"/>
        <v>0</v>
      </c>
      <c r="DP92">
        <f ca="1"/>
        <v>0</v>
      </c>
      <c r="DQ92">
        <f ca="1"/>
        <v>0</v>
      </c>
      <c r="DR92">
        <f ca="1"/>
        <v>0</v>
      </c>
      <c r="DS92">
        <f ca="1"/>
        <v>0</v>
      </c>
      <c r="DT92">
        <f ca="1"/>
        <v>0</v>
      </c>
      <c r="DU92">
        <f ca="1"/>
        <v>0</v>
      </c>
      <c r="DV92">
        <f ca="1"/>
        <v>0</v>
      </c>
      <c r="DW92">
        <f ca="1"/>
        <v>0</v>
      </c>
      <c r="DX92">
        <f ca="1"/>
        <v>0</v>
      </c>
      <c r="DY92">
        <f ca="1"/>
        <v>0</v>
      </c>
      <c r="DZ92">
        <f ca="1"/>
        <v>0</v>
      </c>
      <c r="EA92">
        <f ca="1"/>
        <v>0</v>
      </c>
      <c r="EB92">
        <f ca="1"/>
        <v>0</v>
      </c>
      <c r="EC92">
        <f ca="1"/>
        <v>0</v>
      </c>
      <c r="ED92">
        <f ca="1"/>
        <v>0</v>
      </c>
      <c r="EE92">
        <f ca="1"/>
        <v>0</v>
      </c>
      <c r="EF92">
        <f ca="1"/>
        <v>0</v>
      </c>
      <c r="EG92">
        <f ca="1"/>
        <v>0</v>
      </c>
      <c r="EH92">
        <f ca="1"/>
        <v>0</v>
      </c>
      <c r="EI92">
        <f ca="1"/>
        <v>0</v>
      </c>
      <c r="EJ92">
        <f ca="1"/>
        <v>0</v>
      </c>
      <c r="EK92">
        <f ca="1"/>
        <v>0</v>
      </c>
      <c r="EL92">
        <f ca="1"/>
        <v>0</v>
      </c>
      <c r="EM92">
        <f ca="1"/>
        <v>0</v>
      </c>
      <c r="EN92">
        <f ca="1"/>
        <v>0</v>
      </c>
      <c r="EO92">
        <f ca="1"/>
        <v>0</v>
      </c>
      <c r="EP92">
        <f ca="1"/>
        <v>0</v>
      </c>
      <c r="EQ92">
        <f ca="1"/>
        <v>0</v>
      </c>
      <c r="ER92">
        <f ca="1"/>
        <v>0</v>
      </c>
      <c r="ES92">
        <f ca="1"/>
        <v>0</v>
      </c>
      <c r="ET92">
        <f ca="1"/>
        <v>0</v>
      </c>
      <c r="EU92">
        <f ca="1"/>
        <v>0</v>
      </c>
      <c r="EV92">
        <f ca="1"/>
        <v>0</v>
      </c>
      <c r="EW92">
        <f ca="1"/>
        <v>0</v>
      </c>
      <c r="EX92">
        <f ca="1"/>
        <v>0</v>
      </c>
      <c r="EY92">
        <f ca="1"/>
        <v>0</v>
      </c>
      <c r="EZ92">
        <f ca="1"/>
        <v>0</v>
      </c>
      <c r="FA92">
        <f ca="1"/>
        <v>0</v>
      </c>
      <c r="FB92">
        <f ca="1"/>
        <v>0</v>
      </c>
      <c r="FC92">
        <f ca="1"/>
        <v>0</v>
      </c>
      <c r="FD92">
        <f ca="1"/>
        <v>0</v>
      </c>
      <c r="FE92">
        <f ca="1"/>
        <v>0</v>
      </c>
      <c r="FF92">
        <f ca="1"/>
        <v>0</v>
      </c>
      <c r="FG92">
        <f ca="1"/>
        <v>0</v>
      </c>
      <c r="FH92">
        <f ca="1"/>
        <v>0</v>
      </c>
      <c r="FI92">
        <f ca="1"/>
        <v>0</v>
      </c>
      <c r="FJ92">
        <f ca="1"/>
        <v>0</v>
      </c>
      <c r="FK92">
        <f ca="1"/>
        <v>0</v>
      </c>
      <c r="FL92">
        <f ca="1"/>
        <v>0</v>
      </c>
      <c r="FM92">
        <f ca="1"/>
        <v>0</v>
      </c>
      <c r="FN92">
        <f ca="1"/>
        <v>0</v>
      </c>
      <c r="FO92">
        <f ca="1"/>
        <v>0</v>
      </c>
      <c r="FP92">
        <f ca="1"/>
        <v>0</v>
      </c>
      <c r="FQ92">
        <f ca="1"/>
        <v>0</v>
      </c>
      <c r="FR92">
        <f ca="1"/>
        <v>0</v>
      </c>
      <c r="FS92">
        <f ca="1"/>
        <v>0</v>
      </c>
      <c r="FT92">
        <f ca="1"/>
        <v>0</v>
      </c>
      <c r="FU92">
        <f ca="1"/>
        <v>0</v>
      </c>
      <c r="FV92">
        <f ca="1"/>
        <v>0</v>
      </c>
      <c r="FW92">
        <f ca="1"/>
        <v>0</v>
      </c>
      <c r="FX92">
        <f ca="1"/>
        <v>0</v>
      </c>
      <c r="FY92">
        <f ca="1"/>
        <v>0</v>
      </c>
      <c r="FZ92">
        <f ca="1"/>
        <v>0</v>
      </c>
    </row>
    <row r="93" spans="3:182">
      <c r="C93" cm="1">
        <f t="array" aca="1" ref="C93:FZ93" ca="1">IFERROR(TRANSPOSE(INDEX(_xlfn._xlws.FILTER(INDIRECT("SubcategoriesTable[Subcategory name]"),INDIRECT("SubcategoriesTable[Category name]")=$B93),,)),"No subcategories")</f>
        <v>0</v>
      </c>
      <c r="D93">
        <f ca="1"/>
        <v>0</v>
      </c>
      <c r="E93">
        <f ca="1"/>
        <v>0</v>
      </c>
      <c r="F93">
        <f ca="1"/>
        <v>0</v>
      </c>
      <c r="G93">
        <f ca="1"/>
        <v>0</v>
      </c>
      <c r="H93">
        <f ca="1"/>
        <v>0</v>
      </c>
      <c r="I93">
        <f ca="1"/>
        <v>0</v>
      </c>
      <c r="J93">
        <f ca="1"/>
        <v>0</v>
      </c>
      <c r="K93">
        <f ca="1"/>
        <v>0</v>
      </c>
      <c r="L93">
        <f ca="1"/>
        <v>0</v>
      </c>
      <c r="M93">
        <f ca="1"/>
        <v>0</v>
      </c>
      <c r="N93">
        <f ca="1"/>
        <v>0</v>
      </c>
      <c r="O93">
        <f ca="1"/>
        <v>0</v>
      </c>
      <c r="P93">
        <f ca="1"/>
        <v>0</v>
      </c>
      <c r="Q93">
        <f ca="1"/>
        <v>0</v>
      </c>
      <c r="R93">
        <f ca="1"/>
        <v>0</v>
      </c>
      <c r="S93">
        <f ca="1"/>
        <v>0</v>
      </c>
      <c r="T93">
        <f ca="1"/>
        <v>0</v>
      </c>
      <c r="U93">
        <f ca="1"/>
        <v>0</v>
      </c>
      <c r="V93">
        <f ca="1"/>
        <v>0</v>
      </c>
      <c r="W93">
        <f ca="1"/>
        <v>0</v>
      </c>
      <c r="X93">
        <f ca="1"/>
        <v>0</v>
      </c>
      <c r="Y93">
        <f ca="1"/>
        <v>0</v>
      </c>
      <c r="Z93">
        <f ca="1"/>
        <v>0</v>
      </c>
      <c r="AA93">
        <f ca="1"/>
        <v>0</v>
      </c>
      <c r="AB93">
        <f ca="1"/>
        <v>0</v>
      </c>
      <c r="AC93">
        <f ca="1"/>
        <v>0</v>
      </c>
      <c r="AD93">
        <f ca="1"/>
        <v>0</v>
      </c>
      <c r="AE93">
        <f ca="1"/>
        <v>0</v>
      </c>
      <c r="AF93">
        <f ca="1"/>
        <v>0</v>
      </c>
      <c r="AG93">
        <f ca="1"/>
        <v>0</v>
      </c>
      <c r="AH93">
        <f ca="1"/>
        <v>0</v>
      </c>
      <c r="AI93">
        <f ca="1"/>
        <v>0</v>
      </c>
      <c r="AJ93">
        <f ca="1"/>
        <v>0</v>
      </c>
      <c r="AK93">
        <f ca="1"/>
        <v>0</v>
      </c>
      <c r="AL93">
        <f ca="1"/>
        <v>0</v>
      </c>
      <c r="AM93">
        <f ca="1"/>
        <v>0</v>
      </c>
      <c r="AN93">
        <f ca="1"/>
        <v>0</v>
      </c>
      <c r="AO93">
        <f ca="1"/>
        <v>0</v>
      </c>
      <c r="AP93">
        <f ca="1"/>
        <v>0</v>
      </c>
      <c r="AQ93">
        <f ca="1"/>
        <v>0</v>
      </c>
      <c r="AR93">
        <f ca="1"/>
        <v>0</v>
      </c>
      <c r="AS93">
        <f ca="1"/>
        <v>0</v>
      </c>
      <c r="AT93">
        <f ca="1"/>
        <v>0</v>
      </c>
      <c r="AU93">
        <f ca="1"/>
        <v>0</v>
      </c>
      <c r="AV93">
        <f ca="1"/>
        <v>0</v>
      </c>
      <c r="AW93">
        <f ca="1"/>
        <v>0</v>
      </c>
      <c r="AX93">
        <f ca="1"/>
        <v>0</v>
      </c>
      <c r="AY93">
        <f ca="1"/>
        <v>0</v>
      </c>
      <c r="AZ93">
        <f ca="1"/>
        <v>0</v>
      </c>
      <c r="BA93">
        <f ca="1"/>
        <v>0</v>
      </c>
      <c r="BB93">
        <f ca="1"/>
        <v>0</v>
      </c>
      <c r="BC93">
        <f ca="1"/>
        <v>0</v>
      </c>
      <c r="BD93">
        <f ca="1"/>
        <v>0</v>
      </c>
      <c r="BE93">
        <f ca="1"/>
        <v>0</v>
      </c>
      <c r="BF93">
        <f ca="1"/>
        <v>0</v>
      </c>
      <c r="BG93">
        <f ca="1"/>
        <v>0</v>
      </c>
      <c r="BH93">
        <f ca="1"/>
        <v>0</v>
      </c>
      <c r="BI93">
        <f ca="1"/>
        <v>0</v>
      </c>
      <c r="BJ93">
        <f ca="1"/>
        <v>0</v>
      </c>
      <c r="BK93">
        <f ca="1"/>
        <v>0</v>
      </c>
      <c r="BL93">
        <f ca="1"/>
        <v>0</v>
      </c>
      <c r="BM93">
        <f ca="1"/>
        <v>0</v>
      </c>
      <c r="BN93">
        <f ca="1"/>
        <v>0</v>
      </c>
      <c r="BO93">
        <f ca="1"/>
        <v>0</v>
      </c>
      <c r="BP93">
        <f ca="1"/>
        <v>0</v>
      </c>
      <c r="BQ93">
        <f ca="1"/>
        <v>0</v>
      </c>
      <c r="BR93">
        <f ca="1"/>
        <v>0</v>
      </c>
      <c r="BS93">
        <f ca="1"/>
        <v>0</v>
      </c>
      <c r="BT93">
        <f ca="1"/>
        <v>0</v>
      </c>
      <c r="BU93">
        <f ca="1"/>
        <v>0</v>
      </c>
      <c r="BV93">
        <f ca="1"/>
        <v>0</v>
      </c>
      <c r="BW93">
        <f ca="1"/>
        <v>0</v>
      </c>
      <c r="BX93">
        <f ca="1"/>
        <v>0</v>
      </c>
      <c r="BY93">
        <f ca="1"/>
        <v>0</v>
      </c>
      <c r="BZ93">
        <f ca="1"/>
        <v>0</v>
      </c>
      <c r="CA93">
        <f ca="1"/>
        <v>0</v>
      </c>
      <c r="CB93">
        <f ca="1"/>
        <v>0</v>
      </c>
      <c r="CC93">
        <f ca="1"/>
        <v>0</v>
      </c>
      <c r="CD93">
        <f ca="1"/>
        <v>0</v>
      </c>
      <c r="CE93">
        <f ca="1"/>
        <v>0</v>
      </c>
      <c r="CF93">
        <f ca="1"/>
        <v>0</v>
      </c>
      <c r="CG93">
        <f ca="1"/>
        <v>0</v>
      </c>
      <c r="CH93">
        <f ca="1"/>
        <v>0</v>
      </c>
      <c r="CI93">
        <f ca="1"/>
        <v>0</v>
      </c>
      <c r="CJ93">
        <f ca="1"/>
        <v>0</v>
      </c>
      <c r="CK93">
        <f ca="1"/>
        <v>0</v>
      </c>
      <c r="CL93">
        <f ca="1"/>
        <v>0</v>
      </c>
      <c r="CM93">
        <f ca="1"/>
        <v>0</v>
      </c>
      <c r="CN93">
        <f ca="1"/>
        <v>0</v>
      </c>
      <c r="CO93">
        <f ca="1"/>
        <v>0</v>
      </c>
      <c r="CP93">
        <f ca="1"/>
        <v>0</v>
      </c>
      <c r="CQ93">
        <f ca="1"/>
        <v>0</v>
      </c>
      <c r="CR93">
        <f ca="1"/>
        <v>0</v>
      </c>
      <c r="CS93">
        <f ca="1"/>
        <v>0</v>
      </c>
      <c r="CT93">
        <f ca="1"/>
        <v>0</v>
      </c>
      <c r="CU93">
        <f ca="1"/>
        <v>0</v>
      </c>
      <c r="CV93">
        <f ca="1"/>
        <v>0</v>
      </c>
      <c r="CW93">
        <f ca="1"/>
        <v>0</v>
      </c>
      <c r="CX93">
        <f ca="1"/>
        <v>0</v>
      </c>
      <c r="CY93">
        <f ca="1"/>
        <v>0</v>
      </c>
      <c r="CZ93">
        <f ca="1"/>
        <v>0</v>
      </c>
      <c r="DA93">
        <f ca="1"/>
        <v>0</v>
      </c>
      <c r="DB93">
        <f ca="1"/>
        <v>0</v>
      </c>
      <c r="DC93">
        <f ca="1"/>
        <v>0</v>
      </c>
      <c r="DD93">
        <f ca="1"/>
        <v>0</v>
      </c>
      <c r="DE93">
        <f ca="1"/>
        <v>0</v>
      </c>
      <c r="DF93">
        <f ca="1"/>
        <v>0</v>
      </c>
      <c r="DG93">
        <f ca="1"/>
        <v>0</v>
      </c>
      <c r="DH93">
        <f ca="1"/>
        <v>0</v>
      </c>
      <c r="DI93">
        <f ca="1"/>
        <v>0</v>
      </c>
      <c r="DJ93">
        <f ca="1"/>
        <v>0</v>
      </c>
      <c r="DK93">
        <f ca="1"/>
        <v>0</v>
      </c>
      <c r="DL93">
        <f ca="1"/>
        <v>0</v>
      </c>
      <c r="DM93">
        <f ca="1"/>
        <v>0</v>
      </c>
      <c r="DN93">
        <f ca="1"/>
        <v>0</v>
      </c>
      <c r="DO93">
        <f ca="1"/>
        <v>0</v>
      </c>
      <c r="DP93">
        <f ca="1"/>
        <v>0</v>
      </c>
      <c r="DQ93">
        <f ca="1"/>
        <v>0</v>
      </c>
      <c r="DR93">
        <f ca="1"/>
        <v>0</v>
      </c>
      <c r="DS93">
        <f ca="1"/>
        <v>0</v>
      </c>
      <c r="DT93">
        <f ca="1"/>
        <v>0</v>
      </c>
      <c r="DU93">
        <f ca="1"/>
        <v>0</v>
      </c>
      <c r="DV93">
        <f ca="1"/>
        <v>0</v>
      </c>
      <c r="DW93">
        <f ca="1"/>
        <v>0</v>
      </c>
      <c r="DX93">
        <f ca="1"/>
        <v>0</v>
      </c>
      <c r="DY93">
        <f ca="1"/>
        <v>0</v>
      </c>
      <c r="DZ93">
        <f ca="1"/>
        <v>0</v>
      </c>
      <c r="EA93">
        <f ca="1"/>
        <v>0</v>
      </c>
      <c r="EB93">
        <f ca="1"/>
        <v>0</v>
      </c>
      <c r="EC93">
        <f ca="1"/>
        <v>0</v>
      </c>
      <c r="ED93">
        <f ca="1"/>
        <v>0</v>
      </c>
      <c r="EE93">
        <f ca="1"/>
        <v>0</v>
      </c>
      <c r="EF93">
        <f ca="1"/>
        <v>0</v>
      </c>
      <c r="EG93">
        <f ca="1"/>
        <v>0</v>
      </c>
      <c r="EH93">
        <f ca="1"/>
        <v>0</v>
      </c>
      <c r="EI93">
        <f ca="1"/>
        <v>0</v>
      </c>
      <c r="EJ93">
        <f ca="1"/>
        <v>0</v>
      </c>
      <c r="EK93">
        <f ca="1"/>
        <v>0</v>
      </c>
      <c r="EL93">
        <f ca="1"/>
        <v>0</v>
      </c>
      <c r="EM93">
        <f ca="1"/>
        <v>0</v>
      </c>
      <c r="EN93">
        <f ca="1"/>
        <v>0</v>
      </c>
      <c r="EO93">
        <f ca="1"/>
        <v>0</v>
      </c>
      <c r="EP93">
        <f ca="1"/>
        <v>0</v>
      </c>
      <c r="EQ93">
        <f ca="1"/>
        <v>0</v>
      </c>
      <c r="ER93">
        <f ca="1"/>
        <v>0</v>
      </c>
      <c r="ES93">
        <f ca="1"/>
        <v>0</v>
      </c>
      <c r="ET93">
        <f ca="1"/>
        <v>0</v>
      </c>
      <c r="EU93">
        <f ca="1"/>
        <v>0</v>
      </c>
      <c r="EV93">
        <f ca="1"/>
        <v>0</v>
      </c>
      <c r="EW93">
        <f ca="1"/>
        <v>0</v>
      </c>
      <c r="EX93">
        <f ca="1"/>
        <v>0</v>
      </c>
      <c r="EY93">
        <f ca="1"/>
        <v>0</v>
      </c>
      <c r="EZ93">
        <f ca="1"/>
        <v>0</v>
      </c>
      <c r="FA93">
        <f ca="1"/>
        <v>0</v>
      </c>
      <c r="FB93">
        <f ca="1"/>
        <v>0</v>
      </c>
      <c r="FC93">
        <f ca="1"/>
        <v>0</v>
      </c>
      <c r="FD93">
        <f ca="1"/>
        <v>0</v>
      </c>
      <c r="FE93">
        <f ca="1"/>
        <v>0</v>
      </c>
      <c r="FF93">
        <f ca="1"/>
        <v>0</v>
      </c>
      <c r="FG93">
        <f ca="1"/>
        <v>0</v>
      </c>
      <c r="FH93">
        <f ca="1"/>
        <v>0</v>
      </c>
      <c r="FI93">
        <f ca="1"/>
        <v>0</v>
      </c>
      <c r="FJ93">
        <f ca="1"/>
        <v>0</v>
      </c>
      <c r="FK93">
        <f ca="1"/>
        <v>0</v>
      </c>
      <c r="FL93">
        <f ca="1"/>
        <v>0</v>
      </c>
      <c r="FM93">
        <f ca="1"/>
        <v>0</v>
      </c>
      <c r="FN93">
        <f ca="1"/>
        <v>0</v>
      </c>
      <c r="FO93">
        <f ca="1"/>
        <v>0</v>
      </c>
      <c r="FP93">
        <f ca="1"/>
        <v>0</v>
      </c>
      <c r="FQ93">
        <f ca="1"/>
        <v>0</v>
      </c>
      <c r="FR93">
        <f ca="1"/>
        <v>0</v>
      </c>
      <c r="FS93">
        <f ca="1"/>
        <v>0</v>
      </c>
      <c r="FT93">
        <f ca="1"/>
        <v>0</v>
      </c>
      <c r="FU93">
        <f ca="1"/>
        <v>0</v>
      </c>
      <c r="FV93">
        <f ca="1"/>
        <v>0</v>
      </c>
      <c r="FW93">
        <f ca="1"/>
        <v>0</v>
      </c>
      <c r="FX93">
        <f ca="1"/>
        <v>0</v>
      </c>
      <c r="FY93">
        <f ca="1"/>
        <v>0</v>
      </c>
      <c r="FZ93">
        <f ca="1"/>
        <v>0</v>
      </c>
    </row>
    <row r="94" spans="3:182">
      <c r="C94" cm="1">
        <f t="array" aca="1" ref="C94:FZ94" ca="1">IFERROR(TRANSPOSE(INDEX(_xlfn._xlws.FILTER(INDIRECT("SubcategoriesTable[Subcategory name]"),INDIRECT("SubcategoriesTable[Category name]")=$B94),,)),"No subcategories")</f>
        <v>0</v>
      </c>
      <c r="D94">
        <f ca="1"/>
        <v>0</v>
      </c>
      <c r="E94">
        <f ca="1"/>
        <v>0</v>
      </c>
      <c r="F94">
        <f ca="1"/>
        <v>0</v>
      </c>
      <c r="G94">
        <f ca="1"/>
        <v>0</v>
      </c>
      <c r="H94">
        <f ca="1"/>
        <v>0</v>
      </c>
      <c r="I94">
        <f ca="1"/>
        <v>0</v>
      </c>
      <c r="J94">
        <f ca="1"/>
        <v>0</v>
      </c>
      <c r="K94">
        <f ca="1"/>
        <v>0</v>
      </c>
      <c r="L94">
        <f ca="1"/>
        <v>0</v>
      </c>
      <c r="M94">
        <f ca="1"/>
        <v>0</v>
      </c>
      <c r="N94">
        <f ca="1"/>
        <v>0</v>
      </c>
      <c r="O94">
        <f ca="1"/>
        <v>0</v>
      </c>
      <c r="P94">
        <f ca="1"/>
        <v>0</v>
      </c>
      <c r="Q94">
        <f ca="1"/>
        <v>0</v>
      </c>
      <c r="R94">
        <f ca="1"/>
        <v>0</v>
      </c>
      <c r="S94">
        <f ca="1"/>
        <v>0</v>
      </c>
      <c r="T94">
        <f ca="1"/>
        <v>0</v>
      </c>
      <c r="U94">
        <f ca="1"/>
        <v>0</v>
      </c>
      <c r="V94">
        <f ca="1"/>
        <v>0</v>
      </c>
      <c r="W94">
        <f ca="1"/>
        <v>0</v>
      </c>
      <c r="X94">
        <f ca="1"/>
        <v>0</v>
      </c>
      <c r="Y94">
        <f ca="1"/>
        <v>0</v>
      </c>
      <c r="Z94">
        <f ca="1"/>
        <v>0</v>
      </c>
      <c r="AA94">
        <f ca="1"/>
        <v>0</v>
      </c>
      <c r="AB94">
        <f ca="1"/>
        <v>0</v>
      </c>
      <c r="AC94">
        <f ca="1"/>
        <v>0</v>
      </c>
      <c r="AD94">
        <f ca="1"/>
        <v>0</v>
      </c>
      <c r="AE94">
        <f ca="1"/>
        <v>0</v>
      </c>
      <c r="AF94">
        <f ca="1"/>
        <v>0</v>
      </c>
      <c r="AG94">
        <f ca="1"/>
        <v>0</v>
      </c>
      <c r="AH94">
        <f ca="1"/>
        <v>0</v>
      </c>
      <c r="AI94">
        <f ca="1"/>
        <v>0</v>
      </c>
      <c r="AJ94">
        <f ca="1"/>
        <v>0</v>
      </c>
      <c r="AK94">
        <f ca="1"/>
        <v>0</v>
      </c>
      <c r="AL94">
        <f ca="1"/>
        <v>0</v>
      </c>
      <c r="AM94">
        <f ca="1"/>
        <v>0</v>
      </c>
      <c r="AN94">
        <f ca="1"/>
        <v>0</v>
      </c>
      <c r="AO94">
        <f ca="1"/>
        <v>0</v>
      </c>
      <c r="AP94">
        <f ca="1"/>
        <v>0</v>
      </c>
      <c r="AQ94">
        <f ca="1"/>
        <v>0</v>
      </c>
      <c r="AR94">
        <f ca="1"/>
        <v>0</v>
      </c>
      <c r="AS94">
        <f ca="1"/>
        <v>0</v>
      </c>
      <c r="AT94">
        <f ca="1"/>
        <v>0</v>
      </c>
      <c r="AU94">
        <f ca="1"/>
        <v>0</v>
      </c>
      <c r="AV94">
        <f ca="1"/>
        <v>0</v>
      </c>
      <c r="AW94">
        <f ca="1"/>
        <v>0</v>
      </c>
      <c r="AX94">
        <f ca="1"/>
        <v>0</v>
      </c>
      <c r="AY94">
        <f ca="1"/>
        <v>0</v>
      </c>
      <c r="AZ94">
        <f ca="1"/>
        <v>0</v>
      </c>
      <c r="BA94">
        <f ca="1"/>
        <v>0</v>
      </c>
      <c r="BB94">
        <f ca="1"/>
        <v>0</v>
      </c>
      <c r="BC94">
        <f ca="1"/>
        <v>0</v>
      </c>
      <c r="BD94">
        <f ca="1"/>
        <v>0</v>
      </c>
      <c r="BE94">
        <f ca="1"/>
        <v>0</v>
      </c>
      <c r="BF94">
        <f ca="1"/>
        <v>0</v>
      </c>
      <c r="BG94">
        <f ca="1"/>
        <v>0</v>
      </c>
      <c r="BH94">
        <f ca="1"/>
        <v>0</v>
      </c>
      <c r="BI94">
        <f ca="1"/>
        <v>0</v>
      </c>
      <c r="BJ94">
        <f ca="1"/>
        <v>0</v>
      </c>
      <c r="BK94">
        <f ca="1"/>
        <v>0</v>
      </c>
      <c r="BL94">
        <f ca="1"/>
        <v>0</v>
      </c>
      <c r="BM94">
        <f ca="1"/>
        <v>0</v>
      </c>
      <c r="BN94">
        <f ca="1"/>
        <v>0</v>
      </c>
      <c r="BO94">
        <f ca="1"/>
        <v>0</v>
      </c>
      <c r="BP94">
        <f ca="1"/>
        <v>0</v>
      </c>
      <c r="BQ94">
        <f ca="1"/>
        <v>0</v>
      </c>
      <c r="BR94">
        <f ca="1"/>
        <v>0</v>
      </c>
      <c r="BS94">
        <f ca="1"/>
        <v>0</v>
      </c>
      <c r="BT94">
        <f ca="1"/>
        <v>0</v>
      </c>
      <c r="BU94">
        <f ca="1"/>
        <v>0</v>
      </c>
      <c r="BV94">
        <f ca="1"/>
        <v>0</v>
      </c>
      <c r="BW94">
        <f ca="1"/>
        <v>0</v>
      </c>
      <c r="BX94">
        <f ca="1"/>
        <v>0</v>
      </c>
      <c r="BY94">
        <f ca="1"/>
        <v>0</v>
      </c>
      <c r="BZ94">
        <f ca="1"/>
        <v>0</v>
      </c>
      <c r="CA94">
        <f ca="1"/>
        <v>0</v>
      </c>
      <c r="CB94">
        <f ca="1"/>
        <v>0</v>
      </c>
      <c r="CC94">
        <f ca="1"/>
        <v>0</v>
      </c>
      <c r="CD94">
        <f ca="1"/>
        <v>0</v>
      </c>
      <c r="CE94">
        <f ca="1"/>
        <v>0</v>
      </c>
      <c r="CF94">
        <f ca="1"/>
        <v>0</v>
      </c>
      <c r="CG94">
        <f ca="1"/>
        <v>0</v>
      </c>
      <c r="CH94">
        <f ca="1"/>
        <v>0</v>
      </c>
      <c r="CI94">
        <f ca="1"/>
        <v>0</v>
      </c>
      <c r="CJ94">
        <f ca="1"/>
        <v>0</v>
      </c>
      <c r="CK94">
        <f ca="1"/>
        <v>0</v>
      </c>
      <c r="CL94">
        <f ca="1"/>
        <v>0</v>
      </c>
      <c r="CM94">
        <f ca="1"/>
        <v>0</v>
      </c>
      <c r="CN94">
        <f ca="1"/>
        <v>0</v>
      </c>
      <c r="CO94">
        <f ca="1"/>
        <v>0</v>
      </c>
      <c r="CP94">
        <f ca="1"/>
        <v>0</v>
      </c>
      <c r="CQ94">
        <f ca="1"/>
        <v>0</v>
      </c>
      <c r="CR94">
        <f ca="1"/>
        <v>0</v>
      </c>
      <c r="CS94">
        <f ca="1"/>
        <v>0</v>
      </c>
      <c r="CT94">
        <f ca="1"/>
        <v>0</v>
      </c>
      <c r="CU94">
        <f ca="1"/>
        <v>0</v>
      </c>
      <c r="CV94">
        <f ca="1"/>
        <v>0</v>
      </c>
      <c r="CW94">
        <f ca="1"/>
        <v>0</v>
      </c>
      <c r="CX94">
        <f ca="1"/>
        <v>0</v>
      </c>
      <c r="CY94">
        <f ca="1"/>
        <v>0</v>
      </c>
      <c r="CZ94">
        <f ca="1"/>
        <v>0</v>
      </c>
      <c r="DA94">
        <f ca="1"/>
        <v>0</v>
      </c>
      <c r="DB94">
        <f ca="1"/>
        <v>0</v>
      </c>
      <c r="DC94">
        <f ca="1"/>
        <v>0</v>
      </c>
      <c r="DD94">
        <f ca="1"/>
        <v>0</v>
      </c>
      <c r="DE94">
        <f ca="1"/>
        <v>0</v>
      </c>
      <c r="DF94">
        <f ca="1"/>
        <v>0</v>
      </c>
      <c r="DG94">
        <f ca="1"/>
        <v>0</v>
      </c>
      <c r="DH94">
        <f ca="1"/>
        <v>0</v>
      </c>
      <c r="DI94">
        <f ca="1"/>
        <v>0</v>
      </c>
      <c r="DJ94">
        <f ca="1"/>
        <v>0</v>
      </c>
      <c r="DK94">
        <f ca="1"/>
        <v>0</v>
      </c>
      <c r="DL94">
        <f ca="1"/>
        <v>0</v>
      </c>
      <c r="DM94">
        <f ca="1"/>
        <v>0</v>
      </c>
      <c r="DN94">
        <f ca="1"/>
        <v>0</v>
      </c>
      <c r="DO94">
        <f ca="1"/>
        <v>0</v>
      </c>
      <c r="DP94">
        <f ca="1"/>
        <v>0</v>
      </c>
      <c r="DQ94">
        <f ca="1"/>
        <v>0</v>
      </c>
      <c r="DR94">
        <f ca="1"/>
        <v>0</v>
      </c>
      <c r="DS94">
        <f ca="1"/>
        <v>0</v>
      </c>
      <c r="DT94">
        <f ca="1"/>
        <v>0</v>
      </c>
      <c r="DU94">
        <f ca="1"/>
        <v>0</v>
      </c>
      <c r="DV94">
        <f ca="1"/>
        <v>0</v>
      </c>
      <c r="DW94">
        <f ca="1"/>
        <v>0</v>
      </c>
      <c r="DX94">
        <f ca="1"/>
        <v>0</v>
      </c>
      <c r="DY94">
        <f ca="1"/>
        <v>0</v>
      </c>
      <c r="DZ94">
        <f ca="1"/>
        <v>0</v>
      </c>
      <c r="EA94">
        <f ca="1"/>
        <v>0</v>
      </c>
      <c r="EB94">
        <f ca="1"/>
        <v>0</v>
      </c>
      <c r="EC94">
        <f ca="1"/>
        <v>0</v>
      </c>
      <c r="ED94">
        <f ca="1"/>
        <v>0</v>
      </c>
      <c r="EE94">
        <f ca="1"/>
        <v>0</v>
      </c>
      <c r="EF94">
        <f ca="1"/>
        <v>0</v>
      </c>
      <c r="EG94">
        <f ca="1"/>
        <v>0</v>
      </c>
      <c r="EH94">
        <f ca="1"/>
        <v>0</v>
      </c>
      <c r="EI94">
        <f ca="1"/>
        <v>0</v>
      </c>
      <c r="EJ94">
        <f ca="1"/>
        <v>0</v>
      </c>
      <c r="EK94">
        <f ca="1"/>
        <v>0</v>
      </c>
      <c r="EL94">
        <f ca="1"/>
        <v>0</v>
      </c>
      <c r="EM94">
        <f ca="1"/>
        <v>0</v>
      </c>
      <c r="EN94">
        <f ca="1"/>
        <v>0</v>
      </c>
      <c r="EO94">
        <f ca="1"/>
        <v>0</v>
      </c>
      <c r="EP94">
        <f ca="1"/>
        <v>0</v>
      </c>
      <c r="EQ94">
        <f ca="1"/>
        <v>0</v>
      </c>
      <c r="ER94">
        <f ca="1"/>
        <v>0</v>
      </c>
      <c r="ES94">
        <f ca="1"/>
        <v>0</v>
      </c>
      <c r="ET94">
        <f ca="1"/>
        <v>0</v>
      </c>
      <c r="EU94">
        <f ca="1"/>
        <v>0</v>
      </c>
      <c r="EV94">
        <f ca="1"/>
        <v>0</v>
      </c>
      <c r="EW94">
        <f ca="1"/>
        <v>0</v>
      </c>
      <c r="EX94">
        <f ca="1"/>
        <v>0</v>
      </c>
      <c r="EY94">
        <f ca="1"/>
        <v>0</v>
      </c>
      <c r="EZ94">
        <f ca="1"/>
        <v>0</v>
      </c>
      <c r="FA94">
        <f ca="1"/>
        <v>0</v>
      </c>
      <c r="FB94">
        <f ca="1"/>
        <v>0</v>
      </c>
      <c r="FC94">
        <f ca="1"/>
        <v>0</v>
      </c>
      <c r="FD94">
        <f ca="1"/>
        <v>0</v>
      </c>
      <c r="FE94">
        <f ca="1"/>
        <v>0</v>
      </c>
      <c r="FF94">
        <f ca="1"/>
        <v>0</v>
      </c>
      <c r="FG94">
        <f ca="1"/>
        <v>0</v>
      </c>
      <c r="FH94">
        <f ca="1"/>
        <v>0</v>
      </c>
      <c r="FI94">
        <f ca="1"/>
        <v>0</v>
      </c>
      <c r="FJ94">
        <f ca="1"/>
        <v>0</v>
      </c>
      <c r="FK94">
        <f ca="1"/>
        <v>0</v>
      </c>
      <c r="FL94">
        <f ca="1"/>
        <v>0</v>
      </c>
      <c r="FM94">
        <f ca="1"/>
        <v>0</v>
      </c>
      <c r="FN94">
        <f ca="1"/>
        <v>0</v>
      </c>
      <c r="FO94">
        <f ca="1"/>
        <v>0</v>
      </c>
      <c r="FP94">
        <f ca="1"/>
        <v>0</v>
      </c>
      <c r="FQ94">
        <f ca="1"/>
        <v>0</v>
      </c>
      <c r="FR94">
        <f ca="1"/>
        <v>0</v>
      </c>
      <c r="FS94">
        <f ca="1"/>
        <v>0</v>
      </c>
      <c r="FT94">
        <f ca="1"/>
        <v>0</v>
      </c>
      <c r="FU94">
        <f ca="1"/>
        <v>0</v>
      </c>
      <c r="FV94">
        <f ca="1"/>
        <v>0</v>
      </c>
      <c r="FW94">
        <f ca="1"/>
        <v>0</v>
      </c>
      <c r="FX94">
        <f ca="1"/>
        <v>0</v>
      </c>
      <c r="FY94">
        <f ca="1"/>
        <v>0</v>
      </c>
      <c r="FZ94">
        <f ca="1"/>
        <v>0</v>
      </c>
    </row>
    <row r="95" spans="3:182">
      <c r="C95" cm="1">
        <f t="array" aca="1" ref="C95:FZ95" ca="1">IFERROR(TRANSPOSE(INDEX(_xlfn._xlws.FILTER(INDIRECT("SubcategoriesTable[Subcategory name]"),INDIRECT("SubcategoriesTable[Category name]")=$B95),,)),"No subcategories")</f>
        <v>0</v>
      </c>
      <c r="D95">
        <f ca="1"/>
        <v>0</v>
      </c>
      <c r="E95">
        <f ca="1"/>
        <v>0</v>
      </c>
      <c r="F95">
        <f ca="1"/>
        <v>0</v>
      </c>
      <c r="G95">
        <f ca="1"/>
        <v>0</v>
      </c>
      <c r="H95">
        <f ca="1"/>
        <v>0</v>
      </c>
      <c r="I95">
        <f ca="1"/>
        <v>0</v>
      </c>
      <c r="J95">
        <f ca="1"/>
        <v>0</v>
      </c>
      <c r="K95">
        <f ca="1"/>
        <v>0</v>
      </c>
      <c r="L95">
        <f ca="1"/>
        <v>0</v>
      </c>
      <c r="M95">
        <f ca="1"/>
        <v>0</v>
      </c>
      <c r="N95">
        <f ca="1"/>
        <v>0</v>
      </c>
      <c r="O95">
        <f ca="1"/>
        <v>0</v>
      </c>
      <c r="P95">
        <f ca="1"/>
        <v>0</v>
      </c>
      <c r="Q95">
        <f ca="1"/>
        <v>0</v>
      </c>
      <c r="R95">
        <f ca="1"/>
        <v>0</v>
      </c>
      <c r="S95">
        <f ca="1"/>
        <v>0</v>
      </c>
      <c r="T95">
        <f ca="1"/>
        <v>0</v>
      </c>
      <c r="U95">
        <f ca="1"/>
        <v>0</v>
      </c>
      <c r="V95">
        <f ca="1"/>
        <v>0</v>
      </c>
      <c r="W95">
        <f ca="1"/>
        <v>0</v>
      </c>
      <c r="X95">
        <f ca="1"/>
        <v>0</v>
      </c>
      <c r="Y95">
        <f ca="1"/>
        <v>0</v>
      </c>
      <c r="Z95">
        <f ca="1"/>
        <v>0</v>
      </c>
      <c r="AA95">
        <f ca="1"/>
        <v>0</v>
      </c>
      <c r="AB95">
        <f ca="1"/>
        <v>0</v>
      </c>
      <c r="AC95">
        <f ca="1"/>
        <v>0</v>
      </c>
      <c r="AD95">
        <f ca="1"/>
        <v>0</v>
      </c>
      <c r="AE95">
        <f ca="1"/>
        <v>0</v>
      </c>
      <c r="AF95">
        <f ca="1"/>
        <v>0</v>
      </c>
      <c r="AG95">
        <f ca="1"/>
        <v>0</v>
      </c>
      <c r="AH95">
        <f ca="1"/>
        <v>0</v>
      </c>
      <c r="AI95">
        <f ca="1"/>
        <v>0</v>
      </c>
      <c r="AJ95">
        <f ca="1"/>
        <v>0</v>
      </c>
      <c r="AK95">
        <f ca="1"/>
        <v>0</v>
      </c>
      <c r="AL95">
        <f ca="1"/>
        <v>0</v>
      </c>
      <c r="AM95">
        <f ca="1"/>
        <v>0</v>
      </c>
      <c r="AN95">
        <f ca="1"/>
        <v>0</v>
      </c>
      <c r="AO95">
        <f ca="1"/>
        <v>0</v>
      </c>
      <c r="AP95">
        <f ca="1"/>
        <v>0</v>
      </c>
      <c r="AQ95">
        <f ca="1"/>
        <v>0</v>
      </c>
      <c r="AR95">
        <f ca="1"/>
        <v>0</v>
      </c>
      <c r="AS95">
        <f ca="1"/>
        <v>0</v>
      </c>
      <c r="AT95">
        <f ca="1"/>
        <v>0</v>
      </c>
      <c r="AU95">
        <f ca="1"/>
        <v>0</v>
      </c>
      <c r="AV95">
        <f ca="1"/>
        <v>0</v>
      </c>
      <c r="AW95">
        <f ca="1"/>
        <v>0</v>
      </c>
      <c r="AX95">
        <f ca="1"/>
        <v>0</v>
      </c>
      <c r="AY95">
        <f ca="1"/>
        <v>0</v>
      </c>
      <c r="AZ95">
        <f ca="1"/>
        <v>0</v>
      </c>
      <c r="BA95">
        <f ca="1"/>
        <v>0</v>
      </c>
      <c r="BB95">
        <f ca="1"/>
        <v>0</v>
      </c>
      <c r="BC95">
        <f ca="1"/>
        <v>0</v>
      </c>
      <c r="BD95">
        <f ca="1"/>
        <v>0</v>
      </c>
      <c r="BE95">
        <f ca="1"/>
        <v>0</v>
      </c>
      <c r="BF95">
        <f ca="1"/>
        <v>0</v>
      </c>
      <c r="BG95">
        <f ca="1"/>
        <v>0</v>
      </c>
      <c r="BH95">
        <f ca="1"/>
        <v>0</v>
      </c>
      <c r="BI95">
        <f ca="1"/>
        <v>0</v>
      </c>
      <c r="BJ95">
        <f ca="1"/>
        <v>0</v>
      </c>
      <c r="BK95">
        <f ca="1"/>
        <v>0</v>
      </c>
      <c r="BL95">
        <f ca="1"/>
        <v>0</v>
      </c>
      <c r="BM95">
        <f ca="1"/>
        <v>0</v>
      </c>
      <c r="BN95">
        <f ca="1"/>
        <v>0</v>
      </c>
      <c r="BO95">
        <f ca="1"/>
        <v>0</v>
      </c>
      <c r="BP95">
        <f ca="1"/>
        <v>0</v>
      </c>
      <c r="BQ95">
        <f ca="1"/>
        <v>0</v>
      </c>
      <c r="BR95">
        <f ca="1"/>
        <v>0</v>
      </c>
      <c r="BS95">
        <f ca="1"/>
        <v>0</v>
      </c>
      <c r="BT95">
        <f ca="1"/>
        <v>0</v>
      </c>
      <c r="BU95">
        <f ca="1"/>
        <v>0</v>
      </c>
      <c r="BV95">
        <f ca="1"/>
        <v>0</v>
      </c>
      <c r="BW95">
        <f ca="1"/>
        <v>0</v>
      </c>
      <c r="BX95">
        <f ca="1"/>
        <v>0</v>
      </c>
      <c r="BY95">
        <f ca="1"/>
        <v>0</v>
      </c>
      <c r="BZ95">
        <f ca="1"/>
        <v>0</v>
      </c>
      <c r="CA95">
        <f ca="1"/>
        <v>0</v>
      </c>
      <c r="CB95">
        <f ca="1"/>
        <v>0</v>
      </c>
      <c r="CC95">
        <f ca="1"/>
        <v>0</v>
      </c>
      <c r="CD95">
        <f ca="1"/>
        <v>0</v>
      </c>
      <c r="CE95">
        <f ca="1"/>
        <v>0</v>
      </c>
      <c r="CF95">
        <f ca="1"/>
        <v>0</v>
      </c>
      <c r="CG95">
        <f ca="1"/>
        <v>0</v>
      </c>
      <c r="CH95">
        <f ca="1"/>
        <v>0</v>
      </c>
      <c r="CI95">
        <f ca="1"/>
        <v>0</v>
      </c>
      <c r="CJ95">
        <f ca="1"/>
        <v>0</v>
      </c>
      <c r="CK95">
        <f ca="1"/>
        <v>0</v>
      </c>
      <c r="CL95">
        <f ca="1"/>
        <v>0</v>
      </c>
      <c r="CM95">
        <f ca="1"/>
        <v>0</v>
      </c>
      <c r="CN95">
        <f ca="1"/>
        <v>0</v>
      </c>
      <c r="CO95">
        <f ca="1"/>
        <v>0</v>
      </c>
      <c r="CP95">
        <f ca="1"/>
        <v>0</v>
      </c>
      <c r="CQ95">
        <f ca="1"/>
        <v>0</v>
      </c>
      <c r="CR95">
        <f ca="1"/>
        <v>0</v>
      </c>
      <c r="CS95">
        <f ca="1"/>
        <v>0</v>
      </c>
      <c r="CT95">
        <f ca="1"/>
        <v>0</v>
      </c>
      <c r="CU95">
        <f ca="1"/>
        <v>0</v>
      </c>
      <c r="CV95">
        <f ca="1"/>
        <v>0</v>
      </c>
      <c r="CW95">
        <f ca="1"/>
        <v>0</v>
      </c>
      <c r="CX95">
        <f ca="1"/>
        <v>0</v>
      </c>
      <c r="CY95">
        <f ca="1"/>
        <v>0</v>
      </c>
      <c r="CZ95">
        <f ca="1"/>
        <v>0</v>
      </c>
      <c r="DA95">
        <f ca="1"/>
        <v>0</v>
      </c>
      <c r="DB95">
        <f ca="1"/>
        <v>0</v>
      </c>
      <c r="DC95">
        <f ca="1"/>
        <v>0</v>
      </c>
      <c r="DD95">
        <f ca="1"/>
        <v>0</v>
      </c>
      <c r="DE95">
        <f ca="1"/>
        <v>0</v>
      </c>
      <c r="DF95">
        <f ca="1"/>
        <v>0</v>
      </c>
      <c r="DG95">
        <f ca="1"/>
        <v>0</v>
      </c>
      <c r="DH95">
        <f ca="1"/>
        <v>0</v>
      </c>
      <c r="DI95">
        <f ca="1"/>
        <v>0</v>
      </c>
      <c r="DJ95">
        <f ca="1"/>
        <v>0</v>
      </c>
      <c r="DK95">
        <f ca="1"/>
        <v>0</v>
      </c>
      <c r="DL95">
        <f ca="1"/>
        <v>0</v>
      </c>
      <c r="DM95">
        <f ca="1"/>
        <v>0</v>
      </c>
      <c r="DN95">
        <f ca="1"/>
        <v>0</v>
      </c>
      <c r="DO95">
        <f ca="1"/>
        <v>0</v>
      </c>
      <c r="DP95">
        <f ca="1"/>
        <v>0</v>
      </c>
      <c r="DQ95">
        <f ca="1"/>
        <v>0</v>
      </c>
      <c r="DR95">
        <f ca="1"/>
        <v>0</v>
      </c>
      <c r="DS95">
        <f ca="1"/>
        <v>0</v>
      </c>
      <c r="DT95">
        <f ca="1"/>
        <v>0</v>
      </c>
      <c r="DU95">
        <f ca="1"/>
        <v>0</v>
      </c>
      <c r="DV95">
        <f ca="1"/>
        <v>0</v>
      </c>
      <c r="DW95">
        <f ca="1"/>
        <v>0</v>
      </c>
      <c r="DX95">
        <f ca="1"/>
        <v>0</v>
      </c>
      <c r="DY95">
        <f ca="1"/>
        <v>0</v>
      </c>
      <c r="DZ95">
        <f ca="1"/>
        <v>0</v>
      </c>
      <c r="EA95">
        <f ca="1"/>
        <v>0</v>
      </c>
      <c r="EB95">
        <f ca="1"/>
        <v>0</v>
      </c>
      <c r="EC95">
        <f ca="1"/>
        <v>0</v>
      </c>
      <c r="ED95">
        <f ca="1"/>
        <v>0</v>
      </c>
      <c r="EE95">
        <f ca="1"/>
        <v>0</v>
      </c>
      <c r="EF95">
        <f ca="1"/>
        <v>0</v>
      </c>
      <c r="EG95">
        <f ca="1"/>
        <v>0</v>
      </c>
      <c r="EH95">
        <f ca="1"/>
        <v>0</v>
      </c>
      <c r="EI95">
        <f ca="1"/>
        <v>0</v>
      </c>
      <c r="EJ95">
        <f ca="1"/>
        <v>0</v>
      </c>
      <c r="EK95">
        <f ca="1"/>
        <v>0</v>
      </c>
      <c r="EL95">
        <f ca="1"/>
        <v>0</v>
      </c>
      <c r="EM95">
        <f ca="1"/>
        <v>0</v>
      </c>
      <c r="EN95">
        <f ca="1"/>
        <v>0</v>
      </c>
      <c r="EO95">
        <f ca="1"/>
        <v>0</v>
      </c>
      <c r="EP95">
        <f ca="1"/>
        <v>0</v>
      </c>
      <c r="EQ95">
        <f ca="1"/>
        <v>0</v>
      </c>
      <c r="ER95">
        <f ca="1"/>
        <v>0</v>
      </c>
      <c r="ES95">
        <f ca="1"/>
        <v>0</v>
      </c>
      <c r="ET95">
        <f ca="1"/>
        <v>0</v>
      </c>
      <c r="EU95">
        <f ca="1"/>
        <v>0</v>
      </c>
      <c r="EV95">
        <f ca="1"/>
        <v>0</v>
      </c>
      <c r="EW95">
        <f ca="1"/>
        <v>0</v>
      </c>
      <c r="EX95">
        <f ca="1"/>
        <v>0</v>
      </c>
      <c r="EY95">
        <f ca="1"/>
        <v>0</v>
      </c>
      <c r="EZ95">
        <f ca="1"/>
        <v>0</v>
      </c>
      <c r="FA95">
        <f ca="1"/>
        <v>0</v>
      </c>
      <c r="FB95">
        <f ca="1"/>
        <v>0</v>
      </c>
      <c r="FC95">
        <f ca="1"/>
        <v>0</v>
      </c>
      <c r="FD95">
        <f ca="1"/>
        <v>0</v>
      </c>
      <c r="FE95">
        <f ca="1"/>
        <v>0</v>
      </c>
      <c r="FF95">
        <f ca="1"/>
        <v>0</v>
      </c>
      <c r="FG95">
        <f ca="1"/>
        <v>0</v>
      </c>
      <c r="FH95">
        <f ca="1"/>
        <v>0</v>
      </c>
      <c r="FI95">
        <f ca="1"/>
        <v>0</v>
      </c>
      <c r="FJ95">
        <f ca="1"/>
        <v>0</v>
      </c>
      <c r="FK95">
        <f ca="1"/>
        <v>0</v>
      </c>
      <c r="FL95">
        <f ca="1"/>
        <v>0</v>
      </c>
      <c r="FM95">
        <f ca="1"/>
        <v>0</v>
      </c>
      <c r="FN95">
        <f ca="1"/>
        <v>0</v>
      </c>
      <c r="FO95">
        <f ca="1"/>
        <v>0</v>
      </c>
      <c r="FP95">
        <f ca="1"/>
        <v>0</v>
      </c>
      <c r="FQ95">
        <f ca="1"/>
        <v>0</v>
      </c>
      <c r="FR95">
        <f ca="1"/>
        <v>0</v>
      </c>
      <c r="FS95">
        <f ca="1"/>
        <v>0</v>
      </c>
      <c r="FT95">
        <f ca="1"/>
        <v>0</v>
      </c>
      <c r="FU95">
        <f ca="1"/>
        <v>0</v>
      </c>
      <c r="FV95">
        <f ca="1"/>
        <v>0</v>
      </c>
      <c r="FW95">
        <f ca="1"/>
        <v>0</v>
      </c>
      <c r="FX95">
        <f ca="1"/>
        <v>0</v>
      </c>
      <c r="FY95">
        <f ca="1"/>
        <v>0</v>
      </c>
      <c r="FZ95">
        <f ca="1"/>
        <v>0</v>
      </c>
    </row>
    <row r="96" spans="3:182">
      <c r="C96" cm="1">
        <f t="array" aca="1" ref="C96:FZ96" ca="1">IFERROR(TRANSPOSE(INDEX(_xlfn._xlws.FILTER(INDIRECT("SubcategoriesTable[Subcategory name]"),INDIRECT("SubcategoriesTable[Category name]")=$B96),,)),"No subcategories")</f>
        <v>0</v>
      </c>
      <c r="D96">
        <f ca="1"/>
        <v>0</v>
      </c>
      <c r="E96">
        <f ca="1"/>
        <v>0</v>
      </c>
      <c r="F96">
        <f ca="1"/>
        <v>0</v>
      </c>
      <c r="G96">
        <f ca="1"/>
        <v>0</v>
      </c>
      <c r="H96">
        <f ca="1"/>
        <v>0</v>
      </c>
      <c r="I96">
        <f ca="1"/>
        <v>0</v>
      </c>
      <c r="J96">
        <f ca="1"/>
        <v>0</v>
      </c>
      <c r="K96">
        <f ca="1"/>
        <v>0</v>
      </c>
      <c r="L96">
        <f ca="1"/>
        <v>0</v>
      </c>
      <c r="M96">
        <f ca="1"/>
        <v>0</v>
      </c>
      <c r="N96">
        <f ca="1"/>
        <v>0</v>
      </c>
      <c r="O96">
        <f ca="1"/>
        <v>0</v>
      </c>
      <c r="P96">
        <f ca="1"/>
        <v>0</v>
      </c>
      <c r="Q96">
        <f ca="1"/>
        <v>0</v>
      </c>
      <c r="R96">
        <f ca="1"/>
        <v>0</v>
      </c>
      <c r="S96">
        <f ca="1"/>
        <v>0</v>
      </c>
      <c r="T96">
        <f ca="1"/>
        <v>0</v>
      </c>
      <c r="U96">
        <f ca="1"/>
        <v>0</v>
      </c>
      <c r="V96">
        <f ca="1"/>
        <v>0</v>
      </c>
      <c r="W96">
        <f ca="1"/>
        <v>0</v>
      </c>
      <c r="X96">
        <f ca="1"/>
        <v>0</v>
      </c>
      <c r="Y96">
        <f ca="1"/>
        <v>0</v>
      </c>
      <c r="Z96">
        <f ca="1"/>
        <v>0</v>
      </c>
      <c r="AA96">
        <f ca="1"/>
        <v>0</v>
      </c>
      <c r="AB96">
        <f ca="1"/>
        <v>0</v>
      </c>
      <c r="AC96">
        <f ca="1"/>
        <v>0</v>
      </c>
      <c r="AD96">
        <f ca="1"/>
        <v>0</v>
      </c>
      <c r="AE96">
        <f ca="1"/>
        <v>0</v>
      </c>
      <c r="AF96">
        <f ca="1"/>
        <v>0</v>
      </c>
      <c r="AG96">
        <f ca="1"/>
        <v>0</v>
      </c>
      <c r="AH96">
        <f ca="1"/>
        <v>0</v>
      </c>
      <c r="AI96">
        <f ca="1"/>
        <v>0</v>
      </c>
      <c r="AJ96">
        <f ca="1"/>
        <v>0</v>
      </c>
      <c r="AK96">
        <f ca="1"/>
        <v>0</v>
      </c>
      <c r="AL96">
        <f ca="1"/>
        <v>0</v>
      </c>
      <c r="AM96">
        <f ca="1"/>
        <v>0</v>
      </c>
      <c r="AN96">
        <f ca="1"/>
        <v>0</v>
      </c>
      <c r="AO96">
        <f ca="1"/>
        <v>0</v>
      </c>
      <c r="AP96">
        <f ca="1"/>
        <v>0</v>
      </c>
      <c r="AQ96">
        <f ca="1"/>
        <v>0</v>
      </c>
      <c r="AR96">
        <f ca="1"/>
        <v>0</v>
      </c>
      <c r="AS96">
        <f ca="1"/>
        <v>0</v>
      </c>
      <c r="AT96">
        <f ca="1"/>
        <v>0</v>
      </c>
      <c r="AU96">
        <f ca="1"/>
        <v>0</v>
      </c>
      <c r="AV96">
        <f ca="1"/>
        <v>0</v>
      </c>
      <c r="AW96">
        <f ca="1"/>
        <v>0</v>
      </c>
      <c r="AX96">
        <f ca="1"/>
        <v>0</v>
      </c>
      <c r="AY96">
        <f ca="1"/>
        <v>0</v>
      </c>
      <c r="AZ96">
        <f ca="1"/>
        <v>0</v>
      </c>
      <c r="BA96">
        <f ca="1"/>
        <v>0</v>
      </c>
      <c r="BB96">
        <f ca="1"/>
        <v>0</v>
      </c>
      <c r="BC96">
        <f ca="1"/>
        <v>0</v>
      </c>
      <c r="BD96">
        <f ca="1"/>
        <v>0</v>
      </c>
      <c r="BE96">
        <f ca="1"/>
        <v>0</v>
      </c>
      <c r="BF96">
        <f ca="1"/>
        <v>0</v>
      </c>
      <c r="BG96">
        <f ca="1"/>
        <v>0</v>
      </c>
      <c r="BH96">
        <f ca="1"/>
        <v>0</v>
      </c>
      <c r="BI96">
        <f ca="1"/>
        <v>0</v>
      </c>
      <c r="BJ96">
        <f ca="1"/>
        <v>0</v>
      </c>
      <c r="BK96">
        <f ca="1"/>
        <v>0</v>
      </c>
      <c r="BL96">
        <f ca="1"/>
        <v>0</v>
      </c>
      <c r="BM96">
        <f ca="1"/>
        <v>0</v>
      </c>
      <c r="BN96">
        <f ca="1"/>
        <v>0</v>
      </c>
      <c r="BO96">
        <f ca="1"/>
        <v>0</v>
      </c>
      <c r="BP96">
        <f ca="1"/>
        <v>0</v>
      </c>
      <c r="BQ96">
        <f ca="1"/>
        <v>0</v>
      </c>
      <c r="BR96">
        <f ca="1"/>
        <v>0</v>
      </c>
      <c r="BS96">
        <f ca="1"/>
        <v>0</v>
      </c>
      <c r="BT96">
        <f ca="1"/>
        <v>0</v>
      </c>
      <c r="BU96">
        <f ca="1"/>
        <v>0</v>
      </c>
      <c r="BV96">
        <f ca="1"/>
        <v>0</v>
      </c>
      <c r="BW96">
        <f ca="1"/>
        <v>0</v>
      </c>
      <c r="BX96">
        <f ca="1"/>
        <v>0</v>
      </c>
      <c r="BY96">
        <f ca="1"/>
        <v>0</v>
      </c>
      <c r="BZ96">
        <f ca="1"/>
        <v>0</v>
      </c>
      <c r="CA96">
        <f ca="1"/>
        <v>0</v>
      </c>
      <c r="CB96">
        <f ca="1"/>
        <v>0</v>
      </c>
      <c r="CC96">
        <f ca="1"/>
        <v>0</v>
      </c>
      <c r="CD96">
        <f ca="1"/>
        <v>0</v>
      </c>
      <c r="CE96">
        <f ca="1"/>
        <v>0</v>
      </c>
      <c r="CF96">
        <f ca="1"/>
        <v>0</v>
      </c>
      <c r="CG96">
        <f ca="1"/>
        <v>0</v>
      </c>
      <c r="CH96">
        <f ca="1"/>
        <v>0</v>
      </c>
      <c r="CI96">
        <f ca="1"/>
        <v>0</v>
      </c>
      <c r="CJ96">
        <f ca="1"/>
        <v>0</v>
      </c>
      <c r="CK96">
        <f ca="1"/>
        <v>0</v>
      </c>
      <c r="CL96">
        <f ca="1"/>
        <v>0</v>
      </c>
      <c r="CM96">
        <f ca="1"/>
        <v>0</v>
      </c>
      <c r="CN96">
        <f ca="1"/>
        <v>0</v>
      </c>
      <c r="CO96">
        <f ca="1"/>
        <v>0</v>
      </c>
      <c r="CP96">
        <f ca="1"/>
        <v>0</v>
      </c>
      <c r="CQ96">
        <f ca="1"/>
        <v>0</v>
      </c>
      <c r="CR96">
        <f ca="1"/>
        <v>0</v>
      </c>
      <c r="CS96">
        <f ca="1"/>
        <v>0</v>
      </c>
      <c r="CT96">
        <f ca="1"/>
        <v>0</v>
      </c>
      <c r="CU96">
        <f ca="1"/>
        <v>0</v>
      </c>
      <c r="CV96">
        <f ca="1"/>
        <v>0</v>
      </c>
      <c r="CW96">
        <f ca="1"/>
        <v>0</v>
      </c>
      <c r="CX96">
        <f ca="1"/>
        <v>0</v>
      </c>
      <c r="CY96">
        <f ca="1"/>
        <v>0</v>
      </c>
      <c r="CZ96">
        <f ca="1"/>
        <v>0</v>
      </c>
      <c r="DA96">
        <f ca="1"/>
        <v>0</v>
      </c>
      <c r="DB96">
        <f ca="1"/>
        <v>0</v>
      </c>
      <c r="DC96">
        <f ca="1"/>
        <v>0</v>
      </c>
      <c r="DD96">
        <f ca="1"/>
        <v>0</v>
      </c>
      <c r="DE96">
        <f ca="1"/>
        <v>0</v>
      </c>
      <c r="DF96">
        <f ca="1"/>
        <v>0</v>
      </c>
      <c r="DG96">
        <f ca="1"/>
        <v>0</v>
      </c>
      <c r="DH96">
        <f ca="1"/>
        <v>0</v>
      </c>
      <c r="DI96">
        <f ca="1"/>
        <v>0</v>
      </c>
      <c r="DJ96">
        <f ca="1"/>
        <v>0</v>
      </c>
      <c r="DK96">
        <f ca="1"/>
        <v>0</v>
      </c>
      <c r="DL96">
        <f ca="1"/>
        <v>0</v>
      </c>
      <c r="DM96">
        <f ca="1"/>
        <v>0</v>
      </c>
      <c r="DN96">
        <f ca="1"/>
        <v>0</v>
      </c>
      <c r="DO96">
        <f ca="1"/>
        <v>0</v>
      </c>
      <c r="DP96">
        <f ca="1"/>
        <v>0</v>
      </c>
      <c r="DQ96">
        <f ca="1"/>
        <v>0</v>
      </c>
      <c r="DR96">
        <f ca="1"/>
        <v>0</v>
      </c>
      <c r="DS96">
        <f ca="1"/>
        <v>0</v>
      </c>
      <c r="DT96">
        <f ca="1"/>
        <v>0</v>
      </c>
      <c r="DU96">
        <f ca="1"/>
        <v>0</v>
      </c>
      <c r="DV96">
        <f ca="1"/>
        <v>0</v>
      </c>
      <c r="DW96">
        <f ca="1"/>
        <v>0</v>
      </c>
      <c r="DX96">
        <f ca="1"/>
        <v>0</v>
      </c>
      <c r="DY96">
        <f ca="1"/>
        <v>0</v>
      </c>
      <c r="DZ96">
        <f ca="1"/>
        <v>0</v>
      </c>
      <c r="EA96">
        <f ca="1"/>
        <v>0</v>
      </c>
      <c r="EB96">
        <f ca="1"/>
        <v>0</v>
      </c>
      <c r="EC96">
        <f ca="1"/>
        <v>0</v>
      </c>
      <c r="ED96">
        <f ca="1"/>
        <v>0</v>
      </c>
      <c r="EE96">
        <f ca="1"/>
        <v>0</v>
      </c>
      <c r="EF96">
        <f ca="1"/>
        <v>0</v>
      </c>
      <c r="EG96">
        <f ca="1"/>
        <v>0</v>
      </c>
      <c r="EH96">
        <f ca="1"/>
        <v>0</v>
      </c>
      <c r="EI96">
        <f ca="1"/>
        <v>0</v>
      </c>
      <c r="EJ96">
        <f ca="1"/>
        <v>0</v>
      </c>
      <c r="EK96">
        <f ca="1"/>
        <v>0</v>
      </c>
      <c r="EL96">
        <f ca="1"/>
        <v>0</v>
      </c>
      <c r="EM96">
        <f ca="1"/>
        <v>0</v>
      </c>
      <c r="EN96">
        <f ca="1"/>
        <v>0</v>
      </c>
      <c r="EO96">
        <f ca="1"/>
        <v>0</v>
      </c>
      <c r="EP96">
        <f ca="1"/>
        <v>0</v>
      </c>
      <c r="EQ96">
        <f ca="1"/>
        <v>0</v>
      </c>
      <c r="ER96">
        <f ca="1"/>
        <v>0</v>
      </c>
      <c r="ES96">
        <f ca="1"/>
        <v>0</v>
      </c>
      <c r="ET96">
        <f ca="1"/>
        <v>0</v>
      </c>
      <c r="EU96">
        <f ca="1"/>
        <v>0</v>
      </c>
      <c r="EV96">
        <f ca="1"/>
        <v>0</v>
      </c>
      <c r="EW96">
        <f ca="1"/>
        <v>0</v>
      </c>
      <c r="EX96">
        <f ca="1"/>
        <v>0</v>
      </c>
      <c r="EY96">
        <f ca="1"/>
        <v>0</v>
      </c>
      <c r="EZ96">
        <f ca="1"/>
        <v>0</v>
      </c>
      <c r="FA96">
        <f ca="1"/>
        <v>0</v>
      </c>
      <c r="FB96">
        <f ca="1"/>
        <v>0</v>
      </c>
      <c r="FC96">
        <f ca="1"/>
        <v>0</v>
      </c>
      <c r="FD96">
        <f ca="1"/>
        <v>0</v>
      </c>
      <c r="FE96">
        <f ca="1"/>
        <v>0</v>
      </c>
      <c r="FF96">
        <f ca="1"/>
        <v>0</v>
      </c>
      <c r="FG96">
        <f ca="1"/>
        <v>0</v>
      </c>
      <c r="FH96">
        <f ca="1"/>
        <v>0</v>
      </c>
      <c r="FI96">
        <f ca="1"/>
        <v>0</v>
      </c>
      <c r="FJ96">
        <f ca="1"/>
        <v>0</v>
      </c>
      <c r="FK96">
        <f ca="1"/>
        <v>0</v>
      </c>
      <c r="FL96">
        <f ca="1"/>
        <v>0</v>
      </c>
      <c r="FM96">
        <f ca="1"/>
        <v>0</v>
      </c>
      <c r="FN96">
        <f ca="1"/>
        <v>0</v>
      </c>
      <c r="FO96">
        <f ca="1"/>
        <v>0</v>
      </c>
      <c r="FP96">
        <f ca="1"/>
        <v>0</v>
      </c>
      <c r="FQ96">
        <f ca="1"/>
        <v>0</v>
      </c>
      <c r="FR96">
        <f ca="1"/>
        <v>0</v>
      </c>
      <c r="FS96">
        <f ca="1"/>
        <v>0</v>
      </c>
      <c r="FT96">
        <f ca="1"/>
        <v>0</v>
      </c>
      <c r="FU96">
        <f ca="1"/>
        <v>0</v>
      </c>
      <c r="FV96">
        <f ca="1"/>
        <v>0</v>
      </c>
      <c r="FW96">
        <f ca="1"/>
        <v>0</v>
      </c>
      <c r="FX96">
        <f ca="1"/>
        <v>0</v>
      </c>
      <c r="FY96">
        <f ca="1"/>
        <v>0</v>
      </c>
      <c r="FZ96">
        <f ca="1"/>
        <v>0</v>
      </c>
    </row>
    <row r="97" spans="3:182">
      <c r="C97" cm="1">
        <f t="array" aca="1" ref="C97:FZ97" ca="1">IFERROR(TRANSPOSE(INDEX(_xlfn._xlws.FILTER(INDIRECT("SubcategoriesTable[Subcategory name]"),INDIRECT("SubcategoriesTable[Category name]")=$B97),,)),"No subcategories")</f>
        <v>0</v>
      </c>
      <c r="D97">
        <f ca="1"/>
        <v>0</v>
      </c>
      <c r="E97">
        <f ca="1"/>
        <v>0</v>
      </c>
      <c r="F97">
        <f ca="1"/>
        <v>0</v>
      </c>
      <c r="G97">
        <f ca="1"/>
        <v>0</v>
      </c>
      <c r="H97">
        <f ca="1"/>
        <v>0</v>
      </c>
      <c r="I97">
        <f ca="1"/>
        <v>0</v>
      </c>
      <c r="J97">
        <f ca="1"/>
        <v>0</v>
      </c>
      <c r="K97">
        <f ca="1"/>
        <v>0</v>
      </c>
      <c r="L97">
        <f ca="1"/>
        <v>0</v>
      </c>
      <c r="M97">
        <f ca="1"/>
        <v>0</v>
      </c>
      <c r="N97">
        <f ca="1"/>
        <v>0</v>
      </c>
      <c r="O97">
        <f ca="1"/>
        <v>0</v>
      </c>
      <c r="P97">
        <f ca="1"/>
        <v>0</v>
      </c>
      <c r="Q97">
        <f ca="1"/>
        <v>0</v>
      </c>
      <c r="R97">
        <f ca="1"/>
        <v>0</v>
      </c>
      <c r="S97">
        <f ca="1"/>
        <v>0</v>
      </c>
      <c r="T97">
        <f ca="1"/>
        <v>0</v>
      </c>
      <c r="U97">
        <f ca="1"/>
        <v>0</v>
      </c>
      <c r="V97">
        <f ca="1"/>
        <v>0</v>
      </c>
      <c r="W97">
        <f ca="1"/>
        <v>0</v>
      </c>
      <c r="X97">
        <f ca="1"/>
        <v>0</v>
      </c>
      <c r="Y97">
        <f ca="1"/>
        <v>0</v>
      </c>
      <c r="Z97">
        <f ca="1"/>
        <v>0</v>
      </c>
      <c r="AA97">
        <f ca="1"/>
        <v>0</v>
      </c>
      <c r="AB97">
        <f ca="1"/>
        <v>0</v>
      </c>
      <c r="AC97">
        <f ca="1"/>
        <v>0</v>
      </c>
      <c r="AD97">
        <f ca="1"/>
        <v>0</v>
      </c>
      <c r="AE97">
        <f ca="1"/>
        <v>0</v>
      </c>
      <c r="AF97">
        <f ca="1"/>
        <v>0</v>
      </c>
      <c r="AG97">
        <f ca="1"/>
        <v>0</v>
      </c>
      <c r="AH97">
        <f ca="1"/>
        <v>0</v>
      </c>
      <c r="AI97">
        <f ca="1"/>
        <v>0</v>
      </c>
      <c r="AJ97">
        <f ca="1"/>
        <v>0</v>
      </c>
      <c r="AK97">
        <f ca="1"/>
        <v>0</v>
      </c>
      <c r="AL97">
        <f ca="1"/>
        <v>0</v>
      </c>
      <c r="AM97">
        <f ca="1"/>
        <v>0</v>
      </c>
      <c r="AN97">
        <f ca="1"/>
        <v>0</v>
      </c>
      <c r="AO97">
        <f ca="1"/>
        <v>0</v>
      </c>
      <c r="AP97">
        <f ca="1"/>
        <v>0</v>
      </c>
      <c r="AQ97">
        <f ca="1"/>
        <v>0</v>
      </c>
      <c r="AR97">
        <f ca="1"/>
        <v>0</v>
      </c>
      <c r="AS97">
        <f ca="1"/>
        <v>0</v>
      </c>
      <c r="AT97">
        <f ca="1"/>
        <v>0</v>
      </c>
      <c r="AU97">
        <f ca="1"/>
        <v>0</v>
      </c>
      <c r="AV97">
        <f ca="1"/>
        <v>0</v>
      </c>
      <c r="AW97">
        <f ca="1"/>
        <v>0</v>
      </c>
      <c r="AX97">
        <f ca="1"/>
        <v>0</v>
      </c>
      <c r="AY97">
        <f ca="1"/>
        <v>0</v>
      </c>
      <c r="AZ97">
        <f ca="1"/>
        <v>0</v>
      </c>
      <c r="BA97">
        <f ca="1"/>
        <v>0</v>
      </c>
      <c r="BB97">
        <f ca="1"/>
        <v>0</v>
      </c>
      <c r="BC97">
        <f ca="1"/>
        <v>0</v>
      </c>
      <c r="BD97">
        <f ca="1"/>
        <v>0</v>
      </c>
      <c r="BE97">
        <f ca="1"/>
        <v>0</v>
      </c>
      <c r="BF97">
        <f ca="1"/>
        <v>0</v>
      </c>
      <c r="BG97">
        <f ca="1"/>
        <v>0</v>
      </c>
      <c r="BH97">
        <f ca="1"/>
        <v>0</v>
      </c>
      <c r="BI97">
        <f ca="1"/>
        <v>0</v>
      </c>
      <c r="BJ97">
        <f ca="1"/>
        <v>0</v>
      </c>
      <c r="BK97">
        <f ca="1"/>
        <v>0</v>
      </c>
      <c r="BL97">
        <f ca="1"/>
        <v>0</v>
      </c>
      <c r="BM97">
        <f ca="1"/>
        <v>0</v>
      </c>
      <c r="BN97">
        <f ca="1"/>
        <v>0</v>
      </c>
      <c r="BO97">
        <f ca="1"/>
        <v>0</v>
      </c>
      <c r="BP97">
        <f ca="1"/>
        <v>0</v>
      </c>
      <c r="BQ97">
        <f ca="1"/>
        <v>0</v>
      </c>
      <c r="BR97">
        <f ca="1"/>
        <v>0</v>
      </c>
      <c r="BS97">
        <f ca="1"/>
        <v>0</v>
      </c>
      <c r="BT97">
        <f ca="1"/>
        <v>0</v>
      </c>
      <c r="BU97">
        <f ca="1"/>
        <v>0</v>
      </c>
      <c r="BV97">
        <f ca="1"/>
        <v>0</v>
      </c>
      <c r="BW97">
        <f ca="1"/>
        <v>0</v>
      </c>
      <c r="BX97">
        <f ca="1"/>
        <v>0</v>
      </c>
      <c r="BY97">
        <f ca="1"/>
        <v>0</v>
      </c>
      <c r="BZ97">
        <f ca="1"/>
        <v>0</v>
      </c>
      <c r="CA97">
        <f ca="1"/>
        <v>0</v>
      </c>
      <c r="CB97">
        <f ca="1"/>
        <v>0</v>
      </c>
      <c r="CC97">
        <f ca="1"/>
        <v>0</v>
      </c>
      <c r="CD97">
        <f ca="1"/>
        <v>0</v>
      </c>
      <c r="CE97">
        <f ca="1"/>
        <v>0</v>
      </c>
      <c r="CF97">
        <f ca="1"/>
        <v>0</v>
      </c>
      <c r="CG97">
        <f ca="1"/>
        <v>0</v>
      </c>
      <c r="CH97">
        <f ca="1"/>
        <v>0</v>
      </c>
      <c r="CI97">
        <f ca="1"/>
        <v>0</v>
      </c>
      <c r="CJ97">
        <f ca="1"/>
        <v>0</v>
      </c>
      <c r="CK97">
        <f ca="1"/>
        <v>0</v>
      </c>
      <c r="CL97">
        <f ca="1"/>
        <v>0</v>
      </c>
      <c r="CM97">
        <f ca="1"/>
        <v>0</v>
      </c>
      <c r="CN97">
        <f ca="1"/>
        <v>0</v>
      </c>
      <c r="CO97">
        <f ca="1"/>
        <v>0</v>
      </c>
      <c r="CP97">
        <f ca="1"/>
        <v>0</v>
      </c>
      <c r="CQ97">
        <f ca="1"/>
        <v>0</v>
      </c>
      <c r="CR97">
        <f ca="1"/>
        <v>0</v>
      </c>
      <c r="CS97">
        <f ca="1"/>
        <v>0</v>
      </c>
      <c r="CT97">
        <f ca="1"/>
        <v>0</v>
      </c>
      <c r="CU97">
        <f ca="1"/>
        <v>0</v>
      </c>
      <c r="CV97">
        <f ca="1"/>
        <v>0</v>
      </c>
      <c r="CW97">
        <f ca="1"/>
        <v>0</v>
      </c>
      <c r="CX97">
        <f ca="1"/>
        <v>0</v>
      </c>
      <c r="CY97">
        <f ca="1"/>
        <v>0</v>
      </c>
      <c r="CZ97">
        <f ca="1"/>
        <v>0</v>
      </c>
      <c r="DA97">
        <f ca="1"/>
        <v>0</v>
      </c>
      <c r="DB97">
        <f ca="1"/>
        <v>0</v>
      </c>
      <c r="DC97">
        <f ca="1"/>
        <v>0</v>
      </c>
      <c r="DD97">
        <f ca="1"/>
        <v>0</v>
      </c>
      <c r="DE97">
        <f ca="1"/>
        <v>0</v>
      </c>
      <c r="DF97">
        <f ca="1"/>
        <v>0</v>
      </c>
      <c r="DG97">
        <f ca="1"/>
        <v>0</v>
      </c>
      <c r="DH97">
        <f ca="1"/>
        <v>0</v>
      </c>
      <c r="DI97">
        <f ca="1"/>
        <v>0</v>
      </c>
      <c r="DJ97">
        <f ca="1"/>
        <v>0</v>
      </c>
      <c r="DK97">
        <f ca="1"/>
        <v>0</v>
      </c>
      <c r="DL97">
        <f ca="1"/>
        <v>0</v>
      </c>
      <c r="DM97">
        <f ca="1"/>
        <v>0</v>
      </c>
      <c r="DN97">
        <f ca="1"/>
        <v>0</v>
      </c>
      <c r="DO97">
        <f ca="1"/>
        <v>0</v>
      </c>
      <c r="DP97">
        <f ca="1"/>
        <v>0</v>
      </c>
      <c r="DQ97">
        <f ca="1"/>
        <v>0</v>
      </c>
      <c r="DR97">
        <f ca="1"/>
        <v>0</v>
      </c>
      <c r="DS97">
        <f ca="1"/>
        <v>0</v>
      </c>
      <c r="DT97">
        <f ca="1"/>
        <v>0</v>
      </c>
      <c r="DU97">
        <f ca="1"/>
        <v>0</v>
      </c>
      <c r="DV97">
        <f ca="1"/>
        <v>0</v>
      </c>
      <c r="DW97">
        <f ca="1"/>
        <v>0</v>
      </c>
      <c r="DX97">
        <f ca="1"/>
        <v>0</v>
      </c>
      <c r="DY97">
        <f ca="1"/>
        <v>0</v>
      </c>
      <c r="DZ97">
        <f ca="1"/>
        <v>0</v>
      </c>
      <c r="EA97">
        <f ca="1"/>
        <v>0</v>
      </c>
      <c r="EB97">
        <f ca="1"/>
        <v>0</v>
      </c>
      <c r="EC97">
        <f ca="1"/>
        <v>0</v>
      </c>
      <c r="ED97">
        <f ca="1"/>
        <v>0</v>
      </c>
      <c r="EE97">
        <f ca="1"/>
        <v>0</v>
      </c>
      <c r="EF97">
        <f ca="1"/>
        <v>0</v>
      </c>
      <c r="EG97">
        <f ca="1"/>
        <v>0</v>
      </c>
      <c r="EH97">
        <f ca="1"/>
        <v>0</v>
      </c>
      <c r="EI97">
        <f ca="1"/>
        <v>0</v>
      </c>
      <c r="EJ97">
        <f ca="1"/>
        <v>0</v>
      </c>
      <c r="EK97">
        <f ca="1"/>
        <v>0</v>
      </c>
      <c r="EL97">
        <f ca="1"/>
        <v>0</v>
      </c>
      <c r="EM97">
        <f ca="1"/>
        <v>0</v>
      </c>
      <c r="EN97">
        <f ca="1"/>
        <v>0</v>
      </c>
      <c r="EO97">
        <f ca="1"/>
        <v>0</v>
      </c>
      <c r="EP97">
        <f ca="1"/>
        <v>0</v>
      </c>
      <c r="EQ97">
        <f ca="1"/>
        <v>0</v>
      </c>
      <c r="ER97">
        <f ca="1"/>
        <v>0</v>
      </c>
      <c r="ES97">
        <f ca="1"/>
        <v>0</v>
      </c>
      <c r="ET97">
        <f ca="1"/>
        <v>0</v>
      </c>
      <c r="EU97">
        <f ca="1"/>
        <v>0</v>
      </c>
      <c r="EV97">
        <f ca="1"/>
        <v>0</v>
      </c>
      <c r="EW97">
        <f ca="1"/>
        <v>0</v>
      </c>
      <c r="EX97">
        <f ca="1"/>
        <v>0</v>
      </c>
      <c r="EY97">
        <f ca="1"/>
        <v>0</v>
      </c>
      <c r="EZ97">
        <f ca="1"/>
        <v>0</v>
      </c>
      <c r="FA97">
        <f ca="1"/>
        <v>0</v>
      </c>
      <c r="FB97">
        <f ca="1"/>
        <v>0</v>
      </c>
      <c r="FC97">
        <f ca="1"/>
        <v>0</v>
      </c>
      <c r="FD97">
        <f ca="1"/>
        <v>0</v>
      </c>
      <c r="FE97">
        <f ca="1"/>
        <v>0</v>
      </c>
      <c r="FF97">
        <f ca="1"/>
        <v>0</v>
      </c>
      <c r="FG97">
        <f ca="1"/>
        <v>0</v>
      </c>
      <c r="FH97">
        <f ca="1"/>
        <v>0</v>
      </c>
      <c r="FI97">
        <f ca="1"/>
        <v>0</v>
      </c>
      <c r="FJ97">
        <f ca="1"/>
        <v>0</v>
      </c>
      <c r="FK97">
        <f ca="1"/>
        <v>0</v>
      </c>
      <c r="FL97">
        <f ca="1"/>
        <v>0</v>
      </c>
      <c r="FM97">
        <f ca="1"/>
        <v>0</v>
      </c>
      <c r="FN97">
        <f ca="1"/>
        <v>0</v>
      </c>
      <c r="FO97">
        <f ca="1"/>
        <v>0</v>
      </c>
      <c r="FP97">
        <f ca="1"/>
        <v>0</v>
      </c>
      <c r="FQ97">
        <f ca="1"/>
        <v>0</v>
      </c>
      <c r="FR97">
        <f ca="1"/>
        <v>0</v>
      </c>
      <c r="FS97">
        <f ca="1"/>
        <v>0</v>
      </c>
      <c r="FT97">
        <f ca="1"/>
        <v>0</v>
      </c>
      <c r="FU97">
        <f ca="1"/>
        <v>0</v>
      </c>
      <c r="FV97">
        <f ca="1"/>
        <v>0</v>
      </c>
      <c r="FW97">
        <f ca="1"/>
        <v>0</v>
      </c>
      <c r="FX97">
        <f ca="1"/>
        <v>0</v>
      </c>
      <c r="FY97">
        <f ca="1"/>
        <v>0</v>
      </c>
      <c r="FZ97">
        <f ca="1"/>
        <v>0</v>
      </c>
    </row>
    <row r="98" spans="3:182">
      <c r="C98" cm="1">
        <f t="array" aca="1" ref="C98:FZ98" ca="1">IFERROR(TRANSPOSE(INDEX(_xlfn._xlws.FILTER(INDIRECT("SubcategoriesTable[Subcategory name]"),INDIRECT("SubcategoriesTable[Category name]")=$B98),,)),"No subcategories")</f>
        <v>0</v>
      </c>
      <c r="D98">
        <f ca="1"/>
        <v>0</v>
      </c>
      <c r="E98">
        <f ca="1"/>
        <v>0</v>
      </c>
      <c r="F98">
        <f ca="1"/>
        <v>0</v>
      </c>
      <c r="G98">
        <f ca="1"/>
        <v>0</v>
      </c>
      <c r="H98">
        <f ca="1"/>
        <v>0</v>
      </c>
      <c r="I98">
        <f ca="1"/>
        <v>0</v>
      </c>
      <c r="J98">
        <f ca="1"/>
        <v>0</v>
      </c>
      <c r="K98">
        <f ca="1"/>
        <v>0</v>
      </c>
      <c r="L98">
        <f ca="1"/>
        <v>0</v>
      </c>
      <c r="M98">
        <f ca="1"/>
        <v>0</v>
      </c>
      <c r="N98">
        <f ca="1"/>
        <v>0</v>
      </c>
      <c r="O98">
        <f ca="1"/>
        <v>0</v>
      </c>
      <c r="P98">
        <f ca="1"/>
        <v>0</v>
      </c>
      <c r="Q98">
        <f ca="1"/>
        <v>0</v>
      </c>
      <c r="R98">
        <f ca="1"/>
        <v>0</v>
      </c>
      <c r="S98">
        <f ca="1"/>
        <v>0</v>
      </c>
      <c r="T98">
        <f ca="1"/>
        <v>0</v>
      </c>
      <c r="U98">
        <f ca="1"/>
        <v>0</v>
      </c>
      <c r="V98">
        <f ca="1"/>
        <v>0</v>
      </c>
      <c r="W98">
        <f ca="1"/>
        <v>0</v>
      </c>
      <c r="X98">
        <f ca="1"/>
        <v>0</v>
      </c>
      <c r="Y98">
        <f ca="1"/>
        <v>0</v>
      </c>
      <c r="Z98">
        <f ca="1"/>
        <v>0</v>
      </c>
      <c r="AA98">
        <f ca="1"/>
        <v>0</v>
      </c>
      <c r="AB98">
        <f ca="1"/>
        <v>0</v>
      </c>
      <c r="AC98">
        <f ca="1"/>
        <v>0</v>
      </c>
      <c r="AD98">
        <f ca="1"/>
        <v>0</v>
      </c>
      <c r="AE98">
        <f ca="1"/>
        <v>0</v>
      </c>
      <c r="AF98">
        <f ca="1"/>
        <v>0</v>
      </c>
      <c r="AG98">
        <f ca="1"/>
        <v>0</v>
      </c>
      <c r="AH98">
        <f ca="1"/>
        <v>0</v>
      </c>
      <c r="AI98">
        <f ca="1"/>
        <v>0</v>
      </c>
      <c r="AJ98">
        <f ca="1"/>
        <v>0</v>
      </c>
      <c r="AK98">
        <f ca="1"/>
        <v>0</v>
      </c>
      <c r="AL98">
        <f ca="1"/>
        <v>0</v>
      </c>
      <c r="AM98">
        <f ca="1"/>
        <v>0</v>
      </c>
      <c r="AN98">
        <f ca="1"/>
        <v>0</v>
      </c>
      <c r="AO98">
        <f ca="1"/>
        <v>0</v>
      </c>
      <c r="AP98">
        <f ca="1"/>
        <v>0</v>
      </c>
      <c r="AQ98">
        <f ca="1"/>
        <v>0</v>
      </c>
      <c r="AR98">
        <f ca="1"/>
        <v>0</v>
      </c>
      <c r="AS98">
        <f ca="1"/>
        <v>0</v>
      </c>
      <c r="AT98">
        <f ca="1"/>
        <v>0</v>
      </c>
      <c r="AU98">
        <f ca="1"/>
        <v>0</v>
      </c>
      <c r="AV98">
        <f ca="1"/>
        <v>0</v>
      </c>
      <c r="AW98">
        <f ca="1"/>
        <v>0</v>
      </c>
      <c r="AX98">
        <f ca="1"/>
        <v>0</v>
      </c>
      <c r="AY98">
        <f ca="1"/>
        <v>0</v>
      </c>
      <c r="AZ98">
        <f ca="1"/>
        <v>0</v>
      </c>
      <c r="BA98">
        <f ca="1"/>
        <v>0</v>
      </c>
      <c r="BB98">
        <f ca="1"/>
        <v>0</v>
      </c>
      <c r="BC98">
        <f ca="1"/>
        <v>0</v>
      </c>
      <c r="BD98">
        <f ca="1"/>
        <v>0</v>
      </c>
      <c r="BE98">
        <f ca="1"/>
        <v>0</v>
      </c>
      <c r="BF98">
        <f ca="1"/>
        <v>0</v>
      </c>
      <c r="BG98">
        <f ca="1"/>
        <v>0</v>
      </c>
      <c r="BH98">
        <f ca="1"/>
        <v>0</v>
      </c>
      <c r="BI98">
        <f ca="1"/>
        <v>0</v>
      </c>
      <c r="BJ98">
        <f ca="1"/>
        <v>0</v>
      </c>
      <c r="BK98">
        <f ca="1"/>
        <v>0</v>
      </c>
      <c r="BL98">
        <f ca="1"/>
        <v>0</v>
      </c>
      <c r="BM98">
        <f ca="1"/>
        <v>0</v>
      </c>
      <c r="BN98">
        <f ca="1"/>
        <v>0</v>
      </c>
      <c r="BO98">
        <f ca="1"/>
        <v>0</v>
      </c>
      <c r="BP98">
        <f ca="1"/>
        <v>0</v>
      </c>
      <c r="BQ98">
        <f ca="1"/>
        <v>0</v>
      </c>
      <c r="BR98">
        <f ca="1"/>
        <v>0</v>
      </c>
      <c r="BS98">
        <f ca="1"/>
        <v>0</v>
      </c>
      <c r="BT98">
        <f ca="1"/>
        <v>0</v>
      </c>
      <c r="BU98">
        <f ca="1"/>
        <v>0</v>
      </c>
      <c r="BV98">
        <f ca="1"/>
        <v>0</v>
      </c>
      <c r="BW98">
        <f ca="1"/>
        <v>0</v>
      </c>
      <c r="BX98">
        <f ca="1"/>
        <v>0</v>
      </c>
      <c r="BY98">
        <f ca="1"/>
        <v>0</v>
      </c>
      <c r="BZ98">
        <f ca="1"/>
        <v>0</v>
      </c>
      <c r="CA98">
        <f ca="1"/>
        <v>0</v>
      </c>
      <c r="CB98">
        <f ca="1"/>
        <v>0</v>
      </c>
      <c r="CC98">
        <f ca="1"/>
        <v>0</v>
      </c>
      <c r="CD98">
        <f ca="1"/>
        <v>0</v>
      </c>
      <c r="CE98">
        <f ca="1"/>
        <v>0</v>
      </c>
      <c r="CF98">
        <f ca="1"/>
        <v>0</v>
      </c>
      <c r="CG98">
        <f ca="1"/>
        <v>0</v>
      </c>
      <c r="CH98">
        <f ca="1"/>
        <v>0</v>
      </c>
      <c r="CI98">
        <f ca="1"/>
        <v>0</v>
      </c>
      <c r="CJ98">
        <f ca="1"/>
        <v>0</v>
      </c>
      <c r="CK98">
        <f ca="1"/>
        <v>0</v>
      </c>
      <c r="CL98">
        <f ca="1"/>
        <v>0</v>
      </c>
      <c r="CM98">
        <f ca="1"/>
        <v>0</v>
      </c>
      <c r="CN98">
        <f ca="1"/>
        <v>0</v>
      </c>
      <c r="CO98">
        <f ca="1"/>
        <v>0</v>
      </c>
      <c r="CP98">
        <f ca="1"/>
        <v>0</v>
      </c>
      <c r="CQ98">
        <f ca="1"/>
        <v>0</v>
      </c>
      <c r="CR98">
        <f ca="1"/>
        <v>0</v>
      </c>
      <c r="CS98">
        <f ca="1"/>
        <v>0</v>
      </c>
      <c r="CT98">
        <f ca="1"/>
        <v>0</v>
      </c>
      <c r="CU98">
        <f ca="1"/>
        <v>0</v>
      </c>
      <c r="CV98">
        <f ca="1"/>
        <v>0</v>
      </c>
      <c r="CW98">
        <f ca="1"/>
        <v>0</v>
      </c>
      <c r="CX98">
        <f ca="1"/>
        <v>0</v>
      </c>
      <c r="CY98">
        <f ca="1"/>
        <v>0</v>
      </c>
      <c r="CZ98">
        <f ca="1"/>
        <v>0</v>
      </c>
      <c r="DA98">
        <f ca="1"/>
        <v>0</v>
      </c>
      <c r="DB98">
        <f ca="1"/>
        <v>0</v>
      </c>
      <c r="DC98">
        <f ca="1"/>
        <v>0</v>
      </c>
      <c r="DD98">
        <f ca="1"/>
        <v>0</v>
      </c>
      <c r="DE98">
        <f ca="1"/>
        <v>0</v>
      </c>
      <c r="DF98">
        <f ca="1"/>
        <v>0</v>
      </c>
      <c r="DG98">
        <f ca="1"/>
        <v>0</v>
      </c>
      <c r="DH98">
        <f ca="1"/>
        <v>0</v>
      </c>
      <c r="DI98">
        <f ca="1"/>
        <v>0</v>
      </c>
      <c r="DJ98">
        <f ca="1"/>
        <v>0</v>
      </c>
      <c r="DK98">
        <f ca="1"/>
        <v>0</v>
      </c>
      <c r="DL98">
        <f ca="1"/>
        <v>0</v>
      </c>
      <c r="DM98">
        <f ca="1"/>
        <v>0</v>
      </c>
      <c r="DN98">
        <f ca="1"/>
        <v>0</v>
      </c>
      <c r="DO98">
        <f ca="1"/>
        <v>0</v>
      </c>
      <c r="DP98">
        <f ca="1"/>
        <v>0</v>
      </c>
      <c r="DQ98">
        <f ca="1"/>
        <v>0</v>
      </c>
      <c r="DR98">
        <f ca="1"/>
        <v>0</v>
      </c>
      <c r="DS98">
        <f ca="1"/>
        <v>0</v>
      </c>
      <c r="DT98">
        <f ca="1"/>
        <v>0</v>
      </c>
      <c r="DU98">
        <f ca="1"/>
        <v>0</v>
      </c>
      <c r="DV98">
        <f ca="1"/>
        <v>0</v>
      </c>
      <c r="DW98">
        <f ca="1"/>
        <v>0</v>
      </c>
      <c r="DX98">
        <f ca="1"/>
        <v>0</v>
      </c>
      <c r="DY98">
        <f ca="1"/>
        <v>0</v>
      </c>
      <c r="DZ98">
        <f ca="1"/>
        <v>0</v>
      </c>
      <c r="EA98">
        <f ca="1"/>
        <v>0</v>
      </c>
      <c r="EB98">
        <f ca="1"/>
        <v>0</v>
      </c>
      <c r="EC98">
        <f ca="1"/>
        <v>0</v>
      </c>
      <c r="ED98">
        <f ca="1"/>
        <v>0</v>
      </c>
      <c r="EE98">
        <f ca="1"/>
        <v>0</v>
      </c>
      <c r="EF98">
        <f ca="1"/>
        <v>0</v>
      </c>
      <c r="EG98">
        <f ca="1"/>
        <v>0</v>
      </c>
      <c r="EH98">
        <f ca="1"/>
        <v>0</v>
      </c>
      <c r="EI98">
        <f ca="1"/>
        <v>0</v>
      </c>
      <c r="EJ98">
        <f ca="1"/>
        <v>0</v>
      </c>
      <c r="EK98">
        <f ca="1"/>
        <v>0</v>
      </c>
      <c r="EL98">
        <f ca="1"/>
        <v>0</v>
      </c>
      <c r="EM98">
        <f ca="1"/>
        <v>0</v>
      </c>
      <c r="EN98">
        <f ca="1"/>
        <v>0</v>
      </c>
      <c r="EO98">
        <f ca="1"/>
        <v>0</v>
      </c>
      <c r="EP98">
        <f ca="1"/>
        <v>0</v>
      </c>
      <c r="EQ98">
        <f ca="1"/>
        <v>0</v>
      </c>
      <c r="ER98">
        <f ca="1"/>
        <v>0</v>
      </c>
      <c r="ES98">
        <f ca="1"/>
        <v>0</v>
      </c>
      <c r="ET98">
        <f ca="1"/>
        <v>0</v>
      </c>
      <c r="EU98">
        <f ca="1"/>
        <v>0</v>
      </c>
      <c r="EV98">
        <f ca="1"/>
        <v>0</v>
      </c>
      <c r="EW98">
        <f ca="1"/>
        <v>0</v>
      </c>
      <c r="EX98">
        <f ca="1"/>
        <v>0</v>
      </c>
      <c r="EY98">
        <f ca="1"/>
        <v>0</v>
      </c>
      <c r="EZ98">
        <f ca="1"/>
        <v>0</v>
      </c>
      <c r="FA98">
        <f ca="1"/>
        <v>0</v>
      </c>
      <c r="FB98">
        <f ca="1"/>
        <v>0</v>
      </c>
      <c r="FC98">
        <f ca="1"/>
        <v>0</v>
      </c>
      <c r="FD98">
        <f ca="1"/>
        <v>0</v>
      </c>
      <c r="FE98">
        <f ca="1"/>
        <v>0</v>
      </c>
      <c r="FF98">
        <f ca="1"/>
        <v>0</v>
      </c>
      <c r="FG98">
        <f ca="1"/>
        <v>0</v>
      </c>
      <c r="FH98">
        <f ca="1"/>
        <v>0</v>
      </c>
      <c r="FI98">
        <f ca="1"/>
        <v>0</v>
      </c>
      <c r="FJ98">
        <f ca="1"/>
        <v>0</v>
      </c>
      <c r="FK98">
        <f ca="1"/>
        <v>0</v>
      </c>
      <c r="FL98">
        <f ca="1"/>
        <v>0</v>
      </c>
      <c r="FM98">
        <f ca="1"/>
        <v>0</v>
      </c>
      <c r="FN98">
        <f ca="1"/>
        <v>0</v>
      </c>
      <c r="FO98">
        <f ca="1"/>
        <v>0</v>
      </c>
      <c r="FP98">
        <f ca="1"/>
        <v>0</v>
      </c>
      <c r="FQ98">
        <f ca="1"/>
        <v>0</v>
      </c>
      <c r="FR98">
        <f ca="1"/>
        <v>0</v>
      </c>
      <c r="FS98">
        <f ca="1"/>
        <v>0</v>
      </c>
      <c r="FT98">
        <f ca="1"/>
        <v>0</v>
      </c>
      <c r="FU98">
        <f ca="1"/>
        <v>0</v>
      </c>
      <c r="FV98">
        <f ca="1"/>
        <v>0</v>
      </c>
      <c r="FW98">
        <f ca="1"/>
        <v>0</v>
      </c>
      <c r="FX98">
        <f ca="1"/>
        <v>0</v>
      </c>
      <c r="FY98">
        <f ca="1"/>
        <v>0</v>
      </c>
      <c r="FZ98">
        <f ca="1"/>
        <v>0</v>
      </c>
    </row>
    <row r="99" spans="3:182">
      <c r="C99" cm="1">
        <f t="array" aca="1" ref="C99:FZ99" ca="1">IFERROR(TRANSPOSE(INDEX(_xlfn._xlws.FILTER(INDIRECT("SubcategoriesTable[Subcategory name]"),INDIRECT("SubcategoriesTable[Category name]")=$B99),,)),"No subcategories")</f>
        <v>0</v>
      </c>
      <c r="D99">
        <f ca="1"/>
        <v>0</v>
      </c>
      <c r="E99">
        <f ca="1"/>
        <v>0</v>
      </c>
      <c r="F99">
        <f ca="1"/>
        <v>0</v>
      </c>
      <c r="G99">
        <f ca="1"/>
        <v>0</v>
      </c>
      <c r="H99">
        <f ca="1"/>
        <v>0</v>
      </c>
      <c r="I99">
        <f ca="1"/>
        <v>0</v>
      </c>
      <c r="J99">
        <f ca="1"/>
        <v>0</v>
      </c>
      <c r="K99">
        <f ca="1"/>
        <v>0</v>
      </c>
      <c r="L99">
        <f ca="1"/>
        <v>0</v>
      </c>
      <c r="M99">
        <f ca="1"/>
        <v>0</v>
      </c>
      <c r="N99">
        <f ca="1"/>
        <v>0</v>
      </c>
      <c r="O99">
        <f ca="1"/>
        <v>0</v>
      </c>
      <c r="P99">
        <f ca="1"/>
        <v>0</v>
      </c>
      <c r="Q99">
        <f ca="1"/>
        <v>0</v>
      </c>
      <c r="R99">
        <f ca="1"/>
        <v>0</v>
      </c>
      <c r="S99">
        <f ca="1"/>
        <v>0</v>
      </c>
      <c r="T99">
        <f ca="1"/>
        <v>0</v>
      </c>
      <c r="U99">
        <f ca="1"/>
        <v>0</v>
      </c>
      <c r="V99">
        <f ca="1"/>
        <v>0</v>
      </c>
      <c r="W99">
        <f ca="1"/>
        <v>0</v>
      </c>
      <c r="X99">
        <f ca="1"/>
        <v>0</v>
      </c>
      <c r="Y99">
        <f ca="1"/>
        <v>0</v>
      </c>
      <c r="Z99">
        <f ca="1"/>
        <v>0</v>
      </c>
      <c r="AA99">
        <f ca="1"/>
        <v>0</v>
      </c>
      <c r="AB99">
        <f ca="1"/>
        <v>0</v>
      </c>
      <c r="AC99">
        <f ca="1"/>
        <v>0</v>
      </c>
      <c r="AD99">
        <f ca="1"/>
        <v>0</v>
      </c>
      <c r="AE99">
        <f ca="1"/>
        <v>0</v>
      </c>
      <c r="AF99">
        <f ca="1"/>
        <v>0</v>
      </c>
      <c r="AG99">
        <f ca="1"/>
        <v>0</v>
      </c>
      <c r="AH99">
        <f ca="1"/>
        <v>0</v>
      </c>
      <c r="AI99">
        <f ca="1"/>
        <v>0</v>
      </c>
      <c r="AJ99">
        <f ca="1"/>
        <v>0</v>
      </c>
      <c r="AK99">
        <f ca="1"/>
        <v>0</v>
      </c>
      <c r="AL99">
        <f ca="1"/>
        <v>0</v>
      </c>
      <c r="AM99">
        <f ca="1"/>
        <v>0</v>
      </c>
      <c r="AN99">
        <f ca="1"/>
        <v>0</v>
      </c>
      <c r="AO99">
        <f ca="1"/>
        <v>0</v>
      </c>
      <c r="AP99">
        <f ca="1"/>
        <v>0</v>
      </c>
      <c r="AQ99">
        <f ca="1"/>
        <v>0</v>
      </c>
      <c r="AR99">
        <f ca="1"/>
        <v>0</v>
      </c>
      <c r="AS99">
        <f ca="1"/>
        <v>0</v>
      </c>
      <c r="AT99">
        <f ca="1"/>
        <v>0</v>
      </c>
      <c r="AU99">
        <f ca="1"/>
        <v>0</v>
      </c>
      <c r="AV99">
        <f ca="1"/>
        <v>0</v>
      </c>
      <c r="AW99">
        <f ca="1"/>
        <v>0</v>
      </c>
      <c r="AX99">
        <f ca="1"/>
        <v>0</v>
      </c>
      <c r="AY99">
        <f ca="1"/>
        <v>0</v>
      </c>
      <c r="AZ99">
        <f ca="1"/>
        <v>0</v>
      </c>
      <c r="BA99">
        <f ca="1"/>
        <v>0</v>
      </c>
      <c r="BB99">
        <f ca="1"/>
        <v>0</v>
      </c>
      <c r="BC99">
        <f ca="1"/>
        <v>0</v>
      </c>
      <c r="BD99">
        <f ca="1"/>
        <v>0</v>
      </c>
      <c r="BE99">
        <f ca="1"/>
        <v>0</v>
      </c>
      <c r="BF99">
        <f ca="1"/>
        <v>0</v>
      </c>
      <c r="BG99">
        <f ca="1"/>
        <v>0</v>
      </c>
      <c r="BH99">
        <f ca="1"/>
        <v>0</v>
      </c>
      <c r="BI99">
        <f ca="1"/>
        <v>0</v>
      </c>
      <c r="BJ99">
        <f ca="1"/>
        <v>0</v>
      </c>
      <c r="BK99">
        <f ca="1"/>
        <v>0</v>
      </c>
      <c r="BL99">
        <f ca="1"/>
        <v>0</v>
      </c>
      <c r="BM99">
        <f ca="1"/>
        <v>0</v>
      </c>
      <c r="BN99">
        <f ca="1"/>
        <v>0</v>
      </c>
      <c r="BO99">
        <f ca="1"/>
        <v>0</v>
      </c>
      <c r="BP99">
        <f ca="1"/>
        <v>0</v>
      </c>
      <c r="BQ99">
        <f ca="1"/>
        <v>0</v>
      </c>
      <c r="BR99">
        <f ca="1"/>
        <v>0</v>
      </c>
      <c r="BS99">
        <f ca="1"/>
        <v>0</v>
      </c>
      <c r="BT99">
        <f ca="1"/>
        <v>0</v>
      </c>
      <c r="BU99">
        <f ca="1"/>
        <v>0</v>
      </c>
      <c r="BV99">
        <f ca="1"/>
        <v>0</v>
      </c>
      <c r="BW99">
        <f ca="1"/>
        <v>0</v>
      </c>
      <c r="BX99">
        <f ca="1"/>
        <v>0</v>
      </c>
      <c r="BY99">
        <f ca="1"/>
        <v>0</v>
      </c>
      <c r="BZ99">
        <f ca="1"/>
        <v>0</v>
      </c>
      <c r="CA99">
        <f ca="1"/>
        <v>0</v>
      </c>
      <c r="CB99">
        <f ca="1"/>
        <v>0</v>
      </c>
      <c r="CC99">
        <f ca="1"/>
        <v>0</v>
      </c>
      <c r="CD99">
        <f ca="1"/>
        <v>0</v>
      </c>
      <c r="CE99">
        <f ca="1"/>
        <v>0</v>
      </c>
      <c r="CF99">
        <f ca="1"/>
        <v>0</v>
      </c>
      <c r="CG99">
        <f ca="1"/>
        <v>0</v>
      </c>
      <c r="CH99">
        <f ca="1"/>
        <v>0</v>
      </c>
      <c r="CI99">
        <f ca="1"/>
        <v>0</v>
      </c>
      <c r="CJ99">
        <f ca="1"/>
        <v>0</v>
      </c>
      <c r="CK99">
        <f ca="1"/>
        <v>0</v>
      </c>
      <c r="CL99">
        <f ca="1"/>
        <v>0</v>
      </c>
      <c r="CM99">
        <f ca="1"/>
        <v>0</v>
      </c>
      <c r="CN99">
        <f ca="1"/>
        <v>0</v>
      </c>
      <c r="CO99">
        <f ca="1"/>
        <v>0</v>
      </c>
      <c r="CP99">
        <f ca="1"/>
        <v>0</v>
      </c>
      <c r="CQ99">
        <f ca="1"/>
        <v>0</v>
      </c>
      <c r="CR99">
        <f ca="1"/>
        <v>0</v>
      </c>
      <c r="CS99">
        <f ca="1"/>
        <v>0</v>
      </c>
      <c r="CT99">
        <f ca="1"/>
        <v>0</v>
      </c>
      <c r="CU99">
        <f ca="1"/>
        <v>0</v>
      </c>
      <c r="CV99">
        <f ca="1"/>
        <v>0</v>
      </c>
      <c r="CW99">
        <f ca="1"/>
        <v>0</v>
      </c>
      <c r="CX99">
        <f ca="1"/>
        <v>0</v>
      </c>
      <c r="CY99">
        <f ca="1"/>
        <v>0</v>
      </c>
      <c r="CZ99">
        <f ca="1"/>
        <v>0</v>
      </c>
      <c r="DA99">
        <f ca="1"/>
        <v>0</v>
      </c>
      <c r="DB99">
        <f ca="1"/>
        <v>0</v>
      </c>
      <c r="DC99">
        <f ca="1"/>
        <v>0</v>
      </c>
      <c r="DD99">
        <f ca="1"/>
        <v>0</v>
      </c>
      <c r="DE99">
        <f ca="1"/>
        <v>0</v>
      </c>
      <c r="DF99">
        <f ca="1"/>
        <v>0</v>
      </c>
      <c r="DG99">
        <f ca="1"/>
        <v>0</v>
      </c>
      <c r="DH99">
        <f ca="1"/>
        <v>0</v>
      </c>
      <c r="DI99">
        <f ca="1"/>
        <v>0</v>
      </c>
      <c r="DJ99">
        <f ca="1"/>
        <v>0</v>
      </c>
      <c r="DK99">
        <f ca="1"/>
        <v>0</v>
      </c>
      <c r="DL99">
        <f ca="1"/>
        <v>0</v>
      </c>
      <c r="DM99">
        <f ca="1"/>
        <v>0</v>
      </c>
      <c r="DN99">
        <f ca="1"/>
        <v>0</v>
      </c>
      <c r="DO99">
        <f ca="1"/>
        <v>0</v>
      </c>
      <c r="DP99">
        <f ca="1"/>
        <v>0</v>
      </c>
      <c r="DQ99">
        <f ca="1"/>
        <v>0</v>
      </c>
      <c r="DR99">
        <f ca="1"/>
        <v>0</v>
      </c>
      <c r="DS99">
        <f ca="1"/>
        <v>0</v>
      </c>
      <c r="DT99">
        <f ca="1"/>
        <v>0</v>
      </c>
      <c r="DU99">
        <f ca="1"/>
        <v>0</v>
      </c>
      <c r="DV99">
        <f ca="1"/>
        <v>0</v>
      </c>
      <c r="DW99">
        <f ca="1"/>
        <v>0</v>
      </c>
      <c r="DX99">
        <f ca="1"/>
        <v>0</v>
      </c>
      <c r="DY99">
        <f ca="1"/>
        <v>0</v>
      </c>
      <c r="DZ99">
        <f ca="1"/>
        <v>0</v>
      </c>
      <c r="EA99">
        <f ca="1"/>
        <v>0</v>
      </c>
      <c r="EB99">
        <f ca="1"/>
        <v>0</v>
      </c>
      <c r="EC99">
        <f ca="1"/>
        <v>0</v>
      </c>
      <c r="ED99">
        <f ca="1"/>
        <v>0</v>
      </c>
      <c r="EE99">
        <f ca="1"/>
        <v>0</v>
      </c>
      <c r="EF99">
        <f ca="1"/>
        <v>0</v>
      </c>
      <c r="EG99">
        <f ca="1"/>
        <v>0</v>
      </c>
      <c r="EH99">
        <f ca="1"/>
        <v>0</v>
      </c>
      <c r="EI99">
        <f ca="1"/>
        <v>0</v>
      </c>
      <c r="EJ99">
        <f ca="1"/>
        <v>0</v>
      </c>
      <c r="EK99">
        <f ca="1"/>
        <v>0</v>
      </c>
      <c r="EL99">
        <f ca="1"/>
        <v>0</v>
      </c>
      <c r="EM99">
        <f ca="1"/>
        <v>0</v>
      </c>
      <c r="EN99">
        <f ca="1"/>
        <v>0</v>
      </c>
      <c r="EO99">
        <f ca="1"/>
        <v>0</v>
      </c>
      <c r="EP99">
        <f ca="1"/>
        <v>0</v>
      </c>
      <c r="EQ99">
        <f ca="1"/>
        <v>0</v>
      </c>
      <c r="ER99">
        <f ca="1"/>
        <v>0</v>
      </c>
      <c r="ES99">
        <f ca="1"/>
        <v>0</v>
      </c>
      <c r="ET99">
        <f ca="1"/>
        <v>0</v>
      </c>
      <c r="EU99">
        <f ca="1"/>
        <v>0</v>
      </c>
      <c r="EV99">
        <f ca="1"/>
        <v>0</v>
      </c>
      <c r="EW99">
        <f ca="1"/>
        <v>0</v>
      </c>
      <c r="EX99">
        <f ca="1"/>
        <v>0</v>
      </c>
      <c r="EY99">
        <f ca="1"/>
        <v>0</v>
      </c>
      <c r="EZ99">
        <f ca="1"/>
        <v>0</v>
      </c>
      <c r="FA99">
        <f ca="1"/>
        <v>0</v>
      </c>
      <c r="FB99">
        <f ca="1"/>
        <v>0</v>
      </c>
      <c r="FC99">
        <f ca="1"/>
        <v>0</v>
      </c>
      <c r="FD99">
        <f ca="1"/>
        <v>0</v>
      </c>
      <c r="FE99">
        <f ca="1"/>
        <v>0</v>
      </c>
      <c r="FF99">
        <f ca="1"/>
        <v>0</v>
      </c>
      <c r="FG99">
        <f ca="1"/>
        <v>0</v>
      </c>
      <c r="FH99">
        <f ca="1"/>
        <v>0</v>
      </c>
      <c r="FI99">
        <f ca="1"/>
        <v>0</v>
      </c>
      <c r="FJ99">
        <f ca="1"/>
        <v>0</v>
      </c>
      <c r="FK99">
        <f ca="1"/>
        <v>0</v>
      </c>
      <c r="FL99">
        <f ca="1"/>
        <v>0</v>
      </c>
      <c r="FM99">
        <f ca="1"/>
        <v>0</v>
      </c>
      <c r="FN99">
        <f ca="1"/>
        <v>0</v>
      </c>
      <c r="FO99">
        <f ca="1"/>
        <v>0</v>
      </c>
      <c r="FP99">
        <f ca="1"/>
        <v>0</v>
      </c>
      <c r="FQ99">
        <f ca="1"/>
        <v>0</v>
      </c>
      <c r="FR99">
        <f ca="1"/>
        <v>0</v>
      </c>
      <c r="FS99">
        <f ca="1"/>
        <v>0</v>
      </c>
      <c r="FT99">
        <f ca="1"/>
        <v>0</v>
      </c>
      <c r="FU99">
        <f ca="1"/>
        <v>0</v>
      </c>
      <c r="FV99">
        <f ca="1"/>
        <v>0</v>
      </c>
      <c r="FW99">
        <f ca="1"/>
        <v>0</v>
      </c>
      <c r="FX99">
        <f ca="1"/>
        <v>0</v>
      </c>
      <c r="FY99">
        <f ca="1"/>
        <v>0</v>
      </c>
      <c r="FZ99">
        <f ca="1"/>
        <v>0</v>
      </c>
    </row>
    <row r="100" spans="3:182">
      <c r="C100" cm="1">
        <f t="array" aca="1" ref="C100:FZ100" ca="1">IFERROR(TRANSPOSE(INDEX(_xlfn._xlws.FILTER(INDIRECT("SubcategoriesTable[Subcategory name]"),INDIRECT("SubcategoriesTable[Category name]")=$B100),,)),"No subcategories")</f>
        <v>0</v>
      </c>
      <c r="D100">
        <f ca="1"/>
        <v>0</v>
      </c>
      <c r="E100">
        <f ca="1"/>
        <v>0</v>
      </c>
      <c r="F100">
        <f ca="1"/>
        <v>0</v>
      </c>
      <c r="G100">
        <f ca="1"/>
        <v>0</v>
      </c>
      <c r="H100">
        <f ca="1"/>
        <v>0</v>
      </c>
      <c r="I100">
        <f ca="1"/>
        <v>0</v>
      </c>
      <c r="J100">
        <f ca="1"/>
        <v>0</v>
      </c>
      <c r="K100">
        <f ca="1"/>
        <v>0</v>
      </c>
      <c r="L100">
        <f ca="1"/>
        <v>0</v>
      </c>
      <c r="M100">
        <f ca="1"/>
        <v>0</v>
      </c>
      <c r="N100">
        <f ca="1"/>
        <v>0</v>
      </c>
      <c r="O100">
        <f ca="1"/>
        <v>0</v>
      </c>
      <c r="P100">
        <f ca="1"/>
        <v>0</v>
      </c>
      <c r="Q100">
        <f ca="1"/>
        <v>0</v>
      </c>
      <c r="R100">
        <f ca="1"/>
        <v>0</v>
      </c>
      <c r="S100">
        <f ca="1"/>
        <v>0</v>
      </c>
      <c r="T100">
        <f ca="1"/>
        <v>0</v>
      </c>
      <c r="U100">
        <f ca="1"/>
        <v>0</v>
      </c>
      <c r="V100">
        <f ca="1"/>
        <v>0</v>
      </c>
      <c r="W100">
        <f ca="1"/>
        <v>0</v>
      </c>
      <c r="X100">
        <f ca="1"/>
        <v>0</v>
      </c>
      <c r="Y100">
        <f ca="1"/>
        <v>0</v>
      </c>
      <c r="Z100">
        <f ca="1"/>
        <v>0</v>
      </c>
      <c r="AA100">
        <f ca="1"/>
        <v>0</v>
      </c>
      <c r="AB100">
        <f ca="1"/>
        <v>0</v>
      </c>
      <c r="AC100">
        <f ca="1"/>
        <v>0</v>
      </c>
      <c r="AD100">
        <f ca="1"/>
        <v>0</v>
      </c>
      <c r="AE100">
        <f ca="1"/>
        <v>0</v>
      </c>
      <c r="AF100">
        <f ca="1"/>
        <v>0</v>
      </c>
      <c r="AG100">
        <f ca="1"/>
        <v>0</v>
      </c>
      <c r="AH100">
        <f ca="1"/>
        <v>0</v>
      </c>
      <c r="AI100">
        <f ca="1"/>
        <v>0</v>
      </c>
      <c r="AJ100">
        <f ca="1"/>
        <v>0</v>
      </c>
      <c r="AK100">
        <f ca="1"/>
        <v>0</v>
      </c>
      <c r="AL100">
        <f ca="1"/>
        <v>0</v>
      </c>
      <c r="AM100">
        <f ca="1"/>
        <v>0</v>
      </c>
      <c r="AN100">
        <f ca="1"/>
        <v>0</v>
      </c>
      <c r="AO100">
        <f ca="1"/>
        <v>0</v>
      </c>
      <c r="AP100">
        <f ca="1"/>
        <v>0</v>
      </c>
      <c r="AQ100">
        <f ca="1"/>
        <v>0</v>
      </c>
      <c r="AR100">
        <f ca="1"/>
        <v>0</v>
      </c>
      <c r="AS100">
        <f ca="1"/>
        <v>0</v>
      </c>
      <c r="AT100">
        <f ca="1"/>
        <v>0</v>
      </c>
      <c r="AU100">
        <f ca="1"/>
        <v>0</v>
      </c>
      <c r="AV100">
        <f ca="1"/>
        <v>0</v>
      </c>
      <c r="AW100">
        <f ca="1"/>
        <v>0</v>
      </c>
      <c r="AX100">
        <f ca="1"/>
        <v>0</v>
      </c>
      <c r="AY100">
        <f ca="1"/>
        <v>0</v>
      </c>
      <c r="AZ100">
        <f ca="1"/>
        <v>0</v>
      </c>
      <c r="BA100">
        <f ca="1"/>
        <v>0</v>
      </c>
      <c r="BB100">
        <f ca="1"/>
        <v>0</v>
      </c>
      <c r="BC100">
        <f ca="1"/>
        <v>0</v>
      </c>
      <c r="BD100">
        <f ca="1"/>
        <v>0</v>
      </c>
      <c r="BE100">
        <f ca="1"/>
        <v>0</v>
      </c>
      <c r="BF100">
        <f ca="1"/>
        <v>0</v>
      </c>
      <c r="BG100">
        <f ca="1"/>
        <v>0</v>
      </c>
      <c r="BH100">
        <f ca="1"/>
        <v>0</v>
      </c>
      <c r="BI100">
        <f ca="1"/>
        <v>0</v>
      </c>
      <c r="BJ100">
        <f ca="1"/>
        <v>0</v>
      </c>
      <c r="BK100">
        <f ca="1"/>
        <v>0</v>
      </c>
      <c r="BL100">
        <f ca="1"/>
        <v>0</v>
      </c>
      <c r="BM100">
        <f ca="1"/>
        <v>0</v>
      </c>
      <c r="BN100">
        <f ca="1"/>
        <v>0</v>
      </c>
      <c r="BO100">
        <f ca="1"/>
        <v>0</v>
      </c>
      <c r="BP100">
        <f ca="1"/>
        <v>0</v>
      </c>
      <c r="BQ100">
        <f ca="1"/>
        <v>0</v>
      </c>
      <c r="BR100">
        <f ca="1"/>
        <v>0</v>
      </c>
      <c r="BS100">
        <f ca="1"/>
        <v>0</v>
      </c>
      <c r="BT100">
        <f ca="1"/>
        <v>0</v>
      </c>
      <c r="BU100">
        <f ca="1"/>
        <v>0</v>
      </c>
      <c r="BV100">
        <f ca="1"/>
        <v>0</v>
      </c>
      <c r="BW100">
        <f ca="1"/>
        <v>0</v>
      </c>
      <c r="BX100">
        <f ca="1"/>
        <v>0</v>
      </c>
      <c r="BY100">
        <f ca="1"/>
        <v>0</v>
      </c>
      <c r="BZ100">
        <f ca="1"/>
        <v>0</v>
      </c>
      <c r="CA100">
        <f ca="1"/>
        <v>0</v>
      </c>
      <c r="CB100">
        <f ca="1"/>
        <v>0</v>
      </c>
      <c r="CC100">
        <f ca="1"/>
        <v>0</v>
      </c>
      <c r="CD100">
        <f ca="1"/>
        <v>0</v>
      </c>
      <c r="CE100">
        <f ca="1"/>
        <v>0</v>
      </c>
      <c r="CF100">
        <f ca="1"/>
        <v>0</v>
      </c>
      <c r="CG100">
        <f ca="1"/>
        <v>0</v>
      </c>
      <c r="CH100">
        <f ca="1"/>
        <v>0</v>
      </c>
      <c r="CI100">
        <f ca="1"/>
        <v>0</v>
      </c>
      <c r="CJ100">
        <f ca="1"/>
        <v>0</v>
      </c>
      <c r="CK100">
        <f ca="1"/>
        <v>0</v>
      </c>
      <c r="CL100">
        <f ca="1"/>
        <v>0</v>
      </c>
      <c r="CM100">
        <f ca="1"/>
        <v>0</v>
      </c>
      <c r="CN100">
        <f ca="1"/>
        <v>0</v>
      </c>
      <c r="CO100">
        <f ca="1"/>
        <v>0</v>
      </c>
      <c r="CP100">
        <f ca="1"/>
        <v>0</v>
      </c>
      <c r="CQ100">
        <f ca="1"/>
        <v>0</v>
      </c>
      <c r="CR100">
        <f ca="1"/>
        <v>0</v>
      </c>
      <c r="CS100">
        <f ca="1"/>
        <v>0</v>
      </c>
      <c r="CT100">
        <f ca="1"/>
        <v>0</v>
      </c>
      <c r="CU100">
        <f ca="1"/>
        <v>0</v>
      </c>
      <c r="CV100">
        <f ca="1"/>
        <v>0</v>
      </c>
      <c r="CW100">
        <f ca="1"/>
        <v>0</v>
      </c>
      <c r="CX100">
        <f ca="1"/>
        <v>0</v>
      </c>
      <c r="CY100">
        <f ca="1"/>
        <v>0</v>
      </c>
      <c r="CZ100">
        <f ca="1"/>
        <v>0</v>
      </c>
      <c r="DA100">
        <f ca="1"/>
        <v>0</v>
      </c>
      <c r="DB100">
        <f ca="1"/>
        <v>0</v>
      </c>
      <c r="DC100">
        <f ca="1"/>
        <v>0</v>
      </c>
      <c r="DD100">
        <f ca="1"/>
        <v>0</v>
      </c>
      <c r="DE100">
        <f ca="1"/>
        <v>0</v>
      </c>
      <c r="DF100">
        <f ca="1"/>
        <v>0</v>
      </c>
      <c r="DG100">
        <f ca="1"/>
        <v>0</v>
      </c>
      <c r="DH100">
        <f ca="1"/>
        <v>0</v>
      </c>
      <c r="DI100">
        <f ca="1"/>
        <v>0</v>
      </c>
      <c r="DJ100">
        <f ca="1"/>
        <v>0</v>
      </c>
      <c r="DK100">
        <f ca="1"/>
        <v>0</v>
      </c>
      <c r="DL100">
        <f ca="1"/>
        <v>0</v>
      </c>
      <c r="DM100">
        <f ca="1"/>
        <v>0</v>
      </c>
      <c r="DN100">
        <f ca="1"/>
        <v>0</v>
      </c>
      <c r="DO100">
        <f ca="1"/>
        <v>0</v>
      </c>
      <c r="DP100">
        <f ca="1"/>
        <v>0</v>
      </c>
      <c r="DQ100">
        <f ca="1"/>
        <v>0</v>
      </c>
      <c r="DR100">
        <f ca="1"/>
        <v>0</v>
      </c>
      <c r="DS100">
        <f ca="1"/>
        <v>0</v>
      </c>
      <c r="DT100">
        <f ca="1"/>
        <v>0</v>
      </c>
      <c r="DU100">
        <f ca="1"/>
        <v>0</v>
      </c>
      <c r="DV100">
        <f ca="1"/>
        <v>0</v>
      </c>
      <c r="DW100">
        <f ca="1"/>
        <v>0</v>
      </c>
      <c r="DX100">
        <f ca="1"/>
        <v>0</v>
      </c>
      <c r="DY100">
        <f ca="1"/>
        <v>0</v>
      </c>
      <c r="DZ100">
        <f ca="1"/>
        <v>0</v>
      </c>
      <c r="EA100">
        <f ca="1"/>
        <v>0</v>
      </c>
      <c r="EB100">
        <f ca="1"/>
        <v>0</v>
      </c>
      <c r="EC100">
        <f ca="1"/>
        <v>0</v>
      </c>
      <c r="ED100">
        <f ca="1"/>
        <v>0</v>
      </c>
      <c r="EE100">
        <f ca="1"/>
        <v>0</v>
      </c>
      <c r="EF100">
        <f ca="1"/>
        <v>0</v>
      </c>
      <c r="EG100">
        <f ca="1"/>
        <v>0</v>
      </c>
      <c r="EH100">
        <f ca="1"/>
        <v>0</v>
      </c>
      <c r="EI100">
        <f ca="1"/>
        <v>0</v>
      </c>
      <c r="EJ100">
        <f ca="1"/>
        <v>0</v>
      </c>
      <c r="EK100">
        <f ca="1"/>
        <v>0</v>
      </c>
      <c r="EL100">
        <f ca="1"/>
        <v>0</v>
      </c>
      <c r="EM100">
        <f ca="1"/>
        <v>0</v>
      </c>
      <c r="EN100">
        <f ca="1"/>
        <v>0</v>
      </c>
      <c r="EO100">
        <f ca="1"/>
        <v>0</v>
      </c>
      <c r="EP100">
        <f ca="1"/>
        <v>0</v>
      </c>
      <c r="EQ100">
        <f ca="1"/>
        <v>0</v>
      </c>
      <c r="ER100">
        <f ca="1"/>
        <v>0</v>
      </c>
      <c r="ES100">
        <f ca="1"/>
        <v>0</v>
      </c>
      <c r="ET100">
        <f ca="1"/>
        <v>0</v>
      </c>
      <c r="EU100">
        <f ca="1"/>
        <v>0</v>
      </c>
      <c r="EV100">
        <f ca="1"/>
        <v>0</v>
      </c>
      <c r="EW100">
        <f ca="1"/>
        <v>0</v>
      </c>
      <c r="EX100">
        <f ca="1"/>
        <v>0</v>
      </c>
      <c r="EY100">
        <f ca="1"/>
        <v>0</v>
      </c>
      <c r="EZ100">
        <f ca="1"/>
        <v>0</v>
      </c>
      <c r="FA100">
        <f ca="1"/>
        <v>0</v>
      </c>
      <c r="FB100">
        <f ca="1"/>
        <v>0</v>
      </c>
      <c r="FC100">
        <f ca="1"/>
        <v>0</v>
      </c>
      <c r="FD100">
        <f ca="1"/>
        <v>0</v>
      </c>
      <c r="FE100">
        <f ca="1"/>
        <v>0</v>
      </c>
      <c r="FF100">
        <f ca="1"/>
        <v>0</v>
      </c>
      <c r="FG100">
        <f ca="1"/>
        <v>0</v>
      </c>
      <c r="FH100">
        <f ca="1"/>
        <v>0</v>
      </c>
      <c r="FI100">
        <f ca="1"/>
        <v>0</v>
      </c>
      <c r="FJ100">
        <f ca="1"/>
        <v>0</v>
      </c>
      <c r="FK100">
        <f ca="1"/>
        <v>0</v>
      </c>
      <c r="FL100">
        <f ca="1"/>
        <v>0</v>
      </c>
      <c r="FM100">
        <f ca="1"/>
        <v>0</v>
      </c>
      <c r="FN100">
        <f ca="1"/>
        <v>0</v>
      </c>
      <c r="FO100">
        <f ca="1"/>
        <v>0</v>
      </c>
      <c r="FP100">
        <f ca="1"/>
        <v>0</v>
      </c>
      <c r="FQ100">
        <f ca="1"/>
        <v>0</v>
      </c>
      <c r="FR100">
        <f ca="1"/>
        <v>0</v>
      </c>
      <c r="FS100">
        <f ca="1"/>
        <v>0</v>
      </c>
      <c r="FT100">
        <f ca="1"/>
        <v>0</v>
      </c>
      <c r="FU100">
        <f ca="1"/>
        <v>0</v>
      </c>
      <c r="FV100">
        <f ca="1"/>
        <v>0</v>
      </c>
      <c r="FW100">
        <f ca="1"/>
        <v>0</v>
      </c>
      <c r="FX100">
        <f ca="1"/>
        <v>0</v>
      </c>
      <c r="FY100">
        <f ca="1"/>
        <v>0</v>
      </c>
      <c r="FZ100">
        <f ca="1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20D2D-643E-DF4C-A4A1-2EC95FEEC4A0}">
  <dimension ref="A1:P7"/>
  <sheetViews>
    <sheetView topLeftCell="D1" workbookViewId="0">
      <selection activeCell="M5" sqref="M5"/>
    </sheetView>
  </sheetViews>
  <sheetFormatPr defaultColWidth="11.42578125" defaultRowHeight="15"/>
  <cols>
    <col min="1" max="1" width="11.7109375" customWidth="1"/>
    <col min="2" max="2" width="16.42578125" bestFit="1" customWidth="1"/>
    <col min="3" max="5" width="16.42578125" customWidth="1"/>
    <col min="6" max="6" width="19.85546875" bestFit="1" customWidth="1"/>
    <col min="8" max="8" width="12.85546875" customWidth="1"/>
    <col min="9" max="9" width="13.85546875" bestFit="1" customWidth="1"/>
    <col min="10" max="10" width="17.28515625" customWidth="1"/>
    <col min="11" max="11" width="14.85546875" bestFit="1" customWidth="1"/>
    <col min="12" max="12" width="18" bestFit="1" customWidth="1"/>
  </cols>
  <sheetData>
    <row r="1" spans="1:16">
      <c r="A1" t="s">
        <v>53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H1" t="s">
        <v>53</v>
      </c>
      <c r="I1" t="s">
        <v>64</v>
      </c>
      <c r="J1" s="125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</row>
    <row r="2" spans="1:16">
      <c r="A2" s="167" t="s">
        <v>3484</v>
      </c>
      <c r="B2" s="167" t="s">
        <v>3485</v>
      </c>
      <c r="C2" s="167" t="s">
        <v>671</v>
      </c>
      <c r="D2" s="167" t="s">
        <v>3486</v>
      </c>
      <c r="E2" s="167" t="b">
        <v>0</v>
      </c>
      <c r="F2" s="167" t="s">
        <v>3485</v>
      </c>
      <c r="H2" s="167" t="s">
        <v>3487</v>
      </c>
      <c r="I2" s="167" t="s">
        <v>3484</v>
      </c>
      <c r="J2" s="125" t="s">
        <v>3488</v>
      </c>
      <c r="K2" s="167" t="s">
        <v>3489</v>
      </c>
      <c r="L2" s="167" t="s">
        <v>3489</v>
      </c>
      <c r="M2" s="167">
        <v>2544.5700000000002</v>
      </c>
      <c r="N2" s="167" t="s">
        <v>3490</v>
      </c>
      <c r="O2" s="167" t="b">
        <v>1</v>
      </c>
      <c r="P2" s="167" t="b">
        <v>0</v>
      </c>
    </row>
    <row r="3" spans="1:16">
      <c r="A3" s="167" t="s">
        <v>1372</v>
      </c>
      <c r="B3" s="167" t="s">
        <v>1373</v>
      </c>
      <c r="C3" s="167" t="s">
        <v>671</v>
      </c>
      <c r="D3" s="167" t="s">
        <v>1374</v>
      </c>
      <c r="E3" s="167" t="b">
        <v>0</v>
      </c>
      <c r="F3" s="167" t="s">
        <v>1373</v>
      </c>
      <c r="H3" s="167" t="s">
        <v>3491</v>
      </c>
      <c r="I3" s="167" t="s">
        <v>3484</v>
      </c>
      <c r="J3" s="125" t="s">
        <v>3492</v>
      </c>
      <c r="K3" s="167" t="s">
        <v>3493</v>
      </c>
      <c r="L3" s="167" t="s">
        <v>3493</v>
      </c>
      <c r="M3" s="167">
        <v>45.91</v>
      </c>
      <c r="N3" s="167" t="s">
        <v>3490</v>
      </c>
      <c r="O3" s="167" t="b">
        <v>1</v>
      </c>
      <c r="P3" s="167" t="b">
        <v>0</v>
      </c>
    </row>
    <row r="4" spans="1:16">
      <c r="A4" s="167" t="s">
        <v>841</v>
      </c>
      <c r="B4" s="167" t="s">
        <v>803</v>
      </c>
      <c r="C4" s="167" t="s">
        <v>671</v>
      </c>
      <c r="D4" s="167" t="s">
        <v>842</v>
      </c>
      <c r="E4" s="167" t="b">
        <v>0</v>
      </c>
      <c r="F4" s="167" t="s">
        <v>803</v>
      </c>
      <c r="H4" s="167" t="s">
        <v>1375</v>
      </c>
      <c r="I4" s="167" t="s">
        <v>1372</v>
      </c>
      <c r="J4" s="125" t="s">
        <v>1376</v>
      </c>
      <c r="K4" s="167">
        <v>4561</v>
      </c>
      <c r="L4" s="167" t="s">
        <v>3375</v>
      </c>
      <c r="M4" s="167">
        <v>0</v>
      </c>
      <c r="N4" s="167" t="s">
        <v>804</v>
      </c>
      <c r="O4" s="167" t="b">
        <v>1</v>
      </c>
      <c r="P4" s="167" t="b">
        <v>0</v>
      </c>
    </row>
    <row r="5" spans="1:16">
      <c r="A5" s="167" t="s">
        <v>807</v>
      </c>
      <c r="B5" s="167" t="s">
        <v>670</v>
      </c>
      <c r="C5" s="167" t="s">
        <v>671</v>
      </c>
      <c r="D5" s="167" t="s">
        <v>672</v>
      </c>
      <c r="E5" s="167" t="b">
        <v>0</v>
      </c>
      <c r="F5" s="167" t="s">
        <v>670</v>
      </c>
      <c r="H5" s="167" t="s">
        <v>843</v>
      </c>
      <c r="I5" s="167" t="s">
        <v>841</v>
      </c>
      <c r="J5" s="125" t="s">
        <v>805</v>
      </c>
      <c r="K5" s="167" t="s">
        <v>844</v>
      </c>
      <c r="L5" s="167" t="s">
        <v>803</v>
      </c>
      <c r="M5" s="167">
        <v>1907.5</v>
      </c>
      <c r="N5" s="167" t="s">
        <v>804</v>
      </c>
      <c r="O5" s="167" t="b">
        <v>1</v>
      </c>
      <c r="P5" s="167" t="b">
        <v>0</v>
      </c>
    </row>
    <row r="6" spans="1:16">
      <c r="A6" s="167" t="s">
        <v>668</v>
      </c>
      <c r="B6" s="167"/>
      <c r="C6" s="167"/>
      <c r="D6" s="167"/>
      <c r="E6" s="167"/>
      <c r="F6" s="167"/>
      <c r="H6" s="167" t="s">
        <v>808</v>
      </c>
      <c r="I6" s="167" t="s">
        <v>807</v>
      </c>
      <c r="J6" s="125" t="s">
        <v>673</v>
      </c>
      <c r="K6" s="167" t="s">
        <v>674</v>
      </c>
      <c r="L6" s="167" t="s">
        <v>802</v>
      </c>
      <c r="M6" s="167">
        <v>184.18</v>
      </c>
      <c r="N6" s="167" t="s">
        <v>675</v>
      </c>
      <c r="O6" s="167" t="b">
        <v>1</v>
      </c>
      <c r="P6" s="167" t="b">
        <v>0</v>
      </c>
    </row>
    <row r="7" spans="1:16">
      <c r="H7" s="167" t="s">
        <v>669</v>
      </c>
      <c r="I7" s="167"/>
      <c r="J7" s="125"/>
      <c r="K7" s="167"/>
      <c r="L7" s="167"/>
      <c r="M7" s="167"/>
      <c r="N7" s="167"/>
      <c r="O7" s="167"/>
      <c r="P7" s="167"/>
    </row>
  </sheetData>
  <sheetProtection formatCells="0" formatColumns="0" formatRows="0" insertColumns="0" insertRows="0" deleteColumns="0" sort="0" autoFilter="0"/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4BCF5-B4E7-49D9-B71F-93D3A6B38DA7}">
  <dimension ref="A1:G2000"/>
  <sheetViews>
    <sheetView workbookViewId="0"/>
  </sheetViews>
  <sheetFormatPr defaultRowHeight="15"/>
  <sheetData>
    <row r="1" spans="1:7">
      <c r="A1" s="168" t="s">
        <v>3418</v>
      </c>
      <c r="B1" s="168" t="s">
        <v>3419</v>
      </c>
      <c r="C1" s="168" t="s">
        <v>3420</v>
      </c>
      <c r="D1" s="168" t="s">
        <v>3421</v>
      </c>
      <c r="E1" s="168" t="s">
        <v>3422</v>
      </c>
      <c r="F1" s="168" t="s">
        <v>3423</v>
      </c>
      <c r="G1" s="168" t="s">
        <v>3424</v>
      </c>
    </row>
    <row r="2" spans="1:7">
      <c r="A2" t="str">
        <f ca="1">TEXT(EOMONTH(TODAY(),-1)+1,"mm yyyy")</f>
        <v>01 2022</v>
      </c>
      <c r="B2" cm="1">
        <f t="array" aca="1" ref="B2" ca="1">IFERROR(DATE(RIGHT(INDIRECT("RC[-1]",0),4),LEFT(INDIRECT("RC[-1]",0),2),1), "")</f>
        <v>44562</v>
      </c>
      <c r="C2" s="182" cm="1">
        <f t="array" aca="1" ref="C2:C26" ca="1">_xlfn._xlws.SORT(_xlfn.UNIQUE(_xlfn._xlws.FILTER($B$2:$B$2000, $B2:$B$2000&lt;&gt;"")), 1, -1)</f>
        <v>44562</v>
      </c>
      <c r="D2" t="str" cm="1">
        <f t="array" ref="D2:D24">_xlfn.UNIQUE(_xlfn._xlws.FILTER(CategoriesTable[Category name], (CategoriesTable[Category name]&lt;&gt;"") * (CategoriesTable[Category name]&lt;&gt;"Refund") * (CategoriesTable[Category name]&lt;&gt;"Income") * (CategoriesTable[Category name]&lt;&gt;"Transfer")))</f>
        <v>Auto/Transport</v>
      </c>
      <c r="E2" t="str" cm="1">
        <f t="array" ref="E2:E15">IF(COUNTA(MonthlyBudgetTable[Category])&gt;0,_xlfn.UNIQUE(_xlfn._xlws.FILTER(MonthlyBudgetTable[Category],MonthlyBudgetTable[Category]&lt;&gt;"",),FALSE,FALSE),"")</f>
        <v>Misc</v>
      </c>
      <c r="F2" t="str" cm="1">
        <f t="array" aca="1" ref="F2" ca="1">IF(COUNTIF($E$2:$E$2000,INDIRECT("RC[-2]",0))&gt;0,"",INDIRECT("RC[-2]",0))</f>
        <v/>
      </c>
      <c r="G2" t="str" cm="1">
        <f t="array" aca="1" ref="G2:G11" ca="1">IFERROR(_xlfn._xlws.FILTER($F$2:$F$2000, ($F$2:$F$2000&lt;&gt;"") * ($F$2:$F$2000&lt;&gt;0)), "No additional categories")</f>
        <v>Bills/Utilities</v>
      </c>
    </row>
    <row r="3" spans="1:7">
      <c r="A3" t="str" cm="1">
        <f t="array" ref="A3:A27">IFERROR(_xlfn.UNIQUE(TEXT(_xlfn._xlws.FILTER(Table1[Date],Table1[Date]&lt;&gt;"",), "mm yyyy")),"")</f>
        <v>01 2022</v>
      </c>
      <c r="B3" cm="1">
        <f t="array" aca="1" ref="B3" ca="1">IFERROR(DATE(RIGHT(INDIRECT("RC[-1]",0),4),LEFT(INDIRECT("RC[-1]",0),2),1), "")</f>
        <v>44562</v>
      </c>
      <c r="C3" s="182">
        <f ca="1"/>
        <v>44531</v>
      </c>
      <c r="D3" t="str">
        <v>Bills/Utilities</v>
      </c>
      <c r="E3" t="str">
        <v>Entertainment</v>
      </c>
      <c r="F3" t="str" cm="1">
        <f t="array" aca="1" ref="F3" ca="1">IF(COUNTIF($E$2:$E$2000,INDIRECT("RC[-2]",0))&gt;0,"",INDIRECT("RC[-2]",0))</f>
        <v>Bills/Utilities</v>
      </c>
      <c r="G3" t="str">
        <f ca="1"/>
        <v>Fees/Charges</v>
      </c>
    </row>
    <row r="4" spans="1:7">
      <c r="A4" t="str">
        <v>12 2021</v>
      </c>
      <c r="B4" cm="1">
        <f t="array" aca="1" ref="B4" ca="1">IFERROR(DATE(RIGHT(INDIRECT("RC[-1]",0),4),LEFT(INDIRECT("RC[-1]",0),2),1), "")</f>
        <v>44531</v>
      </c>
      <c r="C4" s="182">
        <f ca="1"/>
        <v>44501</v>
      </c>
      <c r="D4" t="str">
        <v>Entertainment</v>
      </c>
      <c r="E4" t="str">
        <v>Groceries</v>
      </c>
      <c r="F4" t="str" cm="1">
        <f t="array" aca="1" ref="F4" ca="1">IF(COUNTIF($E$2:$E$2000,INDIRECT("RC[-2]",0))&gt;0,"",INDIRECT("RC[-2]",0))</f>
        <v/>
      </c>
      <c r="G4" t="str">
        <f ca="1"/>
        <v>Restaurants/Dining</v>
      </c>
    </row>
    <row r="5" spans="1:7">
      <c r="A5" t="str">
        <v>11 2021</v>
      </c>
      <c r="B5" cm="1">
        <f t="array" aca="1" ref="B5" ca="1">IFERROR(DATE(RIGHT(INDIRECT("RC[-1]",0),4),LEFT(INDIRECT("RC[-1]",0),2),1), "")</f>
        <v>44501</v>
      </c>
      <c r="C5" s="182">
        <f ca="1"/>
        <v>44470</v>
      </c>
      <c r="D5" t="str">
        <v>Fees/Charges</v>
      </c>
      <c r="E5" t="str">
        <v>Professional Services</v>
      </c>
      <c r="F5" t="str" cm="1">
        <f t="array" aca="1" ref="F5" ca="1">IF(COUNTIF($E$2:$E$2000,INDIRECT("RC[-2]",0))&gt;0,"",INDIRECT("RC[-2]",0))</f>
        <v>Fees/Charges</v>
      </c>
      <c r="G5" t="str">
        <f ca="1"/>
        <v>Shopping</v>
      </c>
    </row>
    <row r="6" spans="1:7">
      <c r="A6" t="str">
        <v>10 2021</v>
      </c>
      <c r="B6" cm="1">
        <f t="array" aca="1" ref="B6" ca="1">IFERROR(DATE(RIGHT(INDIRECT("RC[-1]",0),4),LEFT(INDIRECT("RC[-1]",0),2),1), "")</f>
        <v>44470</v>
      </c>
      <c r="C6" s="182">
        <f ca="1"/>
        <v>44440</v>
      </c>
      <c r="D6" t="str">
        <v>Groceries</v>
      </c>
      <c r="E6" t="str">
        <v>Auto/Transport</v>
      </c>
      <c r="F6" t="str" cm="1">
        <f t="array" aca="1" ref="F6" ca="1">IF(COUNTIF($E$2:$E$2000,INDIRECT("RC[-2]",0))&gt;0,"",INDIRECT("RC[-2]",0))</f>
        <v/>
      </c>
      <c r="G6" t="str">
        <f ca="1"/>
        <v>Travel</v>
      </c>
    </row>
    <row r="7" spans="1:7">
      <c r="A7" t="str">
        <v>09 2021</v>
      </c>
      <c r="B7" cm="1">
        <f t="array" aca="1" ref="B7" ca="1">IFERROR(DATE(RIGHT(INDIRECT("RC[-1]",0),4),LEFT(INDIRECT("RC[-1]",0),2),1), "")</f>
        <v>44440</v>
      </c>
      <c r="C7" s="182">
        <f ca="1"/>
        <v>44409</v>
      </c>
      <c r="D7" t="str">
        <v>Health/Fitness</v>
      </c>
      <c r="E7" t="str">
        <v>Food</v>
      </c>
      <c r="F7" t="str" cm="1">
        <f t="array" aca="1" ref="F7" ca="1">IF(COUNTIF($E$2:$E$2000,INDIRECT("RC[-2]",0))&gt;0,"",INDIRECT("RC[-2]",0))</f>
        <v/>
      </c>
      <c r="G7" t="str">
        <f ca="1"/>
        <v>Uncategorized</v>
      </c>
    </row>
    <row r="8" spans="1:7">
      <c r="A8" t="str">
        <v>08 2021</v>
      </c>
      <c r="B8" cm="1">
        <f t="array" aca="1" ref="B8" ca="1">IFERROR(DATE(RIGHT(INDIRECT("RC[-1]",0),4),LEFT(INDIRECT("RC[-1]",0),2),1), "")</f>
        <v>44409</v>
      </c>
      <c r="C8" s="182">
        <f ca="1"/>
        <v>44378</v>
      </c>
      <c r="D8" t="str">
        <v>Home</v>
      </c>
      <c r="E8" t="str">
        <v>Health/Fitness</v>
      </c>
      <c r="F8" t="str" cm="1">
        <f t="array" aca="1" ref="F8" ca="1">IF(COUNTIF($E$2:$E$2000,INDIRECT("RC[-2]",0))&gt;0,"",INDIRECT("RC[-2]",0))</f>
        <v/>
      </c>
      <c r="G8" t="str">
        <f ca="1"/>
        <v>Recreational &amp; Entertainment</v>
      </c>
    </row>
    <row r="9" spans="1:7">
      <c r="A9" t="str">
        <v>07 2021</v>
      </c>
      <c r="B9" cm="1">
        <f t="array" aca="1" ref="B9" ca="1">IFERROR(DATE(RIGHT(INDIRECT("RC[-1]",0),4),LEFT(INDIRECT("RC[-1]",0),2),1), "")</f>
        <v>44378</v>
      </c>
      <c r="C9" s="182">
        <f ca="1"/>
        <v>44348</v>
      </c>
      <c r="D9" t="str">
        <v>Misc</v>
      </c>
      <c r="E9" t="str">
        <v>Home</v>
      </c>
      <c r="F9" t="str" cm="1">
        <f t="array" aca="1" ref="F9" ca="1">IF(COUNTIF($E$2:$E$2000,INDIRECT("RC[-2]",0))&gt;0,"",INDIRECT("RC[-2]",0))</f>
        <v/>
      </c>
      <c r="G9" t="str">
        <f ca="1"/>
        <v>Savings, Investing, &amp;Debt</v>
      </c>
    </row>
    <row r="10" spans="1:7">
      <c r="A10" t="str">
        <v>06 2021</v>
      </c>
      <c r="B10" cm="1">
        <f t="array" aca="1" ref="B10" ca="1">IFERROR(DATE(RIGHT(INDIRECT("RC[-1]",0),4),LEFT(INDIRECT("RC[-1]",0),2),1), "")</f>
        <v>44348</v>
      </c>
      <c r="C10" s="182">
        <f ca="1"/>
        <v>44317</v>
      </c>
      <c r="D10" t="str">
        <v>Mortgage/Rent</v>
      </c>
      <c r="E10" t="str">
        <v>Insurance</v>
      </c>
      <c r="F10" t="str" cm="1">
        <f t="array" aca="1" ref="F10" ca="1">IF(COUNTIF($E$2:$E$2000,INDIRECT("RC[-2]",0))&gt;0,"",INDIRECT("RC[-2]",0))</f>
        <v/>
      </c>
      <c r="G10" t="str">
        <f ca="1"/>
        <v>Transportation</v>
      </c>
    </row>
    <row r="11" spans="1:7">
      <c r="A11" t="str">
        <v>05 2021</v>
      </c>
      <c r="B11" cm="1">
        <f t="array" aca="1" ref="B11" ca="1">IFERROR(DATE(RIGHT(INDIRECT("RC[-1]",0),4),LEFT(INDIRECT("RC[-1]",0),2),1), "")</f>
        <v>44317</v>
      </c>
      <c r="C11" s="182">
        <f ca="1"/>
        <v>44287</v>
      </c>
      <c r="D11" t="str">
        <v>Payment</v>
      </c>
      <c r="E11" t="str">
        <v>Medical &amp; Healthcare</v>
      </c>
      <c r="F11" t="str" cm="1">
        <f t="array" aca="1" ref="F11" ca="1">IF(COUNTIF($E$2:$E$2000,INDIRECT("RC[-2]",0))&gt;0,"",INDIRECT("RC[-2]",0))</f>
        <v/>
      </c>
      <c r="G11" t="str">
        <f ca="1"/>
        <v>Utilities</v>
      </c>
    </row>
    <row r="12" spans="1:7">
      <c r="A12" t="str">
        <v>04 2021</v>
      </c>
      <c r="B12" cm="1">
        <f t="array" aca="1" ref="B12" ca="1">IFERROR(DATE(RIGHT(INDIRECT("RC[-1]",0),4),LEFT(INDIRECT("RC[-1]",0),2),1), "")</f>
        <v>44287</v>
      </c>
      <c r="C12" s="182">
        <f ca="1"/>
        <v>44256</v>
      </c>
      <c r="D12" t="str">
        <v>Professional Services</v>
      </c>
      <c r="E12" t="str">
        <v>Mortgage/Rent</v>
      </c>
      <c r="F12" t="str" cm="1">
        <f t="array" aca="1" ref="F12" ca="1">IF(COUNTIF($E$2:$E$2000,INDIRECT("RC[-2]",0))&gt;0,"",INDIRECT("RC[-2]",0))</f>
        <v/>
      </c>
    </row>
    <row r="13" spans="1:7">
      <c r="A13" t="str">
        <v>03 2021</v>
      </c>
      <c r="B13" cm="1">
        <f t="array" aca="1" ref="B13" ca="1">IFERROR(DATE(RIGHT(INDIRECT("RC[-1]",0),4),LEFT(INDIRECT("RC[-1]",0),2),1), "")</f>
        <v>44256</v>
      </c>
      <c r="C13" s="182">
        <f ca="1"/>
        <v>44228</v>
      </c>
      <c r="D13" t="str">
        <v>Restaurants/Dining</v>
      </c>
      <c r="E13" t="str">
        <v>Payment</v>
      </c>
      <c r="F13" t="str" cm="1">
        <f t="array" aca="1" ref="F13" ca="1">IF(COUNTIF($E$2:$E$2000,INDIRECT("RC[-2]",0))&gt;0,"",INDIRECT("RC[-2]",0))</f>
        <v>Restaurants/Dining</v>
      </c>
    </row>
    <row r="14" spans="1:7">
      <c r="A14" t="str">
        <v>02 2021</v>
      </c>
      <c r="B14" cm="1">
        <f t="array" aca="1" ref="B14" ca="1">IFERROR(DATE(RIGHT(INDIRECT("RC[-1]",0),4),LEFT(INDIRECT("RC[-1]",0),2),1), "")</f>
        <v>44228</v>
      </c>
      <c r="C14" s="182">
        <f ca="1"/>
        <v>44197</v>
      </c>
      <c r="D14" t="str">
        <v>Shopping</v>
      </c>
      <c r="E14" t="str">
        <v>Personal Spending</v>
      </c>
      <c r="F14" t="str" cm="1">
        <f t="array" aca="1" ref="F14" ca="1">IF(COUNTIF($E$2:$E$2000,INDIRECT("RC[-2]",0))&gt;0,"",INDIRECT("RC[-2]",0))</f>
        <v>Shopping</v>
      </c>
    </row>
    <row r="15" spans="1:7">
      <c r="A15" t="str">
        <v>01 2021</v>
      </c>
      <c r="B15" cm="1">
        <f t="array" aca="1" ref="B15" ca="1">IFERROR(DATE(RIGHT(INDIRECT("RC[-1]",0),4),LEFT(INDIRECT("RC[-1]",0),2),1), "")</f>
        <v>44197</v>
      </c>
      <c r="C15" s="182">
        <f ca="1"/>
        <v>44166</v>
      </c>
      <c r="D15" t="str">
        <v>Travel</v>
      </c>
      <c r="E15" t="str">
        <v>Transfer</v>
      </c>
      <c r="F15" t="str" cm="1">
        <f t="array" aca="1" ref="F15" ca="1">IF(COUNTIF($E$2:$E$2000,INDIRECT("RC[-2]",0))&gt;0,"",INDIRECT("RC[-2]",0))</f>
        <v>Travel</v>
      </c>
    </row>
    <row r="16" spans="1:7">
      <c r="A16" t="str">
        <v>12 2020</v>
      </c>
      <c r="B16" cm="1">
        <f t="array" aca="1" ref="B16" ca="1">IFERROR(DATE(RIGHT(INDIRECT("RC[-1]",0),4),LEFT(INDIRECT("RC[-1]",0),2),1), "")</f>
        <v>44166</v>
      </c>
      <c r="C16" s="182">
        <f ca="1"/>
        <v>44136</v>
      </c>
      <c r="D16" t="str">
        <v>Uncategorized</v>
      </c>
      <c r="F16" t="str" cm="1">
        <f t="array" aca="1" ref="F16" ca="1">IF(COUNTIF($E$2:$E$2000,INDIRECT("RC[-2]",0))&gt;0,"",INDIRECT("RC[-2]",0))</f>
        <v>Uncategorized</v>
      </c>
    </row>
    <row r="17" spans="1:6">
      <c r="A17" t="str">
        <v>11 2020</v>
      </c>
      <c r="B17" cm="1">
        <f t="array" aca="1" ref="B17" ca="1">IFERROR(DATE(RIGHT(INDIRECT("RC[-1]",0),4),LEFT(INDIRECT("RC[-1]",0),2),1), "")</f>
        <v>44136</v>
      </c>
      <c r="C17" s="182">
        <f ca="1"/>
        <v>44105</v>
      </c>
      <c r="D17" t="str">
        <v>Food</v>
      </c>
      <c r="F17" t="str" cm="1">
        <f t="array" aca="1" ref="F17" ca="1">IF(COUNTIF($E$2:$E$2000,INDIRECT("RC[-2]",0))&gt;0,"",INDIRECT("RC[-2]",0))</f>
        <v/>
      </c>
    </row>
    <row r="18" spans="1:6">
      <c r="A18" t="str">
        <v>10 2020</v>
      </c>
      <c r="B18" cm="1">
        <f t="array" aca="1" ref="B18" ca="1">IFERROR(DATE(RIGHT(INDIRECT("RC[-1]",0),4),LEFT(INDIRECT("RC[-1]",0),2),1), "")</f>
        <v>44105</v>
      </c>
      <c r="C18" s="182">
        <f ca="1"/>
        <v>44075</v>
      </c>
      <c r="D18" t="str">
        <v>Insurance</v>
      </c>
      <c r="F18" t="str" cm="1">
        <f t="array" aca="1" ref="F18" ca="1">IF(COUNTIF($E$2:$E$2000,INDIRECT("RC[-2]",0))&gt;0,"",INDIRECT("RC[-2]",0))</f>
        <v/>
      </c>
    </row>
    <row r="19" spans="1:6">
      <c r="A19" t="str">
        <v>09 2020</v>
      </c>
      <c r="B19" cm="1">
        <f t="array" aca="1" ref="B19" ca="1">IFERROR(DATE(RIGHT(INDIRECT("RC[-1]",0),4),LEFT(INDIRECT("RC[-1]",0),2),1), "")</f>
        <v>44075</v>
      </c>
      <c r="C19" s="182">
        <f ca="1"/>
        <v>44044</v>
      </c>
      <c r="D19" t="str">
        <v>Medical &amp; Healthcare</v>
      </c>
      <c r="F19" t="str" cm="1">
        <f t="array" aca="1" ref="F19" ca="1">IF(COUNTIF($E$2:$E$2000,INDIRECT("RC[-2]",0))&gt;0,"",INDIRECT("RC[-2]",0))</f>
        <v/>
      </c>
    </row>
    <row r="20" spans="1:6">
      <c r="A20" t="str">
        <v>08 2020</v>
      </c>
      <c r="B20" cm="1">
        <f t="array" aca="1" ref="B20" ca="1">IFERROR(DATE(RIGHT(INDIRECT("RC[-1]",0),4),LEFT(INDIRECT("RC[-1]",0),2),1), "")</f>
        <v>44044</v>
      </c>
      <c r="C20" s="182">
        <f ca="1"/>
        <v>44013</v>
      </c>
      <c r="D20" t="str">
        <v>Personal Spending</v>
      </c>
      <c r="F20" t="str" cm="1">
        <f t="array" aca="1" ref="F20" ca="1">IF(COUNTIF($E$2:$E$2000,INDIRECT("RC[-2]",0))&gt;0,"",INDIRECT("RC[-2]",0))</f>
        <v/>
      </c>
    </row>
    <row r="21" spans="1:6">
      <c r="A21" t="str">
        <v>07 2020</v>
      </c>
      <c r="B21" cm="1">
        <f t="array" aca="1" ref="B21" ca="1">IFERROR(DATE(RIGHT(INDIRECT("RC[-1]",0),4),LEFT(INDIRECT("RC[-1]",0),2),1), "")</f>
        <v>44013</v>
      </c>
      <c r="C21" s="182">
        <f ca="1"/>
        <v>43983</v>
      </c>
      <c r="D21" t="str">
        <v>Recreational &amp; Entertainment</v>
      </c>
      <c r="F21" t="str" cm="1">
        <f t="array" aca="1" ref="F21" ca="1">IF(COUNTIF($E$2:$E$2000,INDIRECT("RC[-2]",0))&gt;0,"",INDIRECT("RC[-2]",0))</f>
        <v>Recreational &amp; Entertainment</v>
      </c>
    </row>
    <row r="22" spans="1:6">
      <c r="A22" t="str">
        <v>06 2020</v>
      </c>
      <c r="B22" cm="1">
        <f t="array" aca="1" ref="B22" ca="1">IFERROR(DATE(RIGHT(INDIRECT("RC[-1]",0),4),LEFT(INDIRECT("RC[-1]",0),2),1), "")</f>
        <v>43983</v>
      </c>
      <c r="C22" s="182">
        <f ca="1"/>
        <v>43952</v>
      </c>
      <c r="D22" t="str">
        <v>Savings, Investing, &amp;Debt</v>
      </c>
      <c r="F22" t="str" cm="1">
        <f t="array" aca="1" ref="F22" ca="1">IF(COUNTIF($E$2:$E$2000,INDIRECT("RC[-2]",0))&gt;0,"",INDIRECT("RC[-2]",0))</f>
        <v>Savings, Investing, &amp;Debt</v>
      </c>
    </row>
    <row r="23" spans="1:6">
      <c r="A23" t="str">
        <v>05 2020</v>
      </c>
      <c r="B23" cm="1">
        <f t="array" aca="1" ref="B23" ca="1">IFERROR(DATE(RIGHT(INDIRECT("RC[-1]",0),4),LEFT(INDIRECT("RC[-1]",0),2),1), "")</f>
        <v>43952</v>
      </c>
      <c r="C23" s="182">
        <f ca="1"/>
        <v>43922</v>
      </c>
      <c r="D23" t="str">
        <v>Transportation</v>
      </c>
      <c r="F23" t="str" cm="1">
        <f t="array" aca="1" ref="F23" ca="1">IF(COUNTIF($E$2:$E$2000,INDIRECT("RC[-2]",0))&gt;0,"",INDIRECT("RC[-2]",0))</f>
        <v>Transportation</v>
      </c>
    </row>
    <row r="24" spans="1:6">
      <c r="A24" t="str">
        <v>04 2020</v>
      </c>
      <c r="B24" cm="1">
        <f t="array" aca="1" ref="B24" ca="1">IFERROR(DATE(RIGHT(INDIRECT("RC[-1]",0),4),LEFT(INDIRECT("RC[-1]",0),2),1), "")</f>
        <v>43922</v>
      </c>
      <c r="C24" s="182">
        <f ca="1"/>
        <v>43891</v>
      </c>
      <c r="D24" t="str">
        <v>Utilities</v>
      </c>
      <c r="F24" t="str" cm="1">
        <f t="array" aca="1" ref="F24" ca="1">IF(COUNTIF($E$2:$E$2000,INDIRECT("RC[-2]",0))&gt;0,"",INDIRECT("RC[-2]",0))</f>
        <v>Utilities</v>
      </c>
    </row>
    <row r="25" spans="1:6">
      <c r="A25" t="str">
        <v>03 2020</v>
      </c>
      <c r="B25" cm="1">
        <f t="array" aca="1" ref="B25" ca="1">IFERROR(DATE(RIGHT(INDIRECT("RC[-1]",0),4),LEFT(INDIRECT("RC[-1]",0),2),1), "")</f>
        <v>43891</v>
      </c>
      <c r="C25" s="182">
        <f ca="1"/>
        <v>43862</v>
      </c>
      <c r="F25" cm="1">
        <f t="array" aca="1" ref="F25" ca="1">IF(COUNTIF($E$2:$E$2000,INDIRECT("RC[-2]",0))&gt;0,"",INDIRECT("RC[-2]",0))</f>
        <v>0</v>
      </c>
    </row>
    <row r="26" spans="1:6">
      <c r="A26" t="str">
        <v>02 2020</v>
      </c>
      <c r="B26" cm="1">
        <f t="array" aca="1" ref="B26" ca="1">IFERROR(DATE(RIGHT(INDIRECT("RC[-1]",0),4),LEFT(INDIRECT("RC[-1]",0),2),1), "")</f>
        <v>43862</v>
      </c>
      <c r="C26" s="182">
        <f ca="1"/>
        <v>43831</v>
      </c>
      <c r="F26" cm="1">
        <f t="array" aca="1" ref="F26" ca="1">IF(COUNTIF($E$2:$E$2000,INDIRECT("RC[-2]",0))&gt;0,"",INDIRECT("RC[-2]",0))</f>
        <v>0</v>
      </c>
    </row>
    <row r="27" spans="1:6">
      <c r="A27" t="str">
        <v>01 2020</v>
      </c>
      <c r="B27" cm="1">
        <f t="array" aca="1" ref="B27" ca="1">IFERROR(DATE(RIGHT(INDIRECT("RC[-1]",0),4),LEFT(INDIRECT("RC[-1]",0),2),1), "")</f>
        <v>43831</v>
      </c>
      <c r="C27" s="182"/>
      <c r="F27" cm="1">
        <f t="array" aca="1" ref="F27" ca="1">IF(COUNTIF($E$2:$E$2000,INDIRECT("RC[-2]",0))&gt;0,"",INDIRECT("RC[-2]",0))</f>
        <v>0</v>
      </c>
    </row>
    <row r="28" spans="1:6">
      <c r="B28" t="str" cm="1">
        <f t="array" aca="1" ref="B28" ca="1">IFERROR(DATE(RIGHT(INDIRECT("RC[-1]",0),4),LEFT(INDIRECT("RC[-1]",0),2),1), "")</f>
        <v/>
      </c>
      <c r="C28" s="182"/>
      <c r="F28" cm="1">
        <f t="array" aca="1" ref="F28" ca="1">IF(COUNTIF($E$2:$E$2000,INDIRECT("RC[-2]",0))&gt;0,"",INDIRECT("RC[-2]",0))</f>
        <v>0</v>
      </c>
    </row>
    <row r="29" spans="1:6">
      <c r="B29" t="str" cm="1">
        <f t="array" aca="1" ref="B29" ca="1">IFERROR(DATE(RIGHT(INDIRECT("RC[-1]",0),4),LEFT(INDIRECT("RC[-1]",0),2),1), "")</f>
        <v/>
      </c>
      <c r="C29" s="182"/>
      <c r="F29" cm="1">
        <f t="array" aca="1" ref="F29" ca="1">IF(COUNTIF($E$2:$E$2000,INDIRECT("RC[-2]",0))&gt;0,"",INDIRECT("RC[-2]",0))</f>
        <v>0</v>
      </c>
    </row>
    <row r="30" spans="1:6">
      <c r="B30" t="str" cm="1">
        <f t="array" aca="1" ref="B30" ca="1">IFERROR(DATE(RIGHT(INDIRECT("RC[-1]",0),4),LEFT(INDIRECT("RC[-1]",0),2),1), "")</f>
        <v/>
      </c>
      <c r="C30" s="182"/>
      <c r="F30" cm="1">
        <f t="array" aca="1" ref="F30" ca="1">IF(COUNTIF($E$2:$E$2000,INDIRECT("RC[-2]",0))&gt;0,"",INDIRECT("RC[-2]",0))</f>
        <v>0</v>
      </c>
    </row>
    <row r="31" spans="1:6">
      <c r="B31" t="str" cm="1">
        <f t="array" aca="1" ref="B31" ca="1">IFERROR(DATE(RIGHT(INDIRECT("RC[-1]",0),4),LEFT(INDIRECT("RC[-1]",0),2),1), "")</f>
        <v/>
      </c>
      <c r="C31" s="182"/>
      <c r="F31" cm="1">
        <f t="array" aca="1" ref="F31" ca="1">IF(COUNTIF($E$2:$E$2000,INDIRECT("RC[-2]",0))&gt;0,"",INDIRECT("RC[-2]",0))</f>
        <v>0</v>
      </c>
    </row>
    <row r="32" spans="1:6">
      <c r="B32" t="str" cm="1">
        <f t="array" aca="1" ref="B32" ca="1">IFERROR(DATE(RIGHT(INDIRECT("RC[-1]",0),4),LEFT(INDIRECT("RC[-1]",0),2),1), "")</f>
        <v/>
      </c>
      <c r="C32" s="182"/>
      <c r="F32" cm="1">
        <f t="array" aca="1" ref="F32" ca="1">IF(COUNTIF($E$2:$E$2000,INDIRECT("RC[-2]",0))&gt;0,"",INDIRECT("RC[-2]",0))</f>
        <v>0</v>
      </c>
    </row>
    <row r="33" spans="2:6">
      <c r="B33" t="str" cm="1">
        <f t="array" aca="1" ref="B33" ca="1">IFERROR(DATE(RIGHT(INDIRECT("RC[-1]",0),4),LEFT(INDIRECT("RC[-1]",0),2),1), "")</f>
        <v/>
      </c>
      <c r="C33" s="182"/>
      <c r="F33" cm="1">
        <f t="array" aca="1" ref="F33" ca="1">IF(COUNTIF($E$2:$E$2000,INDIRECT("RC[-2]",0))&gt;0,"",INDIRECT("RC[-2]",0))</f>
        <v>0</v>
      </c>
    </row>
    <row r="34" spans="2:6">
      <c r="B34" t="str" cm="1">
        <f t="array" aca="1" ref="B34" ca="1">IFERROR(DATE(RIGHT(INDIRECT("RC[-1]",0),4),LEFT(INDIRECT("RC[-1]",0),2),1), "")</f>
        <v/>
      </c>
      <c r="C34" s="182"/>
      <c r="F34" cm="1">
        <f t="array" aca="1" ref="F34" ca="1">IF(COUNTIF($E$2:$E$2000,INDIRECT("RC[-2]",0))&gt;0,"",INDIRECT("RC[-2]",0))</f>
        <v>0</v>
      </c>
    </row>
    <row r="35" spans="2:6">
      <c r="B35" t="str" cm="1">
        <f t="array" aca="1" ref="B35" ca="1">IFERROR(DATE(RIGHT(INDIRECT("RC[-1]",0),4),LEFT(INDIRECT("RC[-1]",0),2),1), "")</f>
        <v/>
      </c>
      <c r="C35" s="182"/>
      <c r="F35" cm="1">
        <f t="array" aca="1" ref="F35" ca="1">IF(COUNTIF($E$2:$E$2000,INDIRECT("RC[-2]",0))&gt;0,"",INDIRECT("RC[-2]",0))</f>
        <v>0</v>
      </c>
    </row>
    <row r="36" spans="2:6">
      <c r="B36" t="str" cm="1">
        <f t="array" aca="1" ref="B36" ca="1">IFERROR(DATE(RIGHT(INDIRECT("RC[-1]",0),4),LEFT(INDIRECT("RC[-1]",0),2),1), "")</f>
        <v/>
      </c>
      <c r="C36" s="182"/>
      <c r="F36" cm="1">
        <f t="array" aca="1" ref="F36" ca="1">IF(COUNTIF($E$2:$E$2000,INDIRECT("RC[-2]",0))&gt;0,"",INDIRECT("RC[-2]",0))</f>
        <v>0</v>
      </c>
    </row>
    <row r="37" spans="2:6">
      <c r="B37" t="str" cm="1">
        <f t="array" aca="1" ref="B37" ca="1">IFERROR(DATE(RIGHT(INDIRECT("RC[-1]",0),4),LEFT(INDIRECT("RC[-1]",0),2),1), "")</f>
        <v/>
      </c>
      <c r="C37" s="182"/>
      <c r="F37" cm="1">
        <f t="array" aca="1" ref="F37" ca="1">IF(COUNTIF($E$2:$E$2000,INDIRECT("RC[-2]",0))&gt;0,"",INDIRECT("RC[-2]",0))</f>
        <v>0</v>
      </c>
    </row>
    <row r="38" spans="2:6">
      <c r="B38" t="str" cm="1">
        <f t="array" aca="1" ref="B38" ca="1">IFERROR(DATE(RIGHT(INDIRECT("RC[-1]",0),4),LEFT(INDIRECT("RC[-1]",0),2),1), "")</f>
        <v/>
      </c>
      <c r="C38" s="182"/>
      <c r="F38" cm="1">
        <f t="array" aca="1" ref="F38" ca="1">IF(COUNTIF($E$2:$E$2000,INDIRECT("RC[-2]",0))&gt;0,"",INDIRECT("RC[-2]",0))</f>
        <v>0</v>
      </c>
    </row>
    <row r="39" spans="2:6">
      <c r="B39" t="str" cm="1">
        <f t="array" aca="1" ref="B39" ca="1">IFERROR(DATE(RIGHT(INDIRECT("RC[-1]",0),4),LEFT(INDIRECT("RC[-1]",0),2),1), "")</f>
        <v/>
      </c>
      <c r="C39" s="182"/>
      <c r="F39" cm="1">
        <f t="array" aca="1" ref="F39" ca="1">IF(COUNTIF($E$2:$E$2000,INDIRECT("RC[-2]",0))&gt;0,"",INDIRECT("RC[-2]",0))</f>
        <v>0</v>
      </c>
    </row>
    <row r="40" spans="2:6">
      <c r="B40" t="str" cm="1">
        <f t="array" aca="1" ref="B40" ca="1">IFERROR(DATE(RIGHT(INDIRECT("RC[-1]",0),4),LEFT(INDIRECT("RC[-1]",0),2),1), "")</f>
        <v/>
      </c>
      <c r="C40" s="182"/>
      <c r="F40" cm="1">
        <f t="array" aca="1" ref="F40" ca="1">IF(COUNTIF($E$2:$E$2000,INDIRECT("RC[-2]",0))&gt;0,"",INDIRECT("RC[-2]",0))</f>
        <v>0</v>
      </c>
    </row>
    <row r="41" spans="2:6">
      <c r="B41" t="str" cm="1">
        <f t="array" aca="1" ref="B41" ca="1">IFERROR(DATE(RIGHT(INDIRECT("RC[-1]",0),4),LEFT(INDIRECT("RC[-1]",0),2),1), "")</f>
        <v/>
      </c>
      <c r="C41" s="182"/>
      <c r="F41" cm="1">
        <f t="array" aca="1" ref="F41" ca="1">IF(COUNTIF($E$2:$E$2000,INDIRECT("RC[-2]",0))&gt;0,"",INDIRECT("RC[-2]",0))</f>
        <v>0</v>
      </c>
    </row>
    <row r="42" spans="2:6">
      <c r="B42" t="str" cm="1">
        <f t="array" aca="1" ref="B42" ca="1">IFERROR(DATE(RIGHT(INDIRECT("RC[-1]",0),4),LEFT(INDIRECT("RC[-1]",0),2),1), "")</f>
        <v/>
      </c>
      <c r="C42" s="182"/>
      <c r="F42" cm="1">
        <f t="array" aca="1" ref="F42" ca="1">IF(COUNTIF($E$2:$E$2000,INDIRECT("RC[-2]",0))&gt;0,"",INDIRECT("RC[-2]",0))</f>
        <v>0</v>
      </c>
    </row>
    <row r="43" spans="2:6">
      <c r="B43" t="str" cm="1">
        <f t="array" aca="1" ref="B43" ca="1">IFERROR(DATE(RIGHT(INDIRECT("RC[-1]",0),4),LEFT(INDIRECT("RC[-1]",0),2),1), "")</f>
        <v/>
      </c>
      <c r="C43" s="182"/>
      <c r="F43" cm="1">
        <f t="array" aca="1" ref="F43" ca="1">IF(COUNTIF($E$2:$E$2000,INDIRECT("RC[-2]",0))&gt;0,"",INDIRECT("RC[-2]",0))</f>
        <v>0</v>
      </c>
    </row>
    <row r="44" spans="2:6">
      <c r="B44" t="str" cm="1">
        <f t="array" aca="1" ref="B44" ca="1">IFERROR(DATE(RIGHT(INDIRECT("RC[-1]",0),4),LEFT(INDIRECT("RC[-1]",0),2),1), "")</f>
        <v/>
      </c>
      <c r="C44" s="182"/>
      <c r="F44" cm="1">
        <f t="array" aca="1" ref="F44" ca="1">IF(COUNTIF($E$2:$E$2000,INDIRECT("RC[-2]",0))&gt;0,"",INDIRECT("RC[-2]",0))</f>
        <v>0</v>
      </c>
    </row>
    <row r="45" spans="2:6">
      <c r="B45" t="str" cm="1">
        <f t="array" aca="1" ref="B45" ca="1">IFERROR(DATE(RIGHT(INDIRECT("RC[-1]",0),4),LEFT(INDIRECT("RC[-1]",0),2),1), "")</f>
        <v/>
      </c>
      <c r="C45" s="182"/>
      <c r="F45" cm="1">
        <f t="array" aca="1" ref="F45" ca="1">IF(COUNTIF($E$2:$E$2000,INDIRECT("RC[-2]",0))&gt;0,"",INDIRECT("RC[-2]",0))</f>
        <v>0</v>
      </c>
    </row>
    <row r="46" spans="2:6">
      <c r="B46" t="str" cm="1">
        <f t="array" aca="1" ref="B46" ca="1">IFERROR(DATE(RIGHT(INDIRECT("RC[-1]",0),4),LEFT(INDIRECT("RC[-1]",0),2),1), "")</f>
        <v/>
      </c>
      <c r="C46" s="182"/>
      <c r="F46" cm="1">
        <f t="array" aca="1" ref="F46" ca="1">IF(COUNTIF($E$2:$E$2000,INDIRECT("RC[-2]",0))&gt;0,"",INDIRECT("RC[-2]",0))</f>
        <v>0</v>
      </c>
    </row>
    <row r="47" spans="2:6">
      <c r="B47" t="str" cm="1">
        <f t="array" aca="1" ref="B47" ca="1">IFERROR(DATE(RIGHT(INDIRECT("RC[-1]",0),4),LEFT(INDIRECT("RC[-1]",0),2),1), "")</f>
        <v/>
      </c>
      <c r="C47" s="182"/>
      <c r="F47" cm="1">
        <f t="array" aca="1" ref="F47" ca="1">IF(COUNTIF($E$2:$E$2000,INDIRECT("RC[-2]",0))&gt;0,"",INDIRECT("RC[-2]",0))</f>
        <v>0</v>
      </c>
    </row>
    <row r="48" spans="2:6">
      <c r="B48" t="str" cm="1">
        <f t="array" aca="1" ref="B48" ca="1">IFERROR(DATE(RIGHT(INDIRECT("RC[-1]",0),4),LEFT(INDIRECT("RC[-1]",0),2),1), "")</f>
        <v/>
      </c>
      <c r="C48" s="182"/>
      <c r="F48" cm="1">
        <f t="array" aca="1" ref="F48" ca="1">IF(COUNTIF($E$2:$E$2000,INDIRECT("RC[-2]",0))&gt;0,"",INDIRECT("RC[-2]",0))</f>
        <v>0</v>
      </c>
    </row>
    <row r="49" spans="2:6">
      <c r="B49" t="str" cm="1">
        <f t="array" aca="1" ref="B49" ca="1">IFERROR(DATE(RIGHT(INDIRECT("RC[-1]",0),4),LEFT(INDIRECT("RC[-1]",0),2),1), "")</f>
        <v/>
      </c>
      <c r="C49" s="182"/>
      <c r="F49" cm="1">
        <f t="array" aca="1" ref="F49" ca="1">IF(COUNTIF($E$2:$E$2000,INDIRECT("RC[-2]",0))&gt;0,"",INDIRECT("RC[-2]",0))</f>
        <v>0</v>
      </c>
    </row>
    <row r="50" spans="2:6">
      <c r="B50" t="str" cm="1">
        <f t="array" aca="1" ref="B50" ca="1">IFERROR(DATE(RIGHT(INDIRECT("RC[-1]",0),4),LEFT(INDIRECT("RC[-1]",0),2),1), "")</f>
        <v/>
      </c>
      <c r="C50" s="182"/>
      <c r="F50" cm="1">
        <f t="array" aca="1" ref="F50" ca="1">IF(COUNTIF($E$2:$E$2000,INDIRECT("RC[-2]",0))&gt;0,"",INDIRECT("RC[-2]",0))</f>
        <v>0</v>
      </c>
    </row>
    <row r="51" spans="2:6">
      <c r="B51" t="str" cm="1">
        <f t="array" aca="1" ref="B51" ca="1">IFERROR(DATE(RIGHT(INDIRECT("RC[-1]",0),4),LEFT(INDIRECT("RC[-1]",0),2),1), "")</f>
        <v/>
      </c>
      <c r="C51" s="182"/>
      <c r="F51" cm="1">
        <f t="array" aca="1" ref="F51" ca="1">IF(COUNTIF($E$2:$E$2000,INDIRECT("RC[-2]",0))&gt;0,"",INDIRECT("RC[-2]",0))</f>
        <v>0</v>
      </c>
    </row>
    <row r="52" spans="2:6">
      <c r="B52" t="str" cm="1">
        <f t="array" aca="1" ref="B52" ca="1">IFERROR(DATE(RIGHT(INDIRECT("RC[-1]",0),4),LEFT(INDIRECT("RC[-1]",0),2),1), "")</f>
        <v/>
      </c>
      <c r="C52" s="182"/>
      <c r="F52" cm="1">
        <f t="array" aca="1" ref="F52" ca="1">IF(COUNTIF($E$2:$E$2000,INDIRECT("RC[-2]",0))&gt;0,"",INDIRECT("RC[-2]",0))</f>
        <v>0</v>
      </c>
    </row>
    <row r="53" spans="2:6">
      <c r="B53" t="str" cm="1">
        <f t="array" aca="1" ref="B53" ca="1">IFERROR(DATE(RIGHT(INDIRECT("RC[-1]",0),4),LEFT(INDIRECT("RC[-1]",0),2),1), "")</f>
        <v/>
      </c>
      <c r="C53" s="182"/>
      <c r="F53" cm="1">
        <f t="array" aca="1" ref="F53" ca="1">IF(COUNTIF($E$2:$E$2000,INDIRECT("RC[-2]",0))&gt;0,"",INDIRECT("RC[-2]",0))</f>
        <v>0</v>
      </c>
    </row>
    <row r="54" spans="2:6">
      <c r="B54" t="str" cm="1">
        <f t="array" aca="1" ref="B54" ca="1">IFERROR(DATE(RIGHT(INDIRECT("RC[-1]",0),4),LEFT(INDIRECT("RC[-1]",0),2),1), "")</f>
        <v/>
      </c>
      <c r="C54" s="182"/>
      <c r="F54" cm="1">
        <f t="array" aca="1" ref="F54" ca="1">IF(COUNTIF($E$2:$E$2000,INDIRECT("RC[-2]",0))&gt;0,"",INDIRECT("RC[-2]",0))</f>
        <v>0</v>
      </c>
    </row>
    <row r="55" spans="2:6">
      <c r="B55" t="str" cm="1">
        <f t="array" aca="1" ref="B55" ca="1">IFERROR(DATE(RIGHT(INDIRECT("RC[-1]",0),4),LEFT(INDIRECT("RC[-1]",0),2),1), "")</f>
        <v/>
      </c>
      <c r="C55" s="182"/>
      <c r="F55" cm="1">
        <f t="array" aca="1" ref="F55" ca="1">IF(COUNTIF($E$2:$E$2000,INDIRECT("RC[-2]",0))&gt;0,"",INDIRECT("RC[-2]",0))</f>
        <v>0</v>
      </c>
    </row>
    <row r="56" spans="2:6">
      <c r="B56" t="str" cm="1">
        <f t="array" aca="1" ref="B56" ca="1">IFERROR(DATE(RIGHT(INDIRECT("RC[-1]",0),4),LEFT(INDIRECT("RC[-1]",0),2),1), "")</f>
        <v/>
      </c>
      <c r="C56" s="182"/>
      <c r="F56" cm="1">
        <f t="array" aca="1" ref="F56" ca="1">IF(COUNTIF($E$2:$E$2000,INDIRECT("RC[-2]",0))&gt;0,"",INDIRECT("RC[-2]",0))</f>
        <v>0</v>
      </c>
    </row>
    <row r="57" spans="2:6">
      <c r="B57" t="str" cm="1">
        <f t="array" aca="1" ref="B57" ca="1">IFERROR(DATE(RIGHT(INDIRECT("RC[-1]",0),4),LEFT(INDIRECT("RC[-1]",0),2),1), "")</f>
        <v/>
      </c>
      <c r="C57" s="182"/>
      <c r="F57" cm="1">
        <f t="array" aca="1" ref="F57" ca="1">IF(COUNTIF($E$2:$E$2000,INDIRECT("RC[-2]",0))&gt;0,"",INDIRECT("RC[-2]",0))</f>
        <v>0</v>
      </c>
    </row>
    <row r="58" spans="2:6">
      <c r="B58" t="str" cm="1">
        <f t="array" aca="1" ref="B58" ca="1">IFERROR(DATE(RIGHT(INDIRECT("RC[-1]",0),4),LEFT(INDIRECT("RC[-1]",0),2),1), "")</f>
        <v/>
      </c>
      <c r="C58" s="182"/>
      <c r="F58" cm="1">
        <f t="array" aca="1" ref="F58" ca="1">IF(COUNTIF($E$2:$E$2000,INDIRECT("RC[-2]",0))&gt;0,"",INDIRECT("RC[-2]",0))</f>
        <v>0</v>
      </c>
    </row>
    <row r="59" spans="2:6">
      <c r="B59" t="str" cm="1">
        <f t="array" aca="1" ref="B59" ca="1">IFERROR(DATE(RIGHT(INDIRECT("RC[-1]",0),4),LEFT(INDIRECT("RC[-1]",0),2),1), "")</f>
        <v/>
      </c>
      <c r="C59" s="182"/>
      <c r="F59" cm="1">
        <f t="array" aca="1" ref="F59" ca="1">IF(COUNTIF($E$2:$E$2000,INDIRECT("RC[-2]",0))&gt;0,"",INDIRECT("RC[-2]",0))</f>
        <v>0</v>
      </c>
    </row>
    <row r="60" spans="2:6">
      <c r="B60" t="str" cm="1">
        <f t="array" aca="1" ref="B60" ca="1">IFERROR(DATE(RIGHT(INDIRECT("RC[-1]",0),4),LEFT(INDIRECT("RC[-1]",0),2),1), "")</f>
        <v/>
      </c>
      <c r="C60" s="182"/>
      <c r="F60" cm="1">
        <f t="array" aca="1" ref="F60" ca="1">IF(COUNTIF($E$2:$E$2000,INDIRECT("RC[-2]",0))&gt;0,"",INDIRECT("RC[-2]",0))</f>
        <v>0</v>
      </c>
    </row>
    <row r="61" spans="2:6">
      <c r="B61" t="str" cm="1">
        <f t="array" aca="1" ref="B61" ca="1">IFERROR(DATE(RIGHT(INDIRECT("RC[-1]",0),4),LEFT(INDIRECT("RC[-1]",0),2),1), "")</f>
        <v/>
      </c>
      <c r="C61" s="182"/>
      <c r="F61" cm="1">
        <f t="array" aca="1" ref="F61" ca="1">IF(COUNTIF($E$2:$E$2000,INDIRECT("RC[-2]",0))&gt;0,"",INDIRECT("RC[-2]",0))</f>
        <v>0</v>
      </c>
    </row>
    <row r="62" spans="2:6">
      <c r="B62" t="str" cm="1">
        <f t="array" aca="1" ref="B62" ca="1">IFERROR(DATE(RIGHT(INDIRECT("RC[-1]",0),4),LEFT(INDIRECT("RC[-1]",0),2),1), "")</f>
        <v/>
      </c>
      <c r="C62" s="182"/>
      <c r="F62" cm="1">
        <f t="array" aca="1" ref="F62" ca="1">IF(COUNTIF($E$2:$E$2000,INDIRECT("RC[-2]",0))&gt;0,"",INDIRECT("RC[-2]",0))</f>
        <v>0</v>
      </c>
    </row>
    <row r="63" spans="2:6">
      <c r="B63" t="str" cm="1">
        <f t="array" aca="1" ref="B63" ca="1">IFERROR(DATE(RIGHT(INDIRECT("RC[-1]",0),4),LEFT(INDIRECT("RC[-1]",0),2),1), "")</f>
        <v/>
      </c>
      <c r="C63" s="182"/>
      <c r="F63" cm="1">
        <f t="array" aca="1" ref="F63" ca="1">IF(COUNTIF($E$2:$E$2000,INDIRECT("RC[-2]",0))&gt;0,"",INDIRECT("RC[-2]",0))</f>
        <v>0</v>
      </c>
    </row>
    <row r="64" spans="2:6">
      <c r="B64" t="str" cm="1">
        <f t="array" aca="1" ref="B64" ca="1">IFERROR(DATE(RIGHT(INDIRECT("RC[-1]",0),4),LEFT(INDIRECT("RC[-1]",0),2),1), "")</f>
        <v/>
      </c>
      <c r="C64" s="182"/>
      <c r="F64" cm="1">
        <f t="array" aca="1" ref="F64" ca="1">IF(COUNTIF($E$2:$E$2000,INDIRECT("RC[-2]",0))&gt;0,"",INDIRECT("RC[-2]",0))</f>
        <v>0</v>
      </c>
    </row>
    <row r="65" spans="2:6">
      <c r="B65" t="str" cm="1">
        <f t="array" aca="1" ref="B65" ca="1">IFERROR(DATE(RIGHT(INDIRECT("RC[-1]",0),4),LEFT(INDIRECT("RC[-1]",0),2),1), "")</f>
        <v/>
      </c>
      <c r="C65" s="182"/>
      <c r="F65" cm="1">
        <f t="array" aca="1" ref="F65" ca="1">IF(COUNTIF($E$2:$E$2000,INDIRECT("RC[-2]",0))&gt;0,"",INDIRECT("RC[-2]",0))</f>
        <v>0</v>
      </c>
    </row>
    <row r="66" spans="2:6">
      <c r="B66" t="str" cm="1">
        <f t="array" aca="1" ref="B66" ca="1">IFERROR(DATE(RIGHT(INDIRECT("RC[-1]",0),4),LEFT(INDIRECT("RC[-1]",0),2),1), "")</f>
        <v/>
      </c>
      <c r="C66" s="182"/>
      <c r="F66" cm="1">
        <f t="array" aca="1" ref="F66" ca="1">IF(COUNTIF($E$2:$E$2000,INDIRECT("RC[-2]",0))&gt;0,"",INDIRECT("RC[-2]",0))</f>
        <v>0</v>
      </c>
    </row>
    <row r="67" spans="2:6">
      <c r="B67" t="str" cm="1">
        <f t="array" aca="1" ref="B67" ca="1">IFERROR(DATE(RIGHT(INDIRECT("RC[-1]",0),4),LEFT(INDIRECT("RC[-1]",0),2),1), "")</f>
        <v/>
      </c>
      <c r="C67" s="182"/>
      <c r="F67" cm="1">
        <f t="array" aca="1" ref="F67" ca="1">IF(COUNTIF($E$2:$E$2000,INDIRECT("RC[-2]",0))&gt;0,"",INDIRECT("RC[-2]",0))</f>
        <v>0</v>
      </c>
    </row>
    <row r="68" spans="2:6">
      <c r="B68" t="str" cm="1">
        <f t="array" aca="1" ref="B68" ca="1">IFERROR(DATE(RIGHT(INDIRECT("RC[-1]",0),4),LEFT(INDIRECT("RC[-1]",0),2),1), "")</f>
        <v/>
      </c>
      <c r="C68" s="182"/>
      <c r="F68" cm="1">
        <f t="array" aca="1" ref="F68" ca="1">IF(COUNTIF($E$2:$E$2000,INDIRECT("RC[-2]",0))&gt;0,"",INDIRECT("RC[-2]",0))</f>
        <v>0</v>
      </c>
    </row>
    <row r="69" spans="2:6">
      <c r="B69" t="str" cm="1">
        <f t="array" aca="1" ref="B69" ca="1">IFERROR(DATE(RIGHT(INDIRECT("RC[-1]",0),4),LEFT(INDIRECT("RC[-1]",0),2),1), "")</f>
        <v/>
      </c>
      <c r="C69" s="182"/>
      <c r="F69" cm="1">
        <f t="array" aca="1" ref="F69" ca="1">IF(COUNTIF($E$2:$E$2000,INDIRECT("RC[-2]",0))&gt;0,"",INDIRECT("RC[-2]",0))</f>
        <v>0</v>
      </c>
    </row>
    <row r="70" spans="2:6">
      <c r="B70" t="str" cm="1">
        <f t="array" aca="1" ref="B70" ca="1">IFERROR(DATE(RIGHT(INDIRECT("RC[-1]",0),4),LEFT(INDIRECT("RC[-1]",0),2),1), "")</f>
        <v/>
      </c>
      <c r="C70" s="182"/>
      <c r="F70" cm="1">
        <f t="array" aca="1" ref="F70" ca="1">IF(COUNTIF($E$2:$E$2000,INDIRECT("RC[-2]",0))&gt;0,"",INDIRECT("RC[-2]",0))</f>
        <v>0</v>
      </c>
    </row>
    <row r="71" spans="2:6">
      <c r="B71" t="str" cm="1">
        <f t="array" aca="1" ref="B71" ca="1">IFERROR(DATE(RIGHT(INDIRECT("RC[-1]",0),4),LEFT(INDIRECT("RC[-1]",0),2),1), "")</f>
        <v/>
      </c>
      <c r="C71" s="182"/>
      <c r="F71" cm="1">
        <f t="array" aca="1" ref="F71" ca="1">IF(COUNTIF($E$2:$E$2000,INDIRECT("RC[-2]",0))&gt;0,"",INDIRECT("RC[-2]",0))</f>
        <v>0</v>
      </c>
    </row>
    <row r="72" spans="2:6">
      <c r="B72" t="str" cm="1">
        <f t="array" aca="1" ref="B72" ca="1">IFERROR(DATE(RIGHT(INDIRECT("RC[-1]",0),4),LEFT(INDIRECT("RC[-1]",0),2),1), "")</f>
        <v/>
      </c>
      <c r="C72" s="182"/>
      <c r="F72" cm="1">
        <f t="array" aca="1" ref="F72" ca="1">IF(COUNTIF($E$2:$E$2000,INDIRECT("RC[-2]",0))&gt;0,"",INDIRECT("RC[-2]",0))</f>
        <v>0</v>
      </c>
    </row>
    <row r="73" spans="2:6">
      <c r="B73" t="str" cm="1">
        <f t="array" aca="1" ref="B73" ca="1">IFERROR(DATE(RIGHT(INDIRECT("RC[-1]",0),4),LEFT(INDIRECT("RC[-1]",0),2),1), "")</f>
        <v/>
      </c>
      <c r="C73" s="182"/>
      <c r="F73" cm="1">
        <f t="array" aca="1" ref="F73" ca="1">IF(COUNTIF($E$2:$E$2000,INDIRECT("RC[-2]",0))&gt;0,"",INDIRECT("RC[-2]",0))</f>
        <v>0</v>
      </c>
    </row>
    <row r="74" spans="2:6">
      <c r="B74" t="str" cm="1">
        <f t="array" aca="1" ref="B74" ca="1">IFERROR(DATE(RIGHT(INDIRECT("RC[-1]",0),4),LEFT(INDIRECT("RC[-1]",0),2),1), "")</f>
        <v/>
      </c>
      <c r="C74" s="182"/>
      <c r="F74" cm="1">
        <f t="array" aca="1" ref="F74" ca="1">IF(COUNTIF($E$2:$E$2000,INDIRECT("RC[-2]",0))&gt;0,"",INDIRECT("RC[-2]",0))</f>
        <v>0</v>
      </c>
    </row>
    <row r="75" spans="2:6">
      <c r="B75" t="str" cm="1">
        <f t="array" aca="1" ref="B75" ca="1">IFERROR(DATE(RIGHT(INDIRECT("RC[-1]",0),4),LEFT(INDIRECT("RC[-1]",0),2),1), "")</f>
        <v/>
      </c>
      <c r="C75" s="182"/>
      <c r="F75" cm="1">
        <f t="array" aca="1" ref="F75" ca="1">IF(COUNTIF($E$2:$E$2000,INDIRECT("RC[-2]",0))&gt;0,"",INDIRECT("RC[-2]",0))</f>
        <v>0</v>
      </c>
    </row>
    <row r="76" spans="2:6">
      <c r="B76" t="str" cm="1">
        <f t="array" aca="1" ref="B76" ca="1">IFERROR(DATE(RIGHT(INDIRECT("RC[-1]",0),4),LEFT(INDIRECT("RC[-1]",0),2),1), "")</f>
        <v/>
      </c>
      <c r="C76" s="182"/>
      <c r="F76" cm="1">
        <f t="array" aca="1" ref="F76" ca="1">IF(COUNTIF($E$2:$E$2000,INDIRECT("RC[-2]",0))&gt;0,"",INDIRECT("RC[-2]",0))</f>
        <v>0</v>
      </c>
    </row>
    <row r="77" spans="2:6">
      <c r="B77" t="str" cm="1">
        <f t="array" aca="1" ref="B77" ca="1">IFERROR(DATE(RIGHT(INDIRECT("RC[-1]",0),4),LEFT(INDIRECT("RC[-1]",0),2),1), "")</f>
        <v/>
      </c>
      <c r="C77" s="182"/>
      <c r="F77" cm="1">
        <f t="array" aca="1" ref="F77" ca="1">IF(COUNTIF($E$2:$E$2000,INDIRECT("RC[-2]",0))&gt;0,"",INDIRECT("RC[-2]",0))</f>
        <v>0</v>
      </c>
    </row>
    <row r="78" spans="2:6">
      <c r="B78" t="str" cm="1">
        <f t="array" aca="1" ref="B78" ca="1">IFERROR(DATE(RIGHT(INDIRECT("RC[-1]",0),4),LEFT(INDIRECT("RC[-1]",0),2),1), "")</f>
        <v/>
      </c>
      <c r="C78" s="182"/>
      <c r="F78" cm="1">
        <f t="array" aca="1" ref="F78" ca="1">IF(COUNTIF($E$2:$E$2000,INDIRECT("RC[-2]",0))&gt;0,"",INDIRECT("RC[-2]",0))</f>
        <v>0</v>
      </c>
    </row>
    <row r="79" spans="2:6">
      <c r="B79" t="str" cm="1">
        <f t="array" aca="1" ref="B79" ca="1">IFERROR(DATE(RIGHT(INDIRECT("RC[-1]",0),4),LEFT(INDIRECT("RC[-1]",0),2),1), "")</f>
        <v/>
      </c>
      <c r="C79" s="182"/>
      <c r="F79" cm="1">
        <f t="array" aca="1" ref="F79" ca="1">IF(COUNTIF($E$2:$E$2000,INDIRECT("RC[-2]",0))&gt;0,"",INDIRECT("RC[-2]",0))</f>
        <v>0</v>
      </c>
    </row>
    <row r="80" spans="2:6">
      <c r="B80" t="str" cm="1">
        <f t="array" aca="1" ref="B80" ca="1">IFERROR(DATE(RIGHT(INDIRECT("RC[-1]",0),4),LEFT(INDIRECT("RC[-1]",0),2),1), "")</f>
        <v/>
      </c>
      <c r="C80" s="182"/>
      <c r="F80" cm="1">
        <f t="array" aca="1" ref="F80" ca="1">IF(COUNTIF($E$2:$E$2000,INDIRECT("RC[-2]",0))&gt;0,"",INDIRECT("RC[-2]",0))</f>
        <v>0</v>
      </c>
    </row>
    <row r="81" spans="2:6">
      <c r="B81" t="str" cm="1">
        <f t="array" aca="1" ref="B81" ca="1">IFERROR(DATE(RIGHT(INDIRECT("RC[-1]",0),4),LEFT(INDIRECT("RC[-1]",0),2),1), "")</f>
        <v/>
      </c>
      <c r="C81" s="182"/>
      <c r="F81" cm="1">
        <f t="array" aca="1" ref="F81" ca="1">IF(COUNTIF($E$2:$E$2000,INDIRECT("RC[-2]",0))&gt;0,"",INDIRECT("RC[-2]",0))</f>
        <v>0</v>
      </c>
    </row>
    <row r="82" spans="2:6">
      <c r="B82" t="str" cm="1">
        <f t="array" aca="1" ref="B82" ca="1">IFERROR(DATE(RIGHT(INDIRECT("RC[-1]",0),4),LEFT(INDIRECT("RC[-1]",0),2),1), "")</f>
        <v/>
      </c>
      <c r="C82" s="182"/>
      <c r="F82" cm="1">
        <f t="array" aca="1" ref="F82" ca="1">IF(COUNTIF($E$2:$E$2000,INDIRECT("RC[-2]",0))&gt;0,"",INDIRECT("RC[-2]",0))</f>
        <v>0</v>
      </c>
    </row>
    <row r="83" spans="2:6">
      <c r="B83" t="str" cm="1">
        <f t="array" aca="1" ref="B83" ca="1">IFERROR(DATE(RIGHT(INDIRECT("RC[-1]",0),4),LEFT(INDIRECT("RC[-1]",0),2),1), "")</f>
        <v/>
      </c>
      <c r="C83" s="182"/>
      <c r="F83" cm="1">
        <f t="array" aca="1" ref="F83" ca="1">IF(COUNTIF($E$2:$E$2000,INDIRECT("RC[-2]",0))&gt;0,"",INDIRECT("RC[-2]",0))</f>
        <v>0</v>
      </c>
    </row>
    <row r="84" spans="2:6">
      <c r="B84" t="str" cm="1">
        <f t="array" aca="1" ref="B84" ca="1">IFERROR(DATE(RIGHT(INDIRECT("RC[-1]",0),4),LEFT(INDIRECT("RC[-1]",0),2),1), "")</f>
        <v/>
      </c>
      <c r="C84" s="182"/>
      <c r="F84" cm="1">
        <f t="array" aca="1" ref="F84" ca="1">IF(COUNTIF($E$2:$E$2000,INDIRECT("RC[-2]",0))&gt;0,"",INDIRECT("RC[-2]",0))</f>
        <v>0</v>
      </c>
    </row>
    <row r="85" spans="2:6">
      <c r="B85" t="str" cm="1">
        <f t="array" aca="1" ref="B85" ca="1">IFERROR(DATE(RIGHT(INDIRECT("RC[-1]",0),4),LEFT(INDIRECT("RC[-1]",0),2),1), "")</f>
        <v/>
      </c>
      <c r="C85" s="182"/>
      <c r="F85" cm="1">
        <f t="array" aca="1" ref="F85" ca="1">IF(COUNTIF($E$2:$E$2000,INDIRECT("RC[-2]",0))&gt;0,"",INDIRECT("RC[-2]",0))</f>
        <v>0</v>
      </c>
    </row>
    <row r="86" spans="2:6">
      <c r="B86" t="str" cm="1">
        <f t="array" aca="1" ref="B86" ca="1">IFERROR(DATE(RIGHT(INDIRECT("RC[-1]",0),4),LEFT(INDIRECT("RC[-1]",0),2),1), "")</f>
        <v/>
      </c>
      <c r="C86" s="182"/>
      <c r="F86" cm="1">
        <f t="array" aca="1" ref="F86" ca="1">IF(COUNTIF($E$2:$E$2000,INDIRECT("RC[-2]",0))&gt;0,"",INDIRECT("RC[-2]",0))</f>
        <v>0</v>
      </c>
    </row>
    <row r="87" spans="2:6">
      <c r="B87" t="str" cm="1">
        <f t="array" aca="1" ref="B87" ca="1">IFERROR(DATE(RIGHT(INDIRECT("RC[-1]",0),4),LEFT(INDIRECT("RC[-1]",0),2),1), "")</f>
        <v/>
      </c>
      <c r="C87" s="182"/>
      <c r="F87" cm="1">
        <f t="array" aca="1" ref="F87" ca="1">IF(COUNTIF($E$2:$E$2000,INDIRECT("RC[-2]",0))&gt;0,"",INDIRECT("RC[-2]",0))</f>
        <v>0</v>
      </c>
    </row>
    <row r="88" spans="2:6">
      <c r="B88" t="str" cm="1">
        <f t="array" aca="1" ref="B88" ca="1">IFERROR(DATE(RIGHT(INDIRECT("RC[-1]",0),4),LEFT(INDIRECT("RC[-1]",0),2),1), "")</f>
        <v/>
      </c>
      <c r="C88" s="182"/>
      <c r="F88" cm="1">
        <f t="array" aca="1" ref="F88" ca="1">IF(COUNTIF($E$2:$E$2000,INDIRECT("RC[-2]",0))&gt;0,"",INDIRECT("RC[-2]",0))</f>
        <v>0</v>
      </c>
    </row>
    <row r="89" spans="2:6">
      <c r="B89" t="str" cm="1">
        <f t="array" aca="1" ref="B89" ca="1">IFERROR(DATE(RIGHT(INDIRECT("RC[-1]",0),4),LEFT(INDIRECT("RC[-1]",0),2),1), "")</f>
        <v/>
      </c>
      <c r="C89" s="182"/>
      <c r="F89" cm="1">
        <f t="array" aca="1" ref="F89" ca="1">IF(COUNTIF($E$2:$E$2000,INDIRECT("RC[-2]",0))&gt;0,"",INDIRECT("RC[-2]",0))</f>
        <v>0</v>
      </c>
    </row>
    <row r="90" spans="2:6">
      <c r="B90" t="str" cm="1">
        <f t="array" aca="1" ref="B90" ca="1">IFERROR(DATE(RIGHT(INDIRECT("RC[-1]",0),4),LEFT(INDIRECT("RC[-1]",0),2),1), "")</f>
        <v/>
      </c>
      <c r="C90" s="182"/>
      <c r="F90" cm="1">
        <f t="array" aca="1" ref="F90" ca="1">IF(COUNTIF($E$2:$E$2000,INDIRECT("RC[-2]",0))&gt;0,"",INDIRECT("RC[-2]",0))</f>
        <v>0</v>
      </c>
    </row>
    <row r="91" spans="2:6">
      <c r="B91" t="str" cm="1">
        <f t="array" aca="1" ref="B91" ca="1">IFERROR(DATE(RIGHT(INDIRECT("RC[-1]",0),4),LEFT(INDIRECT("RC[-1]",0),2),1), "")</f>
        <v/>
      </c>
      <c r="C91" s="182"/>
      <c r="F91" cm="1">
        <f t="array" aca="1" ref="F91" ca="1">IF(COUNTIF($E$2:$E$2000,INDIRECT("RC[-2]",0))&gt;0,"",INDIRECT("RC[-2]",0))</f>
        <v>0</v>
      </c>
    </row>
    <row r="92" spans="2:6">
      <c r="B92" t="str" cm="1">
        <f t="array" aca="1" ref="B92" ca="1">IFERROR(DATE(RIGHT(INDIRECT("RC[-1]",0),4),LEFT(INDIRECT("RC[-1]",0),2),1), "")</f>
        <v/>
      </c>
      <c r="C92" s="182"/>
      <c r="F92" cm="1">
        <f t="array" aca="1" ref="F92" ca="1">IF(COUNTIF($E$2:$E$2000,INDIRECT("RC[-2]",0))&gt;0,"",INDIRECT("RC[-2]",0))</f>
        <v>0</v>
      </c>
    </row>
    <row r="93" spans="2:6">
      <c r="B93" t="str" cm="1">
        <f t="array" aca="1" ref="B93" ca="1">IFERROR(DATE(RIGHT(INDIRECT("RC[-1]",0),4),LEFT(INDIRECT("RC[-1]",0),2),1), "")</f>
        <v/>
      </c>
      <c r="C93" s="182"/>
      <c r="F93" cm="1">
        <f t="array" aca="1" ref="F93" ca="1">IF(COUNTIF($E$2:$E$2000,INDIRECT("RC[-2]",0))&gt;0,"",INDIRECT("RC[-2]",0))</f>
        <v>0</v>
      </c>
    </row>
    <row r="94" spans="2:6">
      <c r="B94" t="str" cm="1">
        <f t="array" aca="1" ref="B94" ca="1">IFERROR(DATE(RIGHT(INDIRECT("RC[-1]",0),4),LEFT(INDIRECT("RC[-1]",0),2),1), "")</f>
        <v/>
      </c>
      <c r="C94" s="182"/>
      <c r="F94" cm="1">
        <f t="array" aca="1" ref="F94" ca="1">IF(COUNTIF($E$2:$E$2000,INDIRECT("RC[-2]",0))&gt;0,"",INDIRECT("RC[-2]",0))</f>
        <v>0</v>
      </c>
    </row>
    <row r="95" spans="2:6">
      <c r="B95" t="str" cm="1">
        <f t="array" aca="1" ref="B95" ca="1">IFERROR(DATE(RIGHT(INDIRECT("RC[-1]",0),4),LEFT(INDIRECT("RC[-1]",0),2),1), "")</f>
        <v/>
      </c>
      <c r="C95" s="182"/>
      <c r="F95" cm="1">
        <f t="array" aca="1" ref="F95" ca="1">IF(COUNTIF($E$2:$E$2000,INDIRECT("RC[-2]",0))&gt;0,"",INDIRECT("RC[-2]",0))</f>
        <v>0</v>
      </c>
    </row>
    <row r="96" spans="2:6">
      <c r="B96" t="str" cm="1">
        <f t="array" aca="1" ref="B96" ca="1">IFERROR(DATE(RIGHT(INDIRECT("RC[-1]",0),4),LEFT(INDIRECT("RC[-1]",0),2),1), "")</f>
        <v/>
      </c>
      <c r="C96" s="182"/>
      <c r="F96" cm="1">
        <f t="array" aca="1" ref="F96" ca="1">IF(COUNTIF($E$2:$E$2000,INDIRECT("RC[-2]",0))&gt;0,"",INDIRECT("RC[-2]",0))</f>
        <v>0</v>
      </c>
    </row>
    <row r="97" spans="2:6">
      <c r="B97" t="str" cm="1">
        <f t="array" aca="1" ref="B97" ca="1">IFERROR(DATE(RIGHT(INDIRECT("RC[-1]",0),4),LEFT(INDIRECT("RC[-1]",0),2),1), "")</f>
        <v/>
      </c>
      <c r="C97" s="182"/>
      <c r="F97" cm="1">
        <f t="array" aca="1" ref="F97" ca="1">IF(COUNTIF($E$2:$E$2000,INDIRECT("RC[-2]",0))&gt;0,"",INDIRECT("RC[-2]",0))</f>
        <v>0</v>
      </c>
    </row>
    <row r="98" spans="2:6">
      <c r="B98" t="str" cm="1">
        <f t="array" aca="1" ref="B98" ca="1">IFERROR(DATE(RIGHT(INDIRECT("RC[-1]",0),4),LEFT(INDIRECT("RC[-1]",0),2),1), "")</f>
        <v/>
      </c>
      <c r="C98" s="182"/>
      <c r="F98" cm="1">
        <f t="array" aca="1" ref="F98" ca="1">IF(COUNTIF($E$2:$E$2000,INDIRECT("RC[-2]",0))&gt;0,"",INDIRECT("RC[-2]",0))</f>
        <v>0</v>
      </c>
    </row>
    <row r="99" spans="2:6">
      <c r="B99" t="str" cm="1">
        <f t="array" aca="1" ref="B99" ca="1">IFERROR(DATE(RIGHT(INDIRECT("RC[-1]",0),4),LEFT(INDIRECT("RC[-1]",0),2),1), "")</f>
        <v/>
      </c>
      <c r="C99" s="182"/>
      <c r="F99" cm="1">
        <f t="array" aca="1" ref="F99" ca="1">IF(COUNTIF($E$2:$E$2000,INDIRECT("RC[-2]",0))&gt;0,"",INDIRECT("RC[-2]",0))</f>
        <v>0</v>
      </c>
    </row>
    <row r="100" spans="2:6">
      <c r="B100" t="str" cm="1">
        <f t="array" aca="1" ref="B100" ca="1">IFERROR(DATE(RIGHT(INDIRECT("RC[-1]",0),4),LEFT(INDIRECT("RC[-1]",0),2),1), "")</f>
        <v/>
      </c>
      <c r="C100" s="182"/>
      <c r="F100" cm="1">
        <f t="array" aca="1" ref="F100" ca="1">IF(COUNTIF($E$2:$E$2000,INDIRECT("RC[-2]",0))&gt;0,"",INDIRECT("RC[-2]",0))</f>
        <v>0</v>
      </c>
    </row>
    <row r="101" spans="2:6">
      <c r="B101" t="str" cm="1">
        <f t="array" aca="1" ref="B101" ca="1">IFERROR(DATE(RIGHT(INDIRECT("RC[-1]",0),4),LEFT(INDIRECT("RC[-1]",0),2),1), "")</f>
        <v/>
      </c>
      <c r="C101" s="182"/>
      <c r="F101" cm="1">
        <f t="array" aca="1" ref="F101" ca="1">IF(COUNTIF($E$2:$E$2000,INDIRECT("RC[-2]",0))&gt;0,"",INDIRECT("RC[-2]",0))</f>
        <v>0</v>
      </c>
    </row>
    <row r="102" spans="2:6">
      <c r="B102" t="str" cm="1">
        <f t="array" aca="1" ref="B102" ca="1">IFERROR(DATE(RIGHT(INDIRECT("RC[-1]",0),4),LEFT(INDIRECT("RC[-1]",0),2),1), "")</f>
        <v/>
      </c>
      <c r="C102" s="182"/>
      <c r="F102" cm="1">
        <f t="array" aca="1" ref="F102" ca="1">IF(COUNTIF($E$2:$E$2000,INDIRECT("RC[-2]",0))&gt;0,"",INDIRECT("RC[-2]",0))</f>
        <v>0</v>
      </c>
    </row>
    <row r="103" spans="2:6">
      <c r="B103" t="str" cm="1">
        <f t="array" aca="1" ref="B103" ca="1">IFERROR(DATE(RIGHT(INDIRECT("RC[-1]",0),4),LEFT(INDIRECT("RC[-1]",0),2),1), "")</f>
        <v/>
      </c>
      <c r="C103" s="182"/>
      <c r="F103" cm="1">
        <f t="array" aca="1" ref="F103" ca="1">IF(COUNTIF($E$2:$E$2000,INDIRECT("RC[-2]",0))&gt;0,"",INDIRECT("RC[-2]",0))</f>
        <v>0</v>
      </c>
    </row>
    <row r="104" spans="2:6">
      <c r="B104" t="str" cm="1">
        <f t="array" aca="1" ref="B104" ca="1">IFERROR(DATE(RIGHT(INDIRECT("RC[-1]",0),4),LEFT(INDIRECT("RC[-1]",0),2),1), "")</f>
        <v/>
      </c>
      <c r="C104" s="182"/>
      <c r="F104" cm="1">
        <f t="array" aca="1" ref="F104" ca="1">IF(COUNTIF($E$2:$E$2000,INDIRECT("RC[-2]",0))&gt;0,"",INDIRECT("RC[-2]",0))</f>
        <v>0</v>
      </c>
    </row>
    <row r="105" spans="2:6">
      <c r="B105" t="str" cm="1">
        <f t="array" aca="1" ref="B105" ca="1">IFERROR(DATE(RIGHT(INDIRECT("RC[-1]",0),4),LEFT(INDIRECT("RC[-1]",0),2),1), "")</f>
        <v/>
      </c>
      <c r="C105" s="182"/>
      <c r="F105" cm="1">
        <f t="array" aca="1" ref="F105" ca="1">IF(COUNTIF($E$2:$E$2000,INDIRECT("RC[-2]",0))&gt;0,"",INDIRECT("RC[-2]",0))</f>
        <v>0</v>
      </c>
    </row>
    <row r="106" spans="2:6">
      <c r="B106" t="str" cm="1">
        <f t="array" aca="1" ref="B106" ca="1">IFERROR(DATE(RIGHT(INDIRECT("RC[-1]",0),4),LEFT(INDIRECT("RC[-1]",0),2),1), "")</f>
        <v/>
      </c>
      <c r="C106" s="182"/>
      <c r="F106" cm="1">
        <f t="array" aca="1" ref="F106" ca="1">IF(COUNTIF($E$2:$E$2000,INDIRECT("RC[-2]",0))&gt;0,"",INDIRECT("RC[-2]",0))</f>
        <v>0</v>
      </c>
    </row>
    <row r="107" spans="2:6">
      <c r="B107" t="str" cm="1">
        <f t="array" aca="1" ref="B107" ca="1">IFERROR(DATE(RIGHT(INDIRECT("RC[-1]",0),4),LEFT(INDIRECT("RC[-1]",0),2),1), "")</f>
        <v/>
      </c>
      <c r="C107" s="182"/>
      <c r="F107" cm="1">
        <f t="array" aca="1" ref="F107" ca="1">IF(COUNTIF($E$2:$E$2000,INDIRECT("RC[-2]",0))&gt;0,"",INDIRECT("RC[-2]",0))</f>
        <v>0</v>
      </c>
    </row>
    <row r="108" spans="2:6">
      <c r="B108" t="str" cm="1">
        <f t="array" aca="1" ref="B108" ca="1">IFERROR(DATE(RIGHT(INDIRECT("RC[-1]",0),4),LEFT(INDIRECT("RC[-1]",0),2),1), "")</f>
        <v/>
      </c>
      <c r="C108" s="182"/>
      <c r="F108" cm="1">
        <f t="array" aca="1" ref="F108" ca="1">IF(COUNTIF($E$2:$E$2000,INDIRECT("RC[-2]",0))&gt;0,"",INDIRECT("RC[-2]",0))</f>
        <v>0</v>
      </c>
    </row>
    <row r="109" spans="2:6">
      <c r="B109" t="str" cm="1">
        <f t="array" aca="1" ref="B109" ca="1">IFERROR(DATE(RIGHT(INDIRECT("RC[-1]",0),4),LEFT(INDIRECT("RC[-1]",0),2),1), "")</f>
        <v/>
      </c>
      <c r="C109" s="182"/>
      <c r="F109" cm="1">
        <f t="array" aca="1" ref="F109" ca="1">IF(COUNTIF($E$2:$E$2000,INDIRECT("RC[-2]",0))&gt;0,"",INDIRECT("RC[-2]",0))</f>
        <v>0</v>
      </c>
    </row>
    <row r="110" spans="2:6">
      <c r="B110" t="str" cm="1">
        <f t="array" aca="1" ref="B110" ca="1">IFERROR(DATE(RIGHT(INDIRECT("RC[-1]",0),4),LEFT(INDIRECT("RC[-1]",0),2),1), "")</f>
        <v/>
      </c>
      <c r="C110" s="182"/>
      <c r="F110" cm="1">
        <f t="array" aca="1" ref="F110" ca="1">IF(COUNTIF($E$2:$E$2000,INDIRECT("RC[-2]",0))&gt;0,"",INDIRECT("RC[-2]",0))</f>
        <v>0</v>
      </c>
    </row>
    <row r="111" spans="2:6">
      <c r="B111" t="str" cm="1">
        <f t="array" aca="1" ref="B111" ca="1">IFERROR(DATE(RIGHT(INDIRECT("RC[-1]",0),4),LEFT(INDIRECT("RC[-1]",0),2),1), "")</f>
        <v/>
      </c>
      <c r="C111" s="182"/>
      <c r="F111" cm="1">
        <f t="array" aca="1" ref="F111" ca="1">IF(COUNTIF($E$2:$E$2000,INDIRECT("RC[-2]",0))&gt;0,"",INDIRECT("RC[-2]",0))</f>
        <v>0</v>
      </c>
    </row>
    <row r="112" spans="2:6">
      <c r="B112" t="str" cm="1">
        <f t="array" aca="1" ref="B112" ca="1">IFERROR(DATE(RIGHT(INDIRECT("RC[-1]",0),4),LEFT(INDIRECT("RC[-1]",0),2),1), "")</f>
        <v/>
      </c>
      <c r="C112" s="182"/>
      <c r="F112" cm="1">
        <f t="array" aca="1" ref="F112" ca="1">IF(COUNTIF($E$2:$E$2000,INDIRECT("RC[-2]",0))&gt;0,"",INDIRECT("RC[-2]",0))</f>
        <v>0</v>
      </c>
    </row>
    <row r="113" spans="2:6">
      <c r="B113" t="str" cm="1">
        <f t="array" aca="1" ref="B113" ca="1">IFERROR(DATE(RIGHT(INDIRECT("RC[-1]",0),4),LEFT(INDIRECT("RC[-1]",0),2),1), "")</f>
        <v/>
      </c>
      <c r="C113" s="182"/>
      <c r="F113" cm="1">
        <f t="array" aca="1" ref="F113" ca="1">IF(COUNTIF($E$2:$E$2000,INDIRECT("RC[-2]",0))&gt;0,"",INDIRECT("RC[-2]",0))</f>
        <v>0</v>
      </c>
    </row>
    <row r="114" spans="2:6">
      <c r="B114" t="str" cm="1">
        <f t="array" aca="1" ref="B114" ca="1">IFERROR(DATE(RIGHT(INDIRECT("RC[-1]",0),4),LEFT(INDIRECT("RC[-1]",0),2),1), "")</f>
        <v/>
      </c>
      <c r="C114" s="182"/>
      <c r="F114" cm="1">
        <f t="array" aca="1" ref="F114" ca="1">IF(COUNTIF($E$2:$E$2000,INDIRECT("RC[-2]",0))&gt;0,"",INDIRECT("RC[-2]",0))</f>
        <v>0</v>
      </c>
    </row>
    <row r="115" spans="2:6">
      <c r="B115" t="str" cm="1">
        <f t="array" aca="1" ref="B115" ca="1">IFERROR(DATE(RIGHT(INDIRECT("RC[-1]",0),4),LEFT(INDIRECT("RC[-1]",0),2),1), "")</f>
        <v/>
      </c>
      <c r="C115" s="182"/>
      <c r="F115" cm="1">
        <f t="array" aca="1" ref="F115" ca="1">IF(COUNTIF($E$2:$E$2000,INDIRECT("RC[-2]",0))&gt;0,"",INDIRECT("RC[-2]",0))</f>
        <v>0</v>
      </c>
    </row>
    <row r="116" spans="2:6">
      <c r="B116" t="str" cm="1">
        <f t="array" aca="1" ref="B116" ca="1">IFERROR(DATE(RIGHT(INDIRECT("RC[-1]",0),4),LEFT(INDIRECT("RC[-1]",0),2),1), "")</f>
        <v/>
      </c>
      <c r="C116" s="182"/>
      <c r="F116" cm="1">
        <f t="array" aca="1" ref="F116" ca="1">IF(COUNTIF($E$2:$E$2000,INDIRECT("RC[-2]",0))&gt;0,"",INDIRECT("RC[-2]",0))</f>
        <v>0</v>
      </c>
    </row>
    <row r="117" spans="2:6">
      <c r="B117" t="str" cm="1">
        <f t="array" aca="1" ref="B117" ca="1">IFERROR(DATE(RIGHT(INDIRECT("RC[-1]",0),4),LEFT(INDIRECT("RC[-1]",0),2),1), "")</f>
        <v/>
      </c>
      <c r="C117" s="182"/>
      <c r="F117" cm="1">
        <f t="array" aca="1" ref="F117" ca="1">IF(COUNTIF($E$2:$E$2000,INDIRECT("RC[-2]",0))&gt;0,"",INDIRECT("RC[-2]",0))</f>
        <v>0</v>
      </c>
    </row>
    <row r="118" spans="2:6">
      <c r="B118" t="str" cm="1">
        <f t="array" aca="1" ref="B118" ca="1">IFERROR(DATE(RIGHT(INDIRECT("RC[-1]",0),4),LEFT(INDIRECT("RC[-1]",0),2),1), "")</f>
        <v/>
      </c>
      <c r="C118" s="182"/>
      <c r="F118" cm="1">
        <f t="array" aca="1" ref="F118" ca="1">IF(COUNTIF($E$2:$E$2000,INDIRECT("RC[-2]",0))&gt;0,"",INDIRECT("RC[-2]",0))</f>
        <v>0</v>
      </c>
    </row>
    <row r="119" spans="2:6">
      <c r="B119" t="str" cm="1">
        <f t="array" aca="1" ref="B119" ca="1">IFERROR(DATE(RIGHT(INDIRECT("RC[-1]",0),4),LEFT(INDIRECT("RC[-1]",0),2),1), "")</f>
        <v/>
      </c>
      <c r="C119" s="182"/>
      <c r="F119" cm="1">
        <f t="array" aca="1" ref="F119" ca="1">IF(COUNTIF($E$2:$E$2000,INDIRECT("RC[-2]",0))&gt;0,"",INDIRECT("RC[-2]",0))</f>
        <v>0</v>
      </c>
    </row>
    <row r="120" spans="2:6">
      <c r="B120" t="str" cm="1">
        <f t="array" aca="1" ref="B120" ca="1">IFERROR(DATE(RIGHT(INDIRECT("RC[-1]",0),4),LEFT(INDIRECT("RC[-1]",0),2),1), "")</f>
        <v/>
      </c>
      <c r="C120" s="182"/>
      <c r="F120" cm="1">
        <f t="array" aca="1" ref="F120" ca="1">IF(COUNTIF($E$2:$E$2000,INDIRECT("RC[-2]",0))&gt;0,"",INDIRECT("RC[-2]",0))</f>
        <v>0</v>
      </c>
    </row>
    <row r="121" spans="2:6">
      <c r="B121" t="str" cm="1">
        <f t="array" aca="1" ref="B121" ca="1">IFERROR(DATE(RIGHT(INDIRECT("RC[-1]",0),4),LEFT(INDIRECT("RC[-1]",0),2),1), "")</f>
        <v/>
      </c>
      <c r="C121" s="182"/>
      <c r="F121" cm="1">
        <f t="array" aca="1" ref="F121" ca="1">IF(COUNTIF($E$2:$E$2000,INDIRECT("RC[-2]",0))&gt;0,"",INDIRECT("RC[-2]",0))</f>
        <v>0</v>
      </c>
    </row>
    <row r="122" spans="2:6">
      <c r="B122" t="str" cm="1">
        <f t="array" aca="1" ref="B122" ca="1">IFERROR(DATE(RIGHT(INDIRECT("RC[-1]",0),4),LEFT(INDIRECT("RC[-1]",0),2),1), "")</f>
        <v/>
      </c>
      <c r="C122" s="182"/>
      <c r="F122" cm="1">
        <f t="array" aca="1" ref="F122" ca="1">IF(COUNTIF($E$2:$E$2000,INDIRECT("RC[-2]",0))&gt;0,"",INDIRECT("RC[-2]",0))</f>
        <v>0</v>
      </c>
    </row>
    <row r="123" spans="2:6">
      <c r="B123" t="str" cm="1">
        <f t="array" aca="1" ref="B123" ca="1">IFERROR(DATE(RIGHT(INDIRECT("RC[-1]",0),4),LEFT(INDIRECT("RC[-1]",0),2),1), "")</f>
        <v/>
      </c>
      <c r="C123" s="182"/>
      <c r="F123" cm="1">
        <f t="array" aca="1" ref="F123" ca="1">IF(COUNTIF($E$2:$E$2000,INDIRECT("RC[-2]",0))&gt;0,"",INDIRECT("RC[-2]",0))</f>
        <v>0</v>
      </c>
    </row>
    <row r="124" spans="2:6">
      <c r="B124" t="str" cm="1">
        <f t="array" aca="1" ref="B124" ca="1">IFERROR(DATE(RIGHT(INDIRECT("RC[-1]",0),4),LEFT(INDIRECT("RC[-1]",0),2),1), "")</f>
        <v/>
      </c>
      <c r="C124" s="182"/>
      <c r="F124" cm="1">
        <f t="array" aca="1" ref="F124" ca="1">IF(COUNTIF($E$2:$E$2000,INDIRECT("RC[-2]",0))&gt;0,"",INDIRECT("RC[-2]",0))</f>
        <v>0</v>
      </c>
    </row>
    <row r="125" spans="2:6">
      <c r="B125" t="str" cm="1">
        <f t="array" aca="1" ref="B125" ca="1">IFERROR(DATE(RIGHT(INDIRECT("RC[-1]",0),4),LEFT(INDIRECT("RC[-1]",0),2),1), "")</f>
        <v/>
      </c>
      <c r="C125" s="182"/>
      <c r="F125" cm="1">
        <f t="array" aca="1" ref="F125" ca="1">IF(COUNTIF($E$2:$E$2000,INDIRECT("RC[-2]",0))&gt;0,"",INDIRECT("RC[-2]",0))</f>
        <v>0</v>
      </c>
    </row>
    <row r="126" spans="2:6">
      <c r="B126" t="str" cm="1">
        <f t="array" aca="1" ref="B126" ca="1">IFERROR(DATE(RIGHT(INDIRECT("RC[-1]",0),4),LEFT(INDIRECT("RC[-1]",0),2),1), "")</f>
        <v/>
      </c>
      <c r="C126" s="182"/>
      <c r="F126" cm="1">
        <f t="array" aca="1" ref="F126" ca="1">IF(COUNTIF($E$2:$E$2000,INDIRECT("RC[-2]",0))&gt;0,"",INDIRECT("RC[-2]",0))</f>
        <v>0</v>
      </c>
    </row>
    <row r="127" spans="2:6">
      <c r="B127" t="str" cm="1">
        <f t="array" aca="1" ref="B127" ca="1">IFERROR(DATE(RIGHT(INDIRECT("RC[-1]",0),4),LEFT(INDIRECT("RC[-1]",0),2),1), "")</f>
        <v/>
      </c>
      <c r="C127" s="182"/>
      <c r="F127" cm="1">
        <f t="array" aca="1" ref="F127" ca="1">IF(COUNTIF($E$2:$E$2000,INDIRECT("RC[-2]",0))&gt;0,"",INDIRECT("RC[-2]",0))</f>
        <v>0</v>
      </c>
    </row>
    <row r="128" spans="2:6">
      <c r="B128" t="str" cm="1">
        <f t="array" aca="1" ref="B128" ca="1">IFERROR(DATE(RIGHT(INDIRECT("RC[-1]",0),4),LEFT(INDIRECT("RC[-1]",0),2),1), "")</f>
        <v/>
      </c>
      <c r="C128" s="182"/>
      <c r="F128" cm="1">
        <f t="array" aca="1" ref="F128" ca="1">IF(COUNTIF($E$2:$E$2000,INDIRECT("RC[-2]",0))&gt;0,"",INDIRECT("RC[-2]",0))</f>
        <v>0</v>
      </c>
    </row>
    <row r="129" spans="2:6">
      <c r="B129" t="str" cm="1">
        <f t="array" aca="1" ref="B129" ca="1">IFERROR(DATE(RIGHT(INDIRECT("RC[-1]",0),4),LEFT(INDIRECT("RC[-1]",0),2),1), "")</f>
        <v/>
      </c>
      <c r="C129" s="182"/>
      <c r="F129" cm="1">
        <f t="array" aca="1" ref="F129" ca="1">IF(COUNTIF($E$2:$E$2000,INDIRECT("RC[-2]",0))&gt;0,"",INDIRECT("RC[-2]",0))</f>
        <v>0</v>
      </c>
    </row>
    <row r="130" spans="2:6">
      <c r="B130" t="str" cm="1">
        <f t="array" aca="1" ref="B130" ca="1">IFERROR(DATE(RIGHT(INDIRECT("RC[-1]",0),4),LEFT(INDIRECT("RC[-1]",0),2),1), "")</f>
        <v/>
      </c>
      <c r="C130" s="182"/>
      <c r="F130" cm="1">
        <f t="array" aca="1" ref="F130" ca="1">IF(COUNTIF($E$2:$E$2000,INDIRECT("RC[-2]",0))&gt;0,"",INDIRECT("RC[-2]",0))</f>
        <v>0</v>
      </c>
    </row>
    <row r="131" spans="2:6">
      <c r="B131" t="str" cm="1">
        <f t="array" aca="1" ref="B131" ca="1">IFERROR(DATE(RIGHT(INDIRECT("RC[-1]",0),4),LEFT(INDIRECT("RC[-1]",0),2),1), "")</f>
        <v/>
      </c>
      <c r="C131" s="182"/>
      <c r="F131" cm="1">
        <f t="array" aca="1" ref="F131" ca="1">IF(COUNTIF($E$2:$E$2000,INDIRECT("RC[-2]",0))&gt;0,"",INDIRECT("RC[-2]",0))</f>
        <v>0</v>
      </c>
    </row>
    <row r="132" spans="2:6">
      <c r="B132" t="str" cm="1">
        <f t="array" aca="1" ref="B132" ca="1">IFERROR(DATE(RIGHT(INDIRECT("RC[-1]",0),4),LEFT(INDIRECT("RC[-1]",0),2),1), "")</f>
        <v/>
      </c>
      <c r="C132" s="182"/>
      <c r="F132" cm="1">
        <f t="array" aca="1" ref="F132" ca="1">IF(COUNTIF($E$2:$E$2000,INDIRECT("RC[-2]",0))&gt;0,"",INDIRECT("RC[-2]",0))</f>
        <v>0</v>
      </c>
    </row>
    <row r="133" spans="2:6">
      <c r="B133" t="str" cm="1">
        <f t="array" aca="1" ref="B133" ca="1">IFERROR(DATE(RIGHT(INDIRECT("RC[-1]",0),4),LEFT(INDIRECT("RC[-1]",0),2),1), "")</f>
        <v/>
      </c>
      <c r="C133" s="182"/>
      <c r="F133" cm="1">
        <f t="array" aca="1" ref="F133" ca="1">IF(COUNTIF($E$2:$E$2000,INDIRECT("RC[-2]",0))&gt;0,"",INDIRECT("RC[-2]",0))</f>
        <v>0</v>
      </c>
    </row>
    <row r="134" spans="2:6">
      <c r="B134" t="str" cm="1">
        <f t="array" aca="1" ref="B134" ca="1">IFERROR(DATE(RIGHT(INDIRECT("RC[-1]",0),4),LEFT(INDIRECT("RC[-1]",0),2),1), "")</f>
        <v/>
      </c>
      <c r="C134" s="182"/>
      <c r="F134" cm="1">
        <f t="array" aca="1" ref="F134" ca="1">IF(COUNTIF($E$2:$E$2000,INDIRECT("RC[-2]",0))&gt;0,"",INDIRECT("RC[-2]",0))</f>
        <v>0</v>
      </c>
    </row>
    <row r="135" spans="2:6">
      <c r="B135" t="str" cm="1">
        <f t="array" aca="1" ref="B135" ca="1">IFERROR(DATE(RIGHT(INDIRECT("RC[-1]",0),4),LEFT(INDIRECT("RC[-1]",0),2),1), "")</f>
        <v/>
      </c>
      <c r="C135" s="182"/>
      <c r="F135" cm="1">
        <f t="array" aca="1" ref="F135" ca="1">IF(COUNTIF($E$2:$E$2000,INDIRECT("RC[-2]",0))&gt;0,"",INDIRECT("RC[-2]",0))</f>
        <v>0</v>
      </c>
    </row>
    <row r="136" spans="2:6">
      <c r="B136" t="str" cm="1">
        <f t="array" aca="1" ref="B136" ca="1">IFERROR(DATE(RIGHT(INDIRECT("RC[-1]",0),4),LEFT(INDIRECT("RC[-1]",0),2),1), "")</f>
        <v/>
      </c>
      <c r="C136" s="182"/>
      <c r="F136" cm="1">
        <f t="array" aca="1" ref="F136" ca="1">IF(COUNTIF($E$2:$E$2000,INDIRECT("RC[-2]",0))&gt;0,"",INDIRECT("RC[-2]",0))</f>
        <v>0</v>
      </c>
    </row>
    <row r="137" spans="2:6">
      <c r="B137" t="str" cm="1">
        <f t="array" aca="1" ref="B137" ca="1">IFERROR(DATE(RIGHT(INDIRECT("RC[-1]",0),4),LEFT(INDIRECT("RC[-1]",0),2),1), "")</f>
        <v/>
      </c>
      <c r="C137" s="182"/>
      <c r="F137" cm="1">
        <f t="array" aca="1" ref="F137" ca="1">IF(COUNTIF($E$2:$E$2000,INDIRECT("RC[-2]",0))&gt;0,"",INDIRECT("RC[-2]",0))</f>
        <v>0</v>
      </c>
    </row>
    <row r="138" spans="2:6">
      <c r="B138" t="str" cm="1">
        <f t="array" aca="1" ref="B138" ca="1">IFERROR(DATE(RIGHT(INDIRECT("RC[-1]",0),4),LEFT(INDIRECT("RC[-1]",0),2),1), "")</f>
        <v/>
      </c>
      <c r="C138" s="182"/>
      <c r="F138" cm="1">
        <f t="array" aca="1" ref="F138" ca="1">IF(COUNTIF($E$2:$E$2000,INDIRECT("RC[-2]",0))&gt;0,"",INDIRECT("RC[-2]",0))</f>
        <v>0</v>
      </c>
    </row>
    <row r="139" spans="2:6">
      <c r="B139" t="str" cm="1">
        <f t="array" aca="1" ref="B139" ca="1">IFERROR(DATE(RIGHT(INDIRECT("RC[-1]",0),4),LEFT(INDIRECT("RC[-1]",0),2),1), "")</f>
        <v/>
      </c>
      <c r="C139" s="182"/>
      <c r="F139" cm="1">
        <f t="array" aca="1" ref="F139" ca="1">IF(COUNTIF($E$2:$E$2000,INDIRECT("RC[-2]",0))&gt;0,"",INDIRECT("RC[-2]",0))</f>
        <v>0</v>
      </c>
    </row>
    <row r="140" spans="2:6">
      <c r="B140" t="str" cm="1">
        <f t="array" aca="1" ref="B140" ca="1">IFERROR(DATE(RIGHT(INDIRECT("RC[-1]",0),4),LEFT(INDIRECT("RC[-1]",0),2),1), "")</f>
        <v/>
      </c>
      <c r="C140" s="182"/>
      <c r="F140" cm="1">
        <f t="array" aca="1" ref="F140" ca="1">IF(COUNTIF($E$2:$E$2000,INDIRECT("RC[-2]",0))&gt;0,"",INDIRECT("RC[-2]",0))</f>
        <v>0</v>
      </c>
    </row>
    <row r="141" spans="2:6">
      <c r="B141" t="str" cm="1">
        <f t="array" aca="1" ref="B141" ca="1">IFERROR(DATE(RIGHT(INDIRECT("RC[-1]",0),4),LEFT(INDIRECT("RC[-1]",0),2),1), "")</f>
        <v/>
      </c>
      <c r="C141" s="182"/>
      <c r="F141" cm="1">
        <f t="array" aca="1" ref="F141" ca="1">IF(COUNTIF($E$2:$E$2000,INDIRECT("RC[-2]",0))&gt;0,"",INDIRECT("RC[-2]",0))</f>
        <v>0</v>
      </c>
    </row>
    <row r="142" spans="2:6">
      <c r="B142" t="str" cm="1">
        <f t="array" aca="1" ref="B142" ca="1">IFERROR(DATE(RIGHT(INDIRECT("RC[-1]",0),4),LEFT(INDIRECT("RC[-1]",0),2),1), "")</f>
        <v/>
      </c>
      <c r="C142" s="182"/>
      <c r="F142" cm="1">
        <f t="array" aca="1" ref="F142" ca="1">IF(COUNTIF($E$2:$E$2000,INDIRECT("RC[-2]",0))&gt;0,"",INDIRECT("RC[-2]",0))</f>
        <v>0</v>
      </c>
    </row>
    <row r="143" spans="2:6">
      <c r="B143" t="str" cm="1">
        <f t="array" aca="1" ref="B143" ca="1">IFERROR(DATE(RIGHT(INDIRECT("RC[-1]",0),4),LEFT(INDIRECT("RC[-1]",0),2),1), "")</f>
        <v/>
      </c>
      <c r="C143" s="182"/>
      <c r="F143" cm="1">
        <f t="array" aca="1" ref="F143" ca="1">IF(COUNTIF($E$2:$E$2000,INDIRECT("RC[-2]",0))&gt;0,"",INDIRECT("RC[-2]",0))</f>
        <v>0</v>
      </c>
    </row>
    <row r="144" spans="2:6">
      <c r="B144" t="str" cm="1">
        <f t="array" aca="1" ref="B144" ca="1">IFERROR(DATE(RIGHT(INDIRECT("RC[-1]",0),4),LEFT(INDIRECT("RC[-1]",0),2),1), "")</f>
        <v/>
      </c>
      <c r="C144" s="182"/>
      <c r="F144" cm="1">
        <f t="array" aca="1" ref="F144" ca="1">IF(COUNTIF($E$2:$E$2000,INDIRECT("RC[-2]",0))&gt;0,"",INDIRECT("RC[-2]",0))</f>
        <v>0</v>
      </c>
    </row>
    <row r="145" spans="2:6">
      <c r="B145" t="str" cm="1">
        <f t="array" aca="1" ref="B145" ca="1">IFERROR(DATE(RIGHT(INDIRECT("RC[-1]",0),4),LEFT(INDIRECT("RC[-1]",0),2),1), "")</f>
        <v/>
      </c>
      <c r="C145" s="182"/>
      <c r="F145" cm="1">
        <f t="array" aca="1" ref="F145" ca="1">IF(COUNTIF($E$2:$E$2000,INDIRECT("RC[-2]",0))&gt;0,"",INDIRECT("RC[-2]",0))</f>
        <v>0</v>
      </c>
    </row>
    <row r="146" spans="2:6">
      <c r="B146" t="str" cm="1">
        <f t="array" aca="1" ref="B146" ca="1">IFERROR(DATE(RIGHT(INDIRECT("RC[-1]",0),4),LEFT(INDIRECT("RC[-1]",0),2),1), "")</f>
        <v/>
      </c>
      <c r="C146" s="182"/>
      <c r="F146" cm="1">
        <f t="array" aca="1" ref="F146" ca="1">IF(COUNTIF($E$2:$E$2000,INDIRECT("RC[-2]",0))&gt;0,"",INDIRECT("RC[-2]",0))</f>
        <v>0</v>
      </c>
    </row>
    <row r="147" spans="2:6">
      <c r="B147" t="str" cm="1">
        <f t="array" aca="1" ref="B147" ca="1">IFERROR(DATE(RIGHT(INDIRECT("RC[-1]",0),4),LEFT(INDIRECT("RC[-1]",0),2),1), "")</f>
        <v/>
      </c>
      <c r="C147" s="182"/>
      <c r="F147" cm="1">
        <f t="array" aca="1" ref="F147" ca="1">IF(COUNTIF($E$2:$E$2000,INDIRECT("RC[-2]",0))&gt;0,"",INDIRECT("RC[-2]",0))</f>
        <v>0</v>
      </c>
    </row>
    <row r="148" spans="2:6">
      <c r="B148" t="str" cm="1">
        <f t="array" aca="1" ref="B148" ca="1">IFERROR(DATE(RIGHT(INDIRECT("RC[-1]",0),4),LEFT(INDIRECT("RC[-1]",0),2),1), "")</f>
        <v/>
      </c>
      <c r="C148" s="182"/>
      <c r="F148" cm="1">
        <f t="array" aca="1" ref="F148" ca="1">IF(COUNTIF($E$2:$E$2000,INDIRECT("RC[-2]",0))&gt;0,"",INDIRECT("RC[-2]",0))</f>
        <v>0</v>
      </c>
    </row>
    <row r="149" spans="2:6">
      <c r="B149" t="str" cm="1">
        <f t="array" aca="1" ref="B149" ca="1">IFERROR(DATE(RIGHT(INDIRECT("RC[-1]",0),4),LEFT(INDIRECT("RC[-1]",0),2),1), "")</f>
        <v/>
      </c>
      <c r="C149" s="182"/>
      <c r="F149" cm="1">
        <f t="array" aca="1" ref="F149" ca="1">IF(COUNTIF($E$2:$E$2000,INDIRECT("RC[-2]",0))&gt;0,"",INDIRECT("RC[-2]",0))</f>
        <v>0</v>
      </c>
    </row>
    <row r="150" spans="2:6">
      <c r="B150" t="str" cm="1">
        <f t="array" aca="1" ref="B150" ca="1">IFERROR(DATE(RIGHT(INDIRECT("RC[-1]",0),4),LEFT(INDIRECT("RC[-1]",0),2),1), "")</f>
        <v/>
      </c>
      <c r="C150" s="182"/>
      <c r="F150" cm="1">
        <f t="array" aca="1" ref="F150" ca="1">IF(COUNTIF($E$2:$E$2000,INDIRECT("RC[-2]",0))&gt;0,"",INDIRECT("RC[-2]",0))</f>
        <v>0</v>
      </c>
    </row>
    <row r="151" spans="2:6">
      <c r="B151" t="str" cm="1">
        <f t="array" aca="1" ref="B151" ca="1">IFERROR(DATE(RIGHT(INDIRECT("RC[-1]",0),4),LEFT(INDIRECT("RC[-1]",0),2),1), "")</f>
        <v/>
      </c>
      <c r="C151" s="182"/>
      <c r="F151" cm="1">
        <f t="array" aca="1" ref="F151" ca="1">IF(COUNTIF($E$2:$E$2000,INDIRECT("RC[-2]",0))&gt;0,"",INDIRECT("RC[-2]",0))</f>
        <v>0</v>
      </c>
    </row>
    <row r="152" spans="2:6">
      <c r="B152" t="str" cm="1">
        <f t="array" aca="1" ref="B152" ca="1">IFERROR(DATE(RIGHT(INDIRECT("RC[-1]",0),4),LEFT(INDIRECT("RC[-1]",0),2),1), "")</f>
        <v/>
      </c>
      <c r="C152" s="182"/>
      <c r="F152" cm="1">
        <f t="array" aca="1" ref="F152" ca="1">IF(COUNTIF($E$2:$E$2000,INDIRECT("RC[-2]",0))&gt;0,"",INDIRECT("RC[-2]",0))</f>
        <v>0</v>
      </c>
    </row>
    <row r="153" spans="2:6">
      <c r="B153" t="str" cm="1">
        <f t="array" aca="1" ref="B153" ca="1">IFERROR(DATE(RIGHT(INDIRECT("RC[-1]",0),4),LEFT(INDIRECT("RC[-1]",0),2),1), "")</f>
        <v/>
      </c>
      <c r="C153" s="182"/>
      <c r="F153" cm="1">
        <f t="array" aca="1" ref="F153" ca="1">IF(COUNTIF($E$2:$E$2000,INDIRECT("RC[-2]",0))&gt;0,"",INDIRECT("RC[-2]",0))</f>
        <v>0</v>
      </c>
    </row>
    <row r="154" spans="2:6">
      <c r="B154" t="str" cm="1">
        <f t="array" aca="1" ref="B154" ca="1">IFERROR(DATE(RIGHT(INDIRECT("RC[-1]",0),4),LEFT(INDIRECT("RC[-1]",0),2),1), "")</f>
        <v/>
      </c>
      <c r="C154" s="182"/>
      <c r="F154" cm="1">
        <f t="array" aca="1" ref="F154" ca="1">IF(COUNTIF($E$2:$E$2000,INDIRECT("RC[-2]",0))&gt;0,"",INDIRECT("RC[-2]",0))</f>
        <v>0</v>
      </c>
    </row>
    <row r="155" spans="2:6">
      <c r="B155" t="str" cm="1">
        <f t="array" aca="1" ref="B155" ca="1">IFERROR(DATE(RIGHT(INDIRECT("RC[-1]",0),4),LEFT(INDIRECT("RC[-1]",0),2),1), "")</f>
        <v/>
      </c>
      <c r="C155" s="182"/>
      <c r="F155" cm="1">
        <f t="array" aca="1" ref="F155" ca="1">IF(COUNTIF($E$2:$E$2000,INDIRECT("RC[-2]",0))&gt;0,"",INDIRECT("RC[-2]",0))</f>
        <v>0</v>
      </c>
    </row>
    <row r="156" spans="2:6">
      <c r="B156" t="str" cm="1">
        <f t="array" aca="1" ref="B156" ca="1">IFERROR(DATE(RIGHT(INDIRECT("RC[-1]",0),4),LEFT(INDIRECT("RC[-1]",0),2),1), "")</f>
        <v/>
      </c>
      <c r="C156" s="182"/>
      <c r="F156" cm="1">
        <f t="array" aca="1" ref="F156" ca="1">IF(COUNTIF($E$2:$E$2000,INDIRECT("RC[-2]",0))&gt;0,"",INDIRECT("RC[-2]",0))</f>
        <v>0</v>
      </c>
    </row>
    <row r="157" spans="2:6">
      <c r="B157" t="str" cm="1">
        <f t="array" aca="1" ref="B157" ca="1">IFERROR(DATE(RIGHT(INDIRECT("RC[-1]",0),4),LEFT(INDIRECT("RC[-1]",0),2),1), "")</f>
        <v/>
      </c>
      <c r="C157" s="182"/>
      <c r="F157" cm="1">
        <f t="array" aca="1" ref="F157" ca="1">IF(COUNTIF($E$2:$E$2000,INDIRECT("RC[-2]",0))&gt;0,"",INDIRECT("RC[-2]",0))</f>
        <v>0</v>
      </c>
    </row>
    <row r="158" spans="2:6">
      <c r="B158" t="str" cm="1">
        <f t="array" aca="1" ref="B158" ca="1">IFERROR(DATE(RIGHT(INDIRECT("RC[-1]",0),4),LEFT(INDIRECT("RC[-1]",0),2),1), "")</f>
        <v/>
      </c>
      <c r="C158" s="182"/>
      <c r="F158" cm="1">
        <f t="array" aca="1" ref="F158" ca="1">IF(COUNTIF($E$2:$E$2000,INDIRECT("RC[-2]",0))&gt;0,"",INDIRECT("RC[-2]",0))</f>
        <v>0</v>
      </c>
    </row>
    <row r="159" spans="2:6">
      <c r="B159" t="str" cm="1">
        <f t="array" aca="1" ref="B159" ca="1">IFERROR(DATE(RIGHT(INDIRECT("RC[-1]",0),4),LEFT(INDIRECT("RC[-1]",0),2),1), "")</f>
        <v/>
      </c>
      <c r="C159" s="182"/>
      <c r="F159" cm="1">
        <f t="array" aca="1" ref="F159" ca="1">IF(COUNTIF($E$2:$E$2000,INDIRECT("RC[-2]",0))&gt;0,"",INDIRECT("RC[-2]",0))</f>
        <v>0</v>
      </c>
    </row>
    <row r="160" spans="2:6">
      <c r="B160" t="str" cm="1">
        <f t="array" aca="1" ref="B160" ca="1">IFERROR(DATE(RIGHT(INDIRECT("RC[-1]",0),4),LEFT(INDIRECT("RC[-1]",0),2),1), "")</f>
        <v/>
      </c>
      <c r="C160" s="182"/>
      <c r="F160" cm="1">
        <f t="array" aca="1" ref="F160" ca="1">IF(COUNTIF($E$2:$E$2000,INDIRECT("RC[-2]",0))&gt;0,"",INDIRECT("RC[-2]",0))</f>
        <v>0</v>
      </c>
    </row>
    <row r="161" spans="2:6">
      <c r="B161" t="str" cm="1">
        <f t="array" aca="1" ref="B161" ca="1">IFERROR(DATE(RIGHT(INDIRECT("RC[-1]",0),4),LEFT(INDIRECT("RC[-1]",0),2),1), "")</f>
        <v/>
      </c>
      <c r="C161" s="182"/>
      <c r="F161" cm="1">
        <f t="array" aca="1" ref="F161" ca="1">IF(COUNTIF($E$2:$E$2000,INDIRECT("RC[-2]",0))&gt;0,"",INDIRECT("RC[-2]",0))</f>
        <v>0</v>
      </c>
    </row>
    <row r="162" spans="2:6">
      <c r="B162" t="str" cm="1">
        <f t="array" aca="1" ref="B162" ca="1">IFERROR(DATE(RIGHT(INDIRECT("RC[-1]",0),4),LEFT(INDIRECT("RC[-1]",0),2),1), "")</f>
        <v/>
      </c>
      <c r="C162" s="182"/>
      <c r="F162" cm="1">
        <f t="array" aca="1" ref="F162" ca="1">IF(COUNTIF($E$2:$E$2000,INDIRECT("RC[-2]",0))&gt;0,"",INDIRECT("RC[-2]",0))</f>
        <v>0</v>
      </c>
    </row>
    <row r="163" spans="2:6">
      <c r="B163" t="str" cm="1">
        <f t="array" aca="1" ref="B163" ca="1">IFERROR(DATE(RIGHT(INDIRECT("RC[-1]",0),4),LEFT(INDIRECT("RC[-1]",0),2),1), "")</f>
        <v/>
      </c>
      <c r="C163" s="182"/>
      <c r="F163" cm="1">
        <f t="array" aca="1" ref="F163" ca="1">IF(COUNTIF($E$2:$E$2000,INDIRECT("RC[-2]",0))&gt;0,"",INDIRECT("RC[-2]",0))</f>
        <v>0</v>
      </c>
    </row>
    <row r="164" spans="2:6">
      <c r="B164" t="str" cm="1">
        <f t="array" aca="1" ref="B164" ca="1">IFERROR(DATE(RIGHT(INDIRECT("RC[-1]",0),4),LEFT(INDIRECT("RC[-1]",0),2),1), "")</f>
        <v/>
      </c>
      <c r="C164" s="182"/>
      <c r="F164" cm="1">
        <f t="array" aca="1" ref="F164" ca="1">IF(COUNTIF($E$2:$E$2000,INDIRECT("RC[-2]",0))&gt;0,"",INDIRECT("RC[-2]",0))</f>
        <v>0</v>
      </c>
    </row>
    <row r="165" spans="2:6">
      <c r="B165" t="str" cm="1">
        <f t="array" aca="1" ref="B165" ca="1">IFERROR(DATE(RIGHT(INDIRECT("RC[-1]",0),4),LEFT(INDIRECT("RC[-1]",0),2),1), "")</f>
        <v/>
      </c>
      <c r="C165" s="182"/>
      <c r="F165" cm="1">
        <f t="array" aca="1" ref="F165" ca="1">IF(COUNTIF($E$2:$E$2000,INDIRECT("RC[-2]",0))&gt;0,"",INDIRECT("RC[-2]",0))</f>
        <v>0</v>
      </c>
    </row>
    <row r="166" spans="2:6">
      <c r="B166" t="str" cm="1">
        <f t="array" aca="1" ref="B166" ca="1">IFERROR(DATE(RIGHT(INDIRECT("RC[-1]",0),4),LEFT(INDIRECT("RC[-1]",0),2),1), "")</f>
        <v/>
      </c>
      <c r="C166" s="182"/>
      <c r="F166" cm="1">
        <f t="array" aca="1" ref="F166" ca="1">IF(COUNTIF($E$2:$E$2000,INDIRECT("RC[-2]",0))&gt;0,"",INDIRECT("RC[-2]",0))</f>
        <v>0</v>
      </c>
    </row>
    <row r="167" spans="2:6">
      <c r="B167" t="str" cm="1">
        <f t="array" aca="1" ref="B167" ca="1">IFERROR(DATE(RIGHT(INDIRECT("RC[-1]",0),4),LEFT(INDIRECT("RC[-1]",0),2),1), "")</f>
        <v/>
      </c>
      <c r="C167" s="182"/>
      <c r="F167" cm="1">
        <f t="array" aca="1" ref="F167" ca="1">IF(COUNTIF($E$2:$E$2000,INDIRECT("RC[-2]",0))&gt;0,"",INDIRECT("RC[-2]",0))</f>
        <v>0</v>
      </c>
    </row>
    <row r="168" spans="2:6">
      <c r="B168" t="str" cm="1">
        <f t="array" aca="1" ref="B168" ca="1">IFERROR(DATE(RIGHT(INDIRECT("RC[-1]",0),4),LEFT(INDIRECT("RC[-1]",0),2),1), "")</f>
        <v/>
      </c>
      <c r="C168" s="182"/>
      <c r="F168" cm="1">
        <f t="array" aca="1" ref="F168" ca="1">IF(COUNTIF($E$2:$E$2000,INDIRECT("RC[-2]",0))&gt;0,"",INDIRECT("RC[-2]",0))</f>
        <v>0</v>
      </c>
    </row>
    <row r="169" spans="2:6">
      <c r="B169" t="str" cm="1">
        <f t="array" aca="1" ref="B169" ca="1">IFERROR(DATE(RIGHT(INDIRECT("RC[-1]",0),4),LEFT(INDIRECT("RC[-1]",0),2),1), "")</f>
        <v/>
      </c>
      <c r="C169" s="182"/>
      <c r="F169" cm="1">
        <f t="array" aca="1" ref="F169" ca="1">IF(COUNTIF($E$2:$E$2000,INDIRECT("RC[-2]",0))&gt;0,"",INDIRECT("RC[-2]",0))</f>
        <v>0</v>
      </c>
    </row>
    <row r="170" spans="2:6">
      <c r="B170" t="str" cm="1">
        <f t="array" aca="1" ref="B170" ca="1">IFERROR(DATE(RIGHT(INDIRECT("RC[-1]",0),4),LEFT(INDIRECT("RC[-1]",0),2),1), "")</f>
        <v/>
      </c>
      <c r="C170" s="182"/>
      <c r="F170" cm="1">
        <f t="array" aca="1" ref="F170" ca="1">IF(COUNTIF($E$2:$E$2000,INDIRECT("RC[-2]",0))&gt;0,"",INDIRECT("RC[-2]",0))</f>
        <v>0</v>
      </c>
    </row>
    <row r="171" spans="2:6">
      <c r="B171" t="str" cm="1">
        <f t="array" aca="1" ref="B171" ca="1">IFERROR(DATE(RIGHT(INDIRECT("RC[-1]",0),4),LEFT(INDIRECT("RC[-1]",0),2),1), "")</f>
        <v/>
      </c>
      <c r="C171" s="182"/>
      <c r="F171" cm="1">
        <f t="array" aca="1" ref="F171" ca="1">IF(COUNTIF($E$2:$E$2000,INDIRECT("RC[-2]",0))&gt;0,"",INDIRECT("RC[-2]",0))</f>
        <v>0</v>
      </c>
    </row>
    <row r="172" spans="2:6">
      <c r="B172" t="str" cm="1">
        <f t="array" aca="1" ref="B172" ca="1">IFERROR(DATE(RIGHT(INDIRECT("RC[-1]",0),4),LEFT(INDIRECT("RC[-1]",0),2),1), "")</f>
        <v/>
      </c>
      <c r="C172" s="182"/>
      <c r="F172" cm="1">
        <f t="array" aca="1" ref="F172" ca="1">IF(COUNTIF($E$2:$E$2000,INDIRECT("RC[-2]",0))&gt;0,"",INDIRECT("RC[-2]",0))</f>
        <v>0</v>
      </c>
    </row>
    <row r="173" spans="2:6">
      <c r="B173" t="str" cm="1">
        <f t="array" aca="1" ref="B173" ca="1">IFERROR(DATE(RIGHT(INDIRECT("RC[-1]",0),4),LEFT(INDIRECT("RC[-1]",0),2),1), "")</f>
        <v/>
      </c>
      <c r="C173" s="182"/>
      <c r="F173" cm="1">
        <f t="array" aca="1" ref="F173" ca="1">IF(COUNTIF($E$2:$E$2000,INDIRECT("RC[-2]",0))&gt;0,"",INDIRECT("RC[-2]",0))</f>
        <v>0</v>
      </c>
    </row>
    <row r="174" spans="2:6">
      <c r="B174" t="str" cm="1">
        <f t="array" aca="1" ref="B174" ca="1">IFERROR(DATE(RIGHT(INDIRECT("RC[-1]",0),4),LEFT(INDIRECT("RC[-1]",0),2),1), "")</f>
        <v/>
      </c>
      <c r="C174" s="182"/>
      <c r="F174" cm="1">
        <f t="array" aca="1" ref="F174" ca="1">IF(COUNTIF($E$2:$E$2000,INDIRECT("RC[-2]",0))&gt;0,"",INDIRECT("RC[-2]",0))</f>
        <v>0</v>
      </c>
    </row>
    <row r="175" spans="2:6">
      <c r="B175" t="str" cm="1">
        <f t="array" aca="1" ref="B175" ca="1">IFERROR(DATE(RIGHT(INDIRECT("RC[-1]",0),4),LEFT(INDIRECT("RC[-1]",0),2),1), "")</f>
        <v/>
      </c>
      <c r="C175" s="182"/>
      <c r="F175" cm="1">
        <f t="array" aca="1" ref="F175" ca="1">IF(COUNTIF($E$2:$E$2000,INDIRECT("RC[-2]",0))&gt;0,"",INDIRECT("RC[-2]",0))</f>
        <v>0</v>
      </c>
    </row>
    <row r="176" spans="2:6">
      <c r="B176" t="str" cm="1">
        <f t="array" aca="1" ref="B176" ca="1">IFERROR(DATE(RIGHT(INDIRECT("RC[-1]",0),4),LEFT(INDIRECT("RC[-1]",0),2),1), "")</f>
        <v/>
      </c>
      <c r="C176" s="182"/>
      <c r="F176" cm="1">
        <f t="array" aca="1" ref="F176" ca="1">IF(COUNTIF($E$2:$E$2000,INDIRECT("RC[-2]",0))&gt;0,"",INDIRECT("RC[-2]",0))</f>
        <v>0</v>
      </c>
    </row>
    <row r="177" spans="2:6">
      <c r="B177" t="str" cm="1">
        <f t="array" aca="1" ref="B177" ca="1">IFERROR(DATE(RIGHT(INDIRECT("RC[-1]",0),4),LEFT(INDIRECT("RC[-1]",0),2),1), "")</f>
        <v/>
      </c>
      <c r="C177" s="182"/>
      <c r="F177" cm="1">
        <f t="array" aca="1" ref="F177" ca="1">IF(COUNTIF($E$2:$E$2000,INDIRECT("RC[-2]",0))&gt;0,"",INDIRECT("RC[-2]",0))</f>
        <v>0</v>
      </c>
    </row>
    <row r="178" spans="2:6">
      <c r="B178" t="str" cm="1">
        <f t="array" aca="1" ref="B178" ca="1">IFERROR(DATE(RIGHT(INDIRECT("RC[-1]",0),4),LEFT(INDIRECT("RC[-1]",0),2),1), "")</f>
        <v/>
      </c>
      <c r="C178" s="182"/>
      <c r="F178" cm="1">
        <f t="array" aca="1" ref="F178" ca="1">IF(COUNTIF($E$2:$E$2000,INDIRECT("RC[-2]",0))&gt;0,"",INDIRECT("RC[-2]",0))</f>
        <v>0</v>
      </c>
    </row>
    <row r="179" spans="2:6">
      <c r="B179" t="str" cm="1">
        <f t="array" aca="1" ref="B179" ca="1">IFERROR(DATE(RIGHT(INDIRECT("RC[-1]",0),4),LEFT(INDIRECT("RC[-1]",0),2),1), "")</f>
        <v/>
      </c>
      <c r="C179" s="182"/>
      <c r="F179" cm="1">
        <f t="array" aca="1" ref="F179" ca="1">IF(COUNTIF($E$2:$E$2000,INDIRECT("RC[-2]",0))&gt;0,"",INDIRECT("RC[-2]",0))</f>
        <v>0</v>
      </c>
    </row>
    <row r="180" spans="2:6">
      <c r="B180" t="str" cm="1">
        <f t="array" aca="1" ref="B180" ca="1">IFERROR(DATE(RIGHT(INDIRECT("RC[-1]",0),4),LEFT(INDIRECT("RC[-1]",0),2),1), "")</f>
        <v/>
      </c>
      <c r="C180" s="182"/>
      <c r="F180" cm="1">
        <f t="array" aca="1" ref="F180" ca="1">IF(COUNTIF($E$2:$E$2000,INDIRECT("RC[-2]",0))&gt;0,"",INDIRECT("RC[-2]",0))</f>
        <v>0</v>
      </c>
    </row>
    <row r="181" spans="2:6">
      <c r="B181" t="str" cm="1">
        <f t="array" aca="1" ref="B181" ca="1">IFERROR(DATE(RIGHT(INDIRECT("RC[-1]",0),4),LEFT(INDIRECT("RC[-1]",0),2),1), "")</f>
        <v/>
      </c>
      <c r="C181" s="182"/>
      <c r="F181" cm="1">
        <f t="array" aca="1" ref="F181" ca="1">IF(COUNTIF($E$2:$E$2000,INDIRECT("RC[-2]",0))&gt;0,"",INDIRECT("RC[-2]",0))</f>
        <v>0</v>
      </c>
    </row>
    <row r="182" spans="2:6">
      <c r="B182" t="str" cm="1">
        <f t="array" aca="1" ref="B182" ca="1">IFERROR(DATE(RIGHT(INDIRECT("RC[-1]",0),4),LEFT(INDIRECT("RC[-1]",0),2),1), "")</f>
        <v/>
      </c>
      <c r="C182" s="182"/>
      <c r="F182" cm="1">
        <f t="array" aca="1" ref="F182" ca="1">IF(COUNTIF($E$2:$E$2000,INDIRECT("RC[-2]",0))&gt;0,"",INDIRECT("RC[-2]",0))</f>
        <v>0</v>
      </c>
    </row>
    <row r="183" spans="2:6">
      <c r="B183" t="str" cm="1">
        <f t="array" aca="1" ref="B183" ca="1">IFERROR(DATE(RIGHT(INDIRECT("RC[-1]",0),4),LEFT(INDIRECT("RC[-1]",0),2),1), "")</f>
        <v/>
      </c>
      <c r="C183" s="182"/>
      <c r="F183" cm="1">
        <f t="array" aca="1" ref="F183" ca="1">IF(COUNTIF($E$2:$E$2000,INDIRECT("RC[-2]",0))&gt;0,"",INDIRECT("RC[-2]",0))</f>
        <v>0</v>
      </c>
    </row>
    <row r="184" spans="2:6">
      <c r="B184" t="str" cm="1">
        <f t="array" aca="1" ref="B184" ca="1">IFERROR(DATE(RIGHT(INDIRECT("RC[-1]",0),4),LEFT(INDIRECT("RC[-1]",0),2),1), "")</f>
        <v/>
      </c>
      <c r="C184" s="182"/>
      <c r="F184" cm="1">
        <f t="array" aca="1" ref="F184" ca="1">IF(COUNTIF($E$2:$E$2000,INDIRECT("RC[-2]",0))&gt;0,"",INDIRECT("RC[-2]",0))</f>
        <v>0</v>
      </c>
    </row>
    <row r="185" spans="2:6">
      <c r="B185" t="str" cm="1">
        <f t="array" aca="1" ref="B185" ca="1">IFERROR(DATE(RIGHT(INDIRECT("RC[-1]",0),4),LEFT(INDIRECT("RC[-1]",0),2),1), "")</f>
        <v/>
      </c>
      <c r="C185" s="182"/>
      <c r="F185" cm="1">
        <f t="array" aca="1" ref="F185" ca="1">IF(COUNTIF($E$2:$E$2000,INDIRECT("RC[-2]",0))&gt;0,"",INDIRECT("RC[-2]",0))</f>
        <v>0</v>
      </c>
    </row>
    <row r="186" spans="2:6">
      <c r="B186" t="str" cm="1">
        <f t="array" aca="1" ref="B186" ca="1">IFERROR(DATE(RIGHT(INDIRECT("RC[-1]",0),4),LEFT(INDIRECT("RC[-1]",0),2),1), "")</f>
        <v/>
      </c>
      <c r="C186" s="182"/>
      <c r="F186" cm="1">
        <f t="array" aca="1" ref="F186" ca="1">IF(COUNTIF($E$2:$E$2000,INDIRECT("RC[-2]",0))&gt;0,"",INDIRECT("RC[-2]",0))</f>
        <v>0</v>
      </c>
    </row>
    <row r="187" spans="2:6">
      <c r="B187" t="str" cm="1">
        <f t="array" aca="1" ref="B187" ca="1">IFERROR(DATE(RIGHT(INDIRECT("RC[-1]",0),4),LEFT(INDIRECT("RC[-1]",0),2),1), "")</f>
        <v/>
      </c>
      <c r="C187" s="182"/>
      <c r="F187" cm="1">
        <f t="array" aca="1" ref="F187" ca="1">IF(COUNTIF($E$2:$E$2000,INDIRECT("RC[-2]",0))&gt;0,"",INDIRECT("RC[-2]",0))</f>
        <v>0</v>
      </c>
    </row>
    <row r="188" spans="2:6">
      <c r="B188" t="str" cm="1">
        <f t="array" aca="1" ref="B188" ca="1">IFERROR(DATE(RIGHT(INDIRECT("RC[-1]",0),4),LEFT(INDIRECT("RC[-1]",0),2),1), "")</f>
        <v/>
      </c>
      <c r="C188" s="182"/>
      <c r="F188" cm="1">
        <f t="array" aca="1" ref="F188" ca="1">IF(COUNTIF($E$2:$E$2000,INDIRECT("RC[-2]",0))&gt;0,"",INDIRECT("RC[-2]",0))</f>
        <v>0</v>
      </c>
    </row>
    <row r="189" spans="2:6">
      <c r="B189" t="str" cm="1">
        <f t="array" aca="1" ref="B189" ca="1">IFERROR(DATE(RIGHT(INDIRECT("RC[-1]",0),4),LEFT(INDIRECT("RC[-1]",0),2),1), "")</f>
        <v/>
      </c>
      <c r="C189" s="182"/>
      <c r="F189" cm="1">
        <f t="array" aca="1" ref="F189" ca="1">IF(COUNTIF($E$2:$E$2000,INDIRECT("RC[-2]",0))&gt;0,"",INDIRECT("RC[-2]",0))</f>
        <v>0</v>
      </c>
    </row>
    <row r="190" spans="2:6">
      <c r="B190" t="str" cm="1">
        <f t="array" aca="1" ref="B190" ca="1">IFERROR(DATE(RIGHT(INDIRECT("RC[-1]",0),4),LEFT(INDIRECT("RC[-1]",0),2),1), "")</f>
        <v/>
      </c>
      <c r="C190" s="182"/>
      <c r="F190" cm="1">
        <f t="array" aca="1" ref="F190" ca="1">IF(COUNTIF($E$2:$E$2000,INDIRECT("RC[-2]",0))&gt;0,"",INDIRECT("RC[-2]",0))</f>
        <v>0</v>
      </c>
    </row>
    <row r="191" spans="2:6">
      <c r="B191" t="str" cm="1">
        <f t="array" aca="1" ref="B191" ca="1">IFERROR(DATE(RIGHT(INDIRECT("RC[-1]",0),4),LEFT(INDIRECT("RC[-1]",0),2),1), "")</f>
        <v/>
      </c>
      <c r="C191" s="182"/>
      <c r="F191" cm="1">
        <f t="array" aca="1" ref="F191" ca="1">IF(COUNTIF($E$2:$E$2000,INDIRECT("RC[-2]",0))&gt;0,"",INDIRECT("RC[-2]",0))</f>
        <v>0</v>
      </c>
    </row>
    <row r="192" spans="2:6">
      <c r="B192" t="str" cm="1">
        <f t="array" aca="1" ref="B192" ca="1">IFERROR(DATE(RIGHT(INDIRECT("RC[-1]",0),4),LEFT(INDIRECT("RC[-1]",0),2),1), "")</f>
        <v/>
      </c>
      <c r="C192" s="182"/>
      <c r="F192" cm="1">
        <f t="array" aca="1" ref="F192" ca="1">IF(COUNTIF($E$2:$E$2000,INDIRECT("RC[-2]",0))&gt;0,"",INDIRECT("RC[-2]",0))</f>
        <v>0</v>
      </c>
    </row>
    <row r="193" spans="2:6">
      <c r="B193" t="str" cm="1">
        <f t="array" aca="1" ref="B193" ca="1">IFERROR(DATE(RIGHT(INDIRECT("RC[-1]",0),4),LEFT(INDIRECT("RC[-1]",0),2),1), "")</f>
        <v/>
      </c>
      <c r="C193" s="182"/>
      <c r="F193" cm="1">
        <f t="array" aca="1" ref="F193" ca="1">IF(COUNTIF($E$2:$E$2000,INDIRECT("RC[-2]",0))&gt;0,"",INDIRECT("RC[-2]",0))</f>
        <v>0</v>
      </c>
    </row>
    <row r="194" spans="2:6">
      <c r="B194" t="str" cm="1">
        <f t="array" aca="1" ref="B194" ca="1">IFERROR(DATE(RIGHT(INDIRECT("RC[-1]",0),4),LEFT(INDIRECT("RC[-1]",0),2),1), "")</f>
        <v/>
      </c>
      <c r="C194" s="182"/>
      <c r="F194" cm="1">
        <f t="array" aca="1" ref="F194" ca="1">IF(COUNTIF($E$2:$E$2000,INDIRECT("RC[-2]",0))&gt;0,"",INDIRECT("RC[-2]",0))</f>
        <v>0</v>
      </c>
    </row>
    <row r="195" spans="2:6">
      <c r="B195" t="str" cm="1">
        <f t="array" aca="1" ref="B195" ca="1">IFERROR(DATE(RIGHT(INDIRECT("RC[-1]",0),4),LEFT(INDIRECT("RC[-1]",0),2),1), "")</f>
        <v/>
      </c>
      <c r="C195" s="182"/>
      <c r="F195" cm="1">
        <f t="array" aca="1" ref="F195" ca="1">IF(COUNTIF($E$2:$E$2000,INDIRECT("RC[-2]",0))&gt;0,"",INDIRECT("RC[-2]",0))</f>
        <v>0</v>
      </c>
    </row>
    <row r="196" spans="2:6">
      <c r="B196" t="str" cm="1">
        <f t="array" aca="1" ref="B196" ca="1">IFERROR(DATE(RIGHT(INDIRECT("RC[-1]",0),4),LEFT(INDIRECT("RC[-1]",0),2),1), "")</f>
        <v/>
      </c>
      <c r="C196" s="182"/>
      <c r="F196" cm="1">
        <f t="array" aca="1" ref="F196" ca="1">IF(COUNTIF($E$2:$E$2000,INDIRECT("RC[-2]",0))&gt;0,"",INDIRECT("RC[-2]",0))</f>
        <v>0</v>
      </c>
    </row>
    <row r="197" spans="2:6">
      <c r="B197" t="str" cm="1">
        <f t="array" aca="1" ref="B197" ca="1">IFERROR(DATE(RIGHT(INDIRECT("RC[-1]",0),4),LEFT(INDIRECT("RC[-1]",0),2),1), "")</f>
        <v/>
      </c>
      <c r="C197" s="182"/>
      <c r="F197" cm="1">
        <f t="array" aca="1" ref="F197" ca="1">IF(COUNTIF($E$2:$E$2000,INDIRECT("RC[-2]",0))&gt;0,"",INDIRECT("RC[-2]",0))</f>
        <v>0</v>
      </c>
    </row>
    <row r="198" spans="2:6">
      <c r="B198" t="str" cm="1">
        <f t="array" aca="1" ref="B198" ca="1">IFERROR(DATE(RIGHT(INDIRECT("RC[-1]",0),4),LEFT(INDIRECT("RC[-1]",0),2),1), "")</f>
        <v/>
      </c>
      <c r="C198" s="182"/>
      <c r="F198" cm="1">
        <f t="array" aca="1" ref="F198" ca="1">IF(COUNTIF($E$2:$E$2000,INDIRECT("RC[-2]",0))&gt;0,"",INDIRECT("RC[-2]",0))</f>
        <v>0</v>
      </c>
    </row>
    <row r="199" spans="2:6">
      <c r="B199" t="str" cm="1">
        <f t="array" aca="1" ref="B199" ca="1">IFERROR(DATE(RIGHT(INDIRECT("RC[-1]",0),4),LEFT(INDIRECT("RC[-1]",0),2),1), "")</f>
        <v/>
      </c>
      <c r="C199" s="182"/>
      <c r="F199" cm="1">
        <f t="array" aca="1" ref="F199" ca="1">IF(COUNTIF($E$2:$E$2000,INDIRECT("RC[-2]",0))&gt;0,"",INDIRECT("RC[-2]",0))</f>
        <v>0</v>
      </c>
    </row>
    <row r="200" spans="2:6">
      <c r="B200" t="str" cm="1">
        <f t="array" aca="1" ref="B200" ca="1">IFERROR(DATE(RIGHT(INDIRECT("RC[-1]",0),4),LEFT(INDIRECT("RC[-1]",0),2),1), "")</f>
        <v/>
      </c>
      <c r="C200" s="182"/>
      <c r="F200" cm="1">
        <f t="array" aca="1" ref="F200" ca="1">IF(COUNTIF($E$2:$E$2000,INDIRECT("RC[-2]",0))&gt;0,"",INDIRECT("RC[-2]",0))</f>
        <v>0</v>
      </c>
    </row>
    <row r="201" spans="2:6">
      <c r="B201" t="str" cm="1">
        <f t="array" aca="1" ref="B201" ca="1">IFERROR(DATE(RIGHT(INDIRECT("RC[-1]",0),4),LEFT(INDIRECT("RC[-1]",0),2),1), "")</f>
        <v/>
      </c>
      <c r="C201" s="182"/>
      <c r="F201" cm="1">
        <f t="array" aca="1" ref="F201" ca="1">IF(COUNTIF($E$2:$E$2000,INDIRECT("RC[-2]",0))&gt;0,"",INDIRECT("RC[-2]",0))</f>
        <v>0</v>
      </c>
    </row>
    <row r="202" spans="2:6">
      <c r="B202" t="str" cm="1">
        <f t="array" aca="1" ref="B202" ca="1">IFERROR(DATE(RIGHT(INDIRECT("RC[-1]",0),4),LEFT(INDIRECT("RC[-1]",0),2),1), "")</f>
        <v/>
      </c>
      <c r="C202" s="182"/>
      <c r="F202" cm="1">
        <f t="array" aca="1" ref="F202" ca="1">IF(COUNTIF($E$2:$E$2000,INDIRECT("RC[-2]",0))&gt;0,"",INDIRECT("RC[-2]",0))</f>
        <v>0</v>
      </c>
    </row>
    <row r="203" spans="2:6">
      <c r="B203" t="str" cm="1">
        <f t="array" aca="1" ref="B203" ca="1">IFERROR(DATE(RIGHT(INDIRECT("RC[-1]",0),4),LEFT(INDIRECT("RC[-1]",0),2),1), "")</f>
        <v/>
      </c>
      <c r="C203" s="182"/>
      <c r="F203" cm="1">
        <f t="array" aca="1" ref="F203" ca="1">IF(COUNTIF($E$2:$E$2000,INDIRECT("RC[-2]",0))&gt;0,"",INDIRECT("RC[-2]",0))</f>
        <v>0</v>
      </c>
    </row>
    <row r="204" spans="2:6">
      <c r="B204" t="str" cm="1">
        <f t="array" aca="1" ref="B204" ca="1">IFERROR(DATE(RIGHT(INDIRECT("RC[-1]",0),4),LEFT(INDIRECT("RC[-1]",0),2),1), "")</f>
        <v/>
      </c>
      <c r="C204" s="182"/>
      <c r="F204" cm="1">
        <f t="array" aca="1" ref="F204" ca="1">IF(COUNTIF($E$2:$E$2000,INDIRECT("RC[-2]",0))&gt;0,"",INDIRECT("RC[-2]",0))</f>
        <v>0</v>
      </c>
    </row>
    <row r="205" spans="2:6">
      <c r="B205" t="str" cm="1">
        <f t="array" aca="1" ref="B205" ca="1">IFERROR(DATE(RIGHT(INDIRECT("RC[-1]",0),4),LEFT(INDIRECT("RC[-1]",0),2),1), "")</f>
        <v/>
      </c>
      <c r="C205" s="182"/>
      <c r="F205" cm="1">
        <f t="array" aca="1" ref="F205" ca="1">IF(COUNTIF($E$2:$E$2000,INDIRECT("RC[-2]",0))&gt;0,"",INDIRECT("RC[-2]",0))</f>
        <v>0</v>
      </c>
    </row>
    <row r="206" spans="2:6">
      <c r="B206" t="str" cm="1">
        <f t="array" aca="1" ref="B206" ca="1">IFERROR(DATE(RIGHT(INDIRECT("RC[-1]",0),4),LEFT(INDIRECT("RC[-1]",0),2),1), "")</f>
        <v/>
      </c>
      <c r="C206" s="182"/>
      <c r="F206" cm="1">
        <f t="array" aca="1" ref="F206" ca="1">IF(COUNTIF($E$2:$E$2000,INDIRECT("RC[-2]",0))&gt;0,"",INDIRECT("RC[-2]",0))</f>
        <v>0</v>
      </c>
    </row>
    <row r="207" spans="2:6">
      <c r="B207" t="str" cm="1">
        <f t="array" aca="1" ref="B207" ca="1">IFERROR(DATE(RIGHT(INDIRECT("RC[-1]",0),4),LEFT(INDIRECT("RC[-1]",0),2),1), "")</f>
        <v/>
      </c>
      <c r="C207" s="182"/>
      <c r="F207" cm="1">
        <f t="array" aca="1" ref="F207" ca="1">IF(COUNTIF($E$2:$E$2000,INDIRECT("RC[-2]",0))&gt;0,"",INDIRECT("RC[-2]",0))</f>
        <v>0</v>
      </c>
    </row>
    <row r="208" spans="2:6">
      <c r="B208" t="str" cm="1">
        <f t="array" aca="1" ref="B208" ca="1">IFERROR(DATE(RIGHT(INDIRECT("RC[-1]",0),4),LEFT(INDIRECT("RC[-1]",0),2),1), "")</f>
        <v/>
      </c>
      <c r="C208" s="182"/>
      <c r="F208" cm="1">
        <f t="array" aca="1" ref="F208" ca="1">IF(COUNTIF($E$2:$E$2000,INDIRECT("RC[-2]",0))&gt;0,"",INDIRECT("RC[-2]",0))</f>
        <v>0</v>
      </c>
    </row>
    <row r="209" spans="2:6">
      <c r="B209" t="str" cm="1">
        <f t="array" aca="1" ref="B209" ca="1">IFERROR(DATE(RIGHT(INDIRECT("RC[-1]",0),4),LEFT(INDIRECT("RC[-1]",0),2),1), "")</f>
        <v/>
      </c>
      <c r="C209" s="182"/>
      <c r="F209" cm="1">
        <f t="array" aca="1" ref="F209" ca="1">IF(COUNTIF($E$2:$E$2000,INDIRECT("RC[-2]",0))&gt;0,"",INDIRECT("RC[-2]",0))</f>
        <v>0</v>
      </c>
    </row>
    <row r="210" spans="2:6">
      <c r="B210" t="str" cm="1">
        <f t="array" aca="1" ref="B210" ca="1">IFERROR(DATE(RIGHT(INDIRECT("RC[-1]",0),4),LEFT(INDIRECT("RC[-1]",0),2),1), "")</f>
        <v/>
      </c>
      <c r="C210" s="182"/>
      <c r="F210" cm="1">
        <f t="array" aca="1" ref="F210" ca="1">IF(COUNTIF($E$2:$E$2000,INDIRECT("RC[-2]",0))&gt;0,"",INDIRECT("RC[-2]",0))</f>
        <v>0</v>
      </c>
    </row>
    <row r="211" spans="2:6">
      <c r="B211" t="str" cm="1">
        <f t="array" aca="1" ref="B211" ca="1">IFERROR(DATE(RIGHT(INDIRECT("RC[-1]",0),4),LEFT(INDIRECT("RC[-1]",0),2),1), "")</f>
        <v/>
      </c>
      <c r="C211" s="182"/>
      <c r="F211" cm="1">
        <f t="array" aca="1" ref="F211" ca="1">IF(COUNTIF($E$2:$E$2000,INDIRECT("RC[-2]",0))&gt;0,"",INDIRECT("RC[-2]",0))</f>
        <v>0</v>
      </c>
    </row>
    <row r="212" spans="2:6">
      <c r="B212" t="str" cm="1">
        <f t="array" aca="1" ref="B212" ca="1">IFERROR(DATE(RIGHT(INDIRECT("RC[-1]",0),4),LEFT(INDIRECT("RC[-1]",0),2),1), "")</f>
        <v/>
      </c>
      <c r="C212" s="182"/>
      <c r="F212" cm="1">
        <f t="array" aca="1" ref="F212" ca="1">IF(COUNTIF($E$2:$E$2000,INDIRECT("RC[-2]",0))&gt;0,"",INDIRECT("RC[-2]",0))</f>
        <v>0</v>
      </c>
    </row>
    <row r="213" spans="2:6">
      <c r="B213" t="str" cm="1">
        <f t="array" aca="1" ref="B213" ca="1">IFERROR(DATE(RIGHT(INDIRECT("RC[-1]",0),4),LEFT(INDIRECT("RC[-1]",0),2),1), "")</f>
        <v/>
      </c>
      <c r="C213" s="182"/>
      <c r="F213" cm="1">
        <f t="array" aca="1" ref="F213" ca="1">IF(COUNTIF($E$2:$E$2000,INDIRECT("RC[-2]",0))&gt;0,"",INDIRECT("RC[-2]",0))</f>
        <v>0</v>
      </c>
    </row>
    <row r="214" spans="2:6">
      <c r="B214" t="str" cm="1">
        <f t="array" aca="1" ref="B214" ca="1">IFERROR(DATE(RIGHT(INDIRECT("RC[-1]",0),4),LEFT(INDIRECT("RC[-1]",0),2),1), "")</f>
        <v/>
      </c>
      <c r="C214" s="182"/>
      <c r="F214" cm="1">
        <f t="array" aca="1" ref="F214" ca="1">IF(COUNTIF($E$2:$E$2000,INDIRECT("RC[-2]",0))&gt;0,"",INDIRECT("RC[-2]",0))</f>
        <v>0</v>
      </c>
    </row>
    <row r="215" spans="2:6">
      <c r="B215" t="str" cm="1">
        <f t="array" aca="1" ref="B215" ca="1">IFERROR(DATE(RIGHT(INDIRECT("RC[-1]",0),4),LEFT(INDIRECT("RC[-1]",0),2),1), "")</f>
        <v/>
      </c>
      <c r="C215" s="182"/>
      <c r="F215" cm="1">
        <f t="array" aca="1" ref="F215" ca="1">IF(COUNTIF($E$2:$E$2000,INDIRECT("RC[-2]",0))&gt;0,"",INDIRECT("RC[-2]",0))</f>
        <v>0</v>
      </c>
    </row>
    <row r="216" spans="2:6">
      <c r="B216" t="str" cm="1">
        <f t="array" aca="1" ref="B216" ca="1">IFERROR(DATE(RIGHT(INDIRECT("RC[-1]",0),4),LEFT(INDIRECT("RC[-1]",0),2),1), "")</f>
        <v/>
      </c>
      <c r="C216" s="182"/>
      <c r="F216" cm="1">
        <f t="array" aca="1" ref="F216" ca="1">IF(COUNTIF($E$2:$E$2000,INDIRECT("RC[-2]",0))&gt;0,"",INDIRECT("RC[-2]",0))</f>
        <v>0</v>
      </c>
    </row>
    <row r="217" spans="2:6">
      <c r="B217" t="str" cm="1">
        <f t="array" aca="1" ref="B217" ca="1">IFERROR(DATE(RIGHT(INDIRECT("RC[-1]",0),4),LEFT(INDIRECT("RC[-1]",0),2),1), "")</f>
        <v/>
      </c>
      <c r="C217" s="182"/>
      <c r="F217" cm="1">
        <f t="array" aca="1" ref="F217" ca="1">IF(COUNTIF($E$2:$E$2000,INDIRECT("RC[-2]",0))&gt;0,"",INDIRECT("RC[-2]",0))</f>
        <v>0</v>
      </c>
    </row>
    <row r="218" spans="2:6">
      <c r="B218" t="str" cm="1">
        <f t="array" aca="1" ref="B218" ca="1">IFERROR(DATE(RIGHT(INDIRECT("RC[-1]",0),4),LEFT(INDIRECT("RC[-1]",0),2),1), "")</f>
        <v/>
      </c>
      <c r="C218" s="182"/>
      <c r="F218" cm="1">
        <f t="array" aca="1" ref="F218" ca="1">IF(COUNTIF($E$2:$E$2000,INDIRECT("RC[-2]",0))&gt;0,"",INDIRECT("RC[-2]",0))</f>
        <v>0</v>
      </c>
    </row>
    <row r="219" spans="2:6">
      <c r="B219" t="str" cm="1">
        <f t="array" aca="1" ref="B219" ca="1">IFERROR(DATE(RIGHT(INDIRECT("RC[-1]",0),4),LEFT(INDIRECT("RC[-1]",0),2),1), "")</f>
        <v/>
      </c>
      <c r="C219" s="182"/>
      <c r="F219" cm="1">
        <f t="array" aca="1" ref="F219" ca="1">IF(COUNTIF($E$2:$E$2000,INDIRECT("RC[-2]",0))&gt;0,"",INDIRECT("RC[-2]",0))</f>
        <v>0</v>
      </c>
    </row>
    <row r="220" spans="2:6">
      <c r="B220" t="str" cm="1">
        <f t="array" aca="1" ref="B220" ca="1">IFERROR(DATE(RIGHT(INDIRECT("RC[-1]",0),4),LEFT(INDIRECT("RC[-1]",0),2),1), "")</f>
        <v/>
      </c>
      <c r="C220" s="182"/>
      <c r="F220" cm="1">
        <f t="array" aca="1" ref="F220" ca="1">IF(COUNTIF($E$2:$E$2000,INDIRECT("RC[-2]",0))&gt;0,"",INDIRECT("RC[-2]",0))</f>
        <v>0</v>
      </c>
    </row>
    <row r="221" spans="2:6">
      <c r="B221" t="str" cm="1">
        <f t="array" aca="1" ref="B221" ca="1">IFERROR(DATE(RIGHT(INDIRECT("RC[-1]",0),4),LEFT(INDIRECT("RC[-1]",0),2),1), "")</f>
        <v/>
      </c>
      <c r="C221" s="182"/>
      <c r="F221" cm="1">
        <f t="array" aca="1" ref="F221" ca="1">IF(COUNTIF($E$2:$E$2000,INDIRECT("RC[-2]",0))&gt;0,"",INDIRECT("RC[-2]",0))</f>
        <v>0</v>
      </c>
    </row>
    <row r="222" spans="2:6">
      <c r="B222" t="str" cm="1">
        <f t="array" aca="1" ref="B222" ca="1">IFERROR(DATE(RIGHT(INDIRECT("RC[-1]",0),4),LEFT(INDIRECT("RC[-1]",0),2),1), "")</f>
        <v/>
      </c>
      <c r="C222" s="182"/>
      <c r="F222" cm="1">
        <f t="array" aca="1" ref="F222" ca="1">IF(COUNTIF($E$2:$E$2000,INDIRECT("RC[-2]",0))&gt;0,"",INDIRECT("RC[-2]",0))</f>
        <v>0</v>
      </c>
    </row>
    <row r="223" spans="2:6">
      <c r="B223" t="str" cm="1">
        <f t="array" aca="1" ref="B223" ca="1">IFERROR(DATE(RIGHT(INDIRECT("RC[-1]",0),4),LEFT(INDIRECT("RC[-1]",0),2),1), "")</f>
        <v/>
      </c>
      <c r="C223" s="182"/>
      <c r="F223" cm="1">
        <f t="array" aca="1" ref="F223" ca="1">IF(COUNTIF($E$2:$E$2000,INDIRECT("RC[-2]",0))&gt;0,"",INDIRECT("RC[-2]",0))</f>
        <v>0</v>
      </c>
    </row>
    <row r="224" spans="2:6">
      <c r="B224" t="str" cm="1">
        <f t="array" aca="1" ref="B224" ca="1">IFERROR(DATE(RIGHT(INDIRECT("RC[-1]",0),4),LEFT(INDIRECT("RC[-1]",0),2),1), "")</f>
        <v/>
      </c>
      <c r="C224" s="182"/>
      <c r="F224" cm="1">
        <f t="array" aca="1" ref="F224" ca="1">IF(COUNTIF($E$2:$E$2000,INDIRECT("RC[-2]",0))&gt;0,"",INDIRECT("RC[-2]",0))</f>
        <v>0</v>
      </c>
    </row>
    <row r="225" spans="2:6">
      <c r="B225" t="str" cm="1">
        <f t="array" aca="1" ref="B225" ca="1">IFERROR(DATE(RIGHT(INDIRECT("RC[-1]",0),4),LEFT(INDIRECT("RC[-1]",0),2),1), "")</f>
        <v/>
      </c>
      <c r="C225" s="182"/>
      <c r="F225" cm="1">
        <f t="array" aca="1" ref="F225" ca="1">IF(COUNTIF($E$2:$E$2000,INDIRECT("RC[-2]",0))&gt;0,"",INDIRECT("RC[-2]",0))</f>
        <v>0</v>
      </c>
    </row>
    <row r="226" spans="2:6">
      <c r="B226" t="str" cm="1">
        <f t="array" aca="1" ref="B226" ca="1">IFERROR(DATE(RIGHT(INDIRECT("RC[-1]",0),4),LEFT(INDIRECT("RC[-1]",0),2),1), "")</f>
        <v/>
      </c>
      <c r="C226" s="182"/>
      <c r="F226" cm="1">
        <f t="array" aca="1" ref="F226" ca="1">IF(COUNTIF($E$2:$E$2000,INDIRECT("RC[-2]",0))&gt;0,"",INDIRECT("RC[-2]",0))</f>
        <v>0</v>
      </c>
    </row>
    <row r="227" spans="2:6">
      <c r="B227" t="str" cm="1">
        <f t="array" aca="1" ref="B227" ca="1">IFERROR(DATE(RIGHT(INDIRECT("RC[-1]",0),4),LEFT(INDIRECT("RC[-1]",0),2),1), "")</f>
        <v/>
      </c>
      <c r="C227" s="182"/>
      <c r="F227" cm="1">
        <f t="array" aca="1" ref="F227" ca="1">IF(COUNTIF($E$2:$E$2000,INDIRECT("RC[-2]",0))&gt;0,"",INDIRECT("RC[-2]",0))</f>
        <v>0</v>
      </c>
    </row>
    <row r="228" spans="2:6">
      <c r="B228" t="str" cm="1">
        <f t="array" aca="1" ref="B228" ca="1">IFERROR(DATE(RIGHT(INDIRECT("RC[-1]",0),4),LEFT(INDIRECT("RC[-1]",0),2),1), "")</f>
        <v/>
      </c>
      <c r="C228" s="182"/>
      <c r="F228" cm="1">
        <f t="array" aca="1" ref="F228" ca="1">IF(COUNTIF($E$2:$E$2000,INDIRECT("RC[-2]",0))&gt;0,"",INDIRECT("RC[-2]",0))</f>
        <v>0</v>
      </c>
    </row>
    <row r="229" spans="2:6">
      <c r="B229" t="str" cm="1">
        <f t="array" aca="1" ref="B229" ca="1">IFERROR(DATE(RIGHT(INDIRECT("RC[-1]",0),4),LEFT(INDIRECT("RC[-1]",0),2),1), "")</f>
        <v/>
      </c>
      <c r="C229" s="182"/>
      <c r="F229" cm="1">
        <f t="array" aca="1" ref="F229" ca="1">IF(COUNTIF($E$2:$E$2000,INDIRECT("RC[-2]",0))&gt;0,"",INDIRECT("RC[-2]",0))</f>
        <v>0</v>
      </c>
    </row>
    <row r="230" spans="2:6">
      <c r="B230" t="str" cm="1">
        <f t="array" aca="1" ref="B230" ca="1">IFERROR(DATE(RIGHT(INDIRECT("RC[-1]",0),4),LEFT(INDIRECT("RC[-1]",0),2),1), "")</f>
        <v/>
      </c>
      <c r="C230" s="182"/>
      <c r="F230" cm="1">
        <f t="array" aca="1" ref="F230" ca="1">IF(COUNTIF($E$2:$E$2000,INDIRECT("RC[-2]",0))&gt;0,"",INDIRECT("RC[-2]",0))</f>
        <v>0</v>
      </c>
    </row>
    <row r="231" spans="2:6">
      <c r="B231" t="str" cm="1">
        <f t="array" aca="1" ref="B231" ca="1">IFERROR(DATE(RIGHT(INDIRECT("RC[-1]",0),4),LEFT(INDIRECT("RC[-1]",0),2),1), "")</f>
        <v/>
      </c>
      <c r="C231" s="182"/>
      <c r="F231" cm="1">
        <f t="array" aca="1" ref="F231" ca="1">IF(COUNTIF($E$2:$E$2000,INDIRECT("RC[-2]",0))&gt;0,"",INDIRECT("RC[-2]",0))</f>
        <v>0</v>
      </c>
    </row>
    <row r="232" spans="2:6">
      <c r="B232" t="str" cm="1">
        <f t="array" aca="1" ref="B232" ca="1">IFERROR(DATE(RIGHT(INDIRECT("RC[-1]",0),4),LEFT(INDIRECT("RC[-1]",0),2),1), "")</f>
        <v/>
      </c>
      <c r="C232" s="182"/>
      <c r="F232" cm="1">
        <f t="array" aca="1" ref="F232" ca="1">IF(COUNTIF($E$2:$E$2000,INDIRECT("RC[-2]",0))&gt;0,"",INDIRECT("RC[-2]",0))</f>
        <v>0</v>
      </c>
    </row>
    <row r="233" spans="2:6">
      <c r="B233" t="str" cm="1">
        <f t="array" aca="1" ref="B233" ca="1">IFERROR(DATE(RIGHT(INDIRECT("RC[-1]",0),4),LEFT(INDIRECT("RC[-1]",0),2),1), "")</f>
        <v/>
      </c>
      <c r="C233" s="182"/>
      <c r="F233" cm="1">
        <f t="array" aca="1" ref="F233" ca="1">IF(COUNTIF($E$2:$E$2000,INDIRECT("RC[-2]",0))&gt;0,"",INDIRECT("RC[-2]",0))</f>
        <v>0</v>
      </c>
    </row>
    <row r="234" spans="2:6">
      <c r="B234" t="str" cm="1">
        <f t="array" aca="1" ref="B234" ca="1">IFERROR(DATE(RIGHT(INDIRECT("RC[-1]",0),4),LEFT(INDIRECT("RC[-1]",0),2),1), "")</f>
        <v/>
      </c>
      <c r="C234" s="182"/>
      <c r="F234" cm="1">
        <f t="array" aca="1" ref="F234" ca="1">IF(COUNTIF($E$2:$E$2000,INDIRECT("RC[-2]",0))&gt;0,"",INDIRECT("RC[-2]",0))</f>
        <v>0</v>
      </c>
    </row>
    <row r="235" spans="2:6">
      <c r="B235" t="str" cm="1">
        <f t="array" aca="1" ref="B235" ca="1">IFERROR(DATE(RIGHT(INDIRECT("RC[-1]",0),4),LEFT(INDIRECT("RC[-1]",0),2),1), "")</f>
        <v/>
      </c>
      <c r="C235" s="182"/>
      <c r="F235" cm="1">
        <f t="array" aca="1" ref="F235" ca="1">IF(COUNTIF($E$2:$E$2000,INDIRECT("RC[-2]",0))&gt;0,"",INDIRECT("RC[-2]",0))</f>
        <v>0</v>
      </c>
    </row>
    <row r="236" spans="2:6">
      <c r="B236" t="str" cm="1">
        <f t="array" aca="1" ref="B236" ca="1">IFERROR(DATE(RIGHT(INDIRECT("RC[-1]",0),4),LEFT(INDIRECT("RC[-1]",0),2),1), "")</f>
        <v/>
      </c>
      <c r="C236" s="182"/>
      <c r="F236" cm="1">
        <f t="array" aca="1" ref="F236" ca="1">IF(COUNTIF($E$2:$E$2000,INDIRECT("RC[-2]",0))&gt;0,"",INDIRECT("RC[-2]",0))</f>
        <v>0</v>
      </c>
    </row>
    <row r="237" spans="2:6">
      <c r="B237" t="str" cm="1">
        <f t="array" aca="1" ref="B237" ca="1">IFERROR(DATE(RIGHT(INDIRECT("RC[-1]",0),4),LEFT(INDIRECT("RC[-1]",0),2),1), "")</f>
        <v/>
      </c>
      <c r="C237" s="182"/>
      <c r="F237" cm="1">
        <f t="array" aca="1" ref="F237" ca="1">IF(COUNTIF($E$2:$E$2000,INDIRECT("RC[-2]",0))&gt;0,"",INDIRECT("RC[-2]",0))</f>
        <v>0</v>
      </c>
    </row>
    <row r="238" spans="2:6">
      <c r="B238" t="str" cm="1">
        <f t="array" aca="1" ref="B238" ca="1">IFERROR(DATE(RIGHT(INDIRECT("RC[-1]",0),4),LEFT(INDIRECT("RC[-1]",0),2),1), "")</f>
        <v/>
      </c>
      <c r="C238" s="182"/>
      <c r="F238" cm="1">
        <f t="array" aca="1" ref="F238" ca="1">IF(COUNTIF($E$2:$E$2000,INDIRECT("RC[-2]",0))&gt;0,"",INDIRECT("RC[-2]",0))</f>
        <v>0</v>
      </c>
    </row>
    <row r="239" spans="2:6">
      <c r="B239" t="str" cm="1">
        <f t="array" aca="1" ref="B239" ca="1">IFERROR(DATE(RIGHT(INDIRECT("RC[-1]",0),4),LEFT(INDIRECT("RC[-1]",0),2),1), "")</f>
        <v/>
      </c>
      <c r="C239" s="182"/>
      <c r="F239" cm="1">
        <f t="array" aca="1" ref="F239" ca="1">IF(COUNTIF($E$2:$E$2000,INDIRECT("RC[-2]",0))&gt;0,"",INDIRECT("RC[-2]",0))</f>
        <v>0</v>
      </c>
    </row>
    <row r="240" spans="2:6">
      <c r="B240" t="str" cm="1">
        <f t="array" aca="1" ref="B240" ca="1">IFERROR(DATE(RIGHT(INDIRECT("RC[-1]",0),4),LEFT(INDIRECT("RC[-1]",0),2),1), "")</f>
        <v/>
      </c>
      <c r="C240" s="182"/>
      <c r="F240" cm="1">
        <f t="array" aca="1" ref="F240" ca="1">IF(COUNTIF($E$2:$E$2000,INDIRECT("RC[-2]",0))&gt;0,"",INDIRECT("RC[-2]",0))</f>
        <v>0</v>
      </c>
    </row>
    <row r="241" spans="2:6">
      <c r="B241" t="str" cm="1">
        <f t="array" aca="1" ref="B241" ca="1">IFERROR(DATE(RIGHT(INDIRECT("RC[-1]",0),4),LEFT(INDIRECT("RC[-1]",0),2),1), "")</f>
        <v/>
      </c>
      <c r="C241" s="182"/>
      <c r="F241" cm="1">
        <f t="array" aca="1" ref="F241" ca="1">IF(COUNTIF($E$2:$E$2000,INDIRECT("RC[-2]",0))&gt;0,"",INDIRECT("RC[-2]",0))</f>
        <v>0</v>
      </c>
    </row>
    <row r="242" spans="2:6">
      <c r="B242" t="str" cm="1">
        <f t="array" aca="1" ref="B242" ca="1">IFERROR(DATE(RIGHT(INDIRECT("RC[-1]",0),4),LEFT(INDIRECT("RC[-1]",0),2),1), "")</f>
        <v/>
      </c>
      <c r="C242" s="182"/>
      <c r="F242" cm="1">
        <f t="array" aca="1" ref="F242" ca="1">IF(COUNTIF($E$2:$E$2000,INDIRECT("RC[-2]",0))&gt;0,"",INDIRECT("RC[-2]",0))</f>
        <v>0</v>
      </c>
    </row>
    <row r="243" spans="2:6">
      <c r="B243" t="str" cm="1">
        <f t="array" aca="1" ref="B243" ca="1">IFERROR(DATE(RIGHT(INDIRECT("RC[-1]",0),4),LEFT(INDIRECT("RC[-1]",0),2),1), "")</f>
        <v/>
      </c>
      <c r="C243" s="182"/>
      <c r="F243" cm="1">
        <f t="array" aca="1" ref="F243" ca="1">IF(COUNTIF($E$2:$E$2000,INDIRECT("RC[-2]",0))&gt;0,"",INDIRECT("RC[-2]",0))</f>
        <v>0</v>
      </c>
    </row>
    <row r="244" spans="2:6">
      <c r="B244" t="str" cm="1">
        <f t="array" aca="1" ref="B244" ca="1">IFERROR(DATE(RIGHT(INDIRECT("RC[-1]",0),4),LEFT(INDIRECT("RC[-1]",0),2),1), "")</f>
        <v/>
      </c>
      <c r="C244" s="182"/>
      <c r="F244" cm="1">
        <f t="array" aca="1" ref="F244" ca="1">IF(COUNTIF($E$2:$E$2000,INDIRECT("RC[-2]",0))&gt;0,"",INDIRECT("RC[-2]",0))</f>
        <v>0</v>
      </c>
    </row>
    <row r="245" spans="2:6">
      <c r="B245" t="str" cm="1">
        <f t="array" aca="1" ref="B245" ca="1">IFERROR(DATE(RIGHT(INDIRECT("RC[-1]",0),4),LEFT(INDIRECT("RC[-1]",0),2),1), "")</f>
        <v/>
      </c>
      <c r="C245" s="182"/>
      <c r="F245" cm="1">
        <f t="array" aca="1" ref="F245" ca="1">IF(COUNTIF($E$2:$E$2000,INDIRECT("RC[-2]",0))&gt;0,"",INDIRECT("RC[-2]",0))</f>
        <v>0</v>
      </c>
    </row>
    <row r="246" spans="2:6">
      <c r="B246" t="str" cm="1">
        <f t="array" aca="1" ref="B246" ca="1">IFERROR(DATE(RIGHT(INDIRECT("RC[-1]",0),4),LEFT(INDIRECT("RC[-1]",0),2),1), "")</f>
        <v/>
      </c>
      <c r="C246" s="182"/>
      <c r="F246" cm="1">
        <f t="array" aca="1" ref="F246" ca="1">IF(COUNTIF($E$2:$E$2000,INDIRECT("RC[-2]",0))&gt;0,"",INDIRECT("RC[-2]",0))</f>
        <v>0</v>
      </c>
    </row>
    <row r="247" spans="2:6">
      <c r="B247" t="str" cm="1">
        <f t="array" aca="1" ref="B247" ca="1">IFERROR(DATE(RIGHT(INDIRECT("RC[-1]",0),4),LEFT(INDIRECT("RC[-1]",0),2),1), "")</f>
        <v/>
      </c>
      <c r="C247" s="182"/>
      <c r="F247" cm="1">
        <f t="array" aca="1" ref="F247" ca="1">IF(COUNTIF($E$2:$E$2000,INDIRECT("RC[-2]",0))&gt;0,"",INDIRECT("RC[-2]",0))</f>
        <v>0</v>
      </c>
    </row>
    <row r="248" spans="2:6">
      <c r="B248" t="str" cm="1">
        <f t="array" aca="1" ref="B248" ca="1">IFERROR(DATE(RIGHT(INDIRECT("RC[-1]",0),4),LEFT(INDIRECT("RC[-1]",0),2),1), "")</f>
        <v/>
      </c>
      <c r="C248" s="182"/>
      <c r="F248" cm="1">
        <f t="array" aca="1" ref="F248" ca="1">IF(COUNTIF($E$2:$E$2000,INDIRECT("RC[-2]",0))&gt;0,"",INDIRECT("RC[-2]",0))</f>
        <v>0</v>
      </c>
    </row>
    <row r="249" spans="2:6">
      <c r="B249" t="str" cm="1">
        <f t="array" aca="1" ref="B249" ca="1">IFERROR(DATE(RIGHT(INDIRECT("RC[-1]",0),4),LEFT(INDIRECT("RC[-1]",0),2),1), "")</f>
        <v/>
      </c>
      <c r="C249" s="182"/>
      <c r="F249" cm="1">
        <f t="array" aca="1" ref="F249" ca="1">IF(COUNTIF($E$2:$E$2000,INDIRECT("RC[-2]",0))&gt;0,"",INDIRECT("RC[-2]",0))</f>
        <v>0</v>
      </c>
    </row>
    <row r="250" spans="2:6">
      <c r="B250" t="str" cm="1">
        <f t="array" aca="1" ref="B250" ca="1">IFERROR(DATE(RIGHT(INDIRECT("RC[-1]",0),4),LEFT(INDIRECT("RC[-1]",0),2),1), "")</f>
        <v/>
      </c>
      <c r="C250" s="182"/>
      <c r="F250" cm="1">
        <f t="array" aca="1" ref="F250" ca="1">IF(COUNTIF($E$2:$E$2000,INDIRECT("RC[-2]",0))&gt;0,"",INDIRECT("RC[-2]",0))</f>
        <v>0</v>
      </c>
    </row>
    <row r="251" spans="2:6">
      <c r="B251" t="str" cm="1">
        <f t="array" aca="1" ref="B251" ca="1">IFERROR(DATE(RIGHT(INDIRECT("RC[-1]",0),4),LEFT(INDIRECT("RC[-1]",0),2),1), "")</f>
        <v/>
      </c>
      <c r="C251" s="182"/>
      <c r="F251" cm="1">
        <f t="array" aca="1" ref="F251" ca="1">IF(COUNTIF($E$2:$E$2000,INDIRECT("RC[-2]",0))&gt;0,"",INDIRECT("RC[-2]",0))</f>
        <v>0</v>
      </c>
    </row>
    <row r="252" spans="2:6">
      <c r="B252" t="str" cm="1">
        <f t="array" aca="1" ref="B252" ca="1">IFERROR(DATE(RIGHT(INDIRECT("RC[-1]",0),4),LEFT(INDIRECT("RC[-1]",0),2),1), "")</f>
        <v/>
      </c>
      <c r="C252" s="182"/>
      <c r="F252" cm="1">
        <f t="array" aca="1" ref="F252" ca="1">IF(COUNTIF($E$2:$E$2000,INDIRECT("RC[-2]",0))&gt;0,"",INDIRECT("RC[-2]",0))</f>
        <v>0</v>
      </c>
    </row>
    <row r="253" spans="2:6">
      <c r="B253" t="str" cm="1">
        <f t="array" aca="1" ref="B253" ca="1">IFERROR(DATE(RIGHT(INDIRECT("RC[-1]",0),4),LEFT(INDIRECT("RC[-1]",0),2),1), "")</f>
        <v/>
      </c>
      <c r="C253" s="182"/>
      <c r="F253" cm="1">
        <f t="array" aca="1" ref="F253" ca="1">IF(COUNTIF($E$2:$E$2000,INDIRECT("RC[-2]",0))&gt;0,"",INDIRECT("RC[-2]",0))</f>
        <v>0</v>
      </c>
    </row>
    <row r="254" spans="2:6">
      <c r="B254" t="str" cm="1">
        <f t="array" aca="1" ref="B254" ca="1">IFERROR(DATE(RIGHT(INDIRECT("RC[-1]",0),4),LEFT(INDIRECT("RC[-1]",0),2),1), "")</f>
        <v/>
      </c>
      <c r="C254" s="182"/>
      <c r="F254" cm="1">
        <f t="array" aca="1" ref="F254" ca="1">IF(COUNTIF($E$2:$E$2000,INDIRECT("RC[-2]",0))&gt;0,"",INDIRECT("RC[-2]",0))</f>
        <v>0</v>
      </c>
    </row>
    <row r="255" spans="2:6">
      <c r="B255" t="str" cm="1">
        <f t="array" aca="1" ref="B255" ca="1">IFERROR(DATE(RIGHT(INDIRECT("RC[-1]",0),4),LEFT(INDIRECT("RC[-1]",0),2),1), "")</f>
        <v/>
      </c>
      <c r="C255" s="182"/>
      <c r="F255" cm="1">
        <f t="array" aca="1" ref="F255" ca="1">IF(COUNTIF($E$2:$E$2000,INDIRECT("RC[-2]",0))&gt;0,"",INDIRECT("RC[-2]",0))</f>
        <v>0</v>
      </c>
    </row>
    <row r="256" spans="2:6">
      <c r="B256" t="str" cm="1">
        <f t="array" aca="1" ref="B256" ca="1">IFERROR(DATE(RIGHT(INDIRECT("RC[-1]",0),4),LEFT(INDIRECT("RC[-1]",0),2),1), "")</f>
        <v/>
      </c>
      <c r="C256" s="182"/>
      <c r="F256" cm="1">
        <f t="array" aca="1" ref="F256" ca="1">IF(COUNTIF($E$2:$E$2000,INDIRECT("RC[-2]",0))&gt;0,"",INDIRECT("RC[-2]",0))</f>
        <v>0</v>
      </c>
    </row>
    <row r="257" spans="2:6">
      <c r="B257" t="str" cm="1">
        <f t="array" aca="1" ref="B257" ca="1">IFERROR(DATE(RIGHT(INDIRECT("RC[-1]",0),4),LEFT(INDIRECT("RC[-1]",0),2),1), "")</f>
        <v/>
      </c>
      <c r="C257" s="182"/>
      <c r="F257" cm="1">
        <f t="array" aca="1" ref="F257" ca="1">IF(COUNTIF($E$2:$E$2000,INDIRECT("RC[-2]",0))&gt;0,"",INDIRECT("RC[-2]",0))</f>
        <v>0</v>
      </c>
    </row>
    <row r="258" spans="2:6">
      <c r="B258" t="str" cm="1">
        <f t="array" aca="1" ref="B258" ca="1">IFERROR(DATE(RIGHT(INDIRECT("RC[-1]",0),4),LEFT(INDIRECT("RC[-1]",0),2),1), "")</f>
        <v/>
      </c>
      <c r="C258" s="182"/>
      <c r="F258" cm="1">
        <f t="array" aca="1" ref="F258" ca="1">IF(COUNTIF($E$2:$E$2000,INDIRECT("RC[-2]",0))&gt;0,"",INDIRECT("RC[-2]",0))</f>
        <v>0</v>
      </c>
    </row>
    <row r="259" spans="2:6">
      <c r="B259" t="str" cm="1">
        <f t="array" aca="1" ref="B259" ca="1">IFERROR(DATE(RIGHT(INDIRECT("RC[-1]",0),4),LEFT(INDIRECT("RC[-1]",0),2),1), "")</f>
        <v/>
      </c>
      <c r="C259" s="182"/>
      <c r="F259" cm="1">
        <f t="array" aca="1" ref="F259" ca="1">IF(COUNTIF($E$2:$E$2000,INDIRECT("RC[-2]",0))&gt;0,"",INDIRECT("RC[-2]",0))</f>
        <v>0</v>
      </c>
    </row>
    <row r="260" spans="2:6">
      <c r="B260" t="str" cm="1">
        <f t="array" aca="1" ref="B260" ca="1">IFERROR(DATE(RIGHT(INDIRECT("RC[-1]",0),4),LEFT(INDIRECT("RC[-1]",0),2),1), "")</f>
        <v/>
      </c>
      <c r="C260" s="182"/>
      <c r="F260" cm="1">
        <f t="array" aca="1" ref="F260" ca="1">IF(COUNTIF($E$2:$E$2000,INDIRECT("RC[-2]",0))&gt;0,"",INDIRECT("RC[-2]",0))</f>
        <v>0</v>
      </c>
    </row>
    <row r="261" spans="2:6">
      <c r="B261" t="str" cm="1">
        <f t="array" aca="1" ref="B261" ca="1">IFERROR(DATE(RIGHT(INDIRECT("RC[-1]",0),4),LEFT(INDIRECT("RC[-1]",0),2),1), "")</f>
        <v/>
      </c>
      <c r="C261" s="182"/>
      <c r="F261" cm="1">
        <f t="array" aca="1" ref="F261" ca="1">IF(COUNTIF($E$2:$E$2000,INDIRECT("RC[-2]",0))&gt;0,"",INDIRECT("RC[-2]",0))</f>
        <v>0</v>
      </c>
    </row>
    <row r="262" spans="2:6">
      <c r="B262" t="str" cm="1">
        <f t="array" aca="1" ref="B262" ca="1">IFERROR(DATE(RIGHT(INDIRECT("RC[-1]",0),4),LEFT(INDIRECT("RC[-1]",0),2),1), "")</f>
        <v/>
      </c>
      <c r="C262" s="182"/>
      <c r="F262" cm="1">
        <f t="array" aca="1" ref="F262" ca="1">IF(COUNTIF($E$2:$E$2000,INDIRECT("RC[-2]",0))&gt;0,"",INDIRECT("RC[-2]",0))</f>
        <v>0</v>
      </c>
    </row>
    <row r="263" spans="2:6">
      <c r="B263" t="str" cm="1">
        <f t="array" aca="1" ref="B263" ca="1">IFERROR(DATE(RIGHT(INDIRECT("RC[-1]",0),4),LEFT(INDIRECT("RC[-1]",0),2),1), "")</f>
        <v/>
      </c>
      <c r="C263" s="182"/>
      <c r="F263" cm="1">
        <f t="array" aca="1" ref="F263" ca="1">IF(COUNTIF($E$2:$E$2000,INDIRECT("RC[-2]",0))&gt;0,"",INDIRECT("RC[-2]",0))</f>
        <v>0</v>
      </c>
    </row>
    <row r="264" spans="2:6">
      <c r="B264" t="str" cm="1">
        <f t="array" aca="1" ref="B264" ca="1">IFERROR(DATE(RIGHT(INDIRECT("RC[-1]",0),4),LEFT(INDIRECT("RC[-1]",0),2),1), "")</f>
        <v/>
      </c>
      <c r="C264" s="182"/>
      <c r="F264" cm="1">
        <f t="array" aca="1" ref="F264" ca="1">IF(COUNTIF($E$2:$E$2000,INDIRECT("RC[-2]",0))&gt;0,"",INDIRECT("RC[-2]",0))</f>
        <v>0</v>
      </c>
    </row>
    <row r="265" spans="2:6">
      <c r="B265" t="str" cm="1">
        <f t="array" aca="1" ref="B265" ca="1">IFERROR(DATE(RIGHT(INDIRECT("RC[-1]",0),4),LEFT(INDIRECT("RC[-1]",0),2),1), "")</f>
        <v/>
      </c>
      <c r="C265" s="182"/>
      <c r="F265" cm="1">
        <f t="array" aca="1" ref="F265" ca="1">IF(COUNTIF($E$2:$E$2000,INDIRECT("RC[-2]",0))&gt;0,"",INDIRECT("RC[-2]",0))</f>
        <v>0</v>
      </c>
    </row>
    <row r="266" spans="2:6">
      <c r="B266" t="str" cm="1">
        <f t="array" aca="1" ref="B266" ca="1">IFERROR(DATE(RIGHT(INDIRECT("RC[-1]",0),4),LEFT(INDIRECT("RC[-1]",0),2),1), "")</f>
        <v/>
      </c>
      <c r="C266" s="182"/>
      <c r="F266" cm="1">
        <f t="array" aca="1" ref="F266" ca="1">IF(COUNTIF($E$2:$E$2000,INDIRECT("RC[-2]",0))&gt;0,"",INDIRECT("RC[-2]",0))</f>
        <v>0</v>
      </c>
    </row>
    <row r="267" spans="2:6">
      <c r="B267" t="str" cm="1">
        <f t="array" aca="1" ref="B267" ca="1">IFERROR(DATE(RIGHT(INDIRECT("RC[-1]",0),4),LEFT(INDIRECT("RC[-1]",0),2),1), "")</f>
        <v/>
      </c>
      <c r="C267" s="182"/>
      <c r="F267" cm="1">
        <f t="array" aca="1" ref="F267" ca="1">IF(COUNTIF($E$2:$E$2000,INDIRECT("RC[-2]",0))&gt;0,"",INDIRECT("RC[-2]",0))</f>
        <v>0</v>
      </c>
    </row>
    <row r="268" spans="2:6">
      <c r="B268" t="str" cm="1">
        <f t="array" aca="1" ref="B268" ca="1">IFERROR(DATE(RIGHT(INDIRECT("RC[-1]",0),4),LEFT(INDIRECT("RC[-1]",0),2),1), "")</f>
        <v/>
      </c>
      <c r="C268" s="182"/>
      <c r="F268" cm="1">
        <f t="array" aca="1" ref="F268" ca="1">IF(COUNTIF($E$2:$E$2000,INDIRECT("RC[-2]",0))&gt;0,"",INDIRECT("RC[-2]",0))</f>
        <v>0</v>
      </c>
    </row>
    <row r="269" spans="2:6">
      <c r="B269" t="str" cm="1">
        <f t="array" aca="1" ref="B269" ca="1">IFERROR(DATE(RIGHT(INDIRECT("RC[-1]",0),4),LEFT(INDIRECT("RC[-1]",0),2),1), "")</f>
        <v/>
      </c>
      <c r="C269" s="182"/>
      <c r="F269" cm="1">
        <f t="array" aca="1" ref="F269" ca="1">IF(COUNTIF($E$2:$E$2000,INDIRECT("RC[-2]",0))&gt;0,"",INDIRECT("RC[-2]",0))</f>
        <v>0</v>
      </c>
    </row>
    <row r="270" spans="2:6">
      <c r="B270" t="str" cm="1">
        <f t="array" aca="1" ref="B270" ca="1">IFERROR(DATE(RIGHT(INDIRECT("RC[-1]",0),4),LEFT(INDIRECT("RC[-1]",0),2),1), "")</f>
        <v/>
      </c>
      <c r="C270" s="182"/>
      <c r="F270" cm="1">
        <f t="array" aca="1" ref="F270" ca="1">IF(COUNTIF($E$2:$E$2000,INDIRECT("RC[-2]",0))&gt;0,"",INDIRECT("RC[-2]",0))</f>
        <v>0</v>
      </c>
    </row>
    <row r="271" spans="2:6">
      <c r="B271" t="str" cm="1">
        <f t="array" aca="1" ref="B271" ca="1">IFERROR(DATE(RIGHT(INDIRECT("RC[-1]",0),4),LEFT(INDIRECT("RC[-1]",0),2),1), "")</f>
        <v/>
      </c>
      <c r="C271" s="182"/>
      <c r="F271" cm="1">
        <f t="array" aca="1" ref="F271" ca="1">IF(COUNTIF($E$2:$E$2000,INDIRECT("RC[-2]",0))&gt;0,"",INDIRECT("RC[-2]",0))</f>
        <v>0</v>
      </c>
    </row>
    <row r="272" spans="2:6">
      <c r="B272" t="str" cm="1">
        <f t="array" aca="1" ref="B272" ca="1">IFERROR(DATE(RIGHT(INDIRECT("RC[-1]",0),4),LEFT(INDIRECT("RC[-1]",0),2),1), "")</f>
        <v/>
      </c>
      <c r="C272" s="182"/>
      <c r="F272" cm="1">
        <f t="array" aca="1" ref="F272" ca="1">IF(COUNTIF($E$2:$E$2000,INDIRECT("RC[-2]",0))&gt;0,"",INDIRECT("RC[-2]",0))</f>
        <v>0</v>
      </c>
    </row>
    <row r="273" spans="2:6">
      <c r="B273" t="str" cm="1">
        <f t="array" aca="1" ref="B273" ca="1">IFERROR(DATE(RIGHT(INDIRECT("RC[-1]",0),4),LEFT(INDIRECT("RC[-1]",0),2),1), "")</f>
        <v/>
      </c>
      <c r="C273" s="182"/>
      <c r="F273" cm="1">
        <f t="array" aca="1" ref="F273" ca="1">IF(COUNTIF($E$2:$E$2000,INDIRECT("RC[-2]",0))&gt;0,"",INDIRECT("RC[-2]",0))</f>
        <v>0</v>
      </c>
    </row>
    <row r="274" spans="2:6">
      <c r="B274" t="str" cm="1">
        <f t="array" aca="1" ref="B274" ca="1">IFERROR(DATE(RIGHT(INDIRECT("RC[-1]",0),4),LEFT(INDIRECT("RC[-1]",0),2),1), "")</f>
        <v/>
      </c>
      <c r="C274" s="182"/>
      <c r="F274" cm="1">
        <f t="array" aca="1" ref="F274" ca="1">IF(COUNTIF($E$2:$E$2000,INDIRECT("RC[-2]",0))&gt;0,"",INDIRECT("RC[-2]",0))</f>
        <v>0</v>
      </c>
    </row>
    <row r="275" spans="2:6">
      <c r="B275" t="str" cm="1">
        <f t="array" aca="1" ref="B275" ca="1">IFERROR(DATE(RIGHT(INDIRECT("RC[-1]",0),4),LEFT(INDIRECT("RC[-1]",0),2),1), "")</f>
        <v/>
      </c>
      <c r="C275" s="182"/>
      <c r="F275" cm="1">
        <f t="array" aca="1" ref="F275" ca="1">IF(COUNTIF($E$2:$E$2000,INDIRECT("RC[-2]",0))&gt;0,"",INDIRECT("RC[-2]",0))</f>
        <v>0</v>
      </c>
    </row>
    <row r="276" spans="2:6">
      <c r="B276" t="str" cm="1">
        <f t="array" aca="1" ref="B276" ca="1">IFERROR(DATE(RIGHT(INDIRECT("RC[-1]",0),4),LEFT(INDIRECT("RC[-1]",0),2),1), "")</f>
        <v/>
      </c>
      <c r="C276" s="182"/>
      <c r="F276" cm="1">
        <f t="array" aca="1" ref="F276" ca="1">IF(COUNTIF($E$2:$E$2000,INDIRECT("RC[-2]",0))&gt;0,"",INDIRECT("RC[-2]",0))</f>
        <v>0</v>
      </c>
    </row>
    <row r="277" spans="2:6">
      <c r="B277" t="str" cm="1">
        <f t="array" aca="1" ref="B277" ca="1">IFERROR(DATE(RIGHT(INDIRECT("RC[-1]",0),4),LEFT(INDIRECT("RC[-1]",0),2),1), "")</f>
        <v/>
      </c>
      <c r="C277" s="182"/>
      <c r="F277" cm="1">
        <f t="array" aca="1" ref="F277" ca="1">IF(COUNTIF($E$2:$E$2000,INDIRECT("RC[-2]",0))&gt;0,"",INDIRECT("RC[-2]",0))</f>
        <v>0</v>
      </c>
    </row>
    <row r="278" spans="2:6">
      <c r="B278" t="str" cm="1">
        <f t="array" aca="1" ref="B278" ca="1">IFERROR(DATE(RIGHT(INDIRECT("RC[-1]",0),4),LEFT(INDIRECT("RC[-1]",0),2),1), "")</f>
        <v/>
      </c>
      <c r="C278" s="182"/>
      <c r="F278" cm="1">
        <f t="array" aca="1" ref="F278" ca="1">IF(COUNTIF($E$2:$E$2000,INDIRECT("RC[-2]",0))&gt;0,"",INDIRECT("RC[-2]",0))</f>
        <v>0</v>
      </c>
    </row>
    <row r="279" spans="2:6">
      <c r="B279" t="str" cm="1">
        <f t="array" aca="1" ref="B279" ca="1">IFERROR(DATE(RIGHT(INDIRECT("RC[-1]",0),4),LEFT(INDIRECT("RC[-1]",0),2),1), "")</f>
        <v/>
      </c>
      <c r="C279" s="182"/>
      <c r="F279" cm="1">
        <f t="array" aca="1" ref="F279" ca="1">IF(COUNTIF($E$2:$E$2000,INDIRECT("RC[-2]",0))&gt;0,"",INDIRECT("RC[-2]",0))</f>
        <v>0</v>
      </c>
    </row>
    <row r="280" spans="2:6">
      <c r="B280" t="str" cm="1">
        <f t="array" aca="1" ref="B280" ca="1">IFERROR(DATE(RIGHT(INDIRECT("RC[-1]",0),4),LEFT(INDIRECT("RC[-1]",0),2),1), "")</f>
        <v/>
      </c>
      <c r="C280" s="182"/>
      <c r="F280" cm="1">
        <f t="array" aca="1" ref="F280" ca="1">IF(COUNTIF($E$2:$E$2000,INDIRECT("RC[-2]",0))&gt;0,"",INDIRECT("RC[-2]",0))</f>
        <v>0</v>
      </c>
    </row>
    <row r="281" spans="2:6">
      <c r="B281" t="str" cm="1">
        <f t="array" aca="1" ref="B281" ca="1">IFERROR(DATE(RIGHT(INDIRECT("RC[-1]",0),4),LEFT(INDIRECT("RC[-1]",0),2),1), "")</f>
        <v/>
      </c>
      <c r="C281" s="182"/>
      <c r="F281" cm="1">
        <f t="array" aca="1" ref="F281" ca="1">IF(COUNTIF($E$2:$E$2000,INDIRECT("RC[-2]",0))&gt;0,"",INDIRECT("RC[-2]",0))</f>
        <v>0</v>
      </c>
    </row>
    <row r="282" spans="2:6">
      <c r="B282" t="str" cm="1">
        <f t="array" aca="1" ref="B282" ca="1">IFERROR(DATE(RIGHT(INDIRECT("RC[-1]",0),4),LEFT(INDIRECT("RC[-1]",0),2),1), "")</f>
        <v/>
      </c>
      <c r="C282" s="182"/>
      <c r="F282" cm="1">
        <f t="array" aca="1" ref="F282" ca="1">IF(COUNTIF($E$2:$E$2000,INDIRECT("RC[-2]",0))&gt;0,"",INDIRECT("RC[-2]",0))</f>
        <v>0</v>
      </c>
    </row>
    <row r="283" spans="2:6">
      <c r="B283" t="str" cm="1">
        <f t="array" aca="1" ref="B283" ca="1">IFERROR(DATE(RIGHT(INDIRECT("RC[-1]",0),4),LEFT(INDIRECT("RC[-1]",0),2),1), "")</f>
        <v/>
      </c>
      <c r="C283" s="182"/>
      <c r="F283" cm="1">
        <f t="array" aca="1" ref="F283" ca="1">IF(COUNTIF($E$2:$E$2000,INDIRECT("RC[-2]",0))&gt;0,"",INDIRECT("RC[-2]",0))</f>
        <v>0</v>
      </c>
    </row>
    <row r="284" spans="2:6">
      <c r="B284" t="str" cm="1">
        <f t="array" aca="1" ref="B284" ca="1">IFERROR(DATE(RIGHT(INDIRECT("RC[-1]",0),4),LEFT(INDIRECT("RC[-1]",0),2),1), "")</f>
        <v/>
      </c>
      <c r="C284" s="182"/>
      <c r="F284" cm="1">
        <f t="array" aca="1" ref="F284" ca="1">IF(COUNTIF($E$2:$E$2000,INDIRECT("RC[-2]",0))&gt;0,"",INDIRECT("RC[-2]",0))</f>
        <v>0</v>
      </c>
    </row>
    <row r="285" spans="2:6">
      <c r="B285" t="str" cm="1">
        <f t="array" aca="1" ref="B285" ca="1">IFERROR(DATE(RIGHT(INDIRECT("RC[-1]",0),4),LEFT(INDIRECT("RC[-1]",0),2),1), "")</f>
        <v/>
      </c>
      <c r="C285" s="182"/>
      <c r="F285" cm="1">
        <f t="array" aca="1" ref="F285" ca="1">IF(COUNTIF($E$2:$E$2000,INDIRECT("RC[-2]",0))&gt;0,"",INDIRECT("RC[-2]",0))</f>
        <v>0</v>
      </c>
    </row>
    <row r="286" spans="2:6">
      <c r="B286" t="str" cm="1">
        <f t="array" aca="1" ref="B286" ca="1">IFERROR(DATE(RIGHT(INDIRECT("RC[-1]",0),4),LEFT(INDIRECT("RC[-1]",0),2),1), "")</f>
        <v/>
      </c>
      <c r="C286" s="182"/>
      <c r="F286" cm="1">
        <f t="array" aca="1" ref="F286" ca="1">IF(COUNTIF($E$2:$E$2000,INDIRECT("RC[-2]",0))&gt;0,"",INDIRECT("RC[-2]",0))</f>
        <v>0</v>
      </c>
    </row>
    <row r="287" spans="2:6">
      <c r="B287" t="str" cm="1">
        <f t="array" aca="1" ref="B287" ca="1">IFERROR(DATE(RIGHT(INDIRECT("RC[-1]",0),4),LEFT(INDIRECT("RC[-1]",0),2),1), "")</f>
        <v/>
      </c>
      <c r="C287" s="182"/>
      <c r="F287" cm="1">
        <f t="array" aca="1" ref="F287" ca="1">IF(COUNTIF($E$2:$E$2000,INDIRECT("RC[-2]",0))&gt;0,"",INDIRECT("RC[-2]",0))</f>
        <v>0</v>
      </c>
    </row>
    <row r="288" spans="2:6">
      <c r="B288" t="str" cm="1">
        <f t="array" aca="1" ref="B288" ca="1">IFERROR(DATE(RIGHT(INDIRECT("RC[-1]",0),4),LEFT(INDIRECT("RC[-1]",0),2),1), "")</f>
        <v/>
      </c>
      <c r="C288" s="182"/>
      <c r="F288" cm="1">
        <f t="array" aca="1" ref="F288" ca="1">IF(COUNTIF($E$2:$E$2000,INDIRECT("RC[-2]",0))&gt;0,"",INDIRECT("RC[-2]",0))</f>
        <v>0</v>
      </c>
    </row>
    <row r="289" spans="2:6">
      <c r="B289" t="str" cm="1">
        <f t="array" aca="1" ref="B289" ca="1">IFERROR(DATE(RIGHT(INDIRECT("RC[-1]",0),4),LEFT(INDIRECT("RC[-1]",0),2),1), "")</f>
        <v/>
      </c>
      <c r="C289" s="182"/>
      <c r="F289" cm="1">
        <f t="array" aca="1" ref="F289" ca="1">IF(COUNTIF($E$2:$E$2000,INDIRECT("RC[-2]",0))&gt;0,"",INDIRECT("RC[-2]",0))</f>
        <v>0</v>
      </c>
    </row>
    <row r="290" spans="2:6">
      <c r="B290" t="str" cm="1">
        <f t="array" aca="1" ref="B290" ca="1">IFERROR(DATE(RIGHT(INDIRECT("RC[-1]",0),4),LEFT(INDIRECT("RC[-1]",0),2),1), "")</f>
        <v/>
      </c>
      <c r="C290" s="182"/>
      <c r="F290" cm="1">
        <f t="array" aca="1" ref="F290" ca="1">IF(COUNTIF($E$2:$E$2000,INDIRECT("RC[-2]",0))&gt;0,"",INDIRECT("RC[-2]",0))</f>
        <v>0</v>
      </c>
    </row>
    <row r="291" spans="2:6">
      <c r="B291" t="str" cm="1">
        <f t="array" aca="1" ref="B291" ca="1">IFERROR(DATE(RIGHT(INDIRECT("RC[-1]",0),4),LEFT(INDIRECT("RC[-1]",0),2),1), "")</f>
        <v/>
      </c>
      <c r="C291" s="182"/>
      <c r="F291" cm="1">
        <f t="array" aca="1" ref="F291" ca="1">IF(COUNTIF($E$2:$E$2000,INDIRECT("RC[-2]",0))&gt;0,"",INDIRECT("RC[-2]",0))</f>
        <v>0</v>
      </c>
    </row>
    <row r="292" spans="2:6">
      <c r="B292" t="str" cm="1">
        <f t="array" aca="1" ref="B292" ca="1">IFERROR(DATE(RIGHT(INDIRECT("RC[-1]",0),4),LEFT(INDIRECT("RC[-1]",0),2),1), "")</f>
        <v/>
      </c>
      <c r="C292" s="182"/>
      <c r="F292" cm="1">
        <f t="array" aca="1" ref="F292" ca="1">IF(COUNTIF($E$2:$E$2000,INDIRECT("RC[-2]",0))&gt;0,"",INDIRECT("RC[-2]",0))</f>
        <v>0</v>
      </c>
    </row>
    <row r="293" spans="2:6">
      <c r="B293" t="str" cm="1">
        <f t="array" aca="1" ref="B293" ca="1">IFERROR(DATE(RIGHT(INDIRECT("RC[-1]",0),4),LEFT(INDIRECT("RC[-1]",0),2),1), "")</f>
        <v/>
      </c>
      <c r="C293" s="182"/>
      <c r="F293" cm="1">
        <f t="array" aca="1" ref="F293" ca="1">IF(COUNTIF($E$2:$E$2000,INDIRECT("RC[-2]",0))&gt;0,"",INDIRECT("RC[-2]",0))</f>
        <v>0</v>
      </c>
    </row>
    <row r="294" spans="2:6">
      <c r="B294" t="str" cm="1">
        <f t="array" aca="1" ref="B294" ca="1">IFERROR(DATE(RIGHT(INDIRECT("RC[-1]",0),4),LEFT(INDIRECT("RC[-1]",0),2),1), "")</f>
        <v/>
      </c>
      <c r="C294" s="182"/>
      <c r="F294" cm="1">
        <f t="array" aca="1" ref="F294" ca="1">IF(COUNTIF($E$2:$E$2000,INDIRECT("RC[-2]",0))&gt;0,"",INDIRECT("RC[-2]",0))</f>
        <v>0</v>
      </c>
    </row>
    <row r="295" spans="2:6">
      <c r="B295" t="str" cm="1">
        <f t="array" aca="1" ref="B295" ca="1">IFERROR(DATE(RIGHT(INDIRECT("RC[-1]",0),4),LEFT(INDIRECT("RC[-1]",0),2),1), "")</f>
        <v/>
      </c>
      <c r="C295" s="182"/>
      <c r="F295" cm="1">
        <f t="array" aca="1" ref="F295" ca="1">IF(COUNTIF($E$2:$E$2000,INDIRECT("RC[-2]",0))&gt;0,"",INDIRECT("RC[-2]",0))</f>
        <v>0</v>
      </c>
    </row>
    <row r="296" spans="2:6">
      <c r="B296" t="str" cm="1">
        <f t="array" aca="1" ref="B296" ca="1">IFERROR(DATE(RIGHT(INDIRECT("RC[-1]",0),4),LEFT(INDIRECT("RC[-1]",0),2),1), "")</f>
        <v/>
      </c>
      <c r="C296" s="182"/>
      <c r="F296" cm="1">
        <f t="array" aca="1" ref="F296" ca="1">IF(COUNTIF($E$2:$E$2000,INDIRECT("RC[-2]",0))&gt;0,"",INDIRECT("RC[-2]",0))</f>
        <v>0</v>
      </c>
    </row>
    <row r="297" spans="2:6">
      <c r="B297" t="str" cm="1">
        <f t="array" aca="1" ref="B297" ca="1">IFERROR(DATE(RIGHT(INDIRECT("RC[-1]",0),4),LEFT(INDIRECT("RC[-1]",0),2),1), "")</f>
        <v/>
      </c>
      <c r="C297" s="182"/>
      <c r="F297" cm="1">
        <f t="array" aca="1" ref="F297" ca="1">IF(COUNTIF($E$2:$E$2000,INDIRECT("RC[-2]",0))&gt;0,"",INDIRECT("RC[-2]",0))</f>
        <v>0</v>
      </c>
    </row>
    <row r="298" spans="2:6">
      <c r="B298" t="str" cm="1">
        <f t="array" aca="1" ref="B298" ca="1">IFERROR(DATE(RIGHT(INDIRECT("RC[-1]",0),4),LEFT(INDIRECT("RC[-1]",0),2),1), "")</f>
        <v/>
      </c>
      <c r="C298" s="182"/>
      <c r="F298" cm="1">
        <f t="array" aca="1" ref="F298" ca="1">IF(COUNTIF($E$2:$E$2000,INDIRECT("RC[-2]",0))&gt;0,"",INDIRECT("RC[-2]",0))</f>
        <v>0</v>
      </c>
    </row>
    <row r="299" spans="2:6">
      <c r="B299" t="str" cm="1">
        <f t="array" aca="1" ref="B299" ca="1">IFERROR(DATE(RIGHT(INDIRECT("RC[-1]",0),4),LEFT(INDIRECT("RC[-1]",0),2),1), "")</f>
        <v/>
      </c>
      <c r="C299" s="182"/>
      <c r="F299" cm="1">
        <f t="array" aca="1" ref="F299" ca="1">IF(COUNTIF($E$2:$E$2000,INDIRECT("RC[-2]",0))&gt;0,"",INDIRECT("RC[-2]",0))</f>
        <v>0</v>
      </c>
    </row>
    <row r="300" spans="2:6">
      <c r="B300" t="str" cm="1">
        <f t="array" aca="1" ref="B300" ca="1">IFERROR(DATE(RIGHT(INDIRECT("RC[-1]",0),4),LEFT(INDIRECT("RC[-1]",0),2),1), "")</f>
        <v/>
      </c>
      <c r="C300" s="182"/>
      <c r="F300" cm="1">
        <f t="array" aca="1" ref="F300" ca="1">IF(COUNTIF($E$2:$E$2000,INDIRECT("RC[-2]",0))&gt;0,"",INDIRECT("RC[-2]",0))</f>
        <v>0</v>
      </c>
    </row>
    <row r="301" spans="2:6">
      <c r="B301" t="str" cm="1">
        <f t="array" aca="1" ref="B301" ca="1">IFERROR(DATE(RIGHT(INDIRECT("RC[-1]",0),4),LEFT(INDIRECT("RC[-1]",0),2),1), "")</f>
        <v/>
      </c>
      <c r="C301" s="182"/>
      <c r="F301" cm="1">
        <f t="array" aca="1" ref="F301" ca="1">IF(COUNTIF($E$2:$E$2000,INDIRECT("RC[-2]",0))&gt;0,"",INDIRECT("RC[-2]",0))</f>
        <v>0</v>
      </c>
    </row>
    <row r="302" spans="2:6">
      <c r="B302" t="str" cm="1">
        <f t="array" aca="1" ref="B302" ca="1">IFERROR(DATE(RIGHT(INDIRECT("RC[-1]",0),4),LEFT(INDIRECT("RC[-1]",0),2),1), "")</f>
        <v/>
      </c>
      <c r="C302" s="182"/>
      <c r="F302" cm="1">
        <f t="array" aca="1" ref="F302" ca="1">IF(COUNTIF($E$2:$E$2000,INDIRECT("RC[-2]",0))&gt;0,"",INDIRECT("RC[-2]",0))</f>
        <v>0</v>
      </c>
    </row>
    <row r="303" spans="2:6">
      <c r="B303" t="str" cm="1">
        <f t="array" aca="1" ref="B303" ca="1">IFERROR(DATE(RIGHT(INDIRECT("RC[-1]",0),4),LEFT(INDIRECT("RC[-1]",0),2),1), "")</f>
        <v/>
      </c>
      <c r="C303" s="182"/>
      <c r="F303" cm="1">
        <f t="array" aca="1" ref="F303" ca="1">IF(COUNTIF($E$2:$E$2000,INDIRECT("RC[-2]",0))&gt;0,"",INDIRECT("RC[-2]",0))</f>
        <v>0</v>
      </c>
    </row>
    <row r="304" spans="2:6">
      <c r="B304" t="str" cm="1">
        <f t="array" aca="1" ref="B304" ca="1">IFERROR(DATE(RIGHT(INDIRECT("RC[-1]",0),4),LEFT(INDIRECT("RC[-1]",0),2),1), "")</f>
        <v/>
      </c>
      <c r="C304" s="182"/>
      <c r="F304" cm="1">
        <f t="array" aca="1" ref="F304" ca="1">IF(COUNTIF($E$2:$E$2000,INDIRECT("RC[-2]",0))&gt;0,"",INDIRECT("RC[-2]",0))</f>
        <v>0</v>
      </c>
    </row>
    <row r="305" spans="2:6">
      <c r="B305" t="str" cm="1">
        <f t="array" aca="1" ref="B305" ca="1">IFERROR(DATE(RIGHT(INDIRECT("RC[-1]",0),4),LEFT(INDIRECT("RC[-1]",0),2),1), "")</f>
        <v/>
      </c>
      <c r="C305" s="182"/>
      <c r="F305" cm="1">
        <f t="array" aca="1" ref="F305" ca="1">IF(COUNTIF($E$2:$E$2000,INDIRECT("RC[-2]",0))&gt;0,"",INDIRECT("RC[-2]",0))</f>
        <v>0</v>
      </c>
    </row>
    <row r="306" spans="2:6">
      <c r="B306" t="str" cm="1">
        <f t="array" aca="1" ref="B306" ca="1">IFERROR(DATE(RIGHT(INDIRECT("RC[-1]",0),4),LEFT(INDIRECT("RC[-1]",0),2),1), "")</f>
        <v/>
      </c>
      <c r="C306" s="182"/>
      <c r="F306" cm="1">
        <f t="array" aca="1" ref="F306" ca="1">IF(COUNTIF($E$2:$E$2000,INDIRECT("RC[-2]",0))&gt;0,"",INDIRECT("RC[-2]",0))</f>
        <v>0</v>
      </c>
    </row>
    <row r="307" spans="2:6">
      <c r="B307" t="str" cm="1">
        <f t="array" aca="1" ref="B307" ca="1">IFERROR(DATE(RIGHT(INDIRECT("RC[-1]",0),4),LEFT(INDIRECT("RC[-1]",0),2),1), "")</f>
        <v/>
      </c>
      <c r="C307" s="182"/>
      <c r="F307" cm="1">
        <f t="array" aca="1" ref="F307" ca="1">IF(COUNTIF($E$2:$E$2000,INDIRECT("RC[-2]",0))&gt;0,"",INDIRECT("RC[-2]",0))</f>
        <v>0</v>
      </c>
    </row>
    <row r="308" spans="2:6">
      <c r="B308" t="str" cm="1">
        <f t="array" aca="1" ref="B308" ca="1">IFERROR(DATE(RIGHT(INDIRECT("RC[-1]",0),4),LEFT(INDIRECT("RC[-1]",0),2),1), "")</f>
        <v/>
      </c>
      <c r="C308" s="182"/>
      <c r="F308" cm="1">
        <f t="array" aca="1" ref="F308" ca="1">IF(COUNTIF($E$2:$E$2000,INDIRECT("RC[-2]",0))&gt;0,"",INDIRECT("RC[-2]",0))</f>
        <v>0</v>
      </c>
    </row>
    <row r="309" spans="2:6">
      <c r="B309" t="str" cm="1">
        <f t="array" aca="1" ref="B309" ca="1">IFERROR(DATE(RIGHT(INDIRECT("RC[-1]",0),4),LEFT(INDIRECT("RC[-1]",0),2),1), "")</f>
        <v/>
      </c>
      <c r="C309" s="182"/>
      <c r="F309" cm="1">
        <f t="array" aca="1" ref="F309" ca="1">IF(COUNTIF($E$2:$E$2000,INDIRECT("RC[-2]",0))&gt;0,"",INDIRECT("RC[-2]",0))</f>
        <v>0</v>
      </c>
    </row>
    <row r="310" spans="2:6">
      <c r="B310" t="str" cm="1">
        <f t="array" aca="1" ref="B310" ca="1">IFERROR(DATE(RIGHT(INDIRECT("RC[-1]",0),4),LEFT(INDIRECT("RC[-1]",0),2),1), "")</f>
        <v/>
      </c>
      <c r="C310" s="182"/>
      <c r="F310" cm="1">
        <f t="array" aca="1" ref="F310" ca="1">IF(COUNTIF($E$2:$E$2000,INDIRECT("RC[-2]",0))&gt;0,"",INDIRECT("RC[-2]",0))</f>
        <v>0</v>
      </c>
    </row>
    <row r="311" spans="2:6">
      <c r="B311" t="str" cm="1">
        <f t="array" aca="1" ref="B311" ca="1">IFERROR(DATE(RIGHT(INDIRECT("RC[-1]",0),4),LEFT(INDIRECT("RC[-1]",0),2),1), "")</f>
        <v/>
      </c>
      <c r="C311" s="182"/>
      <c r="F311" cm="1">
        <f t="array" aca="1" ref="F311" ca="1">IF(COUNTIF($E$2:$E$2000,INDIRECT("RC[-2]",0))&gt;0,"",INDIRECT("RC[-2]",0))</f>
        <v>0</v>
      </c>
    </row>
    <row r="312" spans="2:6">
      <c r="B312" t="str" cm="1">
        <f t="array" aca="1" ref="B312" ca="1">IFERROR(DATE(RIGHT(INDIRECT("RC[-1]",0),4),LEFT(INDIRECT("RC[-1]",0),2),1), "")</f>
        <v/>
      </c>
      <c r="C312" s="182"/>
      <c r="F312" cm="1">
        <f t="array" aca="1" ref="F312" ca="1">IF(COUNTIF($E$2:$E$2000,INDIRECT("RC[-2]",0))&gt;0,"",INDIRECT("RC[-2]",0))</f>
        <v>0</v>
      </c>
    </row>
    <row r="313" spans="2:6">
      <c r="B313" t="str" cm="1">
        <f t="array" aca="1" ref="B313" ca="1">IFERROR(DATE(RIGHT(INDIRECT("RC[-1]",0),4),LEFT(INDIRECT("RC[-1]",0),2),1), "")</f>
        <v/>
      </c>
      <c r="C313" s="182"/>
      <c r="F313" cm="1">
        <f t="array" aca="1" ref="F313" ca="1">IF(COUNTIF($E$2:$E$2000,INDIRECT("RC[-2]",0))&gt;0,"",INDIRECT("RC[-2]",0))</f>
        <v>0</v>
      </c>
    </row>
    <row r="314" spans="2:6">
      <c r="B314" t="str" cm="1">
        <f t="array" aca="1" ref="B314" ca="1">IFERROR(DATE(RIGHT(INDIRECT("RC[-1]",0),4),LEFT(INDIRECT("RC[-1]",0),2),1), "")</f>
        <v/>
      </c>
      <c r="C314" s="182"/>
      <c r="F314" cm="1">
        <f t="array" aca="1" ref="F314" ca="1">IF(COUNTIF($E$2:$E$2000,INDIRECT("RC[-2]",0))&gt;0,"",INDIRECT("RC[-2]",0))</f>
        <v>0</v>
      </c>
    </row>
    <row r="315" spans="2:6">
      <c r="B315" t="str" cm="1">
        <f t="array" aca="1" ref="B315" ca="1">IFERROR(DATE(RIGHT(INDIRECT("RC[-1]",0),4),LEFT(INDIRECT("RC[-1]",0),2),1), "")</f>
        <v/>
      </c>
      <c r="C315" s="182"/>
      <c r="F315" cm="1">
        <f t="array" aca="1" ref="F315" ca="1">IF(COUNTIF($E$2:$E$2000,INDIRECT("RC[-2]",0))&gt;0,"",INDIRECT("RC[-2]",0))</f>
        <v>0</v>
      </c>
    </row>
    <row r="316" spans="2:6">
      <c r="B316" t="str" cm="1">
        <f t="array" aca="1" ref="B316" ca="1">IFERROR(DATE(RIGHT(INDIRECT("RC[-1]",0),4),LEFT(INDIRECT("RC[-1]",0),2),1), "")</f>
        <v/>
      </c>
      <c r="C316" s="182"/>
      <c r="F316" cm="1">
        <f t="array" aca="1" ref="F316" ca="1">IF(COUNTIF($E$2:$E$2000,INDIRECT("RC[-2]",0))&gt;0,"",INDIRECT("RC[-2]",0))</f>
        <v>0</v>
      </c>
    </row>
    <row r="317" spans="2:6">
      <c r="B317" t="str" cm="1">
        <f t="array" aca="1" ref="B317" ca="1">IFERROR(DATE(RIGHT(INDIRECT("RC[-1]",0),4),LEFT(INDIRECT("RC[-1]",0),2),1), "")</f>
        <v/>
      </c>
      <c r="C317" s="182"/>
      <c r="F317" cm="1">
        <f t="array" aca="1" ref="F317" ca="1">IF(COUNTIF($E$2:$E$2000,INDIRECT("RC[-2]",0))&gt;0,"",INDIRECT("RC[-2]",0))</f>
        <v>0</v>
      </c>
    </row>
    <row r="318" spans="2:6">
      <c r="B318" t="str" cm="1">
        <f t="array" aca="1" ref="B318" ca="1">IFERROR(DATE(RIGHT(INDIRECT("RC[-1]",0),4),LEFT(INDIRECT("RC[-1]",0),2),1), "")</f>
        <v/>
      </c>
      <c r="C318" s="182"/>
      <c r="F318" cm="1">
        <f t="array" aca="1" ref="F318" ca="1">IF(COUNTIF($E$2:$E$2000,INDIRECT("RC[-2]",0))&gt;0,"",INDIRECT("RC[-2]",0))</f>
        <v>0</v>
      </c>
    </row>
    <row r="319" spans="2:6">
      <c r="B319" t="str" cm="1">
        <f t="array" aca="1" ref="B319" ca="1">IFERROR(DATE(RIGHT(INDIRECT("RC[-1]",0),4),LEFT(INDIRECT("RC[-1]",0),2),1), "")</f>
        <v/>
      </c>
      <c r="C319" s="182"/>
      <c r="F319" cm="1">
        <f t="array" aca="1" ref="F319" ca="1">IF(COUNTIF($E$2:$E$2000,INDIRECT("RC[-2]",0))&gt;0,"",INDIRECT("RC[-2]",0))</f>
        <v>0</v>
      </c>
    </row>
    <row r="320" spans="2:6">
      <c r="B320" t="str" cm="1">
        <f t="array" aca="1" ref="B320" ca="1">IFERROR(DATE(RIGHT(INDIRECT("RC[-1]",0),4),LEFT(INDIRECT("RC[-1]",0),2),1), "")</f>
        <v/>
      </c>
      <c r="C320" s="182"/>
      <c r="F320" cm="1">
        <f t="array" aca="1" ref="F320" ca="1">IF(COUNTIF($E$2:$E$2000,INDIRECT("RC[-2]",0))&gt;0,"",INDIRECT("RC[-2]",0))</f>
        <v>0</v>
      </c>
    </row>
    <row r="321" spans="2:6">
      <c r="B321" t="str" cm="1">
        <f t="array" aca="1" ref="B321" ca="1">IFERROR(DATE(RIGHT(INDIRECT("RC[-1]",0),4),LEFT(INDIRECT("RC[-1]",0),2),1), "")</f>
        <v/>
      </c>
      <c r="C321" s="182"/>
      <c r="F321" cm="1">
        <f t="array" aca="1" ref="F321" ca="1">IF(COUNTIF($E$2:$E$2000,INDIRECT("RC[-2]",0))&gt;0,"",INDIRECT("RC[-2]",0))</f>
        <v>0</v>
      </c>
    </row>
    <row r="322" spans="2:6">
      <c r="B322" t="str" cm="1">
        <f t="array" aca="1" ref="B322" ca="1">IFERROR(DATE(RIGHT(INDIRECT("RC[-1]",0),4),LEFT(INDIRECT("RC[-1]",0),2),1), "")</f>
        <v/>
      </c>
      <c r="C322" s="182"/>
      <c r="F322" cm="1">
        <f t="array" aca="1" ref="F322" ca="1">IF(COUNTIF($E$2:$E$2000,INDIRECT("RC[-2]",0))&gt;0,"",INDIRECT("RC[-2]",0))</f>
        <v>0</v>
      </c>
    </row>
    <row r="323" spans="2:6">
      <c r="B323" t="str" cm="1">
        <f t="array" aca="1" ref="B323" ca="1">IFERROR(DATE(RIGHT(INDIRECT("RC[-1]",0),4),LEFT(INDIRECT("RC[-1]",0),2),1), "")</f>
        <v/>
      </c>
      <c r="C323" s="182"/>
      <c r="F323" cm="1">
        <f t="array" aca="1" ref="F323" ca="1">IF(COUNTIF($E$2:$E$2000,INDIRECT("RC[-2]",0))&gt;0,"",INDIRECT("RC[-2]",0))</f>
        <v>0</v>
      </c>
    </row>
    <row r="324" spans="2:6">
      <c r="B324" t="str" cm="1">
        <f t="array" aca="1" ref="B324" ca="1">IFERROR(DATE(RIGHT(INDIRECT("RC[-1]",0),4),LEFT(INDIRECT("RC[-1]",0),2),1), "")</f>
        <v/>
      </c>
      <c r="C324" s="182"/>
      <c r="F324" cm="1">
        <f t="array" aca="1" ref="F324" ca="1">IF(COUNTIF($E$2:$E$2000,INDIRECT("RC[-2]",0))&gt;0,"",INDIRECT("RC[-2]",0))</f>
        <v>0</v>
      </c>
    </row>
    <row r="325" spans="2:6">
      <c r="B325" t="str" cm="1">
        <f t="array" aca="1" ref="B325" ca="1">IFERROR(DATE(RIGHT(INDIRECT("RC[-1]",0),4),LEFT(INDIRECT("RC[-1]",0),2),1), "")</f>
        <v/>
      </c>
      <c r="C325" s="182"/>
      <c r="F325" cm="1">
        <f t="array" aca="1" ref="F325" ca="1">IF(COUNTIF($E$2:$E$2000,INDIRECT("RC[-2]",0))&gt;0,"",INDIRECT("RC[-2]",0))</f>
        <v>0</v>
      </c>
    </row>
    <row r="326" spans="2:6">
      <c r="B326" t="str" cm="1">
        <f t="array" aca="1" ref="B326" ca="1">IFERROR(DATE(RIGHT(INDIRECT("RC[-1]",0),4),LEFT(INDIRECT("RC[-1]",0),2),1), "")</f>
        <v/>
      </c>
      <c r="C326" s="182"/>
      <c r="F326" cm="1">
        <f t="array" aca="1" ref="F326" ca="1">IF(COUNTIF($E$2:$E$2000,INDIRECT("RC[-2]",0))&gt;0,"",INDIRECT("RC[-2]",0))</f>
        <v>0</v>
      </c>
    </row>
    <row r="327" spans="2:6">
      <c r="B327" t="str" cm="1">
        <f t="array" aca="1" ref="B327" ca="1">IFERROR(DATE(RIGHT(INDIRECT("RC[-1]",0),4),LEFT(INDIRECT("RC[-1]",0),2),1), "")</f>
        <v/>
      </c>
      <c r="C327" s="182"/>
      <c r="F327" cm="1">
        <f t="array" aca="1" ref="F327" ca="1">IF(COUNTIF($E$2:$E$2000,INDIRECT("RC[-2]",0))&gt;0,"",INDIRECT("RC[-2]",0))</f>
        <v>0</v>
      </c>
    </row>
    <row r="328" spans="2:6">
      <c r="B328" t="str" cm="1">
        <f t="array" aca="1" ref="B328" ca="1">IFERROR(DATE(RIGHT(INDIRECT("RC[-1]",0),4),LEFT(INDIRECT("RC[-1]",0),2),1), "")</f>
        <v/>
      </c>
      <c r="C328" s="182"/>
      <c r="F328" cm="1">
        <f t="array" aca="1" ref="F328" ca="1">IF(COUNTIF($E$2:$E$2000,INDIRECT("RC[-2]",0))&gt;0,"",INDIRECT("RC[-2]",0))</f>
        <v>0</v>
      </c>
    </row>
    <row r="329" spans="2:6">
      <c r="B329" t="str" cm="1">
        <f t="array" aca="1" ref="B329" ca="1">IFERROR(DATE(RIGHT(INDIRECT("RC[-1]",0),4),LEFT(INDIRECT("RC[-1]",0),2),1), "")</f>
        <v/>
      </c>
      <c r="C329" s="182"/>
      <c r="F329" cm="1">
        <f t="array" aca="1" ref="F329" ca="1">IF(COUNTIF($E$2:$E$2000,INDIRECT("RC[-2]",0))&gt;0,"",INDIRECT("RC[-2]",0))</f>
        <v>0</v>
      </c>
    </row>
    <row r="330" spans="2:6">
      <c r="B330" t="str" cm="1">
        <f t="array" aca="1" ref="B330" ca="1">IFERROR(DATE(RIGHT(INDIRECT("RC[-1]",0),4),LEFT(INDIRECT("RC[-1]",0),2),1), "")</f>
        <v/>
      </c>
      <c r="C330" s="182"/>
      <c r="F330" cm="1">
        <f t="array" aca="1" ref="F330" ca="1">IF(COUNTIF($E$2:$E$2000,INDIRECT("RC[-2]",0))&gt;0,"",INDIRECT("RC[-2]",0))</f>
        <v>0</v>
      </c>
    </row>
    <row r="331" spans="2:6">
      <c r="B331" t="str" cm="1">
        <f t="array" aca="1" ref="B331" ca="1">IFERROR(DATE(RIGHT(INDIRECT("RC[-1]",0),4),LEFT(INDIRECT("RC[-1]",0),2),1), "")</f>
        <v/>
      </c>
      <c r="C331" s="182"/>
      <c r="F331" cm="1">
        <f t="array" aca="1" ref="F331" ca="1">IF(COUNTIF($E$2:$E$2000,INDIRECT("RC[-2]",0))&gt;0,"",INDIRECT("RC[-2]",0))</f>
        <v>0</v>
      </c>
    </row>
    <row r="332" spans="2:6">
      <c r="B332" t="str" cm="1">
        <f t="array" aca="1" ref="B332" ca="1">IFERROR(DATE(RIGHT(INDIRECT("RC[-1]",0),4),LEFT(INDIRECT("RC[-1]",0),2),1), "")</f>
        <v/>
      </c>
      <c r="C332" s="182"/>
      <c r="F332" cm="1">
        <f t="array" aca="1" ref="F332" ca="1">IF(COUNTIF($E$2:$E$2000,INDIRECT("RC[-2]",0))&gt;0,"",INDIRECT("RC[-2]",0))</f>
        <v>0</v>
      </c>
    </row>
    <row r="333" spans="2:6">
      <c r="B333" t="str" cm="1">
        <f t="array" aca="1" ref="B333" ca="1">IFERROR(DATE(RIGHT(INDIRECT("RC[-1]",0),4),LEFT(INDIRECT("RC[-1]",0),2),1), "")</f>
        <v/>
      </c>
      <c r="C333" s="182"/>
      <c r="F333" cm="1">
        <f t="array" aca="1" ref="F333" ca="1">IF(COUNTIF($E$2:$E$2000,INDIRECT("RC[-2]",0))&gt;0,"",INDIRECT("RC[-2]",0))</f>
        <v>0</v>
      </c>
    </row>
    <row r="334" spans="2:6">
      <c r="B334" t="str" cm="1">
        <f t="array" aca="1" ref="B334" ca="1">IFERROR(DATE(RIGHT(INDIRECT("RC[-1]",0),4),LEFT(INDIRECT("RC[-1]",0),2),1), "")</f>
        <v/>
      </c>
      <c r="C334" s="182"/>
      <c r="F334" cm="1">
        <f t="array" aca="1" ref="F334" ca="1">IF(COUNTIF($E$2:$E$2000,INDIRECT("RC[-2]",0))&gt;0,"",INDIRECT("RC[-2]",0))</f>
        <v>0</v>
      </c>
    </row>
    <row r="335" spans="2:6">
      <c r="B335" t="str" cm="1">
        <f t="array" aca="1" ref="B335" ca="1">IFERROR(DATE(RIGHT(INDIRECT("RC[-1]",0),4),LEFT(INDIRECT("RC[-1]",0),2),1), "")</f>
        <v/>
      </c>
      <c r="C335" s="182"/>
      <c r="F335" cm="1">
        <f t="array" aca="1" ref="F335" ca="1">IF(COUNTIF($E$2:$E$2000,INDIRECT("RC[-2]",0))&gt;0,"",INDIRECT("RC[-2]",0))</f>
        <v>0</v>
      </c>
    </row>
    <row r="336" spans="2:6">
      <c r="B336" t="str" cm="1">
        <f t="array" aca="1" ref="B336" ca="1">IFERROR(DATE(RIGHT(INDIRECT("RC[-1]",0),4),LEFT(INDIRECT("RC[-1]",0),2),1), "")</f>
        <v/>
      </c>
      <c r="C336" s="182"/>
      <c r="F336" cm="1">
        <f t="array" aca="1" ref="F336" ca="1">IF(COUNTIF($E$2:$E$2000,INDIRECT("RC[-2]",0))&gt;0,"",INDIRECT("RC[-2]",0))</f>
        <v>0</v>
      </c>
    </row>
    <row r="337" spans="2:6">
      <c r="B337" t="str" cm="1">
        <f t="array" aca="1" ref="B337" ca="1">IFERROR(DATE(RIGHT(INDIRECT("RC[-1]",0),4),LEFT(INDIRECT("RC[-1]",0),2),1), "")</f>
        <v/>
      </c>
      <c r="C337" s="182"/>
      <c r="F337" cm="1">
        <f t="array" aca="1" ref="F337" ca="1">IF(COUNTIF($E$2:$E$2000,INDIRECT("RC[-2]",0))&gt;0,"",INDIRECT("RC[-2]",0))</f>
        <v>0</v>
      </c>
    </row>
    <row r="338" spans="2:6">
      <c r="B338" t="str" cm="1">
        <f t="array" aca="1" ref="B338" ca="1">IFERROR(DATE(RIGHT(INDIRECT("RC[-1]",0),4),LEFT(INDIRECT("RC[-1]",0),2),1), "")</f>
        <v/>
      </c>
      <c r="C338" s="182"/>
      <c r="F338" cm="1">
        <f t="array" aca="1" ref="F338" ca="1">IF(COUNTIF($E$2:$E$2000,INDIRECT("RC[-2]",0))&gt;0,"",INDIRECT("RC[-2]",0))</f>
        <v>0</v>
      </c>
    </row>
    <row r="339" spans="2:6">
      <c r="B339" t="str" cm="1">
        <f t="array" aca="1" ref="B339" ca="1">IFERROR(DATE(RIGHT(INDIRECT("RC[-1]",0),4),LEFT(INDIRECT("RC[-1]",0),2),1), "")</f>
        <v/>
      </c>
      <c r="C339" s="182"/>
      <c r="F339" cm="1">
        <f t="array" aca="1" ref="F339" ca="1">IF(COUNTIF($E$2:$E$2000,INDIRECT("RC[-2]",0))&gt;0,"",INDIRECT("RC[-2]",0))</f>
        <v>0</v>
      </c>
    </row>
    <row r="340" spans="2:6">
      <c r="B340" t="str" cm="1">
        <f t="array" aca="1" ref="B340" ca="1">IFERROR(DATE(RIGHT(INDIRECT("RC[-1]",0),4),LEFT(INDIRECT("RC[-1]",0),2),1), "")</f>
        <v/>
      </c>
      <c r="C340" s="182"/>
      <c r="F340" cm="1">
        <f t="array" aca="1" ref="F340" ca="1">IF(COUNTIF($E$2:$E$2000,INDIRECT("RC[-2]",0))&gt;0,"",INDIRECT("RC[-2]",0))</f>
        <v>0</v>
      </c>
    </row>
    <row r="341" spans="2:6">
      <c r="B341" t="str" cm="1">
        <f t="array" aca="1" ref="B341" ca="1">IFERROR(DATE(RIGHT(INDIRECT("RC[-1]",0),4),LEFT(INDIRECT("RC[-1]",0),2),1), "")</f>
        <v/>
      </c>
      <c r="C341" s="182"/>
      <c r="F341" cm="1">
        <f t="array" aca="1" ref="F341" ca="1">IF(COUNTIF($E$2:$E$2000,INDIRECT("RC[-2]",0))&gt;0,"",INDIRECT("RC[-2]",0))</f>
        <v>0</v>
      </c>
    </row>
    <row r="342" spans="2:6">
      <c r="B342" t="str" cm="1">
        <f t="array" aca="1" ref="B342" ca="1">IFERROR(DATE(RIGHT(INDIRECT("RC[-1]",0),4),LEFT(INDIRECT("RC[-1]",0),2),1), "")</f>
        <v/>
      </c>
      <c r="C342" s="182"/>
      <c r="F342" cm="1">
        <f t="array" aca="1" ref="F342" ca="1">IF(COUNTIF($E$2:$E$2000,INDIRECT("RC[-2]",0))&gt;0,"",INDIRECT("RC[-2]",0))</f>
        <v>0</v>
      </c>
    </row>
    <row r="343" spans="2:6">
      <c r="B343" t="str" cm="1">
        <f t="array" aca="1" ref="B343" ca="1">IFERROR(DATE(RIGHT(INDIRECT("RC[-1]",0),4),LEFT(INDIRECT("RC[-1]",0),2),1), "")</f>
        <v/>
      </c>
      <c r="C343" s="182"/>
      <c r="F343" cm="1">
        <f t="array" aca="1" ref="F343" ca="1">IF(COUNTIF($E$2:$E$2000,INDIRECT("RC[-2]",0))&gt;0,"",INDIRECT("RC[-2]",0))</f>
        <v>0</v>
      </c>
    </row>
    <row r="344" spans="2:6">
      <c r="B344" t="str" cm="1">
        <f t="array" aca="1" ref="B344" ca="1">IFERROR(DATE(RIGHT(INDIRECT("RC[-1]",0),4),LEFT(INDIRECT("RC[-1]",0),2),1), "")</f>
        <v/>
      </c>
      <c r="C344" s="182"/>
      <c r="F344" cm="1">
        <f t="array" aca="1" ref="F344" ca="1">IF(COUNTIF($E$2:$E$2000,INDIRECT("RC[-2]",0))&gt;0,"",INDIRECT("RC[-2]",0))</f>
        <v>0</v>
      </c>
    </row>
    <row r="345" spans="2:6">
      <c r="B345" t="str" cm="1">
        <f t="array" aca="1" ref="B345" ca="1">IFERROR(DATE(RIGHT(INDIRECT("RC[-1]",0),4),LEFT(INDIRECT("RC[-1]",0),2),1), "")</f>
        <v/>
      </c>
      <c r="C345" s="182"/>
      <c r="F345" cm="1">
        <f t="array" aca="1" ref="F345" ca="1">IF(COUNTIF($E$2:$E$2000,INDIRECT("RC[-2]",0))&gt;0,"",INDIRECT("RC[-2]",0))</f>
        <v>0</v>
      </c>
    </row>
    <row r="346" spans="2:6">
      <c r="B346" t="str" cm="1">
        <f t="array" aca="1" ref="B346" ca="1">IFERROR(DATE(RIGHT(INDIRECT("RC[-1]",0),4),LEFT(INDIRECT("RC[-1]",0),2),1), "")</f>
        <v/>
      </c>
      <c r="C346" s="182"/>
      <c r="F346" cm="1">
        <f t="array" aca="1" ref="F346" ca="1">IF(COUNTIF($E$2:$E$2000,INDIRECT("RC[-2]",0))&gt;0,"",INDIRECT("RC[-2]",0))</f>
        <v>0</v>
      </c>
    </row>
    <row r="347" spans="2:6">
      <c r="B347" t="str" cm="1">
        <f t="array" aca="1" ref="B347" ca="1">IFERROR(DATE(RIGHT(INDIRECT("RC[-1]",0),4),LEFT(INDIRECT("RC[-1]",0),2),1), "")</f>
        <v/>
      </c>
      <c r="C347" s="182"/>
      <c r="F347" cm="1">
        <f t="array" aca="1" ref="F347" ca="1">IF(COUNTIF($E$2:$E$2000,INDIRECT("RC[-2]",0))&gt;0,"",INDIRECT("RC[-2]",0))</f>
        <v>0</v>
      </c>
    </row>
    <row r="348" spans="2:6">
      <c r="B348" t="str" cm="1">
        <f t="array" aca="1" ref="B348" ca="1">IFERROR(DATE(RIGHT(INDIRECT("RC[-1]",0),4),LEFT(INDIRECT("RC[-1]",0),2),1), "")</f>
        <v/>
      </c>
      <c r="C348" s="182"/>
      <c r="F348" cm="1">
        <f t="array" aca="1" ref="F348" ca="1">IF(COUNTIF($E$2:$E$2000,INDIRECT("RC[-2]",0))&gt;0,"",INDIRECT("RC[-2]",0))</f>
        <v>0</v>
      </c>
    </row>
    <row r="349" spans="2:6">
      <c r="B349" t="str" cm="1">
        <f t="array" aca="1" ref="B349" ca="1">IFERROR(DATE(RIGHT(INDIRECT("RC[-1]",0),4),LEFT(INDIRECT("RC[-1]",0),2),1), "")</f>
        <v/>
      </c>
      <c r="C349" s="182"/>
      <c r="F349" cm="1">
        <f t="array" aca="1" ref="F349" ca="1">IF(COUNTIF($E$2:$E$2000,INDIRECT("RC[-2]",0))&gt;0,"",INDIRECT("RC[-2]",0))</f>
        <v>0</v>
      </c>
    </row>
    <row r="350" spans="2:6">
      <c r="B350" t="str" cm="1">
        <f t="array" aca="1" ref="B350" ca="1">IFERROR(DATE(RIGHT(INDIRECT("RC[-1]",0),4),LEFT(INDIRECT("RC[-1]",0),2),1), "")</f>
        <v/>
      </c>
      <c r="C350" s="182"/>
      <c r="F350" cm="1">
        <f t="array" aca="1" ref="F350" ca="1">IF(COUNTIF($E$2:$E$2000,INDIRECT("RC[-2]",0))&gt;0,"",INDIRECT("RC[-2]",0))</f>
        <v>0</v>
      </c>
    </row>
    <row r="351" spans="2:6">
      <c r="B351" t="str" cm="1">
        <f t="array" aca="1" ref="B351" ca="1">IFERROR(DATE(RIGHT(INDIRECT("RC[-1]",0),4),LEFT(INDIRECT("RC[-1]",0),2),1), "")</f>
        <v/>
      </c>
      <c r="C351" s="182"/>
      <c r="F351" cm="1">
        <f t="array" aca="1" ref="F351" ca="1">IF(COUNTIF($E$2:$E$2000,INDIRECT("RC[-2]",0))&gt;0,"",INDIRECT("RC[-2]",0))</f>
        <v>0</v>
      </c>
    </row>
    <row r="352" spans="2:6">
      <c r="B352" t="str" cm="1">
        <f t="array" aca="1" ref="B352" ca="1">IFERROR(DATE(RIGHT(INDIRECT("RC[-1]",0),4),LEFT(INDIRECT("RC[-1]",0),2),1), "")</f>
        <v/>
      </c>
      <c r="C352" s="182"/>
      <c r="F352" cm="1">
        <f t="array" aca="1" ref="F352" ca="1">IF(COUNTIF($E$2:$E$2000,INDIRECT("RC[-2]",0))&gt;0,"",INDIRECT("RC[-2]",0))</f>
        <v>0</v>
      </c>
    </row>
    <row r="353" spans="2:6">
      <c r="B353" t="str" cm="1">
        <f t="array" aca="1" ref="B353" ca="1">IFERROR(DATE(RIGHT(INDIRECT("RC[-1]",0),4),LEFT(INDIRECT("RC[-1]",0),2),1), "")</f>
        <v/>
      </c>
      <c r="C353" s="182"/>
      <c r="F353" cm="1">
        <f t="array" aca="1" ref="F353" ca="1">IF(COUNTIF($E$2:$E$2000,INDIRECT("RC[-2]",0))&gt;0,"",INDIRECT("RC[-2]",0))</f>
        <v>0</v>
      </c>
    </row>
    <row r="354" spans="2:6">
      <c r="B354" t="str" cm="1">
        <f t="array" aca="1" ref="B354" ca="1">IFERROR(DATE(RIGHT(INDIRECT("RC[-1]",0),4),LEFT(INDIRECT("RC[-1]",0),2),1), "")</f>
        <v/>
      </c>
      <c r="C354" s="182"/>
      <c r="F354" cm="1">
        <f t="array" aca="1" ref="F354" ca="1">IF(COUNTIF($E$2:$E$2000,INDIRECT("RC[-2]",0))&gt;0,"",INDIRECT("RC[-2]",0))</f>
        <v>0</v>
      </c>
    </row>
    <row r="355" spans="2:6">
      <c r="B355" t="str" cm="1">
        <f t="array" aca="1" ref="B355" ca="1">IFERROR(DATE(RIGHT(INDIRECT("RC[-1]",0),4),LEFT(INDIRECT("RC[-1]",0),2),1), "")</f>
        <v/>
      </c>
      <c r="C355" s="182"/>
      <c r="F355" cm="1">
        <f t="array" aca="1" ref="F355" ca="1">IF(COUNTIF($E$2:$E$2000,INDIRECT("RC[-2]",0))&gt;0,"",INDIRECT("RC[-2]",0))</f>
        <v>0</v>
      </c>
    </row>
    <row r="356" spans="2:6">
      <c r="B356" t="str" cm="1">
        <f t="array" aca="1" ref="B356" ca="1">IFERROR(DATE(RIGHT(INDIRECT("RC[-1]",0),4),LEFT(INDIRECT("RC[-1]",0),2),1), "")</f>
        <v/>
      </c>
      <c r="C356" s="182"/>
      <c r="F356" cm="1">
        <f t="array" aca="1" ref="F356" ca="1">IF(COUNTIF($E$2:$E$2000,INDIRECT("RC[-2]",0))&gt;0,"",INDIRECT("RC[-2]",0))</f>
        <v>0</v>
      </c>
    </row>
    <row r="357" spans="2:6">
      <c r="B357" t="str" cm="1">
        <f t="array" aca="1" ref="B357" ca="1">IFERROR(DATE(RIGHT(INDIRECT("RC[-1]",0),4),LEFT(INDIRECT("RC[-1]",0),2),1), "")</f>
        <v/>
      </c>
      <c r="C357" s="182"/>
      <c r="F357" cm="1">
        <f t="array" aca="1" ref="F357" ca="1">IF(COUNTIF($E$2:$E$2000,INDIRECT("RC[-2]",0))&gt;0,"",INDIRECT("RC[-2]",0))</f>
        <v>0</v>
      </c>
    </row>
    <row r="358" spans="2:6">
      <c r="B358" t="str" cm="1">
        <f t="array" aca="1" ref="B358" ca="1">IFERROR(DATE(RIGHT(INDIRECT("RC[-1]",0),4),LEFT(INDIRECT("RC[-1]",0),2),1), "")</f>
        <v/>
      </c>
      <c r="C358" s="182"/>
      <c r="F358" cm="1">
        <f t="array" aca="1" ref="F358" ca="1">IF(COUNTIF($E$2:$E$2000,INDIRECT("RC[-2]",0))&gt;0,"",INDIRECT("RC[-2]",0))</f>
        <v>0</v>
      </c>
    </row>
    <row r="359" spans="2:6">
      <c r="B359" t="str" cm="1">
        <f t="array" aca="1" ref="B359" ca="1">IFERROR(DATE(RIGHT(INDIRECT("RC[-1]",0),4),LEFT(INDIRECT("RC[-1]",0),2),1), "")</f>
        <v/>
      </c>
      <c r="C359" s="182"/>
      <c r="F359" cm="1">
        <f t="array" aca="1" ref="F359" ca="1">IF(COUNTIF($E$2:$E$2000,INDIRECT("RC[-2]",0))&gt;0,"",INDIRECT("RC[-2]",0))</f>
        <v>0</v>
      </c>
    </row>
    <row r="360" spans="2:6">
      <c r="B360" t="str" cm="1">
        <f t="array" aca="1" ref="B360" ca="1">IFERROR(DATE(RIGHT(INDIRECT("RC[-1]",0),4),LEFT(INDIRECT("RC[-1]",0),2),1), "")</f>
        <v/>
      </c>
      <c r="C360" s="182"/>
      <c r="F360" cm="1">
        <f t="array" aca="1" ref="F360" ca="1">IF(COUNTIF($E$2:$E$2000,INDIRECT("RC[-2]",0))&gt;0,"",INDIRECT("RC[-2]",0))</f>
        <v>0</v>
      </c>
    </row>
    <row r="361" spans="2:6">
      <c r="B361" t="str" cm="1">
        <f t="array" aca="1" ref="B361" ca="1">IFERROR(DATE(RIGHT(INDIRECT("RC[-1]",0),4),LEFT(INDIRECT("RC[-1]",0),2),1), "")</f>
        <v/>
      </c>
      <c r="C361" s="182"/>
      <c r="F361" cm="1">
        <f t="array" aca="1" ref="F361" ca="1">IF(COUNTIF($E$2:$E$2000,INDIRECT("RC[-2]",0))&gt;0,"",INDIRECT("RC[-2]",0))</f>
        <v>0</v>
      </c>
    </row>
    <row r="362" spans="2:6">
      <c r="B362" t="str" cm="1">
        <f t="array" aca="1" ref="B362" ca="1">IFERROR(DATE(RIGHT(INDIRECT("RC[-1]",0),4),LEFT(INDIRECT("RC[-1]",0),2),1), "")</f>
        <v/>
      </c>
      <c r="C362" s="182"/>
      <c r="F362" cm="1">
        <f t="array" aca="1" ref="F362" ca="1">IF(COUNTIF($E$2:$E$2000,INDIRECT("RC[-2]",0))&gt;0,"",INDIRECT("RC[-2]",0))</f>
        <v>0</v>
      </c>
    </row>
    <row r="363" spans="2:6">
      <c r="B363" t="str" cm="1">
        <f t="array" aca="1" ref="B363" ca="1">IFERROR(DATE(RIGHT(INDIRECT("RC[-1]",0),4),LEFT(INDIRECT("RC[-1]",0),2),1), "")</f>
        <v/>
      </c>
      <c r="C363" s="182"/>
      <c r="F363" cm="1">
        <f t="array" aca="1" ref="F363" ca="1">IF(COUNTIF($E$2:$E$2000,INDIRECT("RC[-2]",0))&gt;0,"",INDIRECT("RC[-2]",0))</f>
        <v>0</v>
      </c>
    </row>
    <row r="364" spans="2:6">
      <c r="B364" t="str" cm="1">
        <f t="array" aca="1" ref="B364" ca="1">IFERROR(DATE(RIGHT(INDIRECT("RC[-1]",0),4),LEFT(INDIRECT("RC[-1]",0),2),1), "")</f>
        <v/>
      </c>
      <c r="C364" s="182"/>
      <c r="F364" cm="1">
        <f t="array" aca="1" ref="F364" ca="1">IF(COUNTIF($E$2:$E$2000,INDIRECT("RC[-2]",0))&gt;0,"",INDIRECT("RC[-2]",0))</f>
        <v>0</v>
      </c>
    </row>
    <row r="365" spans="2:6">
      <c r="B365" t="str" cm="1">
        <f t="array" aca="1" ref="B365" ca="1">IFERROR(DATE(RIGHT(INDIRECT("RC[-1]",0),4),LEFT(INDIRECT("RC[-1]",0),2),1), "")</f>
        <v/>
      </c>
      <c r="C365" s="182"/>
      <c r="F365" cm="1">
        <f t="array" aca="1" ref="F365" ca="1">IF(COUNTIF($E$2:$E$2000,INDIRECT("RC[-2]",0))&gt;0,"",INDIRECT("RC[-2]",0))</f>
        <v>0</v>
      </c>
    </row>
    <row r="366" spans="2:6">
      <c r="B366" t="str" cm="1">
        <f t="array" aca="1" ref="B366" ca="1">IFERROR(DATE(RIGHT(INDIRECT("RC[-1]",0),4),LEFT(INDIRECT("RC[-1]",0),2),1), "")</f>
        <v/>
      </c>
      <c r="C366" s="182"/>
      <c r="F366" cm="1">
        <f t="array" aca="1" ref="F366" ca="1">IF(COUNTIF($E$2:$E$2000,INDIRECT("RC[-2]",0))&gt;0,"",INDIRECT("RC[-2]",0))</f>
        <v>0</v>
      </c>
    </row>
    <row r="367" spans="2:6">
      <c r="B367" t="str" cm="1">
        <f t="array" aca="1" ref="B367" ca="1">IFERROR(DATE(RIGHT(INDIRECT("RC[-1]",0),4),LEFT(INDIRECT("RC[-1]",0),2),1), "")</f>
        <v/>
      </c>
      <c r="C367" s="182"/>
      <c r="F367" cm="1">
        <f t="array" aca="1" ref="F367" ca="1">IF(COUNTIF($E$2:$E$2000,INDIRECT("RC[-2]",0))&gt;0,"",INDIRECT("RC[-2]",0))</f>
        <v>0</v>
      </c>
    </row>
    <row r="368" spans="2:6">
      <c r="B368" t="str" cm="1">
        <f t="array" aca="1" ref="B368" ca="1">IFERROR(DATE(RIGHT(INDIRECT("RC[-1]",0),4),LEFT(INDIRECT("RC[-1]",0),2),1), "")</f>
        <v/>
      </c>
      <c r="C368" s="182"/>
      <c r="F368" cm="1">
        <f t="array" aca="1" ref="F368" ca="1">IF(COUNTIF($E$2:$E$2000,INDIRECT("RC[-2]",0))&gt;0,"",INDIRECT("RC[-2]",0))</f>
        <v>0</v>
      </c>
    </row>
    <row r="369" spans="2:6">
      <c r="B369" t="str" cm="1">
        <f t="array" aca="1" ref="B369" ca="1">IFERROR(DATE(RIGHT(INDIRECT("RC[-1]",0),4),LEFT(INDIRECT("RC[-1]",0),2),1), "")</f>
        <v/>
      </c>
      <c r="C369" s="182"/>
      <c r="F369" cm="1">
        <f t="array" aca="1" ref="F369" ca="1">IF(COUNTIF($E$2:$E$2000,INDIRECT("RC[-2]",0))&gt;0,"",INDIRECT("RC[-2]",0))</f>
        <v>0</v>
      </c>
    </row>
    <row r="370" spans="2:6">
      <c r="B370" t="str" cm="1">
        <f t="array" aca="1" ref="B370" ca="1">IFERROR(DATE(RIGHT(INDIRECT("RC[-1]",0),4),LEFT(INDIRECT("RC[-1]",0),2),1), "")</f>
        <v/>
      </c>
      <c r="C370" s="182"/>
      <c r="F370" cm="1">
        <f t="array" aca="1" ref="F370" ca="1">IF(COUNTIF($E$2:$E$2000,INDIRECT("RC[-2]",0))&gt;0,"",INDIRECT("RC[-2]",0))</f>
        <v>0</v>
      </c>
    </row>
    <row r="371" spans="2:6">
      <c r="B371" t="str" cm="1">
        <f t="array" aca="1" ref="B371" ca="1">IFERROR(DATE(RIGHT(INDIRECT("RC[-1]",0),4),LEFT(INDIRECT("RC[-1]",0),2),1), "")</f>
        <v/>
      </c>
      <c r="C371" s="182"/>
      <c r="F371" cm="1">
        <f t="array" aca="1" ref="F371" ca="1">IF(COUNTIF($E$2:$E$2000,INDIRECT("RC[-2]",0))&gt;0,"",INDIRECT("RC[-2]",0))</f>
        <v>0</v>
      </c>
    </row>
    <row r="372" spans="2:6">
      <c r="B372" t="str" cm="1">
        <f t="array" aca="1" ref="B372" ca="1">IFERROR(DATE(RIGHT(INDIRECT("RC[-1]",0),4),LEFT(INDIRECT("RC[-1]",0),2),1), "")</f>
        <v/>
      </c>
      <c r="C372" s="182"/>
      <c r="F372" cm="1">
        <f t="array" aca="1" ref="F372" ca="1">IF(COUNTIF($E$2:$E$2000,INDIRECT("RC[-2]",0))&gt;0,"",INDIRECT("RC[-2]",0))</f>
        <v>0</v>
      </c>
    </row>
    <row r="373" spans="2:6">
      <c r="B373" t="str" cm="1">
        <f t="array" aca="1" ref="B373" ca="1">IFERROR(DATE(RIGHT(INDIRECT("RC[-1]",0),4),LEFT(INDIRECT("RC[-1]",0),2),1), "")</f>
        <v/>
      </c>
      <c r="C373" s="182"/>
      <c r="F373" cm="1">
        <f t="array" aca="1" ref="F373" ca="1">IF(COUNTIF($E$2:$E$2000,INDIRECT("RC[-2]",0))&gt;0,"",INDIRECT("RC[-2]",0))</f>
        <v>0</v>
      </c>
    </row>
    <row r="374" spans="2:6">
      <c r="B374" t="str" cm="1">
        <f t="array" aca="1" ref="B374" ca="1">IFERROR(DATE(RIGHT(INDIRECT("RC[-1]",0),4),LEFT(INDIRECT("RC[-1]",0),2),1), "")</f>
        <v/>
      </c>
      <c r="C374" s="182"/>
      <c r="F374" cm="1">
        <f t="array" aca="1" ref="F374" ca="1">IF(COUNTIF($E$2:$E$2000,INDIRECT("RC[-2]",0))&gt;0,"",INDIRECT("RC[-2]",0))</f>
        <v>0</v>
      </c>
    </row>
    <row r="375" spans="2:6">
      <c r="B375" t="str" cm="1">
        <f t="array" aca="1" ref="B375" ca="1">IFERROR(DATE(RIGHT(INDIRECT("RC[-1]",0),4),LEFT(INDIRECT("RC[-1]",0),2),1), "")</f>
        <v/>
      </c>
      <c r="C375" s="182"/>
      <c r="F375" cm="1">
        <f t="array" aca="1" ref="F375" ca="1">IF(COUNTIF($E$2:$E$2000,INDIRECT("RC[-2]",0))&gt;0,"",INDIRECT("RC[-2]",0))</f>
        <v>0</v>
      </c>
    </row>
    <row r="376" spans="2:6">
      <c r="B376" t="str" cm="1">
        <f t="array" aca="1" ref="B376" ca="1">IFERROR(DATE(RIGHT(INDIRECT("RC[-1]",0),4),LEFT(INDIRECT("RC[-1]",0),2),1), "")</f>
        <v/>
      </c>
      <c r="C376" s="182"/>
      <c r="F376" cm="1">
        <f t="array" aca="1" ref="F376" ca="1">IF(COUNTIF($E$2:$E$2000,INDIRECT("RC[-2]",0))&gt;0,"",INDIRECT("RC[-2]",0))</f>
        <v>0</v>
      </c>
    </row>
    <row r="377" spans="2:6">
      <c r="B377" t="str" cm="1">
        <f t="array" aca="1" ref="B377" ca="1">IFERROR(DATE(RIGHT(INDIRECT("RC[-1]",0),4),LEFT(INDIRECT("RC[-1]",0),2),1), "")</f>
        <v/>
      </c>
      <c r="C377" s="182"/>
      <c r="F377" cm="1">
        <f t="array" aca="1" ref="F377" ca="1">IF(COUNTIF($E$2:$E$2000,INDIRECT("RC[-2]",0))&gt;0,"",INDIRECT("RC[-2]",0))</f>
        <v>0</v>
      </c>
    </row>
    <row r="378" spans="2:6">
      <c r="B378" t="str" cm="1">
        <f t="array" aca="1" ref="B378" ca="1">IFERROR(DATE(RIGHT(INDIRECT("RC[-1]",0),4),LEFT(INDIRECT("RC[-1]",0),2),1), "")</f>
        <v/>
      </c>
      <c r="C378" s="182"/>
      <c r="F378" cm="1">
        <f t="array" aca="1" ref="F378" ca="1">IF(COUNTIF($E$2:$E$2000,INDIRECT("RC[-2]",0))&gt;0,"",INDIRECT("RC[-2]",0))</f>
        <v>0</v>
      </c>
    </row>
    <row r="379" spans="2:6">
      <c r="B379" t="str" cm="1">
        <f t="array" aca="1" ref="B379" ca="1">IFERROR(DATE(RIGHT(INDIRECT("RC[-1]",0),4),LEFT(INDIRECT("RC[-1]",0),2),1), "")</f>
        <v/>
      </c>
      <c r="C379" s="182"/>
      <c r="F379" cm="1">
        <f t="array" aca="1" ref="F379" ca="1">IF(COUNTIF($E$2:$E$2000,INDIRECT("RC[-2]",0))&gt;0,"",INDIRECT("RC[-2]",0))</f>
        <v>0</v>
      </c>
    </row>
    <row r="380" spans="2:6">
      <c r="B380" t="str" cm="1">
        <f t="array" aca="1" ref="B380" ca="1">IFERROR(DATE(RIGHT(INDIRECT("RC[-1]",0),4),LEFT(INDIRECT("RC[-1]",0),2),1), "")</f>
        <v/>
      </c>
      <c r="C380" s="182"/>
      <c r="F380" cm="1">
        <f t="array" aca="1" ref="F380" ca="1">IF(COUNTIF($E$2:$E$2000,INDIRECT("RC[-2]",0))&gt;0,"",INDIRECT("RC[-2]",0))</f>
        <v>0</v>
      </c>
    </row>
    <row r="381" spans="2:6">
      <c r="B381" t="str" cm="1">
        <f t="array" aca="1" ref="B381" ca="1">IFERROR(DATE(RIGHT(INDIRECT("RC[-1]",0),4),LEFT(INDIRECT("RC[-1]",0),2),1), "")</f>
        <v/>
      </c>
      <c r="C381" s="182"/>
      <c r="F381" cm="1">
        <f t="array" aca="1" ref="F381" ca="1">IF(COUNTIF($E$2:$E$2000,INDIRECT("RC[-2]",0))&gt;0,"",INDIRECT("RC[-2]",0))</f>
        <v>0</v>
      </c>
    </row>
    <row r="382" spans="2:6">
      <c r="B382" t="str" cm="1">
        <f t="array" aca="1" ref="B382" ca="1">IFERROR(DATE(RIGHT(INDIRECT("RC[-1]",0),4),LEFT(INDIRECT("RC[-1]",0),2),1), "")</f>
        <v/>
      </c>
      <c r="C382" s="182"/>
      <c r="F382" cm="1">
        <f t="array" aca="1" ref="F382" ca="1">IF(COUNTIF($E$2:$E$2000,INDIRECT("RC[-2]",0))&gt;0,"",INDIRECT("RC[-2]",0))</f>
        <v>0</v>
      </c>
    </row>
    <row r="383" spans="2:6">
      <c r="B383" t="str" cm="1">
        <f t="array" aca="1" ref="B383" ca="1">IFERROR(DATE(RIGHT(INDIRECT("RC[-1]",0),4),LEFT(INDIRECT("RC[-1]",0),2),1), "")</f>
        <v/>
      </c>
      <c r="C383" s="182"/>
      <c r="F383" cm="1">
        <f t="array" aca="1" ref="F383" ca="1">IF(COUNTIF($E$2:$E$2000,INDIRECT("RC[-2]",0))&gt;0,"",INDIRECT("RC[-2]",0))</f>
        <v>0</v>
      </c>
    </row>
    <row r="384" spans="2:6">
      <c r="B384" t="str" cm="1">
        <f t="array" aca="1" ref="B384" ca="1">IFERROR(DATE(RIGHT(INDIRECT("RC[-1]",0),4),LEFT(INDIRECT("RC[-1]",0),2),1), "")</f>
        <v/>
      </c>
      <c r="C384" s="182"/>
      <c r="F384" cm="1">
        <f t="array" aca="1" ref="F384" ca="1">IF(COUNTIF($E$2:$E$2000,INDIRECT("RC[-2]",0))&gt;0,"",INDIRECT("RC[-2]",0))</f>
        <v>0</v>
      </c>
    </row>
    <row r="385" spans="2:6">
      <c r="B385" t="str" cm="1">
        <f t="array" aca="1" ref="B385" ca="1">IFERROR(DATE(RIGHT(INDIRECT("RC[-1]",0),4),LEFT(INDIRECT("RC[-1]",0),2),1), "")</f>
        <v/>
      </c>
      <c r="C385" s="182"/>
      <c r="F385" cm="1">
        <f t="array" aca="1" ref="F385" ca="1">IF(COUNTIF($E$2:$E$2000,INDIRECT("RC[-2]",0))&gt;0,"",INDIRECT("RC[-2]",0))</f>
        <v>0</v>
      </c>
    </row>
    <row r="386" spans="2:6">
      <c r="B386" t="str" cm="1">
        <f t="array" aca="1" ref="B386" ca="1">IFERROR(DATE(RIGHT(INDIRECT("RC[-1]",0),4),LEFT(INDIRECT("RC[-1]",0),2),1), "")</f>
        <v/>
      </c>
      <c r="C386" s="182"/>
      <c r="F386" cm="1">
        <f t="array" aca="1" ref="F386" ca="1">IF(COUNTIF($E$2:$E$2000,INDIRECT("RC[-2]",0))&gt;0,"",INDIRECT("RC[-2]",0))</f>
        <v>0</v>
      </c>
    </row>
    <row r="387" spans="2:6">
      <c r="B387" t="str" cm="1">
        <f t="array" aca="1" ref="B387" ca="1">IFERROR(DATE(RIGHT(INDIRECT("RC[-1]",0),4),LEFT(INDIRECT("RC[-1]",0),2),1), "")</f>
        <v/>
      </c>
      <c r="C387" s="182"/>
      <c r="F387" cm="1">
        <f t="array" aca="1" ref="F387" ca="1">IF(COUNTIF($E$2:$E$2000,INDIRECT("RC[-2]",0))&gt;0,"",INDIRECT("RC[-2]",0))</f>
        <v>0</v>
      </c>
    </row>
    <row r="388" spans="2:6">
      <c r="B388" t="str" cm="1">
        <f t="array" aca="1" ref="B388" ca="1">IFERROR(DATE(RIGHT(INDIRECT("RC[-1]",0),4),LEFT(INDIRECT("RC[-1]",0),2),1), "")</f>
        <v/>
      </c>
      <c r="C388" s="182"/>
      <c r="F388" cm="1">
        <f t="array" aca="1" ref="F388" ca="1">IF(COUNTIF($E$2:$E$2000,INDIRECT("RC[-2]",0))&gt;0,"",INDIRECT("RC[-2]",0))</f>
        <v>0</v>
      </c>
    </row>
    <row r="389" spans="2:6">
      <c r="B389" t="str" cm="1">
        <f t="array" aca="1" ref="B389" ca="1">IFERROR(DATE(RIGHT(INDIRECT("RC[-1]",0),4),LEFT(INDIRECT("RC[-1]",0),2),1), "")</f>
        <v/>
      </c>
      <c r="C389" s="182"/>
      <c r="F389" cm="1">
        <f t="array" aca="1" ref="F389" ca="1">IF(COUNTIF($E$2:$E$2000,INDIRECT("RC[-2]",0))&gt;0,"",INDIRECT("RC[-2]",0))</f>
        <v>0</v>
      </c>
    </row>
    <row r="390" spans="2:6">
      <c r="B390" t="str" cm="1">
        <f t="array" aca="1" ref="B390" ca="1">IFERROR(DATE(RIGHT(INDIRECT("RC[-1]",0),4),LEFT(INDIRECT("RC[-1]",0),2),1), "")</f>
        <v/>
      </c>
      <c r="C390" s="182"/>
      <c r="F390" cm="1">
        <f t="array" aca="1" ref="F390" ca="1">IF(COUNTIF($E$2:$E$2000,INDIRECT("RC[-2]",0))&gt;0,"",INDIRECT("RC[-2]",0))</f>
        <v>0</v>
      </c>
    </row>
    <row r="391" spans="2:6">
      <c r="B391" t="str" cm="1">
        <f t="array" aca="1" ref="B391" ca="1">IFERROR(DATE(RIGHT(INDIRECT("RC[-1]",0),4),LEFT(INDIRECT("RC[-1]",0),2),1), "")</f>
        <v/>
      </c>
      <c r="C391" s="182"/>
      <c r="F391" cm="1">
        <f t="array" aca="1" ref="F391" ca="1">IF(COUNTIF($E$2:$E$2000,INDIRECT("RC[-2]",0))&gt;0,"",INDIRECT("RC[-2]",0))</f>
        <v>0</v>
      </c>
    </row>
    <row r="392" spans="2:6">
      <c r="B392" t="str" cm="1">
        <f t="array" aca="1" ref="B392" ca="1">IFERROR(DATE(RIGHT(INDIRECT("RC[-1]",0),4),LEFT(INDIRECT("RC[-1]",0),2),1), "")</f>
        <v/>
      </c>
      <c r="C392" s="182"/>
      <c r="F392" cm="1">
        <f t="array" aca="1" ref="F392" ca="1">IF(COUNTIF($E$2:$E$2000,INDIRECT("RC[-2]",0))&gt;0,"",INDIRECT("RC[-2]",0))</f>
        <v>0</v>
      </c>
    </row>
    <row r="393" spans="2:6">
      <c r="B393" t="str" cm="1">
        <f t="array" aca="1" ref="B393" ca="1">IFERROR(DATE(RIGHT(INDIRECT("RC[-1]",0),4),LEFT(INDIRECT("RC[-1]",0),2),1), "")</f>
        <v/>
      </c>
      <c r="C393" s="182"/>
      <c r="F393" cm="1">
        <f t="array" aca="1" ref="F393" ca="1">IF(COUNTIF($E$2:$E$2000,INDIRECT("RC[-2]",0))&gt;0,"",INDIRECT("RC[-2]",0))</f>
        <v>0</v>
      </c>
    </row>
    <row r="394" spans="2:6">
      <c r="B394" t="str" cm="1">
        <f t="array" aca="1" ref="B394" ca="1">IFERROR(DATE(RIGHT(INDIRECT("RC[-1]",0),4),LEFT(INDIRECT("RC[-1]",0),2),1), "")</f>
        <v/>
      </c>
      <c r="C394" s="182"/>
      <c r="F394" cm="1">
        <f t="array" aca="1" ref="F394" ca="1">IF(COUNTIF($E$2:$E$2000,INDIRECT("RC[-2]",0))&gt;0,"",INDIRECT("RC[-2]",0))</f>
        <v>0</v>
      </c>
    </row>
    <row r="395" spans="2:6">
      <c r="B395" t="str" cm="1">
        <f t="array" aca="1" ref="B395" ca="1">IFERROR(DATE(RIGHT(INDIRECT("RC[-1]",0),4),LEFT(INDIRECT("RC[-1]",0),2),1), "")</f>
        <v/>
      </c>
      <c r="C395" s="182"/>
      <c r="F395" cm="1">
        <f t="array" aca="1" ref="F395" ca="1">IF(COUNTIF($E$2:$E$2000,INDIRECT("RC[-2]",0))&gt;0,"",INDIRECT("RC[-2]",0))</f>
        <v>0</v>
      </c>
    </row>
    <row r="396" spans="2:6">
      <c r="B396" t="str" cm="1">
        <f t="array" aca="1" ref="B396" ca="1">IFERROR(DATE(RIGHT(INDIRECT("RC[-1]",0),4),LEFT(INDIRECT("RC[-1]",0),2),1), "")</f>
        <v/>
      </c>
      <c r="C396" s="182"/>
      <c r="F396" cm="1">
        <f t="array" aca="1" ref="F396" ca="1">IF(COUNTIF($E$2:$E$2000,INDIRECT("RC[-2]",0))&gt;0,"",INDIRECT("RC[-2]",0))</f>
        <v>0</v>
      </c>
    </row>
    <row r="397" spans="2:6">
      <c r="B397" t="str" cm="1">
        <f t="array" aca="1" ref="B397" ca="1">IFERROR(DATE(RIGHT(INDIRECT("RC[-1]",0),4),LEFT(INDIRECT("RC[-1]",0),2),1), "")</f>
        <v/>
      </c>
      <c r="C397" s="182"/>
      <c r="F397" cm="1">
        <f t="array" aca="1" ref="F397" ca="1">IF(COUNTIF($E$2:$E$2000,INDIRECT("RC[-2]",0))&gt;0,"",INDIRECT("RC[-2]",0))</f>
        <v>0</v>
      </c>
    </row>
    <row r="398" spans="2:6">
      <c r="B398" t="str" cm="1">
        <f t="array" aca="1" ref="B398" ca="1">IFERROR(DATE(RIGHT(INDIRECT("RC[-1]",0),4),LEFT(INDIRECT("RC[-1]",0),2),1), "")</f>
        <v/>
      </c>
      <c r="C398" s="182"/>
      <c r="F398" cm="1">
        <f t="array" aca="1" ref="F398" ca="1">IF(COUNTIF($E$2:$E$2000,INDIRECT("RC[-2]",0))&gt;0,"",INDIRECT("RC[-2]",0))</f>
        <v>0</v>
      </c>
    </row>
    <row r="399" spans="2:6">
      <c r="B399" t="str" cm="1">
        <f t="array" aca="1" ref="B399" ca="1">IFERROR(DATE(RIGHT(INDIRECT("RC[-1]",0),4),LEFT(INDIRECT("RC[-1]",0),2),1), "")</f>
        <v/>
      </c>
      <c r="C399" s="182"/>
      <c r="F399" cm="1">
        <f t="array" aca="1" ref="F399" ca="1">IF(COUNTIF($E$2:$E$2000,INDIRECT("RC[-2]",0))&gt;0,"",INDIRECT("RC[-2]",0))</f>
        <v>0</v>
      </c>
    </row>
    <row r="400" spans="2:6">
      <c r="B400" t="str" cm="1">
        <f t="array" aca="1" ref="B400" ca="1">IFERROR(DATE(RIGHT(INDIRECT("RC[-1]",0),4),LEFT(INDIRECT("RC[-1]",0),2),1), "")</f>
        <v/>
      </c>
      <c r="C400" s="182"/>
      <c r="F400" cm="1">
        <f t="array" aca="1" ref="F400" ca="1">IF(COUNTIF($E$2:$E$2000,INDIRECT("RC[-2]",0))&gt;0,"",INDIRECT("RC[-2]",0))</f>
        <v>0</v>
      </c>
    </row>
    <row r="401" spans="2:6">
      <c r="B401" t="str" cm="1">
        <f t="array" aca="1" ref="B401" ca="1">IFERROR(DATE(RIGHT(INDIRECT("RC[-1]",0),4),LEFT(INDIRECT("RC[-1]",0),2),1), "")</f>
        <v/>
      </c>
      <c r="C401" s="182"/>
      <c r="F401" cm="1">
        <f t="array" aca="1" ref="F401" ca="1">IF(COUNTIF($E$2:$E$2000,INDIRECT("RC[-2]",0))&gt;0,"",INDIRECT("RC[-2]",0))</f>
        <v>0</v>
      </c>
    </row>
    <row r="402" spans="2:6">
      <c r="B402" t="str" cm="1">
        <f t="array" aca="1" ref="B402" ca="1">IFERROR(DATE(RIGHT(INDIRECT("RC[-1]",0),4),LEFT(INDIRECT("RC[-1]",0),2),1), "")</f>
        <v/>
      </c>
      <c r="C402" s="182"/>
      <c r="F402" cm="1">
        <f t="array" aca="1" ref="F402" ca="1">IF(COUNTIF($E$2:$E$2000,INDIRECT("RC[-2]",0))&gt;0,"",INDIRECT("RC[-2]",0))</f>
        <v>0</v>
      </c>
    </row>
    <row r="403" spans="2:6">
      <c r="B403" t="str" cm="1">
        <f t="array" aca="1" ref="B403" ca="1">IFERROR(DATE(RIGHT(INDIRECT("RC[-1]",0),4),LEFT(INDIRECT("RC[-1]",0),2),1), "")</f>
        <v/>
      </c>
      <c r="C403" s="182"/>
      <c r="F403" cm="1">
        <f t="array" aca="1" ref="F403" ca="1">IF(COUNTIF($E$2:$E$2000,INDIRECT("RC[-2]",0))&gt;0,"",INDIRECT("RC[-2]",0))</f>
        <v>0</v>
      </c>
    </row>
    <row r="404" spans="2:6">
      <c r="B404" t="str" cm="1">
        <f t="array" aca="1" ref="B404" ca="1">IFERROR(DATE(RIGHT(INDIRECT("RC[-1]",0),4),LEFT(INDIRECT("RC[-1]",0),2),1), "")</f>
        <v/>
      </c>
      <c r="C404" s="182"/>
      <c r="F404" cm="1">
        <f t="array" aca="1" ref="F404" ca="1">IF(COUNTIF($E$2:$E$2000,INDIRECT("RC[-2]",0))&gt;0,"",INDIRECT("RC[-2]",0))</f>
        <v>0</v>
      </c>
    </row>
    <row r="405" spans="2:6">
      <c r="B405" t="str" cm="1">
        <f t="array" aca="1" ref="B405" ca="1">IFERROR(DATE(RIGHT(INDIRECT("RC[-1]",0),4),LEFT(INDIRECT("RC[-1]",0),2),1), "")</f>
        <v/>
      </c>
      <c r="C405" s="182"/>
      <c r="F405" cm="1">
        <f t="array" aca="1" ref="F405" ca="1">IF(COUNTIF($E$2:$E$2000,INDIRECT("RC[-2]",0))&gt;0,"",INDIRECT("RC[-2]",0))</f>
        <v>0</v>
      </c>
    </row>
    <row r="406" spans="2:6">
      <c r="B406" t="str" cm="1">
        <f t="array" aca="1" ref="B406" ca="1">IFERROR(DATE(RIGHT(INDIRECT("RC[-1]",0),4),LEFT(INDIRECT("RC[-1]",0),2),1), "")</f>
        <v/>
      </c>
      <c r="C406" s="182"/>
      <c r="F406" cm="1">
        <f t="array" aca="1" ref="F406" ca="1">IF(COUNTIF($E$2:$E$2000,INDIRECT("RC[-2]",0))&gt;0,"",INDIRECT("RC[-2]",0))</f>
        <v>0</v>
      </c>
    </row>
    <row r="407" spans="2:6">
      <c r="B407" t="str" cm="1">
        <f t="array" aca="1" ref="B407" ca="1">IFERROR(DATE(RIGHT(INDIRECT("RC[-1]",0),4),LEFT(INDIRECT("RC[-1]",0),2),1), "")</f>
        <v/>
      </c>
      <c r="C407" s="182"/>
      <c r="F407" cm="1">
        <f t="array" aca="1" ref="F407" ca="1">IF(COUNTIF($E$2:$E$2000,INDIRECT("RC[-2]",0))&gt;0,"",INDIRECT("RC[-2]",0))</f>
        <v>0</v>
      </c>
    </row>
    <row r="408" spans="2:6">
      <c r="B408" t="str" cm="1">
        <f t="array" aca="1" ref="B408" ca="1">IFERROR(DATE(RIGHT(INDIRECT("RC[-1]",0),4),LEFT(INDIRECT("RC[-1]",0),2),1), "")</f>
        <v/>
      </c>
      <c r="C408" s="182"/>
      <c r="F408" cm="1">
        <f t="array" aca="1" ref="F408" ca="1">IF(COUNTIF($E$2:$E$2000,INDIRECT("RC[-2]",0))&gt;0,"",INDIRECT("RC[-2]",0))</f>
        <v>0</v>
      </c>
    </row>
    <row r="409" spans="2:6">
      <c r="B409" t="str" cm="1">
        <f t="array" aca="1" ref="B409" ca="1">IFERROR(DATE(RIGHT(INDIRECT("RC[-1]",0),4),LEFT(INDIRECT("RC[-1]",0),2),1), "")</f>
        <v/>
      </c>
      <c r="C409" s="182"/>
      <c r="F409" cm="1">
        <f t="array" aca="1" ref="F409" ca="1">IF(COUNTIF($E$2:$E$2000,INDIRECT("RC[-2]",0))&gt;0,"",INDIRECT("RC[-2]",0))</f>
        <v>0</v>
      </c>
    </row>
    <row r="410" spans="2:6">
      <c r="B410" t="str" cm="1">
        <f t="array" aca="1" ref="B410" ca="1">IFERROR(DATE(RIGHT(INDIRECT("RC[-1]",0),4),LEFT(INDIRECT("RC[-1]",0),2),1), "")</f>
        <v/>
      </c>
      <c r="C410" s="182"/>
      <c r="F410" cm="1">
        <f t="array" aca="1" ref="F410" ca="1">IF(COUNTIF($E$2:$E$2000,INDIRECT("RC[-2]",0))&gt;0,"",INDIRECT("RC[-2]",0))</f>
        <v>0</v>
      </c>
    </row>
    <row r="411" spans="2:6">
      <c r="B411" t="str" cm="1">
        <f t="array" aca="1" ref="B411" ca="1">IFERROR(DATE(RIGHT(INDIRECT("RC[-1]",0),4),LEFT(INDIRECT("RC[-1]",0),2),1), "")</f>
        <v/>
      </c>
      <c r="C411" s="182"/>
      <c r="F411" cm="1">
        <f t="array" aca="1" ref="F411" ca="1">IF(COUNTIF($E$2:$E$2000,INDIRECT("RC[-2]",0))&gt;0,"",INDIRECT("RC[-2]",0))</f>
        <v>0</v>
      </c>
    </row>
    <row r="412" spans="2:6">
      <c r="B412" t="str" cm="1">
        <f t="array" aca="1" ref="B412" ca="1">IFERROR(DATE(RIGHT(INDIRECT("RC[-1]",0),4),LEFT(INDIRECT("RC[-1]",0),2),1), "")</f>
        <v/>
      </c>
      <c r="C412" s="182"/>
      <c r="F412" cm="1">
        <f t="array" aca="1" ref="F412" ca="1">IF(COUNTIF($E$2:$E$2000,INDIRECT("RC[-2]",0))&gt;0,"",INDIRECT("RC[-2]",0))</f>
        <v>0</v>
      </c>
    </row>
    <row r="413" spans="2:6">
      <c r="B413" t="str" cm="1">
        <f t="array" aca="1" ref="B413" ca="1">IFERROR(DATE(RIGHT(INDIRECT("RC[-1]",0),4),LEFT(INDIRECT("RC[-1]",0),2),1), "")</f>
        <v/>
      </c>
      <c r="C413" s="182"/>
      <c r="F413" cm="1">
        <f t="array" aca="1" ref="F413" ca="1">IF(COUNTIF($E$2:$E$2000,INDIRECT("RC[-2]",0))&gt;0,"",INDIRECT("RC[-2]",0))</f>
        <v>0</v>
      </c>
    </row>
    <row r="414" spans="2:6">
      <c r="B414" t="str" cm="1">
        <f t="array" aca="1" ref="B414" ca="1">IFERROR(DATE(RIGHT(INDIRECT("RC[-1]",0),4),LEFT(INDIRECT("RC[-1]",0),2),1), "")</f>
        <v/>
      </c>
      <c r="C414" s="182"/>
      <c r="F414" cm="1">
        <f t="array" aca="1" ref="F414" ca="1">IF(COUNTIF($E$2:$E$2000,INDIRECT("RC[-2]",0))&gt;0,"",INDIRECT("RC[-2]",0))</f>
        <v>0</v>
      </c>
    </row>
    <row r="415" spans="2:6">
      <c r="B415" t="str" cm="1">
        <f t="array" aca="1" ref="B415" ca="1">IFERROR(DATE(RIGHT(INDIRECT("RC[-1]",0),4),LEFT(INDIRECT("RC[-1]",0),2),1), "")</f>
        <v/>
      </c>
      <c r="C415" s="182"/>
      <c r="F415" cm="1">
        <f t="array" aca="1" ref="F415" ca="1">IF(COUNTIF($E$2:$E$2000,INDIRECT("RC[-2]",0))&gt;0,"",INDIRECT("RC[-2]",0))</f>
        <v>0</v>
      </c>
    </row>
    <row r="416" spans="2:6">
      <c r="B416" t="str" cm="1">
        <f t="array" aca="1" ref="B416" ca="1">IFERROR(DATE(RIGHT(INDIRECT("RC[-1]",0),4),LEFT(INDIRECT("RC[-1]",0),2),1), "")</f>
        <v/>
      </c>
      <c r="C416" s="182"/>
      <c r="F416" cm="1">
        <f t="array" aca="1" ref="F416" ca="1">IF(COUNTIF($E$2:$E$2000,INDIRECT("RC[-2]",0))&gt;0,"",INDIRECT("RC[-2]",0))</f>
        <v>0</v>
      </c>
    </row>
    <row r="417" spans="2:6">
      <c r="B417" t="str" cm="1">
        <f t="array" aca="1" ref="B417" ca="1">IFERROR(DATE(RIGHT(INDIRECT("RC[-1]",0),4),LEFT(INDIRECT("RC[-1]",0),2),1), "")</f>
        <v/>
      </c>
      <c r="C417" s="182"/>
      <c r="F417" cm="1">
        <f t="array" aca="1" ref="F417" ca="1">IF(COUNTIF($E$2:$E$2000,INDIRECT("RC[-2]",0))&gt;0,"",INDIRECT("RC[-2]",0))</f>
        <v>0</v>
      </c>
    </row>
    <row r="418" spans="2:6">
      <c r="B418" t="str" cm="1">
        <f t="array" aca="1" ref="B418" ca="1">IFERROR(DATE(RIGHT(INDIRECT("RC[-1]",0),4),LEFT(INDIRECT("RC[-1]",0),2),1), "")</f>
        <v/>
      </c>
      <c r="C418" s="182"/>
      <c r="F418" cm="1">
        <f t="array" aca="1" ref="F418" ca="1">IF(COUNTIF($E$2:$E$2000,INDIRECT("RC[-2]",0))&gt;0,"",INDIRECT("RC[-2]",0))</f>
        <v>0</v>
      </c>
    </row>
    <row r="419" spans="2:6">
      <c r="B419" t="str" cm="1">
        <f t="array" aca="1" ref="B419" ca="1">IFERROR(DATE(RIGHT(INDIRECT("RC[-1]",0),4),LEFT(INDIRECT("RC[-1]",0),2),1), "")</f>
        <v/>
      </c>
      <c r="C419" s="182"/>
      <c r="F419" cm="1">
        <f t="array" aca="1" ref="F419" ca="1">IF(COUNTIF($E$2:$E$2000,INDIRECT("RC[-2]",0))&gt;0,"",INDIRECT("RC[-2]",0))</f>
        <v>0</v>
      </c>
    </row>
    <row r="420" spans="2:6">
      <c r="B420" t="str" cm="1">
        <f t="array" aca="1" ref="B420" ca="1">IFERROR(DATE(RIGHT(INDIRECT("RC[-1]",0),4),LEFT(INDIRECT("RC[-1]",0),2),1), "")</f>
        <v/>
      </c>
      <c r="C420" s="182"/>
      <c r="F420" cm="1">
        <f t="array" aca="1" ref="F420" ca="1">IF(COUNTIF($E$2:$E$2000,INDIRECT("RC[-2]",0))&gt;0,"",INDIRECT("RC[-2]",0))</f>
        <v>0</v>
      </c>
    </row>
    <row r="421" spans="2:6">
      <c r="B421" t="str" cm="1">
        <f t="array" aca="1" ref="B421" ca="1">IFERROR(DATE(RIGHT(INDIRECT("RC[-1]",0),4),LEFT(INDIRECT("RC[-1]",0),2),1), "")</f>
        <v/>
      </c>
      <c r="C421" s="182"/>
      <c r="F421" cm="1">
        <f t="array" aca="1" ref="F421" ca="1">IF(COUNTIF($E$2:$E$2000,INDIRECT("RC[-2]",0))&gt;0,"",INDIRECT("RC[-2]",0))</f>
        <v>0</v>
      </c>
    </row>
    <row r="422" spans="2:6">
      <c r="B422" t="str" cm="1">
        <f t="array" aca="1" ref="B422" ca="1">IFERROR(DATE(RIGHT(INDIRECT("RC[-1]",0),4),LEFT(INDIRECT("RC[-1]",0),2),1), "")</f>
        <v/>
      </c>
      <c r="C422" s="182"/>
      <c r="F422" cm="1">
        <f t="array" aca="1" ref="F422" ca="1">IF(COUNTIF($E$2:$E$2000,INDIRECT("RC[-2]",0))&gt;0,"",INDIRECT("RC[-2]",0))</f>
        <v>0</v>
      </c>
    </row>
    <row r="423" spans="2:6">
      <c r="B423" t="str" cm="1">
        <f t="array" aca="1" ref="B423" ca="1">IFERROR(DATE(RIGHT(INDIRECT("RC[-1]",0),4),LEFT(INDIRECT("RC[-1]",0),2),1), "")</f>
        <v/>
      </c>
      <c r="C423" s="182"/>
      <c r="F423" cm="1">
        <f t="array" aca="1" ref="F423" ca="1">IF(COUNTIF($E$2:$E$2000,INDIRECT("RC[-2]",0))&gt;0,"",INDIRECT("RC[-2]",0))</f>
        <v>0</v>
      </c>
    </row>
    <row r="424" spans="2:6">
      <c r="B424" t="str" cm="1">
        <f t="array" aca="1" ref="B424" ca="1">IFERROR(DATE(RIGHT(INDIRECT("RC[-1]",0),4),LEFT(INDIRECT("RC[-1]",0),2),1), "")</f>
        <v/>
      </c>
      <c r="C424" s="182"/>
      <c r="F424" cm="1">
        <f t="array" aca="1" ref="F424" ca="1">IF(COUNTIF($E$2:$E$2000,INDIRECT("RC[-2]",0))&gt;0,"",INDIRECT("RC[-2]",0))</f>
        <v>0</v>
      </c>
    </row>
    <row r="425" spans="2:6">
      <c r="B425" t="str" cm="1">
        <f t="array" aca="1" ref="B425" ca="1">IFERROR(DATE(RIGHT(INDIRECT("RC[-1]",0),4),LEFT(INDIRECT("RC[-1]",0),2),1), "")</f>
        <v/>
      </c>
      <c r="C425" s="182"/>
      <c r="F425" cm="1">
        <f t="array" aca="1" ref="F425" ca="1">IF(COUNTIF($E$2:$E$2000,INDIRECT("RC[-2]",0))&gt;0,"",INDIRECT("RC[-2]",0))</f>
        <v>0</v>
      </c>
    </row>
    <row r="426" spans="2:6">
      <c r="B426" t="str" cm="1">
        <f t="array" aca="1" ref="B426" ca="1">IFERROR(DATE(RIGHT(INDIRECT("RC[-1]",0),4),LEFT(INDIRECT("RC[-1]",0),2),1), "")</f>
        <v/>
      </c>
      <c r="C426" s="182"/>
      <c r="F426" cm="1">
        <f t="array" aca="1" ref="F426" ca="1">IF(COUNTIF($E$2:$E$2000,INDIRECT("RC[-2]",0))&gt;0,"",INDIRECT("RC[-2]",0))</f>
        <v>0</v>
      </c>
    </row>
    <row r="427" spans="2:6">
      <c r="B427" t="str" cm="1">
        <f t="array" aca="1" ref="B427" ca="1">IFERROR(DATE(RIGHT(INDIRECT("RC[-1]",0),4),LEFT(INDIRECT("RC[-1]",0),2),1), "")</f>
        <v/>
      </c>
      <c r="C427" s="182"/>
      <c r="F427" cm="1">
        <f t="array" aca="1" ref="F427" ca="1">IF(COUNTIF($E$2:$E$2000,INDIRECT("RC[-2]",0))&gt;0,"",INDIRECT("RC[-2]",0))</f>
        <v>0</v>
      </c>
    </row>
    <row r="428" spans="2:6">
      <c r="B428" t="str" cm="1">
        <f t="array" aca="1" ref="B428" ca="1">IFERROR(DATE(RIGHT(INDIRECT("RC[-1]",0),4),LEFT(INDIRECT("RC[-1]",0),2),1), "")</f>
        <v/>
      </c>
      <c r="C428" s="182"/>
      <c r="F428" cm="1">
        <f t="array" aca="1" ref="F428" ca="1">IF(COUNTIF($E$2:$E$2000,INDIRECT("RC[-2]",0))&gt;0,"",INDIRECT("RC[-2]",0))</f>
        <v>0</v>
      </c>
    </row>
    <row r="429" spans="2:6">
      <c r="B429" t="str" cm="1">
        <f t="array" aca="1" ref="B429" ca="1">IFERROR(DATE(RIGHT(INDIRECT("RC[-1]",0),4),LEFT(INDIRECT("RC[-1]",0),2),1), "")</f>
        <v/>
      </c>
      <c r="C429" s="182"/>
      <c r="F429" cm="1">
        <f t="array" aca="1" ref="F429" ca="1">IF(COUNTIF($E$2:$E$2000,INDIRECT("RC[-2]",0))&gt;0,"",INDIRECT("RC[-2]",0))</f>
        <v>0</v>
      </c>
    </row>
    <row r="430" spans="2:6">
      <c r="B430" t="str" cm="1">
        <f t="array" aca="1" ref="B430" ca="1">IFERROR(DATE(RIGHT(INDIRECT("RC[-1]",0),4),LEFT(INDIRECT("RC[-1]",0),2),1), "")</f>
        <v/>
      </c>
      <c r="C430" s="182"/>
      <c r="F430" cm="1">
        <f t="array" aca="1" ref="F430" ca="1">IF(COUNTIF($E$2:$E$2000,INDIRECT("RC[-2]",0))&gt;0,"",INDIRECT("RC[-2]",0))</f>
        <v>0</v>
      </c>
    </row>
    <row r="431" spans="2:6">
      <c r="B431" t="str" cm="1">
        <f t="array" aca="1" ref="B431" ca="1">IFERROR(DATE(RIGHT(INDIRECT("RC[-1]",0),4),LEFT(INDIRECT("RC[-1]",0),2),1), "")</f>
        <v/>
      </c>
      <c r="C431" s="182"/>
      <c r="F431" cm="1">
        <f t="array" aca="1" ref="F431" ca="1">IF(COUNTIF($E$2:$E$2000,INDIRECT("RC[-2]",0))&gt;0,"",INDIRECT("RC[-2]",0))</f>
        <v>0</v>
      </c>
    </row>
    <row r="432" spans="2:6">
      <c r="B432" t="str" cm="1">
        <f t="array" aca="1" ref="B432" ca="1">IFERROR(DATE(RIGHT(INDIRECT("RC[-1]",0),4),LEFT(INDIRECT("RC[-1]",0),2),1), "")</f>
        <v/>
      </c>
      <c r="C432" s="182"/>
      <c r="F432" cm="1">
        <f t="array" aca="1" ref="F432" ca="1">IF(COUNTIF($E$2:$E$2000,INDIRECT("RC[-2]",0))&gt;0,"",INDIRECT("RC[-2]",0))</f>
        <v>0</v>
      </c>
    </row>
    <row r="433" spans="2:6">
      <c r="B433" t="str" cm="1">
        <f t="array" aca="1" ref="B433" ca="1">IFERROR(DATE(RIGHT(INDIRECT("RC[-1]",0),4),LEFT(INDIRECT("RC[-1]",0),2),1), "")</f>
        <v/>
      </c>
      <c r="C433" s="182"/>
      <c r="F433" cm="1">
        <f t="array" aca="1" ref="F433" ca="1">IF(COUNTIF($E$2:$E$2000,INDIRECT("RC[-2]",0))&gt;0,"",INDIRECT("RC[-2]",0))</f>
        <v>0</v>
      </c>
    </row>
    <row r="434" spans="2:6">
      <c r="B434" t="str" cm="1">
        <f t="array" aca="1" ref="B434" ca="1">IFERROR(DATE(RIGHT(INDIRECT("RC[-1]",0),4),LEFT(INDIRECT("RC[-1]",0),2),1), "")</f>
        <v/>
      </c>
      <c r="C434" s="182"/>
      <c r="F434" cm="1">
        <f t="array" aca="1" ref="F434" ca="1">IF(COUNTIF($E$2:$E$2000,INDIRECT("RC[-2]",0))&gt;0,"",INDIRECT("RC[-2]",0))</f>
        <v>0</v>
      </c>
    </row>
    <row r="435" spans="2:6">
      <c r="B435" t="str" cm="1">
        <f t="array" aca="1" ref="B435" ca="1">IFERROR(DATE(RIGHT(INDIRECT("RC[-1]",0),4),LEFT(INDIRECT("RC[-1]",0),2),1), "")</f>
        <v/>
      </c>
      <c r="C435" s="182"/>
      <c r="F435" cm="1">
        <f t="array" aca="1" ref="F435" ca="1">IF(COUNTIF($E$2:$E$2000,INDIRECT("RC[-2]",0))&gt;0,"",INDIRECT("RC[-2]",0))</f>
        <v>0</v>
      </c>
    </row>
    <row r="436" spans="2:6">
      <c r="B436" t="str" cm="1">
        <f t="array" aca="1" ref="B436" ca="1">IFERROR(DATE(RIGHT(INDIRECT("RC[-1]",0),4),LEFT(INDIRECT("RC[-1]",0),2),1), "")</f>
        <v/>
      </c>
      <c r="C436" s="182"/>
      <c r="F436" cm="1">
        <f t="array" aca="1" ref="F436" ca="1">IF(COUNTIF($E$2:$E$2000,INDIRECT("RC[-2]",0))&gt;0,"",INDIRECT("RC[-2]",0))</f>
        <v>0</v>
      </c>
    </row>
    <row r="437" spans="2:6">
      <c r="B437" t="str" cm="1">
        <f t="array" aca="1" ref="B437" ca="1">IFERROR(DATE(RIGHT(INDIRECT("RC[-1]",0),4),LEFT(INDIRECT("RC[-1]",0),2),1), "")</f>
        <v/>
      </c>
      <c r="C437" s="182"/>
      <c r="F437" cm="1">
        <f t="array" aca="1" ref="F437" ca="1">IF(COUNTIF($E$2:$E$2000,INDIRECT("RC[-2]",0))&gt;0,"",INDIRECT("RC[-2]",0))</f>
        <v>0</v>
      </c>
    </row>
    <row r="438" spans="2:6">
      <c r="B438" t="str" cm="1">
        <f t="array" aca="1" ref="B438" ca="1">IFERROR(DATE(RIGHT(INDIRECT("RC[-1]",0),4),LEFT(INDIRECT("RC[-1]",0),2),1), "")</f>
        <v/>
      </c>
      <c r="C438" s="182"/>
      <c r="F438" cm="1">
        <f t="array" aca="1" ref="F438" ca="1">IF(COUNTIF($E$2:$E$2000,INDIRECT("RC[-2]",0))&gt;0,"",INDIRECT("RC[-2]",0))</f>
        <v>0</v>
      </c>
    </row>
    <row r="439" spans="2:6">
      <c r="B439" t="str" cm="1">
        <f t="array" aca="1" ref="B439" ca="1">IFERROR(DATE(RIGHT(INDIRECT("RC[-1]",0),4),LEFT(INDIRECT("RC[-1]",0),2),1), "")</f>
        <v/>
      </c>
      <c r="C439" s="182"/>
      <c r="F439" cm="1">
        <f t="array" aca="1" ref="F439" ca="1">IF(COUNTIF($E$2:$E$2000,INDIRECT("RC[-2]",0))&gt;0,"",INDIRECT("RC[-2]",0))</f>
        <v>0</v>
      </c>
    </row>
    <row r="440" spans="2:6">
      <c r="B440" t="str" cm="1">
        <f t="array" aca="1" ref="B440" ca="1">IFERROR(DATE(RIGHT(INDIRECT("RC[-1]",0),4),LEFT(INDIRECT("RC[-1]",0),2),1), "")</f>
        <v/>
      </c>
      <c r="C440" s="182"/>
      <c r="F440" cm="1">
        <f t="array" aca="1" ref="F440" ca="1">IF(COUNTIF($E$2:$E$2000,INDIRECT("RC[-2]",0))&gt;0,"",INDIRECT("RC[-2]",0))</f>
        <v>0</v>
      </c>
    </row>
    <row r="441" spans="2:6">
      <c r="B441" t="str" cm="1">
        <f t="array" aca="1" ref="B441" ca="1">IFERROR(DATE(RIGHT(INDIRECT("RC[-1]",0),4),LEFT(INDIRECT("RC[-1]",0),2),1), "")</f>
        <v/>
      </c>
      <c r="C441" s="182"/>
      <c r="F441" cm="1">
        <f t="array" aca="1" ref="F441" ca="1">IF(COUNTIF($E$2:$E$2000,INDIRECT("RC[-2]",0))&gt;0,"",INDIRECT("RC[-2]",0))</f>
        <v>0</v>
      </c>
    </row>
    <row r="442" spans="2:6">
      <c r="B442" t="str" cm="1">
        <f t="array" aca="1" ref="B442" ca="1">IFERROR(DATE(RIGHT(INDIRECT("RC[-1]",0),4),LEFT(INDIRECT("RC[-1]",0),2),1), "")</f>
        <v/>
      </c>
      <c r="C442" s="182"/>
      <c r="F442" cm="1">
        <f t="array" aca="1" ref="F442" ca="1">IF(COUNTIF($E$2:$E$2000,INDIRECT("RC[-2]",0))&gt;0,"",INDIRECT("RC[-2]",0))</f>
        <v>0</v>
      </c>
    </row>
    <row r="443" spans="2:6">
      <c r="B443" t="str" cm="1">
        <f t="array" aca="1" ref="B443" ca="1">IFERROR(DATE(RIGHT(INDIRECT("RC[-1]",0),4),LEFT(INDIRECT("RC[-1]",0),2),1), "")</f>
        <v/>
      </c>
      <c r="C443" s="182"/>
      <c r="F443" cm="1">
        <f t="array" aca="1" ref="F443" ca="1">IF(COUNTIF($E$2:$E$2000,INDIRECT("RC[-2]",0))&gt;0,"",INDIRECT("RC[-2]",0))</f>
        <v>0</v>
      </c>
    </row>
    <row r="444" spans="2:6">
      <c r="B444" t="str" cm="1">
        <f t="array" aca="1" ref="B444" ca="1">IFERROR(DATE(RIGHT(INDIRECT("RC[-1]",0),4),LEFT(INDIRECT("RC[-1]",0),2),1), "")</f>
        <v/>
      </c>
      <c r="C444" s="182"/>
      <c r="F444" cm="1">
        <f t="array" aca="1" ref="F444" ca="1">IF(COUNTIF($E$2:$E$2000,INDIRECT("RC[-2]",0))&gt;0,"",INDIRECT("RC[-2]",0))</f>
        <v>0</v>
      </c>
    </row>
    <row r="445" spans="2:6">
      <c r="B445" t="str" cm="1">
        <f t="array" aca="1" ref="B445" ca="1">IFERROR(DATE(RIGHT(INDIRECT("RC[-1]",0),4),LEFT(INDIRECT("RC[-1]",0),2),1), "")</f>
        <v/>
      </c>
      <c r="C445" s="182"/>
      <c r="F445" cm="1">
        <f t="array" aca="1" ref="F445" ca="1">IF(COUNTIF($E$2:$E$2000,INDIRECT("RC[-2]",0))&gt;0,"",INDIRECT("RC[-2]",0))</f>
        <v>0</v>
      </c>
    </row>
    <row r="446" spans="2:6">
      <c r="B446" t="str" cm="1">
        <f t="array" aca="1" ref="B446" ca="1">IFERROR(DATE(RIGHT(INDIRECT("RC[-1]",0),4),LEFT(INDIRECT("RC[-1]",0),2),1), "")</f>
        <v/>
      </c>
      <c r="C446" s="182"/>
      <c r="F446" cm="1">
        <f t="array" aca="1" ref="F446" ca="1">IF(COUNTIF($E$2:$E$2000,INDIRECT("RC[-2]",0))&gt;0,"",INDIRECT("RC[-2]",0))</f>
        <v>0</v>
      </c>
    </row>
    <row r="447" spans="2:6">
      <c r="B447" t="str" cm="1">
        <f t="array" aca="1" ref="B447" ca="1">IFERROR(DATE(RIGHT(INDIRECT("RC[-1]",0),4),LEFT(INDIRECT("RC[-1]",0),2),1), "")</f>
        <v/>
      </c>
      <c r="C447" s="182"/>
      <c r="F447" cm="1">
        <f t="array" aca="1" ref="F447" ca="1">IF(COUNTIF($E$2:$E$2000,INDIRECT("RC[-2]",0))&gt;0,"",INDIRECT("RC[-2]",0))</f>
        <v>0</v>
      </c>
    </row>
    <row r="448" spans="2:6">
      <c r="B448" t="str" cm="1">
        <f t="array" aca="1" ref="B448" ca="1">IFERROR(DATE(RIGHT(INDIRECT("RC[-1]",0),4),LEFT(INDIRECT("RC[-1]",0),2),1), "")</f>
        <v/>
      </c>
      <c r="C448" s="182"/>
      <c r="F448" cm="1">
        <f t="array" aca="1" ref="F448" ca="1">IF(COUNTIF($E$2:$E$2000,INDIRECT("RC[-2]",0))&gt;0,"",INDIRECT("RC[-2]",0))</f>
        <v>0</v>
      </c>
    </row>
    <row r="449" spans="2:6">
      <c r="B449" t="str" cm="1">
        <f t="array" aca="1" ref="B449" ca="1">IFERROR(DATE(RIGHT(INDIRECT("RC[-1]",0),4),LEFT(INDIRECT("RC[-1]",0),2),1), "")</f>
        <v/>
      </c>
      <c r="C449" s="182"/>
      <c r="F449" cm="1">
        <f t="array" aca="1" ref="F449" ca="1">IF(COUNTIF($E$2:$E$2000,INDIRECT("RC[-2]",0))&gt;0,"",INDIRECT("RC[-2]",0))</f>
        <v>0</v>
      </c>
    </row>
    <row r="450" spans="2:6">
      <c r="B450" t="str" cm="1">
        <f t="array" aca="1" ref="B450" ca="1">IFERROR(DATE(RIGHT(INDIRECT("RC[-1]",0),4),LEFT(INDIRECT("RC[-1]",0),2),1), "")</f>
        <v/>
      </c>
      <c r="C450" s="182"/>
      <c r="F450" cm="1">
        <f t="array" aca="1" ref="F450" ca="1">IF(COUNTIF($E$2:$E$2000,INDIRECT("RC[-2]",0))&gt;0,"",INDIRECT("RC[-2]",0))</f>
        <v>0</v>
      </c>
    </row>
    <row r="451" spans="2:6">
      <c r="B451" t="str" cm="1">
        <f t="array" aca="1" ref="B451" ca="1">IFERROR(DATE(RIGHT(INDIRECT("RC[-1]",0),4),LEFT(INDIRECT("RC[-1]",0),2),1), "")</f>
        <v/>
      </c>
      <c r="C451" s="182"/>
      <c r="F451" cm="1">
        <f t="array" aca="1" ref="F451" ca="1">IF(COUNTIF($E$2:$E$2000,INDIRECT("RC[-2]",0))&gt;0,"",INDIRECT("RC[-2]",0))</f>
        <v>0</v>
      </c>
    </row>
    <row r="452" spans="2:6">
      <c r="B452" t="str" cm="1">
        <f t="array" aca="1" ref="B452" ca="1">IFERROR(DATE(RIGHT(INDIRECT("RC[-1]",0),4),LEFT(INDIRECT("RC[-1]",0),2),1), "")</f>
        <v/>
      </c>
      <c r="C452" s="182"/>
      <c r="F452" cm="1">
        <f t="array" aca="1" ref="F452" ca="1">IF(COUNTIF($E$2:$E$2000,INDIRECT("RC[-2]",0))&gt;0,"",INDIRECT("RC[-2]",0))</f>
        <v>0</v>
      </c>
    </row>
    <row r="453" spans="2:6">
      <c r="B453" t="str" cm="1">
        <f t="array" aca="1" ref="B453" ca="1">IFERROR(DATE(RIGHT(INDIRECT("RC[-1]",0),4),LEFT(INDIRECT("RC[-1]",0),2),1), "")</f>
        <v/>
      </c>
      <c r="C453" s="182"/>
      <c r="F453" cm="1">
        <f t="array" aca="1" ref="F453" ca="1">IF(COUNTIF($E$2:$E$2000,INDIRECT("RC[-2]",0))&gt;0,"",INDIRECT("RC[-2]",0))</f>
        <v>0</v>
      </c>
    </row>
    <row r="454" spans="2:6">
      <c r="B454" t="str" cm="1">
        <f t="array" aca="1" ref="B454" ca="1">IFERROR(DATE(RIGHT(INDIRECT("RC[-1]",0),4),LEFT(INDIRECT("RC[-1]",0),2),1), "")</f>
        <v/>
      </c>
      <c r="C454" s="182"/>
      <c r="F454" cm="1">
        <f t="array" aca="1" ref="F454" ca="1">IF(COUNTIF($E$2:$E$2000,INDIRECT("RC[-2]",0))&gt;0,"",INDIRECT("RC[-2]",0))</f>
        <v>0</v>
      </c>
    </row>
    <row r="455" spans="2:6">
      <c r="B455" t="str" cm="1">
        <f t="array" aca="1" ref="B455" ca="1">IFERROR(DATE(RIGHT(INDIRECT("RC[-1]",0),4),LEFT(INDIRECT("RC[-1]",0),2),1), "")</f>
        <v/>
      </c>
      <c r="C455" s="182"/>
      <c r="F455" cm="1">
        <f t="array" aca="1" ref="F455" ca="1">IF(COUNTIF($E$2:$E$2000,INDIRECT("RC[-2]",0))&gt;0,"",INDIRECT("RC[-2]",0))</f>
        <v>0</v>
      </c>
    </row>
    <row r="456" spans="2:6">
      <c r="B456" t="str" cm="1">
        <f t="array" aca="1" ref="B456" ca="1">IFERROR(DATE(RIGHT(INDIRECT("RC[-1]",0),4),LEFT(INDIRECT("RC[-1]",0),2),1), "")</f>
        <v/>
      </c>
      <c r="C456" s="182"/>
      <c r="F456" cm="1">
        <f t="array" aca="1" ref="F456" ca="1">IF(COUNTIF($E$2:$E$2000,INDIRECT("RC[-2]",0))&gt;0,"",INDIRECT("RC[-2]",0))</f>
        <v>0</v>
      </c>
    </row>
    <row r="457" spans="2:6">
      <c r="B457" t="str" cm="1">
        <f t="array" aca="1" ref="B457" ca="1">IFERROR(DATE(RIGHT(INDIRECT("RC[-1]",0),4),LEFT(INDIRECT("RC[-1]",0),2),1), "")</f>
        <v/>
      </c>
      <c r="C457" s="182"/>
      <c r="F457" cm="1">
        <f t="array" aca="1" ref="F457" ca="1">IF(COUNTIF($E$2:$E$2000,INDIRECT("RC[-2]",0))&gt;0,"",INDIRECT("RC[-2]",0))</f>
        <v>0</v>
      </c>
    </row>
    <row r="458" spans="2:6">
      <c r="B458" t="str" cm="1">
        <f t="array" aca="1" ref="B458" ca="1">IFERROR(DATE(RIGHT(INDIRECT("RC[-1]",0),4),LEFT(INDIRECT("RC[-1]",0),2),1), "")</f>
        <v/>
      </c>
      <c r="C458" s="182"/>
      <c r="F458" cm="1">
        <f t="array" aca="1" ref="F458" ca="1">IF(COUNTIF($E$2:$E$2000,INDIRECT("RC[-2]",0))&gt;0,"",INDIRECT("RC[-2]",0))</f>
        <v>0</v>
      </c>
    </row>
    <row r="459" spans="2:6">
      <c r="B459" t="str" cm="1">
        <f t="array" aca="1" ref="B459" ca="1">IFERROR(DATE(RIGHT(INDIRECT("RC[-1]",0),4),LEFT(INDIRECT("RC[-1]",0),2),1), "")</f>
        <v/>
      </c>
      <c r="C459" s="182"/>
      <c r="F459" cm="1">
        <f t="array" aca="1" ref="F459" ca="1">IF(COUNTIF($E$2:$E$2000,INDIRECT("RC[-2]",0))&gt;0,"",INDIRECT("RC[-2]",0))</f>
        <v>0</v>
      </c>
    </row>
    <row r="460" spans="2:6">
      <c r="B460" t="str" cm="1">
        <f t="array" aca="1" ref="B460" ca="1">IFERROR(DATE(RIGHT(INDIRECT("RC[-1]",0),4),LEFT(INDIRECT("RC[-1]",0),2),1), "")</f>
        <v/>
      </c>
      <c r="C460" s="182"/>
      <c r="F460" cm="1">
        <f t="array" aca="1" ref="F460" ca="1">IF(COUNTIF($E$2:$E$2000,INDIRECT("RC[-2]",0))&gt;0,"",INDIRECT("RC[-2]",0))</f>
        <v>0</v>
      </c>
    </row>
    <row r="461" spans="2:6">
      <c r="B461" t="str" cm="1">
        <f t="array" aca="1" ref="B461" ca="1">IFERROR(DATE(RIGHT(INDIRECT("RC[-1]",0),4),LEFT(INDIRECT("RC[-1]",0),2),1), "")</f>
        <v/>
      </c>
      <c r="C461" s="182"/>
      <c r="F461" cm="1">
        <f t="array" aca="1" ref="F461" ca="1">IF(COUNTIF($E$2:$E$2000,INDIRECT("RC[-2]",0))&gt;0,"",INDIRECT("RC[-2]",0))</f>
        <v>0</v>
      </c>
    </row>
    <row r="462" spans="2:6">
      <c r="B462" t="str" cm="1">
        <f t="array" aca="1" ref="B462" ca="1">IFERROR(DATE(RIGHT(INDIRECT("RC[-1]",0),4),LEFT(INDIRECT("RC[-1]",0),2),1), "")</f>
        <v/>
      </c>
      <c r="C462" s="182"/>
      <c r="F462" cm="1">
        <f t="array" aca="1" ref="F462" ca="1">IF(COUNTIF($E$2:$E$2000,INDIRECT("RC[-2]",0))&gt;0,"",INDIRECT("RC[-2]",0))</f>
        <v>0</v>
      </c>
    </row>
    <row r="463" spans="2:6">
      <c r="B463" t="str" cm="1">
        <f t="array" aca="1" ref="B463" ca="1">IFERROR(DATE(RIGHT(INDIRECT("RC[-1]",0),4),LEFT(INDIRECT("RC[-1]",0),2),1), "")</f>
        <v/>
      </c>
      <c r="C463" s="182"/>
      <c r="F463" cm="1">
        <f t="array" aca="1" ref="F463" ca="1">IF(COUNTIF($E$2:$E$2000,INDIRECT("RC[-2]",0))&gt;0,"",INDIRECT("RC[-2]",0))</f>
        <v>0</v>
      </c>
    </row>
    <row r="464" spans="2:6">
      <c r="B464" t="str" cm="1">
        <f t="array" aca="1" ref="B464" ca="1">IFERROR(DATE(RIGHT(INDIRECT("RC[-1]",0),4),LEFT(INDIRECT("RC[-1]",0),2),1), "")</f>
        <v/>
      </c>
      <c r="C464" s="182"/>
      <c r="F464" cm="1">
        <f t="array" aca="1" ref="F464" ca="1">IF(COUNTIF($E$2:$E$2000,INDIRECT("RC[-2]",0))&gt;0,"",INDIRECT("RC[-2]",0))</f>
        <v>0</v>
      </c>
    </row>
    <row r="465" spans="2:6">
      <c r="B465" t="str" cm="1">
        <f t="array" aca="1" ref="B465" ca="1">IFERROR(DATE(RIGHT(INDIRECT("RC[-1]",0),4),LEFT(INDIRECT("RC[-1]",0),2),1), "")</f>
        <v/>
      </c>
      <c r="C465" s="182"/>
      <c r="F465" cm="1">
        <f t="array" aca="1" ref="F465" ca="1">IF(COUNTIF($E$2:$E$2000,INDIRECT("RC[-2]",0))&gt;0,"",INDIRECT("RC[-2]",0))</f>
        <v>0</v>
      </c>
    </row>
    <row r="466" spans="2:6">
      <c r="B466" t="str" cm="1">
        <f t="array" aca="1" ref="B466" ca="1">IFERROR(DATE(RIGHT(INDIRECT("RC[-1]",0),4),LEFT(INDIRECT("RC[-1]",0),2),1), "")</f>
        <v/>
      </c>
      <c r="C466" s="182"/>
      <c r="F466" cm="1">
        <f t="array" aca="1" ref="F466" ca="1">IF(COUNTIF($E$2:$E$2000,INDIRECT("RC[-2]",0))&gt;0,"",INDIRECT("RC[-2]",0))</f>
        <v>0</v>
      </c>
    </row>
    <row r="467" spans="2:6">
      <c r="B467" t="str" cm="1">
        <f t="array" aca="1" ref="B467" ca="1">IFERROR(DATE(RIGHT(INDIRECT("RC[-1]",0),4),LEFT(INDIRECT("RC[-1]",0),2),1), "")</f>
        <v/>
      </c>
      <c r="C467" s="182"/>
      <c r="F467" cm="1">
        <f t="array" aca="1" ref="F467" ca="1">IF(COUNTIF($E$2:$E$2000,INDIRECT("RC[-2]",0))&gt;0,"",INDIRECT("RC[-2]",0))</f>
        <v>0</v>
      </c>
    </row>
    <row r="468" spans="2:6">
      <c r="B468" t="str" cm="1">
        <f t="array" aca="1" ref="B468" ca="1">IFERROR(DATE(RIGHT(INDIRECT("RC[-1]",0),4),LEFT(INDIRECT("RC[-1]",0),2),1), "")</f>
        <v/>
      </c>
      <c r="C468" s="182"/>
      <c r="F468" cm="1">
        <f t="array" aca="1" ref="F468" ca="1">IF(COUNTIF($E$2:$E$2000,INDIRECT("RC[-2]",0))&gt;0,"",INDIRECT("RC[-2]",0))</f>
        <v>0</v>
      </c>
    </row>
    <row r="469" spans="2:6">
      <c r="B469" t="str" cm="1">
        <f t="array" aca="1" ref="B469" ca="1">IFERROR(DATE(RIGHT(INDIRECT("RC[-1]",0),4),LEFT(INDIRECT("RC[-1]",0),2),1), "")</f>
        <v/>
      </c>
      <c r="C469" s="182"/>
      <c r="F469" cm="1">
        <f t="array" aca="1" ref="F469" ca="1">IF(COUNTIF($E$2:$E$2000,INDIRECT("RC[-2]",0))&gt;0,"",INDIRECT("RC[-2]",0))</f>
        <v>0</v>
      </c>
    </row>
    <row r="470" spans="2:6">
      <c r="B470" t="str" cm="1">
        <f t="array" aca="1" ref="B470" ca="1">IFERROR(DATE(RIGHT(INDIRECT("RC[-1]",0),4),LEFT(INDIRECT("RC[-1]",0),2),1), "")</f>
        <v/>
      </c>
      <c r="C470" s="182"/>
      <c r="F470" cm="1">
        <f t="array" aca="1" ref="F470" ca="1">IF(COUNTIF($E$2:$E$2000,INDIRECT("RC[-2]",0))&gt;0,"",INDIRECT("RC[-2]",0))</f>
        <v>0</v>
      </c>
    </row>
    <row r="471" spans="2:6">
      <c r="B471" t="str" cm="1">
        <f t="array" aca="1" ref="B471" ca="1">IFERROR(DATE(RIGHT(INDIRECT("RC[-1]",0),4),LEFT(INDIRECT("RC[-1]",0),2),1), "")</f>
        <v/>
      </c>
      <c r="C471" s="182"/>
      <c r="F471" cm="1">
        <f t="array" aca="1" ref="F471" ca="1">IF(COUNTIF($E$2:$E$2000,INDIRECT("RC[-2]",0))&gt;0,"",INDIRECT("RC[-2]",0))</f>
        <v>0</v>
      </c>
    </row>
    <row r="472" spans="2:6">
      <c r="B472" t="str" cm="1">
        <f t="array" aca="1" ref="B472" ca="1">IFERROR(DATE(RIGHT(INDIRECT("RC[-1]",0),4),LEFT(INDIRECT("RC[-1]",0),2),1), "")</f>
        <v/>
      </c>
      <c r="C472" s="182"/>
      <c r="F472" cm="1">
        <f t="array" aca="1" ref="F472" ca="1">IF(COUNTIF($E$2:$E$2000,INDIRECT("RC[-2]",0))&gt;0,"",INDIRECT("RC[-2]",0))</f>
        <v>0</v>
      </c>
    </row>
    <row r="473" spans="2:6">
      <c r="B473" t="str" cm="1">
        <f t="array" aca="1" ref="B473" ca="1">IFERROR(DATE(RIGHT(INDIRECT("RC[-1]",0),4),LEFT(INDIRECT("RC[-1]",0),2),1), "")</f>
        <v/>
      </c>
      <c r="C473" s="182"/>
      <c r="F473" cm="1">
        <f t="array" aca="1" ref="F473" ca="1">IF(COUNTIF($E$2:$E$2000,INDIRECT("RC[-2]",0))&gt;0,"",INDIRECT("RC[-2]",0))</f>
        <v>0</v>
      </c>
    </row>
    <row r="474" spans="2:6">
      <c r="B474" t="str" cm="1">
        <f t="array" aca="1" ref="B474" ca="1">IFERROR(DATE(RIGHT(INDIRECT("RC[-1]",0),4),LEFT(INDIRECT("RC[-1]",0),2),1), "")</f>
        <v/>
      </c>
      <c r="C474" s="182"/>
      <c r="F474" cm="1">
        <f t="array" aca="1" ref="F474" ca="1">IF(COUNTIF($E$2:$E$2000,INDIRECT("RC[-2]",0))&gt;0,"",INDIRECT("RC[-2]",0))</f>
        <v>0</v>
      </c>
    </row>
    <row r="475" spans="2:6">
      <c r="B475" t="str" cm="1">
        <f t="array" aca="1" ref="B475" ca="1">IFERROR(DATE(RIGHT(INDIRECT("RC[-1]",0),4),LEFT(INDIRECT("RC[-1]",0),2),1), "")</f>
        <v/>
      </c>
      <c r="C475" s="182"/>
      <c r="F475" cm="1">
        <f t="array" aca="1" ref="F475" ca="1">IF(COUNTIF($E$2:$E$2000,INDIRECT("RC[-2]",0))&gt;0,"",INDIRECT("RC[-2]",0))</f>
        <v>0</v>
      </c>
    </row>
    <row r="476" spans="2:6">
      <c r="B476" t="str" cm="1">
        <f t="array" aca="1" ref="B476" ca="1">IFERROR(DATE(RIGHT(INDIRECT("RC[-1]",0),4),LEFT(INDIRECT("RC[-1]",0),2),1), "")</f>
        <v/>
      </c>
      <c r="C476" s="182"/>
      <c r="F476" cm="1">
        <f t="array" aca="1" ref="F476" ca="1">IF(COUNTIF($E$2:$E$2000,INDIRECT("RC[-2]",0))&gt;0,"",INDIRECT("RC[-2]",0))</f>
        <v>0</v>
      </c>
    </row>
    <row r="477" spans="2:6">
      <c r="B477" t="str" cm="1">
        <f t="array" aca="1" ref="B477" ca="1">IFERROR(DATE(RIGHT(INDIRECT("RC[-1]",0),4),LEFT(INDIRECT("RC[-1]",0),2),1), "")</f>
        <v/>
      </c>
      <c r="C477" s="182"/>
      <c r="F477" cm="1">
        <f t="array" aca="1" ref="F477" ca="1">IF(COUNTIF($E$2:$E$2000,INDIRECT("RC[-2]",0))&gt;0,"",INDIRECT("RC[-2]",0))</f>
        <v>0</v>
      </c>
    </row>
    <row r="478" spans="2:6">
      <c r="B478" t="str" cm="1">
        <f t="array" aca="1" ref="B478" ca="1">IFERROR(DATE(RIGHT(INDIRECT("RC[-1]",0),4),LEFT(INDIRECT("RC[-1]",0),2),1), "")</f>
        <v/>
      </c>
      <c r="C478" s="182"/>
      <c r="F478" cm="1">
        <f t="array" aca="1" ref="F478" ca="1">IF(COUNTIF($E$2:$E$2000,INDIRECT("RC[-2]",0))&gt;0,"",INDIRECT("RC[-2]",0))</f>
        <v>0</v>
      </c>
    </row>
    <row r="479" spans="2:6">
      <c r="B479" t="str" cm="1">
        <f t="array" aca="1" ref="B479" ca="1">IFERROR(DATE(RIGHT(INDIRECT("RC[-1]",0),4),LEFT(INDIRECT("RC[-1]",0),2),1), "")</f>
        <v/>
      </c>
      <c r="C479" s="182"/>
      <c r="F479" cm="1">
        <f t="array" aca="1" ref="F479" ca="1">IF(COUNTIF($E$2:$E$2000,INDIRECT("RC[-2]",0))&gt;0,"",INDIRECT("RC[-2]",0))</f>
        <v>0</v>
      </c>
    </row>
    <row r="480" spans="2:6">
      <c r="B480" t="str" cm="1">
        <f t="array" aca="1" ref="B480" ca="1">IFERROR(DATE(RIGHT(INDIRECT("RC[-1]",0),4),LEFT(INDIRECT("RC[-1]",0),2),1), "")</f>
        <v/>
      </c>
      <c r="C480" s="182"/>
      <c r="F480" cm="1">
        <f t="array" aca="1" ref="F480" ca="1">IF(COUNTIF($E$2:$E$2000,INDIRECT("RC[-2]",0))&gt;0,"",INDIRECT("RC[-2]",0))</f>
        <v>0</v>
      </c>
    </row>
    <row r="481" spans="2:6">
      <c r="B481" t="str" cm="1">
        <f t="array" aca="1" ref="B481" ca="1">IFERROR(DATE(RIGHT(INDIRECT("RC[-1]",0),4),LEFT(INDIRECT("RC[-1]",0),2),1), "")</f>
        <v/>
      </c>
      <c r="C481" s="182"/>
      <c r="F481" cm="1">
        <f t="array" aca="1" ref="F481" ca="1">IF(COUNTIF($E$2:$E$2000,INDIRECT("RC[-2]",0))&gt;0,"",INDIRECT("RC[-2]",0))</f>
        <v>0</v>
      </c>
    </row>
    <row r="482" spans="2:6">
      <c r="B482" t="str" cm="1">
        <f t="array" aca="1" ref="B482" ca="1">IFERROR(DATE(RIGHT(INDIRECT("RC[-1]",0),4),LEFT(INDIRECT("RC[-1]",0),2),1), "")</f>
        <v/>
      </c>
      <c r="C482" s="182"/>
      <c r="F482" cm="1">
        <f t="array" aca="1" ref="F482" ca="1">IF(COUNTIF($E$2:$E$2000,INDIRECT("RC[-2]",0))&gt;0,"",INDIRECT("RC[-2]",0))</f>
        <v>0</v>
      </c>
    </row>
    <row r="483" spans="2:6">
      <c r="B483" t="str" cm="1">
        <f t="array" aca="1" ref="B483" ca="1">IFERROR(DATE(RIGHT(INDIRECT("RC[-1]",0),4),LEFT(INDIRECT("RC[-1]",0),2),1), "")</f>
        <v/>
      </c>
      <c r="C483" s="182"/>
      <c r="F483" cm="1">
        <f t="array" aca="1" ref="F483" ca="1">IF(COUNTIF($E$2:$E$2000,INDIRECT("RC[-2]",0))&gt;0,"",INDIRECT("RC[-2]",0))</f>
        <v>0</v>
      </c>
    </row>
    <row r="484" spans="2:6">
      <c r="B484" t="str" cm="1">
        <f t="array" aca="1" ref="B484" ca="1">IFERROR(DATE(RIGHT(INDIRECT("RC[-1]",0),4),LEFT(INDIRECT("RC[-1]",0),2),1), "")</f>
        <v/>
      </c>
      <c r="C484" s="182"/>
      <c r="F484" cm="1">
        <f t="array" aca="1" ref="F484" ca="1">IF(COUNTIF($E$2:$E$2000,INDIRECT("RC[-2]",0))&gt;0,"",INDIRECT("RC[-2]",0))</f>
        <v>0</v>
      </c>
    </row>
    <row r="485" spans="2:6">
      <c r="B485" t="str" cm="1">
        <f t="array" aca="1" ref="B485" ca="1">IFERROR(DATE(RIGHT(INDIRECT("RC[-1]",0),4),LEFT(INDIRECT("RC[-1]",0),2),1), "")</f>
        <v/>
      </c>
      <c r="C485" s="182"/>
      <c r="F485" cm="1">
        <f t="array" aca="1" ref="F485" ca="1">IF(COUNTIF($E$2:$E$2000,INDIRECT("RC[-2]",0))&gt;0,"",INDIRECT("RC[-2]",0))</f>
        <v>0</v>
      </c>
    </row>
    <row r="486" spans="2:6">
      <c r="B486" t="str" cm="1">
        <f t="array" aca="1" ref="B486" ca="1">IFERROR(DATE(RIGHT(INDIRECT("RC[-1]",0),4),LEFT(INDIRECT("RC[-1]",0),2),1), "")</f>
        <v/>
      </c>
      <c r="C486" s="182"/>
      <c r="F486" cm="1">
        <f t="array" aca="1" ref="F486" ca="1">IF(COUNTIF($E$2:$E$2000,INDIRECT("RC[-2]",0))&gt;0,"",INDIRECT("RC[-2]",0))</f>
        <v>0</v>
      </c>
    </row>
    <row r="487" spans="2:6">
      <c r="B487" t="str" cm="1">
        <f t="array" aca="1" ref="B487" ca="1">IFERROR(DATE(RIGHT(INDIRECT("RC[-1]",0),4),LEFT(INDIRECT("RC[-1]",0),2),1), "")</f>
        <v/>
      </c>
      <c r="C487" s="182"/>
      <c r="F487" cm="1">
        <f t="array" aca="1" ref="F487" ca="1">IF(COUNTIF($E$2:$E$2000,INDIRECT("RC[-2]",0))&gt;0,"",INDIRECT("RC[-2]",0))</f>
        <v>0</v>
      </c>
    </row>
    <row r="488" spans="2:6">
      <c r="B488" t="str" cm="1">
        <f t="array" aca="1" ref="B488" ca="1">IFERROR(DATE(RIGHT(INDIRECT("RC[-1]",0),4),LEFT(INDIRECT("RC[-1]",0),2),1), "")</f>
        <v/>
      </c>
      <c r="C488" s="182"/>
      <c r="F488" cm="1">
        <f t="array" aca="1" ref="F488" ca="1">IF(COUNTIF($E$2:$E$2000,INDIRECT("RC[-2]",0))&gt;0,"",INDIRECT("RC[-2]",0))</f>
        <v>0</v>
      </c>
    </row>
    <row r="489" spans="2:6">
      <c r="B489" t="str" cm="1">
        <f t="array" aca="1" ref="B489" ca="1">IFERROR(DATE(RIGHT(INDIRECT("RC[-1]",0),4),LEFT(INDIRECT("RC[-1]",0),2),1), "")</f>
        <v/>
      </c>
      <c r="C489" s="182"/>
      <c r="F489" cm="1">
        <f t="array" aca="1" ref="F489" ca="1">IF(COUNTIF($E$2:$E$2000,INDIRECT("RC[-2]",0))&gt;0,"",INDIRECT("RC[-2]",0))</f>
        <v>0</v>
      </c>
    </row>
    <row r="490" spans="2:6">
      <c r="B490" t="str" cm="1">
        <f t="array" aca="1" ref="B490" ca="1">IFERROR(DATE(RIGHT(INDIRECT("RC[-1]",0),4),LEFT(INDIRECT("RC[-1]",0),2),1), "")</f>
        <v/>
      </c>
      <c r="C490" s="182"/>
      <c r="F490" cm="1">
        <f t="array" aca="1" ref="F490" ca="1">IF(COUNTIF($E$2:$E$2000,INDIRECT("RC[-2]",0))&gt;0,"",INDIRECT("RC[-2]",0))</f>
        <v>0</v>
      </c>
    </row>
    <row r="491" spans="2:6">
      <c r="B491" t="str" cm="1">
        <f t="array" aca="1" ref="B491" ca="1">IFERROR(DATE(RIGHT(INDIRECT("RC[-1]",0),4),LEFT(INDIRECT("RC[-1]",0),2),1), "")</f>
        <v/>
      </c>
      <c r="C491" s="182"/>
      <c r="F491" cm="1">
        <f t="array" aca="1" ref="F491" ca="1">IF(COUNTIF($E$2:$E$2000,INDIRECT("RC[-2]",0))&gt;0,"",INDIRECT("RC[-2]",0))</f>
        <v>0</v>
      </c>
    </row>
    <row r="492" spans="2:6">
      <c r="B492" t="str" cm="1">
        <f t="array" aca="1" ref="B492" ca="1">IFERROR(DATE(RIGHT(INDIRECT("RC[-1]",0),4),LEFT(INDIRECT("RC[-1]",0),2),1), "")</f>
        <v/>
      </c>
      <c r="C492" s="182"/>
      <c r="F492" cm="1">
        <f t="array" aca="1" ref="F492" ca="1">IF(COUNTIF($E$2:$E$2000,INDIRECT("RC[-2]",0))&gt;0,"",INDIRECT("RC[-2]",0))</f>
        <v>0</v>
      </c>
    </row>
    <row r="493" spans="2:6">
      <c r="B493" t="str" cm="1">
        <f t="array" aca="1" ref="B493" ca="1">IFERROR(DATE(RIGHT(INDIRECT("RC[-1]",0),4),LEFT(INDIRECT("RC[-1]",0),2),1), "")</f>
        <v/>
      </c>
      <c r="C493" s="182"/>
      <c r="F493" cm="1">
        <f t="array" aca="1" ref="F493" ca="1">IF(COUNTIF($E$2:$E$2000,INDIRECT("RC[-2]",0))&gt;0,"",INDIRECT("RC[-2]",0))</f>
        <v>0</v>
      </c>
    </row>
    <row r="494" spans="2:6">
      <c r="B494" t="str" cm="1">
        <f t="array" aca="1" ref="B494" ca="1">IFERROR(DATE(RIGHT(INDIRECT("RC[-1]",0),4),LEFT(INDIRECT("RC[-1]",0),2),1), "")</f>
        <v/>
      </c>
      <c r="C494" s="182"/>
      <c r="F494" cm="1">
        <f t="array" aca="1" ref="F494" ca="1">IF(COUNTIF($E$2:$E$2000,INDIRECT("RC[-2]",0))&gt;0,"",INDIRECT("RC[-2]",0))</f>
        <v>0</v>
      </c>
    </row>
    <row r="495" spans="2:6">
      <c r="B495" t="str" cm="1">
        <f t="array" aca="1" ref="B495" ca="1">IFERROR(DATE(RIGHT(INDIRECT("RC[-1]",0),4),LEFT(INDIRECT("RC[-1]",0),2),1), "")</f>
        <v/>
      </c>
      <c r="C495" s="182"/>
      <c r="F495" cm="1">
        <f t="array" aca="1" ref="F495" ca="1">IF(COUNTIF($E$2:$E$2000,INDIRECT("RC[-2]",0))&gt;0,"",INDIRECT("RC[-2]",0))</f>
        <v>0</v>
      </c>
    </row>
    <row r="496" spans="2:6">
      <c r="B496" t="str" cm="1">
        <f t="array" aca="1" ref="B496" ca="1">IFERROR(DATE(RIGHT(INDIRECT("RC[-1]",0),4),LEFT(INDIRECT("RC[-1]",0),2),1), "")</f>
        <v/>
      </c>
      <c r="C496" s="182"/>
      <c r="F496" cm="1">
        <f t="array" aca="1" ref="F496" ca="1">IF(COUNTIF($E$2:$E$2000,INDIRECT("RC[-2]",0))&gt;0,"",INDIRECT("RC[-2]",0))</f>
        <v>0</v>
      </c>
    </row>
    <row r="497" spans="2:6">
      <c r="B497" t="str" cm="1">
        <f t="array" aca="1" ref="B497" ca="1">IFERROR(DATE(RIGHT(INDIRECT("RC[-1]",0),4),LEFT(INDIRECT("RC[-1]",0),2),1), "")</f>
        <v/>
      </c>
      <c r="C497" s="182"/>
      <c r="F497" cm="1">
        <f t="array" aca="1" ref="F497" ca="1">IF(COUNTIF($E$2:$E$2000,INDIRECT("RC[-2]",0))&gt;0,"",INDIRECT("RC[-2]",0))</f>
        <v>0</v>
      </c>
    </row>
    <row r="498" spans="2:6">
      <c r="B498" t="str" cm="1">
        <f t="array" aca="1" ref="B498" ca="1">IFERROR(DATE(RIGHT(INDIRECT("RC[-1]",0),4),LEFT(INDIRECT("RC[-1]",0),2),1), "")</f>
        <v/>
      </c>
      <c r="C498" s="182"/>
      <c r="F498" cm="1">
        <f t="array" aca="1" ref="F498" ca="1">IF(COUNTIF($E$2:$E$2000,INDIRECT("RC[-2]",0))&gt;0,"",INDIRECT("RC[-2]",0))</f>
        <v>0</v>
      </c>
    </row>
    <row r="499" spans="2:6">
      <c r="B499" t="str" cm="1">
        <f t="array" aca="1" ref="B499" ca="1">IFERROR(DATE(RIGHT(INDIRECT("RC[-1]",0),4),LEFT(INDIRECT("RC[-1]",0),2),1), "")</f>
        <v/>
      </c>
      <c r="C499" s="182"/>
      <c r="F499" cm="1">
        <f t="array" aca="1" ref="F499" ca="1">IF(COUNTIF($E$2:$E$2000,INDIRECT("RC[-2]",0))&gt;0,"",INDIRECT("RC[-2]",0))</f>
        <v>0</v>
      </c>
    </row>
    <row r="500" spans="2:6">
      <c r="B500" t="str" cm="1">
        <f t="array" aca="1" ref="B500" ca="1">IFERROR(DATE(RIGHT(INDIRECT("RC[-1]",0),4),LEFT(INDIRECT("RC[-1]",0),2),1), "")</f>
        <v/>
      </c>
      <c r="C500" s="182"/>
      <c r="F500" cm="1">
        <f t="array" aca="1" ref="F500" ca="1">IF(COUNTIF($E$2:$E$2000,INDIRECT("RC[-2]",0))&gt;0,"",INDIRECT("RC[-2]",0))</f>
        <v>0</v>
      </c>
    </row>
    <row r="501" spans="2:6">
      <c r="B501" t="str" cm="1">
        <f t="array" aca="1" ref="B501" ca="1">IFERROR(DATE(RIGHT(INDIRECT("RC[-1]",0),4),LEFT(INDIRECT("RC[-1]",0),2),1), "")</f>
        <v/>
      </c>
      <c r="C501" s="182"/>
      <c r="F501" cm="1">
        <f t="array" aca="1" ref="F501" ca="1">IF(COUNTIF($E$2:$E$2000,INDIRECT("RC[-2]",0))&gt;0,"",INDIRECT("RC[-2]",0))</f>
        <v>0</v>
      </c>
    </row>
    <row r="502" spans="2:6">
      <c r="B502" t="str" cm="1">
        <f t="array" aca="1" ref="B502" ca="1">IFERROR(DATE(RIGHT(INDIRECT("RC[-1]",0),4),LEFT(INDIRECT("RC[-1]",0),2),1), "")</f>
        <v/>
      </c>
      <c r="C502" s="182"/>
      <c r="F502" cm="1">
        <f t="array" aca="1" ref="F502" ca="1">IF(COUNTIF($E$2:$E$2000,INDIRECT("RC[-2]",0))&gt;0,"",INDIRECT("RC[-2]",0))</f>
        <v>0</v>
      </c>
    </row>
    <row r="503" spans="2:6">
      <c r="B503" t="str" cm="1">
        <f t="array" aca="1" ref="B503" ca="1">IFERROR(DATE(RIGHT(INDIRECT("RC[-1]",0),4),LEFT(INDIRECT("RC[-1]",0),2),1), "")</f>
        <v/>
      </c>
      <c r="C503" s="182"/>
      <c r="F503" cm="1">
        <f t="array" aca="1" ref="F503" ca="1">IF(COUNTIF($E$2:$E$2000,INDIRECT("RC[-2]",0))&gt;0,"",INDIRECT("RC[-2]",0))</f>
        <v>0</v>
      </c>
    </row>
    <row r="504" spans="2:6">
      <c r="B504" t="str" cm="1">
        <f t="array" aca="1" ref="B504" ca="1">IFERROR(DATE(RIGHT(INDIRECT("RC[-1]",0),4),LEFT(INDIRECT("RC[-1]",0),2),1), "")</f>
        <v/>
      </c>
      <c r="C504" s="182"/>
      <c r="F504" cm="1">
        <f t="array" aca="1" ref="F504" ca="1">IF(COUNTIF($E$2:$E$2000,INDIRECT("RC[-2]",0))&gt;0,"",INDIRECT("RC[-2]",0))</f>
        <v>0</v>
      </c>
    </row>
    <row r="505" spans="2:6">
      <c r="B505" t="str" cm="1">
        <f t="array" aca="1" ref="B505" ca="1">IFERROR(DATE(RIGHT(INDIRECT("RC[-1]",0),4),LEFT(INDIRECT("RC[-1]",0),2),1), "")</f>
        <v/>
      </c>
      <c r="C505" s="182"/>
      <c r="F505" cm="1">
        <f t="array" aca="1" ref="F505" ca="1">IF(COUNTIF($E$2:$E$2000,INDIRECT("RC[-2]",0))&gt;0,"",INDIRECT("RC[-2]",0))</f>
        <v>0</v>
      </c>
    </row>
    <row r="506" spans="2:6">
      <c r="B506" t="str" cm="1">
        <f t="array" aca="1" ref="B506" ca="1">IFERROR(DATE(RIGHT(INDIRECT("RC[-1]",0),4),LEFT(INDIRECT("RC[-1]",0),2),1), "")</f>
        <v/>
      </c>
      <c r="C506" s="182"/>
      <c r="F506" cm="1">
        <f t="array" aca="1" ref="F506" ca="1">IF(COUNTIF($E$2:$E$2000,INDIRECT("RC[-2]",0))&gt;0,"",INDIRECT("RC[-2]",0))</f>
        <v>0</v>
      </c>
    </row>
    <row r="507" spans="2:6">
      <c r="B507" t="str" cm="1">
        <f t="array" aca="1" ref="B507" ca="1">IFERROR(DATE(RIGHT(INDIRECT("RC[-1]",0),4),LEFT(INDIRECT("RC[-1]",0),2),1), "")</f>
        <v/>
      </c>
      <c r="C507" s="182"/>
      <c r="F507" cm="1">
        <f t="array" aca="1" ref="F507" ca="1">IF(COUNTIF($E$2:$E$2000,INDIRECT("RC[-2]",0))&gt;0,"",INDIRECT("RC[-2]",0))</f>
        <v>0</v>
      </c>
    </row>
    <row r="508" spans="2:6">
      <c r="B508" t="str" cm="1">
        <f t="array" aca="1" ref="B508" ca="1">IFERROR(DATE(RIGHT(INDIRECT("RC[-1]",0),4),LEFT(INDIRECT("RC[-1]",0),2),1), "")</f>
        <v/>
      </c>
      <c r="C508" s="182"/>
      <c r="F508" cm="1">
        <f t="array" aca="1" ref="F508" ca="1">IF(COUNTIF($E$2:$E$2000,INDIRECT("RC[-2]",0))&gt;0,"",INDIRECT("RC[-2]",0))</f>
        <v>0</v>
      </c>
    </row>
    <row r="509" spans="2:6">
      <c r="B509" t="str" cm="1">
        <f t="array" aca="1" ref="B509" ca="1">IFERROR(DATE(RIGHT(INDIRECT("RC[-1]",0),4),LEFT(INDIRECT("RC[-1]",0),2),1), "")</f>
        <v/>
      </c>
      <c r="C509" s="182"/>
      <c r="F509" cm="1">
        <f t="array" aca="1" ref="F509" ca="1">IF(COUNTIF($E$2:$E$2000,INDIRECT("RC[-2]",0))&gt;0,"",INDIRECT("RC[-2]",0))</f>
        <v>0</v>
      </c>
    </row>
    <row r="510" spans="2:6">
      <c r="B510" t="str" cm="1">
        <f t="array" aca="1" ref="B510" ca="1">IFERROR(DATE(RIGHT(INDIRECT("RC[-1]",0),4),LEFT(INDIRECT("RC[-1]",0),2),1), "")</f>
        <v/>
      </c>
      <c r="C510" s="182"/>
      <c r="F510" cm="1">
        <f t="array" aca="1" ref="F510" ca="1">IF(COUNTIF($E$2:$E$2000,INDIRECT("RC[-2]",0))&gt;0,"",INDIRECT("RC[-2]",0))</f>
        <v>0</v>
      </c>
    </row>
    <row r="511" spans="2:6">
      <c r="B511" t="str" cm="1">
        <f t="array" aca="1" ref="B511" ca="1">IFERROR(DATE(RIGHT(INDIRECT("RC[-1]",0),4),LEFT(INDIRECT("RC[-1]",0),2),1), "")</f>
        <v/>
      </c>
      <c r="C511" s="182"/>
      <c r="F511" cm="1">
        <f t="array" aca="1" ref="F511" ca="1">IF(COUNTIF($E$2:$E$2000,INDIRECT("RC[-2]",0))&gt;0,"",INDIRECT("RC[-2]",0))</f>
        <v>0</v>
      </c>
    </row>
    <row r="512" spans="2:6">
      <c r="B512" t="str" cm="1">
        <f t="array" aca="1" ref="B512" ca="1">IFERROR(DATE(RIGHT(INDIRECT("RC[-1]",0),4),LEFT(INDIRECT("RC[-1]",0),2),1), "")</f>
        <v/>
      </c>
      <c r="C512" s="182"/>
      <c r="F512" cm="1">
        <f t="array" aca="1" ref="F512" ca="1">IF(COUNTIF($E$2:$E$2000,INDIRECT("RC[-2]",0))&gt;0,"",INDIRECT("RC[-2]",0))</f>
        <v>0</v>
      </c>
    </row>
    <row r="513" spans="2:6">
      <c r="B513" t="str" cm="1">
        <f t="array" aca="1" ref="B513" ca="1">IFERROR(DATE(RIGHT(INDIRECT("RC[-1]",0),4),LEFT(INDIRECT("RC[-1]",0),2),1), "")</f>
        <v/>
      </c>
      <c r="C513" s="182"/>
      <c r="F513" cm="1">
        <f t="array" aca="1" ref="F513" ca="1">IF(COUNTIF($E$2:$E$2000,INDIRECT("RC[-2]",0))&gt;0,"",INDIRECT("RC[-2]",0))</f>
        <v>0</v>
      </c>
    </row>
    <row r="514" spans="2:6">
      <c r="B514" t="str" cm="1">
        <f t="array" aca="1" ref="B514" ca="1">IFERROR(DATE(RIGHT(INDIRECT("RC[-1]",0),4),LEFT(INDIRECT("RC[-1]",0),2),1), "")</f>
        <v/>
      </c>
      <c r="C514" s="182"/>
      <c r="F514" cm="1">
        <f t="array" aca="1" ref="F514" ca="1">IF(COUNTIF($E$2:$E$2000,INDIRECT("RC[-2]",0))&gt;0,"",INDIRECT("RC[-2]",0))</f>
        <v>0</v>
      </c>
    </row>
    <row r="515" spans="2:6">
      <c r="B515" t="str" cm="1">
        <f t="array" aca="1" ref="B515" ca="1">IFERROR(DATE(RIGHT(INDIRECT("RC[-1]",0),4),LEFT(INDIRECT("RC[-1]",0),2),1), "")</f>
        <v/>
      </c>
      <c r="C515" s="182"/>
      <c r="F515" cm="1">
        <f t="array" aca="1" ref="F515" ca="1">IF(COUNTIF($E$2:$E$2000,INDIRECT("RC[-2]",0))&gt;0,"",INDIRECT("RC[-2]",0))</f>
        <v>0</v>
      </c>
    </row>
    <row r="516" spans="2:6">
      <c r="B516" t="str" cm="1">
        <f t="array" aca="1" ref="B516" ca="1">IFERROR(DATE(RIGHT(INDIRECT("RC[-1]",0),4),LEFT(INDIRECT("RC[-1]",0),2),1), "")</f>
        <v/>
      </c>
      <c r="C516" s="182"/>
      <c r="F516" cm="1">
        <f t="array" aca="1" ref="F516" ca="1">IF(COUNTIF($E$2:$E$2000,INDIRECT("RC[-2]",0))&gt;0,"",INDIRECT("RC[-2]",0))</f>
        <v>0</v>
      </c>
    </row>
    <row r="517" spans="2:6">
      <c r="B517" t="str" cm="1">
        <f t="array" aca="1" ref="B517" ca="1">IFERROR(DATE(RIGHT(INDIRECT("RC[-1]",0),4),LEFT(INDIRECT("RC[-1]",0),2),1), "")</f>
        <v/>
      </c>
      <c r="C517" s="182"/>
      <c r="F517" cm="1">
        <f t="array" aca="1" ref="F517" ca="1">IF(COUNTIF($E$2:$E$2000,INDIRECT("RC[-2]",0))&gt;0,"",INDIRECT("RC[-2]",0))</f>
        <v>0</v>
      </c>
    </row>
    <row r="518" spans="2:6">
      <c r="B518" t="str" cm="1">
        <f t="array" aca="1" ref="B518" ca="1">IFERROR(DATE(RIGHT(INDIRECT("RC[-1]",0),4),LEFT(INDIRECT("RC[-1]",0),2),1), "")</f>
        <v/>
      </c>
      <c r="C518" s="182"/>
      <c r="F518" cm="1">
        <f t="array" aca="1" ref="F518" ca="1">IF(COUNTIF($E$2:$E$2000,INDIRECT("RC[-2]",0))&gt;0,"",INDIRECT("RC[-2]",0))</f>
        <v>0</v>
      </c>
    </row>
    <row r="519" spans="2:6">
      <c r="B519" t="str" cm="1">
        <f t="array" aca="1" ref="B519" ca="1">IFERROR(DATE(RIGHT(INDIRECT("RC[-1]",0),4),LEFT(INDIRECT("RC[-1]",0),2),1), "")</f>
        <v/>
      </c>
      <c r="C519" s="182"/>
      <c r="F519" cm="1">
        <f t="array" aca="1" ref="F519" ca="1">IF(COUNTIF($E$2:$E$2000,INDIRECT("RC[-2]",0))&gt;0,"",INDIRECT("RC[-2]",0))</f>
        <v>0</v>
      </c>
    </row>
    <row r="520" spans="2:6">
      <c r="B520" t="str" cm="1">
        <f t="array" aca="1" ref="B520" ca="1">IFERROR(DATE(RIGHT(INDIRECT("RC[-1]",0),4),LEFT(INDIRECT("RC[-1]",0),2),1), "")</f>
        <v/>
      </c>
      <c r="C520" s="182"/>
      <c r="F520" cm="1">
        <f t="array" aca="1" ref="F520" ca="1">IF(COUNTIF($E$2:$E$2000,INDIRECT("RC[-2]",0))&gt;0,"",INDIRECT("RC[-2]",0))</f>
        <v>0</v>
      </c>
    </row>
    <row r="521" spans="2:6">
      <c r="B521" t="str" cm="1">
        <f t="array" aca="1" ref="B521" ca="1">IFERROR(DATE(RIGHT(INDIRECT("RC[-1]",0),4),LEFT(INDIRECT("RC[-1]",0),2),1), "")</f>
        <v/>
      </c>
      <c r="C521" s="182"/>
      <c r="F521" cm="1">
        <f t="array" aca="1" ref="F521" ca="1">IF(COUNTIF($E$2:$E$2000,INDIRECT("RC[-2]",0))&gt;0,"",INDIRECT("RC[-2]",0))</f>
        <v>0</v>
      </c>
    </row>
    <row r="522" spans="2:6">
      <c r="B522" t="str" cm="1">
        <f t="array" aca="1" ref="B522" ca="1">IFERROR(DATE(RIGHT(INDIRECT("RC[-1]",0),4),LEFT(INDIRECT("RC[-1]",0),2),1), "")</f>
        <v/>
      </c>
      <c r="C522" s="182"/>
      <c r="F522" cm="1">
        <f t="array" aca="1" ref="F522" ca="1">IF(COUNTIF($E$2:$E$2000,INDIRECT("RC[-2]",0))&gt;0,"",INDIRECT("RC[-2]",0))</f>
        <v>0</v>
      </c>
    </row>
    <row r="523" spans="2:6">
      <c r="B523" t="str" cm="1">
        <f t="array" aca="1" ref="B523" ca="1">IFERROR(DATE(RIGHT(INDIRECT("RC[-1]",0),4),LEFT(INDIRECT("RC[-1]",0),2),1), "")</f>
        <v/>
      </c>
      <c r="C523" s="182"/>
      <c r="F523" cm="1">
        <f t="array" aca="1" ref="F523" ca="1">IF(COUNTIF($E$2:$E$2000,INDIRECT("RC[-2]",0))&gt;0,"",INDIRECT("RC[-2]",0))</f>
        <v>0</v>
      </c>
    </row>
    <row r="524" spans="2:6">
      <c r="B524" t="str" cm="1">
        <f t="array" aca="1" ref="B524" ca="1">IFERROR(DATE(RIGHT(INDIRECT("RC[-1]",0),4),LEFT(INDIRECT("RC[-1]",0),2),1), "")</f>
        <v/>
      </c>
      <c r="C524" s="182"/>
      <c r="F524" cm="1">
        <f t="array" aca="1" ref="F524" ca="1">IF(COUNTIF($E$2:$E$2000,INDIRECT("RC[-2]",0))&gt;0,"",INDIRECT("RC[-2]",0))</f>
        <v>0</v>
      </c>
    </row>
    <row r="525" spans="2:6">
      <c r="B525" t="str" cm="1">
        <f t="array" aca="1" ref="B525" ca="1">IFERROR(DATE(RIGHT(INDIRECT("RC[-1]",0),4),LEFT(INDIRECT("RC[-1]",0),2),1), "")</f>
        <v/>
      </c>
      <c r="C525" s="182"/>
      <c r="F525" cm="1">
        <f t="array" aca="1" ref="F525" ca="1">IF(COUNTIF($E$2:$E$2000,INDIRECT("RC[-2]",0))&gt;0,"",INDIRECT("RC[-2]",0))</f>
        <v>0</v>
      </c>
    </row>
    <row r="526" spans="2:6">
      <c r="B526" t="str" cm="1">
        <f t="array" aca="1" ref="B526" ca="1">IFERROR(DATE(RIGHT(INDIRECT("RC[-1]",0),4),LEFT(INDIRECT("RC[-1]",0),2),1), "")</f>
        <v/>
      </c>
      <c r="C526" s="182"/>
      <c r="F526" cm="1">
        <f t="array" aca="1" ref="F526" ca="1">IF(COUNTIF($E$2:$E$2000,INDIRECT("RC[-2]",0))&gt;0,"",INDIRECT("RC[-2]",0))</f>
        <v>0</v>
      </c>
    </row>
    <row r="527" spans="2:6">
      <c r="B527" t="str" cm="1">
        <f t="array" aca="1" ref="B527" ca="1">IFERROR(DATE(RIGHT(INDIRECT("RC[-1]",0),4),LEFT(INDIRECT("RC[-1]",0),2),1), "")</f>
        <v/>
      </c>
      <c r="C527" s="182"/>
      <c r="F527" cm="1">
        <f t="array" aca="1" ref="F527" ca="1">IF(COUNTIF($E$2:$E$2000,INDIRECT("RC[-2]",0))&gt;0,"",INDIRECT("RC[-2]",0))</f>
        <v>0</v>
      </c>
    </row>
    <row r="528" spans="2:6">
      <c r="B528" t="str" cm="1">
        <f t="array" aca="1" ref="B528" ca="1">IFERROR(DATE(RIGHT(INDIRECT("RC[-1]",0),4),LEFT(INDIRECT("RC[-1]",0),2),1), "")</f>
        <v/>
      </c>
      <c r="C528" s="182"/>
      <c r="F528" cm="1">
        <f t="array" aca="1" ref="F528" ca="1">IF(COUNTIF($E$2:$E$2000,INDIRECT("RC[-2]",0))&gt;0,"",INDIRECT("RC[-2]",0))</f>
        <v>0</v>
      </c>
    </row>
    <row r="529" spans="2:6">
      <c r="B529" t="str" cm="1">
        <f t="array" aca="1" ref="B529" ca="1">IFERROR(DATE(RIGHT(INDIRECT("RC[-1]",0),4),LEFT(INDIRECT("RC[-1]",0),2),1), "")</f>
        <v/>
      </c>
      <c r="C529" s="182"/>
      <c r="F529" cm="1">
        <f t="array" aca="1" ref="F529" ca="1">IF(COUNTIF($E$2:$E$2000,INDIRECT("RC[-2]",0))&gt;0,"",INDIRECT("RC[-2]",0))</f>
        <v>0</v>
      </c>
    </row>
    <row r="530" spans="2:6">
      <c r="B530" t="str" cm="1">
        <f t="array" aca="1" ref="B530" ca="1">IFERROR(DATE(RIGHT(INDIRECT("RC[-1]",0),4),LEFT(INDIRECT("RC[-1]",0),2),1), "")</f>
        <v/>
      </c>
      <c r="C530" s="182"/>
      <c r="F530" cm="1">
        <f t="array" aca="1" ref="F530" ca="1">IF(COUNTIF($E$2:$E$2000,INDIRECT("RC[-2]",0))&gt;0,"",INDIRECT("RC[-2]",0))</f>
        <v>0</v>
      </c>
    </row>
    <row r="531" spans="2:6">
      <c r="B531" t="str" cm="1">
        <f t="array" aca="1" ref="B531" ca="1">IFERROR(DATE(RIGHT(INDIRECT("RC[-1]",0),4),LEFT(INDIRECT("RC[-1]",0),2),1), "")</f>
        <v/>
      </c>
      <c r="C531" s="182"/>
      <c r="F531" cm="1">
        <f t="array" aca="1" ref="F531" ca="1">IF(COUNTIF($E$2:$E$2000,INDIRECT("RC[-2]",0))&gt;0,"",INDIRECT("RC[-2]",0))</f>
        <v>0</v>
      </c>
    </row>
    <row r="532" spans="2:6">
      <c r="B532" t="str" cm="1">
        <f t="array" aca="1" ref="B532" ca="1">IFERROR(DATE(RIGHT(INDIRECT("RC[-1]",0),4),LEFT(INDIRECT("RC[-1]",0),2),1), "")</f>
        <v/>
      </c>
      <c r="C532" s="182"/>
      <c r="F532" cm="1">
        <f t="array" aca="1" ref="F532" ca="1">IF(COUNTIF($E$2:$E$2000,INDIRECT("RC[-2]",0))&gt;0,"",INDIRECT("RC[-2]",0))</f>
        <v>0</v>
      </c>
    </row>
    <row r="533" spans="2:6">
      <c r="B533" t="str" cm="1">
        <f t="array" aca="1" ref="B533" ca="1">IFERROR(DATE(RIGHT(INDIRECT("RC[-1]",0),4),LEFT(INDIRECT("RC[-1]",0),2),1), "")</f>
        <v/>
      </c>
      <c r="C533" s="182"/>
      <c r="F533" cm="1">
        <f t="array" aca="1" ref="F533" ca="1">IF(COUNTIF($E$2:$E$2000,INDIRECT("RC[-2]",0))&gt;0,"",INDIRECT("RC[-2]",0))</f>
        <v>0</v>
      </c>
    </row>
    <row r="534" spans="2:6">
      <c r="B534" t="str" cm="1">
        <f t="array" aca="1" ref="B534" ca="1">IFERROR(DATE(RIGHT(INDIRECT("RC[-1]",0),4),LEFT(INDIRECT("RC[-1]",0),2),1), "")</f>
        <v/>
      </c>
      <c r="C534" s="182"/>
      <c r="F534" cm="1">
        <f t="array" aca="1" ref="F534" ca="1">IF(COUNTIF($E$2:$E$2000,INDIRECT("RC[-2]",0))&gt;0,"",INDIRECT("RC[-2]",0))</f>
        <v>0</v>
      </c>
    </row>
    <row r="535" spans="2:6">
      <c r="B535" t="str" cm="1">
        <f t="array" aca="1" ref="B535" ca="1">IFERROR(DATE(RIGHT(INDIRECT("RC[-1]",0),4),LEFT(INDIRECT("RC[-1]",0),2),1), "")</f>
        <v/>
      </c>
      <c r="C535" s="182"/>
      <c r="F535" cm="1">
        <f t="array" aca="1" ref="F535" ca="1">IF(COUNTIF($E$2:$E$2000,INDIRECT("RC[-2]",0))&gt;0,"",INDIRECT("RC[-2]",0))</f>
        <v>0</v>
      </c>
    </row>
    <row r="536" spans="2:6">
      <c r="B536" t="str" cm="1">
        <f t="array" aca="1" ref="B536" ca="1">IFERROR(DATE(RIGHT(INDIRECT("RC[-1]",0),4),LEFT(INDIRECT("RC[-1]",0),2),1), "")</f>
        <v/>
      </c>
      <c r="C536" s="182"/>
      <c r="F536" cm="1">
        <f t="array" aca="1" ref="F536" ca="1">IF(COUNTIF($E$2:$E$2000,INDIRECT("RC[-2]",0))&gt;0,"",INDIRECT("RC[-2]",0))</f>
        <v>0</v>
      </c>
    </row>
    <row r="537" spans="2:6">
      <c r="B537" t="str" cm="1">
        <f t="array" aca="1" ref="B537" ca="1">IFERROR(DATE(RIGHT(INDIRECT("RC[-1]",0),4),LEFT(INDIRECT("RC[-1]",0),2),1), "")</f>
        <v/>
      </c>
      <c r="C537" s="182"/>
      <c r="F537" cm="1">
        <f t="array" aca="1" ref="F537" ca="1">IF(COUNTIF($E$2:$E$2000,INDIRECT("RC[-2]",0))&gt;0,"",INDIRECT("RC[-2]",0))</f>
        <v>0</v>
      </c>
    </row>
    <row r="538" spans="2:6">
      <c r="B538" t="str" cm="1">
        <f t="array" aca="1" ref="B538" ca="1">IFERROR(DATE(RIGHT(INDIRECT("RC[-1]",0),4),LEFT(INDIRECT("RC[-1]",0),2),1), "")</f>
        <v/>
      </c>
      <c r="C538" s="182"/>
      <c r="F538" cm="1">
        <f t="array" aca="1" ref="F538" ca="1">IF(COUNTIF($E$2:$E$2000,INDIRECT("RC[-2]",0))&gt;0,"",INDIRECT("RC[-2]",0))</f>
        <v>0</v>
      </c>
    </row>
    <row r="539" spans="2:6">
      <c r="B539" t="str" cm="1">
        <f t="array" aca="1" ref="B539" ca="1">IFERROR(DATE(RIGHT(INDIRECT("RC[-1]",0),4),LEFT(INDIRECT("RC[-1]",0),2),1), "")</f>
        <v/>
      </c>
      <c r="C539" s="182"/>
      <c r="F539" cm="1">
        <f t="array" aca="1" ref="F539" ca="1">IF(COUNTIF($E$2:$E$2000,INDIRECT("RC[-2]",0))&gt;0,"",INDIRECT("RC[-2]",0))</f>
        <v>0</v>
      </c>
    </row>
    <row r="540" spans="2:6">
      <c r="B540" t="str" cm="1">
        <f t="array" aca="1" ref="B540" ca="1">IFERROR(DATE(RIGHT(INDIRECT("RC[-1]",0),4),LEFT(INDIRECT("RC[-1]",0),2),1), "")</f>
        <v/>
      </c>
      <c r="C540" s="182"/>
      <c r="F540" cm="1">
        <f t="array" aca="1" ref="F540" ca="1">IF(COUNTIF($E$2:$E$2000,INDIRECT("RC[-2]",0))&gt;0,"",INDIRECT("RC[-2]",0))</f>
        <v>0</v>
      </c>
    </row>
    <row r="541" spans="2:6">
      <c r="B541" t="str" cm="1">
        <f t="array" aca="1" ref="B541" ca="1">IFERROR(DATE(RIGHT(INDIRECT("RC[-1]",0),4),LEFT(INDIRECT("RC[-1]",0),2),1), "")</f>
        <v/>
      </c>
      <c r="C541" s="182"/>
      <c r="F541" cm="1">
        <f t="array" aca="1" ref="F541" ca="1">IF(COUNTIF($E$2:$E$2000,INDIRECT("RC[-2]",0))&gt;0,"",INDIRECT("RC[-2]",0))</f>
        <v>0</v>
      </c>
    </row>
    <row r="542" spans="2:6">
      <c r="B542" t="str" cm="1">
        <f t="array" aca="1" ref="B542" ca="1">IFERROR(DATE(RIGHT(INDIRECT("RC[-1]",0),4),LEFT(INDIRECT("RC[-1]",0),2),1), "")</f>
        <v/>
      </c>
      <c r="C542" s="182"/>
      <c r="F542" cm="1">
        <f t="array" aca="1" ref="F542" ca="1">IF(COUNTIF($E$2:$E$2000,INDIRECT("RC[-2]",0))&gt;0,"",INDIRECT("RC[-2]",0))</f>
        <v>0</v>
      </c>
    </row>
    <row r="543" spans="2:6">
      <c r="B543" t="str" cm="1">
        <f t="array" aca="1" ref="B543" ca="1">IFERROR(DATE(RIGHT(INDIRECT("RC[-1]",0),4),LEFT(INDIRECT("RC[-1]",0),2),1), "")</f>
        <v/>
      </c>
      <c r="C543" s="182"/>
      <c r="F543" cm="1">
        <f t="array" aca="1" ref="F543" ca="1">IF(COUNTIF($E$2:$E$2000,INDIRECT("RC[-2]",0))&gt;0,"",INDIRECT("RC[-2]",0))</f>
        <v>0</v>
      </c>
    </row>
    <row r="544" spans="2:6">
      <c r="B544" t="str" cm="1">
        <f t="array" aca="1" ref="B544" ca="1">IFERROR(DATE(RIGHT(INDIRECT("RC[-1]",0),4),LEFT(INDIRECT("RC[-1]",0),2),1), "")</f>
        <v/>
      </c>
      <c r="C544" s="182"/>
      <c r="F544" cm="1">
        <f t="array" aca="1" ref="F544" ca="1">IF(COUNTIF($E$2:$E$2000,INDIRECT("RC[-2]",0))&gt;0,"",INDIRECT("RC[-2]",0))</f>
        <v>0</v>
      </c>
    </row>
    <row r="545" spans="2:6">
      <c r="B545" t="str" cm="1">
        <f t="array" aca="1" ref="B545" ca="1">IFERROR(DATE(RIGHT(INDIRECT("RC[-1]",0),4),LEFT(INDIRECT("RC[-1]",0),2),1), "")</f>
        <v/>
      </c>
      <c r="C545" s="182"/>
      <c r="F545" cm="1">
        <f t="array" aca="1" ref="F545" ca="1">IF(COUNTIF($E$2:$E$2000,INDIRECT("RC[-2]",0))&gt;0,"",INDIRECT("RC[-2]",0))</f>
        <v>0</v>
      </c>
    </row>
    <row r="546" spans="2:6">
      <c r="B546" t="str" cm="1">
        <f t="array" aca="1" ref="B546" ca="1">IFERROR(DATE(RIGHT(INDIRECT("RC[-1]",0),4),LEFT(INDIRECT("RC[-1]",0),2),1), "")</f>
        <v/>
      </c>
      <c r="C546" s="182"/>
      <c r="F546" cm="1">
        <f t="array" aca="1" ref="F546" ca="1">IF(COUNTIF($E$2:$E$2000,INDIRECT("RC[-2]",0))&gt;0,"",INDIRECT("RC[-2]",0))</f>
        <v>0</v>
      </c>
    </row>
    <row r="547" spans="2:6">
      <c r="B547" t="str" cm="1">
        <f t="array" aca="1" ref="B547" ca="1">IFERROR(DATE(RIGHT(INDIRECT("RC[-1]",0),4),LEFT(INDIRECT("RC[-1]",0),2),1), "")</f>
        <v/>
      </c>
      <c r="C547" s="182"/>
      <c r="F547" cm="1">
        <f t="array" aca="1" ref="F547" ca="1">IF(COUNTIF($E$2:$E$2000,INDIRECT("RC[-2]",0))&gt;0,"",INDIRECT("RC[-2]",0))</f>
        <v>0</v>
      </c>
    </row>
    <row r="548" spans="2:6">
      <c r="B548" t="str" cm="1">
        <f t="array" aca="1" ref="B548" ca="1">IFERROR(DATE(RIGHT(INDIRECT("RC[-1]",0),4),LEFT(INDIRECT("RC[-1]",0),2),1), "")</f>
        <v/>
      </c>
      <c r="C548" s="182"/>
      <c r="F548" cm="1">
        <f t="array" aca="1" ref="F548" ca="1">IF(COUNTIF($E$2:$E$2000,INDIRECT("RC[-2]",0))&gt;0,"",INDIRECT("RC[-2]",0))</f>
        <v>0</v>
      </c>
    </row>
    <row r="549" spans="2:6">
      <c r="B549" t="str" cm="1">
        <f t="array" aca="1" ref="B549" ca="1">IFERROR(DATE(RIGHT(INDIRECT("RC[-1]",0),4),LEFT(INDIRECT("RC[-1]",0),2),1), "")</f>
        <v/>
      </c>
      <c r="C549" s="182"/>
      <c r="F549" cm="1">
        <f t="array" aca="1" ref="F549" ca="1">IF(COUNTIF($E$2:$E$2000,INDIRECT("RC[-2]",0))&gt;0,"",INDIRECT("RC[-2]",0))</f>
        <v>0</v>
      </c>
    </row>
    <row r="550" spans="2:6">
      <c r="B550" t="str" cm="1">
        <f t="array" aca="1" ref="B550" ca="1">IFERROR(DATE(RIGHT(INDIRECT("RC[-1]",0),4),LEFT(INDIRECT("RC[-1]",0),2),1), "")</f>
        <v/>
      </c>
      <c r="C550" s="182"/>
      <c r="F550" cm="1">
        <f t="array" aca="1" ref="F550" ca="1">IF(COUNTIF($E$2:$E$2000,INDIRECT("RC[-2]",0))&gt;0,"",INDIRECT("RC[-2]",0))</f>
        <v>0</v>
      </c>
    </row>
    <row r="551" spans="2:6">
      <c r="B551" t="str" cm="1">
        <f t="array" aca="1" ref="B551" ca="1">IFERROR(DATE(RIGHT(INDIRECT("RC[-1]",0),4),LEFT(INDIRECT("RC[-1]",0),2),1), "")</f>
        <v/>
      </c>
      <c r="C551" s="182"/>
      <c r="F551" cm="1">
        <f t="array" aca="1" ref="F551" ca="1">IF(COUNTIF($E$2:$E$2000,INDIRECT("RC[-2]",0))&gt;0,"",INDIRECT("RC[-2]",0))</f>
        <v>0</v>
      </c>
    </row>
    <row r="552" spans="2:6">
      <c r="B552" t="str" cm="1">
        <f t="array" aca="1" ref="B552" ca="1">IFERROR(DATE(RIGHT(INDIRECT("RC[-1]",0),4),LEFT(INDIRECT("RC[-1]",0),2),1), "")</f>
        <v/>
      </c>
      <c r="C552" s="182"/>
      <c r="F552" cm="1">
        <f t="array" aca="1" ref="F552" ca="1">IF(COUNTIF($E$2:$E$2000,INDIRECT("RC[-2]",0))&gt;0,"",INDIRECT("RC[-2]",0))</f>
        <v>0</v>
      </c>
    </row>
    <row r="553" spans="2:6">
      <c r="B553" t="str" cm="1">
        <f t="array" aca="1" ref="B553" ca="1">IFERROR(DATE(RIGHT(INDIRECT("RC[-1]",0),4),LEFT(INDIRECT("RC[-1]",0),2),1), "")</f>
        <v/>
      </c>
      <c r="C553" s="182"/>
      <c r="F553" cm="1">
        <f t="array" aca="1" ref="F553" ca="1">IF(COUNTIF($E$2:$E$2000,INDIRECT("RC[-2]",0))&gt;0,"",INDIRECT("RC[-2]",0))</f>
        <v>0</v>
      </c>
    </row>
    <row r="554" spans="2:6">
      <c r="B554" t="str" cm="1">
        <f t="array" aca="1" ref="B554" ca="1">IFERROR(DATE(RIGHT(INDIRECT("RC[-1]",0),4),LEFT(INDIRECT("RC[-1]",0),2),1), "")</f>
        <v/>
      </c>
      <c r="C554" s="182"/>
      <c r="F554" cm="1">
        <f t="array" aca="1" ref="F554" ca="1">IF(COUNTIF($E$2:$E$2000,INDIRECT("RC[-2]",0))&gt;0,"",INDIRECT("RC[-2]",0))</f>
        <v>0</v>
      </c>
    </row>
    <row r="555" spans="2:6">
      <c r="B555" t="str" cm="1">
        <f t="array" aca="1" ref="B555" ca="1">IFERROR(DATE(RIGHT(INDIRECT("RC[-1]",0),4),LEFT(INDIRECT("RC[-1]",0),2),1), "")</f>
        <v/>
      </c>
      <c r="C555" s="182"/>
      <c r="F555" cm="1">
        <f t="array" aca="1" ref="F555" ca="1">IF(COUNTIF($E$2:$E$2000,INDIRECT("RC[-2]",0))&gt;0,"",INDIRECT("RC[-2]",0))</f>
        <v>0</v>
      </c>
    </row>
    <row r="556" spans="2:6">
      <c r="B556" t="str" cm="1">
        <f t="array" aca="1" ref="B556" ca="1">IFERROR(DATE(RIGHT(INDIRECT("RC[-1]",0),4),LEFT(INDIRECT("RC[-1]",0),2),1), "")</f>
        <v/>
      </c>
      <c r="C556" s="182"/>
      <c r="F556" cm="1">
        <f t="array" aca="1" ref="F556" ca="1">IF(COUNTIF($E$2:$E$2000,INDIRECT("RC[-2]",0))&gt;0,"",INDIRECT("RC[-2]",0))</f>
        <v>0</v>
      </c>
    </row>
    <row r="557" spans="2:6">
      <c r="B557" t="str" cm="1">
        <f t="array" aca="1" ref="B557" ca="1">IFERROR(DATE(RIGHT(INDIRECT("RC[-1]",0),4),LEFT(INDIRECT("RC[-1]",0),2),1), "")</f>
        <v/>
      </c>
      <c r="C557" s="182"/>
      <c r="F557" cm="1">
        <f t="array" aca="1" ref="F557" ca="1">IF(COUNTIF($E$2:$E$2000,INDIRECT("RC[-2]",0))&gt;0,"",INDIRECT("RC[-2]",0))</f>
        <v>0</v>
      </c>
    </row>
    <row r="558" spans="2:6">
      <c r="B558" t="str" cm="1">
        <f t="array" aca="1" ref="B558" ca="1">IFERROR(DATE(RIGHT(INDIRECT("RC[-1]",0),4),LEFT(INDIRECT("RC[-1]",0),2),1), "")</f>
        <v/>
      </c>
      <c r="C558" s="182"/>
      <c r="F558" cm="1">
        <f t="array" aca="1" ref="F558" ca="1">IF(COUNTIF($E$2:$E$2000,INDIRECT("RC[-2]",0))&gt;0,"",INDIRECT("RC[-2]",0))</f>
        <v>0</v>
      </c>
    </row>
    <row r="559" spans="2:6">
      <c r="B559" t="str" cm="1">
        <f t="array" aca="1" ref="B559" ca="1">IFERROR(DATE(RIGHT(INDIRECT("RC[-1]",0),4),LEFT(INDIRECT("RC[-1]",0),2),1), "")</f>
        <v/>
      </c>
      <c r="C559" s="182"/>
      <c r="F559" cm="1">
        <f t="array" aca="1" ref="F559" ca="1">IF(COUNTIF($E$2:$E$2000,INDIRECT("RC[-2]",0))&gt;0,"",INDIRECT("RC[-2]",0))</f>
        <v>0</v>
      </c>
    </row>
    <row r="560" spans="2:6">
      <c r="B560" t="str" cm="1">
        <f t="array" aca="1" ref="B560" ca="1">IFERROR(DATE(RIGHT(INDIRECT("RC[-1]",0),4),LEFT(INDIRECT("RC[-1]",0),2),1), "")</f>
        <v/>
      </c>
      <c r="C560" s="182"/>
      <c r="F560" cm="1">
        <f t="array" aca="1" ref="F560" ca="1">IF(COUNTIF($E$2:$E$2000,INDIRECT("RC[-2]",0))&gt;0,"",INDIRECT("RC[-2]",0))</f>
        <v>0</v>
      </c>
    </row>
    <row r="561" spans="2:6">
      <c r="B561" t="str" cm="1">
        <f t="array" aca="1" ref="B561" ca="1">IFERROR(DATE(RIGHT(INDIRECT("RC[-1]",0),4),LEFT(INDIRECT("RC[-1]",0),2),1), "")</f>
        <v/>
      </c>
      <c r="C561" s="182"/>
      <c r="F561" cm="1">
        <f t="array" aca="1" ref="F561" ca="1">IF(COUNTIF($E$2:$E$2000,INDIRECT("RC[-2]",0))&gt;0,"",INDIRECT("RC[-2]",0))</f>
        <v>0</v>
      </c>
    </row>
    <row r="562" spans="2:6">
      <c r="B562" t="str" cm="1">
        <f t="array" aca="1" ref="B562" ca="1">IFERROR(DATE(RIGHT(INDIRECT("RC[-1]",0),4),LEFT(INDIRECT("RC[-1]",0),2),1), "")</f>
        <v/>
      </c>
      <c r="C562" s="182"/>
      <c r="F562" cm="1">
        <f t="array" aca="1" ref="F562" ca="1">IF(COUNTIF($E$2:$E$2000,INDIRECT("RC[-2]",0))&gt;0,"",INDIRECT("RC[-2]",0))</f>
        <v>0</v>
      </c>
    </row>
    <row r="563" spans="2:6">
      <c r="B563" t="str" cm="1">
        <f t="array" aca="1" ref="B563" ca="1">IFERROR(DATE(RIGHT(INDIRECT("RC[-1]",0),4),LEFT(INDIRECT("RC[-1]",0),2),1), "")</f>
        <v/>
      </c>
      <c r="C563" s="182"/>
      <c r="F563" cm="1">
        <f t="array" aca="1" ref="F563" ca="1">IF(COUNTIF($E$2:$E$2000,INDIRECT("RC[-2]",0))&gt;0,"",INDIRECT("RC[-2]",0))</f>
        <v>0</v>
      </c>
    </row>
    <row r="564" spans="2:6">
      <c r="B564" t="str" cm="1">
        <f t="array" aca="1" ref="B564" ca="1">IFERROR(DATE(RIGHT(INDIRECT("RC[-1]",0),4),LEFT(INDIRECT("RC[-1]",0),2),1), "")</f>
        <v/>
      </c>
      <c r="C564" s="182"/>
      <c r="F564" cm="1">
        <f t="array" aca="1" ref="F564" ca="1">IF(COUNTIF($E$2:$E$2000,INDIRECT("RC[-2]",0))&gt;0,"",INDIRECT("RC[-2]",0))</f>
        <v>0</v>
      </c>
    </row>
    <row r="565" spans="2:6">
      <c r="B565" t="str" cm="1">
        <f t="array" aca="1" ref="B565" ca="1">IFERROR(DATE(RIGHT(INDIRECT("RC[-1]",0),4),LEFT(INDIRECT("RC[-1]",0),2),1), "")</f>
        <v/>
      </c>
      <c r="C565" s="182"/>
      <c r="F565" cm="1">
        <f t="array" aca="1" ref="F565" ca="1">IF(COUNTIF($E$2:$E$2000,INDIRECT("RC[-2]",0))&gt;0,"",INDIRECT("RC[-2]",0))</f>
        <v>0</v>
      </c>
    </row>
    <row r="566" spans="2:6">
      <c r="B566" t="str" cm="1">
        <f t="array" aca="1" ref="B566" ca="1">IFERROR(DATE(RIGHT(INDIRECT("RC[-1]",0),4),LEFT(INDIRECT("RC[-1]",0),2),1), "")</f>
        <v/>
      </c>
      <c r="C566" s="182"/>
      <c r="F566" cm="1">
        <f t="array" aca="1" ref="F566" ca="1">IF(COUNTIF($E$2:$E$2000,INDIRECT("RC[-2]",0))&gt;0,"",INDIRECT("RC[-2]",0))</f>
        <v>0</v>
      </c>
    </row>
    <row r="567" spans="2:6">
      <c r="B567" t="str" cm="1">
        <f t="array" aca="1" ref="B567" ca="1">IFERROR(DATE(RIGHT(INDIRECT("RC[-1]",0),4),LEFT(INDIRECT("RC[-1]",0),2),1), "")</f>
        <v/>
      </c>
      <c r="C567" s="182"/>
      <c r="F567" cm="1">
        <f t="array" aca="1" ref="F567" ca="1">IF(COUNTIF($E$2:$E$2000,INDIRECT("RC[-2]",0))&gt;0,"",INDIRECT("RC[-2]",0))</f>
        <v>0</v>
      </c>
    </row>
    <row r="568" spans="2:6">
      <c r="B568" t="str" cm="1">
        <f t="array" aca="1" ref="B568" ca="1">IFERROR(DATE(RIGHT(INDIRECT("RC[-1]",0),4),LEFT(INDIRECT("RC[-1]",0),2),1), "")</f>
        <v/>
      </c>
      <c r="C568" s="182"/>
      <c r="F568" cm="1">
        <f t="array" aca="1" ref="F568" ca="1">IF(COUNTIF($E$2:$E$2000,INDIRECT("RC[-2]",0))&gt;0,"",INDIRECT("RC[-2]",0))</f>
        <v>0</v>
      </c>
    </row>
    <row r="569" spans="2:6">
      <c r="B569" t="str" cm="1">
        <f t="array" aca="1" ref="B569" ca="1">IFERROR(DATE(RIGHT(INDIRECT("RC[-1]",0),4),LEFT(INDIRECT("RC[-1]",0),2),1), "")</f>
        <v/>
      </c>
      <c r="C569" s="182"/>
      <c r="F569" cm="1">
        <f t="array" aca="1" ref="F569" ca="1">IF(COUNTIF($E$2:$E$2000,INDIRECT("RC[-2]",0))&gt;0,"",INDIRECT("RC[-2]",0))</f>
        <v>0</v>
      </c>
    </row>
    <row r="570" spans="2:6">
      <c r="B570" t="str" cm="1">
        <f t="array" aca="1" ref="B570" ca="1">IFERROR(DATE(RIGHT(INDIRECT("RC[-1]",0),4),LEFT(INDIRECT("RC[-1]",0),2),1), "")</f>
        <v/>
      </c>
      <c r="C570" s="182"/>
      <c r="F570" cm="1">
        <f t="array" aca="1" ref="F570" ca="1">IF(COUNTIF($E$2:$E$2000,INDIRECT("RC[-2]",0))&gt;0,"",INDIRECT("RC[-2]",0))</f>
        <v>0</v>
      </c>
    </row>
    <row r="571" spans="2:6">
      <c r="B571" t="str" cm="1">
        <f t="array" aca="1" ref="B571" ca="1">IFERROR(DATE(RIGHT(INDIRECT("RC[-1]",0),4),LEFT(INDIRECT("RC[-1]",0),2),1), "")</f>
        <v/>
      </c>
      <c r="C571" s="182"/>
      <c r="F571" cm="1">
        <f t="array" aca="1" ref="F571" ca="1">IF(COUNTIF($E$2:$E$2000,INDIRECT("RC[-2]",0))&gt;0,"",INDIRECT("RC[-2]",0))</f>
        <v>0</v>
      </c>
    </row>
    <row r="572" spans="2:6">
      <c r="B572" t="str" cm="1">
        <f t="array" aca="1" ref="B572" ca="1">IFERROR(DATE(RIGHT(INDIRECT("RC[-1]",0),4),LEFT(INDIRECT("RC[-1]",0),2),1), "")</f>
        <v/>
      </c>
      <c r="C572" s="182"/>
      <c r="F572" cm="1">
        <f t="array" aca="1" ref="F572" ca="1">IF(COUNTIF($E$2:$E$2000,INDIRECT("RC[-2]",0))&gt;0,"",INDIRECT("RC[-2]",0))</f>
        <v>0</v>
      </c>
    </row>
    <row r="573" spans="2:6">
      <c r="B573" t="str" cm="1">
        <f t="array" aca="1" ref="B573" ca="1">IFERROR(DATE(RIGHT(INDIRECT("RC[-1]",0),4),LEFT(INDIRECT("RC[-1]",0),2),1), "")</f>
        <v/>
      </c>
      <c r="C573" s="182"/>
      <c r="F573" cm="1">
        <f t="array" aca="1" ref="F573" ca="1">IF(COUNTIF($E$2:$E$2000,INDIRECT("RC[-2]",0))&gt;0,"",INDIRECT("RC[-2]",0))</f>
        <v>0</v>
      </c>
    </row>
    <row r="574" spans="2:6">
      <c r="B574" t="str" cm="1">
        <f t="array" aca="1" ref="B574" ca="1">IFERROR(DATE(RIGHT(INDIRECT("RC[-1]",0),4),LEFT(INDIRECT("RC[-1]",0),2),1), "")</f>
        <v/>
      </c>
      <c r="C574" s="182"/>
      <c r="F574" cm="1">
        <f t="array" aca="1" ref="F574" ca="1">IF(COUNTIF($E$2:$E$2000,INDIRECT("RC[-2]",0))&gt;0,"",INDIRECT("RC[-2]",0))</f>
        <v>0</v>
      </c>
    </row>
    <row r="575" spans="2:6">
      <c r="B575" t="str" cm="1">
        <f t="array" aca="1" ref="B575" ca="1">IFERROR(DATE(RIGHT(INDIRECT("RC[-1]",0),4),LEFT(INDIRECT("RC[-1]",0),2),1), "")</f>
        <v/>
      </c>
      <c r="C575" s="182"/>
      <c r="F575" cm="1">
        <f t="array" aca="1" ref="F575" ca="1">IF(COUNTIF($E$2:$E$2000,INDIRECT("RC[-2]",0))&gt;0,"",INDIRECT("RC[-2]",0))</f>
        <v>0</v>
      </c>
    </row>
    <row r="576" spans="2:6">
      <c r="B576" t="str" cm="1">
        <f t="array" aca="1" ref="B576" ca="1">IFERROR(DATE(RIGHT(INDIRECT("RC[-1]",0),4),LEFT(INDIRECT("RC[-1]",0),2),1), "")</f>
        <v/>
      </c>
      <c r="C576" s="182"/>
      <c r="F576" cm="1">
        <f t="array" aca="1" ref="F576" ca="1">IF(COUNTIF($E$2:$E$2000,INDIRECT("RC[-2]",0))&gt;0,"",INDIRECT("RC[-2]",0))</f>
        <v>0</v>
      </c>
    </row>
    <row r="577" spans="2:6">
      <c r="B577" t="str" cm="1">
        <f t="array" aca="1" ref="B577" ca="1">IFERROR(DATE(RIGHT(INDIRECT("RC[-1]",0),4),LEFT(INDIRECT("RC[-1]",0),2),1), "")</f>
        <v/>
      </c>
      <c r="C577" s="182"/>
      <c r="F577" cm="1">
        <f t="array" aca="1" ref="F577" ca="1">IF(COUNTIF($E$2:$E$2000,INDIRECT("RC[-2]",0))&gt;0,"",INDIRECT("RC[-2]",0))</f>
        <v>0</v>
      </c>
    </row>
    <row r="578" spans="2:6">
      <c r="B578" t="str" cm="1">
        <f t="array" aca="1" ref="B578" ca="1">IFERROR(DATE(RIGHT(INDIRECT("RC[-1]",0),4),LEFT(INDIRECT("RC[-1]",0),2),1), "")</f>
        <v/>
      </c>
      <c r="C578" s="182"/>
      <c r="F578" cm="1">
        <f t="array" aca="1" ref="F578" ca="1">IF(COUNTIF($E$2:$E$2000,INDIRECT("RC[-2]",0))&gt;0,"",INDIRECT("RC[-2]",0))</f>
        <v>0</v>
      </c>
    </row>
    <row r="579" spans="2:6">
      <c r="B579" t="str" cm="1">
        <f t="array" aca="1" ref="B579" ca="1">IFERROR(DATE(RIGHT(INDIRECT("RC[-1]",0),4),LEFT(INDIRECT("RC[-1]",0),2),1), "")</f>
        <v/>
      </c>
      <c r="C579" s="182"/>
      <c r="F579" cm="1">
        <f t="array" aca="1" ref="F579" ca="1">IF(COUNTIF($E$2:$E$2000,INDIRECT("RC[-2]",0))&gt;0,"",INDIRECT("RC[-2]",0))</f>
        <v>0</v>
      </c>
    </row>
    <row r="580" spans="2:6">
      <c r="B580" t="str" cm="1">
        <f t="array" aca="1" ref="B580" ca="1">IFERROR(DATE(RIGHT(INDIRECT("RC[-1]",0),4),LEFT(INDIRECT("RC[-1]",0),2),1), "")</f>
        <v/>
      </c>
      <c r="C580" s="182"/>
      <c r="F580" cm="1">
        <f t="array" aca="1" ref="F580" ca="1">IF(COUNTIF($E$2:$E$2000,INDIRECT("RC[-2]",0))&gt;0,"",INDIRECT("RC[-2]",0))</f>
        <v>0</v>
      </c>
    </row>
    <row r="581" spans="2:6">
      <c r="B581" t="str" cm="1">
        <f t="array" aca="1" ref="B581" ca="1">IFERROR(DATE(RIGHT(INDIRECT("RC[-1]",0),4),LEFT(INDIRECT("RC[-1]",0),2),1), "")</f>
        <v/>
      </c>
      <c r="C581" s="182"/>
      <c r="F581" cm="1">
        <f t="array" aca="1" ref="F581" ca="1">IF(COUNTIF($E$2:$E$2000,INDIRECT("RC[-2]",0))&gt;0,"",INDIRECT("RC[-2]",0))</f>
        <v>0</v>
      </c>
    </row>
    <row r="582" spans="2:6">
      <c r="B582" t="str" cm="1">
        <f t="array" aca="1" ref="B582" ca="1">IFERROR(DATE(RIGHT(INDIRECT("RC[-1]",0),4),LEFT(INDIRECT("RC[-1]",0),2),1), "")</f>
        <v/>
      </c>
      <c r="C582" s="182"/>
      <c r="F582" cm="1">
        <f t="array" aca="1" ref="F582" ca="1">IF(COUNTIF($E$2:$E$2000,INDIRECT("RC[-2]",0))&gt;0,"",INDIRECT("RC[-2]",0))</f>
        <v>0</v>
      </c>
    </row>
    <row r="583" spans="2:6">
      <c r="B583" t="str" cm="1">
        <f t="array" aca="1" ref="B583" ca="1">IFERROR(DATE(RIGHT(INDIRECT("RC[-1]",0),4),LEFT(INDIRECT("RC[-1]",0),2),1), "")</f>
        <v/>
      </c>
      <c r="C583" s="182"/>
      <c r="F583" cm="1">
        <f t="array" aca="1" ref="F583" ca="1">IF(COUNTIF($E$2:$E$2000,INDIRECT("RC[-2]",0))&gt;0,"",INDIRECT("RC[-2]",0))</f>
        <v>0</v>
      </c>
    </row>
    <row r="584" spans="2:6">
      <c r="B584" t="str" cm="1">
        <f t="array" aca="1" ref="B584" ca="1">IFERROR(DATE(RIGHT(INDIRECT("RC[-1]",0),4),LEFT(INDIRECT("RC[-1]",0),2),1), "")</f>
        <v/>
      </c>
      <c r="C584" s="182"/>
      <c r="F584" cm="1">
        <f t="array" aca="1" ref="F584" ca="1">IF(COUNTIF($E$2:$E$2000,INDIRECT("RC[-2]",0))&gt;0,"",INDIRECT("RC[-2]",0))</f>
        <v>0</v>
      </c>
    </row>
    <row r="585" spans="2:6">
      <c r="B585" t="str" cm="1">
        <f t="array" aca="1" ref="B585" ca="1">IFERROR(DATE(RIGHT(INDIRECT("RC[-1]",0),4),LEFT(INDIRECT("RC[-1]",0),2),1), "")</f>
        <v/>
      </c>
      <c r="C585" s="182"/>
      <c r="F585" cm="1">
        <f t="array" aca="1" ref="F585" ca="1">IF(COUNTIF($E$2:$E$2000,INDIRECT("RC[-2]",0))&gt;0,"",INDIRECT("RC[-2]",0))</f>
        <v>0</v>
      </c>
    </row>
    <row r="586" spans="2:6">
      <c r="B586" t="str" cm="1">
        <f t="array" aca="1" ref="B586" ca="1">IFERROR(DATE(RIGHT(INDIRECT("RC[-1]",0),4),LEFT(INDIRECT("RC[-1]",0),2),1), "")</f>
        <v/>
      </c>
      <c r="C586" s="182"/>
      <c r="F586" cm="1">
        <f t="array" aca="1" ref="F586" ca="1">IF(COUNTIF($E$2:$E$2000,INDIRECT("RC[-2]",0))&gt;0,"",INDIRECT("RC[-2]",0))</f>
        <v>0</v>
      </c>
    </row>
    <row r="587" spans="2:6">
      <c r="B587" t="str" cm="1">
        <f t="array" aca="1" ref="B587" ca="1">IFERROR(DATE(RIGHT(INDIRECT("RC[-1]",0),4),LEFT(INDIRECT("RC[-1]",0),2),1), "")</f>
        <v/>
      </c>
      <c r="C587" s="182"/>
      <c r="F587" cm="1">
        <f t="array" aca="1" ref="F587" ca="1">IF(COUNTIF($E$2:$E$2000,INDIRECT("RC[-2]",0))&gt;0,"",INDIRECT("RC[-2]",0))</f>
        <v>0</v>
      </c>
    </row>
    <row r="588" spans="2:6">
      <c r="B588" t="str" cm="1">
        <f t="array" aca="1" ref="B588" ca="1">IFERROR(DATE(RIGHT(INDIRECT("RC[-1]",0),4),LEFT(INDIRECT("RC[-1]",0),2),1), "")</f>
        <v/>
      </c>
      <c r="C588" s="182"/>
      <c r="F588" cm="1">
        <f t="array" aca="1" ref="F588" ca="1">IF(COUNTIF($E$2:$E$2000,INDIRECT("RC[-2]",0))&gt;0,"",INDIRECT("RC[-2]",0))</f>
        <v>0</v>
      </c>
    </row>
    <row r="589" spans="2:6">
      <c r="B589" t="str" cm="1">
        <f t="array" aca="1" ref="B589" ca="1">IFERROR(DATE(RIGHT(INDIRECT("RC[-1]",0),4),LEFT(INDIRECT("RC[-1]",0),2),1), "")</f>
        <v/>
      </c>
      <c r="C589" s="182"/>
      <c r="F589" cm="1">
        <f t="array" aca="1" ref="F589" ca="1">IF(COUNTIF($E$2:$E$2000,INDIRECT("RC[-2]",0))&gt;0,"",INDIRECT("RC[-2]",0))</f>
        <v>0</v>
      </c>
    </row>
    <row r="590" spans="2:6">
      <c r="B590" t="str" cm="1">
        <f t="array" aca="1" ref="B590" ca="1">IFERROR(DATE(RIGHT(INDIRECT("RC[-1]",0),4),LEFT(INDIRECT("RC[-1]",0),2),1), "")</f>
        <v/>
      </c>
      <c r="C590" s="182"/>
      <c r="F590" cm="1">
        <f t="array" aca="1" ref="F590" ca="1">IF(COUNTIF($E$2:$E$2000,INDIRECT("RC[-2]",0))&gt;0,"",INDIRECT("RC[-2]",0))</f>
        <v>0</v>
      </c>
    </row>
    <row r="591" spans="2:6">
      <c r="B591" t="str" cm="1">
        <f t="array" aca="1" ref="B591" ca="1">IFERROR(DATE(RIGHT(INDIRECT("RC[-1]",0),4),LEFT(INDIRECT("RC[-1]",0),2),1), "")</f>
        <v/>
      </c>
      <c r="C591" s="182"/>
      <c r="F591" cm="1">
        <f t="array" aca="1" ref="F591" ca="1">IF(COUNTIF($E$2:$E$2000,INDIRECT("RC[-2]",0))&gt;0,"",INDIRECT("RC[-2]",0))</f>
        <v>0</v>
      </c>
    </row>
    <row r="592" spans="2:6">
      <c r="B592" t="str" cm="1">
        <f t="array" aca="1" ref="B592" ca="1">IFERROR(DATE(RIGHT(INDIRECT("RC[-1]",0),4),LEFT(INDIRECT("RC[-1]",0),2),1), "")</f>
        <v/>
      </c>
      <c r="C592" s="182"/>
      <c r="F592" cm="1">
        <f t="array" aca="1" ref="F592" ca="1">IF(COUNTIF($E$2:$E$2000,INDIRECT("RC[-2]",0))&gt;0,"",INDIRECT("RC[-2]",0))</f>
        <v>0</v>
      </c>
    </row>
    <row r="593" spans="2:6">
      <c r="B593" t="str" cm="1">
        <f t="array" aca="1" ref="B593" ca="1">IFERROR(DATE(RIGHT(INDIRECT("RC[-1]",0),4),LEFT(INDIRECT("RC[-1]",0),2),1), "")</f>
        <v/>
      </c>
      <c r="C593" s="182"/>
      <c r="F593" cm="1">
        <f t="array" aca="1" ref="F593" ca="1">IF(COUNTIF($E$2:$E$2000,INDIRECT("RC[-2]",0))&gt;0,"",INDIRECT("RC[-2]",0))</f>
        <v>0</v>
      </c>
    </row>
    <row r="594" spans="2:6">
      <c r="B594" t="str" cm="1">
        <f t="array" aca="1" ref="B594" ca="1">IFERROR(DATE(RIGHT(INDIRECT("RC[-1]",0),4),LEFT(INDIRECT("RC[-1]",0),2),1), "")</f>
        <v/>
      </c>
      <c r="C594" s="182"/>
      <c r="F594" cm="1">
        <f t="array" aca="1" ref="F594" ca="1">IF(COUNTIF($E$2:$E$2000,INDIRECT("RC[-2]",0))&gt;0,"",INDIRECT("RC[-2]",0))</f>
        <v>0</v>
      </c>
    </row>
    <row r="595" spans="2:6">
      <c r="B595" t="str" cm="1">
        <f t="array" aca="1" ref="B595" ca="1">IFERROR(DATE(RIGHT(INDIRECT("RC[-1]",0),4),LEFT(INDIRECT("RC[-1]",0),2),1), "")</f>
        <v/>
      </c>
      <c r="C595" s="182"/>
      <c r="F595" cm="1">
        <f t="array" aca="1" ref="F595" ca="1">IF(COUNTIF($E$2:$E$2000,INDIRECT("RC[-2]",0))&gt;0,"",INDIRECT("RC[-2]",0))</f>
        <v>0</v>
      </c>
    </row>
    <row r="596" spans="2:6">
      <c r="B596" t="str" cm="1">
        <f t="array" aca="1" ref="B596" ca="1">IFERROR(DATE(RIGHT(INDIRECT("RC[-1]",0),4),LEFT(INDIRECT("RC[-1]",0),2),1), "")</f>
        <v/>
      </c>
      <c r="C596" s="182"/>
      <c r="F596" cm="1">
        <f t="array" aca="1" ref="F596" ca="1">IF(COUNTIF($E$2:$E$2000,INDIRECT("RC[-2]",0))&gt;0,"",INDIRECT("RC[-2]",0))</f>
        <v>0</v>
      </c>
    </row>
    <row r="597" spans="2:6">
      <c r="B597" t="str" cm="1">
        <f t="array" aca="1" ref="B597" ca="1">IFERROR(DATE(RIGHT(INDIRECT("RC[-1]",0),4),LEFT(INDIRECT("RC[-1]",0),2),1), "")</f>
        <v/>
      </c>
      <c r="C597" s="182"/>
      <c r="F597" cm="1">
        <f t="array" aca="1" ref="F597" ca="1">IF(COUNTIF($E$2:$E$2000,INDIRECT("RC[-2]",0))&gt;0,"",INDIRECT("RC[-2]",0))</f>
        <v>0</v>
      </c>
    </row>
    <row r="598" spans="2:6">
      <c r="B598" t="str" cm="1">
        <f t="array" aca="1" ref="B598" ca="1">IFERROR(DATE(RIGHT(INDIRECT("RC[-1]",0),4),LEFT(INDIRECT("RC[-1]",0),2),1), "")</f>
        <v/>
      </c>
      <c r="C598" s="182"/>
      <c r="F598" cm="1">
        <f t="array" aca="1" ref="F598" ca="1">IF(COUNTIF($E$2:$E$2000,INDIRECT("RC[-2]",0))&gt;0,"",INDIRECT("RC[-2]",0))</f>
        <v>0</v>
      </c>
    </row>
    <row r="599" spans="2:6">
      <c r="B599" t="str" cm="1">
        <f t="array" aca="1" ref="B599" ca="1">IFERROR(DATE(RIGHT(INDIRECT("RC[-1]",0),4),LEFT(INDIRECT("RC[-1]",0),2),1), "")</f>
        <v/>
      </c>
      <c r="C599" s="182"/>
      <c r="F599" cm="1">
        <f t="array" aca="1" ref="F599" ca="1">IF(COUNTIF($E$2:$E$2000,INDIRECT("RC[-2]",0))&gt;0,"",INDIRECT("RC[-2]",0))</f>
        <v>0</v>
      </c>
    </row>
    <row r="600" spans="2:6">
      <c r="B600" t="str" cm="1">
        <f t="array" aca="1" ref="B600" ca="1">IFERROR(DATE(RIGHT(INDIRECT("RC[-1]",0),4),LEFT(INDIRECT("RC[-1]",0),2),1), "")</f>
        <v/>
      </c>
      <c r="C600" s="182"/>
      <c r="F600" cm="1">
        <f t="array" aca="1" ref="F600" ca="1">IF(COUNTIF($E$2:$E$2000,INDIRECT("RC[-2]",0))&gt;0,"",INDIRECT("RC[-2]",0))</f>
        <v>0</v>
      </c>
    </row>
    <row r="601" spans="2:6">
      <c r="B601" t="str" cm="1">
        <f t="array" aca="1" ref="B601" ca="1">IFERROR(DATE(RIGHT(INDIRECT("RC[-1]",0),4),LEFT(INDIRECT("RC[-1]",0),2),1), "")</f>
        <v/>
      </c>
      <c r="C601" s="182"/>
      <c r="F601" cm="1">
        <f t="array" aca="1" ref="F601" ca="1">IF(COUNTIF($E$2:$E$2000,INDIRECT("RC[-2]",0))&gt;0,"",INDIRECT("RC[-2]",0))</f>
        <v>0</v>
      </c>
    </row>
    <row r="602" spans="2:6">
      <c r="B602" t="str" cm="1">
        <f t="array" aca="1" ref="B602" ca="1">IFERROR(DATE(RIGHT(INDIRECT("RC[-1]",0),4),LEFT(INDIRECT("RC[-1]",0),2),1), "")</f>
        <v/>
      </c>
      <c r="C602" s="182"/>
      <c r="F602" cm="1">
        <f t="array" aca="1" ref="F602" ca="1">IF(COUNTIF($E$2:$E$2000,INDIRECT("RC[-2]",0))&gt;0,"",INDIRECT("RC[-2]",0))</f>
        <v>0</v>
      </c>
    </row>
    <row r="603" spans="2:6">
      <c r="B603" t="str" cm="1">
        <f t="array" aca="1" ref="B603" ca="1">IFERROR(DATE(RIGHT(INDIRECT("RC[-1]",0),4),LEFT(INDIRECT("RC[-1]",0),2),1), "")</f>
        <v/>
      </c>
      <c r="C603" s="182"/>
      <c r="F603" cm="1">
        <f t="array" aca="1" ref="F603" ca="1">IF(COUNTIF($E$2:$E$2000,INDIRECT("RC[-2]",0))&gt;0,"",INDIRECT("RC[-2]",0))</f>
        <v>0</v>
      </c>
    </row>
    <row r="604" spans="2:6">
      <c r="B604" t="str" cm="1">
        <f t="array" aca="1" ref="B604" ca="1">IFERROR(DATE(RIGHT(INDIRECT("RC[-1]",0),4),LEFT(INDIRECT("RC[-1]",0),2),1), "")</f>
        <v/>
      </c>
      <c r="C604" s="182"/>
      <c r="F604" cm="1">
        <f t="array" aca="1" ref="F604" ca="1">IF(COUNTIF($E$2:$E$2000,INDIRECT("RC[-2]",0))&gt;0,"",INDIRECT("RC[-2]",0))</f>
        <v>0</v>
      </c>
    </row>
    <row r="605" spans="2:6">
      <c r="B605" t="str" cm="1">
        <f t="array" aca="1" ref="B605" ca="1">IFERROR(DATE(RIGHT(INDIRECT("RC[-1]",0),4),LEFT(INDIRECT("RC[-1]",0),2),1), "")</f>
        <v/>
      </c>
      <c r="C605" s="182"/>
      <c r="F605" cm="1">
        <f t="array" aca="1" ref="F605" ca="1">IF(COUNTIF($E$2:$E$2000,INDIRECT("RC[-2]",0))&gt;0,"",INDIRECT("RC[-2]",0))</f>
        <v>0</v>
      </c>
    </row>
    <row r="606" spans="2:6">
      <c r="B606" t="str" cm="1">
        <f t="array" aca="1" ref="B606" ca="1">IFERROR(DATE(RIGHT(INDIRECT("RC[-1]",0),4),LEFT(INDIRECT("RC[-1]",0),2),1), "")</f>
        <v/>
      </c>
      <c r="C606" s="182"/>
      <c r="F606" cm="1">
        <f t="array" aca="1" ref="F606" ca="1">IF(COUNTIF($E$2:$E$2000,INDIRECT("RC[-2]",0))&gt;0,"",INDIRECT("RC[-2]",0))</f>
        <v>0</v>
      </c>
    </row>
    <row r="607" spans="2:6">
      <c r="B607" t="str" cm="1">
        <f t="array" aca="1" ref="B607" ca="1">IFERROR(DATE(RIGHT(INDIRECT("RC[-1]",0),4),LEFT(INDIRECT("RC[-1]",0),2),1), "")</f>
        <v/>
      </c>
      <c r="C607" s="182"/>
      <c r="F607" cm="1">
        <f t="array" aca="1" ref="F607" ca="1">IF(COUNTIF($E$2:$E$2000,INDIRECT("RC[-2]",0))&gt;0,"",INDIRECT("RC[-2]",0))</f>
        <v>0</v>
      </c>
    </row>
    <row r="608" spans="2:6">
      <c r="B608" t="str" cm="1">
        <f t="array" aca="1" ref="B608" ca="1">IFERROR(DATE(RIGHT(INDIRECT("RC[-1]",0),4),LEFT(INDIRECT("RC[-1]",0),2),1), "")</f>
        <v/>
      </c>
      <c r="C608" s="182"/>
      <c r="F608" cm="1">
        <f t="array" aca="1" ref="F608" ca="1">IF(COUNTIF($E$2:$E$2000,INDIRECT("RC[-2]",0))&gt;0,"",INDIRECT("RC[-2]",0))</f>
        <v>0</v>
      </c>
    </row>
    <row r="609" spans="2:6">
      <c r="B609" t="str" cm="1">
        <f t="array" aca="1" ref="B609" ca="1">IFERROR(DATE(RIGHT(INDIRECT("RC[-1]",0),4),LEFT(INDIRECT("RC[-1]",0),2),1), "")</f>
        <v/>
      </c>
      <c r="C609" s="182"/>
      <c r="F609" cm="1">
        <f t="array" aca="1" ref="F609" ca="1">IF(COUNTIF($E$2:$E$2000,INDIRECT("RC[-2]",0))&gt;0,"",INDIRECT("RC[-2]",0))</f>
        <v>0</v>
      </c>
    </row>
    <row r="610" spans="2:6">
      <c r="B610" t="str" cm="1">
        <f t="array" aca="1" ref="B610" ca="1">IFERROR(DATE(RIGHT(INDIRECT("RC[-1]",0),4),LEFT(INDIRECT("RC[-1]",0),2),1), "")</f>
        <v/>
      </c>
      <c r="C610" s="182"/>
      <c r="F610" cm="1">
        <f t="array" aca="1" ref="F610" ca="1">IF(COUNTIF($E$2:$E$2000,INDIRECT("RC[-2]",0))&gt;0,"",INDIRECT("RC[-2]",0))</f>
        <v>0</v>
      </c>
    </row>
    <row r="611" spans="2:6">
      <c r="B611" t="str" cm="1">
        <f t="array" aca="1" ref="B611" ca="1">IFERROR(DATE(RIGHT(INDIRECT("RC[-1]",0),4),LEFT(INDIRECT("RC[-1]",0),2),1), "")</f>
        <v/>
      </c>
      <c r="C611" s="182"/>
      <c r="F611" cm="1">
        <f t="array" aca="1" ref="F611" ca="1">IF(COUNTIF($E$2:$E$2000,INDIRECT("RC[-2]",0))&gt;0,"",INDIRECT("RC[-2]",0))</f>
        <v>0</v>
      </c>
    </row>
    <row r="612" spans="2:6">
      <c r="B612" t="str" cm="1">
        <f t="array" aca="1" ref="B612" ca="1">IFERROR(DATE(RIGHT(INDIRECT("RC[-1]",0),4),LEFT(INDIRECT("RC[-1]",0),2),1), "")</f>
        <v/>
      </c>
      <c r="C612" s="182"/>
      <c r="F612" cm="1">
        <f t="array" aca="1" ref="F612" ca="1">IF(COUNTIF($E$2:$E$2000,INDIRECT("RC[-2]",0))&gt;0,"",INDIRECT("RC[-2]",0))</f>
        <v>0</v>
      </c>
    </row>
    <row r="613" spans="2:6">
      <c r="B613" t="str" cm="1">
        <f t="array" aca="1" ref="B613" ca="1">IFERROR(DATE(RIGHT(INDIRECT("RC[-1]",0),4),LEFT(INDIRECT("RC[-1]",0),2),1), "")</f>
        <v/>
      </c>
      <c r="C613" s="182"/>
      <c r="F613" cm="1">
        <f t="array" aca="1" ref="F613" ca="1">IF(COUNTIF($E$2:$E$2000,INDIRECT("RC[-2]",0))&gt;0,"",INDIRECT("RC[-2]",0))</f>
        <v>0</v>
      </c>
    </row>
    <row r="614" spans="2:6">
      <c r="B614" t="str" cm="1">
        <f t="array" aca="1" ref="B614" ca="1">IFERROR(DATE(RIGHT(INDIRECT("RC[-1]",0),4),LEFT(INDIRECT("RC[-1]",0),2),1), "")</f>
        <v/>
      </c>
      <c r="C614" s="182"/>
      <c r="F614" cm="1">
        <f t="array" aca="1" ref="F614" ca="1">IF(COUNTIF($E$2:$E$2000,INDIRECT("RC[-2]",0))&gt;0,"",INDIRECT("RC[-2]",0))</f>
        <v>0</v>
      </c>
    </row>
    <row r="615" spans="2:6">
      <c r="B615" t="str" cm="1">
        <f t="array" aca="1" ref="B615" ca="1">IFERROR(DATE(RIGHT(INDIRECT("RC[-1]",0),4),LEFT(INDIRECT("RC[-1]",0),2),1), "")</f>
        <v/>
      </c>
      <c r="C615" s="182"/>
      <c r="F615" cm="1">
        <f t="array" aca="1" ref="F615" ca="1">IF(COUNTIF($E$2:$E$2000,INDIRECT("RC[-2]",0))&gt;0,"",INDIRECT("RC[-2]",0))</f>
        <v>0</v>
      </c>
    </row>
    <row r="616" spans="2:6">
      <c r="B616" t="str" cm="1">
        <f t="array" aca="1" ref="B616" ca="1">IFERROR(DATE(RIGHT(INDIRECT("RC[-1]",0),4),LEFT(INDIRECT("RC[-1]",0),2),1), "")</f>
        <v/>
      </c>
      <c r="C616" s="182"/>
      <c r="F616" cm="1">
        <f t="array" aca="1" ref="F616" ca="1">IF(COUNTIF($E$2:$E$2000,INDIRECT("RC[-2]",0))&gt;0,"",INDIRECT("RC[-2]",0))</f>
        <v>0</v>
      </c>
    </row>
    <row r="617" spans="2:6">
      <c r="B617" t="str" cm="1">
        <f t="array" aca="1" ref="B617" ca="1">IFERROR(DATE(RIGHT(INDIRECT("RC[-1]",0),4),LEFT(INDIRECT("RC[-1]",0),2),1), "")</f>
        <v/>
      </c>
      <c r="C617" s="182"/>
      <c r="F617" cm="1">
        <f t="array" aca="1" ref="F617" ca="1">IF(COUNTIF($E$2:$E$2000,INDIRECT("RC[-2]",0))&gt;0,"",INDIRECT("RC[-2]",0))</f>
        <v>0</v>
      </c>
    </row>
    <row r="618" spans="2:6">
      <c r="B618" t="str" cm="1">
        <f t="array" aca="1" ref="B618" ca="1">IFERROR(DATE(RIGHT(INDIRECT("RC[-1]",0),4),LEFT(INDIRECT("RC[-1]",0),2),1), "")</f>
        <v/>
      </c>
      <c r="C618" s="182"/>
      <c r="F618" cm="1">
        <f t="array" aca="1" ref="F618" ca="1">IF(COUNTIF($E$2:$E$2000,INDIRECT("RC[-2]",0))&gt;0,"",INDIRECT("RC[-2]",0))</f>
        <v>0</v>
      </c>
    </row>
    <row r="619" spans="2:6">
      <c r="B619" t="str" cm="1">
        <f t="array" aca="1" ref="B619" ca="1">IFERROR(DATE(RIGHT(INDIRECT("RC[-1]",0),4),LEFT(INDIRECT("RC[-1]",0),2),1), "")</f>
        <v/>
      </c>
      <c r="C619" s="182"/>
      <c r="F619" cm="1">
        <f t="array" aca="1" ref="F619" ca="1">IF(COUNTIF($E$2:$E$2000,INDIRECT("RC[-2]",0))&gt;0,"",INDIRECT("RC[-2]",0))</f>
        <v>0</v>
      </c>
    </row>
    <row r="620" spans="2:6">
      <c r="B620" t="str" cm="1">
        <f t="array" aca="1" ref="B620" ca="1">IFERROR(DATE(RIGHT(INDIRECT("RC[-1]",0),4),LEFT(INDIRECT("RC[-1]",0),2),1), "")</f>
        <v/>
      </c>
      <c r="C620" s="182"/>
      <c r="F620" cm="1">
        <f t="array" aca="1" ref="F620" ca="1">IF(COUNTIF($E$2:$E$2000,INDIRECT("RC[-2]",0))&gt;0,"",INDIRECT("RC[-2]",0))</f>
        <v>0</v>
      </c>
    </row>
    <row r="621" spans="2:6">
      <c r="B621" t="str" cm="1">
        <f t="array" aca="1" ref="B621" ca="1">IFERROR(DATE(RIGHT(INDIRECT("RC[-1]",0),4),LEFT(INDIRECT("RC[-1]",0),2),1), "")</f>
        <v/>
      </c>
      <c r="C621" s="182"/>
      <c r="F621" cm="1">
        <f t="array" aca="1" ref="F621" ca="1">IF(COUNTIF($E$2:$E$2000,INDIRECT("RC[-2]",0))&gt;0,"",INDIRECT("RC[-2]",0))</f>
        <v>0</v>
      </c>
    </row>
    <row r="622" spans="2:6">
      <c r="B622" t="str" cm="1">
        <f t="array" aca="1" ref="B622" ca="1">IFERROR(DATE(RIGHT(INDIRECT("RC[-1]",0),4),LEFT(INDIRECT("RC[-1]",0),2),1), "")</f>
        <v/>
      </c>
      <c r="C622" s="182"/>
      <c r="F622" cm="1">
        <f t="array" aca="1" ref="F622" ca="1">IF(COUNTIF($E$2:$E$2000,INDIRECT("RC[-2]",0))&gt;0,"",INDIRECT("RC[-2]",0))</f>
        <v>0</v>
      </c>
    </row>
    <row r="623" spans="2:6">
      <c r="B623" t="str" cm="1">
        <f t="array" aca="1" ref="B623" ca="1">IFERROR(DATE(RIGHT(INDIRECT("RC[-1]",0),4),LEFT(INDIRECT("RC[-1]",0),2),1), "")</f>
        <v/>
      </c>
      <c r="C623" s="182"/>
      <c r="F623" cm="1">
        <f t="array" aca="1" ref="F623" ca="1">IF(COUNTIF($E$2:$E$2000,INDIRECT("RC[-2]",0))&gt;0,"",INDIRECT("RC[-2]",0))</f>
        <v>0</v>
      </c>
    </row>
    <row r="624" spans="2:6">
      <c r="B624" t="str" cm="1">
        <f t="array" aca="1" ref="B624" ca="1">IFERROR(DATE(RIGHT(INDIRECT("RC[-1]",0),4),LEFT(INDIRECT("RC[-1]",0),2),1), "")</f>
        <v/>
      </c>
      <c r="C624" s="182"/>
      <c r="F624" cm="1">
        <f t="array" aca="1" ref="F624" ca="1">IF(COUNTIF($E$2:$E$2000,INDIRECT("RC[-2]",0))&gt;0,"",INDIRECT("RC[-2]",0))</f>
        <v>0</v>
      </c>
    </row>
    <row r="625" spans="2:6">
      <c r="B625" t="str" cm="1">
        <f t="array" aca="1" ref="B625" ca="1">IFERROR(DATE(RIGHT(INDIRECT("RC[-1]",0),4),LEFT(INDIRECT("RC[-1]",0),2),1), "")</f>
        <v/>
      </c>
      <c r="C625" s="182"/>
      <c r="F625" cm="1">
        <f t="array" aca="1" ref="F625" ca="1">IF(COUNTIF($E$2:$E$2000,INDIRECT("RC[-2]",0))&gt;0,"",INDIRECT("RC[-2]",0))</f>
        <v>0</v>
      </c>
    </row>
    <row r="626" spans="2:6">
      <c r="B626" t="str" cm="1">
        <f t="array" aca="1" ref="B626" ca="1">IFERROR(DATE(RIGHT(INDIRECT("RC[-1]",0),4),LEFT(INDIRECT("RC[-1]",0),2),1), "")</f>
        <v/>
      </c>
      <c r="C626" s="182"/>
      <c r="F626" cm="1">
        <f t="array" aca="1" ref="F626" ca="1">IF(COUNTIF($E$2:$E$2000,INDIRECT("RC[-2]",0))&gt;0,"",INDIRECT("RC[-2]",0))</f>
        <v>0</v>
      </c>
    </row>
    <row r="627" spans="2:6">
      <c r="B627" t="str" cm="1">
        <f t="array" aca="1" ref="B627" ca="1">IFERROR(DATE(RIGHT(INDIRECT("RC[-1]",0),4),LEFT(INDIRECT("RC[-1]",0),2),1), "")</f>
        <v/>
      </c>
      <c r="C627" s="182"/>
      <c r="F627" cm="1">
        <f t="array" aca="1" ref="F627" ca="1">IF(COUNTIF($E$2:$E$2000,INDIRECT("RC[-2]",0))&gt;0,"",INDIRECT("RC[-2]",0))</f>
        <v>0</v>
      </c>
    </row>
    <row r="628" spans="2:6">
      <c r="B628" t="str" cm="1">
        <f t="array" aca="1" ref="B628" ca="1">IFERROR(DATE(RIGHT(INDIRECT("RC[-1]",0),4),LEFT(INDIRECT("RC[-1]",0),2),1), "")</f>
        <v/>
      </c>
      <c r="C628" s="182"/>
      <c r="F628" cm="1">
        <f t="array" aca="1" ref="F628" ca="1">IF(COUNTIF($E$2:$E$2000,INDIRECT("RC[-2]",0))&gt;0,"",INDIRECT("RC[-2]",0))</f>
        <v>0</v>
      </c>
    </row>
    <row r="629" spans="2:6">
      <c r="B629" t="str" cm="1">
        <f t="array" aca="1" ref="B629" ca="1">IFERROR(DATE(RIGHT(INDIRECT("RC[-1]",0),4),LEFT(INDIRECT("RC[-1]",0),2),1), "")</f>
        <v/>
      </c>
      <c r="C629" s="182"/>
      <c r="F629" cm="1">
        <f t="array" aca="1" ref="F629" ca="1">IF(COUNTIF($E$2:$E$2000,INDIRECT("RC[-2]",0))&gt;0,"",INDIRECT("RC[-2]",0))</f>
        <v>0</v>
      </c>
    </row>
    <row r="630" spans="2:6">
      <c r="B630" t="str" cm="1">
        <f t="array" aca="1" ref="B630" ca="1">IFERROR(DATE(RIGHT(INDIRECT("RC[-1]",0),4),LEFT(INDIRECT("RC[-1]",0),2),1), "")</f>
        <v/>
      </c>
      <c r="C630" s="182"/>
      <c r="F630" cm="1">
        <f t="array" aca="1" ref="F630" ca="1">IF(COUNTIF($E$2:$E$2000,INDIRECT("RC[-2]",0))&gt;0,"",INDIRECT("RC[-2]",0))</f>
        <v>0</v>
      </c>
    </row>
    <row r="631" spans="2:6">
      <c r="B631" t="str" cm="1">
        <f t="array" aca="1" ref="B631" ca="1">IFERROR(DATE(RIGHT(INDIRECT("RC[-1]",0),4),LEFT(INDIRECT("RC[-1]",0),2),1), "")</f>
        <v/>
      </c>
      <c r="C631" s="182"/>
      <c r="F631" cm="1">
        <f t="array" aca="1" ref="F631" ca="1">IF(COUNTIF($E$2:$E$2000,INDIRECT("RC[-2]",0))&gt;0,"",INDIRECT("RC[-2]",0))</f>
        <v>0</v>
      </c>
    </row>
    <row r="632" spans="2:6">
      <c r="B632" t="str" cm="1">
        <f t="array" aca="1" ref="B632" ca="1">IFERROR(DATE(RIGHT(INDIRECT("RC[-1]",0),4),LEFT(INDIRECT("RC[-1]",0),2),1), "")</f>
        <v/>
      </c>
      <c r="C632" s="182"/>
      <c r="F632" cm="1">
        <f t="array" aca="1" ref="F632" ca="1">IF(COUNTIF($E$2:$E$2000,INDIRECT("RC[-2]",0))&gt;0,"",INDIRECT("RC[-2]",0))</f>
        <v>0</v>
      </c>
    </row>
    <row r="633" spans="2:6">
      <c r="B633" t="str" cm="1">
        <f t="array" aca="1" ref="B633" ca="1">IFERROR(DATE(RIGHT(INDIRECT("RC[-1]",0),4),LEFT(INDIRECT("RC[-1]",0),2),1), "")</f>
        <v/>
      </c>
      <c r="C633" s="182"/>
      <c r="F633" cm="1">
        <f t="array" aca="1" ref="F633" ca="1">IF(COUNTIF($E$2:$E$2000,INDIRECT("RC[-2]",0))&gt;0,"",INDIRECT("RC[-2]",0))</f>
        <v>0</v>
      </c>
    </row>
    <row r="634" spans="2:6">
      <c r="B634" t="str" cm="1">
        <f t="array" aca="1" ref="B634" ca="1">IFERROR(DATE(RIGHT(INDIRECT("RC[-1]",0),4),LEFT(INDIRECT("RC[-1]",0),2),1), "")</f>
        <v/>
      </c>
      <c r="C634" s="182"/>
      <c r="F634" cm="1">
        <f t="array" aca="1" ref="F634" ca="1">IF(COUNTIF($E$2:$E$2000,INDIRECT("RC[-2]",0))&gt;0,"",INDIRECT("RC[-2]",0))</f>
        <v>0</v>
      </c>
    </row>
    <row r="635" spans="2:6">
      <c r="B635" t="str" cm="1">
        <f t="array" aca="1" ref="B635" ca="1">IFERROR(DATE(RIGHT(INDIRECT("RC[-1]",0),4),LEFT(INDIRECT("RC[-1]",0),2),1), "")</f>
        <v/>
      </c>
      <c r="C635" s="182"/>
      <c r="F635" cm="1">
        <f t="array" aca="1" ref="F635" ca="1">IF(COUNTIF($E$2:$E$2000,INDIRECT("RC[-2]",0))&gt;0,"",INDIRECT("RC[-2]",0))</f>
        <v>0</v>
      </c>
    </row>
    <row r="636" spans="2:6">
      <c r="B636" t="str" cm="1">
        <f t="array" aca="1" ref="B636" ca="1">IFERROR(DATE(RIGHT(INDIRECT("RC[-1]",0),4),LEFT(INDIRECT("RC[-1]",0),2),1), "")</f>
        <v/>
      </c>
      <c r="C636" s="182"/>
      <c r="F636" cm="1">
        <f t="array" aca="1" ref="F636" ca="1">IF(COUNTIF($E$2:$E$2000,INDIRECT("RC[-2]",0))&gt;0,"",INDIRECT("RC[-2]",0))</f>
        <v>0</v>
      </c>
    </row>
    <row r="637" spans="2:6">
      <c r="B637" t="str" cm="1">
        <f t="array" aca="1" ref="B637" ca="1">IFERROR(DATE(RIGHT(INDIRECT("RC[-1]",0),4),LEFT(INDIRECT("RC[-1]",0),2),1), "")</f>
        <v/>
      </c>
      <c r="C637" s="182"/>
      <c r="F637" cm="1">
        <f t="array" aca="1" ref="F637" ca="1">IF(COUNTIF($E$2:$E$2000,INDIRECT("RC[-2]",0))&gt;0,"",INDIRECT("RC[-2]",0))</f>
        <v>0</v>
      </c>
    </row>
    <row r="638" spans="2:6">
      <c r="B638" t="str" cm="1">
        <f t="array" aca="1" ref="B638" ca="1">IFERROR(DATE(RIGHT(INDIRECT("RC[-1]",0),4),LEFT(INDIRECT("RC[-1]",0),2),1), "")</f>
        <v/>
      </c>
      <c r="C638" s="182"/>
      <c r="F638" cm="1">
        <f t="array" aca="1" ref="F638" ca="1">IF(COUNTIF($E$2:$E$2000,INDIRECT("RC[-2]",0))&gt;0,"",INDIRECT("RC[-2]",0))</f>
        <v>0</v>
      </c>
    </row>
    <row r="639" spans="2:6">
      <c r="B639" t="str" cm="1">
        <f t="array" aca="1" ref="B639" ca="1">IFERROR(DATE(RIGHT(INDIRECT("RC[-1]",0),4),LEFT(INDIRECT("RC[-1]",0),2),1), "")</f>
        <v/>
      </c>
      <c r="C639" s="182"/>
      <c r="F639" cm="1">
        <f t="array" aca="1" ref="F639" ca="1">IF(COUNTIF($E$2:$E$2000,INDIRECT("RC[-2]",0))&gt;0,"",INDIRECT("RC[-2]",0))</f>
        <v>0</v>
      </c>
    </row>
    <row r="640" spans="2:6">
      <c r="B640" t="str" cm="1">
        <f t="array" aca="1" ref="B640" ca="1">IFERROR(DATE(RIGHT(INDIRECT("RC[-1]",0),4),LEFT(INDIRECT("RC[-1]",0),2),1), "")</f>
        <v/>
      </c>
      <c r="C640" s="182"/>
      <c r="F640" cm="1">
        <f t="array" aca="1" ref="F640" ca="1">IF(COUNTIF($E$2:$E$2000,INDIRECT("RC[-2]",0))&gt;0,"",INDIRECT("RC[-2]",0))</f>
        <v>0</v>
      </c>
    </row>
    <row r="641" spans="2:6">
      <c r="B641" t="str" cm="1">
        <f t="array" aca="1" ref="B641" ca="1">IFERROR(DATE(RIGHT(INDIRECT("RC[-1]",0),4),LEFT(INDIRECT("RC[-1]",0),2),1), "")</f>
        <v/>
      </c>
      <c r="C641" s="182"/>
      <c r="F641" cm="1">
        <f t="array" aca="1" ref="F641" ca="1">IF(COUNTIF($E$2:$E$2000,INDIRECT("RC[-2]",0))&gt;0,"",INDIRECT("RC[-2]",0))</f>
        <v>0</v>
      </c>
    </row>
    <row r="642" spans="2:6">
      <c r="B642" t="str" cm="1">
        <f t="array" aca="1" ref="B642" ca="1">IFERROR(DATE(RIGHT(INDIRECT("RC[-1]",0),4),LEFT(INDIRECT("RC[-1]",0),2),1), "")</f>
        <v/>
      </c>
      <c r="C642" s="182"/>
      <c r="F642" cm="1">
        <f t="array" aca="1" ref="F642" ca="1">IF(COUNTIF($E$2:$E$2000,INDIRECT("RC[-2]",0))&gt;0,"",INDIRECT("RC[-2]",0))</f>
        <v>0</v>
      </c>
    </row>
    <row r="643" spans="2:6">
      <c r="B643" t="str" cm="1">
        <f t="array" aca="1" ref="B643" ca="1">IFERROR(DATE(RIGHT(INDIRECT("RC[-1]",0),4),LEFT(INDIRECT("RC[-1]",0),2),1), "")</f>
        <v/>
      </c>
      <c r="C643" s="182"/>
      <c r="F643" cm="1">
        <f t="array" aca="1" ref="F643" ca="1">IF(COUNTIF($E$2:$E$2000,INDIRECT("RC[-2]",0))&gt;0,"",INDIRECT("RC[-2]",0))</f>
        <v>0</v>
      </c>
    </row>
    <row r="644" spans="2:6">
      <c r="B644" t="str" cm="1">
        <f t="array" aca="1" ref="B644" ca="1">IFERROR(DATE(RIGHT(INDIRECT("RC[-1]",0),4),LEFT(INDIRECT("RC[-1]",0),2),1), "")</f>
        <v/>
      </c>
      <c r="C644" s="182"/>
      <c r="F644" cm="1">
        <f t="array" aca="1" ref="F644" ca="1">IF(COUNTIF($E$2:$E$2000,INDIRECT("RC[-2]",0))&gt;0,"",INDIRECT("RC[-2]",0))</f>
        <v>0</v>
      </c>
    </row>
    <row r="645" spans="2:6">
      <c r="B645" t="str" cm="1">
        <f t="array" aca="1" ref="B645" ca="1">IFERROR(DATE(RIGHT(INDIRECT("RC[-1]",0),4),LEFT(INDIRECT("RC[-1]",0),2),1), "")</f>
        <v/>
      </c>
      <c r="C645" s="182"/>
      <c r="F645" cm="1">
        <f t="array" aca="1" ref="F645" ca="1">IF(COUNTIF($E$2:$E$2000,INDIRECT("RC[-2]",0))&gt;0,"",INDIRECT("RC[-2]",0))</f>
        <v>0</v>
      </c>
    </row>
    <row r="646" spans="2:6">
      <c r="B646" t="str" cm="1">
        <f t="array" aca="1" ref="B646" ca="1">IFERROR(DATE(RIGHT(INDIRECT("RC[-1]",0),4),LEFT(INDIRECT("RC[-1]",0),2),1), "")</f>
        <v/>
      </c>
      <c r="C646" s="182"/>
      <c r="F646" cm="1">
        <f t="array" aca="1" ref="F646" ca="1">IF(COUNTIF($E$2:$E$2000,INDIRECT("RC[-2]",0))&gt;0,"",INDIRECT("RC[-2]",0))</f>
        <v>0</v>
      </c>
    </row>
    <row r="647" spans="2:6">
      <c r="B647" t="str" cm="1">
        <f t="array" aca="1" ref="B647" ca="1">IFERROR(DATE(RIGHT(INDIRECT("RC[-1]",0),4),LEFT(INDIRECT("RC[-1]",0),2),1), "")</f>
        <v/>
      </c>
      <c r="C647" s="182"/>
      <c r="F647" cm="1">
        <f t="array" aca="1" ref="F647" ca="1">IF(COUNTIF($E$2:$E$2000,INDIRECT("RC[-2]",0))&gt;0,"",INDIRECT("RC[-2]",0))</f>
        <v>0</v>
      </c>
    </row>
    <row r="648" spans="2:6">
      <c r="B648" t="str" cm="1">
        <f t="array" aca="1" ref="B648" ca="1">IFERROR(DATE(RIGHT(INDIRECT("RC[-1]",0),4),LEFT(INDIRECT("RC[-1]",0),2),1), "")</f>
        <v/>
      </c>
      <c r="C648" s="182"/>
      <c r="F648" cm="1">
        <f t="array" aca="1" ref="F648" ca="1">IF(COUNTIF($E$2:$E$2000,INDIRECT("RC[-2]",0))&gt;0,"",INDIRECT("RC[-2]",0))</f>
        <v>0</v>
      </c>
    </row>
    <row r="649" spans="2:6">
      <c r="B649" t="str" cm="1">
        <f t="array" aca="1" ref="B649" ca="1">IFERROR(DATE(RIGHT(INDIRECT("RC[-1]",0),4),LEFT(INDIRECT("RC[-1]",0),2),1), "")</f>
        <v/>
      </c>
      <c r="C649" s="182"/>
      <c r="F649" cm="1">
        <f t="array" aca="1" ref="F649" ca="1">IF(COUNTIF($E$2:$E$2000,INDIRECT("RC[-2]",0))&gt;0,"",INDIRECT("RC[-2]",0))</f>
        <v>0</v>
      </c>
    </row>
    <row r="650" spans="2:6">
      <c r="B650" t="str" cm="1">
        <f t="array" aca="1" ref="B650" ca="1">IFERROR(DATE(RIGHT(INDIRECT("RC[-1]",0),4),LEFT(INDIRECT("RC[-1]",0),2),1), "")</f>
        <v/>
      </c>
      <c r="C650" s="182"/>
      <c r="F650" cm="1">
        <f t="array" aca="1" ref="F650" ca="1">IF(COUNTIF($E$2:$E$2000,INDIRECT("RC[-2]",0))&gt;0,"",INDIRECT("RC[-2]",0))</f>
        <v>0</v>
      </c>
    </row>
    <row r="651" spans="2:6">
      <c r="B651" t="str" cm="1">
        <f t="array" aca="1" ref="B651" ca="1">IFERROR(DATE(RIGHT(INDIRECT("RC[-1]",0),4),LEFT(INDIRECT("RC[-1]",0),2),1), "")</f>
        <v/>
      </c>
      <c r="C651" s="182"/>
      <c r="F651" cm="1">
        <f t="array" aca="1" ref="F651" ca="1">IF(COUNTIF($E$2:$E$2000,INDIRECT("RC[-2]",0))&gt;0,"",INDIRECT("RC[-2]",0))</f>
        <v>0</v>
      </c>
    </row>
    <row r="652" spans="2:6">
      <c r="B652" t="str" cm="1">
        <f t="array" aca="1" ref="B652" ca="1">IFERROR(DATE(RIGHT(INDIRECT("RC[-1]",0),4),LEFT(INDIRECT("RC[-1]",0),2),1), "")</f>
        <v/>
      </c>
      <c r="C652" s="182"/>
      <c r="F652" cm="1">
        <f t="array" aca="1" ref="F652" ca="1">IF(COUNTIF($E$2:$E$2000,INDIRECT("RC[-2]",0))&gt;0,"",INDIRECT("RC[-2]",0))</f>
        <v>0</v>
      </c>
    </row>
    <row r="653" spans="2:6">
      <c r="B653" t="str" cm="1">
        <f t="array" aca="1" ref="B653" ca="1">IFERROR(DATE(RIGHT(INDIRECT("RC[-1]",0),4),LEFT(INDIRECT("RC[-1]",0),2),1), "")</f>
        <v/>
      </c>
      <c r="C653" s="182"/>
      <c r="F653" cm="1">
        <f t="array" aca="1" ref="F653" ca="1">IF(COUNTIF($E$2:$E$2000,INDIRECT("RC[-2]",0))&gt;0,"",INDIRECT("RC[-2]",0))</f>
        <v>0</v>
      </c>
    </row>
    <row r="654" spans="2:6">
      <c r="B654" t="str" cm="1">
        <f t="array" aca="1" ref="B654" ca="1">IFERROR(DATE(RIGHT(INDIRECT("RC[-1]",0),4),LEFT(INDIRECT("RC[-1]",0),2),1), "")</f>
        <v/>
      </c>
      <c r="C654" s="182"/>
      <c r="F654" cm="1">
        <f t="array" aca="1" ref="F654" ca="1">IF(COUNTIF($E$2:$E$2000,INDIRECT("RC[-2]",0))&gt;0,"",INDIRECT("RC[-2]",0))</f>
        <v>0</v>
      </c>
    </row>
    <row r="655" spans="2:6">
      <c r="B655" t="str" cm="1">
        <f t="array" aca="1" ref="B655" ca="1">IFERROR(DATE(RIGHT(INDIRECT("RC[-1]",0),4),LEFT(INDIRECT("RC[-1]",0),2),1), "")</f>
        <v/>
      </c>
      <c r="C655" s="182"/>
      <c r="F655" cm="1">
        <f t="array" aca="1" ref="F655" ca="1">IF(COUNTIF($E$2:$E$2000,INDIRECT("RC[-2]",0))&gt;0,"",INDIRECT("RC[-2]",0))</f>
        <v>0</v>
      </c>
    </row>
    <row r="656" spans="2:6">
      <c r="B656" t="str" cm="1">
        <f t="array" aca="1" ref="B656" ca="1">IFERROR(DATE(RIGHT(INDIRECT("RC[-1]",0),4),LEFT(INDIRECT("RC[-1]",0),2),1), "")</f>
        <v/>
      </c>
      <c r="C656" s="182"/>
      <c r="F656" cm="1">
        <f t="array" aca="1" ref="F656" ca="1">IF(COUNTIF($E$2:$E$2000,INDIRECT("RC[-2]",0))&gt;0,"",INDIRECT("RC[-2]",0))</f>
        <v>0</v>
      </c>
    </row>
    <row r="657" spans="2:6">
      <c r="B657" t="str" cm="1">
        <f t="array" aca="1" ref="B657" ca="1">IFERROR(DATE(RIGHT(INDIRECT("RC[-1]",0),4),LEFT(INDIRECT("RC[-1]",0),2),1), "")</f>
        <v/>
      </c>
      <c r="C657" s="182"/>
      <c r="F657" cm="1">
        <f t="array" aca="1" ref="F657" ca="1">IF(COUNTIF($E$2:$E$2000,INDIRECT("RC[-2]",0))&gt;0,"",INDIRECT("RC[-2]",0))</f>
        <v>0</v>
      </c>
    </row>
    <row r="658" spans="2:6">
      <c r="B658" t="str" cm="1">
        <f t="array" aca="1" ref="B658" ca="1">IFERROR(DATE(RIGHT(INDIRECT("RC[-1]",0),4),LEFT(INDIRECT("RC[-1]",0),2),1), "")</f>
        <v/>
      </c>
      <c r="C658" s="182"/>
      <c r="F658" cm="1">
        <f t="array" aca="1" ref="F658" ca="1">IF(COUNTIF($E$2:$E$2000,INDIRECT("RC[-2]",0))&gt;0,"",INDIRECT("RC[-2]",0))</f>
        <v>0</v>
      </c>
    </row>
    <row r="659" spans="2:6">
      <c r="B659" t="str" cm="1">
        <f t="array" aca="1" ref="B659" ca="1">IFERROR(DATE(RIGHT(INDIRECT("RC[-1]",0),4),LEFT(INDIRECT("RC[-1]",0),2),1), "")</f>
        <v/>
      </c>
      <c r="C659" s="182"/>
      <c r="F659" cm="1">
        <f t="array" aca="1" ref="F659" ca="1">IF(COUNTIF($E$2:$E$2000,INDIRECT("RC[-2]",0))&gt;0,"",INDIRECT("RC[-2]",0))</f>
        <v>0</v>
      </c>
    </row>
    <row r="660" spans="2:6">
      <c r="B660" t="str" cm="1">
        <f t="array" aca="1" ref="B660" ca="1">IFERROR(DATE(RIGHT(INDIRECT("RC[-1]",0),4),LEFT(INDIRECT("RC[-1]",0),2),1), "")</f>
        <v/>
      </c>
      <c r="C660" s="182"/>
      <c r="F660" cm="1">
        <f t="array" aca="1" ref="F660" ca="1">IF(COUNTIF($E$2:$E$2000,INDIRECT("RC[-2]",0))&gt;0,"",INDIRECT("RC[-2]",0))</f>
        <v>0</v>
      </c>
    </row>
    <row r="661" spans="2:6">
      <c r="B661" t="str" cm="1">
        <f t="array" aca="1" ref="B661" ca="1">IFERROR(DATE(RIGHT(INDIRECT("RC[-1]",0),4),LEFT(INDIRECT("RC[-1]",0),2),1), "")</f>
        <v/>
      </c>
      <c r="C661" s="182"/>
      <c r="F661" cm="1">
        <f t="array" aca="1" ref="F661" ca="1">IF(COUNTIF($E$2:$E$2000,INDIRECT("RC[-2]",0))&gt;0,"",INDIRECT("RC[-2]",0))</f>
        <v>0</v>
      </c>
    </row>
    <row r="662" spans="2:6">
      <c r="B662" t="str" cm="1">
        <f t="array" aca="1" ref="B662" ca="1">IFERROR(DATE(RIGHT(INDIRECT("RC[-1]",0),4),LEFT(INDIRECT("RC[-1]",0),2),1), "")</f>
        <v/>
      </c>
      <c r="C662" s="182"/>
      <c r="F662" cm="1">
        <f t="array" aca="1" ref="F662" ca="1">IF(COUNTIF($E$2:$E$2000,INDIRECT("RC[-2]",0))&gt;0,"",INDIRECT("RC[-2]",0))</f>
        <v>0</v>
      </c>
    </row>
    <row r="663" spans="2:6">
      <c r="B663" t="str" cm="1">
        <f t="array" aca="1" ref="B663" ca="1">IFERROR(DATE(RIGHT(INDIRECT("RC[-1]",0),4),LEFT(INDIRECT("RC[-1]",0),2),1), "")</f>
        <v/>
      </c>
      <c r="C663" s="182"/>
      <c r="F663" cm="1">
        <f t="array" aca="1" ref="F663" ca="1">IF(COUNTIF($E$2:$E$2000,INDIRECT("RC[-2]",0))&gt;0,"",INDIRECT("RC[-2]",0))</f>
        <v>0</v>
      </c>
    </row>
    <row r="664" spans="2:6">
      <c r="B664" t="str" cm="1">
        <f t="array" aca="1" ref="B664" ca="1">IFERROR(DATE(RIGHT(INDIRECT("RC[-1]",0),4),LEFT(INDIRECT("RC[-1]",0),2),1), "")</f>
        <v/>
      </c>
      <c r="C664" s="182"/>
      <c r="F664" cm="1">
        <f t="array" aca="1" ref="F664" ca="1">IF(COUNTIF($E$2:$E$2000,INDIRECT("RC[-2]",0))&gt;0,"",INDIRECT("RC[-2]",0))</f>
        <v>0</v>
      </c>
    </row>
    <row r="665" spans="2:6">
      <c r="B665" t="str" cm="1">
        <f t="array" aca="1" ref="B665" ca="1">IFERROR(DATE(RIGHT(INDIRECT("RC[-1]",0),4),LEFT(INDIRECT("RC[-1]",0),2),1), "")</f>
        <v/>
      </c>
      <c r="C665" s="182"/>
      <c r="F665" cm="1">
        <f t="array" aca="1" ref="F665" ca="1">IF(COUNTIF($E$2:$E$2000,INDIRECT("RC[-2]",0))&gt;0,"",INDIRECT("RC[-2]",0))</f>
        <v>0</v>
      </c>
    </row>
    <row r="666" spans="2:6">
      <c r="B666" t="str" cm="1">
        <f t="array" aca="1" ref="B666" ca="1">IFERROR(DATE(RIGHT(INDIRECT("RC[-1]",0),4),LEFT(INDIRECT("RC[-1]",0),2),1), "")</f>
        <v/>
      </c>
      <c r="C666" s="182"/>
      <c r="F666" cm="1">
        <f t="array" aca="1" ref="F666" ca="1">IF(COUNTIF($E$2:$E$2000,INDIRECT("RC[-2]",0))&gt;0,"",INDIRECT("RC[-2]",0))</f>
        <v>0</v>
      </c>
    </row>
    <row r="667" spans="2:6">
      <c r="B667" t="str" cm="1">
        <f t="array" aca="1" ref="B667" ca="1">IFERROR(DATE(RIGHT(INDIRECT("RC[-1]",0),4),LEFT(INDIRECT("RC[-1]",0),2),1), "")</f>
        <v/>
      </c>
      <c r="C667" s="182"/>
      <c r="F667" cm="1">
        <f t="array" aca="1" ref="F667" ca="1">IF(COUNTIF($E$2:$E$2000,INDIRECT("RC[-2]",0))&gt;0,"",INDIRECT("RC[-2]",0))</f>
        <v>0</v>
      </c>
    </row>
    <row r="668" spans="2:6">
      <c r="B668" t="str" cm="1">
        <f t="array" aca="1" ref="B668" ca="1">IFERROR(DATE(RIGHT(INDIRECT("RC[-1]",0),4),LEFT(INDIRECT("RC[-1]",0),2),1), "")</f>
        <v/>
      </c>
      <c r="C668" s="182"/>
      <c r="F668" cm="1">
        <f t="array" aca="1" ref="F668" ca="1">IF(COUNTIF($E$2:$E$2000,INDIRECT("RC[-2]",0))&gt;0,"",INDIRECT("RC[-2]",0))</f>
        <v>0</v>
      </c>
    </row>
    <row r="669" spans="2:6">
      <c r="B669" t="str" cm="1">
        <f t="array" aca="1" ref="B669" ca="1">IFERROR(DATE(RIGHT(INDIRECT("RC[-1]",0),4),LEFT(INDIRECT("RC[-1]",0),2),1), "")</f>
        <v/>
      </c>
      <c r="C669" s="182"/>
      <c r="F669" cm="1">
        <f t="array" aca="1" ref="F669" ca="1">IF(COUNTIF($E$2:$E$2000,INDIRECT("RC[-2]",0))&gt;0,"",INDIRECT("RC[-2]",0))</f>
        <v>0</v>
      </c>
    </row>
    <row r="670" spans="2:6">
      <c r="B670" t="str" cm="1">
        <f t="array" aca="1" ref="B670" ca="1">IFERROR(DATE(RIGHT(INDIRECT("RC[-1]",0),4),LEFT(INDIRECT("RC[-1]",0),2),1), "")</f>
        <v/>
      </c>
      <c r="C670" s="182"/>
      <c r="F670" cm="1">
        <f t="array" aca="1" ref="F670" ca="1">IF(COUNTIF($E$2:$E$2000,INDIRECT("RC[-2]",0))&gt;0,"",INDIRECT("RC[-2]",0))</f>
        <v>0</v>
      </c>
    </row>
    <row r="671" spans="2:6">
      <c r="B671" t="str" cm="1">
        <f t="array" aca="1" ref="B671" ca="1">IFERROR(DATE(RIGHT(INDIRECT("RC[-1]",0),4),LEFT(INDIRECT("RC[-1]",0),2),1), "")</f>
        <v/>
      </c>
      <c r="C671" s="182"/>
      <c r="F671" cm="1">
        <f t="array" aca="1" ref="F671" ca="1">IF(COUNTIF($E$2:$E$2000,INDIRECT("RC[-2]",0))&gt;0,"",INDIRECT("RC[-2]",0))</f>
        <v>0</v>
      </c>
    </row>
    <row r="672" spans="2:6">
      <c r="B672" t="str" cm="1">
        <f t="array" aca="1" ref="B672" ca="1">IFERROR(DATE(RIGHT(INDIRECT("RC[-1]",0),4),LEFT(INDIRECT("RC[-1]",0),2),1), "")</f>
        <v/>
      </c>
      <c r="C672" s="182"/>
      <c r="F672" cm="1">
        <f t="array" aca="1" ref="F672" ca="1">IF(COUNTIF($E$2:$E$2000,INDIRECT("RC[-2]",0))&gt;0,"",INDIRECT("RC[-2]",0))</f>
        <v>0</v>
      </c>
    </row>
    <row r="673" spans="2:6">
      <c r="B673" t="str" cm="1">
        <f t="array" aca="1" ref="B673" ca="1">IFERROR(DATE(RIGHT(INDIRECT("RC[-1]",0),4),LEFT(INDIRECT("RC[-1]",0),2),1), "")</f>
        <v/>
      </c>
      <c r="C673" s="182"/>
      <c r="F673" cm="1">
        <f t="array" aca="1" ref="F673" ca="1">IF(COUNTIF($E$2:$E$2000,INDIRECT("RC[-2]",0))&gt;0,"",INDIRECT("RC[-2]",0))</f>
        <v>0</v>
      </c>
    </row>
    <row r="674" spans="2:6">
      <c r="B674" t="str" cm="1">
        <f t="array" aca="1" ref="B674" ca="1">IFERROR(DATE(RIGHT(INDIRECT("RC[-1]",0),4),LEFT(INDIRECT("RC[-1]",0),2),1), "")</f>
        <v/>
      </c>
      <c r="C674" s="182"/>
      <c r="F674" cm="1">
        <f t="array" aca="1" ref="F674" ca="1">IF(COUNTIF($E$2:$E$2000,INDIRECT("RC[-2]",0))&gt;0,"",INDIRECT("RC[-2]",0))</f>
        <v>0</v>
      </c>
    </row>
    <row r="675" spans="2:6">
      <c r="B675" t="str" cm="1">
        <f t="array" aca="1" ref="B675" ca="1">IFERROR(DATE(RIGHT(INDIRECT("RC[-1]",0),4),LEFT(INDIRECT("RC[-1]",0),2),1), "")</f>
        <v/>
      </c>
      <c r="C675" s="182"/>
      <c r="F675" cm="1">
        <f t="array" aca="1" ref="F675" ca="1">IF(COUNTIF($E$2:$E$2000,INDIRECT("RC[-2]",0))&gt;0,"",INDIRECT("RC[-2]",0))</f>
        <v>0</v>
      </c>
    </row>
    <row r="676" spans="2:6">
      <c r="B676" t="str" cm="1">
        <f t="array" aca="1" ref="B676" ca="1">IFERROR(DATE(RIGHT(INDIRECT("RC[-1]",0),4),LEFT(INDIRECT("RC[-1]",0),2),1), "")</f>
        <v/>
      </c>
      <c r="C676" s="182"/>
      <c r="F676" cm="1">
        <f t="array" aca="1" ref="F676" ca="1">IF(COUNTIF($E$2:$E$2000,INDIRECT("RC[-2]",0))&gt;0,"",INDIRECT("RC[-2]",0))</f>
        <v>0</v>
      </c>
    </row>
    <row r="677" spans="2:6">
      <c r="B677" t="str" cm="1">
        <f t="array" aca="1" ref="B677" ca="1">IFERROR(DATE(RIGHT(INDIRECT("RC[-1]",0),4),LEFT(INDIRECT("RC[-1]",0),2),1), "")</f>
        <v/>
      </c>
      <c r="C677" s="182"/>
      <c r="F677" cm="1">
        <f t="array" aca="1" ref="F677" ca="1">IF(COUNTIF($E$2:$E$2000,INDIRECT("RC[-2]",0))&gt;0,"",INDIRECT("RC[-2]",0))</f>
        <v>0</v>
      </c>
    </row>
    <row r="678" spans="2:6">
      <c r="B678" t="str" cm="1">
        <f t="array" aca="1" ref="B678" ca="1">IFERROR(DATE(RIGHT(INDIRECT("RC[-1]",0),4),LEFT(INDIRECT("RC[-1]",0),2),1), "")</f>
        <v/>
      </c>
      <c r="C678" s="182"/>
      <c r="F678" cm="1">
        <f t="array" aca="1" ref="F678" ca="1">IF(COUNTIF($E$2:$E$2000,INDIRECT("RC[-2]",0))&gt;0,"",INDIRECT("RC[-2]",0))</f>
        <v>0</v>
      </c>
    </row>
    <row r="679" spans="2:6">
      <c r="B679" t="str" cm="1">
        <f t="array" aca="1" ref="B679" ca="1">IFERROR(DATE(RIGHT(INDIRECT("RC[-1]",0),4),LEFT(INDIRECT("RC[-1]",0),2),1), "")</f>
        <v/>
      </c>
      <c r="C679" s="182"/>
      <c r="F679" cm="1">
        <f t="array" aca="1" ref="F679" ca="1">IF(COUNTIF($E$2:$E$2000,INDIRECT("RC[-2]",0))&gt;0,"",INDIRECT("RC[-2]",0))</f>
        <v>0</v>
      </c>
    </row>
    <row r="680" spans="2:6">
      <c r="B680" t="str" cm="1">
        <f t="array" aca="1" ref="B680" ca="1">IFERROR(DATE(RIGHT(INDIRECT("RC[-1]",0),4),LEFT(INDIRECT("RC[-1]",0),2),1), "")</f>
        <v/>
      </c>
      <c r="C680" s="182"/>
      <c r="F680" cm="1">
        <f t="array" aca="1" ref="F680" ca="1">IF(COUNTIF($E$2:$E$2000,INDIRECT("RC[-2]",0))&gt;0,"",INDIRECT("RC[-2]",0))</f>
        <v>0</v>
      </c>
    </row>
    <row r="681" spans="2:6">
      <c r="B681" t="str" cm="1">
        <f t="array" aca="1" ref="B681" ca="1">IFERROR(DATE(RIGHT(INDIRECT("RC[-1]",0),4),LEFT(INDIRECT("RC[-1]",0),2),1), "")</f>
        <v/>
      </c>
      <c r="C681" s="182"/>
      <c r="F681" cm="1">
        <f t="array" aca="1" ref="F681" ca="1">IF(COUNTIF($E$2:$E$2000,INDIRECT("RC[-2]",0))&gt;0,"",INDIRECT("RC[-2]",0))</f>
        <v>0</v>
      </c>
    </row>
    <row r="682" spans="2:6">
      <c r="B682" t="str" cm="1">
        <f t="array" aca="1" ref="B682" ca="1">IFERROR(DATE(RIGHT(INDIRECT("RC[-1]",0),4),LEFT(INDIRECT("RC[-1]",0),2),1), "")</f>
        <v/>
      </c>
      <c r="C682" s="182"/>
      <c r="F682" cm="1">
        <f t="array" aca="1" ref="F682" ca="1">IF(COUNTIF($E$2:$E$2000,INDIRECT("RC[-2]",0))&gt;0,"",INDIRECT("RC[-2]",0))</f>
        <v>0</v>
      </c>
    </row>
    <row r="683" spans="2:6">
      <c r="B683" t="str" cm="1">
        <f t="array" aca="1" ref="B683" ca="1">IFERROR(DATE(RIGHT(INDIRECT("RC[-1]",0),4),LEFT(INDIRECT("RC[-1]",0),2),1), "")</f>
        <v/>
      </c>
      <c r="C683" s="182"/>
      <c r="F683" cm="1">
        <f t="array" aca="1" ref="F683" ca="1">IF(COUNTIF($E$2:$E$2000,INDIRECT("RC[-2]",0))&gt;0,"",INDIRECT("RC[-2]",0))</f>
        <v>0</v>
      </c>
    </row>
    <row r="684" spans="2:6">
      <c r="B684" t="str" cm="1">
        <f t="array" aca="1" ref="B684" ca="1">IFERROR(DATE(RIGHT(INDIRECT("RC[-1]",0),4),LEFT(INDIRECT("RC[-1]",0),2),1), "")</f>
        <v/>
      </c>
      <c r="C684" s="182"/>
      <c r="F684" cm="1">
        <f t="array" aca="1" ref="F684" ca="1">IF(COUNTIF($E$2:$E$2000,INDIRECT("RC[-2]",0))&gt;0,"",INDIRECT("RC[-2]",0))</f>
        <v>0</v>
      </c>
    </row>
    <row r="685" spans="2:6">
      <c r="B685" t="str" cm="1">
        <f t="array" aca="1" ref="B685" ca="1">IFERROR(DATE(RIGHT(INDIRECT("RC[-1]",0),4),LEFT(INDIRECT("RC[-1]",0),2),1), "")</f>
        <v/>
      </c>
      <c r="C685" s="182"/>
      <c r="F685" cm="1">
        <f t="array" aca="1" ref="F685" ca="1">IF(COUNTIF($E$2:$E$2000,INDIRECT("RC[-2]",0))&gt;0,"",INDIRECT("RC[-2]",0))</f>
        <v>0</v>
      </c>
    </row>
    <row r="686" spans="2:6">
      <c r="B686" t="str" cm="1">
        <f t="array" aca="1" ref="B686" ca="1">IFERROR(DATE(RIGHT(INDIRECT("RC[-1]",0),4),LEFT(INDIRECT("RC[-1]",0),2),1), "")</f>
        <v/>
      </c>
      <c r="C686" s="182"/>
      <c r="F686" cm="1">
        <f t="array" aca="1" ref="F686" ca="1">IF(COUNTIF($E$2:$E$2000,INDIRECT("RC[-2]",0))&gt;0,"",INDIRECT("RC[-2]",0))</f>
        <v>0</v>
      </c>
    </row>
    <row r="687" spans="2:6">
      <c r="B687" t="str" cm="1">
        <f t="array" aca="1" ref="B687" ca="1">IFERROR(DATE(RIGHT(INDIRECT("RC[-1]",0),4),LEFT(INDIRECT("RC[-1]",0),2),1), "")</f>
        <v/>
      </c>
      <c r="C687" s="182"/>
      <c r="F687" cm="1">
        <f t="array" aca="1" ref="F687" ca="1">IF(COUNTIF($E$2:$E$2000,INDIRECT("RC[-2]",0))&gt;0,"",INDIRECT("RC[-2]",0))</f>
        <v>0</v>
      </c>
    </row>
    <row r="688" spans="2:6">
      <c r="B688" t="str" cm="1">
        <f t="array" aca="1" ref="B688" ca="1">IFERROR(DATE(RIGHT(INDIRECT("RC[-1]",0),4),LEFT(INDIRECT("RC[-1]",0),2),1), "")</f>
        <v/>
      </c>
      <c r="C688" s="182"/>
      <c r="F688" cm="1">
        <f t="array" aca="1" ref="F688" ca="1">IF(COUNTIF($E$2:$E$2000,INDIRECT("RC[-2]",0))&gt;0,"",INDIRECT("RC[-2]",0))</f>
        <v>0</v>
      </c>
    </row>
    <row r="689" spans="2:6">
      <c r="B689" t="str" cm="1">
        <f t="array" aca="1" ref="B689" ca="1">IFERROR(DATE(RIGHT(INDIRECT("RC[-1]",0),4),LEFT(INDIRECT("RC[-1]",0),2),1), "")</f>
        <v/>
      </c>
      <c r="C689" s="182"/>
      <c r="F689" cm="1">
        <f t="array" aca="1" ref="F689" ca="1">IF(COUNTIF($E$2:$E$2000,INDIRECT("RC[-2]",0))&gt;0,"",INDIRECT("RC[-2]",0))</f>
        <v>0</v>
      </c>
    </row>
    <row r="690" spans="2:6">
      <c r="B690" t="str" cm="1">
        <f t="array" aca="1" ref="B690" ca="1">IFERROR(DATE(RIGHT(INDIRECT("RC[-1]",0),4),LEFT(INDIRECT("RC[-1]",0),2),1), "")</f>
        <v/>
      </c>
      <c r="C690" s="182"/>
      <c r="F690" cm="1">
        <f t="array" aca="1" ref="F690" ca="1">IF(COUNTIF($E$2:$E$2000,INDIRECT("RC[-2]",0))&gt;0,"",INDIRECT("RC[-2]",0))</f>
        <v>0</v>
      </c>
    </row>
    <row r="691" spans="2:6">
      <c r="B691" t="str" cm="1">
        <f t="array" aca="1" ref="B691" ca="1">IFERROR(DATE(RIGHT(INDIRECT("RC[-1]",0),4),LEFT(INDIRECT("RC[-1]",0),2),1), "")</f>
        <v/>
      </c>
      <c r="C691" s="182"/>
      <c r="F691" cm="1">
        <f t="array" aca="1" ref="F691" ca="1">IF(COUNTIF($E$2:$E$2000,INDIRECT("RC[-2]",0))&gt;0,"",INDIRECT("RC[-2]",0))</f>
        <v>0</v>
      </c>
    </row>
    <row r="692" spans="2:6">
      <c r="B692" t="str" cm="1">
        <f t="array" aca="1" ref="B692" ca="1">IFERROR(DATE(RIGHT(INDIRECT("RC[-1]",0),4),LEFT(INDIRECT("RC[-1]",0),2),1), "")</f>
        <v/>
      </c>
      <c r="C692" s="182"/>
      <c r="F692" cm="1">
        <f t="array" aca="1" ref="F692" ca="1">IF(COUNTIF($E$2:$E$2000,INDIRECT("RC[-2]",0))&gt;0,"",INDIRECT("RC[-2]",0))</f>
        <v>0</v>
      </c>
    </row>
    <row r="693" spans="2:6">
      <c r="B693" t="str" cm="1">
        <f t="array" aca="1" ref="B693" ca="1">IFERROR(DATE(RIGHT(INDIRECT("RC[-1]",0),4),LEFT(INDIRECT("RC[-1]",0),2),1), "")</f>
        <v/>
      </c>
      <c r="C693" s="182"/>
      <c r="F693" cm="1">
        <f t="array" aca="1" ref="F693" ca="1">IF(COUNTIF($E$2:$E$2000,INDIRECT("RC[-2]",0))&gt;0,"",INDIRECT("RC[-2]",0))</f>
        <v>0</v>
      </c>
    </row>
    <row r="694" spans="2:6">
      <c r="B694" t="str" cm="1">
        <f t="array" aca="1" ref="B694" ca="1">IFERROR(DATE(RIGHT(INDIRECT("RC[-1]",0),4),LEFT(INDIRECT("RC[-1]",0),2),1), "")</f>
        <v/>
      </c>
      <c r="C694" s="182"/>
      <c r="F694" cm="1">
        <f t="array" aca="1" ref="F694" ca="1">IF(COUNTIF($E$2:$E$2000,INDIRECT("RC[-2]",0))&gt;0,"",INDIRECT("RC[-2]",0))</f>
        <v>0</v>
      </c>
    </row>
    <row r="695" spans="2:6">
      <c r="B695" t="str" cm="1">
        <f t="array" aca="1" ref="B695" ca="1">IFERROR(DATE(RIGHT(INDIRECT("RC[-1]",0),4),LEFT(INDIRECT("RC[-1]",0),2),1), "")</f>
        <v/>
      </c>
      <c r="C695" s="182"/>
      <c r="F695" cm="1">
        <f t="array" aca="1" ref="F695" ca="1">IF(COUNTIF($E$2:$E$2000,INDIRECT("RC[-2]",0))&gt;0,"",INDIRECT("RC[-2]",0))</f>
        <v>0</v>
      </c>
    </row>
    <row r="696" spans="2:6">
      <c r="B696" t="str" cm="1">
        <f t="array" aca="1" ref="B696" ca="1">IFERROR(DATE(RIGHT(INDIRECT("RC[-1]",0),4),LEFT(INDIRECT("RC[-1]",0),2),1), "")</f>
        <v/>
      </c>
      <c r="C696" s="182"/>
      <c r="F696" cm="1">
        <f t="array" aca="1" ref="F696" ca="1">IF(COUNTIF($E$2:$E$2000,INDIRECT("RC[-2]",0))&gt;0,"",INDIRECT("RC[-2]",0))</f>
        <v>0</v>
      </c>
    </row>
    <row r="697" spans="2:6">
      <c r="B697" t="str" cm="1">
        <f t="array" aca="1" ref="B697" ca="1">IFERROR(DATE(RIGHT(INDIRECT("RC[-1]",0),4),LEFT(INDIRECT("RC[-1]",0),2),1), "")</f>
        <v/>
      </c>
      <c r="C697" s="182"/>
      <c r="F697" cm="1">
        <f t="array" aca="1" ref="F697" ca="1">IF(COUNTIF($E$2:$E$2000,INDIRECT("RC[-2]",0))&gt;0,"",INDIRECT("RC[-2]",0))</f>
        <v>0</v>
      </c>
    </row>
    <row r="698" spans="2:6">
      <c r="B698" t="str" cm="1">
        <f t="array" aca="1" ref="B698" ca="1">IFERROR(DATE(RIGHT(INDIRECT("RC[-1]",0),4),LEFT(INDIRECT("RC[-1]",0),2),1), "")</f>
        <v/>
      </c>
      <c r="C698" s="182"/>
      <c r="F698" cm="1">
        <f t="array" aca="1" ref="F698" ca="1">IF(COUNTIF($E$2:$E$2000,INDIRECT("RC[-2]",0))&gt;0,"",INDIRECT("RC[-2]",0))</f>
        <v>0</v>
      </c>
    </row>
    <row r="699" spans="2:6">
      <c r="B699" t="str" cm="1">
        <f t="array" aca="1" ref="B699" ca="1">IFERROR(DATE(RIGHT(INDIRECT("RC[-1]",0),4),LEFT(INDIRECT("RC[-1]",0),2),1), "")</f>
        <v/>
      </c>
      <c r="C699" s="182"/>
      <c r="F699" cm="1">
        <f t="array" aca="1" ref="F699" ca="1">IF(COUNTIF($E$2:$E$2000,INDIRECT("RC[-2]",0))&gt;0,"",INDIRECT("RC[-2]",0))</f>
        <v>0</v>
      </c>
    </row>
    <row r="700" spans="2:6">
      <c r="B700" t="str" cm="1">
        <f t="array" aca="1" ref="B700" ca="1">IFERROR(DATE(RIGHT(INDIRECT("RC[-1]",0),4),LEFT(INDIRECT("RC[-1]",0),2),1), "")</f>
        <v/>
      </c>
      <c r="C700" s="182"/>
      <c r="F700" cm="1">
        <f t="array" aca="1" ref="F700" ca="1">IF(COUNTIF($E$2:$E$2000,INDIRECT("RC[-2]",0))&gt;0,"",INDIRECT("RC[-2]",0))</f>
        <v>0</v>
      </c>
    </row>
    <row r="701" spans="2:6">
      <c r="B701" t="str" cm="1">
        <f t="array" aca="1" ref="B701" ca="1">IFERROR(DATE(RIGHT(INDIRECT("RC[-1]",0),4),LEFT(INDIRECT("RC[-1]",0),2),1), "")</f>
        <v/>
      </c>
      <c r="C701" s="182"/>
      <c r="F701" cm="1">
        <f t="array" aca="1" ref="F701" ca="1">IF(COUNTIF($E$2:$E$2000,INDIRECT("RC[-2]",0))&gt;0,"",INDIRECT("RC[-2]",0))</f>
        <v>0</v>
      </c>
    </row>
    <row r="702" spans="2:6">
      <c r="B702" t="str" cm="1">
        <f t="array" aca="1" ref="B702" ca="1">IFERROR(DATE(RIGHT(INDIRECT("RC[-1]",0),4),LEFT(INDIRECT("RC[-1]",0),2),1), "")</f>
        <v/>
      </c>
      <c r="C702" s="182"/>
      <c r="F702" cm="1">
        <f t="array" aca="1" ref="F702" ca="1">IF(COUNTIF($E$2:$E$2000,INDIRECT("RC[-2]",0))&gt;0,"",INDIRECT("RC[-2]",0))</f>
        <v>0</v>
      </c>
    </row>
    <row r="703" spans="2:6">
      <c r="B703" t="str" cm="1">
        <f t="array" aca="1" ref="B703" ca="1">IFERROR(DATE(RIGHT(INDIRECT("RC[-1]",0),4),LEFT(INDIRECT("RC[-1]",0),2),1), "")</f>
        <v/>
      </c>
      <c r="C703" s="182"/>
      <c r="F703" cm="1">
        <f t="array" aca="1" ref="F703" ca="1">IF(COUNTIF($E$2:$E$2000,INDIRECT("RC[-2]",0))&gt;0,"",INDIRECT("RC[-2]",0))</f>
        <v>0</v>
      </c>
    </row>
    <row r="704" spans="2:6">
      <c r="B704" t="str" cm="1">
        <f t="array" aca="1" ref="B704" ca="1">IFERROR(DATE(RIGHT(INDIRECT("RC[-1]",0),4),LEFT(INDIRECT("RC[-1]",0),2),1), "")</f>
        <v/>
      </c>
      <c r="C704" s="182"/>
      <c r="F704" cm="1">
        <f t="array" aca="1" ref="F704" ca="1">IF(COUNTIF($E$2:$E$2000,INDIRECT("RC[-2]",0))&gt;0,"",INDIRECT("RC[-2]",0))</f>
        <v>0</v>
      </c>
    </row>
    <row r="705" spans="2:6">
      <c r="B705" t="str" cm="1">
        <f t="array" aca="1" ref="B705" ca="1">IFERROR(DATE(RIGHT(INDIRECT("RC[-1]",0),4),LEFT(INDIRECT("RC[-1]",0),2),1), "")</f>
        <v/>
      </c>
      <c r="C705" s="182"/>
      <c r="F705" cm="1">
        <f t="array" aca="1" ref="F705" ca="1">IF(COUNTIF($E$2:$E$2000,INDIRECT("RC[-2]",0))&gt;0,"",INDIRECT("RC[-2]",0))</f>
        <v>0</v>
      </c>
    </row>
    <row r="706" spans="2:6">
      <c r="B706" t="str" cm="1">
        <f t="array" aca="1" ref="B706" ca="1">IFERROR(DATE(RIGHT(INDIRECT("RC[-1]",0),4),LEFT(INDIRECT("RC[-1]",0),2),1), "")</f>
        <v/>
      </c>
      <c r="C706" s="182"/>
      <c r="F706" cm="1">
        <f t="array" aca="1" ref="F706" ca="1">IF(COUNTIF($E$2:$E$2000,INDIRECT("RC[-2]",0))&gt;0,"",INDIRECT("RC[-2]",0))</f>
        <v>0</v>
      </c>
    </row>
    <row r="707" spans="2:6">
      <c r="B707" t="str" cm="1">
        <f t="array" aca="1" ref="B707" ca="1">IFERROR(DATE(RIGHT(INDIRECT("RC[-1]",0),4),LEFT(INDIRECT("RC[-1]",0),2),1), "")</f>
        <v/>
      </c>
      <c r="C707" s="182"/>
      <c r="F707" cm="1">
        <f t="array" aca="1" ref="F707" ca="1">IF(COUNTIF($E$2:$E$2000,INDIRECT("RC[-2]",0))&gt;0,"",INDIRECT("RC[-2]",0))</f>
        <v>0</v>
      </c>
    </row>
    <row r="708" spans="2:6">
      <c r="B708" t="str" cm="1">
        <f t="array" aca="1" ref="B708" ca="1">IFERROR(DATE(RIGHT(INDIRECT("RC[-1]",0),4),LEFT(INDIRECT("RC[-1]",0),2),1), "")</f>
        <v/>
      </c>
      <c r="C708" s="182"/>
      <c r="F708" cm="1">
        <f t="array" aca="1" ref="F708" ca="1">IF(COUNTIF($E$2:$E$2000,INDIRECT("RC[-2]",0))&gt;0,"",INDIRECT("RC[-2]",0))</f>
        <v>0</v>
      </c>
    </row>
    <row r="709" spans="2:6">
      <c r="B709" t="str" cm="1">
        <f t="array" aca="1" ref="B709" ca="1">IFERROR(DATE(RIGHT(INDIRECT("RC[-1]",0),4),LEFT(INDIRECT("RC[-1]",0),2),1), "")</f>
        <v/>
      </c>
      <c r="C709" s="182"/>
      <c r="F709" cm="1">
        <f t="array" aca="1" ref="F709" ca="1">IF(COUNTIF($E$2:$E$2000,INDIRECT("RC[-2]",0))&gt;0,"",INDIRECT("RC[-2]",0))</f>
        <v>0</v>
      </c>
    </row>
    <row r="710" spans="2:6">
      <c r="B710" t="str" cm="1">
        <f t="array" aca="1" ref="B710" ca="1">IFERROR(DATE(RIGHT(INDIRECT("RC[-1]",0),4),LEFT(INDIRECT("RC[-1]",0),2),1), "")</f>
        <v/>
      </c>
      <c r="C710" s="182"/>
      <c r="F710" cm="1">
        <f t="array" aca="1" ref="F710" ca="1">IF(COUNTIF($E$2:$E$2000,INDIRECT("RC[-2]",0))&gt;0,"",INDIRECT("RC[-2]",0))</f>
        <v>0</v>
      </c>
    </row>
    <row r="711" spans="2:6">
      <c r="B711" t="str" cm="1">
        <f t="array" aca="1" ref="B711" ca="1">IFERROR(DATE(RIGHT(INDIRECT("RC[-1]",0),4),LEFT(INDIRECT("RC[-1]",0),2),1), "")</f>
        <v/>
      </c>
      <c r="C711" s="182"/>
      <c r="F711" cm="1">
        <f t="array" aca="1" ref="F711" ca="1">IF(COUNTIF($E$2:$E$2000,INDIRECT("RC[-2]",0))&gt;0,"",INDIRECT("RC[-2]",0))</f>
        <v>0</v>
      </c>
    </row>
    <row r="712" spans="2:6">
      <c r="B712" t="str" cm="1">
        <f t="array" aca="1" ref="B712" ca="1">IFERROR(DATE(RIGHT(INDIRECT("RC[-1]",0),4),LEFT(INDIRECT("RC[-1]",0),2),1), "")</f>
        <v/>
      </c>
      <c r="C712" s="182"/>
      <c r="F712" cm="1">
        <f t="array" aca="1" ref="F712" ca="1">IF(COUNTIF($E$2:$E$2000,INDIRECT("RC[-2]",0))&gt;0,"",INDIRECT("RC[-2]",0))</f>
        <v>0</v>
      </c>
    </row>
    <row r="713" spans="2:6">
      <c r="B713" t="str" cm="1">
        <f t="array" aca="1" ref="B713" ca="1">IFERROR(DATE(RIGHT(INDIRECT("RC[-1]",0),4),LEFT(INDIRECT("RC[-1]",0),2),1), "")</f>
        <v/>
      </c>
      <c r="C713" s="182"/>
      <c r="F713" cm="1">
        <f t="array" aca="1" ref="F713" ca="1">IF(COUNTIF($E$2:$E$2000,INDIRECT("RC[-2]",0))&gt;0,"",INDIRECT("RC[-2]",0))</f>
        <v>0</v>
      </c>
    </row>
    <row r="714" spans="2:6">
      <c r="B714" t="str" cm="1">
        <f t="array" aca="1" ref="B714" ca="1">IFERROR(DATE(RIGHT(INDIRECT("RC[-1]",0),4),LEFT(INDIRECT("RC[-1]",0),2),1), "")</f>
        <v/>
      </c>
      <c r="C714" s="182"/>
      <c r="F714" cm="1">
        <f t="array" aca="1" ref="F714" ca="1">IF(COUNTIF($E$2:$E$2000,INDIRECT("RC[-2]",0))&gt;0,"",INDIRECT("RC[-2]",0))</f>
        <v>0</v>
      </c>
    </row>
    <row r="715" spans="2:6">
      <c r="B715" t="str" cm="1">
        <f t="array" aca="1" ref="B715" ca="1">IFERROR(DATE(RIGHT(INDIRECT("RC[-1]",0),4),LEFT(INDIRECT("RC[-1]",0),2),1), "")</f>
        <v/>
      </c>
      <c r="C715" s="182"/>
      <c r="F715" cm="1">
        <f t="array" aca="1" ref="F715" ca="1">IF(COUNTIF($E$2:$E$2000,INDIRECT("RC[-2]",0))&gt;0,"",INDIRECT("RC[-2]",0))</f>
        <v>0</v>
      </c>
    </row>
    <row r="716" spans="2:6">
      <c r="B716" t="str" cm="1">
        <f t="array" aca="1" ref="B716" ca="1">IFERROR(DATE(RIGHT(INDIRECT("RC[-1]",0),4),LEFT(INDIRECT("RC[-1]",0),2),1), "")</f>
        <v/>
      </c>
      <c r="C716" s="182"/>
      <c r="F716" cm="1">
        <f t="array" aca="1" ref="F716" ca="1">IF(COUNTIF($E$2:$E$2000,INDIRECT("RC[-2]",0))&gt;0,"",INDIRECT("RC[-2]",0))</f>
        <v>0</v>
      </c>
    </row>
    <row r="717" spans="2:6">
      <c r="B717" t="str" cm="1">
        <f t="array" aca="1" ref="B717" ca="1">IFERROR(DATE(RIGHT(INDIRECT("RC[-1]",0),4),LEFT(INDIRECT("RC[-1]",0),2),1), "")</f>
        <v/>
      </c>
      <c r="C717" s="182"/>
      <c r="F717" cm="1">
        <f t="array" aca="1" ref="F717" ca="1">IF(COUNTIF($E$2:$E$2000,INDIRECT("RC[-2]",0))&gt;0,"",INDIRECT("RC[-2]",0))</f>
        <v>0</v>
      </c>
    </row>
    <row r="718" spans="2:6">
      <c r="B718" t="str" cm="1">
        <f t="array" aca="1" ref="B718" ca="1">IFERROR(DATE(RIGHT(INDIRECT("RC[-1]",0),4),LEFT(INDIRECT("RC[-1]",0),2),1), "")</f>
        <v/>
      </c>
      <c r="C718" s="182"/>
      <c r="F718" cm="1">
        <f t="array" aca="1" ref="F718" ca="1">IF(COUNTIF($E$2:$E$2000,INDIRECT("RC[-2]",0))&gt;0,"",INDIRECT("RC[-2]",0))</f>
        <v>0</v>
      </c>
    </row>
    <row r="719" spans="2:6">
      <c r="B719" t="str" cm="1">
        <f t="array" aca="1" ref="B719" ca="1">IFERROR(DATE(RIGHT(INDIRECT("RC[-1]",0),4),LEFT(INDIRECT("RC[-1]",0),2),1), "")</f>
        <v/>
      </c>
      <c r="C719" s="182"/>
      <c r="F719" cm="1">
        <f t="array" aca="1" ref="F719" ca="1">IF(COUNTIF($E$2:$E$2000,INDIRECT("RC[-2]",0))&gt;0,"",INDIRECT("RC[-2]",0))</f>
        <v>0</v>
      </c>
    </row>
    <row r="720" spans="2:6">
      <c r="B720" t="str" cm="1">
        <f t="array" aca="1" ref="B720" ca="1">IFERROR(DATE(RIGHT(INDIRECT("RC[-1]",0),4),LEFT(INDIRECT("RC[-1]",0),2),1), "")</f>
        <v/>
      </c>
      <c r="C720" s="182"/>
      <c r="F720" cm="1">
        <f t="array" aca="1" ref="F720" ca="1">IF(COUNTIF($E$2:$E$2000,INDIRECT("RC[-2]",0))&gt;0,"",INDIRECT("RC[-2]",0))</f>
        <v>0</v>
      </c>
    </row>
    <row r="721" spans="2:6">
      <c r="B721" t="str" cm="1">
        <f t="array" aca="1" ref="B721" ca="1">IFERROR(DATE(RIGHT(INDIRECT("RC[-1]",0),4),LEFT(INDIRECT("RC[-1]",0),2),1), "")</f>
        <v/>
      </c>
      <c r="C721" s="182"/>
      <c r="F721" cm="1">
        <f t="array" aca="1" ref="F721" ca="1">IF(COUNTIF($E$2:$E$2000,INDIRECT("RC[-2]",0))&gt;0,"",INDIRECT("RC[-2]",0))</f>
        <v>0</v>
      </c>
    </row>
    <row r="722" spans="2:6">
      <c r="B722" t="str" cm="1">
        <f t="array" aca="1" ref="B722" ca="1">IFERROR(DATE(RIGHT(INDIRECT("RC[-1]",0),4),LEFT(INDIRECT("RC[-1]",0),2),1), "")</f>
        <v/>
      </c>
      <c r="C722" s="182"/>
      <c r="F722" cm="1">
        <f t="array" aca="1" ref="F722" ca="1">IF(COUNTIF($E$2:$E$2000,INDIRECT("RC[-2]",0))&gt;0,"",INDIRECT("RC[-2]",0))</f>
        <v>0</v>
      </c>
    </row>
    <row r="723" spans="2:6">
      <c r="B723" t="str" cm="1">
        <f t="array" aca="1" ref="B723" ca="1">IFERROR(DATE(RIGHT(INDIRECT("RC[-1]",0),4),LEFT(INDIRECT("RC[-1]",0),2),1), "")</f>
        <v/>
      </c>
      <c r="C723" s="182"/>
      <c r="F723" cm="1">
        <f t="array" aca="1" ref="F723" ca="1">IF(COUNTIF($E$2:$E$2000,INDIRECT("RC[-2]",0))&gt;0,"",INDIRECT("RC[-2]",0))</f>
        <v>0</v>
      </c>
    </row>
    <row r="724" spans="2:6">
      <c r="B724" t="str" cm="1">
        <f t="array" aca="1" ref="B724" ca="1">IFERROR(DATE(RIGHT(INDIRECT("RC[-1]",0),4),LEFT(INDIRECT("RC[-1]",0),2),1), "")</f>
        <v/>
      </c>
      <c r="C724" s="182"/>
      <c r="F724" cm="1">
        <f t="array" aca="1" ref="F724" ca="1">IF(COUNTIF($E$2:$E$2000,INDIRECT("RC[-2]",0))&gt;0,"",INDIRECT("RC[-2]",0))</f>
        <v>0</v>
      </c>
    </row>
    <row r="725" spans="2:6">
      <c r="B725" t="str" cm="1">
        <f t="array" aca="1" ref="B725" ca="1">IFERROR(DATE(RIGHT(INDIRECT("RC[-1]",0),4),LEFT(INDIRECT("RC[-1]",0),2),1), "")</f>
        <v/>
      </c>
      <c r="C725" s="182"/>
      <c r="F725" cm="1">
        <f t="array" aca="1" ref="F725" ca="1">IF(COUNTIF($E$2:$E$2000,INDIRECT("RC[-2]",0))&gt;0,"",INDIRECT("RC[-2]",0))</f>
        <v>0</v>
      </c>
    </row>
    <row r="726" spans="2:6">
      <c r="B726" t="str" cm="1">
        <f t="array" aca="1" ref="B726" ca="1">IFERROR(DATE(RIGHT(INDIRECT("RC[-1]",0),4),LEFT(INDIRECT("RC[-1]",0),2),1), "")</f>
        <v/>
      </c>
      <c r="C726" s="182"/>
      <c r="F726" cm="1">
        <f t="array" aca="1" ref="F726" ca="1">IF(COUNTIF($E$2:$E$2000,INDIRECT("RC[-2]",0))&gt;0,"",INDIRECT("RC[-2]",0))</f>
        <v>0</v>
      </c>
    </row>
    <row r="727" spans="2:6">
      <c r="B727" t="str" cm="1">
        <f t="array" aca="1" ref="B727" ca="1">IFERROR(DATE(RIGHT(INDIRECT("RC[-1]",0),4),LEFT(INDIRECT("RC[-1]",0),2),1), "")</f>
        <v/>
      </c>
      <c r="C727" s="182"/>
      <c r="F727" cm="1">
        <f t="array" aca="1" ref="F727" ca="1">IF(COUNTIF($E$2:$E$2000,INDIRECT("RC[-2]",0))&gt;0,"",INDIRECT("RC[-2]",0))</f>
        <v>0</v>
      </c>
    </row>
    <row r="728" spans="2:6">
      <c r="B728" t="str" cm="1">
        <f t="array" aca="1" ref="B728" ca="1">IFERROR(DATE(RIGHT(INDIRECT("RC[-1]",0),4),LEFT(INDIRECT("RC[-1]",0),2),1), "")</f>
        <v/>
      </c>
      <c r="C728" s="182"/>
      <c r="F728" cm="1">
        <f t="array" aca="1" ref="F728" ca="1">IF(COUNTIF($E$2:$E$2000,INDIRECT("RC[-2]",0))&gt;0,"",INDIRECT("RC[-2]",0))</f>
        <v>0</v>
      </c>
    </row>
    <row r="729" spans="2:6">
      <c r="B729" t="str" cm="1">
        <f t="array" aca="1" ref="B729" ca="1">IFERROR(DATE(RIGHT(INDIRECT("RC[-1]",0),4),LEFT(INDIRECT("RC[-1]",0),2),1), "")</f>
        <v/>
      </c>
      <c r="C729" s="182"/>
      <c r="F729" cm="1">
        <f t="array" aca="1" ref="F729" ca="1">IF(COUNTIF($E$2:$E$2000,INDIRECT("RC[-2]",0))&gt;0,"",INDIRECT("RC[-2]",0))</f>
        <v>0</v>
      </c>
    </row>
    <row r="730" spans="2:6">
      <c r="B730" t="str" cm="1">
        <f t="array" aca="1" ref="B730" ca="1">IFERROR(DATE(RIGHT(INDIRECT("RC[-1]",0),4),LEFT(INDIRECT("RC[-1]",0),2),1), "")</f>
        <v/>
      </c>
      <c r="C730" s="182"/>
      <c r="F730" cm="1">
        <f t="array" aca="1" ref="F730" ca="1">IF(COUNTIF($E$2:$E$2000,INDIRECT("RC[-2]",0))&gt;0,"",INDIRECT("RC[-2]",0))</f>
        <v>0</v>
      </c>
    </row>
    <row r="731" spans="2:6">
      <c r="B731" t="str" cm="1">
        <f t="array" aca="1" ref="B731" ca="1">IFERROR(DATE(RIGHT(INDIRECT("RC[-1]",0),4),LEFT(INDIRECT("RC[-1]",0),2),1), "")</f>
        <v/>
      </c>
      <c r="C731" s="182"/>
      <c r="F731" cm="1">
        <f t="array" aca="1" ref="F731" ca="1">IF(COUNTIF($E$2:$E$2000,INDIRECT("RC[-2]",0))&gt;0,"",INDIRECT("RC[-2]",0))</f>
        <v>0</v>
      </c>
    </row>
    <row r="732" spans="2:6">
      <c r="B732" t="str" cm="1">
        <f t="array" aca="1" ref="B732" ca="1">IFERROR(DATE(RIGHT(INDIRECT("RC[-1]",0),4),LEFT(INDIRECT("RC[-1]",0),2),1), "")</f>
        <v/>
      </c>
      <c r="C732" s="182"/>
      <c r="F732" cm="1">
        <f t="array" aca="1" ref="F732" ca="1">IF(COUNTIF($E$2:$E$2000,INDIRECT("RC[-2]",0))&gt;0,"",INDIRECT("RC[-2]",0))</f>
        <v>0</v>
      </c>
    </row>
    <row r="733" spans="2:6">
      <c r="B733" t="str" cm="1">
        <f t="array" aca="1" ref="B733" ca="1">IFERROR(DATE(RIGHT(INDIRECT("RC[-1]",0),4),LEFT(INDIRECT("RC[-1]",0),2),1), "")</f>
        <v/>
      </c>
      <c r="C733" s="182"/>
      <c r="F733" cm="1">
        <f t="array" aca="1" ref="F733" ca="1">IF(COUNTIF($E$2:$E$2000,INDIRECT("RC[-2]",0))&gt;0,"",INDIRECT("RC[-2]",0))</f>
        <v>0</v>
      </c>
    </row>
    <row r="734" spans="2:6">
      <c r="B734" t="str" cm="1">
        <f t="array" aca="1" ref="B734" ca="1">IFERROR(DATE(RIGHT(INDIRECT("RC[-1]",0),4),LEFT(INDIRECT("RC[-1]",0),2),1), "")</f>
        <v/>
      </c>
      <c r="C734" s="182"/>
      <c r="F734" cm="1">
        <f t="array" aca="1" ref="F734" ca="1">IF(COUNTIF($E$2:$E$2000,INDIRECT("RC[-2]",0))&gt;0,"",INDIRECT("RC[-2]",0))</f>
        <v>0</v>
      </c>
    </row>
    <row r="735" spans="2:6">
      <c r="B735" t="str" cm="1">
        <f t="array" aca="1" ref="B735" ca="1">IFERROR(DATE(RIGHT(INDIRECT("RC[-1]",0),4),LEFT(INDIRECT("RC[-1]",0),2),1), "")</f>
        <v/>
      </c>
      <c r="C735" s="182"/>
      <c r="F735" cm="1">
        <f t="array" aca="1" ref="F735" ca="1">IF(COUNTIF($E$2:$E$2000,INDIRECT("RC[-2]",0))&gt;0,"",INDIRECT("RC[-2]",0))</f>
        <v>0</v>
      </c>
    </row>
    <row r="736" spans="2:6">
      <c r="B736" t="str" cm="1">
        <f t="array" aca="1" ref="B736" ca="1">IFERROR(DATE(RIGHT(INDIRECT("RC[-1]",0),4),LEFT(INDIRECT("RC[-1]",0),2),1), "")</f>
        <v/>
      </c>
      <c r="C736" s="182"/>
      <c r="F736" cm="1">
        <f t="array" aca="1" ref="F736" ca="1">IF(COUNTIF($E$2:$E$2000,INDIRECT("RC[-2]",0))&gt;0,"",INDIRECT("RC[-2]",0))</f>
        <v>0</v>
      </c>
    </row>
    <row r="737" spans="2:6">
      <c r="B737" t="str" cm="1">
        <f t="array" aca="1" ref="B737" ca="1">IFERROR(DATE(RIGHT(INDIRECT("RC[-1]",0),4),LEFT(INDIRECT("RC[-1]",0),2),1), "")</f>
        <v/>
      </c>
      <c r="C737" s="182"/>
      <c r="F737" cm="1">
        <f t="array" aca="1" ref="F737" ca="1">IF(COUNTIF($E$2:$E$2000,INDIRECT("RC[-2]",0))&gt;0,"",INDIRECT("RC[-2]",0))</f>
        <v>0</v>
      </c>
    </row>
    <row r="738" spans="2:6">
      <c r="B738" t="str" cm="1">
        <f t="array" aca="1" ref="B738" ca="1">IFERROR(DATE(RIGHT(INDIRECT("RC[-1]",0),4),LEFT(INDIRECT("RC[-1]",0),2),1), "")</f>
        <v/>
      </c>
      <c r="C738" s="182"/>
      <c r="F738" cm="1">
        <f t="array" aca="1" ref="F738" ca="1">IF(COUNTIF($E$2:$E$2000,INDIRECT("RC[-2]",0))&gt;0,"",INDIRECT("RC[-2]",0))</f>
        <v>0</v>
      </c>
    </row>
    <row r="739" spans="2:6">
      <c r="B739" t="str" cm="1">
        <f t="array" aca="1" ref="B739" ca="1">IFERROR(DATE(RIGHT(INDIRECT("RC[-1]",0),4),LEFT(INDIRECT("RC[-1]",0),2),1), "")</f>
        <v/>
      </c>
      <c r="C739" s="182"/>
      <c r="F739" cm="1">
        <f t="array" aca="1" ref="F739" ca="1">IF(COUNTIF($E$2:$E$2000,INDIRECT("RC[-2]",0))&gt;0,"",INDIRECT("RC[-2]",0))</f>
        <v>0</v>
      </c>
    </row>
    <row r="740" spans="2:6">
      <c r="B740" t="str" cm="1">
        <f t="array" aca="1" ref="B740" ca="1">IFERROR(DATE(RIGHT(INDIRECT("RC[-1]",0),4),LEFT(INDIRECT("RC[-1]",0),2),1), "")</f>
        <v/>
      </c>
      <c r="C740" s="182"/>
      <c r="F740" cm="1">
        <f t="array" aca="1" ref="F740" ca="1">IF(COUNTIF($E$2:$E$2000,INDIRECT("RC[-2]",0))&gt;0,"",INDIRECT("RC[-2]",0))</f>
        <v>0</v>
      </c>
    </row>
    <row r="741" spans="2:6">
      <c r="B741" t="str" cm="1">
        <f t="array" aca="1" ref="B741" ca="1">IFERROR(DATE(RIGHT(INDIRECT("RC[-1]",0),4),LEFT(INDIRECT("RC[-1]",0),2),1), "")</f>
        <v/>
      </c>
      <c r="C741" s="182"/>
      <c r="F741" cm="1">
        <f t="array" aca="1" ref="F741" ca="1">IF(COUNTIF($E$2:$E$2000,INDIRECT("RC[-2]",0))&gt;0,"",INDIRECT("RC[-2]",0))</f>
        <v>0</v>
      </c>
    </row>
    <row r="742" spans="2:6">
      <c r="B742" t="str" cm="1">
        <f t="array" aca="1" ref="B742" ca="1">IFERROR(DATE(RIGHT(INDIRECT("RC[-1]",0),4),LEFT(INDIRECT("RC[-1]",0),2),1), "")</f>
        <v/>
      </c>
      <c r="C742" s="182"/>
      <c r="F742" cm="1">
        <f t="array" aca="1" ref="F742" ca="1">IF(COUNTIF($E$2:$E$2000,INDIRECT("RC[-2]",0))&gt;0,"",INDIRECT("RC[-2]",0))</f>
        <v>0</v>
      </c>
    </row>
    <row r="743" spans="2:6">
      <c r="B743" t="str" cm="1">
        <f t="array" aca="1" ref="B743" ca="1">IFERROR(DATE(RIGHT(INDIRECT("RC[-1]",0),4),LEFT(INDIRECT("RC[-1]",0),2),1), "")</f>
        <v/>
      </c>
      <c r="C743" s="182"/>
      <c r="F743" cm="1">
        <f t="array" aca="1" ref="F743" ca="1">IF(COUNTIF($E$2:$E$2000,INDIRECT("RC[-2]",0))&gt;0,"",INDIRECT("RC[-2]",0))</f>
        <v>0</v>
      </c>
    </row>
    <row r="744" spans="2:6">
      <c r="B744" t="str" cm="1">
        <f t="array" aca="1" ref="B744" ca="1">IFERROR(DATE(RIGHT(INDIRECT("RC[-1]",0),4),LEFT(INDIRECT("RC[-1]",0),2),1), "")</f>
        <v/>
      </c>
      <c r="C744" s="182"/>
      <c r="F744" cm="1">
        <f t="array" aca="1" ref="F744" ca="1">IF(COUNTIF($E$2:$E$2000,INDIRECT("RC[-2]",0))&gt;0,"",INDIRECT("RC[-2]",0))</f>
        <v>0</v>
      </c>
    </row>
    <row r="745" spans="2:6">
      <c r="B745" t="str" cm="1">
        <f t="array" aca="1" ref="B745" ca="1">IFERROR(DATE(RIGHT(INDIRECT("RC[-1]",0),4),LEFT(INDIRECT("RC[-1]",0),2),1), "")</f>
        <v/>
      </c>
      <c r="C745" s="182"/>
      <c r="F745" cm="1">
        <f t="array" aca="1" ref="F745" ca="1">IF(COUNTIF($E$2:$E$2000,INDIRECT("RC[-2]",0))&gt;0,"",INDIRECT("RC[-2]",0))</f>
        <v>0</v>
      </c>
    </row>
    <row r="746" spans="2:6">
      <c r="B746" t="str" cm="1">
        <f t="array" aca="1" ref="B746" ca="1">IFERROR(DATE(RIGHT(INDIRECT("RC[-1]",0),4),LEFT(INDIRECT("RC[-1]",0),2),1), "")</f>
        <v/>
      </c>
      <c r="C746" s="182"/>
      <c r="F746" cm="1">
        <f t="array" aca="1" ref="F746" ca="1">IF(COUNTIF($E$2:$E$2000,INDIRECT("RC[-2]",0))&gt;0,"",INDIRECT("RC[-2]",0))</f>
        <v>0</v>
      </c>
    </row>
    <row r="747" spans="2:6">
      <c r="B747" t="str" cm="1">
        <f t="array" aca="1" ref="B747" ca="1">IFERROR(DATE(RIGHT(INDIRECT("RC[-1]",0),4),LEFT(INDIRECT("RC[-1]",0),2),1), "")</f>
        <v/>
      </c>
      <c r="C747" s="182"/>
      <c r="F747" cm="1">
        <f t="array" aca="1" ref="F747" ca="1">IF(COUNTIF($E$2:$E$2000,INDIRECT("RC[-2]",0))&gt;0,"",INDIRECT("RC[-2]",0))</f>
        <v>0</v>
      </c>
    </row>
    <row r="748" spans="2:6">
      <c r="B748" t="str" cm="1">
        <f t="array" aca="1" ref="B748" ca="1">IFERROR(DATE(RIGHT(INDIRECT("RC[-1]",0),4),LEFT(INDIRECT("RC[-1]",0),2),1), "")</f>
        <v/>
      </c>
      <c r="C748" s="182"/>
      <c r="F748" cm="1">
        <f t="array" aca="1" ref="F748" ca="1">IF(COUNTIF($E$2:$E$2000,INDIRECT("RC[-2]",0))&gt;0,"",INDIRECT("RC[-2]",0))</f>
        <v>0</v>
      </c>
    </row>
    <row r="749" spans="2:6">
      <c r="B749" t="str" cm="1">
        <f t="array" aca="1" ref="B749" ca="1">IFERROR(DATE(RIGHT(INDIRECT("RC[-1]",0),4),LEFT(INDIRECT("RC[-1]",0),2),1), "")</f>
        <v/>
      </c>
      <c r="C749" s="182"/>
      <c r="F749" cm="1">
        <f t="array" aca="1" ref="F749" ca="1">IF(COUNTIF($E$2:$E$2000,INDIRECT("RC[-2]",0))&gt;0,"",INDIRECT("RC[-2]",0))</f>
        <v>0</v>
      </c>
    </row>
    <row r="750" spans="2:6">
      <c r="B750" t="str" cm="1">
        <f t="array" aca="1" ref="B750" ca="1">IFERROR(DATE(RIGHT(INDIRECT("RC[-1]",0),4),LEFT(INDIRECT("RC[-1]",0),2),1), "")</f>
        <v/>
      </c>
      <c r="C750" s="182"/>
      <c r="F750" cm="1">
        <f t="array" aca="1" ref="F750" ca="1">IF(COUNTIF($E$2:$E$2000,INDIRECT("RC[-2]",0))&gt;0,"",INDIRECT("RC[-2]",0))</f>
        <v>0</v>
      </c>
    </row>
    <row r="751" spans="2:6">
      <c r="B751" t="str" cm="1">
        <f t="array" aca="1" ref="B751" ca="1">IFERROR(DATE(RIGHT(INDIRECT("RC[-1]",0),4),LEFT(INDIRECT("RC[-1]",0),2),1), "")</f>
        <v/>
      </c>
      <c r="C751" s="182"/>
      <c r="F751" cm="1">
        <f t="array" aca="1" ref="F751" ca="1">IF(COUNTIF($E$2:$E$2000,INDIRECT("RC[-2]",0))&gt;0,"",INDIRECT("RC[-2]",0))</f>
        <v>0</v>
      </c>
    </row>
    <row r="752" spans="2:6">
      <c r="B752" t="str" cm="1">
        <f t="array" aca="1" ref="B752" ca="1">IFERROR(DATE(RIGHT(INDIRECT("RC[-1]",0),4),LEFT(INDIRECT("RC[-1]",0),2),1), "")</f>
        <v/>
      </c>
      <c r="C752" s="182"/>
      <c r="F752" cm="1">
        <f t="array" aca="1" ref="F752" ca="1">IF(COUNTIF($E$2:$E$2000,INDIRECT("RC[-2]",0))&gt;0,"",INDIRECT("RC[-2]",0))</f>
        <v>0</v>
      </c>
    </row>
    <row r="753" spans="2:6">
      <c r="B753" t="str" cm="1">
        <f t="array" aca="1" ref="B753" ca="1">IFERROR(DATE(RIGHT(INDIRECT("RC[-1]",0),4),LEFT(INDIRECT("RC[-1]",0),2),1), "")</f>
        <v/>
      </c>
      <c r="C753" s="182"/>
      <c r="F753" cm="1">
        <f t="array" aca="1" ref="F753" ca="1">IF(COUNTIF($E$2:$E$2000,INDIRECT("RC[-2]",0))&gt;0,"",INDIRECT("RC[-2]",0))</f>
        <v>0</v>
      </c>
    </row>
    <row r="754" spans="2:6">
      <c r="B754" t="str" cm="1">
        <f t="array" aca="1" ref="B754" ca="1">IFERROR(DATE(RIGHT(INDIRECT("RC[-1]",0),4),LEFT(INDIRECT("RC[-1]",0),2),1), "")</f>
        <v/>
      </c>
      <c r="C754" s="182"/>
      <c r="F754" cm="1">
        <f t="array" aca="1" ref="F754" ca="1">IF(COUNTIF($E$2:$E$2000,INDIRECT("RC[-2]",0))&gt;0,"",INDIRECT("RC[-2]",0))</f>
        <v>0</v>
      </c>
    </row>
    <row r="755" spans="2:6">
      <c r="B755" t="str" cm="1">
        <f t="array" aca="1" ref="B755" ca="1">IFERROR(DATE(RIGHT(INDIRECT("RC[-1]",0),4),LEFT(INDIRECT("RC[-1]",0),2),1), "")</f>
        <v/>
      </c>
      <c r="C755" s="182"/>
      <c r="F755" cm="1">
        <f t="array" aca="1" ref="F755" ca="1">IF(COUNTIF($E$2:$E$2000,INDIRECT("RC[-2]",0))&gt;0,"",INDIRECT("RC[-2]",0))</f>
        <v>0</v>
      </c>
    </row>
    <row r="756" spans="2:6">
      <c r="B756" t="str" cm="1">
        <f t="array" aca="1" ref="B756" ca="1">IFERROR(DATE(RIGHT(INDIRECT("RC[-1]",0),4),LEFT(INDIRECT("RC[-1]",0),2),1), "")</f>
        <v/>
      </c>
      <c r="C756" s="182"/>
      <c r="F756" cm="1">
        <f t="array" aca="1" ref="F756" ca="1">IF(COUNTIF($E$2:$E$2000,INDIRECT("RC[-2]",0))&gt;0,"",INDIRECT("RC[-2]",0))</f>
        <v>0</v>
      </c>
    </row>
    <row r="757" spans="2:6">
      <c r="B757" t="str" cm="1">
        <f t="array" aca="1" ref="B757" ca="1">IFERROR(DATE(RIGHT(INDIRECT("RC[-1]",0),4),LEFT(INDIRECT("RC[-1]",0),2),1), "")</f>
        <v/>
      </c>
      <c r="C757" s="182"/>
      <c r="F757" cm="1">
        <f t="array" aca="1" ref="F757" ca="1">IF(COUNTIF($E$2:$E$2000,INDIRECT("RC[-2]",0))&gt;0,"",INDIRECT("RC[-2]",0))</f>
        <v>0</v>
      </c>
    </row>
    <row r="758" spans="2:6">
      <c r="B758" t="str" cm="1">
        <f t="array" aca="1" ref="B758" ca="1">IFERROR(DATE(RIGHT(INDIRECT("RC[-1]",0),4),LEFT(INDIRECT("RC[-1]",0),2),1), "")</f>
        <v/>
      </c>
      <c r="C758" s="182"/>
      <c r="F758" cm="1">
        <f t="array" aca="1" ref="F758" ca="1">IF(COUNTIF($E$2:$E$2000,INDIRECT("RC[-2]",0))&gt;0,"",INDIRECT("RC[-2]",0))</f>
        <v>0</v>
      </c>
    </row>
    <row r="759" spans="2:6">
      <c r="B759" t="str" cm="1">
        <f t="array" aca="1" ref="B759" ca="1">IFERROR(DATE(RIGHT(INDIRECT("RC[-1]",0),4),LEFT(INDIRECT("RC[-1]",0),2),1), "")</f>
        <v/>
      </c>
      <c r="C759" s="182"/>
      <c r="F759" cm="1">
        <f t="array" aca="1" ref="F759" ca="1">IF(COUNTIF($E$2:$E$2000,INDIRECT("RC[-2]",0))&gt;0,"",INDIRECT("RC[-2]",0))</f>
        <v>0</v>
      </c>
    </row>
    <row r="760" spans="2:6">
      <c r="B760" t="str" cm="1">
        <f t="array" aca="1" ref="B760" ca="1">IFERROR(DATE(RIGHT(INDIRECT("RC[-1]",0),4),LEFT(INDIRECT("RC[-1]",0),2),1), "")</f>
        <v/>
      </c>
      <c r="C760" s="182"/>
      <c r="F760" cm="1">
        <f t="array" aca="1" ref="F760" ca="1">IF(COUNTIF($E$2:$E$2000,INDIRECT("RC[-2]",0))&gt;0,"",INDIRECT("RC[-2]",0))</f>
        <v>0</v>
      </c>
    </row>
    <row r="761" spans="2:6">
      <c r="B761" t="str" cm="1">
        <f t="array" aca="1" ref="B761" ca="1">IFERROR(DATE(RIGHT(INDIRECT("RC[-1]",0),4),LEFT(INDIRECT("RC[-1]",0),2),1), "")</f>
        <v/>
      </c>
      <c r="C761" s="182"/>
      <c r="F761" cm="1">
        <f t="array" aca="1" ref="F761" ca="1">IF(COUNTIF($E$2:$E$2000,INDIRECT("RC[-2]",0))&gt;0,"",INDIRECT("RC[-2]",0))</f>
        <v>0</v>
      </c>
    </row>
    <row r="762" spans="2:6">
      <c r="B762" t="str" cm="1">
        <f t="array" aca="1" ref="B762" ca="1">IFERROR(DATE(RIGHT(INDIRECT("RC[-1]",0),4),LEFT(INDIRECT("RC[-1]",0),2),1), "")</f>
        <v/>
      </c>
      <c r="C762" s="182"/>
      <c r="F762" cm="1">
        <f t="array" aca="1" ref="F762" ca="1">IF(COUNTIF($E$2:$E$2000,INDIRECT("RC[-2]",0))&gt;0,"",INDIRECT("RC[-2]",0))</f>
        <v>0</v>
      </c>
    </row>
    <row r="763" spans="2:6">
      <c r="B763" t="str" cm="1">
        <f t="array" aca="1" ref="B763" ca="1">IFERROR(DATE(RIGHT(INDIRECT("RC[-1]",0),4),LEFT(INDIRECT("RC[-1]",0),2),1), "")</f>
        <v/>
      </c>
      <c r="C763" s="182"/>
      <c r="F763" cm="1">
        <f t="array" aca="1" ref="F763" ca="1">IF(COUNTIF($E$2:$E$2000,INDIRECT("RC[-2]",0))&gt;0,"",INDIRECT("RC[-2]",0))</f>
        <v>0</v>
      </c>
    </row>
    <row r="764" spans="2:6">
      <c r="B764" t="str" cm="1">
        <f t="array" aca="1" ref="B764" ca="1">IFERROR(DATE(RIGHT(INDIRECT("RC[-1]",0),4),LEFT(INDIRECT("RC[-1]",0),2),1), "")</f>
        <v/>
      </c>
      <c r="C764" s="182"/>
      <c r="F764" cm="1">
        <f t="array" aca="1" ref="F764" ca="1">IF(COUNTIF($E$2:$E$2000,INDIRECT("RC[-2]",0))&gt;0,"",INDIRECT("RC[-2]",0))</f>
        <v>0</v>
      </c>
    </row>
    <row r="765" spans="2:6">
      <c r="B765" t="str" cm="1">
        <f t="array" aca="1" ref="B765" ca="1">IFERROR(DATE(RIGHT(INDIRECT("RC[-1]",0),4),LEFT(INDIRECT("RC[-1]",0),2),1), "")</f>
        <v/>
      </c>
      <c r="C765" s="182"/>
      <c r="F765" cm="1">
        <f t="array" aca="1" ref="F765" ca="1">IF(COUNTIF($E$2:$E$2000,INDIRECT("RC[-2]",0))&gt;0,"",INDIRECT("RC[-2]",0))</f>
        <v>0</v>
      </c>
    </row>
    <row r="766" spans="2:6">
      <c r="B766" t="str" cm="1">
        <f t="array" aca="1" ref="B766" ca="1">IFERROR(DATE(RIGHT(INDIRECT("RC[-1]",0),4),LEFT(INDIRECT("RC[-1]",0),2),1), "")</f>
        <v/>
      </c>
      <c r="C766" s="182"/>
      <c r="F766" cm="1">
        <f t="array" aca="1" ref="F766" ca="1">IF(COUNTIF($E$2:$E$2000,INDIRECT("RC[-2]",0))&gt;0,"",INDIRECT("RC[-2]",0))</f>
        <v>0</v>
      </c>
    </row>
    <row r="767" spans="2:6">
      <c r="B767" t="str" cm="1">
        <f t="array" aca="1" ref="B767" ca="1">IFERROR(DATE(RIGHT(INDIRECT("RC[-1]",0),4),LEFT(INDIRECT("RC[-1]",0),2),1), "")</f>
        <v/>
      </c>
      <c r="C767" s="182"/>
      <c r="F767" cm="1">
        <f t="array" aca="1" ref="F767" ca="1">IF(COUNTIF($E$2:$E$2000,INDIRECT("RC[-2]",0))&gt;0,"",INDIRECT("RC[-2]",0))</f>
        <v>0</v>
      </c>
    </row>
    <row r="768" spans="2:6">
      <c r="B768" t="str" cm="1">
        <f t="array" aca="1" ref="B768" ca="1">IFERROR(DATE(RIGHT(INDIRECT("RC[-1]",0),4),LEFT(INDIRECT("RC[-1]",0),2),1), "")</f>
        <v/>
      </c>
      <c r="C768" s="182"/>
      <c r="F768" cm="1">
        <f t="array" aca="1" ref="F768" ca="1">IF(COUNTIF($E$2:$E$2000,INDIRECT("RC[-2]",0))&gt;0,"",INDIRECT("RC[-2]",0))</f>
        <v>0</v>
      </c>
    </row>
    <row r="769" spans="2:6">
      <c r="B769" t="str" cm="1">
        <f t="array" aca="1" ref="B769" ca="1">IFERROR(DATE(RIGHT(INDIRECT("RC[-1]",0),4),LEFT(INDIRECT("RC[-1]",0),2),1), "")</f>
        <v/>
      </c>
      <c r="C769" s="182"/>
      <c r="F769" cm="1">
        <f t="array" aca="1" ref="F769" ca="1">IF(COUNTIF($E$2:$E$2000,INDIRECT("RC[-2]",0))&gt;0,"",INDIRECT("RC[-2]",0))</f>
        <v>0</v>
      </c>
    </row>
    <row r="770" spans="2:6">
      <c r="B770" t="str" cm="1">
        <f t="array" aca="1" ref="B770" ca="1">IFERROR(DATE(RIGHT(INDIRECT("RC[-1]",0),4),LEFT(INDIRECT("RC[-1]",0),2),1), "")</f>
        <v/>
      </c>
      <c r="C770" s="182"/>
      <c r="F770" cm="1">
        <f t="array" aca="1" ref="F770" ca="1">IF(COUNTIF($E$2:$E$2000,INDIRECT("RC[-2]",0))&gt;0,"",INDIRECT("RC[-2]",0))</f>
        <v>0</v>
      </c>
    </row>
    <row r="771" spans="2:6">
      <c r="B771" t="str" cm="1">
        <f t="array" aca="1" ref="B771" ca="1">IFERROR(DATE(RIGHT(INDIRECT("RC[-1]",0),4),LEFT(INDIRECT("RC[-1]",0),2),1), "")</f>
        <v/>
      </c>
      <c r="C771" s="182"/>
      <c r="F771" cm="1">
        <f t="array" aca="1" ref="F771" ca="1">IF(COUNTIF($E$2:$E$2000,INDIRECT("RC[-2]",0))&gt;0,"",INDIRECT("RC[-2]",0))</f>
        <v>0</v>
      </c>
    </row>
    <row r="772" spans="2:6">
      <c r="B772" t="str" cm="1">
        <f t="array" aca="1" ref="B772" ca="1">IFERROR(DATE(RIGHT(INDIRECT("RC[-1]",0),4),LEFT(INDIRECT("RC[-1]",0),2),1), "")</f>
        <v/>
      </c>
      <c r="C772" s="182"/>
      <c r="F772" cm="1">
        <f t="array" aca="1" ref="F772" ca="1">IF(COUNTIF($E$2:$E$2000,INDIRECT("RC[-2]",0))&gt;0,"",INDIRECT("RC[-2]",0))</f>
        <v>0</v>
      </c>
    </row>
    <row r="773" spans="2:6">
      <c r="B773" t="str" cm="1">
        <f t="array" aca="1" ref="B773" ca="1">IFERROR(DATE(RIGHT(INDIRECT("RC[-1]",0),4),LEFT(INDIRECT("RC[-1]",0),2),1), "")</f>
        <v/>
      </c>
      <c r="C773" s="182"/>
      <c r="F773" cm="1">
        <f t="array" aca="1" ref="F773" ca="1">IF(COUNTIF($E$2:$E$2000,INDIRECT("RC[-2]",0))&gt;0,"",INDIRECT("RC[-2]",0))</f>
        <v>0</v>
      </c>
    </row>
    <row r="774" spans="2:6">
      <c r="B774" t="str" cm="1">
        <f t="array" aca="1" ref="B774" ca="1">IFERROR(DATE(RIGHT(INDIRECT("RC[-1]",0),4),LEFT(INDIRECT("RC[-1]",0),2),1), "")</f>
        <v/>
      </c>
      <c r="C774" s="182"/>
      <c r="F774" cm="1">
        <f t="array" aca="1" ref="F774" ca="1">IF(COUNTIF($E$2:$E$2000,INDIRECT("RC[-2]",0))&gt;0,"",INDIRECT("RC[-2]",0))</f>
        <v>0</v>
      </c>
    </row>
    <row r="775" spans="2:6">
      <c r="B775" t="str" cm="1">
        <f t="array" aca="1" ref="B775" ca="1">IFERROR(DATE(RIGHT(INDIRECT("RC[-1]",0),4),LEFT(INDIRECT("RC[-1]",0),2),1), "")</f>
        <v/>
      </c>
      <c r="C775" s="182"/>
      <c r="F775" cm="1">
        <f t="array" aca="1" ref="F775" ca="1">IF(COUNTIF($E$2:$E$2000,INDIRECT("RC[-2]",0))&gt;0,"",INDIRECT("RC[-2]",0))</f>
        <v>0</v>
      </c>
    </row>
    <row r="776" spans="2:6">
      <c r="B776" t="str" cm="1">
        <f t="array" aca="1" ref="B776" ca="1">IFERROR(DATE(RIGHT(INDIRECT("RC[-1]",0),4),LEFT(INDIRECT("RC[-1]",0),2),1), "")</f>
        <v/>
      </c>
      <c r="C776" s="182"/>
      <c r="F776" cm="1">
        <f t="array" aca="1" ref="F776" ca="1">IF(COUNTIF($E$2:$E$2000,INDIRECT("RC[-2]",0))&gt;0,"",INDIRECT("RC[-2]",0))</f>
        <v>0</v>
      </c>
    </row>
    <row r="777" spans="2:6">
      <c r="B777" t="str" cm="1">
        <f t="array" aca="1" ref="B777" ca="1">IFERROR(DATE(RIGHT(INDIRECT("RC[-1]",0),4),LEFT(INDIRECT("RC[-1]",0),2),1), "")</f>
        <v/>
      </c>
      <c r="C777" s="182"/>
      <c r="F777" cm="1">
        <f t="array" aca="1" ref="F777" ca="1">IF(COUNTIF($E$2:$E$2000,INDIRECT("RC[-2]",0))&gt;0,"",INDIRECT("RC[-2]",0))</f>
        <v>0</v>
      </c>
    </row>
    <row r="778" spans="2:6">
      <c r="B778" t="str" cm="1">
        <f t="array" aca="1" ref="B778" ca="1">IFERROR(DATE(RIGHT(INDIRECT("RC[-1]",0),4),LEFT(INDIRECT("RC[-1]",0),2),1), "")</f>
        <v/>
      </c>
      <c r="C778" s="182"/>
      <c r="F778" cm="1">
        <f t="array" aca="1" ref="F778" ca="1">IF(COUNTIF($E$2:$E$2000,INDIRECT("RC[-2]",0))&gt;0,"",INDIRECT("RC[-2]",0))</f>
        <v>0</v>
      </c>
    </row>
    <row r="779" spans="2:6">
      <c r="B779" t="str" cm="1">
        <f t="array" aca="1" ref="B779" ca="1">IFERROR(DATE(RIGHT(INDIRECT("RC[-1]",0),4),LEFT(INDIRECT("RC[-1]",0),2),1), "")</f>
        <v/>
      </c>
      <c r="C779" s="182"/>
      <c r="F779" cm="1">
        <f t="array" aca="1" ref="F779" ca="1">IF(COUNTIF($E$2:$E$2000,INDIRECT("RC[-2]",0))&gt;0,"",INDIRECT("RC[-2]",0))</f>
        <v>0</v>
      </c>
    </row>
    <row r="780" spans="2:6">
      <c r="B780" t="str" cm="1">
        <f t="array" aca="1" ref="B780" ca="1">IFERROR(DATE(RIGHT(INDIRECT("RC[-1]",0),4),LEFT(INDIRECT("RC[-1]",0),2),1), "")</f>
        <v/>
      </c>
      <c r="C780" s="182"/>
      <c r="F780" cm="1">
        <f t="array" aca="1" ref="F780" ca="1">IF(COUNTIF($E$2:$E$2000,INDIRECT("RC[-2]",0))&gt;0,"",INDIRECT("RC[-2]",0))</f>
        <v>0</v>
      </c>
    </row>
    <row r="781" spans="2:6">
      <c r="B781" t="str" cm="1">
        <f t="array" aca="1" ref="B781" ca="1">IFERROR(DATE(RIGHT(INDIRECT("RC[-1]",0),4),LEFT(INDIRECT("RC[-1]",0),2),1), "")</f>
        <v/>
      </c>
      <c r="C781" s="182"/>
      <c r="F781" cm="1">
        <f t="array" aca="1" ref="F781" ca="1">IF(COUNTIF($E$2:$E$2000,INDIRECT("RC[-2]",0))&gt;0,"",INDIRECT("RC[-2]",0))</f>
        <v>0</v>
      </c>
    </row>
    <row r="782" spans="2:6">
      <c r="B782" t="str" cm="1">
        <f t="array" aca="1" ref="B782" ca="1">IFERROR(DATE(RIGHT(INDIRECT("RC[-1]",0),4),LEFT(INDIRECT("RC[-1]",0),2),1), "")</f>
        <v/>
      </c>
      <c r="C782" s="182"/>
      <c r="F782" cm="1">
        <f t="array" aca="1" ref="F782" ca="1">IF(COUNTIF($E$2:$E$2000,INDIRECT("RC[-2]",0))&gt;0,"",INDIRECT("RC[-2]",0))</f>
        <v>0</v>
      </c>
    </row>
    <row r="783" spans="2:6">
      <c r="B783" t="str" cm="1">
        <f t="array" aca="1" ref="B783" ca="1">IFERROR(DATE(RIGHT(INDIRECT("RC[-1]",0),4),LEFT(INDIRECT("RC[-1]",0),2),1), "")</f>
        <v/>
      </c>
      <c r="C783" s="182"/>
      <c r="F783" cm="1">
        <f t="array" aca="1" ref="F783" ca="1">IF(COUNTIF($E$2:$E$2000,INDIRECT("RC[-2]",0))&gt;0,"",INDIRECT("RC[-2]",0))</f>
        <v>0</v>
      </c>
    </row>
    <row r="784" spans="2:6">
      <c r="B784" t="str" cm="1">
        <f t="array" aca="1" ref="B784" ca="1">IFERROR(DATE(RIGHT(INDIRECT("RC[-1]",0),4),LEFT(INDIRECT("RC[-1]",0),2),1), "")</f>
        <v/>
      </c>
      <c r="C784" s="182"/>
      <c r="F784" cm="1">
        <f t="array" aca="1" ref="F784" ca="1">IF(COUNTIF($E$2:$E$2000,INDIRECT("RC[-2]",0))&gt;0,"",INDIRECT("RC[-2]",0))</f>
        <v>0</v>
      </c>
    </row>
    <row r="785" spans="2:6">
      <c r="B785" t="str" cm="1">
        <f t="array" aca="1" ref="B785" ca="1">IFERROR(DATE(RIGHT(INDIRECT("RC[-1]",0),4),LEFT(INDIRECT("RC[-1]",0),2),1), "")</f>
        <v/>
      </c>
      <c r="C785" s="182"/>
      <c r="F785" cm="1">
        <f t="array" aca="1" ref="F785" ca="1">IF(COUNTIF($E$2:$E$2000,INDIRECT("RC[-2]",0))&gt;0,"",INDIRECT("RC[-2]",0))</f>
        <v>0</v>
      </c>
    </row>
    <row r="786" spans="2:6">
      <c r="B786" t="str" cm="1">
        <f t="array" aca="1" ref="B786" ca="1">IFERROR(DATE(RIGHT(INDIRECT("RC[-1]",0),4),LEFT(INDIRECT("RC[-1]",0),2),1), "")</f>
        <v/>
      </c>
      <c r="C786" s="182"/>
      <c r="F786" cm="1">
        <f t="array" aca="1" ref="F786" ca="1">IF(COUNTIF($E$2:$E$2000,INDIRECT("RC[-2]",0))&gt;0,"",INDIRECT("RC[-2]",0))</f>
        <v>0</v>
      </c>
    </row>
    <row r="787" spans="2:6">
      <c r="B787" t="str" cm="1">
        <f t="array" aca="1" ref="B787" ca="1">IFERROR(DATE(RIGHT(INDIRECT("RC[-1]",0),4),LEFT(INDIRECT("RC[-1]",0),2),1), "")</f>
        <v/>
      </c>
      <c r="C787" s="182"/>
      <c r="F787" cm="1">
        <f t="array" aca="1" ref="F787" ca="1">IF(COUNTIF($E$2:$E$2000,INDIRECT("RC[-2]",0))&gt;0,"",INDIRECT("RC[-2]",0))</f>
        <v>0</v>
      </c>
    </row>
    <row r="788" spans="2:6">
      <c r="B788" t="str" cm="1">
        <f t="array" aca="1" ref="B788" ca="1">IFERROR(DATE(RIGHT(INDIRECT("RC[-1]",0),4),LEFT(INDIRECT("RC[-1]",0),2),1), "")</f>
        <v/>
      </c>
      <c r="C788" s="182"/>
      <c r="F788" cm="1">
        <f t="array" aca="1" ref="F788" ca="1">IF(COUNTIF($E$2:$E$2000,INDIRECT("RC[-2]",0))&gt;0,"",INDIRECT("RC[-2]",0))</f>
        <v>0</v>
      </c>
    </row>
    <row r="789" spans="2:6">
      <c r="B789" t="str" cm="1">
        <f t="array" aca="1" ref="B789" ca="1">IFERROR(DATE(RIGHT(INDIRECT("RC[-1]",0),4),LEFT(INDIRECT("RC[-1]",0),2),1), "")</f>
        <v/>
      </c>
      <c r="C789" s="182"/>
      <c r="F789" cm="1">
        <f t="array" aca="1" ref="F789" ca="1">IF(COUNTIF($E$2:$E$2000,INDIRECT("RC[-2]",0))&gt;0,"",INDIRECT("RC[-2]",0))</f>
        <v>0</v>
      </c>
    </row>
    <row r="790" spans="2:6">
      <c r="B790" t="str" cm="1">
        <f t="array" aca="1" ref="B790" ca="1">IFERROR(DATE(RIGHT(INDIRECT("RC[-1]",0),4),LEFT(INDIRECT("RC[-1]",0),2),1), "")</f>
        <v/>
      </c>
      <c r="C790" s="182"/>
      <c r="F790" cm="1">
        <f t="array" aca="1" ref="F790" ca="1">IF(COUNTIF($E$2:$E$2000,INDIRECT("RC[-2]",0))&gt;0,"",INDIRECT("RC[-2]",0))</f>
        <v>0</v>
      </c>
    </row>
    <row r="791" spans="2:6">
      <c r="B791" t="str" cm="1">
        <f t="array" aca="1" ref="B791" ca="1">IFERROR(DATE(RIGHT(INDIRECT("RC[-1]",0),4),LEFT(INDIRECT("RC[-1]",0),2),1), "")</f>
        <v/>
      </c>
      <c r="C791" s="182"/>
      <c r="F791" cm="1">
        <f t="array" aca="1" ref="F791" ca="1">IF(COUNTIF($E$2:$E$2000,INDIRECT("RC[-2]",0))&gt;0,"",INDIRECT("RC[-2]",0))</f>
        <v>0</v>
      </c>
    </row>
    <row r="792" spans="2:6">
      <c r="B792" t="str" cm="1">
        <f t="array" aca="1" ref="B792" ca="1">IFERROR(DATE(RIGHT(INDIRECT("RC[-1]",0),4),LEFT(INDIRECT("RC[-1]",0),2),1), "")</f>
        <v/>
      </c>
      <c r="C792" s="182"/>
      <c r="F792" cm="1">
        <f t="array" aca="1" ref="F792" ca="1">IF(COUNTIF($E$2:$E$2000,INDIRECT("RC[-2]",0))&gt;0,"",INDIRECT("RC[-2]",0))</f>
        <v>0</v>
      </c>
    </row>
    <row r="793" spans="2:6">
      <c r="B793" t="str" cm="1">
        <f t="array" aca="1" ref="B793" ca="1">IFERROR(DATE(RIGHT(INDIRECT("RC[-1]",0),4),LEFT(INDIRECT("RC[-1]",0),2),1), "")</f>
        <v/>
      </c>
      <c r="C793" s="182"/>
      <c r="F793" cm="1">
        <f t="array" aca="1" ref="F793" ca="1">IF(COUNTIF($E$2:$E$2000,INDIRECT("RC[-2]",0))&gt;0,"",INDIRECT("RC[-2]",0))</f>
        <v>0</v>
      </c>
    </row>
    <row r="794" spans="2:6">
      <c r="B794" t="str" cm="1">
        <f t="array" aca="1" ref="B794" ca="1">IFERROR(DATE(RIGHT(INDIRECT("RC[-1]",0),4),LEFT(INDIRECT("RC[-1]",0),2),1), "")</f>
        <v/>
      </c>
      <c r="C794" s="182"/>
      <c r="F794" cm="1">
        <f t="array" aca="1" ref="F794" ca="1">IF(COUNTIF($E$2:$E$2000,INDIRECT("RC[-2]",0))&gt;0,"",INDIRECT("RC[-2]",0))</f>
        <v>0</v>
      </c>
    </row>
    <row r="795" spans="2:6">
      <c r="B795" t="str" cm="1">
        <f t="array" aca="1" ref="B795" ca="1">IFERROR(DATE(RIGHT(INDIRECT("RC[-1]",0),4),LEFT(INDIRECT("RC[-1]",0),2),1), "")</f>
        <v/>
      </c>
      <c r="C795" s="182"/>
      <c r="F795" cm="1">
        <f t="array" aca="1" ref="F795" ca="1">IF(COUNTIF($E$2:$E$2000,INDIRECT("RC[-2]",0))&gt;0,"",INDIRECT("RC[-2]",0))</f>
        <v>0</v>
      </c>
    </row>
    <row r="796" spans="2:6">
      <c r="B796" t="str" cm="1">
        <f t="array" aca="1" ref="B796" ca="1">IFERROR(DATE(RIGHT(INDIRECT("RC[-1]",0),4),LEFT(INDIRECT("RC[-1]",0),2),1), "")</f>
        <v/>
      </c>
      <c r="C796" s="182"/>
      <c r="F796" cm="1">
        <f t="array" aca="1" ref="F796" ca="1">IF(COUNTIF($E$2:$E$2000,INDIRECT("RC[-2]",0))&gt;0,"",INDIRECT("RC[-2]",0))</f>
        <v>0</v>
      </c>
    </row>
    <row r="797" spans="2:6">
      <c r="B797" t="str" cm="1">
        <f t="array" aca="1" ref="B797" ca="1">IFERROR(DATE(RIGHT(INDIRECT("RC[-1]",0),4),LEFT(INDIRECT("RC[-1]",0),2),1), "")</f>
        <v/>
      </c>
      <c r="C797" s="182"/>
      <c r="F797" cm="1">
        <f t="array" aca="1" ref="F797" ca="1">IF(COUNTIF($E$2:$E$2000,INDIRECT("RC[-2]",0))&gt;0,"",INDIRECT("RC[-2]",0))</f>
        <v>0</v>
      </c>
    </row>
    <row r="798" spans="2:6">
      <c r="B798" t="str" cm="1">
        <f t="array" aca="1" ref="B798" ca="1">IFERROR(DATE(RIGHT(INDIRECT("RC[-1]",0),4),LEFT(INDIRECT("RC[-1]",0),2),1), "")</f>
        <v/>
      </c>
      <c r="C798" s="182"/>
      <c r="F798" cm="1">
        <f t="array" aca="1" ref="F798" ca="1">IF(COUNTIF($E$2:$E$2000,INDIRECT("RC[-2]",0))&gt;0,"",INDIRECT("RC[-2]",0))</f>
        <v>0</v>
      </c>
    </row>
    <row r="799" spans="2:6">
      <c r="B799" t="str" cm="1">
        <f t="array" aca="1" ref="B799" ca="1">IFERROR(DATE(RIGHT(INDIRECT("RC[-1]",0),4),LEFT(INDIRECT("RC[-1]",0),2),1), "")</f>
        <v/>
      </c>
      <c r="C799" s="182"/>
      <c r="F799" cm="1">
        <f t="array" aca="1" ref="F799" ca="1">IF(COUNTIF($E$2:$E$2000,INDIRECT("RC[-2]",0))&gt;0,"",INDIRECT("RC[-2]",0))</f>
        <v>0</v>
      </c>
    </row>
    <row r="800" spans="2:6">
      <c r="B800" t="str" cm="1">
        <f t="array" aca="1" ref="B800" ca="1">IFERROR(DATE(RIGHT(INDIRECT("RC[-1]",0),4),LEFT(INDIRECT("RC[-1]",0),2),1), "")</f>
        <v/>
      </c>
      <c r="C800" s="182"/>
      <c r="F800" cm="1">
        <f t="array" aca="1" ref="F800" ca="1">IF(COUNTIF($E$2:$E$2000,INDIRECT("RC[-2]",0))&gt;0,"",INDIRECT("RC[-2]",0))</f>
        <v>0</v>
      </c>
    </row>
    <row r="801" spans="2:6">
      <c r="B801" t="str" cm="1">
        <f t="array" aca="1" ref="B801" ca="1">IFERROR(DATE(RIGHT(INDIRECT("RC[-1]",0),4),LEFT(INDIRECT("RC[-1]",0),2),1), "")</f>
        <v/>
      </c>
      <c r="C801" s="182"/>
      <c r="F801" cm="1">
        <f t="array" aca="1" ref="F801" ca="1">IF(COUNTIF($E$2:$E$2000,INDIRECT("RC[-2]",0))&gt;0,"",INDIRECT("RC[-2]",0))</f>
        <v>0</v>
      </c>
    </row>
    <row r="802" spans="2:6">
      <c r="B802" t="str" cm="1">
        <f t="array" aca="1" ref="B802" ca="1">IFERROR(DATE(RIGHT(INDIRECT("RC[-1]",0),4),LEFT(INDIRECT("RC[-1]",0),2),1), "")</f>
        <v/>
      </c>
      <c r="C802" s="182"/>
      <c r="F802" cm="1">
        <f t="array" aca="1" ref="F802" ca="1">IF(COUNTIF($E$2:$E$2000,INDIRECT("RC[-2]",0))&gt;0,"",INDIRECT("RC[-2]",0))</f>
        <v>0</v>
      </c>
    </row>
    <row r="803" spans="2:6">
      <c r="B803" t="str" cm="1">
        <f t="array" aca="1" ref="B803" ca="1">IFERROR(DATE(RIGHT(INDIRECT("RC[-1]",0),4),LEFT(INDIRECT("RC[-1]",0),2),1), "")</f>
        <v/>
      </c>
      <c r="C803" s="182"/>
      <c r="F803" cm="1">
        <f t="array" aca="1" ref="F803" ca="1">IF(COUNTIF($E$2:$E$2000,INDIRECT("RC[-2]",0))&gt;0,"",INDIRECT("RC[-2]",0))</f>
        <v>0</v>
      </c>
    </row>
    <row r="804" spans="2:6">
      <c r="B804" t="str" cm="1">
        <f t="array" aca="1" ref="B804" ca="1">IFERROR(DATE(RIGHT(INDIRECT("RC[-1]",0),4),LEFT(INDIRECT("RC[-1]",0),2),1), "")</f>
        <v/>
      </c>
      <c r="C804" s="182"/>
      <c r="F804" cm="1">
        <f t="array" aca="1" ref="F804" ca="1">IF(COUNTIF($E$2:$E$2000,INDIRECT("RC[-2]",0))&gt;0,"",INDIRECT("RC[-2]",0))</f>
        <v>0</v>
      </c>
    </row>
    <row r="805" spans="2:6">
      <c r="B805" t="str" cm="1">
        <f t="array" aca="1" ref="B805" ca="1">IFERROR(DATE(RIGHT(INDIRECT("RC[-1]",0),4),LEFT(INDIRECT("RC[-1]",0),2),1), "")</f>
        <v/>
      </c>
      <c r="C805" s="182"/>
      <c r="F805" cm="1">
        <f t="array" aca="1" ref="F805" ca="1">IF(COUNTIF($E$2:$E$2000,INDIRECT("RC[-2]",0))&gt;0,"",INDIRECT("RC[-2]",0))</f>
        <v>0</v>
      </c>
    </row>
    <row r="806" spans="2:6">
      <c r="B806" t="str" cm="1">
        <f t="array" aca="1" ref="B806" ca="1">IFERROR(DATE(RIGHT(INDIRECT("RC[-1]",0),4),LEFT(INDIRECT("RC[-1]",0),2),1), "")</f>
        <v/>
      </c>
      <c r="C806" s="182"/>
      <c r="F806" cm="1">
        <f t="array" aca="1" ref="F806" ca="1">IF(COUNTIF($E$2:$E$2000,INDIRECT("RC[-2]",0))&gt;0,"",INDIRECT("RC[-2]",0))</f>
        <v>0</v>
      </c>
    </row>
    <row r="807" spans="2:6">
      <c r="B807" t="str" cm="1">
        <f t="array" aca="1" ref="B807" ca="1">IFERROR(DATE(RIGHT(INDIRECT("RC[-1]",0),4),LEFT(INDIRECT("RC[-1]",0),2),1), "")</f>
        <v/>
      </c>
      <c r="C807" s="182"/>
      <c r="F807" cm="1">
        <f t="array" aca="1" ref="F807" ca="1">IF(COUNTIF($E$2:$E$2000,INDIRECT("RC[-2]",0))&gt;0,"",INDIRECT("RC[-2]",0))</f>
        <v>0</v>
      </c>
    </row>
    <row r="808" spans="2:6">
      <c r="B808" t="str" cm="1">
        <f t="array" aca="1" ref="B808" ca="1">IFERROR(DATE(RIGHT(INDIRECT("RC[-1]",0),4),LEFT(INDIRECT("RC[-1]",0),2),1), "")</f>
        <v/>
      </c>
      <c r="C808" s="182"/>
      <c r="F808" cm="1">
        <f t="array" aca="1" ref="F808" ca="1">IF(COUNTIF($E$2:$E$2000,INDIRECT("RC[-2]",0))&gt;0,"",INDIRECT("RC[-2]",0))</f>
        <v>0</v>
      </c>
    </row>
    <row r="809" spans="2:6">
      <c r="B809" t="str" cm="1">
        <f t="array" aca="1" ref="B809" ca="1">IFERROR(DATE(RIGHT(INDIRECT("RC[-1]",0),4),LEFT(INDIRECT("RC[-1]",0),2),1), "")</f>
        <v/>
      </c>
      <c r="C809" s="182"/>
      <c r="F809" cm="1">
        <f t="array" aca="1" ref="F809" ca="1">IF(COUNTIF($E$2:$E$2000,INDIRECT("RC[-2]",0))&gt;0,"",INDIRECT("RC[-2]",0))</f>
        <v>0</v>
      </c>
    </row>
    <row r="810" spans="2:6">
      <c r="B810" t="str" cm="1">
        <f t="array" aca="1" ref="B810" ca="1">IFERROR(DATE(RIGHT(INDIRECT("RC[-1]",0),4),LEFT(INDIRECT("RC[-1]",0),2),1), "")</f>
        <v/>
      </c>
      <c r="C810" s="182"/>
      <c r="F810" cm="1">
        <f t="array" aca="1" ref="F810" ca="1">IF(COUNTIF($E$2:$E$2000,INDIRECT("RC[-2]",0))&gt;0,"",INDIRECT("RC[-2]",0))</f>
        <v>0</v>
      </c>
    </row>
    <row r="811" spans="2:6">
      <c r="B811" t="str" cm="1">
        <f t="array" aca="1" ref="B811" ca="1">IFERROR(DATE(RIGHT(INDIRECT("RC[-1]",0),4),LEFT(INDIRECT("RC[-1]",0),2),1), "")</f>
        <v/>
      </c>
      <c r="C811" s="182"/>
      <c r="F811" cm="1">
        <f t="array" aca="1" ref="F811" ca="1">IF(COUNTIF($E$2:$E$2000,INDIRECT("RC[-2]",0))&gt;0,"",INDIRECT("RC[-2]",0))</f>
        <v>0</v>
      </c>
    </row>
    <row r="812" spans="2:6">
      <c r="B812" t="str" cm="1">
        <f t="array" aca="1" ref="B812" ca="1">IFERROR(DATE(RIGHT(INDIRECT("RC[-1]",0),4),LEFT(INDIRECT("RC[-1]",0),2),1), "")</f>
        <v/>
      </c>
      <c r="C812" s="182"/>
      <c r="F812" cm="1">
        <f t="array" aca="1" ref="F812" ca="1">IF(COUNTIF($E$2:$E$2000,INDIRECT("RC[-2]",0))&gt;0,"",INDIRECT("RC[-2]",0))</f>
        <v>0</v>
      </c>
    </row>
    <row r="813" spans="2:6">
      <c r="B813" t="str" cm="1">
        <f t="array" aca="1" ref="B813" ca="1">IFERROR(DATE(RIGHT(INDIRECT("RC[-1]",0),4),LEFT(INDIRECT("RC[-1]",0),2),1), "")</f>
        <v/>
      </c>
      <c r="C813" s="182"/>
      <c r="F813" cm="1">
        <f t="array" aca="1" ref="F813" ca="1">IF(COUNTIF($E$2:$E$2000,INDIRECT("RC[-2]",0))&gt;0,"",INDIRECT("RC[-2]",0))</f>
        <v>0</v>
      </c>
    </row>
    <row r="814" spans="2:6">
      <c r="B814" t="str" cm="1">
        <f t="array" aca="1" ref="B814" ca="1">IFERROR(DATE(RIGHT(INDIRECT("RC[-1]",0),4),LEFT(INDIRECT("RC[-1]",0),2),1), "")</f>
        <v/>
      </c>
      <c r="C814" s="182"/>
      <c r="F814" cm="1">
        <f t="array" aca="1" ref="F814" ca="1">IF(COUNTIF($E$2:$E$2000,INDIRECT("RC[-2]",0))&gt;0,"",INDIRECT("RC[-2]",0))</f>
        <v>0</v>
      </c>
    </row>
    <row r="815" spans="2:6">
      <c r="B815" t="str" cm="1">
        <f t="array" aca="1" ref="B815" ca="1">IFERROR(DATE(RIGHT(INDIRECT("RC[-1]",0),4),LEFT(INDIRECT("RC[-1]",0),2),1), "")</f>
        <v/>
      </c>
      <c r="C815" s="182"/>
      <c r="F815" cm="1">
        <f t="array" aca="1" ref="F815" ca="1">IF(COUNTIF($E$2:$E$2000,INDIRECT("RC[-2]",0))&gt;0,"",INDIRECT("RC[-2]",0))</f>
        <v>0</v>
      </c>
    </row>
    <row r="816" spans="2:6">
      <c r="B816" t="str" cm="1">
        <f t="array" aca="1" ref="B816" ca="1">IFERROR(DATE(RIGHT(INDIRECT("RC[-1]",0),4),LEFT(INDIRECT("RC[-1]",0),2),1), "")</f>
        <v/>
      </c>
      <c r="C816" s="182"/>
      <c r="F816" cm="1">
        <f t="array" aca="1" ref="F816" ca="1">IF(COUNTIF($E$2:$E$2000,INDIRECT("RC[-2]",0))&gt;0,"",INDIRECT("RC[-2]",0))</f>
        <v>0</v>
      </c>
    </row>
    <row r="817" spans="2:6">
      <c r="B817" t="str" cm="1">
        <f t="array" aca="1" ref="B817" ca="1">IFERROR(DATE(RIGHT(INDIRECT("RC[-1]",0),4),LEFT(INDIRECT("RC[-1]",0),2),1), "")</f>
        <v/>
      </c>
      <c r="C817" s="182"/>
      <c r="F817" cm="1">
        <f t="array" aca="1" ref="F817" ca="1">IF(COUNTIF($E$2:$E$2000,INDIRECT("RC[-2]",0))&gt;0,"",INDIRECT("RC[-2]",0))</f>
        <v>0</v>
      </c>
    </row>
    <row r="818" spans="2:6">
      <c r="B818" t="str" cm="1">
        <f t="array" aca="1" ref="B818" ca="1">IFERROR(DATE(RIGHT(INDIRECT("RC[-1]",0),4),LEFT(INDIRECT("RC[-1]",0),2),1), "")</f>
        <v/>
      </c>
      <c r="C818" s="182"/>
      <c r="F818" cm="1">
        <f t="array" aca="1" ref="F818" ca="1">IF(COUNTIF($E$2:$E$2000,INDIRECT("RC[-2]",0))&gt;0,"",INDIRECT("RC[-2]",0))</f>
        <v>0</v>
      </c>
    </row>
    <row r="819" spans="2:6">
      <c r="B819" t="str" cm="1">
        <f t="array" aca="1" ref="B819" ca="1">IFERROR(DATE(RIGHT(INDIRECT("RC[-1]",0),4),LEFT(INDIRECT("RC[-1]",0),2),1), "")</f>
        <v/>
      </c>
      <c r="C819" s="182"/>
      <c r="F819" cm="1">
        <f t="array" aca="1" ref="F819" ca="1">IF(COUNTIF($E$2:$E$2000,INDIRECT("RC[-2]",0))&gt;0,"",INDIRECT("RC[-2]",0))</f>
        <v>0</v>
      </c>
    </row>
    <row r="820" spans="2:6">
      <c r="B820" t="str" cm="1">
        <f t="array" aca="1" ref="B820" ca="1">IFERROR(DATE(RIGHT(INDIRECT("RC[-1]",0),4),LEFT(INDIRECT("RC[-1]",0),2),1), "")</f>
        <v/>
      </c>
      <c r="C820" s="182"/>
      <c r="F820" cm="1">
        <f t="array" aca="1" ref="F820" ca="1">IF(COUNTIF($E$2:$E$2000,INDIRECT("RC[-2]",0))&gt;0,"",INDIRECT("RC[-2]",0))</f>
        <v>0</v>
      </c>
    </row>
    <row r="821" spans="2:6">
      <c r="B821" t="str" cm="1">
        <f t="array" aca="1" ref="B821" ca="1">IFERROR(DATE(RIGHT(INDIRECT("RC[-1]",0),4),LEFT(INDIRECT("RC[-1]",0),2),1), "")</f>
        <v/>
      </c>
      <c r="C821" s="182"/>
      <c r="F821" cm="1">
        <f t="array" aca="1" ref="F821" ca="1">IF(COUNTIF($E$2:$E$2000,INDIRECT("RC[-2]",0))&gt;0,"",INDIRECT("RC[-2]",0))</f>
        <v>0</v>
      </c>
    </row>
    <row r="822" spans="2:6">
      <c r="B822" t="str" cm="1">
        <f t="array" aca="1" ref="B822" ca="1">IFERROR(DATE(RIGHT(INDIRECT("RC[-1]",0),4),LEFT(INDIRECT("RC[-1]",0),2),1), "")</f>
        <v/>
      </c>
      <c r="C822" s="182"/>
      <c r="F822" cm="1">
        <f t="array" aca="1" ref="F822" ca="1">IF(COUNTIF($E$2:$E$2000,INDIRECT("RC[-2]",0))&gt;0,"",INDIRECT("RC[-2]",0))</f>
        <v>0</v>
      </c>
    </row>
    <row r="823" spans="2:6">
      <c r="B823" t="str" cm="1">
        <f t="array" aca="1" ref="B823" ca="1">IFERROR(DATE(RIGHT(INDIRECT("RC[-1]",0),4),LEFT(INDIRECT("RC[-1]",0),2),1), "")</f>
        <v/>
      </c>
      <c r="C823" s="182"/>
      <c r="F823" cm="1">
        <f t="array" aca="1" ref="F823" ca="1">IF(COUNTIF($E$2:$E$2000,INDIRECT("RC[-2]",0))&gt;0,"",INDIRECT("RC[-2]",0))</f>
        <v>0</v>
      </c>
    </row>
    <row r="824" spans="2:6">
      <c r="B824" t="str" cm="1">
        <f t="array" aca="1" ref="B824" ca="1">IFERROR(DATE(RIGHT(INDIRECT("RC[-1]",0),4),LEFT(INDIRECT("RC[-1]",0),2),1), "")</f>
        <v/>
      </c>
      <c r="C824" s="182"/>
      <c r="F824" cm="1">
        <f t="array" aca="1" ref="F824" ca="1">IF(COUNTIF($E$2:$E$2000,INDIRECT("RC[-2]",0))&gt;0,"",INDIRECT("RC[-2]",0))</f>
        <v>0</v>
      </c>
    </row>
    <row r="825" spans="2:6">
      <c r="B825" t="str" cm="1">
        <f t="array" aca="1" ref="B825" ca="1">IFERROR(DATE(RIGHT(INDIRECT("RC[-1]",0),4),LEFT(INDIRECT("RC[-1]",0),2),1), "")</f>
        <v/>
      </c>
      <c r="C825" s="182"/>
      <c r="F825" cm="1">
        <f t="array" aca="1" ref="F825" ca="1">IF(COUNTIF($E$2:$E$2000,INDIRECT("RC[-2]",0))&gt;0,"",INDIRECT("RC[-2]",0))</f>
        <v>0</v>
      </c>
    </row>
    <row r="826" spans="2:6">
      <c r="B826" t="str" cm="1">
        <f t="array" aca="1" ref="B826" ca="1">IFERROR(DATE(RIGHT(INDIRECT("RC[-1]",0),4),LEFT(INDIRECT("RC[-1]",0),2),1), "")</f>
        <v/>
      </c>
      <c r="C826" s="182"/>
      <c r="F826" cm="1">
        <f t="array" aca="1" ref="F826" ca="1">IF(COUNTIF($E$2:$E$2000,INDIRECT("RC[-2]",0))&gt;0,"",INDIRECT("RC[-2]",0))</f>
        <v>0</v>
      </c>
    </row>
    <row r="827" spans="2:6">
      <c r="B827" t="str" cm="1">
        <f t="array" aca="1" ref="B827" ca="1">IFERROR(DATE(RIGHT(INDIRECT("RC[-1]",0),4),LEFT(INDIRECT("RC[-1]",0),2),1), "")</f>
        <v/>
      </c>
      <c r="C827" s="182"/>
      <c r="F827" cm="1">
        <f t="array" aca="1" ref="F827" ca="1">IF(COUNTIF($E$2:$E$2000,INDIRECT("RC[-2]",0))&gt;0,"",INDIRECT("RC[-2]",0))</f>
        <v>0</v>
      </c>
    </row>
    <row r="828" spans="2:6">
      <c r="B828" t="str" cm="1">
        <f t="array" aca="1" ref="B828" ca="1">IFERROR(DATE(RIGHT(INDIRECT("RC[-1]",0),4),LEFT(INDIRECT("RC[-1]",0),2),1), "")</f>
        <v/>
      </c>
      <c r="C828" s="182"/>
      <c r="F828" cm="1">
        <f t="array" aca="1" ref="F828" ca="1">IF(COUNTIF($E$2:$E$2000,INDIRECT("RC[-2]",0))&gt;0,"",INDIRECT("RC[-2]",0))</f>
        <v>0</v>
      </c>
    </row>
    <row r="829" spans="2:6">
      <c r="B829" t="str" cm="1">
        <f t="array" aca="1" ref="B829" ca="1">IFERROR(DATE(RIGHT(INDIRECT("RC[-1]",0),4),LEFT(INDIRECT("RC[-1]",0),2),1), "")</f>
        <v/>
      </c>
      <c r="C829" s="182"/>
      <c r="F829" cm="1">
        <f t="array" aca="1" ref="F829" ca="1">IF(COUNTIF($E$2:$E$2000,INDIRECT("RC[-2]",0))&gt;0,"",INDIRECT("RC[-2]",0))</f>
        <v>0</v>
      </c>
    </row>
    <row r="830" spans="2:6">
      <c r="B830" t="str" cm="1">
        <f t="array" aca="1" ref="B830" ca="1">IFERROR(DATE(RIGHT(INDIRECT("RC[-1]",0),4),LEFT(INDIRECT("RC[-1]",0),2),1), "")</f>
        <v/>
      </c>
      <c r="C830" s="182"/>
      <c r="F830" cm="1">
        <f t="array" aca="1" ref="F830" ca="1">IF(COUNTIF($E$2:$E$2000,INDIRECT("RC[-2]",0))&gt;0,"",INDIRECT("RC[-2]",0))</f>
        <v>0</v>
      </c>
    </row>
    <row r="831" spans="2:6">
      <c r="B831" t="str" cm="1">
        <f t="array" aca="1" ref="B831" ca="1">IFERROR(DATE(RIGHT(INDIRECT("RC[-1]",0),4),LEFT(INDIRECT("RC[-1]",0),2),1), "")</f>
        <v/>
      </c>
      <c r="C831" s="182"/>
      <c r="F831" cm="1">
        <f t="array" aca="1" ref="F831" ca="1">IF(COUNTIF($E$2:$E$2000,INDIRECT("RC[-2]",0))&gt;0,"",INDIRECT("RC[-2]",0))</f>
        <v>0</v>
      </c>
    </row>
    <row r="832" spans="2:6">
      <c r="B832" t="str" cm="1">
        <f t="array" aca="1" ref="B832" ca="1">IFERROR(DATE(RIGHT(INDIRECT("RC[-1]",0),4),LEFT(INDIRECT("RC[-1]",0),2),1), "")</f>
        <v/>
      </c>
      <c r="C832" s="182"/>
      <c r="F832" cm="1">
        <f t="array" aca="1" ref="F832" ca="1">IF(COUNTIF($E$2:$E$2000,INDIRECT("RC[-2]",0))&gt;0,"",INDIRECT("RC[-2]",0))</f>
        <v>0</v>
      </c>
    </row>
    <row r="833" spans="2:6">
      <c r="B833" t="str" cm="1">
        <f t="array" aca="1" ref="B833" ca="1">IFERROR(DATE(RIGHT(INDIRECT("RC[-1]",0),4),LEFT(INDIRECT("RC[-1]",0),2),1), "")</f>
        <v/>
      </c>
      <c r="C833" s="182"/>
      <c r="F833" cm="1">
        <f t="array" aca="1" ref="F833" ca="1">IF(COUNTIF($E$2:$E$2000,INDIRECT("RC[-2]",0))&gt;0,"",INDIRECT("RC[-2]",0))</f>
        <v>0</v>
      </c>
    </row>
    <row r="834" spans="2:6">
      <c r="B834" t="str" cm="1">
        <f t="array" aca="1" ref="B834" ca="1">IFERROR(DATE(RIGHT(INDIRECT("RC[-1]",0),4),LEFT(INDIRECT("RC[-1]",0),2),1), "")</f>
        <v/>
      </c>
      <c r="C834" s="182"/>
      <c r="F834" cm="1">
        <f t="array" aca="1" ref="F834" ca="1">IF(COUNTIF($E$2:$E$2000,INDIRECT("RC[-2]",0))&gt;0,"",INDIRECT("RC[-2]",0))</f>
        <v>0</v>
      </c>
    </row>
    <row r="835" spans="2:6">
      <c r="B835" t="str" cm="1">
        <f t="array" aca="1" ref="B835" ca="1">IFERROR(DATE(RIGHT(INDIRECT("RC[-1]",0),4),LEFT(INDIRECT("RC[-1]",0),2),1), "")</f>
        <v/>
      </c>
      <c r="C835" s="182"/>
      <c r="F835" cm="1">
        <f t="array" aca="1" ref="F835" ca="1">IF(COUNTIF($E$2:$E$2000,INDIRECT("RC[-2]",0))&gt;0,"",INDIRECT("RC[-2]",0))</f>
        <v>0</v>
      </c>
    </row>
    <row r="836" spans="2:6">
      <c r="B836" t="str" cm="1">
        <f t="array" aca="1" ref="B836" ca="1">IFERROR(DATE(RIGHT(INDIRECT("RC[-1]",0),4),LEFT(INDIRECT("RC[-1]",0),2),1), "")</f>
        <v/>
      </c>
      <c r="C836" s="182"/>
      <c r="F836" cm="1">
        <f t="array" aca="1" ref="F836" ca="1">IF(COUNTIF($E$2:$E$2000,INDIRECT("RC[-2]",0))&gt;0,"",INDIRECT("RC[-2]",0))</f>
        <v>0</v>
      </c>
    </row>
    <row r="837" spans="2:6">
      <c r="B837" t="str" cm="1">
        <f t="array" aca="1" ref="B837" ca="1">IFERROR(DATE(RIGHT(INDIRECT("RC[-1]",0),4),LEFT(INDIRECT("RC[-1]",0),2),1), "")</f>
        <v/>
      </c>
      <c r="C837" s="182"/>
      <c r="F837" cm="1">
        <f t="array" aca="1" ref="F837" ca="1">IF(COUNTIF($E$2:$E$2000,INDIRECT("RC[-2]",0))&gt;0,"",INDIRECT("RC[-2]",0))</f>
        <v>0</v>
      </c>
    </row>
    <row r="838" spans="2:6">
      <c r="B838" t="str" cm="1">
        <f t="array" aca="1" ref="B838" ca="1">IFERROR(DATE(RIGHT(INDIRECT("RC[-1]",0),4),LEFT(INDIRECT("RC[-1]",0),2),1), "")</f>
        <v/>
      </c>
      <c r="C838" s="182"/>
      <c r="F838" cm="1">
        <f t="array" aca="1" ref="F838" ca="1">IF(COUNTIF($E$2:$E$2000,INDIRECT("RC[-2]",0))&gt;0,"",INDIRECT("RC[-2]",0))</f>
        <v>0</v>
      </c>
    </row>
    <row r="839" spans="2:6">
      <c r="B839" t="str" cm="1">
        <f t="array" aca="1" ref="B839" ca="1">IFERROR(DATE(RIGHT(INDIRECT("RC[-1]",0),4),LEFT(INDIRECT("RC[-1]",0),2),1), "")</f>
        <v/>
      </c>
      <c r="C839" s="182"/>
      <c r="F839" cm="1">
        <f t="array" aca="1" ref="F839" ca="1">IF(COUNTIF($E$2:$E$2000,INDIRECT("RC[-2]",0))&gt;0,"",INDIRECT("RC[-2]",0))</f>
        <v>0</v>
      </c>
    </row>
    <row r="840" spans="2:6">
      <c r="B840" t="str" cm="1">
        <f t="array" aca="1" ref="B840" ca="1">IFERROR(DATE(RIGHT(INDIRECT("RC[-1]",0),4),LEFT(INDIRECT("RC[-1]",0),2),1), "")</f>
        <v/>
      </c>
      <c r="C840" s="182"/>
      <c r="F840" cm="1">
        <f t="array" aca="1" ref="F840" ca="1">IF(COUNTIF($E$2:$E$2000,INDIRECT("RC[-2]",0))&gt;0,"",INDIRECT("RC[-2]",0))</f>
        <v>0</v>
      </c>
    </row>
    <row r="841" spans="2:6">
      <c r="B841" t="str" cm="1">
        <f t="array" aca="1" ref="B841" ca="1">IFERROR(DATE(RIGHT(INDIRECT("RC[-1]",0),4),LEFT(INDIRECT("RC[-1]",0),2),1), "")</f>
        <v/>
      </c>
      <c r="C841" s="182"/>
      <c r="F841" cm="1">
        <f t="array" aca="1" ref="F841" ca="1">IF(COUNTIF($E$2:$E$2000,INDIRECT("RC[-2]",0))&gt;0,"",INDIRECT("RC[-2]",0))</f>
        <v>0</v>
      </c>
    </row>
    <row r="842" spans="2:6">
      <c r="B842" t="str" cm="1">
        <f t="array" aca="1" ref="B842" ca="1">IFERROR(DATE(RIGHT(INDIRECT("RC[-1]",0),4),LEFT(INDIRECT("RC[-1]",0),2),1), "")</f>
        <v/>
      </c>
      <c r="C842" s="182"/>
      <c r="F842" cm="1">
        <f t="array" aca="1" ref="F842" ca="1">IF(COUNTIF($E$2:$E$2000,INDIRECT("RC[-2]",0))&gt;0,"",INDIRECT("RC[-2]",0))</f>
        <v>0</v>
      </c>
    </row>
    <row r="843" spans="2:6">
      <c r="B843" t="str" cm="1">
        <f t="array" aca="1" ref="B843" ca="1">IFERROR(DATE(RIGHT(INDIRECT("RC[-1]",0),4),LEFT(INDIRECT("RC[-1]",0),2),1), "")</f>
        <v/>
      </c>
      <c r="C843" s="182"/>
      <c r="F843" cm="1">
        <f t="array" aca="1" ref="F843" ca="1">IF(COUNTIF($E$2:$E$2000,INDIRECT("RC[-2]",0))&gt;0,"",INDIRECT("RC[-2]",0))</f>
        <v>0</v>
      </c>
    </row>
    <row r="844" spans="2:6">
      <c r="B844" t="str" cm="1">
        <f t="array" aca="1" ref="B844" ca="1">IFERROR(DATE(RIGHT(INDIRECT("RC[-1]",0),4),LEFT(INDIRECT("RC[-1]",0),2),1), "")</f>
        <v/>
      </c>
      <c r="C844" s="182"/>
      <c r="F844" cm="1">
        <f t="array" aca="1" ref="F844" ca="1">IF(COUNTIF($E$2:$E$2000,INDIRECT("RC[-2]",0))&gt;0,"",INDIRECT("RC[-2]",0))</f>
        <v>0</v>
      </c>
    </row>
    <row r="845" spans="2:6">
      <c r="B845" t="str" cm="1">
        <f t="array" aca="1" ref="B845" ca="1">IFERROR(DATE(RIGHT(INDIRECT("RC[-1]",0),4),LEFT(INDIRECT("RC[-1]",0),2),1), "")</f>
        <v/>
      </c>
      <c r="C845" s="182"/>
      <c r="F845" cm="1">
        <f t="array" aca="1" ref="F845" ca="1">IF(COUNTIF($E$2:$E$2000,INDIRECT("RC[-2]",0))&gt;0,"",INDIRECT("RC[-2]",0))</f>
        <v>0</v>
      </c>
    </row>
    <row r="846" spans="2:6">
      <c r="B846" t="str" cm="1">
        <f t="array" aca="1" ref="B846" ca="1">IFERROR(DATE(RIGHT(INDIRECT("RC[-1]",0),4),LEFT(INDIRECT("RC[-1]",0),2),1), "")</f>
        <v/>
      </c>
      <c r="C846" s="182"/>
      <c r="F846" cm="1">
        <f t="array" aca="1" ref="F846" ca="1">IF(COUNTIF($E$2:$E$2000,INDIRECT("RC[-2]",0))&gt;0,"",INDIRECT("RC[-2]",0))</f>
        <v>0</v>
      </c>
    </row>
    <row r="847" spans="2:6">
      <c r="B847" t="str" cm="1">
        <f t="array" aca="1" ref="B847" ca="1">IFERROR(DATE(RIGHT(INDIRECT("RC[-1]",0),4),LEFT(INDIRECT("RC[-1]",0),2),1), "")</f>
        <v/>
      </c>
      <c r="C847" s="182"/>
      <c r="F847" cm="1">
        <f t="array" aca="1" ref="F847" ca="1">IF(COUNTIF($E$2:$E$2000,INDIRECT("RC[-2]",0))&gt;0,"",INDIRECT("RC[-2]",0))</f>
        <v>0</v>
      </c>
    </row>
    <row r="848" spans="2:6">
      <c r="B848" t="str" cm="1">
        <f t="array" aca="1" ref="B848" ca="1">IFERROR(DATE(RIGHT(INDIRECT("RC[-1]",0),4),LEFT(INDIRECT("RC[-1]",0),2),1), "")</f>
        <v/>
      </c>
      <c r="C848" s="182"/>
      <c r="F848" cm="1">
        <f t="array" aca="1" ref="F848" ca="1">IF(COUNTIF($E$2:$E$2000,INDIRECT("RC[-2]",0))&gt;0,"",INDIRECT("RC[-2]",0))</f>
        <v>0</v>
      </c>
    </row>
    <row r="849" spans="2:6">
      <c r="B849" t="str" cm="1">
        <f t="array" aca="1" ref="B849" ca="1">IFERROR(DATE(RIGHT(INDIRECT("RC[-1]",0),4),LEFT(INDIRECT("RC[-1]",0),2),1), "")</f>
        <v/>
      </c>
      <c r="C849" s="182"/>
      <c r="F849" cm="1">
        <f t="array" aca="1" ref="F849" ca="1">IF(COUNTIF($E$2:$E$2000,INDIRECT("RC[-2]",0))&gt;0,"",INDIRECT("RC[-2]",0))</f>
        <v>0</v>
      </c>
    </row>
    <row r="850" spans="2:6">
      <c r="B850" t="str" cm="1">
        <f t="array" aca="1" ref="B850" ca="1">IFERROR(DATE(RIGHT(INDIRECT("RC[-1]",0),4),LEFT(INDIRECT("RC[-1]",0),2),1), "")</f>
        <v/>
      </c>
      <c r="C850" s="182"/>
      <c r="F850" cm="1">
        <f t="array" aca="1" ref="F850" ca="1">IF(COUNTIF($E$2:$E$2000,INDIRECT("RC[-2]",0))&gt;0,"",INDIRECT("RC[-2]",0))</f>
        <v>0</v>
      </c>
    </row>
    <row r="851" spans="2:6">
      <c r="B851" t="str" cm="1">
        <f t="array" aca="1" ref="B851" ca="1">IFERROR(DATE(RIGHT(INDIRECT("RC[-1]",0),4),LEFT(INDIRECT("RC[-1]",0),2),1), "")</f>
        <v/>
      </c>
      <c r="C851" s="182"/>
      <c r="F851" cm="1">
        <f t="array" aca="1" ref="F851" ca="1">IF(COUNTIF($E$2:$E$2000,INDIRECT("RC[-2]",0))&gt;0,"",INDIRECT("RC[-2]",0))</f>
        <v>0</v>
      </c>
    </row>
    <row r="852" spans="2:6">
      <c r="B852" t="str" cm="1">
        <f t="array" aca="1" ref="B852" ca="1">IFERROR(DATE(RIGHT(INDIRECT("RC[-1]",0),4),LEFT(INDIRECT("RC[-1]",0),2),1), "")</f>
        <v/>
      </c>
      <c r="C852" s="182"/>
      <c r="F852" cm="1">
        <f t="array" aca="1" ref="F852" ca="1">IF(COUNTIF($E$2:$E$2000,INDIRECT("RC[-2]",0))&gt;0,"",INDIRECT("RC[-2]",0))</f>
        <v>0</v>
      </c>
    </row>
    <row r="853" spans="2:6">
      <c r="B853" t="str" cm="1">
        <f t="array" aca="1" ref="B853" ca="1">IFERROR(DATE(RIGHT(INDIRECT("RC[-1]",0),4),LEFT(INDIRECT("RC[-1]",0),2),1), "")</f>
        <v/>
      </c>
      <c r="C853" s="182"/>
      <c r="F853" cm="1">
        <f t="array" aca="1" ref="F853" ca="1">IF(COUNTIF($E$2:$E$2000,INDIRECT("RC[-2]",0))&gt;0,"",INDIRECT("RC[-2]",0))</f>
        <v>0</v>
      </c>
    </row>
    <row r="854" spans="2:6">
      <c r="B854" t="str" cm="1">
        <f t="array" aca="1" ref="B854" ca="1">IFERROR(DATE(RIGHT(INDIRECT("RC[-1]",0),4),LEFT(INDIRECT("RC[-1]",0),2),1), "")</f>
        <v/>
      </c>
      <c r="C854" s="182"/>
      <c r="F854" cm="1">
        <f t="array" aca="1" ref="F854" ca="1">IF(COUNTIF($E$2:$E$2000,INDIRECT("RC[-2]",0))&gt;0,"",INDIRECT("RC[-2]",0))</f>
        <v>0</v>
      </c>
    </row>
    <row r="855" spans="2:6">
      <c r="B855" t="str" cm="1">
        <f t="array" aca="1" ref="B855" ca="1">IFERROR(DATE(RIGHT(INDIRECT("RC[-1]",0),4),LEFT(INDIRECT("RC[-1]",0),2),1), "")</f>
        <v/>
      </c>
      <c r="C855" s="182"/>
      <c r="F855" cm="1">
        <f t="array" aca="1" ref="F855" ca="1">IF(COUNTIF($E$2:$E$2000,INDIRECT("RC[-2]",0))&gt;0,"",INDIRECT("RC[-2]",0))</f>
        <v>0</v>
      </c>
    </row>
    <row r="856" spans="2:6">
      <c r="B856" t="str" cm="1">
        <f t="array" aca="1" ref="B856" ca="1">IFERROR(DATE(RIGHT(INDIRECT("RC[-1]",0),4),LEFT(INDIRECT("RC[-1]",0),2),1), "")</f>
        <v/>
      </c>
      <c r="C856" s="182"/>
      <c r="F856" cm="1">
        <f t="array" aca="1" ref="F856" ca="1">IF(COUNTIF($E$2:$E$2000,INDIRECT("RC[-2]",0))&gt;0,"",INDIRECT("RC[-2]",0))</f>
        <v>0</v>
      </c>
    </row>
    <row r="857" spans="2:6">
      <c r="B857" t="str" cm="1">
        <f t="array" aca="1" ref="B857" ca="1">IFERROR(DATE(RIGHT(INDIRECT("RC[-1]",0),4),LEFT(INDIRECT("RC[-1]",0),2),1), "")</f>
        <v/>
      </c>
      <c r="C857" s="182"/>
      <c r="F857" cm="1">
        <f t="array" aca="1" ref="F857" ca="1">IF(COUNTIF($E$2:$E$2000,INDIRECT("RC[-2]",0))&gt;0,"",INDIRECT("RC[-2]",0))</f>
        <v>0</v>
      </c>
    </row>
    <row r="858" spans="2:6">
      <c r="B858" t="str" cm="1">
        <f t="array" aca="1" ref="B858" ca="1">IFERROR(DATE(RIGHT(INDIRECT("RC[-1]",0),4),LEFT(INDIRECT("RC[-1]",0),2),1), "")</f>
        <v/>
      </c>
      <c r="C858" s="182"/>
      <c r="F858" cm="1">
        <f t="array" aca="1" ref="F858" ca="1">IF(COUNTIF($E$2:$E$2000,INDIRECT("RC[-2]",0))&gt;0,"",INDIRECT("RC[-2]",0))</f>
        <v>0</v>
      </c>
    </row>
    <row r="859" spans="2:6">
      <c r="B859" t="str" cm="1">
        <f t="array" aca="1" ref="B859" ca="1">IFERROR(DATE(RIGHT(INDIRECT("RC[-1]",0),4),LEFT(INDIRECT("RC[-1]",0),2),1), "")</f>
        <v/>
      </c>
      <c r="C859" s="182"/>
      <c r="F859" cm="1">
        <f t="array" aca="1" ref="F859" ca="1">IF(COUNTIF($E$2:$E$2000,INDIRECT("RC[-2]",0))&gt;0,"",INDIRECT("RC[-2]",0))</f>
        <v>0</v>
      </c>
    </row>
    <row r="860" spans="2:6">
      <c r="B860" t="str" cm="1">
        <f t="array" aca="1" ref="B860" ca="1">IFERROR(DATE(RIGHT(INDIRECT("RC[-1]",0),4),LEFT(INDIRECT("RC[-1]",0),2),1), "")</f>
        <v/>
      </c>
      <c r="C860" s="182"/>
      <c r="F860" cm="1">
        <f t="array" aca="1" ref="F860" ca="1">IF(COUNTIF($E$2:$E$2000,INDIRECT("RC[-2]",0))&gt;0,"",INDIRECT("RC[-2]",0))</f>
        <v>0</v>
      </c>
    </row>
    <row r="861" spans="2:6">
      <c r="B861" t="str" cm="1">
        <f t="array" aca="1" ref="B861" ca="1">IFERROR(DATE(RIGHT(INDIRECT("RC[-1]",0),4),LEFT(INDIRECT("RC[-1]",0),2),1), "")</f>
        <v/>
      </c>
      <c r="C861" s="182"/>
      <c r="F861" cm="1">
        <f t="array" aca="1" ref="F861" ca="1">IF(COUNTIF($E$2:$E$2000,INDIRECT("RC[-2]",0))&gt;0,"",INDIRECT("RC[-2]",0))</f>
        <v>0</v>
      </c>
    </row>
    <row r="862" spans="2:6">
      <c r="B862" t="str" cm="1">
        <f t="array" aca="1" ref="B862" ca="1">IFERROR(DATE(RIGHT(INDIRECT("RC[-1]",0),4),LEFT(INDIRECT("RC[-1]",0),2),1), "")</f>
        <v/>
      </c>
      <c r="C862" s="182"/>
      <c r="F862" cm="1">
        <f t="array" aca="1" ref="F862" ca="1">IF(COUNTIF($E$2:$E$2000,INDIRECT("RC[-2]",0))&gt;0,"",INDIRECT("RC[-2]",0))</f>
        <v>0</v>
      </c>
    </row>
    <row r="863" spans="2:6">
      <c r="B863" t="str" cm="1">
        <f t="array" aca="1" ref="B863" ca="1">IFERROR(DATE(RIGHT(INDIRECT("RC[-1]",0),4),LEFT(INDIRECT("RC[-1]",0),2),1), "")</f>
        <v/>
      </c>
      <c r="C863" s="182"/>
      <c r="F863" cm="1">
        <f t="array" aca="1" ref="F863" ca="1">IF(COUNTIF($E$2:$E$2000,INDIRECT("RC[-2]",0))&gt;0,"",INDIRECT("RC[-2]",0))</f>
        <v>0</v>
      </c>
    </row>
    <row r="864" spans="2:6">
      <c r="B864" t="str" cm="1">
        <f t="array" aca="1" ref="B864" ca="1">IFERROR(DATE(RIGHT(INDIRECT("RC[-1]",0),4),LEFT(INDIRECT("RC[-1]",0),2),1), "")</f>
        <v/>
      </c>
      <c r="C864" s="182"/>
      <c r="F864" cm="1">
        <f t="array" aca="1" ref="F864" ca="1">IF(COUNTIF($E$2:$E$2000,INDIRECT("RC[-2]",0))&gt;0,"",INDIRECT("RC[-2]",0))</f>
        <v>0</v>
      </c>
    </row>
    <row r="865" spans="2:6">
      <c r="B865" t="str" cm="1">
        <f t="array" aca="1" ref="B865" ca="1">IFERROR(DATE(RIGHT(INDIRECT("RC[-1]",0),4),LEFT(INDIRECT("RC[-1]",0),2),1), "")</f>
        <v/>
      </c>
      <c r="C865" s="182"/>
      <c r="F865" cm="1">
        <f t="array" aca="1" ref="F865" ca="1">IF(COUNTIF($E$2:$E$2000,INDIRECT("RC[-2]",0))&gt;0,"",INDIRECT("RC[-2]",0))</f>
        <v>0</v>
      </c>
    </row>
    <row r="866" spans="2:6">
      <c r="B866" t="str" cm="1">
        <f t="array" aca="1" ref="B866" ca="1">IFERROR(DATE(RIGHT(INDIRECT("RC[-1]",0),4),LEFT(INDIRECT("RC[-1]",0),2),1), "")</f>
        <v/>
      </c>
      <c r="C866" s="182"/>
      <c r="F866" cm="1">
        <f t="array" aca="1" ref="F866" ca="1">IF(COUNTIF($E$2:$E$2000,INDIRECT("RC[-2]",0))&gt;0,"",INDIRECT("RC[-2]",0))</f>
        <v>0</v>
      </c>
    </row>
    <row r="867" spans="2:6">
      <c r="B867" t="str" cm="1">
        <f t="array" aca="1" ref="B867" ca="1">IFERROR(DATE(RIGHT(INDIRECT("RC[-1]",0),4),LEFT(INDIRECT("RC[-1]",0),2),1), "")</f>
        <v/>
      </c>
      <c r="C867" s="182"/>
      <c r="F867" cm="1">
        <f t="array" aca="1" ref="F867" ca="1">IF(COUNTIF($E$2:$E$2000,INDIRECT("RC[-2]",0))&gt;0,"",INDIRECT("RC[-2]",0))</f>
        <v>0</v>
      </c>
    </row>
    <row r="868" spans="2:6">
      <c r="B868" t="str" cm="1">
        <f t="array" aca="1" ref="B868" ca="1">IFERROR(DATE(RIGHT(INDIRECT("RC[-1]",0),4),LEFT(INDIRECT("RC[-1]",0),2),1), "")</f>
        <v/>
      </c>
      <c r="C868" s="182"/>
      <c r="F868" cm="1">
        <f t="array" aca="1" ref="F868" ca="1">IF(COUNTIF($E$2:$E$2000,INDIRECT("RC[-2]",0))&gt;0,"",INDIRECT("RC[-2]",0))</f>
        <v>0</v>
      </c>
    </row>
    <row r="869" spans="2:6">
      <c r="B869" t="str" cm="1">
        <f t="array" aca="1" ref="B869" ca="1">IFERROR(DATE(RIGHT(INDIRECT("RC[-1]",0),4),LEFT(INDIRECT("RC[-1]",0),2),1), "")</f>
        <v/>
      </c>
      <c r="C869" s="182"/>
      <c r="F869" cm="1">
        <f t="array" aca="1" ref="F869" ca="1">IF(COUNTIF($E$2:$E$2000,INDIRECT("RC[-2]",0))&gt;0,"",INDIRECT("RC[-2]",0))</f>
        <v>0</v>
      </c>
    </row>
    <row r="870" spans="2:6">
      <c r="B870" t="str" cm="1">
        <f t="array" aca="1" ref="B870" ca="1">IFERROR(DATE(RIGHT(INDIRECT("RC[-1]",0),4),LEFT(INDIRECT("RC[-1]",0),2),1), "")</f>
        <v/>
      </c>
      <c r="C870" s="182"/>
      <c r="F870" cm="1">
        <f t="array" aca="1" ref="F870" ca="1">IF(COUNTIF($E$2:$E$2000,INDIRECT("RC[-2]",0))&gt;0,"",INDIRECT("RC[-2]",0))</f>
        <v>0</v>
      </c>
    </row>
    <row r="871" spans="2:6">
      <c r="B871" t="str" cm="1">
        <f t="array" aca="1" ref="B871" ca="1">IFERROR(DATE(RIGHT(INDIRECT("RC[-1]",0),4),LEFT(INDIRECT("RC[-1]",0),2),1), "")</f>
        <v/>
      </c>
      <c r="C871" s="182"/>
      <c r="F871" cm="1">
        <f t="array" aca="1" ref="F871" ca="1">IF(COUNTIF($E$2:$E$2000,INDIRECT("RC[-2]",0))&gt;0,"",INDIRECT("RC[-2]",0))</f>
        <v>0</v>
      </c>
    </row>
    <row r="872" spans="2:6">
      <c r="B872" t="str" cm="1">
        <f t="array" aca="1" ref="B872" ca="1">IFERROR(DATE(RIGHT(INDIRECT("RC[-1]",0),4),LEFT(INDIRECT("RC[-1]",0),2),1), "")</f>
        <v/>
      </c>
      <c r="C872" s="182"/>
      <c r="F872" cm="1">
        <f t="array" aca="1" ref="F872" ca="1">IF(COUNTIF($E$2:$E$2000,INDIRECT("RC[-2]",0))&gt;0,"",INDIRECT("RC[-2]",0))</f>
        <v>0</v>
      </c>
    </row>
    <row r="873" spans="2:6">
      <c r="B873" t="str" cm="1">
        <f t="array" aca="1" ref="B873" ca="1">IFERROR(DATE(RIGHT(INDIRECT("RC[-1]",0),4),LEFT(INDIRECT("RC[-1]",0),2),1), "")</f>
        <v/>
      </c>
      <c r="C873" s="182"/>
      <c r="F873" cm="1">
        <f t="array" aca="1" ref="F873" ca="1">IF(COUNTIF($E$2:$E$2000,INDIRECT("RC[-2]",0))&gt;0,"",INDIRECT("RC[-2]",0))</f>
        <v>0</v>
      </c>
    </row>
    <row r="874" spans="2:6">
      <c r="B874" t="str" cm="1">
        <f t="array" aca="1" ref="B874" ca="1">IFERROR(DATE(RIGHT(INDIRECT("RC[-1]",0),4),LEFT(INDIRECT("RC[-1]",0),2),1), "")</f>
        <v/>
      </c>
      <c r="C874" s="182"/>
      <c r="F874" cm="1">
        <f t="array" aca="1" ref="F874" ca="1">IF(COUNTIF($E$2:$E$2000,INDIRECT("RC[-2]",0))&gt;0,"",INDIRECT("RC[-2]",0))</f>
        <v>0</v>
      </c>
    </row>
    <row r="875" spans="2:6">
      <c r="B875" t="str" cm="1">
        <f t="array" aca="1" ref="B875" ca="1">IFERROR(DATE(RIGHT(INDIRECT("RC[-1]",0),4),LEFT(INDIRECT("RC[-1]",0),2),1), "")</f>
        <v/>
      </c>
      <c r="C875" s="182"/>
      <c r="F875" cm="1">
        <f t="array" aca="1" ref="F875" ca="1">IF(COUNTIF($E$2:$E$2000,INDIRECT("RC[-2]",0))&gt;0,"",INDIRECT("RC[-2]",0))</f>
        <v>0</v>
      </c>
    </row>
    <row r="876" spans="2:6">
      <c r="B876" t="str" cm="1">
        <f t="array" aca="1" ref="B876" ca="1">IFERROR(DATE(RIGHT(INDIRECT("RC[-1]",0),4),LEFT(INDIRECT("RC[-1]",0),2),1), "")</f>
        <v/>
      </c>
      <c r="C876" s="182"/>
      <c r="F876" cm="1">
        <f t="array" aca="1" ref="F876" ca="1">IF(COUNTIF($E$2:$E$2000,INDIRECT("RC[-2]",0))&gt;0,"",INDIRECT("RC[-2]",0))</f>
        <v>0</v>
      </c>
    </row>
    <row r="877" spans="2:6">
      <c r="B877" t="str" cm="1">
        <f t="array" aca="1" ref="B877" ca="1">IFERROR(DATE(RIGHT(INDIRECT("RC[-1]",0),4),LEFT(INDIRECT("RC[-1]",0),2),1), "")</f>
        <v/>
      </c>
      <c r="C877" s="182"/>
      <c r="F877" cm="1">
        <f t="array" aca="1" ref="F877" ca="1">IF(COUNTIF($E$2:$E$2000,INDIRECT("RC[-2]",0))&gt;0,"",INDIRECT("RC[-2]",0))</f>
        <v>0</v>
      </c>
    </row>
    <row r="878" spans="2:6">
      <c r="B878" t="str" cm="1">
        <f t="array" aca="1" ref="B878" ca="1">IFERROR(DATE(RIGHT(INDIRECT("RC[-1]",0),4),LEFT(INDIRECT("RC[-1]",0),2),1), "")</f>
        <v/>
      </c>
      <c r="C878" s="182"/>
      <c r="F878" cm="1">
        <f t="array" aca="1" ref="F878" ca="1">IF(COUNTIF($E$2:$E$2000,INDIRECT("RC[-2]",0))&gt;0,"",INDIRECT("RC[-2]",0))</f>
        <v>0</v>
      </c>
    </row>
    <row r="879" spans="2:6">
      <c r="B879" t="str" cm="1">
        <f t="array" aca="1" ref="B879" ca="1">IFERROR(DATE(RIGHT(INDIRECT("RC[-1]",0),4),LEFT(INDIRECT("RC[-1]",0),2),1), "")</f>
        <v/>
      </c>
      <c r="C879" s="182"/>
      <c r="F879" cm="1">
        <f t="array" aca="1" ref="F879" ca="1">IF(COUNTIF($E$2:$E$2000,INDIRECT("RC[-2]",0))&gt;0,"",INDIRECT("RC[-2]",0))</f>
        <v>0</v>
      </c>
    </row>
    <row r="880" spans="2:6">
      <c r="B880" t="str" cm="1">
        <f t="array" aca="1" ref="B880" ca="1">IFERROR(DATE(RIGHT(INDIRECT("RC[-1]",0),4),LEFT(INDIRECT("RC[-1]",0),2),1), "")</f>
        <v/>
      </c>
      <c r="C880" s="182"/>
      <c r="F880" cm="1">
        <f t="array" aca="1" ref="F880" ca="1">IF(COUNTIF($E$2:$E$2000,INDIRECT("RC[-2]",0))&gt;0,"",INDIRECT("RC[-2]",0))</f>
        <v>0</v>
      </c>
    </row>
    <row r="881" spans="2:6">
      <c r="B881" t="str" cm="1">
        <f t="array" aca="1" ref="B881" ca="1">IFERROR(DATE(RIGHT(INDIRECT("RC[-1]",0),4),LEFT(INDIRECT("RC[-1]",0),2),1), "")</f>
        <v/>
      </c>
      <c r="C881" s="182"/>
      <c r="F881" cm="1">
        <f t="array" aca="1" ref="F881" ca="1">IF(COUNTIF($E$2:$E$2000,INDIRECT("RC[-2]",0))&gt;0,"",INDIRECT("RC[-2]",0))</f>
        <v>0</v>
      </c>
    </row>
    <row r="882" spans="2:6">
      <c r="B882" t="str" cm="1">
        <f t="array" aca="1" ref="B882" ca="1">IFERROR(DATE(RIGHT(INDIRECT("RC[-1]",0),4),LEFT(INDIRECT("RC[-1]",0),2),1), "")</f>
        <v/>
      </c>
      <c r="C882" s="182"/>
      <c r="F882" cm="1">
        <f t="array" aca="1" ref="F882" ca="1">IF(COUNTIF($E$2:$E$2000,INDIRECT("RC[-2]",0))&gt;0,"",INDIRECT("RC[-2]",0))</f>
        <v>0</v>
      </c>
    </row>
    <row r="883" spans="2:6">
      <c r="B883" t="str" cm="1">
        <f t="array" aca="1" ref="B883" ca="1">IFERROR(DATE(RIGHT(INDIRECT("RC[-1]",0),4),LEFT(INDIRECT("RC[-1]",0),2),1), "")</f>
        <v/>
      </c>
      <c r="C883" s="182"/>
      <c r="F883" cm="1">
        <f t="array" aca="1" ref="F883" ca="1">IF(COUNTIF($E$2:$E$2000,INDIRECT("RC[-2]",0))&gt;0,"",INDIRECT("RC[-2]",0))</f>
        <v>0</v>
      </c>
    </row>
    <row r="884" spans="2:6">
      <c r="B884" t="str" cm="1">
        <f t="array" aca="1" ref="B884" ca="1">IFERROR(DATE(RIGHT(INDIRECT("RC[-1]",0),4),LEFT(INDIRECT("RC[-1]",0),2),1), "")</f>
        <v/>
      </c>
      <c r="C884" s="182"/>
      <c r="F884" cm="1">
        <f t="array" aca="1" ref="F884" ca="1">IF(COUNTIF($E$2:$E$2000,INDIRECT("RC[-2]",0))&gt;0,"",INDIRECT("RC[-2]",0))</f>
        <v>0</v>
      </c>
    </row>
    <row r="885" spans="2:6">
      <c r="B885" t="str" cm="1">
        <f t="array" aca="1" ref="B885" ca="1">IFERROR(DATE(RIGHT(INDIRECT("RC[-1]",0),4),LEFT(INDIRECT("RC[-1]",0),2),1), "")</f>
        <v/>
      </c>
      <c r="C885" s="182"/>
      <c r="F885" cm="1">
        <f t="array" aca="1" ref="F885" ca="1">IF(COUNTIF($E$2:$E$2000,INDIRECT("RC[-2]",0))&gt;0,"",INDIRECT("RC[-2]",0))</f>
        <v>0</v>
      </c>
    </row>
    <row r="886" spans="2:6">
      <c r="B886" t="str" cm="1">
        <f t="array" aca="1" ref="B886" ca="1">IFERROR(DATE(RIGHT(INDIRECT("RC[-1]",0),4),LEFT(INDIRECT("RC[-1]",0),2),1), "")</f>
        <v/>
      </c>
      <c r="C886" s="182"/>
      <c r="F886" cm="1">
        <f t="array" aca="1" ref="F886" ca="1">IF(COUNTIF($E$2:$E$2000,INDIRECT("RC[-2]",0))&gt;0,"",INDIRECT("RC[-2]",0))</f>
        <v>0</v>
      </c>
    </row>
    <row r="887" spans="2:6">
      <c r="B887" t="str" cm="1">
        <f t="array" aca="1" ref="B887" ca="1">IFERROR(DATE(RIGHT(INDIRECT("RC[-1]",0),4),LEFT(INDIRECT("RC[-1]",0),2),1), "")</f>
        <v/>
      </c>
      <c r="C887" s="182"/>
      <c r="F887" cm="1">
        <f t="array" aca="1" ref="F887" ca="1">IF(COUNTIF($E$2:$E$2000,INDIRECT("RC[-2]",0))&gt;0,"",INDIRECT("RC[-2]",0))</f>
        <v>0</v>
      </c>
    </row>
    <row r="888" spans="2:6">
      <c r="B888" t="str" cm="1">
        <f t="array" aca="1" ref="B888" ca="1">IFERROR(DATE(RIGHT(INDIRECT("RC[-1]",0),4),LEFT(INDIRECT("RC[-1]",0),2),1), "")</f>
        <v/>
      </c>
      <c r="C888" s="182"/>
      <c r="F888" cm="1">
        <f t="array" aca="1" ref="F888" ca="1">IF(COUNTIF($E$2:$E$2000,INDIRECT("RC[-2]",0))&gt;0,"",INDIRECT("RC[-2]",0))</f>
        <v>0</v>
      </c>
    </row>
    <row r="889" spans="2:6">
      <c r="B889" t="str" cm="1">
        <f t="array" aca="1" ref="B889" ca="1">IFERROR(DATE(RIGHT(INDIRECT("RC[-1]",0),4),LEFT(INDIRECT("RC[-1]",0),2),1), "")</f>
        <v/>
      </c>
      <c r="C889" s="182"/>
      <c r="F889" cm="1">
        <f t="array" aca="1" ref="F889" ca="1">IF(COUNTIF($E$2:$E$2000,INDIRECT("RC[-2]",0))&gt;0,"",INDIRECT("RC[-2]",0))</f>
        <v>0</v>
      </c>
    </row>
    <row r="890" spans="2:6">
      <c r="B890" t="str" cm="1">
        <f t="array" aca="1" ref="B890" ca="1">IFERROR(DATE(RIGHT(INDIRECT("RC[-1]",0),4),LEFT(INDIRECT("RC[-1]",0),2),1), "")</f>
        <v/>
      </c>
      <c r="C890" s="182"/>
      <c r="F890" cm="1">
        <f t="array" aca="1" ref="F890" ca="1">IF(COUNTIF($E$2:$E$2000,INDIRECT("RC[-2]",0))&gt;0,"",INDIRECT("RC[-2]",0))</f>
        <v>0</v>
      </c>
    </row>
    <row r="891" spans="2:6">
      <c r="B891" t="str" cm="1">
        <f t="array" aca="1" ref="B891" ca="1">IFERROR(DATE(RIGHT(INDIRECT("RC[-1]",0),4),LEFT(INDIRECT("RC[-1]",0),2),1), "")</f>
        <v/>
      </c>
      <c r="C891" s="182"/>
      <c r="F891" cm="1">
        <f t="array" aca="1" ref="F891" ca="1">IF(COUNTIF($E$2:$E$2000,INDIRECT("RC[-2]",0))&gt;0,"",INDIRECT("RC[-2]",0))</f>
        <v>0</v>
      </c>
    </row>
    <row r="892" spans="2:6">
      <c r="B892" t="str" cm="1">
        <f t="array" aca="1" ref="B892" ca="1">IFERROR(DATE(RIGHT(INDIRECT("RC[-1]",0),4),LEFT(INDIRECT("RC[-1]",0),2),1), "")</f>
        <v/>
      </c>
      <c r="C892" s="182"/>
      <c r="F892" cm="1">
        <f t="array" aca="1" ref="F892" ca="1">IF(COUNTIF($E$2:$E$2000,INDIRECT("RC[-2]",0))&gt;0,"",INDIRECT("RC[-2]",0))</f>
        <v>0</v>
      </c>
    </row>
    <row r="893" spans="2:6">
      <c r="B893" t="str" cm="1">
        <f t="array" aca="1" ref="B893" ca="1">IFERROR(DATE(RIGHT(INDIRECT("RC[-1]",0),4),LEFT(INDIRECT("RC[-1]",0),2),1), "")</f>
        <v/>
      </c>
      <c r="C893" s="182"/>
      <c r="F893" cm="1">
        <f t="array" aca="1" ref="F893" ca="1">IF(COUNTIF($E$2:$E$2000,INDIRECT("RC[-2]",0))&gt;0,"",INDIRECT("RC[-2]",0))</f>
        <v>0</v>
      </c>
    </row>
    <row r="894" spans="2:6">
      <c r="B894" t="str" cm="1">
        <f t="array" aca="1" ref="B894" ca="1">IFERROR(DATE(RIGHT(INDIRECT("RC[-1]",0),4),LEFT(INDIRECT("RC[-1]",0),2),1), "")</f>
        <v/>
      </c>
      <c r="C894" s="182"/>
      <c r="F894" cm="1">
        <f t="array" aca="1" ref="F894" ca="1">IF(COUNTIF($E$2:$E$2000,INDIRECT("RC[-2]",0))&gt;0,"",INDIRECT("RC[-2]",0))</f>
        <v>0</v>
      </c>
    </row>
    <row r="895" spans="2:6">
      <c r="B895" t="str" cm="1">
        <f t="array" aca="1" ref="B895" ca="1">IFERROR(DATE(RIGHT(INDIRECT("RC[-1]",0),4),LEFT(INDIRECT("RC[-1]",0),2),1), "")</f>
        <v/>
      </c>
      <c r="C895" s="182"/>
      <c r="F895" cm="1">
        <f t="array" aca="1" ref="F895" ca="1">IF(COUNTIF($E$2:$E$2000,INDIRECT("RC[-2]",0))&gt;0,"",INDIRECT("RC[-2]",0))</f>
        <v>0</v>
      </c>
    </row>
    <row r="896" spans="2:6">
      <c r="B896" t="str" cm="1">
        <f t="array" aca="1" ref="B896" ca="1">IFERROR(DATE(RIGHT(INDIRECT("RC[-1]",0),4),LEFT(INDIRECT("RC[-1]",0),2),1), "")</f>
        <v/>
      </c>
      <c r="C896" s="182"/>
      <c r="F896" cm="1">
        <f t="array" aca="1" ref="F896" ca="1">IF(COUNTIF($E$2:$E$2000,INDIRECT("RC[-2]",0))&gt;0,"",INDIRECT("RC[-2]",0))</f>
        <v>0</v>
      </c>
    </row>
    <row r="897" spans="2:6">
      <c r="B897" t="str" cm="1">
        <f t="array" aca="1" ref="B897" ca="1">IFERROR(DATE(RIGHT(INDIRECT("RC[-1]",0),4),LEFT(INDIRECT("RC[-1]",0),2),1), "")</f>
        <v/>
      </c>
      <c r="C897" s="182"/>
      <c r="F897" cm="1">
        <f t="array" aca="1" ref="F897" ca="1">IF(COUNTIF($E$2:$E$2000,INDIRECT("RC[-2]",0))&gt;0,"",INDIRECT("RC[-2]",0))</f>
        <v>0</v>
      </c>
    </row>
    <row r="898" spans="2:6">
      <c r="B898" t="str" cm="1">
        <f t="array" aca="1" ref="B898" ca="1">IFERROR(DATE(RIGHT(INDIRECT("RC[-1]",0),4),LEFT(INDIRECT("RC[-1]",0),2),1), "")</f>
        <v/>
      </c>
      <c r="C898" s="182"/>
      <c r="F898" cm="1">
        <f t="array" aca="1" ref="F898" ca="1">IF(COUNTIF($E$2:$E$2000,INDIRECT("RC[-2]",0))&gt;0,"",INDIRECT("RC[-2]",0))</f>
        <v>0</v>
      </c>
    </row>
    <row r="899" spans="2:6">
      <c r="B899" t="str" cm="1">
        <f t="array" aca="1" ref="B899" ca="1">IFERROR(DATE(RIGHT(INDIRECT("RC[-1]",0),4),LEFT(INDIRECT("RC[-1]",0),2),1), "")</f>
        <v/>
      </c>
      <c r="C899" s="182"/>
      <c r="F899" cm="1">
        <f t="array" aca="1" ref="F899" ca="1">IF(COUNTIF($E$2:$E$2000,INDIRECT("RC[-2]",0))&gt;0,"",INDIRECT("RC[-2]",0))</f>
        <v>0</v>
      </c>
    </row>
    <row r="900" spans="2:6">
      <c r="B900" t="str" cm="1">
        <f t="array" aca="1" ref="B900" ca="1">IFERROR(DATE(RIGHT(INDIRECT("RC[-1]",0),4),LEFT(INDIRECT("RC[-1]",0),2),1), "")</f>
        <v/>
      </c>
      <c r="C900" s="182"/>
      <c r="F900" cm="1">
        <f t="array" aca="1" ref="F900" ca="1">IF(COUNTIF($E$2:$E$2000,INDIRECT("RC[-2]",0))&gt;0,"",INDIRECT("RC[-2]",0))</f>
        <v>0</v>
      </c>
    </row>
    <row r="901" spans="2:6">
      <c r="B901" t="str" cm="1">
        <f t="array" aca="1" ref="B901" ca="1">IFERROR(DATE(RIGHT(INDIRECT("RC[-1]",0),4),LEFT(INDIRECT("RC[-1]",0),2),1), "")</f>
        <v/>
      </c>
      <c r="C901" s="182"/>
      <c r="F901" cm="1">
        <f t="array" aca="1" ref="F901" ca="1">IF(COUNTIF($E$2:$E$2000,INDIRECT("RC[-2]",0))&gt;0,"",INDIRECT("RC[-2]",0))</f>
        <v>0</v>
      </c>
    </row>
    <row r="902" spans="2:6">
      <c r="B902" t="str" cm="1">
        <f t="array" aca="1" ref="B902" ca="1">IFERROR(DATE(RIGHT(INDIRECT("RC[-1]",0),4),LEFT(INDIRECT("RC[-1]",0),2),1), "")</f>
        <v/>
      </c>
      <c r="C902" s="182"/>
      <c r="F902" cm="1">
        <f t="array" aca="1" ref="F902" ca="1">IF(COUNTIF($E$2:$E$2000,INDIRECT("RC[-2]",0))&gt;0,"",INDIRECT("RC[-2]",0))</f>
        <v>0</v>
      </c>
    </row>
    <row r="903" spans="2:6">
      <c r="B903" t="str" cm="1">
        <f t="array" aca="1" ref="B903" ca="1">IFERROR(DATE(RIGHT(INDIRECT("RC[-1]",0),4),LEFT(INDIRECT("RC[-1]",0),2),1), "")</f>
        <v/>
      </c>
      <c r="C903" s="182"/>
      <c r="F903" cm="1">
        <f t="array" aca="1" ref="F903" ca="1">IF(COUNTIF($E$2:$E$2000,INDIRECT("RC[-2]",0))&gt;0,"",INDIRECT("RC[-2]",0))</f>
        <v>0</v>
      </c>
    </row>
    <row r="904" spans="2:6">
      <c r="B904" t="str" cm="1">
        <f t="array" aca="1" ref="B904" ca="1">IFERROR(DATE(RIGHT(INDIRECT("RC[-1]",0),4),LEFT(INDIRECT("RC[-1]",0),2),1), "")</f>
        <v/>
      </c>
      <c r="C904" s="182"/>
      <c r="F904" cm="1">
        <f t="array" aca="1" ref="F904" ca="1">IF(COUNTIF($E$2:$E$2000,INDIRECT("RC[-2]",0))&gt;0,"",INDIRECT("RC[-2]",0))</f>
        <v>0</v>
      </c>
    </row>
    <row r="905" spans="2:6">
      <c r="B905" t="str" cm="1">
        <f t="array" aca="1" ref="B905" ca="1">IFERROR(DATE(RIGHT(INDIRECT("RC[-1]",0),4),LEFT(INDIRECT("RC[-1]",0),2),1), "")</f>
        <v/>
      </c>
      <c r="C905" s="182"/>
      <c r="F905" cm="1">
        <f t="array" aca="1" ref="F905" ca="1">IF(COUNTIF($E$2:$E$2000,INDIRECT("RC[-2]",0))&gt;0,"",INDIRECT("RC[-2]",0))</f>
        <v>0</v>
      </c>
    </row>
    <row r="906" spans="2:6">
      <c r="B906" t="str" cm="1">
        <f t="array" aca="1" ref="B906" ca="1">IFERROR(DATE(RIGHT(INDIRECT("RC[-1]",0),4),LEFT(INDIRECT("RC[-1]",0),2),1), "")</f>
        <v/>
      </c>
      <c r="C906" s="182"/>
      <c r="F906" cm="1">
        <f t="array" aca="1" ref="F906" ca="1">IF(COUNTIF($E$2:$E$2000,INDIRECT("RC[-2]",0))&gt;0,"",INDIRECT("RC[-2]",0))</f>
        <v>0</v>
      </c>
    </row>
    <row r="907" spans="2:6">
      <c r="B907" t="str" cm="1">
        <f t="array" aca="1" ref="B907" ca="1">IFERROR(DATE(RIGHT(INDIRECT("RC[-1]",0),4),LEFT(INDIRECT("RC[-1]",0),2),1), "")</f>
        <v/>
      </c>
      <c r="C907" s="182"/>
      <c r="F907" cm="1">
        <f t="array" aca="1" ref="F907" ca="1">IF(COUNTIF($E$2:$E$2000,INDIRECT("RC[-2]",0))&gt;0,"",INDIRECT("RC[-2]",0))</f>
        <v>0</v>
      </c>
    </row>
    <row r="908" spans="2:6">
      <c r="B908" t="str" cm="1">
        <f t="array" aca="1" ref="B908" ca="1">IFERROR(DATE(RIGHT(INDIRECT("RC[-1]",0),4),LEFT(INDIRECT("RC[-1]",0),2),1), "")</f>
        <v/>
      </c>
      <c r="C908" s="182"/>
      <c r="F908" cm="1">
        <f t="array" aca="1" ref="F908" ca="1">IF(COUNTIF($E$2:$E$2000,INDIRECT("RC[-2]",0))&gt;0,"",INDIRECT("RC[-2]",0))</f>
        <v>0</v>
      </c>
    </row>
    <row r="909" spans="2:6">
      <c r="B909" t="str" cm="1">
        <f t="array" aca="1" ref="B909" ca="1">IFERROR(DATE(RIGHT(INDIRECT("RC[-1]",0),4),LEFT(INDIRECT("RC[-1]",0),2),1), "")</f>
        <v/>
      </c>
      <c r="C909" s="182"/>
      <c r="F909" cm="1">
        <f t="array" aca="1" ref="F909" ca="1">IF(COUNTIF($E$2:$E$2000,INDIRECT("RC[-2]",0))&gt;0,"",INDIRECT("RC[-2]",0))</f>
        <v>0</v>
      </c>
    </row>
    <row r="910" spans="2:6">
      <c r="B910" t="str" cm="1">
        <f t="array" aca="1" ref="B910" ca="1">IFERROR(DATE(RIGHT(INDIRECT("RC[-1]",0),4),LEFT(INDIRECT("RC[-1]",0),2),1), "")</f>
        <v/>
      </c>
      <c r="C910" s="182"/>
      <c r="F910" cm="1">
        <f t="array" aca="1" ref="F910" ca="1">IF(COUNTIF($E$2:$E$2000,INDIRECT("RC[-2]",0))&gt;0,"",INDIRECT("RC[-2]",0))</f>
        <v>0</v>
      </c>
    </row>
    <row r="911" spans="2:6">
      <c r="B911" t="str" cm="1">
        <f t="array" aca="1" ref="B911" ca="1">IFERROR(DATE(RIGHT(INDIRECT("RC[-1]",0),4),LEFT(INDIRECT("RC[-1]",0),2),1), "")</f>
        <v/>
      </c>
      <c r="C911" s="182"/>
      <c r="F911" cm="1">
        <f t="array" aca="1" ref="F911" ca="1">IF(COUNTIF($E$2:$E$2000,INDIRECT("RC[-2]",0))&gt;0,"",INDIRECT("RC[-2]",0))</f>
        <v>0</v>
      </c>
    </row>
    <row r="912" spans="2:6">
      <c r="B912" t="str" cm="1">
        <f t="array" aca="1" ref="B912" ca="1">IFERROR(DATE(RIGHT(INDIRECT("RC[-1]",0),4),LEFT(INDIRECT("RC[-1]",0),2),1), "")</f>
        <v/>
      </c>
      <c r="C912" s="182"/>
      <c r="F912" cm="1">
        <f t="array" aca="1" ref="F912" ca="1">IF(COUNTIF($E$2:$E$2000,INDIRECT("RC[-2]",0))&gt;0,"",INDIRECT("RC[-2]",0))</f>
        <v>0</v>
      </c>
    </row>
    <row r="913" spans="2:6">
      <c r="B913" t="str" cm="1">
        <f t="array" aca="1" ref="B913" ca="1">IFERROR(DATE(RIGHT(INDIRECT("RC[-1]",0),4),LEFT(INDIRECT("RC[-1]",0),2),1), "")</f>
        <v/>
      </c>
      <c r="C913" s="182"/>
      <c r="F913" cm="1">
        <f t="array" aca="1" ref="F913" ca="1">IF(COUNTIF($E$2:$E$2000,INDIRECT("RC[-2]",0))&gt;0,"",INDIRECT("RC[-2]",0))</f>
        <v>0</v>
      </c>
    </row>
    <row r="914" spans="2:6">
      <c r="B914" t="str" cm="1">
        <f t="array" aca="1" ref="B914" ca="1">IFERROR(DATE(RIGHT(INDIRECT("RC[-1]",0),4),LEFT(INDIRECT("RC[-1]",0),2),1), "")</f>
        <v/>
      </c>
      <c r="C914" s="182"/>
      <c r="F914" cm="1">
        <f t="array" aca="1" ref="F914" ca="1">IF(COUNTIF($E$2:$E$2000,INDIRECT("RC[-2]",0))&gt;0,"",INDIRECT("RC[-2]",0))</f>
        <v>0</v>
      </c>
    </row>
    <row r="915" spans="2:6">
      <c r="B915" t="str" cm="1">
        <f t="array" aca="1" ref="B915" ca="1">IFERROR(DATE(RIGHT(INDIRECT("RC[-1]",0),4),LEFT(INDIRECT("RC[-1]",0),2),1), "")</f>
        <v/>
      </c>
      <c r="C915" s="182"/>
      <c r="F915" cm="1">
        <f t="array" aca="1" ref="F915" ca="1">IF(COUNTIF($E$2:$E$2000,INDIRECT("RC[-2]",0))&gt;0,"",INDIRECT("RC[-2]",0))</f>
        <v>0</v>
      </c>
    </row>
    <row r="916" spans="2:6">
      <c r="B916" t="str" cm="1">
        <f t="array" aca="1" ref="B916" ca="1">IFERROR(DATE(RIGHT(INDIRECT("RC[-1]",0),4),LEFT(INDIRECT("RC[-1]",0),2),1), "")</f>
        <v/>
      </c>
      <c r="C916" s="182"/>
      <c r="F916" cm="1">
        <f t="array" aca="1" ref="F916" ca="1">IF(COUNTIF($E$2:$E$2000,INDIRECT("RC[-2]",0))&gt;0,"",INDIRECT("RC[-2]",0))</f>
        <v>0</v>
      </c>
    </row>
    <row r="917" spans="2:6">
      <c r="B917" t="str" cm="1">
        <f t="array" aca="1" ref="B917" ca="1">IFERROR(DATE(RIGHT(INDIRECT("RC[-1]",0),4),LEFT(INDIRECT("RC[-1]",0),2),1), "")</f>
        <v/>
      </c>
      <c r="C917" s="182"/>
      <c r="F917" cm="1">
        <f t="array" aca="1" ref="F917" ca="1">IF(COUNTIF($E$2:$E$2000,INDIRECT("RC[-2]",0))&gt;0,"",INDIRECT("RC[-2]",0))</f>
        <v>0</v>
      </c>
    </row>
    <row r="918" spans="2:6">
      <c r="B918" t="str" cm="1">
        <f t="array" aca="1" ref="B918" ca="1">IFERROR(DATE(RIGHT(INDIRECT("RC[-1]",0),4),LEFT(INDIRECT("RC[-1]",0),2),1), "")</f>
        <v/>
      </c>
      <c r="C918" s="182"/>
      <c r="F918" cm="1">
        <f t="array" aca="1" ref="F918" ca="1">IF(COUNTIF($E$2:$E$2000,INDIRECT("RC[-2]",0))&gt;0,"",INDIRECT("RC[-2]",0))</f>
        <v>0</v>
      </c>
    </row>
    <row r="919" spans="2:6">
      <c r="B919" t="str" cm="1">
        <f t="array" aca="1" ref="B919" ca="1">IFERROR(DATE(RIGHT(INDIRECT("RC[-1]",0),4),LEFT(INDIRECT("RC[-1]",0),2),1), "")</f>
        <v/>
      </c>
      <c r="C919" s="182"/>
      <c r="F919" cm="1">
        <f t="array" aca="1" ref="F919" ca="1">IF(COUNTIF($E$2:$E$2000,INDIRECT("RC[-2]",0))&gt;0,"",INDIRECT("RC[-2]",0))</f>
        <v>0</v>
      </c>
    </row>
    <row r="920" spans="2:6">
      <c r="B920" t="str" cm="1">
        <f t="array" aca="1" ref="B920" ca="1">IFERROR(DATE(RIGHT(INDIRECT("RC[-1]",0),4),LEFT(INDIRECT("RC[-1]",0),2),1), "")</f>
        <v/>
      </c>
      <c r="C920" s="182"/>
      <c r="F920" cm="1">
        <f t="array" aca="1" ref="F920" ca="1">IF(COUNTIF($E$2:$E$2000,INDIRECT("RC[-2]",0))&gt;0,"",INDIRECT("RC[-2]",0))</f>
        <v>0</v>
      </c>
    </row>
    <row r="921" spans="2:6">
      <c r="B921" t="str" cm="1">
        <f t="array" aca="1" ref="B921" ca="1">IFERROR(DATE(RIGHT(INDIRECT("RC[-1]",0),4),LEFT(INDIRECT("RC[-1]",0),2),1), "")</f>
        <v/>
      </c>
      <c r="C921" s="182"/>
      <c r="F921" cm="1">
        <f t="array" aca="1" ref="F921" ca="1">IF(COUNTIF($E$2:$E$2000,INDIRECT("RC[-2]",0))&gt;0,"",INDIRECT("RC[-2]",0))</f>
        <v>0</v>
      </c>
    </row>
    <row r="922" spans="2:6">
      <c r="B922" t="str" cm="1">
        <f t="array" aca="1" ref="B922" ca="1">IFERROR(DATE(RIGHT(INDIRECT("RC[-1]",0),4),LEFT(INDIRECT("RC[-1]",0),2),1), "")</f>
        <v/>
      </c>
      <c r="C922" s="182"/>
      <c r="F922" cm="1">
        <f t="array" aca="1" ref="F922" ca="1">IF(COUNTIF($E$2:$E$2000,INDIRECT("RC[-2]",0))&gt;0,"",INDIRECT("RC[-2]",0))</f>
        <v>0</v>
      </c>
    </row>
    <row r="923" spans="2:6">
      <c r="B923" t="str" cm="1">
        <f t="array" aca="1" ref="B923" ca="1">IFERROR(DATE(RIGHT(INDIRECT("RC[-1]",0),4),LEFT(INDIRECT("RC[-1]",0),2),1), "")</f>
        <v/>
      </c>
      <c r="C923" s="182"/>
      <c r="F923" cm="1">
        <f t="array" aca="1" ref="F923" ca="1">IF(COUNTIF($E$2:$E$2000,INDIRECT("RC[-2]",0))&gt;0,"",INDIRECT("RC[-2]",0))</f>
        <v>0</v>
      </c>
    </row>
    <row r="924" spans="2:6">
      <c r="B924" t="str" cm="1">
        <f t="array" aca="1" ref="B924" ca="1">IFERROR(DATE(RIGHT(INDIRECT("RC[-1]",0),4),LEFT(INDIRECT("RC[-1]",0),2),1), "")</f>
        <v/>
      </c>
      <c r="C924" s="182"/>
      <c r="F924" cm="1">
        <f t="array" aca="1" ref="F924" ca="1">IF(COUNTIF($E$2:$E$2000,INDIRECT("RC[-2]",0))&gt;0,"",INDIRECT("RC[-2]",0))</f>
        <v>0</v>
      </c>
    </row>
    <row r="925" spans="2:6">
      <c r="B925" t="str" cm="1">
        <f t="array" aca="1" ref="B925" ca="1">IFERROR(DATE(RIGHT(INDIRECT("RC[-1]",0),4),LEFT(INDIRECT("RC[-1]",0),2),1), "")</f>
        <v/>
      </c>
      <c r="C925" s="182"/>
      <c r="F925" cm="1">
        <f t="array" aca="1" ref="F925" ca="1">IF(COUNTIF($E$2:$E$2000,INDIRECT("RC[-2]",0))&gt;0,"",INDIRECT("RC[-2]",0))</f>
        <v>0</v>
      </c>
    </row>
    <row r="926" spans="2:6">
      <c r="B926" t="str" cm="1">
        <f t="array" aca="1" ref="B926" ca="1">IFERROR(DATE(RIGHT(INDIRECT("RC[-1]",0),4),LEFT(INDIRECT("RC[-1]",0),2),1), "")</f>
        <v/>
      </c>
      <c r="C926" s="182"/>
      <c r="F926" cm="1">
        <f t="array" aca="1" ref="F926" ca="1">IF(COUNTIF($E$2:$E$2000,INDIRECT("RC[-2]",0))&gt;0,"",INDIRECT("RC[-2]",0))</f>
        <v>0</v>
      </c>
    </row>
    <row r="927" spans="2:6">
      <c r="B927" t="str" cm="1">
        <f t="array" aca="1" ref="B927" ca="1">IFERROR(DATE(RIGHT(INDIRECT("RC[-1]",0),4),LEFT(INDIRECT("RC[-1]",0),2),1), "")</f>
        <v/>
      </c>
      <c r="C927" s="182"/>
      <c r="F927" cm="1">
        <f t="array" aca="1" ref="F927" ca="1">IF(COUNTIF($E$2:$E$2000,INDIRECT("RC[-2]",0))&gt;0,"",INDIRECT("RC[-2]",0))</f>
        <v>0</v>
      </c>
    </row>
    <row r="928" spans="2:6">
      <c r="B928" t="str" cm="1">
        <f t="array" aca="1" ref="B928" ca="1">IFERROR(DATE(RIGHT(INDIRECT("RC[-1]",0),4),LEFT(INDIRECT("RC[-1]",0),2),1), "")</f>
        <v/>
      </c>
      <c r="C928" s="182"/>
      <c r="F928" cm="1">
        <f t="array" aca="1" ref="F928" ca="1">IF(COUNTIF($E$2:$E$2000,INDIRECT("RC[-2]",0))&gt;0,"",INDIRECT("RC[-2]",0))</f>
        <v>0</v>
      </c>
    </row>
    <row r="929" spans="2:6">
      <c r="B929" t="str" cm="1">
        <f t="array" aca="1" ref="B929" ca="1">IFERROR(DATE(RIGHT(INDIRECT("RC[-1]",0),4),LEFT(INDIRECT("RC[-1]",0),2),1), "")</f>
        <v/>
      </c>
      <c r="C929" s="182"/>
      <c r="F929" cm="1">
        <f t="array" aca="1" ref="F929" ca="1">IF(COUNTIF($E$2:$E$2000,INDIRECT("RC[-2]",0))&gt;0,"",INDIRECT("RC[-2]",0))</f>
        <v>0</v>
      </c>
    </row>
    <row r="930" spans="2:6">
      <c r="B930" t="str" cm="1">
        <f t="array" aca="1" ref="B930" ca="1">IFERROR(DATE(RIGHT(INDIRECT("RC[-1]",0),4),LEFT(INDIRECT("RC[-1]",0),2),1), "")</f>
        <v/>
      </c>
      <c r="C930" s="182"/>
      <c r="F930" cm="1">
        <f t="array" aca="1" ref="F930" ca="1">IF(COUNTIF($E$2:$E$2000,INDIRECT("RC[-2]",0))&gt;0,"",INDIRECT("RC[-2]",0))</f>
        <v>0</v>
      </c>
    </row>
    <row r="931" spans="2:6">
      <c r="B931" t="str" cm="1">
        <f t="array" aca="1" ref="B931" ca="1">IFERROR(DATE(RIGHT(INDIRECT("RC[-1]",0),4),LEFT(INDIRECT("RC[-1]",0),2),1), "")</f>
        <v/>
      </c>
      <c r="C931" s="182"/>
      <c r="F931" cm="1">
        <f t="array" aca="1" ref="F931" ca="1">IF(COUNTIF($E$2:$E$2000,INDIRECT("RC[-2]",0))&gt;0,"",INDIRECT("RC[-2]",0))</f>
        <v>0</v>
      </c>
    </row>
    <row r="932" spans="2:6">
      <c r="B932" t="str" cm="1">
        <f t="array" aca="1" ref="B932" ca="1">IFERROR(DATE(RIGHT(INDIRECT("RC[-1]",0),4),LEFT(INDIRECT("RC[-1]",0),2),1), "")</f>
        <v/>
      </c>
      <c r="C932" s="182"/>
      <c r="F932" cm="1">
        <f t="array" aca="1" ref="F932" ca="1">IF(COUNTIF($E$2:$E$2000,INDIRECT("RC[-2]",0))&gt;0,"",INDIRECT("RC[-2]",0))</f>
        <v>0</v>
      </c>
    </row>
    <row r="933" spans="2:6">
      <c r="B933" t="str" cm="1">
        <f t="array" aca="1" ref="B933" ca="1">IFERROR(DATE(RIGHT(INDIRECT("RC[-1]",0),4),LEFT(INDIRECT("RC[-1]",0),2),1), "")</f>
        <v/>
      </c>
      <c r="C933" s="182"/>
      <c r="F933" cm="1">
        <f t="array" aca="1" ref="F933" ca="1">IF(COUNTIF($E$2:$E$2000,INDIRECT("RC[-2]",0))&gt;0,"",INDIRECT("RC[-2]",0))</f>
        <v>0</v>
      </c>
    </row>
    <row r="934" spans="2:6">
      <c r="B934" t="str" cm="1">
        <f t="array" aca="1" ref="B934" ca="1">IFERROR(DATE(RIGHT(INDIRECT("RC[-1]",0),4),LEFT(INDIRECT("RC[-1]",0),2),1), "")</f>
        <v/>
      </c>
      <c r="C934" s="182"/>
      <c r="F934" cm="1">
        <f t="array" aca="1" ref="F934" ca="1">IF(COUNTIF($E$2:$E$2000,INDIRECT("RC[-2]",0))&gt;0,"",INDIRECT("RC[-2]",0))</f>
        <v>0</v>
      </c>
    </row>
    <row r="935" spans="2:6">
      <c r="B935" t="str" cm="1">
        <f t="array" aca="1" ref="B935" ca="1">IFERROR(DATE(RIGHT(INDIRECT("RC[-1]",0),4),LEFT(INDIRECT("RC[-1]",0),2),1), "")</f>
        <v/>
      </c>
      <c r="C935" s="182"/>
      <c r="F935" cm="1">
        <f t="array" aca="1" ref="F935" ca="1">IF(COUNTIF($E$2:$E$2000,INDIRECT("RC[-2]",0))&gt;0,"",INDIRECT("RC[-2]",0))</f>
        <v>0</v>
      </c>
    </row>
    <row r="936" spans="2:6">
      <c r="B936" t="str" cm="1">
        <f t="array" aca="1" ref="B936" ca="1">IFERROR(DATE(RIGHT(INDIRECT("RC[-1]",0),4),LEFT(INDIRECT("RC[-1]",0),2),1), "")</f>
        <v/>
      </c>
      <c r="C936" s="182"/>
      <c r="F936" cm="1">
        <f t="array" aca="1" ref="F936" ca="1">IF(COUNTIF($E$2:$E$2000,INDIRECT("RC[-2]",0))&gt;0,"",INDIRECT("RC[-2]",0))</f>
        <v>0</v>
      </c>
    </row>
    <row r="937" spans="2:6">
      <c r="B937" t="str" cm="1">
        <f t="array" aca="1" ref="B937" ca="1">IFERROR(DATE(RIGHT(INDIRECT("RC[-1]",0),4),LEFT(INDIRECT("RC[-1]",0),2),1), "")</f>
        <v/>
      </c>
      <c r="C937" s="182"/>
      <c r="F937" cm="1">
        <f t="array" aca="1" ref="F937" ca="1">IF(COUNTIF($E$2:$E$2000,INDIRECT("RC[-2]",0))&gt;0,"",INDIRECT("RC[-2]",0))</f>
        <v>0</v>
      </c>
    </row>
    <row r="938" spans="2:6">
      <c r="B938" t="str" cm="1">
        <f t="array" aca="1" ref="B938" ca="1">IFERROR(DATE(RIGHT(INDIRECT("RC[-1]",0),4),LEFT(INDIRECT("RC[-1]",0),2),1), "")</f>
        <v/>
      </c>
      <c r="C938" s="182"/>
      <c r="F938" cm="1">
        <f t="array" aca="1" ref="F938" ca="1">IF(COUNTIF($E$2:$E$2000,INDIRECT("RC[-2]",0))&gt;0,"",INDIRECT("RC[-2]",0))</f>
        <v>0</v>
      </c>
    </row>
    <row r="939" spans="2:6">
      <c r="B939" t="str" cm="1">
        <f t="array" aca="1" ref="B939" ca="1">IFERROR(DATE(RIGHT(INDIRECT("RC[-1]",0),4),LEFT(INDIRECT("RC[-1]",0),2),1), "")</f>
        <v/>
      </c>
      <c r="C939" s="182"/>
      <c r="F939" cm="1">
        <f t="array" aca="1" ref="F939" ca="1">IF(COUNTIF($E$2:$E$2000,INDIRECT("RC[-2]",0))&gt;0,"",INDIRECT("RC[-2]",0))</f>
        <v>0</v>
      </c>
    </row>
    <row r="940" spans="2:6">
      <c r="B940" t="str" cm="1">
        <f t="array" aca="1" ref="B940" ca="1">IFERROR(DATE(RIGHT(INDIRECT("RC[-1]",0),4),LEFT(INDIRECT("RC[-1]",0),2),1), "")</f>
        <v/>
      </c>
      <c r="C940" s="182"/>
      <c r="F940" cm="1">
        <f t="array" aca="1" ref="F940" ca="1">IF(COUNTIF($E$2:$E$2000,INDIRECT("RC[-2]",0))&gt;0,"",INDIRECT("RC[-2]",0))</f>
        <v>0</v>
      </c>
    </row>
    <row r="941" spans="2:6">
      <c r="B941" t="str" cm="1">
        <f t="array" aca="1" ref="B941" ca="1">IFERROR(DATE(RIGHT(INDIRECT("RC[-1]",0),4),LEFT(INDIRECT("RC[-1]",0),2),1), "")</f>
        <v/>
      </c>
      <c r="C941" s="182"/>
      <c r="F941" cm="1">
        <f t="array" aca="1" ref="F941" ca="1">IF(COUNTIF($E$2:$E$2000,INDIRECT("RC[-2]",0))&gt;0,"",INDIRECT("RC[-2]",0))</f>
        <v>0</v>
      </c>
    </row>
    <row r="942" spans="2:6">
      <c r="B942" t="str" cm="1">
        <f t="array" aca="1" ref="B942" ca="1">IFERROR(DATE(RIGHT(INDIRECT("RC[-1]",0),4),LEFT(INDIRECT("RC[-1]",0),2),1), "")</f>
        <v/>
      </c>
      <c r="C942" s="182"/>
      <c r="F942" cm="1">
        <f t="array" aca="1" ref="F942" ca="1">IF(COUNTIF($E$2:$E$2000,INDIRECT("RC[-2]",0))&gt;0,"",INDIRECT("RC[-2]",0))</f>
        <v>0</v>
      </c>
    </row>
    <row r="943" spans="2:6">
      <c r="B943" t="str" cm="1">
        <f t="array" aca="1" ref="B943" ca="1">IFERROR(DATE(RIGHT(INDIRECT("RC[-1]",0),4),LEFT(INDIRECT("RC[-1]",0),2),1), "")</f>
        <v/>
      </c>
      <c r="C943" s="182"/>
      <c r="F943" cm="1">
        <f t="array" aca="1" ref="F943" ca="1">IF(COUNTIF($E$2:$E$2000,INDIRECT("RC[-2]",0))&gt;0,"",INDIRECT("RC[-2]",0))</f>
        <v>0</v>
      </c>
    </row>
    <row r="944" spans="2:6">
      <c r="B944" t="str" cm="1">
        <f t="array" aca="1" ref="B944" ca="1">IFERROR(DATE(RIGHT(INDIRECT("RC[-1]",0),4),LEFT(INDIRECT("RC[-1]",0),2),1), "")</f>
        <v/>
      </c>
      <c r="C944" s="182"/>
      <c r="F944" cm="1">
        <f t="array" aca="1" ref="F944" ca="1">IF(COUNTIF($E$2:$E$2000,INDIRECT("RC[-2]",0))&gt;0,"",INDIRECT("RC[-2]",0))</f>
        <v>0</v>
      </c>
    </row>
    <row r="945" spans="2:6">
      <c r="B945" t="str" cm="1">
        <f t="array" aca="1" ref="B945" ca="1">IFERROR(DATE(RIGHT(INDIRECT("RC[-1]",0),4),LEFT(INDIRECT("RC[-1]",0),2),1), "")</f>
        <v/>
      </c>
      <c r="C945" s="182"/>
      <c r="F945" cm="1">
        <f t="array" aca="1" ref="F945" ca="1">IF(COUNTIF($E$2:$E$2000,INDIRECT("RC[-2]",0))&gt;0,"",INDIRECT("RC[-2]",0))</f>
        <v>0</v>
      </c>
    </row>
    <row r="946" spans="2:6">
      <c r="B946" t="str" cm="1">
        <f t="array" aca="1" ref="B946" ca="1">IFERROR(DATE(RIGHT(INDIRECT("RC[-1]",0),4),LEFT(INDIRECT("RC[-1]",0),2),1), "")</f>
        <v/>
      </c>
      <c r="C946" s="182"/>
      <c r="F946" cm="1">
        <f t="array" aca="1" ref="F946" ca="1">IF(COUNTIF($E$2:$E$2000,INDIRECT("RC[-2]",0))&gt;0,"",INDIRECT("RC[-2]",0))</f>
        <v>0</v>
      </c>
    </row>
    <row r="947" spans="2:6">
      <c r="B947" t="str" cm="1">
        <f t="array" aca="1" ref="B947" ca="1">IFERROR(DATE(RIGHT(INDIRECT("RC[-1]",0),4),LEFT(INDIRECT("RC[-1]",0),2),1), "")</f>
        <v/>
      </c>
      <c r="C947" s="182"/>
      <c r="F947" cm="1">
        <f t="array" aca="1" ref="F947" ca="1">IF(COUNTIF($E$2:$E$2000,INDIRECT("RC[-2]",0))&gt;0,"",INDIRECT("RC[-2]",0))</f>
        <v>0</v>
      </c>
    </row>
    <row r="948" spans="2:6">
      <c r="B948" t="str" cm="1">
        <f t="array" aca="1" ref="B948" ca="1">IFERROR(DATE(RIGHT(INDIRECT("RC[-1]",0),4),LEFT(INDIRECT("RC[-1]",0),2),1), "")</f>
        <v/>
      </c>
      <c r="C948" s="182"/>
      <c r="F948" cm="1">
        <f t="array" aca="1" ref="F948" ca="1">IF(COUNTIF($E$2:$E$2000,INDIRECT("RC[-2]",0))&gt;0,"",INDIRECT("RC[-2]",0))</f>
        <v>0</v>
      </c>
    </row>
    <row r="949" spans="2:6">
      <c r="B949" t="str" cm="1">
        <f t="array" aca="1" ref="B949" ca="1">IFERROR(DATE(RIGHT(INDIRECT("RC[-1]",0),4),LEFT(INDIRECT("RC[-1]",0),2),1), "")</f>
        <v/>
      </c>
      <c r="C949" s="182"/>
      <c r="F949" cm="1">
        <f t="array" aca="1" ref="F949" ca="1">IF(COUNTIF($E$2:$E$2000,INDIRECT("RC[-2]",0))&gt;0,"",INDIRECT("RC[-2]",0))</f>
        <v>0</v>
      </c>
    </row>
    <row r="950" spans="2:6">
      <c r="B950" t="str" cm="1">
        <f t="array" aca="1" ref="B950" ca="1">IFERROR(DATE(RIGHT(INDIRECT("RC[-1]",0),4),LEFT(INDIRECT("RC[-1]",0),2),1), "")</f>
        <v/>
      </c>
      <c r="C950" s="182"/>
      <c r="F950" cm="1">
        <f t="array" aca="1" ref="F950" ca="1">IF(COUNTIF($E$2:$E$2000,INDIRECT("RC[-2]",0))&gt;0,"",INDIRECT("RC[-2]",0))</f>
        <v>0</v>
      </c>
    </row>
    <row r="951" spans="2:6">
      <c r="B951" t="str" cm="1">
        <f t="array" aca="1" ref="B951" ca="1">IFERROR(DATE(RIGHT(INDIRECT("RC[-1]",0),4),LEFT(INDIRECT("RC[-1]",0),2),1), "")</f>
        <v/>
      </c>
      <c r="C951" s="182"/>
      <c r="F951" cm="1">
        <f t="array" aca="1" ref="F951" ca="1">IF(COUNTIF($E$2:$E$2000,INDIRECT("RC[-2]",0))&gt;0,"",INDIRECT("RC[-2]",0))</f>
        <v>0</v>
      </c>
    </row>
    <row r="952" spans="2:6">
      <c r="B952" t="str" cm="1">
        <f t="array" aca="1" ref="B952" ca="1">IFERROR(DATE(RIGHT(INDIRECT("RC[-1]",0),4),LEFT(INDIRECT("RC[-1]",0),2),1), "")</f>
        <v/>
      </c>
      <c r="C952" s="182"/>
      <c r="F952" cm="1">
        <f t="array" aca="1" ref="F952" ca="1">IF(COUNTIF($E$2:$E$2000,INDIRECT("RC[-2]",0))&gt;0,"",INDIRECT("RC[-2]",0))</f>
        <v>0</v>
      </c>
    </row>
    <row r="953" spans="2:6">
      <c r="B953" t="str" cm="1">
        <f t="array" aca="1" ref="B953" ca="1">IFERROR(DATE(RIGHT(INDIRECT("RC[-1]",0),4),LEFT(INDIRECT("RC[-1]",0),2),1), "")</f>
        <v/>
      </c>
      <c r="C953" s="182"/>
      <c r="F953" cm="1">
        <f t="array" aca="1" ref="F953" ca="1">IF(COUNTIF($E$2:$E$2000,INDIRECT("RC[-2]",0))&gt;0,"",INDIRECT("RC[-2]",0))</f>
        <v>0</v>
      </c>
    </row>
    <row r="954" spans="2:6">
      <c r="B954" t="str" cm="1">
        <f t="array" aca="1" ref="B954" ca="1">IFERROR(DATE(RIGHT(INDIRECT("RC[-1]",0),4),LEFT(INDIRECT("RC[-1]",0),2),1), "")</f>
        <v/>
      </c>
      <c r="C954" s="182"/>
      <c r="F954" cm="1">
        <f t="array" aca="1" ref="F954" ca="1">IF(COUNTIF($E$2:$E$2000,INDIRECT("RC[-2]",0))&gt;0,"",INDIRECT("RC[-2]",0))</f>
        <v>0</v>
      </c>
    </row>
    <row r="955" spans="2:6">
      <c r="B955" t="str" cm="1">
        <f t="array" aca="1" ref="B955" ca="1">IFERROR(DATE(RIGHT(INDIRECT("RC[-1]",0),4),LEFT(INDIRECT("RC[-1]",0),2),1), "")</f>
        <v/>
      </c>
      <c r="C955" s="182"/>
      <c r="F955" cm="1">
        <f t="array" aca="1" ref="F955" ca="1">IF(COUNTIF($E$2:$E$2000,INDIRECT("RC[-2]",0))&gt;0,"",INDIRECT("RC[-2]",0))</f>
        <v>0</v>
      </c>
    </row>
    <row r="956" spans="2:6">
      <c r="B956" t="str" cm="1">
        <f t="array" aca="1" ref="B956" ca="1">IFERROR(DATE(RIGHT(INDIRECT("RC[-1]",0),4),LEFT(INDIRECT("RC[-1]",0),2),1), "")</f>
        <v/>
      </c>
      <c r="C956" s="182"/>
      <c r="F956" cm="1">
        <f t="array" aca="1" ref="F956" ca="1">IF(COUNTIF($E$2:$E$2000,INDIRECT("RC[-2]",0))&gt;0,"",INDIRECT("RC[-2]",0))</f>
        <v>0</v>
      </c>
    </row>
    <row r="957" spans="2:6">
      <c r="B957" t="str" cm="1">
        <f t="array" aca="1" ref="B957" ca="1">IFERROR(DATE(RIGHT(INDIRECT("RC[-1]",0),4),LEFT(INDIRECT("RC[-1]",0),2),1), "")</f>
        <v/>
      </c>
      <c r="C957" s="182"/>
      <c r="F957" cm="1">
        <f t="array" aca="1" ref="F957" ca="1">IF(COUNTIF($E$2:$E$2000,INDIRECT("RC[-2]",0))&gt;0,"",INDIRECT("RC[-2]",0))</f>
        <v>0</v>
      </c>
    </row>
    <row r="958" spans="2:6">
      <c r="B958" t="str" cm="1">
        <f t="array" aca="1" ref="B958" ca="1">IFERROR(DATE(RIGHT(INDIRECT("RC[-1]",0),4),LEFT(INDIRECT("RC[-1]",0),2),1), "")</f>
        <v/>
      </c>
      <c r="C958" s="182"/>
      <c r="F958" cm="1">
        <f t="array" aca="1" ref="F958" ca="1">IF(COUNTIF($E$2:$E$2000,INDIRECT("RC[-2]",0))&gt;0,"",INDIRECT("RC[-2]",0))</f>
        <v>0</v>
      </c>
    </row>
    <row r="959" spans="2:6">
      <c r="B959" t="str" cm="1">
        <f t="array" aca="1" ref="B959" ca="1">IFERROR(DATE(RIGHT(INDIRECT("RC[-1]",0),4),LEFT(INDIRECT("RC[-1]",0),2),1), "")</f>
        <v/>
      </c>
      <c r="C959" s="182"/>
      <c r="F959" cm="1">
        <f t="array" aca="1" ref="F959" ca="1">IF(COUNTIF($E$2:$E$2000,INDIRECT("RC[-2]",0))&gt;0,"",INDIRECT("RC[-2]",0))</f>
        <v>0</v>
      </c>
    </row>
    <row r="960" spans="2:6">
      <c r="B960" t="str" cm="1">
        <f t="array" aca="1" ref="B960" ca="1">IFERROR(DATE(RIGHT(INDIRECT("RC[-1]",0),4),LEFT(INDIRECT("RC[-1]",0),2),1), "")</f>
        <v/>
      </c>
      <c r="C960" s="182"/>
      <c r="F960" cm="1">
        <f t="array" aca="1" ref="F960" ca="1">IF(COUNTIF($E$2:$E$2000,INDIRECT("RC[-2]",0))&gt;0,"",INDIRECT("RC[-2]",0))</f>
        <v>0</v>
      </c>
    </row>
    <row r="961" spans="2:6">
      <c r="B961" t="str" cm="1">
        <f t="array" aca="1" ref="B961" ca="1">IFERROR(DATE(RIGHT(INDIRECT("RC[-1]",0),4),LEFT(INDIRECT("RC[-1]",0),2),1), "")</f>
        <v/>
      </c>
      <c r="C961" s="182"/>
      <c r="F961" cm="1">
        <f t="array" aca="1" ref="F961" ca="1">IF(COUNTIF($E$2:$E$2000,INDIRECT("RC[-2]",0))&gt;0,"",INDIRECT("RC[-2]",0))</f>
        <v>0</v>
      </c>
    </row>
    <row r="962" spans="2:6">
      <c r="B962" t="str" cm="1">
        <f t="array" aca="1" ref="B962" ca="1">IFERROR(DATE(RIGHT(INDIRECT("RC[-1]",0),4),LEFT(INDIRECT("RC[-1]",0),2),1), "")</f>
        <v/>
      </c>
      <c r="C962" s="182"/>
      <c r="F962" cm="1">
        <f t="array" aca="1" ref="F962" ca="1">IF(COUNTIF($E$2:$E$2000,INDIRECT("RC[-2]",0))&gt;0,"",INDIRECT("RC[-2]",0))</f>
        <v>0</v>
      </c>
    </row>
    <row r="963" spans="2:6">
      <c r="B963" t="str" cm="1">
        <f t="array" aca="1" ref="B963" ca="1">IFERROR(DATE(RIGHT(INDIRECT("RC[-1]",0),4),LEFT(INDIRECT("RC[-1]",0),2),1), "")</f>
        <v/>
      </c>
      <c r="C963" s="182"/>
      <c r="F963" cm="1">
        <f t="array" aca="1" ref="F963" ca="1">IF(COUNTIF($E$2:$E$2000,INDIRECT("RC[-2]",0))&gt;0,"",INDIRECT("RC[-2]",0))</f>
        <v>0</v>
      </c>
    </row>
    <row r="964" spans="2:6">
      <c r="B964" t="str" cm="1">
        <f t="array" aca="1" ref="B964" ca="1">IFERROR(DATE(RIGHT(INDIRECT("RC[-1]",0),4),LEFT(INDIRECT("RC[-1]",0),2),1), "")</f>
        <v/>
      </c>
      <c r="C964" s="182"/>
      <c r="F964" cm="1">
        <f t="array" aca="1" ref="F964" ca="1">IF(COUNTIF($E$2:$E$2000,INDIRECT("RC[-2]",0))&gt;0,"",INDIRECT("RC[-2]",0))</f>
        <v>0</v>
      </c>
    </row>
    <row r="965" spans="2:6">
      <c r="B965" t="str" cm="1">
        <f t="array" aca="1" ref="B965" ca="1">IFERROR(DATE(RIGHT(INDIRECT("RC[-1]",0),4),LEFT(INDIRECT("RC[-1]",0),2),1), "")</f>
        <v/>
      </c>
      <c r="C965" s="182"/>
      <c r="F965" cm="1">
        <f t="array" aca="1" ref="F965" ca="1">IF(COUNTIF($E$2:$E$2000,INDIRECT("RC[-2]",0))&gt;0,"",INDIRECT("RC[-2]",0))</f>
        <v>0</v>
      </c>
    </row>
    <row r="966" spans="2:6">
      <c r="B966" t="str" cm="1">
        <f t="array" aca="1" ref="B966" ca="1">IFERROR(DATE(RIGHT(INDIRECT("RC[-1]",0),4),LEFT(INDIRECT("RC[-1]",0),2),1), "")</f>
        <v/>
      </c>
      <c r="C966" s="182"/>
      <c r="F966" cm="1">
        <f t="array" aca="1" ref="F966" ca="1">IF(COUNTIF($E$2:$E$2000,INDIRECT("RC[-2]",0))&gt;0,"",INDIRECT("RC[-2]",0))</f>
        <v>0</v>
      </c>
    </row>
    <row r="967" spans="2:6">
      <c r="B967" t="str" cm="1">
        <f t="array" aca="1" ref="B967" ca="1">IFERROR(DATE(RIGHT(INDIRECT("RC[-1]",0),4),LEFT(INDIRECT("RC[-1]",0),2),1), "")</f>
        <v/>
      </c>
      <c r="C967" s="182"/>
      <c r="F967" cm="1">
        <f t="array" aca="1" ref="F967" ca="1">IF(COUNTIF($E$2:$E$2000,INDIRECT("RC[-2]",0))&gt;0,"",INDIRECT("RC[-2]",0))</f>
        <v>0</v>
      </c>
    </row>
    <row r="968" spans="2:6">
      <c r="B968" t="str" cm="1">
        <f t="array" aca="1" ref="B968" ca="1">IFERROR(DATE(RIGHT(INDIRECT("RC[-1]",0),4),LEFT(INDIRECT("RC[-1]",0),2),1), "")</f>
        <v/>
      </c>
      <c r="C968" s="182"/>
      <c r="F968" cm="1">
        <f t="array" aca="1" ref="F968" ca="1">IF(COUNTIF($E$2:$E$2000,INDIRECT("RC[-2]",0))&gt;0,"",INDIRECT("RC[-2]",0))</f>
        <v>0</v>
      </c>
    </row>
    <row r="969" spans="2:6">
      <c r="B969" t="str" cm="1">
        <f t="array" aca="1" ref="B969" ca="1">IFERROR(DATE(RIGHT(INDIRECT("RC[-1]",0),4),LEFT(INDIRECT("RC[-1]",0),2),1), "")</f>
        <v/>
      </c>
      <c r="C969" s="182"/>
      <c r="F969" cm="1">
        <f t="array" aca="1" ref="F969" ca="1">IF(COUNTIF($E$2:$E$2000,INDIRECT("RC[-2]",0))&gt;0,"",INDIRECT("RC[-2]",0))</f>
        <v>0</v>
      </c>
    </row>
    <row r="970" spans="2:6">
      <c r="B970" t="str" cm="1">
        <f t="array" aca="1" ref="B970" ca="1">IFERROR(DATE(RIGHT(INDIRECT("RC[-1]",0),4),LEFT(INDIRECT("RC[-1]",0),2),1), "")</f>
        <v/>
      </c>
      <c r="C970" s="182"/>
      <c r="F970" cm="1">
        <f t="array" aca="1" ref="F970" ca="1">IF(COUNTIF($E$2:$E$2000,INDIRECT("RC[-2]",0))&gt;0,"",INDIRECT("RC[-2]",0))</f>
        <v>0</v>
      </c>
    </row>
    <row r="971" spans="2:6">
      <c r="B971" t="str" cm="1">
        <f t="array" aca="1" ref="B971" ca="1">IFERROR(DATE(RIGHT(INDIRECT("RC[-1]",0),4),LEFT(INDIRECT("RC[-1]",0),2),1), "")</f>
        <v/>
      </c>
      <c r="C971" s="182"/>
      <c r="F971" cm="1">
        <f t="array" aca="1" ref="F971" ca="1">IF(COUNTIF($E$2:$E$2000,INDIRECT("RC[-2]",0))&gt;0,"",INDIRECT("RC[-2]",0))</f>
        <v>0</v>
      </c>
    </row>
    <row r="972" spans="2:6">
      <c r="B972" t="str" cm="1">
        <f t="array" aca="1" ref="B972" ca="1">IFERROR(DATE(RIGHT(INDIRECT("RC[-1]",0),4),LEFT(INDIRECT("RC[-1]",0),2),1), "")</f>
        <v/>
      </c>
      <c r="C972" s="182"/>
      <c r="F972" cm="1">
        <f t="array" aca="1" ref="F972" ca="1">IF(COUNTIF($E$2:$E$2000,INDIRECT("RC[-2]",0))&gt;0,"",INDIRECT("RC[-2]",0))</f>
        <v>0</v>
      </c>
    </row>
    <row r="973" spans="2:6">
      <c r="B973" t="str" cm="1">
        <f t="array" aca="1" ref="B973" ca="1">IFERROR(DATE(RIGHT(INDIRECT("RC[-1]",0),4),LEFT(INDIRECT("RC[-1]",0),2),1), "")</f>
        <v/>
      </c>
      <c r="C973" s="182"/>
      <c r="F973" cm="1">
        <f t="array" aca="1" ref="F973" ca="1">IF(COUNTIF($E$2:$E$2000,INDIRECT("RC[-2]",0))&gt;0,"",INDIRECT("RC[-2]",0))</f>
        <v>0</v>
      </c>
    </row>
    <row r="974" spans="2:6">
      <c r="B974" t="str" cm="1">
        <f t="array" aca="1" ref="B974" ca="1">IFERROR(DATE(RIGHT(INDIRECT("RC[-1]",0),4),LEFT(INDIRECT("RC[-1]",0),2),1), "")</f>
        <v/>
      </c>
      <c r="C974" s="182"/>
      <c r="F974" cm="1">
        <f t="array" aca="1" ref="F974" ca="1">IF(COUNTIF($E$2:$E$2000,INDIRECT("RC[-2]",0))&gt;0,"",INDIRECT("RC[-2]",0))</f>
        <v>0</v>
      </c>
    </row>
    <row r="975" spans="2:6">
      <c r="B975" t="str" cm="1">
        <f t="array" aca="1" ref="B975" ca="1">IFERROR(DATE(RIGHT(INDIRECT("RC[-1]",0),4),LEFT(INDIRECT("RC[-1]",0),2),1), "")</f>
        <v/>
      </c>
      <c r="C975" s="182"/>
      <c r="F975" cm="1">
        <f t="array" aca="1" ref="F975" ca="1">IF(COUNTIF($E$2:$E$2000,INDIRECT("RC[-2]",0))&gt;0,"",INDIRECT("RC[-2]",0))</f>
        <v>0</v>
      </c>
    </row>
    <row r="976" spans="2:6">
      <c r="B976" t="str" cm="1">
        <f t="array" aca="1" ref="B976" ca="1">IFERROR(DATE(RIGHT(INDIRECT("RC[-1]",0),4),LEFT(INDIRECT("RC[-1]",0),2),1), "")</f>
        <v/>
      </c>
      <c r="C976" s="182"/>
      <c r="F976" cm="1">
        <f t="array" aca="1" ref="F976" ca="1">IF(COUNTIF($E$2:$E$2000,INDIRECT("RC[-2]",0))&gt;0,"",INDIRECT("RC[-2]",0))</f>
        <v>0</v>
      </c>
    </row>
    <row r="977" spans="2:6">
      <c r="B977" t="str" cm="1">
        <f t="array" aca="1" ref="B977" ca="1">IFERROR(DATE(RIGHT(INDIRECT("RC[-1]",0),4),LEFT(INDIRECT("RC[-1]",0),2),1), "")</f>
        <v/>
      </c>
      <c r="C977" s="182"/>
      <c r="F977" cm="1">
        <f t="array" aca="1" ref="F977" ca="1">IF(COUNTIF($E$2:$E$2000,INDIRECT("RC[-2]",0))&gt;0,"",INDIRECT("RC[-2]",0))</f>
        <v>0</v>
      </c>
    </row>
    <row r="978" spans="2:6">
      <c r="B978" t="str" cm="1">
        <f t="array" aca="1" ref="B978" ca="1">IFERROR(DATE(RIGHT(INDIRECT("RC[-1]",0),4),LEFT(INDIRECT("RC[-1]",0),2),1), "")</f>
        <v/>
      </c>
      <c r="C978" s="182"/>
      <c r="F978" cm="1">
        <f t="array" aca="1" ref="F978" ca="1">IF(COUNTIF($E$2:$E$2000,INDIRECT("RC[-2]",0))&gt;0,"",INDIRECT("RC[-2]",0))</f>
        <v>0</v>
      </c>
    </row>
    <row r="979" spans="2:6">
      <c r="B979" t="str" cm="1">
        <f t="array" aca="1" ref="B979" ca="1">IFERROR(DATE(RIGHT(INDIRECT("RC[-1]",0),4),LEFT(INDIRECT("RC[-1]",0),2),1), "")</f>
        <v/>
      </c>
      <c r="C979" s="182"/>
      <c r="F979" cm="1">
        <f t="array" aca="1" ref="F979" ca="1">IF(COUNTIF($E$2:$E$2000,INDIRECT("RC[-2]",0))&gt;0,"",INDIRECT("RC[-2]",0))</f>
        <v>0</v>
      </c>
    </row>
    <row r="980" spans="2:6">
      <c r="B980" t="str" cm="1">
        <f t="array" aca="1" ref="B980" ca="1">IFERROR(DATE(RIGHT(INDIRECT("RC[-1]",0),4),LEFT(INDIRECT("RC[-1]",0),2),1), "")</f>
        <v/>
      </c>
      <c r="C980" s="182"/>
      <c r="F980" cm="1">
        <f t="array" aca="1" ref="F980" ca="1">IF(COUNTIF($E$2:$E$2000,INDIRECT("RC[-2]",0))&gt;0,"",INDIRECT("RC[-2]",0))</f>
        <v>0</v>
      </c>
    </row>
    <row r="981" spans="2:6">
      <c r="B981" t="str" cm="1">
        <f t="array" aca="1" ref="B981" ca="1">IFERROR(DATE(RIGHT(INDIRECT("RC[-1]",0),4),LEFT(INDIRECT("RC[-1]",0),2),1), "")</f>
        <v/>
      </c>
      <c r="C981" s="182"/>
      <c r="F981" cm="1">
        <f t="array" aca="1" ref="F981" ca="1">IF(COUNTIF($E$2:$E$2000,INDIRECT("RC[-2]",0))&gt;0,"",INDIRECT("RC[-2]",0))</f>
        <v>0</v>
      </c>
    </row>
    <row r="982" spans="2:6">
      <c r="B982" t="str" cm="1">
        <f t="array" aca="1" ref="B982" ca="1">IFERROR(DATE(RIGHT(INDIRECT("RC[-1]",0),4),LEFT(INDIRECT("RC[-1]",0),2),1), "")</f>
        <v/>
      </c>
      <c r="C982" s="182"/>
      <c r="F982" cm="1">
        <f t="array" aca="1" ref="F982" ca="1">IF(COUNTIF($E$2:$E$2000,INDIRECT("RC[-2]",0))&gt;0,"",INDIRECT("RC[-2]",0))</f>
        <v>0</v>
      </c>
    </row>
    <row r="983" spans="2:6">
      <c r="B983" t="str" cm="1">
        <f t="array" aca="1" ref="B983" ca="1">IFERROR(DATE(RIGHT(INDIRECT("RC[-1]",0),4),LEFT(INDIRECT("RC[-1]",0),2),1), "")</f>
        <v/>
      </c>
      <c r="C983" s="182"/>
      <c r="F983" cm="1">
        <f t="array" aca="1" ref="F983" ca="1">IF(COUNTIF($E$2:$E$2000,INDIRECT("RC[-2]",0))&gt;0,"",INDIRECT("RC[-2]",0))</f>
        <v>0</v>
      </c>
    </row>
    <row r="984" spans="2:6">
      <c r="B984" t="str" cm="1">
        <f t="array" aca="1" ref="B984" ca="1">IFERROR(DATE(RIGHT(INDIRECT("RC[-1]",0),4),LEFT(INDIRECT("RC[-1]",0),2),1), "")</f>
        <v/>
      </c>
      <c r="C984" s="182"/>
      <c r="F984" cm="1">
        <f t="array" aca="1" ref="F984" ca="1">IF(COUNTIF($E$2:$E$2000,INDIRECT("RC[-2]",0))&gt;0,"",INDIRECT("RC[-2]",0))</f>
        <v>0</v>
      </c>
    </row>
    <row r="985" spans="2:6">
      <c r="B985" t="str" cm="1">
        <f t="array" aca="1" ref="B985" ca="1">IFERROR(DATE(RIGHT(INDIRECT("RC[-1]",0),4),LEFT(INDIRECT("RC[-1]",0),2),1), "")</f>
        <v/>
      </c>
      <c r="C985" s="182"/>
      <c r="F985" cm="1">
        <f t="array" aca="1" ref="F985" ca="1">IF(COUNTIF($E$2:$E$2000,INDIRECT("RC[-2]",0))&gt;0,"",INDIRECT("RC[-2]",0))</f>
        <v>0</v>
      </c>
    </row>
    <row r="986" spans="2:6">
      <c r="B986" t="str" cm="1">
        <f t="array" aca="1" ref="B986" ca="1">IFERROR(DATE(RIGHT(INDIRECT("RC[-1]",0),4),LEFT(INDIRECT("RC[-1]",0),2),1), "")</f>
        <v/>
      </c>
      <c r="C986" s="182"/>
      <c r="F986" cm="1">
        <f t="array" aca="1" ref="F986" ca="1">IF(COUNTIF($E$2:$E$2000,INDIRECT("RC[-2]",0))&gt;0,"",INDIRECT("RC[-2]",0))</f>
        <v>0</v>
      </c>
    </row>
    <row r="987" spans="2:6">
      <c r="B987" t="str" cm="1">
        <f t="array" aca="1" ref="B987" ca="1">IFERROR(DATE(RIGHT(INDIRECT("RC[-1]",0),4),LEFT(INDIRECT("RC[-1]",0),2),1), "")</f>
        <v/>
      </c>
      <c r="C987" s="182"/>
      <c r="F987" cm="1">
        <f t="array" aca="1" ref="F987" ca="1">IF(COUNTIF($E$2:$E$2000,INDIRECT("RC[-2]",0))&gt;0,"",INDIRECT("RC[-2]",0))</f>
        <v>0</v>
      </c>
    </row>
    <row r="988" spans="2:6">
      <c r="B988" t="str" cm="1">
        <f t="array" aca="1" ref="B988" ca="1">IFERROR(DATE(RIGHT(INDIRECT("RC[-1]",0),4),LEFT(INDIRECT("RC[-1]",0),2),1), "")</f>
        <v/>
      </c>
      <c r="C988" s="182"/>
      <c r="F988" cm="1">
        <f t="array" aca="1" ref="F988" ca="1">IF(COUNTIF($E$2:$E$2000,INDIRECT("RC[-2]",0))&gt;0,"",INDIRECT("RC[-2]",0))</f>
        <v>0</v>
      </c>
    </row>
    <row r="989" spans="2:6">
      <c r="B989" t="str" cm="1">
        <f t="array" aca="1" ref="B989" ca="1">IFERROR(DATE(RIGHT(INDIRECT("RC[-1]",0),4),LEFT(INDIRECT("RC[-1]",0),2),1), "")</f>
        <v/>
      </c>
      <c r="C989" s="182"/>
      <c r="F989" cm="1">
        <f t="array" aca="1" ref="F989" ca="1">IF(COUNTIF($E$2:$E$2000,INDIRECT("RC[-2]",0))&gt;0,"",INDIRECT("RC[-2]",0))</f>
        <v>0</v>
      </c>
    </row>
    <row r="990" spans="2:6">
      <c r="B990" t="str" cm="1">
        <f t="array" aca="1" ref="B990" ca="1">IFERROR(DATE(RIGHT(INDIRECT("RC[-1]",0),4),LEFT(INDIRECT("RC[-1]",0),2),1), "")</f>
        <v/>
      </c>
      <c r="C990" s="182"/>
      <c r="F990" cm="1">
        <f t="array" aca="1" ref="F990" ca="1">IF(COUNTIF($E$2:$E$2000,INDIRECT("RC[-2]",0))&gt;0,"",INDIRECT("RC[-2]",0))</f>
        <v>0</v>
      </c>
    </row>
    <row r="991" spans="2:6">
      <c r="B991" t="str" cm="1">
        <f t="array" aca="1" ref="B991" ca="1">IFERROR(DATE(RIGHT(INDIRECT("RC[-1]",0),4),LEFT(INDIRECT("RC[-1]",0),2),1), "")</f>
        <v/>
      </c>
      <c r="C991" s="182"/>
      <c r="F991" cm="1">
        <f t="array" aca="1" ref="F991" ca="1">IF(COUNTIF($E$2:$E$2000,INDIRECT("RC[-2]",0))&gt;0,"",INDIRECT("RC[-2]",0))</f>
        <v>0</v>
      </c>
    </row>
    <row r="992" spans="2:6">
      <c r="B992" t="str" cm="1">
        <f t="array" aca="1" ref="B992" ca="1">IFERROR(DATE(RIGHT(INDIRECT("RC[-1]",0),4),LEFT(INDIRECT("RC[-1]",0),2),1), "")</f>
        <v/>
      </c>
      <c r="C992" s="182"/>
      <c r="F992" cm="1">
        <f t="array" aca="1" ref="F992" ca="1">IF(COUNTIF($E$2:$E$2000,INDIRECT("RC[-2]",0))&gt;0,"",INDIRECT("RC[-2]",0))</f>
        <v>0</v>
      </c>
    </row>
    <row r="993" spans="2:6">
      <c r="B993" t="str" cm="1">
        <f t="array" aca="1" ref="B993" ca="1">IFERROR(DATE(RIGHT(INDIRECT("RC[-1]",0),4),LEFT(INDIRECT("RC[-1]",0),2),1), "")</f>
        <v/>
      </c>
      <c r="C993" s="182"/>
      <c r="F993" cm="1">
        <f t="array" aca="1" ref="F993" ca="1">IF(COUNTIF($E$2:$E$2000,INDIRECT("RC[-2]",0))&gt;0,"",INDIRECT("RC[-2]",0))</f>
        <v>0</v>
      </c>
    </row>
    <row r="994" spans="2:6">
      <c r="B994" t="str" cm="1">
        <f t="array" aca="1" ref="B994" ca="1">IFERROR(DATE(RIGHT(INDIRECT("RC[-1]",0),4),LEFT(INDIRECT("RC[-1]",0),2),1), "")</f>
        <v/>
      </c>
      <c r="C994" s="182"/>
      <c r="F994" cm="1">
        <f t="array" aca="1" ref="F994" ca="1">IF(COUNTIF($E$2:$E$2000,INDIRECT("RC[-2]",0))&gt;0,"",INDIRECT("RC[-2]",0))</f>
        <v>0</v>
      </c>
    </row>
    <row r="995" spans="2:6">
      <c r="B995" t="str" cm="1">
        <f t="array" aca="1" ref="B995" ca="1">IFERROR(DATE(RIGHT(INDIRECT("RC[-1]",0),4),LEFT(INDIRECT("RC[-1]",0),2),1), "")</f>
        <v/>
      </c>
      <c r="C995" s="182"/>
      <c r="F995" cm="1">
        <f t="array" aca="1" ref="F995" ca="1">IF(COUNTIF($E$2:$E$2000,INDIRECT("RC[-2]",0))&gt;0,"",INDIRECT("RC[-2]",0))</f>
        <v>0</v>
      </c>
    </row>
    <row r="996" spans="2:6">
      <c r="B996" t="str" cm="1">
        <f t="array" aca="1" ref="B996" ca="1">IFERROR(DATE(RIGHT(INDIRECT("RC[-1]",0),4),LEFT(INDIRECT("RC[-1]",0),2),1), "")</f>
        <v/>
      </c>
      <c r="C996" s="182"/>
      <c r="F996" cm="1">
        <f t="array" aca="1" ref="F996" ca="1">IF(COUNTIF($E$2:$E$2000,INDIRECT("RC[-2]",0))&gt;0,"",INDIRECT("RC[-2]",0))</f>
        <v>0</v>
      </c>
    </row>
    <row r="997" spans="2:6">
      <c r="B997" t="str" cm="1">
        <f t="array" aca="1" ref="B997" ca="1">IFERROR(DATE(RIGHT(INDIRECT("RC[-1]",0),4),LEFT(INDIRECT("RC[-1]",0),2),1), "")</f>
        <v/>
      </c>
      <c r="C997" s="182"/>
      <c r="F997" cm="1">
        <f t="array" aca="1" ref="F997" ca="1">IF(COUNTIF($E$2:$E$2000,INDIRECT("RC[-2]",0))&gt;0,"",INDIRECT("RC[-2]",0))</f>
        <v>0</v>
      </c>
    </row>
    <row r="998" spans="2:6">
      <c r="B998" t="str" cm="1">
        <f t="array" aca="1" ref="B998" ca="1">IFERROR(DATE(RIGHT(INDIRECT("RC[-1]",0),4),LEFT(INDIRECT("RC[-1]",0),2),1), "")</f>
        <v/>
      </c>
      <c r="C998" s="182"/>
      <c r="F998" cm="1">
        <f t="array" aca="1" ref="F998" ca="1">IF(COUNTIF($E$2:$E$2000,INDIRECT("RC[-2]",0))&gt;0,"",INDIRECT("RC[-2]",0))</f>
        <v>0</v>
      </c>
    </row>
    <row r="999" spans="2:6">
      <c r="B999" t="str" cm="1">
        <f t="array" aca="1" ref="B999" ca="1">IFERROR(DATE(RIGHT(INDIRECT("RC[-1]",0),4),LEFT(INDIRECT("RC[-1]",0),2),1), "")</f>
        <v/>
      </c>
      <c r="C999" s="182"/>
      <c r="F999" cm="1">
        <f t="array" aca="1" ref="F999" ca="1">IF(COUNTIF($E$2:$E$2000,INDIRECT("RC[-2]",0))&gt;0,"",INDIRECT("RC[-2]",0))</f>
        <v>0</v>
      </c>
    </row>
    <row r="1000" spans="2:6">
      <c r="B1000" t="str" cm="1">
        <f t="array" aca="1" ref="B1000" ca="1">IFERROR(DATE(RIGHT(INDIRECT("RC[-1]",0),4),LEFT(INDIRECT("RC[-1]",0),2),1), "")</f>
        <v/>
      </c>
      <c r="C1000" s="182"/>
      <c r="F1000" cm="1">
        <f t="array" aca="1" ref="F1000" ca="1">IF(COUNTIF($E$2:$E$2000,INDIRECT("RC[-2]",0))&gt;0,"",INDIRECT("RC[-2]",0))</f>
        <v>0</v>
      </c>
    </row>
    <row r="1001" spans="2:6">
      <c r="B1001" t="str" cm="1">
        <f t="array" aca="1" ref="B1001" ca="1">IFERROR(DATE(RIGHT(INDIRECT("RC[-1]",0),4),LEFT(INDIRECT("RC[-1]",0),2),1), "")</f>
        <v/>
      </c>
      <c r="C1001" s="182"/>
      <c r="F1001" cm="1">
        <f t="array" aca="1" ref="F1001" ca="1">IF(COUNTIF($E$2:$E$2000,INDIRECT("RC[-2]",0))&gt;0,"",INDIRECT("RC[-2]",0))</f>
        <v>0</v>
      </c>
    </row>
    <row r="1002" spans="2:6">
      <c r="B1002" t="str" cm="1">
        <f t="array" aca="1" ref="B1002" ca="1">IFERROR(DATE(RIGHT(INDIRECT("RC[-1]",0),4),LEFT(INDIRECT("RC[-1]",0),2),1), "")</f>
        <v/>
      </c>
      <c r="C1002" s="182"/>
      <c r="F1002" cm="1">
        <f t="array" aca="1" ref="F1002" ca="1">IF(COUNTIF($E$2:$E$2000,INDIRECT("RC[-2]",0))&gt;0,"",INDIRECT("RC[-2]",0))</f>
        <v>0</v>
      </c>
    </row>
    <row r="1003" spans="2:6">
      <c r="B1003" t="str" cm="1">
        <f t="array" aca="1" ref="B1003" ca="1">IFERROR(DATE(RIGHT(INDIRECT("RC[-1]",0),4),LEFT(INDIRECT("RC[-1]",0),2),1), "")</f>
        <v/>
      </c>
      <c r="C1003" s="182"/>
      <c r="F1003" cm="1">
        <f t="array" aca="1" ref="F1003" ca="1">IF(COUNTIF($E$2:$E$2000,INDIRECT("RC[-2]",0))&gt;0,"",INDIRECT("RC[-2]",0))</f>
        <v>0</v>
      </c>
    </row>
    <row r="1004" spans="2:6">
      <c r="B1004" t="str" cm="1">
        <f t="array" aca="1" ref="B1004" ca="1">IFERROR(DATE(RIGHT(INDIRECT("RC[-1]",0),4),LEFT(INDIRECT("RC[-1]",0),2),1), "")</f>
        <v/>
      </c>
      <c r="C1004" s="182"/>
      <c r="F1004" cm="1">
        <f t="array" aca="1" ref="F1004" ca="1">IF(COUNTIF($E$2:$E$2000,INDIRECT("RC[-2]",0))&gt;0,"",INDIRECT("RC[-2]",0))</f>
        <v>0</v>
      </c>
    </row>
    <row r="1005" spans="2:6">
      <c r="B1005" t="str" cm="1">
        <f t="array" aca="1" ref="B1005" ca="1">IFERROR(DATE(RIGHT(INDIRECT("RC[-1]",0),4),LEFT(INDIRECT("RC[-1]",0),2),1), "")</f>
        <v/>
      </c>
      <c r="C1005" s="182"/>
      <c r="F1005" cm="1">
        <f t="array" aca="1" ref="F1005" ca="1">IF(COUNTIF($E$2:$E$2000,INDIRECT("RC[-2]",0))&gt;0,"",INDIRECT("RC[-2]",0))</f>
        <v>0</v>
      </c>
    </row>
    <row r="1006" spans="2:6">
      <c r="B1006" t="str" cm="1">
        <f t="array" aca="1" ref="B1006" ca="1">IFERROR(DATE(RIGHT(INDIRECT("RC[-1]",0),4),LEFT(INDIRECT("RC[-1]",0),2),1), "")</f>
        <v/>
      </c>
      <c r="C1006" s="182"/>
      <c r="F1006" cm="1">
        <f t="array" aca="1" ref="F1006" ca="1">IF(COUNTIF($E$2:$E$2000,INDIRECT("RC[-2]",0))&gt;0,"",INDIRECT("RC[-2]",0))</f>
        <v>0</v>
      </c>
    </row>
    <row r="1007" spans="2:6">
      <c r="B1007" t="str" cm="1">
        <f t="array" aca="1" ref="B1007" ca="1">IFERROR(DATE(RIGHT(INDIRECT("RC[-1]",0),4),LEFT(INDIRECT("RC[-1]",0),2),1), "")</f>
        <v/>
      </c>
      <c r="C1007" s="182"/>
      <c r="F1007" cm="1">
        <f t="array" aca="1" ref="F1007" ca="1">IF(COUNTIF($E$2:$E$2000,INDIRECT("RC[-2]",0))&gt;0,"",INDIRECT("RC[-2]",0))</f>
        <v>0</v>
      </c>
    </row>
    <row r="1008" spans="2:6">
      <c r="B1008" t="str" cm="1">
        <f t="array" aca="1" ref="B1008" ca="1">IFERROR(DATE(RIGHT(INDIRECT("RC[-1]",0),4),LEFT(INDIRECT("RC[-1]",0),2),1), "")</f>
        <v/>
      </c>
      <c r="C1008" s="182"/>
      <c r="F1008" cm="1">
        <f t="array" aca="1" ref="F1008" ca="1">IF(COUNTIF($E$2:$E$2000,INDIRECT("RC[-2]",0))&gt;0,"",INDIRECT("RC[-2]",0))</f>
        <v>0</v>
      </c>
    </row>
    <row r="1009" spans="2:6">
      <c r="B1009" t="str" cm="1">
        <f t="array" aca="1" ref="B1009" ca="1">IFERROR(DATE(RIGHT(INDIRECT("RC[-1]",0),4),LEFT(INDIRECT("RC[-1]",0),2),1), "")</f>
        <v/>
      </c>
      <c r="C1009" s="182"/>
      <c r="F1009" cm="1">
        <f t="array" aca="1" ref="F1009" ca="1">IF(COUNTIF($E$2:$E$2000,INDIRECT("RC[-2]",0))&gt;0,"",INDIRECT("RC[-2]",0))</f>
        <v>0</v>
      </c>
    </row>
    <row r="1010" spans="2:6">
      <c r="B1010" t="str" cm="1">
        <f t="array" aca="1" ref="B1010" ca="1">IFERROR(DATE(RIGHT(INDIRECT("RC[-1]",0),4),LEFT(INDIRECT("RC[-1]",0),2),1), "")</f>
        <v/>
      </c>
      <c r="C1010" s="182"/>
      <c r="F1010" cm="1">
        <f t="array" aca="1" ref="F1010" ca="1">IF(COUNTIF($E$2:$E$2000,INDIRECT("RC[-2]",0))&gt;0,"",INDIRECT("RC[-2]",0))</f>
        <v>0</v>
      </c>
    </row>
    <row r="1011" spans="2:6">
      <c r="B1011" t="str" cm="1">
        <f t="array" aca="1" ref="B1011" ca="1">IFERROR(DATE(RIGHT(INDIRECT("RC[-1]",0),4),LEFT(INDIRECT("RC[-1]",0),2),1), "")</f>
        <v/>
      </c>
      <c r="C1011" s="182"/>
      <c r="F1011" cm="1">
        <f t="array" aca="1" ref="F1011" ca="1">IF(COUNTIF($E$2:$E$2000,INDIRECT("RC[-2]",0))&gt;0,"",INDIRECT("RC[-2]",0))</f>
        <v>0</v>
      </c>
    </row>
    <row r="1012" spans="2:6">
      <c r="B1012" t="str" cm="1">
        <f t="array" aca="1" ref="B1012" ca="1">IFERROR(DATE(RIGHT(INDIRECT("RC[-1]",0),4),LEFT(INDIRECT("RC[-1]",0),2),1), "")</f>
        <v/>
      </c>
      <c r="C1012" s="182"/>
      <c r="F1012" cm="1">
        <f t="array" aca="1" ref="F1012" ca="1">IF(COUNTIF($E$2:$E$2000,INDIRECT("RC[-2]",0))&gt;0,"",INDIRECT("RC[-2]",0))</f>
        <v>0</v>
      </c>
    </row>
    <row r="1013" spans="2:6">
      <c r="B1013" t="str" cm="1">
        <f t="array" aca="1" ref="B1013" ca="1">IFERROR(DATE(RIGHT(INDIRECT("RC[-1]",0),4),LEFT(INDIRECT("RC[-1]",0),2),1), "")</f>
        <v/>
      </c>
      <c r="C1013" s="182"/>
      <c r="F1013" cm="1">
        <f t="array" aca="1" ref="F1013" ca="1">IF(COUNTIF($E$2:$E$2000,INDIRECT("RC[-2]",0))&gt;0,"",INDIRECT("RC[-2]",0))</f>
        <v>0</v>
      </c>
    </row>
    <row r="1014" spans="2:6">
      <c r="B1014" t="str" cm="1">
        <f t="array" aca="1" ref="B1014" ca="1">IFERROR(DATE(RIGHT(INDIRECT("RC[-1]",0),4),LEFT(INDIRECT("RC[-1]",0),2),1), "")</f>
        <v/>
      </c>
      <c r="C1014" s="182"/>
      <c r="F1014" cm="1">
        <f t="array" aca="1" ref="F1014" ca="1">IF(COUNTIF($E$2:$E$2000,INDIRECT("RC[-2]",0))&gt;0,"",INDIRECT("RC[-2]",0))</f>
        <v>0</v>
      </c>
    </row>
    <row r="1015" spans="2:6">
      <c r="B1015" t="str" cm="1">
        <f t="array" aca="1" ref="B1015" ca="1">IFERROR(DATE(RIGHT(INDIRECT("RC[-1]",0),4),LEFT(INDIRECT("RC[-1]",0),2),1), "")</f>
        <v/>
      </c>
      <c r="C1015" s="182"/>
      <c r="F1015" cm="1">
        <f t="array" aca="1" ref="F1015" ca="1">IF(COUNTIF($E$2:$E$2000,INDIRECT("RC[-2]",0))&gt;0,"",INDIRECT("RC[-2]",0))</f>
        <v>0</v>
      </c>
    </row>
    <row r="1016" spans="2:6">
      <c r="B1016" t="str" cm="1">
        <f t="array" aca="1" ref="B1016" ca="1">IFERROR(DATE(RIGHT(INDIRECT("RC[-1]",0),4),LEFT(INDIRECT("RC[-1]",0),2),1), "")</f>
        <v/>
      </c>
      <c r="C1016" s="182"/>
      <c r="F1016" cm="1">
        <f t="array" aca="1" ref="F1016" ca="1">IF(COUNTIF($E$2:$E$2000,INDIRECT("RC[-2]",0))&gt;0,"",INDIRECT("RC[-2]",0))</f>
        <v>0</v>
      </c>
    </row>
    <row r="1017" spans="2:6">
      <c r="B1017" t="str" cm="1">
        <f t="array" aca="1" ref="B1017" ca="1">IFERROR(DATE(RIGHT(INDIRECT("RC[-1]",0),4),LEFT(INDIRECT("RC[-1]",0),2),1), "")</f>
        <v/>
      </c>
      <c r="C1017" s="182"/>
      <c r="F1017" cm="1">
        <f t="array" aca="1" ref="F1017" ca="1">IF(COUNTIF($E$2:$E$2000,INDIRECT("RC[-2]",0))&gt;0,"",INDIRECT("RC[-2]",0))</f>
        <v>0</v>
      </c>
    </row>
    <row r="1018" spans="2:6">
      <c r="B1018" t="str" cm="1">
        <f t="array" aca="1" ref="B1018" ca="1">IFERROR(DATE(RIGHT(INDIRECT("RC[-1]",0),4),LEFT(INDIRECT("RC[-1]",0),2),1), "")</f>
        <v/>
      </c>
      <c r="C1018" s="182"/>
      <c r="F1018" cm="1">
        <f t="array" aca="1" ref="F1018" ca="1">IF(COUNTIF($E$2:$E$2000,INDIRECT("RC[-2]",0))&gt;0,"",INDIRECT("RC[-2]",0))</f>
        <v>0</v>
      </c>
    </row>
    <row r="1019" spans="2:6">
      <c r="B1019" t="str" cm="1">
        <f t="array" aca="1" ref="B1019" ca="1">IFERROR(DATE(RIGHT(INDIRECT("RC[-1]",0),4),LEFT(INDIRECT("RC[-1]",0),2),1), "")</f>
        <v/>
      </c>
      <c r="C1019" s="182"/>
      <c r="F1019" cm="1">
        <f t="array" aca="1" ref="F1019" ca="1">IF(COUNTIF($E$2:$E$2000,INDIRECT("RC[-2]",0))&gt;0,"",INDIRECT("RC[-2]",0))</f>
        <v>0</v>
      </c>
    </row>
    <row r="1020" spans="2:6">
      <c r="B1020" t="str" cm="1">
        <f t="array" aca="1" ref="B1020" ca="1">IFERROR(DATE(RIGHT(INDIRECT("RC[-1]",0),4),LEFT(INDIRECT("RC[-1]",0),2),1), "")</f>
        <v/>
      </c>
      <c r="C1020" s="182"/>
      <c r="F1020" cm="1">
        <f t="array" aca="1" ref="F1020" ca="1">IF(COUNTIF($E$2:$E$2000,INDIRECT("RC[-2]",0))&gt;0,"",INDIRECT("RC[-2]",0))</f>
        <v>0</v>
      </c>
    </row>
    <row r="1021" spans="2:6">
      <c r="B1021" t="str" cm="1">
        <f t="array" aca="1" ref="B1021" ca="1">IFERROR(DATE(RIGHT(INDIRECT("RC[-1]",0),4),LEFT(INDIRECT("RC[-1]",0),2),1), "")</f>
        <v/>
      </c>
      <c r="C1021" s="182"/>
      <c r="F1021" cm="1">
        <f t="array" aca="1" ref="F1021" ca="1">IF(COUNTIF($E$2:$E$2000,INDIRECT("RC[-2]",0))&gt;0,"",INDIRECT("RC[-2]",0))</f>
        <v>0</v>
      </c>
    </row>
    <row r="1022" spans="2:6">
      <c r="B1022" t="str" cm="1">
        <f t="array" aca="1" ref="B1022" ca="1">IFERROR(DATE(RIGHT(INDIRECT("RC[-1]",0),4),LEFT(INDIRECT("RC[-1]",0),2),1), "")</f>
        <v/>
      </c>
      <c r="C1022" s="182"/>
      <c r="F1022" cm="1">
        <f t="array" aca="1" ref="F1022" ca="1">IF(COUNTIF($E$2:$E$2000,INDIRECT("RC[-2]",0))&gt;0,"",INDIRECT("RC[-2]",0))</f>
        <v>0</v>
      </c>
    </row>
    <row r="1023" spans="2:6">
      <c r="B1023" t="str" cm="1">
        <f t="array" aca="1" ref="B1023" ca="1">IFERROR(DATE(RIGHT(INDIRECT("RC[-1]",0),4),LEFT(INDIRECT("RC[-1]",0),2),1), "")</f>
        <v/>
      </c>
      <c r="C1023" s="182"/>
      <c r="F1023" cm="1">
        <f t="array" aca="1" ref="F1023" ca="1">IF(COUNTIF($E$2:$E$2000,INDIRECT("RC[-2]",0))&gt;0,"",INDIRECT("RC[-2]",0))</f>
        <v>0</v>
      </c>
    </row>
    <row r="1024" spans="2:6">
      <c r="B1024" t="str" cm="1">
        <f t="array" aca="1" ref="B1024" ca="1">IFERROR(DATE(RIGHT(INDIRECT("RC[-1]",0),4),LEFT(INDIRECT("RC[-1]",0),2),1), "")</f>
        <v/>
      </c>
      <c r="C1024" s="182"/>
      <c r="F1024" cm="1">
        <f t="array" aca="1" ref="F1024" ca="1">IF(COUNTIF($E$2:$E$2000,INDIRECT("RC[-2]",0))&gt;0,"",INDIRECT("RC[-2]",0))</f>
        <v>0</v>
      </c>
    </row>
    <row r="1025" spans="2:6">
      <c r="B1025" t="str" cm="1">
        <f t="array" aca="1" ref="B1025" ca="1">IFERROR(DATE(RIGHT(INDIRECT("RC[-1]",0),4),LEFT(INDIRECT("RC[-1]",0),2),1), "")</f>
        <v/>
      </c>
      <c r="C1025" s="182"/>
      <c r="F1025" cm="1">
        <f t="array" aca="1" ref="F1025" ca="1">IF(COUNTIF($E$2:$E$2000,INDIRECT("RC[-2]",0))&gt;0,"",INDIRECT("RC[-2]",0))</f>
        <v>0</v>
      </c>
    </row>
    <row r="1026" spans="2:6">
      <c r="B1026" t="str" cm="1">
        <f t="array" aca="1" ref="B1026" ca="1">IFERROR(DATE(RIGHT(INDIRECT("RC[-1]",0),4),LEFT(INDIRECT("RC[-1]",0),2),1), "")</f>
        <v/>
      </c>
      <c r="C1026" s="182"/>
      <c r="F1026" cm="1">
        <f t="array" aca="1" ref="F1026" ca="1">IF(COUNTIF($E$2:$E$2000,INDIRECT("RC[-2]",0))&gt;0,"",INDIRECT("RC[-2]",0))</f>
        <v>0</v>
      </c>
    </row>
    <row r="1027" spans="2:6">
      <c r="B1027" t="str" cm="1">
        <f t="array" aca="1" ref="B1027" ca="1">IFERROR(DATE(RIGHT(INDIRECT("RC[-1]",0),4),LEFT(INDIRECT("RC[-1]",0),2),1), "")</f>
        <v/>
      </c>
      <c r="C1027" s="182"/>
      <c r="F1027" cm="1">
        <f t="array" aca="1" ref="F1027" ca="1">IF(COUNTIF($E$2:$E$2000,INDIRECT("RC[-2]",0))&gt;0,"",INDIRECT("RC[-2]",0))</f>
        <v>0</v>
      </c>
    </row>
    <row r="1028" spans="2:6">
      <c r="B1028" t="str" cm="1">
        <f t="array" aca="1" ref="B1028" ca="1">IFERROR(DATE(RIGHT(INDIRECT("RC[-1]",0),4),LEFT(INDIRECT("RC[-1]",0),2),1), "")</f>
        <v/>
      </c>
      <c r="C1028" s="182"/>
      <c r="F1028" cm="1">
        <f t="array" aca="1" ref="F1028" ca="1">IF(COUNTIF($E$2:$E$2000,INDIRECT("RC[-2]",0))&gt;0,"",INDIRECT("RC[-2]",0))</f>
        <v>0</v>
      </c>
    </row>
    <row r="1029" spans="2:6">
      <c r="B1029" t="str" cm="1">
        <f t="array" aca="1" ref="B1029" ca="1">IFERROR(DATE(RIGHT(INDIRECT("RC[-1]",0),4),LEFT(INDIRECT("RC[-1]",0),2),1), "")</f>
        <v/>
      </c>
      <c r="C1029" s="182"/>
      <c r="F1029" cm="1">
        <f t="array" aca="1" ref="F1029" ca="1">IF(COUNTIF($E$2:$E$2000,INDIRECT("RC[-2]",0))&gt;0,"",INDIRECT("RC[-2]",0))</f>
        <v>0</v>
      </c>
    </row>
    <row r="1030" spans="2:6">
      <c r="B1030" t="str" cm="1">
        <f t="array" aca="1" ref="B1030" ca="1">IFERROR(DATE(RIGHT(INDIRECT("RC[-1]",0),4),LEFT(INDIRECT("RC[-1]",0),2),1), "")</f>
        <v/>
      </c>
      <c r="C1030" s="182"/>
      <c r="F1030" cm="1">
        <f t="array" aca="1" ref="F1030" ca="1">IF(COUNTIF($E$2:$E$2000,INDIRECT("RC[-2]",0))&gt;0,"",INDIRECT("RC[-2]",0))</f>
        <v>0</v>
      </c>
    </row>
    <row r="1031" spans="2:6">
      <c r="B1031" t="str" cm="1">
        <f t="array" aca="1" ref="B1031" ca="1">IFERROR(DATE(RIGHT(INDIRECT("RC[-1]",0),4),LEFT(INDIRECT("RC[-1]",0),2),1), "")</f>
        <v/>
      </c>
      <c r="C1031" s="182"/>
      <c r="F1031" cm="1">
        <f t="array" aca="1" ref="F1031" ca="1">IF(COUNTIF($E$2:$E$2000,INDIRECT("RC[-2]",0))&gt;0,"",INDIRECT("RC[-2]",0))</f>
        <v>0</v>
      </c>
    </row>
    <row r="1032" spans="2:6">
      <c r="B1032" t="str" cm="1">
        <f t="array" aca="1" ref="B1032" ca="1">IFERROR(DATE(RIGHT(INDIRECT("RC[-1]",0),4),LEFT(INDIRECT("RC[-1]",0),2),1), "")</f>
        <v/>
      </c>
      <c r="C1032" s="182"/>
      <c r="F1032" cm="1">
        <f t="array" aca="1" ref="F1032" ca="1">IF(COUNTIF($E$2:$E$2000,INDIRECT("RC[-2]",0))&gt;0,"",INDIRECT("RC[-2]",0))</f>
        <v>0</v>
      </c>
    </row>
    <row r="1033" spans="2:6">
      <c r="B1033" t="str" cm="1">
        <f t="array" aca="1" ref="B1033" ca="1">IFERROR(DATE(RIGHT(INDIRECT("RC[-1]",0),4),LEFT(INDIRECT("RC[-1]",0),2),1), "")</f>
        <v/>
      </c>
      <c r="C1033" s="182"/>
      <c r="F1033" cm="1">
        <f t="array" aca="1" ref="F1033" ca="1">IF(COUNTIF($E$2:$E$2000,INDIRECT("RC[-2]",0))&gt;0,"",INDIRECT("RC[-2]",0))</f>
        <v>0</v>
      </c>
    </row>
    <row r="1034" spans="2:6">
      <c r="B1034" t="str" cm="1">
        <f t="array" aca="1" ref="B1034" ca="1">IFERROR(DATE(RIGHT(INDIRECT("RC[-1]",0),4),LEFT(INDIRECT("RC[-1]",0),2),1), "")</f>
        <v/>
      </c>
      <c r="C1034" s="182"/>
      <c r="F1034" cm="1">
        <f t="array" aca="1" ref="F1034" ca="1">IF(COUNTIF($E$2:$E$2000,INDIRECT("RC[-2]",0))&gt;0,"",INDIRECT("RC[-2]",0))</f>
        <v>0</v>
      </c>
    </row>
    <row r="1035" spans="2:6">
      <c r="B1035" t="str" cm="1">
        <f t="array" aca="1" ref="B1035" ca="1">IFERROR(DATE(RIGHT(INDIRECT("RC[-1]",0),4),LEFT(INDIRECT("RC[-1]",0),2),1), "")</f>
        <v/>
      </c>
      <c r="C1035" s="182"/>
      <c r="F1035" cm="1">
        <f t="array" aca="1" ref="F1035" ca="1">IF(COUNTIF($E$2:$E$2000,INDIRECT("RC[-2]",0))&gt;0,"",INDIRECT("RC[-2]",0))</f>
        <v>0</v>
      </c>
    </row>
    <row r="1036" spans="2:6">
      <c r="B1036" t="str" cm="1">
        <f t="array" aca="1" ref="B1036" ca="1">IFERROR(DATE(RIGHT(INDIRECT("RC[-1]",0),4),LEFT(INDIRECT("RC[-1]",0),2),1), "")</f>
        <v/>
      </c>
      <c r="C1036" s="182"/>
      <c r="F1036" cm="1">
        <f t="array" aca="1" ref="F1036" ca="1">IF(COUNTIF($E$2:$E$2000,INDIRECT("RC[-2]",0))&gt;0,"",INDIRECT("RC[-2]",0))</f>
        <v>0</v>
      </c>
    </row>
    <row r="1037" spans="2:6">
      <c r="B1037" t="str" cm="1">
        <f t="array" aca="1" ref="B1037" ca="1">IFERROR(DATE(RIGHT(INDIRECT("RC[-1]",0),4),LEFT(INDIRECT("RC[-1]",0),2),1), "")</f>
        <v/>
      </c>
      <c r="C1037" s="182"/>
      <c r="F1037" cm="1">
        <f t="array" aca="1" ref="F1037" ca="1">IF(COUNTIF($E$2:$E$2000,INDIRECT("RC[-2]",0))&gt;0,"",INDIRECT("RC[-2]",0))</f>
        <v>0</v>
      </c>
    </row>
    <row r="1038" spans="2:6">
      <c r="B1038" t="str" cm="1">
        <f t="array" aca="1" ref="B1038" ca="1">IFERROR(DATE(RIGHT(INDIRECT("RC[-1]",0),4),LEFT(INDIRECT("RC[-1]",0),2),1), "")</f>
        <v/>
      </c>
      <c r="C1038" s="182"/>
      <c r="F1038" cm="1">
        <f t="array" aca="1" ref="F1038" ca="1">IF(COUNTIF($E$2:$E$2000,INDIRECT("RC[-2]",0))&gt;0,"",INDIRECT("RC[-2]",0))</f>
        <v>0</v>
      </c>
    </row>
    <row r="1039" spans="2:6">
      <c r="B1039" t="str" cm="1">
        <f t="array" aca="1" ref="B1039" ca="1">IFERROR(DATE(RIGHT(INDIRECT("RC[-1]",0),4),LEFT(INDIRECT("RC[-1]",0),2),1), "")</f>
        <v/>
      </c>
      <c r="C1039" s="182"/>
      <c r="F1039" cm="1">
        <f t="array" aca="1" ref="F1039" ca="1">IF(COUNTIF($E$2:$E$2000,INDIRECT("RC[-2]",0))&gt;0,"",INDIRECT("RC[-2]",0))</f>
        <v>0</v>
      </c>
    </row>
    <row r="1040" spans="2:6">
      <c r="B1040" t="str" cm="1">
        <f t="array" aca="1" ref="B1040" ca="1">IFERROR(DATE(RIGHT(INDIRECT("RC[-1]",0),4),LEFT(INDIRECT("RC[-1]",0),2),1), "")</f>
        <v/>
      </c>
      <c r="C1040" s="182"/>
      <c r="F1040" cm="1">
        <f t="array" aca="1" ref="F1040" ca="1">IF(COUNTIF($E$2:$E$2000,INDIRECT("RC[-2]",0))&gt;0,"",INDIRECT("RC[-2]",0))</f>
        <v>0</v>
      </c>
    </row>
    <row r="1041" spans="2:6">
      <c r="B1041" t="str" cm="1">
        <f t="array" aca="1" ref="B1041" ca="1">IFERROR(DATE(RIGHT(INDIRECT("RC[-1]",0),4),LEFT(INDIRECT("RC[-1]",0),2),1), "")</f>
        <v/>
      </c>
      <c r="C1041" s="182"/>
      <c r="F1041" cm="1">
        <f t="array" aca="1" ref="F1041" ca="1">IF(COUNTIF($E$2:$E$2000,INDIRECT("RC[-2]",0))&gt;0,"",INDIRECT("RC[-2]",0))</f>
        <v>0</v>
      </c>
    </row>
    <row r="1042" spans="2:6">
      <c r="B1042" t="str" cm="1">
        <f t="array" aca="1" ref="B1042" ca="1">IFERROR(DATE(RIGHT(INDIRECT("RC[-1]",0),4),LEFT(INDIRECT("RC[-1]",0),2),1), "")</f>
        <v/>
      </c>
      <c r="C1042" s="182"/>
      <c r="F1042" cm="1">
        <f t="array" aca="1" ref="F1042" ca="1">IF(COUNTIF($E$2:$E$2000,INDIRECT("RC[-2]",0))&gt;0,"",INDIRECT("RC[-2]",0))</f>
        <v>0</v>
      </c>
    </row>
    <row r="1043" spans="2:6">
      <c r="B1043" t="str" cm="1">
        <f t="array" aca="1" ref="B1043" ca="1">IFERROR(DATE(RIGHT(INDIRECT("RC[-1]",0),4),LEFT(INDIRECT("RC[-1]",0),2),1), "")</f>
        <v/>
      </c>
      <c r="C1043" s="182"/>
      <c r="F1043" cm="1">
        <f t="array" aca="1" ref="F1043" ca="1">IF(COUNTIF($E$2:$E$2000,INDIRECT("RC[-2]",0))&gt;0,"",INDIRECT("RC[-2]",0))</f>
        <v>0</v>
      </c>
    </row>
    <row r="1044" spans="2:6">
      <c r="B1044" t="str" cm="1">
        <f t="array" aca="1" ref="B1044" ca="1">IFERROR(DATE(RIGHT(INDIRECT("RC[-1]",0),4),LEFT(INDIRECT("RC[-1]",0),2),1), "")</f>
        <v/>
      </c>
      <c r="C1044" s="182"/>
      <c r="F1044" cm="1">
        <f t="array" aca="1" ref="F1044" ca="1">IF(COUNTIF($E$2:$E$2000,INDIRECT("RC[-2]",0))&gt;0,"",INDIRECT("RC[-2]",0))</f>
        <v>0</v>
      </c>
    </row>
    <row r="1045" spans="2:6">
      <c r="B1045" t="str" cm="1">
        <f t="array" aca="1" ref="B1045" ca="1">IFERROR(DATE(RIGHT(INDIRECT("RC[-1]",0),4),LEFT(INDIRECT("RC[-1]",0),2),1), "")</f>
        <v/>
      </c>
      <c r="C1045" s="182"/>
      <c r="F1045" cm="1">
        <f t="array" aca="1" ref="F1045" ca="1">IF(COUNTIF($E$2:$E$2000,INDIRECT("RC[-2]",0))&gt;0,"",INDIRECT("RC[-2]",0))</f>
        <v>0</v>
      </c>
    </row>
    <row r="1046" spans="2:6">
      <c r="B1046" t="str" cm="1">
        <f t="array" aca="1" ref="B1046" ca="1">IFERROR(DATE(RIGHT(INDIRECT("RC[-1]",0),4),LEFT(INDIRECT("RC[-1]",0),2),1), "")</f>
        <v/>
      </c>
      <c r="C1046" s="182"/>
      <c r="F1046" cm="1">
        <f t="array" aca="1" ref="F1046" ca="1">IF(COUNTIF($E$2:$E$2000,INDIRECT("RC[-2]",0))&gt;0,"",INDIRECT("RC[-2]",0))</f>
        <v>0</v>
      </c>
    </row>
    <row r="1047" spans="2:6">
      <c r="B1047" t="str" cm="1">
        <f t="array" aca="1" ref="B1047" ca="1">IFERROR(DATE(RIGHT(INDIRECT("RC[-1]",0),4),LEFT(INDIRECT("RC[-1]",0),2),1), "")</f>
        <v/>
      </c>
      <c r="C1047" s="182"/>
      <c r="F1047" cm="1">
        <f t="array" aca="1" ref="F1047" ca="1">IF(COUNTIF($E$2:$E$2000,INDIRECT("RC[-2]",0))&gt;0,"",INDIRECT("RC[-2]",0))</f>
        <v>0</v>
      </c>
    </row>
    <row r="1048" spans="2:6">
      <c r="B1048" t="str" cm="1">
        <f t="array" aca="1" ref="B1048" ca="1">IFERROR(DATE(RIGHT(INDIRECT("RC[-1]",0),4),LEFT(INDIRECT("RC[-1]",0),2),1), "")</f>
        <v/>
      </c>
      <c r="C1048" s="182"/>
      <c r="F1048" cm="1">
        <f t="array" aca="1" ref="F1048" ca="1">IF(COUNTIF($E$2:$E$2000,INDIRECT("RC[-2]",0))&gt;0,"",INDIRECT("RC[-2]",0))</f>
        <v>0</v>
      </c>
    </row>
    <row r="1049" spans="2:6">
      <c r="B1049" t="str" cm="1">
        <f t="array" aca="1" ref="B1049" ca="1">IFERROR(DATE(RIGHT(INDIRECT("RC[-1]",0),4),LEFT(INDIRECT("RC[-1]",0),2),1), "")</f>
        <v/>
      </c>
      <c r="C1049" s="182"/>
      <c r="F1049" cm="1">
        <f t="array" aca="1" ref="F1049" ca="1">IF(COUNTIF($E$2:$E$2000,INDIRECT("RC[-2]",0))&gt;0,"",INDIRECT("RC[-2]",0))</f>
        <v>0</v>
      </c>
    </row>
    <row r="1050" spans="2:6">
      <c r="B1050" t="str" cm="1">
        <f t="array" aca="1" ref="B1050" ca="1">IFERROR(DATE(RIGHT(INDIRECT("RC[-1]",0),4),LEFT(INDIRECT("RC[-1]",0),2),1), "")</f>
        <v/>
      </c>
      <c r="C1050" s="182"/>
      <c r="F1050" cm="1">
        <f t="array" aca="1" ref="F1050" ca="1">IF(COUNTIF($E$2:$E$2000,INDIRECT("RC[-2]",0))&gt;0,"",INDIRECT("RC[-2]",0))</f>
        <v>0</v>
      </c>
    </row>
    <row r="1051" spans="2:6">
      <c r="B1051" t="str" cm="1">
        <f t="array" aca="1" ref="B1051" ca="1">IFERROR(DATE(RIGHT(INDIRECT("RC[-1]",0),4),LEFT(INDIRECT("RC[-1]",0),2),1), "")</f>
        <v/>
      </c>
      <c r="C1051" s="182"/>
      <c r="F1051" cm="1">
        <f t="array" aca="1" ref="F1051" ca="1">IF(COUNTIF($E$2:$E$2000,INDIRECT("RC[-2]",0))&gt;0,"",INDIRECT("RC[-2]",0))</f>
        <v>0</v>
      </c>
    </row>
    <row r="1052" spans="2:6">
      <c r="B1052" t="str" cm="1">
        <f t="array" aca="1" ref="B1052" ca="1">IFERROR(DATE(RIGHT(INDIRECT("RC[-1]",0),4),LEFT(INDIRECT("RC[-1]",0),2),1), "")</f>
        <v/>
      </c>
      <c r="C1052" s="182"/>
      <c r="F1052" cm="1">
        <f t="array" aca="1" ref="F1052" ca="1">IF(COUNTIF($E$2:$E$2000,INDIRECT("RC[-2]",0))&gt;0,"",INDIRECT("RC[-2]",0))</f>
        <v>0</v>
      </c>
    </row>
    <row r="1053" spans="2:6">
      <c r="B1053" t="str" cm="1">
        <f t="array" aca="1" ref="B1053" ca="1">IFERROR(DATE(RIGHT(INDIRECT("RC[-1]",0),4),LEFT(INDIRECT("RC[-1]",0),2),1), "")</f>
        <v/>
      </c>
      <c r="C1053" s="182"/>
      <c r="F1053" cm="1">
        <f t="array" aca="1" ref="F1053" ca="1">IF(COUNTIF($E$2:$E$2000,INDIRECT("RC[-2]",0))&gt;0,"",INDIRECT("RC[-2]",0))</f>
        <v>0</v>
      </c>
    </row>
    <row r="1054" spans="2:6">
      <c r="B1054" t="str" cm="1">
        <f t="array" aca="1" ref="B1054" ca="1">IFERROR(DATE(RIGHT(INDIRECT("RC[-1]",0),4),LEFT(INDIRECT("RC[-1]",0),2),1), "")</f>
        <v/>
      </c>
      <c r="C1054" s="182"/>
      <c r="F1054" cm="1">
        <f t="array" aca="1" ref="F1054" ca="1">IF(COUNTIF($E$2:$E$2000,INDIRECT("RC[-2]",0))&gt;0,"",INDIRECT("RC[-2]",0))</f>
        <v>0</v>
      </c>
    </row>
    <row r="1055" spans="2:6">
      <c r="B1055" t="str" cm="1">
        <f t="array" aca="1" ref="B1055" ca="1">IFERROR(DATE(RIGHT(INDIRECT("RC[-1]",0),4),LEFT(INDIRECT("RC[-1]",0),2),1), "")</f>
        <v/>
      </c>
      <c r="C1055" s="182"/>
      <c r="F1055" cm="1">
        <f t="array" aca="1" ref="F1055" ca="1">IF(COUNTIF($E$2:$E$2000,INDIRECT("RC[-2]",0))&gt;0,"",INDIRECT("RC[-2]",0))</f>
        <v>0</v>
      </c>
    </row>
    <row r="1056" spans="2:6">
      <c r="B1056" t="str" cm="1">
        <f t="array" aca="1" ref="B1056" ca="1">IFERROR(DATE(RIGHT(INDIRECT("RC[-1]",0),4),LEFT(INDIRECT("RC[-1]",0),2),1), "")</f>
        <v/>
      </c>
      <c r="C1056" s="182"/>
      <c r="F1056" cm="1">
        <f t="array" aca="1" ref="F1056" ca="1">IF(COUNTIF($E$2:$E$2000,INDIRECT("RC[-2]",0))&gt;0,"",INDIRECT("RC[-2]",0))</f>
        <v>0</v>
      </c>
    </row>
    <row r="1057" spans="2:6">
      <c r="B1057" t="str" cm="1">
        <f t="array" aca="1" ref="B1057" ca="1">IFERROR(DATE(RIGHT(INDIRECT("RC[-1]",0),4),LEFT(INDIRECT("RC[-1]",0),2),1), "")</f>
        <v/>
      </c>
      <c r="C1057" s="182"/>
      <c r="F1057" cm="1">
        <f t="array" aca="1" ref="F1057" ca="1">IF(COUNTIF($E$2:$E$2000,INDIRECT("RC[-2]",0))&gt;0,"",INDIRECT("RC[-2]",0))</f>
        <v>0</v>
      </c>
    </row>
    <row r="1058" spans="2:6">
      <c r="B1058" t="str" cm="1">
        <f t="array" aca="1" ref="B1058" ca="1">IFERROR(DATE(RIGHT(INDIRECT("RC[-1]",0),4),LEFT(INDIRECT("RC[-1]",0),2),1), "")</f>
        <v/>
      </c>
      <c r="C1058" s="182"/>
      <c r="F1058" cm="1">
        <f t="array" aca="1" ref="F1058" ca="1">IF(COUNTIF($E$2:$E$2000,INDIRECT("RC[-2]",0))&gt;0,"",INDIRECT("RC[-2]",0))</f>
        <v>0</v>
      </c>
    </row>
    <row r="1059" spans="2:6">
      <c r="B1059" t="str" cm="1">
        <f t="array" aca="1" ref="B1059" ca="1">IFERROR(DATE(RIGHT(INDIRECT("RC[-1]",0),4),LEFT(INDIRECT("RC[-1]",0),2),1), "")</f>
        <v/>
      </c>
      <c r="C1059" s="182"/>
      <c r="F1059" cm="1">
        <f t="array" aca="1" ref="F1059" ca="1">IF(COUNTIF($E$2:$E$2000,INDIRECT("RC[-2]",0))&gt;0,"",INDIRECT("RC[-2]",0))</f>
        <v>0</v>
      </c>
    </row>
    <row r="1060" spans="2:6">
      <c r="B1060" t="str" cm="1">
        <f t="array" aca="1" ref="B1060" ca="1">IFERROR(DATE(RIGHT(INDIRECT("RC[-1]",0),4),LEFT(INDIRECT("RC[-1]",0),2),1), "")</f>
        <v/>
      </c>
      <c r="C1060" s="182"/>
      <c r="F1060" cm="1">
        <f t="array" aca="1" ref="F1060" ca="1">IF(COUNTIF($E$2:$E$2000,INDIRECT("RC[-2]",0))&gt;0,"",INDIRECT("RC[-2]",0))</f>
        <v>0</v>
      </c>
    </row>
    <row r="1061" spans="2:6">
      <c r="B1061" t="str" cm="1">
        <f t="array" aca="1" ref="B1061" ca="1">IFERROR(DATE(RIGHT(INDIRECT("RC[-1]",0),4),LEFT(INDIRECT("RC[-1]",0),2),1), "")</f>
        <v/>
      </c>
      <c r="C1061" s="182"/>
      <c r="F1061" cm="1">
        <f t="array" aca="1" ref="F1061" ca="1">IF(COUNTIF($E$2:$E$2000,INDIRECT("RC[-2]",0))&gt;0,"",INDIRECT("RC[-2]",0))</f>
        <v>0</v>
      </c>
    </row>
    <row r="1062" spans="2:6">
      <c r="B1062" t="str" cm="1">
        <f t="array" aca="1" ref="B1062" ca="1">IFERROR(DATE(RIGHT(INDIRECT("RC[-1]",0),4),LEFT(INDIRECT("RC[-1]",0),2),1), "")</f>
        <v/>
      </c>
      <c r="C1062" s="182"/>
      <c r="F1062" cm="1">
        <f t="array" aca="1" ref="F1062" ca="1">IF(COUNTIF($E$2:$E$2000,INDIRECT("RC[-2]",0))&gt;0,"",INDIRECT("RC[-2]",0))</f>
        <v>0</v>
      </c>
    </row>
    <row r="1063" spans="2:6">
      <c r="B1063" t="str" cm="1">
        <f t="array" aca="1" ref="B1063" ca="1">IFERROR(DATE(RIGHT(INDIRECT("RC[-1]",0),4),LEFT(INDIRECT("RC[-1]",0),2),1), "")</f>
        <v/>
      </c>
      <c r="C1063" s="182"/>
      <c r="F1063" cm="1">
        <f t="array" aca="1" ref="F1063" ca="1">IF(COUNTIF($E$2:$E$2000,INDIRECT("RC[-2]",0))&gt;0,"",INDIRECT("RC[-2]",0))</f>
        <v>0</v>
      </c>
    </row>
    <row r="1064" spans="2:6">
      <c r="B1064" t="str" cm="1">
        <f t="array" aca="1" ref="B1064" ca="1">IFERROR(DATE(RIGHT(INDIRECT("RC[-1]",0),4),LEFT(INDIRECT("RC[-1]",0),2),1), "")</f>
        <v/>
      </c>
      <c r="C1064" s="182"/>
      <c r="F1064" cm="1">
        <f t="array" aca="1" ref="F1064" ca="1">IF(COUNTIF($E$2:$E$2000,INDIRECT("RC[-2]",0))&gt;0,"",INDIRECT("RC[-2]",0))</f>
        <v>0</v>
      </c>
    </row>
    <row r="1065" spans="2:6">
      <c r="B1065" t="str" cm="1">
        <f t="array" aca="1" ref="B1065" ca="1">IFERROR(DATE(RIGHT(INDIRECT("RC[-1]",0),4),LEFT(INDIRECT("RC[-1]",0),2),1), "")</f>
        <v/>
      </c>
      <c r="C1065" s="182"/>
      <c r="F1065" cm="1">
        <f t="array" aca="1" ref="F1065" ca="1">IF(COUNTIF($E$2:$E$2000,INDIRECT("RC[-2]",0))&gt;0,"",INDIRECT("RC[-2]",0))</f>
        <v>0</v>
      </c>
    </row>
    <row r="1066" spans="2:6">
      <c r="B1066" t="str" cm="1">
        <f t="array" aca="1" ref="B1066" ca="1">IFERROR(DATE(RIGHT(INDIRECT("RC[-1]",0),4),LEFT(INDIRECT("RC[-1]",0),2),1), "")</f>
        <v/>
      </c>
      <c r="C1066" s="182"/>
      <c r="F1066" cm="1">
        <f t="array" aca="1" ref="F1066" ca="1">IF(COUNTIF($E$2:$E$2000,INDIRECT("RC[-2]",0))&gt;0,"",INDIRECT("RC[-2]",0))</f>
        <v>0</v>
      </c>
    </row>
    <row r="1067" spans="2:6">
      <c r="B1067" t="str" cm="1">
        <f t="array" aca="1" ref="B1067" ca="1">IFERROR(DATE(RIGHT(INDIRECT("RC[-1]",0),4),LEFT(INDIRECT("RC[-1]",0),2),1), "")</f>
        <v/>
      </c>
      <c r="C1067" s="182"/>
      <c r="F1067" cm="1">
        <f t="array" aca="1" ref="F1067" ca="1">IF(COUNTIF($E$2:$E$2000,INDIRECT("RC[-2]",0))&gt;0,"",INDIRECT("RC[-2]",0))</f>
        <v>0</v>
      </c>
    </row>
    <row r="1068" spans="2:6">
      <c r="B1068" t="str" cm="1">
        <f t="array" aca="1" ref="B1068" ca="1">IFERROR(DATE(RIGHT(INDIRECT("RC[-1]",0),4),LEFT(INDIRECT("RC[-1]",0),2),1), "")</f>
        <v/>
      </c>
      <c r="C1068" s="182"/>
      <c r="F1068" cm="1">
        <f t="array" aca="1" ref="F1068" ca="1">IF(COUNTIF($E$2:$E$2000,INDIRECT("RC[-2]",0))&gt;0,"",INDIRECT("RC[-2]",0))</f>
        <v>0</v>
      </c>
    </row>
    <row r="1069" spans="2:6">
      <c r="B1069" t="str" cm="1">
        <f t="array" aca="1" ref="B1069" ca="1">IFERROR(DATE(RIGHT(INDIRECT("RC[-1]",0),4),LEFT(INDIRECT("RC[-1]",0),2),1), "")</f>
        <v/>
      </c>
      <c r="C1069" s="182"/>
      <c r="F1069" cm="1">
        <f t="array" aca="1" ref="F1069" ca="1">IF(COUNTIF($E$2:$E$2000,INDIRECT("RC[-2]",0))&gt;0,"",INDIRECT("RC[-2]",0))</f>
        <v>0</v>
      </c>
    </row>
    <row r="1070" spans="2:6">
      <c r="B1070" t="str" cm="1">
        <f t="array" aca="1" ref="B1070" ca="1">IFERROR(DATE(RIGHT(INDIRECT("RC[-1]",0),4),LEFT(INDIRECT("RC[-1]",0),2),1), "")</f>
        <v/>
      </c>
      <c r="C1070" s="182"/>
      <c r="F1070" cm="1">
        <f t="array" aca="1" ref="F1070" ca="1">IF(COUNTIF($E$2:$E$2000,INDIRECT("RC[-2]",0))&gt;0,"",INDIRECT("RC[-2]",0))</f>
        <v>0</v>
      </c>
    </row>
    <row r="1071" spans="2:6">
      <c r="B1071" t="str" cm="1">
        <f t="array" aca="1" ref="B1071" ca="1">IFERROR(DATE(RIGHT(INDIRECT("RC[-1]",0),4),LEFT(INDIRECT("RC[-1]",0),2),1), "")</f>
        <v/>
      </c>
      <c r="C1071" s="182"/>
      <c r="F1071" cm="1">
        <f t="array" aca="1" ref="F1071" ca="1">IF(COUNTIF($E$2:$E$2000,INDIRECT("RC[-2]",0))&gt;0,"",INDIRECT("RC[-2]",0))</f>
        <v>0</v>
      </c>
    </row>
    <row r="1072" spans="2:6">
      <c r="B1072" t="str" cm="1">
        <f t="array" aca="1" ref="B1072" ca="1">IFERROR(DATE(RIGHT(INDIRECT("RC[-1]",0),4),LEFT(INDIRECT("RC[-1]",0),2),1), "")</f>
        <v/>
      </c>
      <c r="C1072" s="182"/>
      <c r="F1072" cm="1">
        <f t="array" aca="1" ref="F1072" ca="1">IF(COUNTIF($E$2:$E$2000,INDIRECT("RC[-2]",0))&gt;0,"",INDIRECT("RC[-2]",0))</f>
        <v>0</v>
      </c>
    </row>
    <row r="1073" spans="2:6">
      <c r="B1073" t="str" cm="1">
        <f t="array" aca="1" ref="B1073" ca="1">IFERROR(DATE(RIGHT(INDIRECT("RC[-1]",0),4),LEFT(INDIRECT("RC[-1]",0),2),1), "")</f>
        <v/>
      </c>
      <c r="C1073" s="182"/>
      <c r="F1073" cm="1">
        <f t="array" aca="1" ref="F1073" ca="1">IF(COUNTIF($E$2:$E$2000,INDIRECT("RC[-2]",0))&gt;0,"",INDIRECT("RC[-2]",0))</f>
        <v>0</v>
      </c>
    </row>
    <row r="1074" spans="2:6">
      <c r="B1074" t="str" cm="1">
        <f t="array" aca="1" ref="B1074" ca="1">IFERROR(DATE(RIGHT(INDIRECT("RC[-1]",0),4),LEFT(INDIRECT("RC[-1]",0),2),1), "")</f>
        <v/>
      </c>
      <c r="C1074" s="182"/>
      <c r="F1074" cm="1">
        <f t="array" aca="1" ref="F1074" ca="1">IF(COUNTIF($E$2:$E$2000,INDIRECT("RC[-2]",0))&gt;0,"",INDIRECT("RC[-2]",0))</f>
        <v>0</v>
      </c>
    </row>
    <row r="1075" spans="2:6">
      <c r="B1075" t="str" cm="1">
        <f t="array" aca="1" ref="B1075" ca="1">IFERROR(DATE(RIGHT(INDIRECT("RC[-1]",0),4),LEFT(INDIRECT("RC[-1]",0),2),1), "")</f>
        <v/>
      </c>
      <c r="C1075" s="182"/>
      <c r="F1075" cm="1">
        <f t="array" aca="1" ref="F1075" ca="1">IF(COUNTIF($E$2:$E$2000,INDIRECT("RC[-2]",0))&gt;0,"",INDIRECT("RC[-2]",0))</f>
        <v>0</v>
      </c>
    </row>
    <row r="1076" spans="2:6">
      <c r="B1076" t="str" cm="1">
        <f t="array" aca="1" ref="B1076" ca="1">IFERROR(DATE(RIGHT(INDIRECT("RC[-1]",0),4),LEFT(INDIRECT("RC[-1]",0),2),1), "")</f>
        <v/>
      </c>
      <c r="C1076" s="182"/>
      <c r="F1076" cm="1">
        <f t="array" aca="1" ref="F1076" ca="1">IF(COUNTIF($E$2:$E$2000,INDIRECT("RC[-2]",0))&gt;0,"",INDIRECT("RC[-2]",0))</f>
        <v>0</v>
      </c>
    </row>
    <row r="1077" spans="2:6">
      <c r="B1077" t="str" cm="1">
        <f t="array" aca="1" ref="B1077" ca="1">IFERROR(DATE(RIGHT(INDIRECT("RC[-1]",0),4),LEFT(INDIRECT("RC[-1]",0),2),1), "")</f>
        <v/>
      </c>
      <c r="C1077" s="182"/>
      <c r="F1077" cm="1">
        <f t="array" aca="1" ref="F1077" ca="1">IF(COUNTIF($E$2:$E$2000,INDIRECT("RC[-2]",0))&gt;0,"",INDIRECT("RC[-2]",0))</f>
        <v>0</v>
      </c>
    </row>
    <row r="1078" spans="2:6">
      <c r="B1078" t="str" cm="1">
        <f t="array" aca="1" ref="B1078" ca="1">IFERROR(DATE(RIGHT(INDIRECT("RC[-1]",0),4),LEFT(INDIRECT("RC[-1]",0),2),1), "")</f>
        <v/>
      </c>
      <c r="C1078" s="182"/>
      <c r="F1078" cm="1">
        <f t="array" aca="1" ref="F1078" ca="1">IF(COUNTIF($E$2:$E$2000,INDIRECT("RC[-2]",0))&gt;0,"",INDIRECT("RC[-2]",0))</f>
        <v>0</v>
      </c>
    </row>
    <row r="1079" spans="2:6">
      <c r="B1079" t="str" cm="1">
        <f t="array" aca="1" ref="B1079" ca="1">IFERROR(DATE(RIGHT(INDIRECT("RC[-1]",0),4),LEFT(INDIRECT("RC[-1]",0),2),1), "")</f>
        <v/>
      </c>
      <c r="C1079" s="182"/>
      <c r="F1079" cm="1">
        <f t="array" aca="1" ref="F1079" ca="1">IF(COUNTIF($E$2:$E$2000,INDIRECT("RC[-2]",0))&gt;0,"",INDIRECT("RC[-2]",0))</f>
        <v>0</v>
      </c>
    </row>
    <row r="1080" spans="2:6">
      <c r="B1080" t="str" cm="1">
        <f t="array" aca="1" ref="B1080" ca="1">IFERROR(DATE(RIGHT(INDIRECT("RC[-1]",0),4),LEFT(INDIRECT("RC[-1]",0),2),1), "")</f>
        <v/>
      </c>
      <c r="C1080" s="182"/>
      <c r="F1080" cm="1">
        <f t="array" aca="1" ref="F1080" ca="1">IF(COUNTIF($E$2:$E$2000,INDIRECT("RC[-2]",0))&gt;0,"",INDIRECT("RC[-2]",0))</f>
        <v>0</v>
      </c>
    </row>
    <row r="1081" spans="2:6">
      <c r="B1081" t="str" cm="1">
        <f t="array" aca="1" ref="B1081" ca="1">IFERROR(DATE(RIGHT(INDIRECT("RC[-1]",0),4),LEFT(INDIRECT("RC[-1]",0),2),1), "")</f>
        <v/>
      </c>
      <c r="C1081" s="182"/>
      <c r="F1081" cm="1">
        <f t="array" aca="1" ref="F1081" ca="1">IF(COUNTIF($E$2:$E$2000,INDIRECT("RC[-2]",0))&gt;0,"",INDIRECT("RC[-2]",0))</f>
        <v>0</v>
      </c>
    </row>
    <row r="1082" spans="2:6">
      <c r="B1082" t="str" cm="1">
        <f t="array" aca="1" ref="B1082" ca="1">IFERROR(DATE(RIGHT(INDIRECT("RC[-1]",0),4),LEFT(INDIRECT("RC[-1]",0),2),1), "")</f>
        <v/>
      </c>
      <c r="C1082" s="182"/>
      <c r="F1082" cm="1">
        <f t="array" aca="1" ref="F1082" ca="1">IF(COUNTIF($E$2:$E$2000,INDIRECT("RC[-2]",0))&gt;0,"",INDIRECT("RC[-2]",0))</f>
        <v>0</v>
      </c>
    </row>
    <row r="1083" spans="2:6">
      <c r="B1083" t="str" cm="1">
        <f t="array" aca="1" ref="B1083" ca="1">IFERROR(DATE(RIGHT(INDIRECT("RC[-1]",0),4),LEFT(INDIRECT("RC[-1]",0),2),1), "")</f>
        <v/>
      </c>
      <c r="C1083" s="182"/>
      <c r="F1083" cm="1">
        <f t="array" aca="1" ref="F1083" ca="1">IF(COUNTIF($E$2:$E$2000,INDIRECT("RC[-2]",0))&gt;0,"",INDIRECT("RC[-2]",0))</f>
        <v>0</v>
      </c>
    </row>
    <row r="1084" spans="2:6">
      <c r="B1084" t="str" cm="1">
        <f t="array" aca="1" ref="B1084" ca="1">IFERROR(DATE(RIGHT(INDIRECT("RC[-1]",0),4),LEFT(INDIRECT("RC[-1]",0),2),1), "")</f>
        <v/>
      </c>
      <c r="C1084" s="182"/>
      <c r="F1084" cm="1">
        <f t="array" aca="1" ref="F1084" ca="1">IF(COUNTIF($E$2:$E$2000,INDIRECT("RC[-2]",0))&gt;0,"",INDIRECT("RC[-2]",0))</f>
        <v>0</v>
      </c>
    </row>
    <row r="1085" spans="2:6">
      <c r="B1085" t="str" cm="1">
        <f t="array" aca="1" ref="B1085" ca="1">IFERROR(DATE(RIGHT(INDIRECT("RC[-1]",0),4),LEFT(INDIRECT("RC[-1]",0),2),1), "")</f>
        <v/>
      </c>
      <c r="C1085" s="182"/>
      <c r="F1085" cm="1">
        <f t="array" aca="1" ref="F1085" ca="1">IF(COUNTIF($E$2:$E$2000,INDIRECT("RC[-2]",0))&gt;0,"",INDIRECT("RC[-2]",0))</f>
        <v>0</v>
      </c>
    </row>
    <row r="1086" spans="2:6">
      <c r="B1086" t="str" cm="1">
        <f t="array" aca="1" ref="B1086" ca="1">IFERROR(DATE(RIGHT(INDIRECT("RC[-1]",0),4),LEFT(INDIRECT("RC[-1]",0),2),1), "")</f>
        <v/>
      </c>
      <c r="C1086" s="182"/>
      <c r="F1086" cm="1">
        <f t="array" aca="1" ref="F1086" ca="1">IF(COUNTIF($E$2:$E$2000,INDIRECT("RC[-2]",0))&gt;0,"",INDIRECT("RC[-2]",0))</f>
        <v>0</v>
      </c>
    </row>
    <row r="1087" spans="2:6">
      <c r="B1087" t="str" cm="1">
        <f t="array" aca="1" ref="B1087" ca="1">IFERROR(DATE(RIGHT(INDIRECT("RC[-1]",0),4),LEFT(INDIRECT("RC[-1]",0),2),1), "")</f>
        <v/>
      </c>
      <c r="C1087" s="182"/>
      <c r="F1087" cm="1">
        <f t="array" aca="1" ref="F1087" ca="1">IF(COUNTIF($E$2:$E$2000,INDIRECT("RC[-2]",0))&gt;0,"",INDIRECT("RC[-2]",0))</f>
        <v>0</v>
      </c>
    </row>
    <row r="1088" spans="2:6">
      <c r="B1088" t="str" cm="1">
        <f t="array" aca="1" ref="B1088" ca="1">IFERROR(DATE(RIGHT(INDIRECT("RC[-1]",0),4),LEFT(INDIRECT("RC[-1]",0),2),1), "")</f>
        <v/>
      </c>
      <c r="C1088" s="182"/>
      <c r="F1088" cm="1">
        <f t="array" aca="1" ref="F1088" ca="1">IF(COUNTIF($E$2:$E$2000,INDIRECT("RC[-2]",0))&gt;0,"",INDIRECT("RC[-2]",0))</f>
        <v>0</v>
      </c>
    </row>
    <row r="1089" spans="2:6">
      <c r="B1089" t="str" cm="1">
        <f t="array" aca="1" ref="B1089" ca="1">IFERROR(DATE(RIGHT(INDIRECT("RC[-1]",0),4),LEFT(INDIRECT("RC[-1]",0),2),1), "")</f>
        <v/>
      </c>
      <c r="C1089" s="182"/>
      <c r="F1089" cm="1">
        <f t="array" aca="1" ref="F1089" ca="1">IF(COUNTIF($E$2:$E$2000,INDIRECT("RC[-2]",0))&gt;0,"",INDIRECT("RC[-2]",0))</f>
        <v>0</v>
      </c>
    </row>
    <row r="1090" spans="2:6">
      <c r="B1090" t="str" cm="1">
        <f t="array" aca="1" ref="B1090" ca="1">IFERROR(DATE(RIGHT(INDIRECT("RC[-1]",0),4),LEFT(INDIRECT("RC[-1]",0),2),1), "")</f>
        <v/>
      </c>
      <c r="C1090" s="182"/>
      <c r="F1090" cm="1">
        <f t="array" aca="1" ref="F1090" ca="1">IF(COUNTIF($E$2:$E$2000,INDIRECT("RC[-2]",0))&gt;0,"",INDIRECT("RC[-2]",0))</f>
        <v>0</v>
      </c>
    </row>
    <row r="1091" spans="2:6">
      <c r="B1091" t="str" cm="1">
        <f t="array" aca="1" ref="B1091" ca="1">IFERROR(DATE(RIGHT(INDIRECT("RC[-1]",0),4),LEFT(INDIRECT("RC[-1]",0),2),1), "")</f>
        <v/>
      </c>
      <c r="C1091" s="182"/>
      <c r="F1091" cm="1">
        <f t="array" aca="1" ref="F1091" ca="1">IF(COUNTIF($E$2:$E$2000,INDIRECT("RC[-2]",0))&gt;0,"",INDIRECT("RC[-2]",0))</f>
        <v>0</v>
      </c>
    </row>
    <row r="1092" spans="2:6">
      <c r="B1092" t="str" cm="1">
        <f t="array" aca="1" ref="B1092" ca="1">IFERROR(DATE(RIGHT(INDIRECT("RC[-1]",0),4),LEFT(INDIRECT("RC[-1]",0),2),1), "")</f>
        <v/>
      </c>
      <c r="C1092" s="182"/>
      <c r="F1092" cm="1">
        <f t="array" aca="1" ref="F1092" ca="1">IF(COUNTIF($E$2:$E$2000,INDIRECT("RC[-2]",0))&gt;0,"",INDIRECT("RC[-2]",0))</f>
        <v>0</v>
      </c>
    </row>
    <row r="1093" spans="2:6">
      <c r="B1093" t="str" cm="1">
        <f t="array" aca="1" ref="B1093" ca="1">IFERROR(DATE(RIGHT(INDIRECT("RC[-1]",0),4),LEFT(INDIRECT("RC[-1]",0),2),1), "")</f>
        <v/>
      </c>
      <c r="C1093" s="182"/>
      <c r="F1093" cm="1">
        <f t="array" aca="1" ref="F1093" ca="1">IF(COUNTIF($E$2:$E$2000,INDIRECT("RC[-2]",0))&gt;0,"",INDIRECT("RC[-2]",0))</f>
        <v>0</v>
      </c>
    </row>
    <row r="1094" spans="2:6">
      <c r="B1094" t="str" cm="1">
        <f t="array" aca="1" ref="B1094" ca="1">IFERROR(DATE(RIGHT(INDIRECT("RC[-1]",0),4),LEFT(INDIRECT("RC[-1]",0),2),1), "")</f>
        <v/>
      </c>
      <c r="C1094" s="182"/>
      <c r="F1094" cm="1">
        <f t="array" aca="1" ref="F1094" ca="1">IF(COUNTIF($E$2:$E$2000,INDIRECT("RC[-2]",0))&gt;0,"",INDIRECT("RC[-2]",0))</f>
        <v>0</v>
      </c>
    </row>
    <row r="1095" spans="2:6">
      <c r="B1095" t="str" cm="1">
        <f t="array" aca="1" ref="B1095" ca="1">IFERROR(DATE(RIGHT(INDIRECT("RC[-1]",0),4),LEFT(INDIRECT("RC[-1]",0),2),1), "")</f>
        <v/>
      </c>
      <c r="C1095" s="182"/>
      <c r="F1095" cm="1">
        <f t="array" aca="1" ref="F1095" ca="1">IF(COUNTIF($E$2:$E$2000,INDIRECT("RC[-2]",0))&gt;0,"",INDIRECT("RC[-2]",0))</f>
        <v>0</v>
      </c>
    </row>
    <row r="1096" spans="2:6">
      <c r="B1096" t="str" cm="1">
        <f t="array" aca="1" ref="B1096" ca="1">IFERROR(DATE(RIGHT(INDIRECT("RC[-1]",0),4),LEFT(INDIRECT("RC[-1]",0),2),1), "")</f>
        <v/>
      </c>
      <c r="C1096" s="182"/>
      <c r="F1096" cm="1">
        <f t="array" aca="1" ref="F1096" ca="1">IF(COUNTIF($E$2:$E$2000,INDIRECT("RC[-2]",0))&gt;0,"",INDIRECT("RC[-2]",0))</f>
        <v>0</v>
      </c>
    </row>
    <row r="1097" spans="2:6">
      <c r="B1097" t="str" cm="1">
        <f t="array" aca="1" ref="B1097" ca="1">IFERROR(DATE(RIGHT(INDIRECT("RC[-1]",0),4),LEFT(INDIRECT("RC[-1]",0),2),1), "")</f>
        <v/>
      </c>
      <c r="C1097" s="182"/>
      <c r="F1097" cm="1">
        <f t="array" aca="1" ref="F1097" ca="1">IF(COUNTIF($E$2:$E$2000,INDIRECT("RC[-2]",0))&gt;0,"",INDIRECT("RC[-2]",0))</f>
        <v>0</v>
      </c>
    </row>
    <row r="1098" spans="2:6">
      <c r="B1098" t="str" cm="1">
        <f t="array" aca="1" ref="B1098" ca="1">IFERROR(DATE(RIGHT(INDIRECT("RC[-1]",0),4),LEFT(INDIRECT("RC[-1]",0),2),1), "")</f>
        <v/>
      </c>
      <c r="C1098" s="182"/>
      <c r="F1098" cm="1">
        <f t="array" aca="1" ref="F1098" ca="1">IF(COUNTIF($E$2:$E$2000,INDIRECT("RC[-2]",0))&gt;0,"",INDIRECT("RC[-2]",0))</f>
        <v>0</v>
      </c>
    </row>
    <row r="1099" spans="2:6">
      <c r="B1099" t="str" cm="1">
        <f t="array" aca="1" ref="B1099" ca="1">IFERROR(DATE(RIGHT(INDIRECT("RC[-1]",0),4),LEFT(INDIRECT("RC[-1]",0),2),1), "")</f>
        <v/>
      </c>
      <c r="C1099" s="182"/>
      <c r="F1099" cm="1">
        <f t="array" aca="1" ref="F1099" ca="1">IF(COUNTIF($E$2:$E$2000,INDIRECT("RC[-2]",0))&gt;0,"",INDIRECT("RC[-2]",0))</f>
        <v>0</v>
      </c>
    </row>
    <row r="1100" spans="2:6">
      <c r="B1100" t="str" cm="1">
        <f t="array" aca="1" ref="B1100" ca="1">IFERROR(DATE(RIGHT(INDIRECT("RC[-1]",0),4),LEFT(INDIRECT("RC[-1]",0),2),1), "")</f>
        <v/>
      </c>
      <c r="C1100" s="182"/>
      <c r="F1100" cm="1">
        <f t="array" aca="1" ref="F1100" ca="1">IF(COUNTIF($E$2:$E$2000,INDIRECT("RC[-2]",0))&gt;0,"",INDIRECT("RC[-2]",0))</f>
        <v>0</v>
      </c>
    </row>
    <row r="1101" spans="2:6">
      <c r="B1101" t="str" cm="1">
        <f t="array" aca="1" ref="B1101" ca="1">IFERROR(DATE(RIGHT(INDIRECT("RC[-1]",0),4),LEFT(INDIRECT("RC[-1]",0),2),1), "")</f>
        <v/>
      </c>
      <c r="C1101" s="182"/>
      <c r="F1101" cm="1">
        <f t="array" aca="1" ref="F1101" ca="1">IF(COUNTIF($E$2:$E$2000,INDIRECT("RC[-2]",0))&gt;0,"",INDIRECT("RC[-2]",0))</f>
        <v>0</v>
      </c>
    </row>
    <row r="1102" spans="2:6">
      <c r="B1102" t="str" cm="1">
        <f t="array" aca="1" ref="B1102" ca="1">IFERROR(DATE(RIGHT(INDIRECT("RC[-1]",0),4),LEFT(INDIRECT("RC[-1]",0),2),1), "")</f>
        <v/>
      </c>
      <c r="C1102" s="182"/>
      <c r="F1102" cm="1">
        <f t="array" aca="1" ref="F1102" ca="1">IF(COUNTIF($E$2:$E$2000,INDIRECT("RC[-2]",0))&gt;0,"",INDIRECT("RC[-2]",0))</f>
        <v>0</v>
      </c>
    </row>
    <row r="1103" spans="2:6">
      <c r="B1103" t="str" cm="1">
        <f t="array" aca="1" ref="B1103" ca="1">IFERROR(DATE(RIGHT(INDIRECT("RC[-1]",0),4),LEFT(INDIRECT("RC[-1]",0),2),1), "")</f>
        <v/>
      </c>
      <c r="C1103" s="182"/>
      <c r="F1103" cm="1">
        <f t="array" aca="1" ref="F1103" ca="1">IF(COUNTIF($E$2:$E$2000,INDIRECT("RC[-2]",0))&gt;0,"",INDIRECT("RC[-2]",0))</f>
        <v>0</v>
      </c>
    </row>
    <row r="1104" spans="2:6">
      <c r="B1104" t="str" cm="1">
        <f t="array" aca="1" ref="B1104" ca="1">IFERROR(DATE(RIGHT(INDIRECT("RC[-1]",0),4),LEFT(INDIRECT("RC[-1]",0),2),1), "")</f>
        <v/>
      </c>
      <c r="C1104" s="182"/>
      <c r="F1104" cm="1">
        <f t="array" aca="1" ref="F1104" ca="1">IF(COUNTIF($E$2:$E$2000,INDIRECT("RC[-2]",0))&gt;0,"",INDIRECT("RC[-2]",0))</f>
        <v>0</v>
      </c>
    </row>
    <row r="1105" spans="2:6">
      <c r="B1105" t="str" cm="1">
        <f t="array" aca="1" ref="B1105" ca="1">IFERROR(DATE(RIGHT(INDIRECT("RC[-1]",0),4),LEFT(INDIRECT("RC[-1]",0),2),1), "")</f>
        <v/>
      </c>
      <c r="C1105" s="182"/>
      <c r="F1105" cm="1">
        <f t="array" aca="1" ref="F1105" ca="1">IF(COUNTIF($E$2:$E$2000,INDIRECT("RC[-2]",0))&gt;0,"",INDIRECT("RC[-2]",0))</f>
        <v>0</v>
      </c>
    </row>
    <row r="1106" spans="2:6">
      <c r="B1106" t="str" cm="1">
        <f t="array" aca="1" ref="B1106" ca="1">IFERROR(DATE(RIGHT(INDIRECT("RC[-1]",0),4),LEFT(INDIRECT("RC[-1]",0),2),1), "")</f>
        <v/>
      </c>
      <c r="C1106" s="182"/>
      <c r="F1106" cm="1">
        <f t="array" aca="1" ref="F1106" ca="1">IF(COUNTIF($E$2:$E$2000,INDIRECT("RC[-2]",0))&gt;0,"",INDIRECT("RC[-2]",0))</f>
        <v>0</v>
      </c>
    </row>
    <row r="1107" spans="2:6">
      <c r="B1107" t="str" cm="1">
        <f t="array" aca="1" ref="B1107" ca="1">IFERROR(DATE(RIGHT(INDIRECT("RC[-1]",0),4),LEFT(INDIRECT("RC[-1]",0),2),1), "")</f>
        <v/>
      </c>
      <c r="C1107" s="182"/>
      <c r="F1107" cm="1">
        <f t="array" aca="1" ref="F1107" ca="1">IF(COUNTIF($E$2:$E$2000,INDIRECT("RC[-2]",0))&gt;0,"",INDIRECT("RC[-2]",0))</f>
        <v>0</v>
      </c>
    </row>
    <row r="1108" spans="2:6">
      <c r="B1108" t="str" cm="1">
        <f t="array" aca="1" ref="B1108" ca="1">IFERROR(DATE(RIGHT(INDIRECT("RC[-1]",0),4),LEFT(INDIRECT("RC[-1]",0),2),1), "")</f>
        <v/>
      </c>
      <c r="C1108" s="182"/>
      <c r="F1108" cm="1">
        <f t="array" aca="1" ref="F1108" ca="1">IF(COUNTIF($E$2:$E$2000,INDIRECT("RC[-2]",0))&gt;0,"",INDIRECT("RC[-2]",0))</f>
        <v>0</v>
      </c>
    </row>
    <row r="1109" spans="2:6">
      <c r="B1109" t="str" cm="1">
        <f t="array" aca="1" ref="B1109" ca="1">IFERROR(DATE(RIGHT(INDIRECT("RC[-1]",0),4),LEFT(INDIRECT("RC[-1]",0),2),1), "")</f>
        <v/>
      </c>
      <c r="C1109" s="182"/>
      <c r="F1109" cm="1">
        <f t="array" aca="1" ref="F1109" ca="1">IF(COUNTIF($E$2:$E$2000,INDIRECT("RC[-2]",0))&gt;0,"",INDIRECT("RC[-2]",0))</f>
        <v>0</v>
      </c>
    </row>
    <row r="1110" spans="2:6">
      <c r="B1110" t="str" cm="1">
        <f t="array" aca="1" ref="B1110" ca="1">IFERROR(DATE(RIGHT(INDIRECT("RC[-1]",0),4),LEFT(INDIRECT("RC[-1]",0),2),1), "")</f>
        <v/>
      </c>
      <c r="C1110" s="182"/>
      <c r="F1110" cm="1">
        <f t="array" aca="1" ref="F1110" ca="1">IF(COUNTIF($E$2:$E$2000,INDIRECT("RC[-2]",0))&gt;0,"",INDIRECT("RC[-2]",0))</f>
        <v>0</v>
      </c>
    </row>
    <row r="1111" spans="2:6">
      <c r="B1111" t="str" cm="1">
        <f t="array" aca="1" ref="B1111" ca="1">IFERROR(DATE(RIGHT(INDIRECT("RC[-1]",0),4),LEFT(INDIRECT("RC[-1]",0),2),1), "")</f>
        <v/>
      </c>
      <c r="C1111" s="182"/>
      <c r="F1111" cm="1">
        <f t="array" aca="1" ref="F1111" ca="1">IF(COUNTIF($E$2:$E$2000,INDIRECT("RC[-2]",0))&gt;0,"",INDIRECT("RC[-2]",0))</f>
        <v>0</v>
      </c>
    </row>
    <row r="1112" spans="2:6">
      <c r="B1112" t="str" cm="1">
        <f t="array" aca="1" ref="B1112" ca="1">IFERROR(DATE(RIGHT(INDIRECT("RC[-1]",0),4),LEFT(INDIRECT("RC[-1]",0),2),1), "")</f>
        <v/>
      </c>
      <c r="C1112" s="182"/>
      <c r="F1112" cm="1">
        <f t="array" aca="1" ref="F1112" ca="1">IF(COUNTIF($E$2:$E$2000,INDIRECT("RC[-2]",0))&gt;0,"",INDIRECT("RC[-2]",0))</f>
        <v>0</v>
      </c>
    </row>
    <row r="1113" spans="2:6">
      <c r="B1113" t="str" cm="1">
        <f t="array" aca="1" ref="B1113" ca="1">IFERROR(DATE(RIGHT(INDIRECT("RC[-1]",0),4),LEFT(INDIRECT("RC[-1]",0),2),1), "")</f>
        <v/>
      </c>
      <c r="C1113" s="182"/>
      <c r="F1113" cm="1">
        <f t="array" aca="1" ref="F1113" ca="1">IF(COUNTIF($E$2:$E$2000,INDIRECT("RC[-2]",0))&gt;0,"",INDIRECT("RC[-2]",0))</f>
        <v>0</v>
      </c>
    </row>
    <row r="1114" spans="2:6">
      <c r="B1114" t="str" cm="1">
        <f t="array" aca="1" ref="B1114" ca="1">IFERROR(DATE(RIGHT(INDIRECT("RC[-1]",0),4),LEFT(INDIRECT("RC[-1]",0),2),1), "")</f>
        <v/>
      </c>
      <c r="C1114" s="182"/>
      <c r="F1114" cm="1">
        <f t="array" aca="1" ref="F1114" ca="1">IF(COUNTIF($E$2:$E$2000,INDIRECT("RC[-2]",0))&gt;0,"",INDIRECT("RC[-2]",0))</f>
        <v>0</v>
      </c>
    </row>
    <row r="1115" spans="2:6">
      <c r="B1115" t="str" cm="1">
        <f t="array" aca="1" ref="B1115" ca="1">IFERROR(DATE(RIGHT(INDIRECT("RC[-1]",0),4),LEFT(INDIRECT("RC[-1]",0),2),1), "")</f>
        <v/>
      </c>
      <c r="C1115" s="182"/>
      <c r="F1115" cm="1">
        <f t="array" aca="1" ref="F1115" ca="1">IF(COUNTIF($E$2:$E$2000,INDIRECT("RC[-2]",0))&gt;0,"",INDIRECT("RC[-2]",0))</f>
        <v>0</v>
      </c>
    </row>
    <row r="1116" spans="2:6">
      <c r="B1116" t="str" cm="1">
        <f t="array" aca="1" ref="B1116" ca="1">IFERROR(DATE(RIGHT(INDIRECT("RC[-1]",0),4),LEFT(INDIRECT("RC[-1]",0),2),1), "")</f>
        <v/>
      </c>
      <c r="C1116" s="182"/>
      <c r="F1116" cm="1">
        <f t="array" aca="1" ref="F1116" ca="1">IF(COUNTIF($E$2:$E$2000,INDIRECT("RC[-2]",0))&gt;0,"",INDIRECT("RC[-2]",0))</f>
        <v>0</v>
      </c>
    </row>
    <row r="1117" spans="2:6">
      <c r="B1117" t="str" cm="1">
        <f t="array" aca="1" ref="B1117" ca="1">IFERROR(DATE(RIGHT(INDIRECT("RC[-1]",0),4),LEFT(INDIRECT("RC[-1]",0),2),1), "")</f>
        <v/>
      </c>
      <c r="C1117" s="182"/>
      <c r="F1117" cm="1">
        <f t="array" aca="1" ref="F1117" ca="1">IF(COUNTIF($E$2:$E$2000,INDIRECT("RC[-2]",0))&gt;0,"",INDIRECT("RC[-2]",0))</f>
        <v>0</v>
      </c>
    </row>
    <row r="1118" spans="2:6">
      <c r="B1118" t="str" cm="1">
        <f t="array" aca="1" ref="B1118" ca="1">IFERROR(DATE(RIGHT(INDIRECT("RC[-1]",0),4),LEFT(INDIRECT("RC[-1]",0),2),1), "")</f>
        <v/>
      </c>
      <c r="C1118" s="182"/>
      <c r="F1118" cm="1">
        <f t="array" aca="1" ref="F1118" ca="1">IF(COUNTIF($E$2:$E$2000,INDIRECT("RC[-2]",0))&gt;0,"",INDIRECT("RC[-2]",0))</f>
        <v>0</v>
      </c>
    </row>
    <row r="1119" spans="2:6">
      <c r="B1119" t="str" cm="1">
        <f t="array" aca="1" ref="B1119" ca="1">IFERROR(DATE(RIGHT(INDIRECT("RC[-1]",0),4),LEFT(INDIRECT("RC[-1]",0),2),1), "")</f>
        <v/>
      </c>
      <c r="C1119" s="182"/>
      <c r="F1119" cm="1">
        <f t="array" aca="1" ref="F1119" ca="1">IF(COUNTIF($E$2:$E$2000,INDIRECT("RC[-2]",0))&gt;0,"",INDIRECT("RC[-2]",0))</f>
        <v>0</v>
      </c>
    </row>
    <row r="1120" spans="2:6">
      <c r="B1120" t="str" cm="1">
        <f t="array" aca="1" ref="B1120" ca="1">IFERROR(DATE(RIGHT(INDIRECT("RC[-1]",0),4),LEFT(INDIRECT("RC[-1]",0),2),1), "")</f>
        <v/>
      </c>
      <c r="C1120" s="182"/>
      <c r="F1120" cm="1">
        <f t="array" aca="1" ref="F1120" ca="1">IF(COUNTIF($E$2:$E$2000,INDIRECT("RC[-2]",0))&gt;0,"",INDIRECT("RC[-2]",0))</f>
        <v>0</v>
      </c>
    </row>
    <row r="1121" spans="2:6">
      <c r="B1121" t="str" cm="1">
        <f t="array" aca="1" ref="B1121" ca="1">IFERROR(DATE(RIGHT(INDIRECT("RC[-1]",0),4),LEFT(INDIRECT("RC[-1]",0),2),1), "")</f>
        <v/>
      </c>
      <c r="C1121" s="182"/>
      <c r="F1121" cm="1">
        <f t="array" aca="1" ref="F1121" ca="1">IF(COUNTIF($E$2:$E$2000,INDIRECT("RC[-2]",0))&gt;0,"",INDIRECT("RC[-2]",0))</f>
        <v>0</v>
      </c>
    </row>
    <row r="1122" spans="2:6">
      <c r="B1122" t="str" cm="1">
        <f t="array" aca="1" ref="B1122" ca="1">IFERROR(DATE(RIGHT(INDIRECT("RC[-1]",0),4),LEFT(INDIRECT("RC[-1]",0),2),1), "")</f>
        <v/>
      </c>
      <c r="C1122" s="182"/>
      <c r="F1122" cm="1">
        <f t="array" aca="1" ref="F1122" ca="1">IF(COUNTIF($E$2:$E$2000,INDIRECT("RC[-2]",0))&gt;0,"",INDIRECT("RC[-2]",0))</f>
        <v>0</v>
      </c>
    </row>
    <row r="1123" spans="2:6">
      <c r="B1123" t="str" cm="1">
        <f t="array" aca="1" ref="B1123" ca="1">IFERROR(DATE(RIGHT(INDIRECT("RC[-1]",0),4),LEFT(INDIRECT("RC[-1]",0),2),1), "")</f>
        <v/>
      </c>
      <c r="C1123" s="182"/>
      <c r="F1123" cm="1">
        <f t="array" aca="1" ref="F1123" ca="1">IF(COUNTIF($E$2:$E$2000,INDIRECT("RC[-2]",0))&gt;0,"",INDIRECT("RC[-2]",0))</f>
        <v>0</v>
      </c>
    </row>
    <row r="1124" spans="2:6">
      <c r="B1124" t="str" cm="1">
        <f t="array" aca="1" ref="B1124" ca="1">IFERROR(DATE(RIGHT(INDIRECT("RC[-1]",0),4),LEFT(INDIRECT("RC[-1]",0),2),1), "")</f>
        <v/>
      </c>
      <c r="C1124" s="182"/>
      <c r="F1124" cm="1">
        <f t="array" aca="1" ref="F1124" ca="1">IF(COUNTIF($E$2:$E$2000,INDIRECT("RC[-2]",0))&gt;0,"",INDIRECT("RC[-2]",0))</f>
        <v>0</v>
      </c>
    </row>
    <row r="1125" spans="2:6">
      <c r="B1125" t="str" cm="1">
        <f t="array" aca="1" ref="B1125" ca="1">IFERROR(DATE(RIGHT(INDIRECT("RC[-1]",0),4),LEFT(INDIRECT("RC[-1]",0),2),1), "")</f>
        <v/>
      </c>
      <c r="C1125" s="182"/>
      <c r="F1125" cm="1">
        <f t="array" aca="1" ref="F1125" ca="1">IF(COUNTIF($E$2:$E$2000,INDIRECT("RC[-2]",0))&gt;0,"",INDIRECT("RC[-2]",0))</f>
        <v>0</v>
      </c>
    </row>
    <row r="1126" spans="2:6">
      <c r="B1126" t="str" cm="1">
        <f t="array" aca="1" ref="B1126" ca="1">IFERROR(DATE(RIGHT(INDIRECT("RC[-1]",0),4),LEFT(INDIRECT("RC[-1]",0),2),1), "")</f>
        <v/>
      </c>
      <c r="C1126" s="182"/>
      <c r="F1126" cm="1">
        <f t="array" aca="1" ref="F1126" ca="1">IF(COUNTIF($E$2:$E$2000,INDIRECT("RC[-2]",0))&gt;0,"",INDIRECT("RC[-2]",0))</f>
        <v>0</v>
      </c>
    </row>
    <row r="1127" spans="2:6">
      <c r="B1127" t="str" cm="1">
        <f t="array" aca="1" ref="B1127" ca="1">IFERROR(DATE(RIGHT(INDIRECT("RC[-1]",0),4),LEFT(INDIRECT("RC[-1]",0),2),1), "")</f>
        <v/>
      </c>
      <c r="C1127" s="182"/>
      <c r="F1127" cm="1">
        <f t="array" aca="1" ref="F1127" ca="1">IF(COUNTIF($E$2:$E$2000,INDIRECT("RC[-2]",0))&gt;0,"",INDIRECT("RC[-2]",0))</f>
        <v>0</v>
      </c>
    </row>
    <row r="1128" spans="2:6">
      <c r="B1128" t="str" cm="1">
        <f t="array" aca="1" ref="B1128" ca="1">IFERROR(DATE(RIGHT(INDIRECT("RC[-1]",0),4),LEFT(INDIRECT("RC[-1]",0),2),1), "")</f>
        <v/>
      </c>
      <c r="C1128" s="182"/>
      <c r="F1128" cm="1">
        <f t="array" aca="1" ref="F1128" ca="1">IF(COUNTIF($E$2:$E$2000,INDIRECT("RC[-2]",0))&gt;0,"",INDIRECT("RC[-2]",0))</f>
        <v>0</v>
      </c>
    </row>
    <row r="1129" spans="2:6">
      <c r="B1129" t="str" cm="1">
        <f t="array" aca="1" ref="B1129" ca="1">IFERROR(DATE(RIGHT(INDIRECT("RC[-1]",0),4),LEFT(INDIRECT("RC[-1]",0),2),1), "")</f>
        <v/>
      </c>
      <c r="C1129" s="182"/>
      <c r="F1129" cm="1">
        <f t="array" aca="1" ref="F1129" ca="1">IF(COUNTIF($E$2:$E$2000,INDIRECT("RC[-2]",0))&gt;0,"",INDIRECT("RC[-2]",0))</f>
        <v>0</v>
      </c>
    </row>
    <row r="1130" spans="2:6">
      <c r="B1130" t="str" cm="1">
        <f t="array" aca="1" ref="B1130" ca="1">IFERROR(DATE(RIGHT(INDIRECT("RC[-1]",0),4),LEFT(INDIRECT("RC[-1]",0),2),1), "")</f>
        <v/>
      </c>
      <c r="C1130" s="182"/>
      <c r="F1130" cm="1">
        <f t="array" aca="1" ref="F1130" ca="1">IF(COUNTIF($E$2:$E$2000,INDIRECT("RC[-2]",0))&gt;0,"",INDIRECT("RC[-2]",0))</f>
        <v>0</v>
      </c>
    </row>
    <row r="1131" spans="2:6">
      <c r="B1131" t="str" cm="1">
        <f t="array" aca="1" ref="B1131" ca="1">IFERROR(DATE(RIGHT(INDIRECT("RC[-1]",0),4),LEFT(INDIRECT("RC[-1]",0),2),1), "")</f>
        <v/>
      </c>
      <c r="C1131" s="182"/>
      <c r="F1131" cm="1">
        <f t="array" aca="1" ref="F1131" ca="1">IF(COUNTIF($E$2:$E$2000,INDIRECT("RC[-2]",0))&gt;0,"",INDIRECT("RC[-2]",0))</f>
        <v>0</v>
      </c>
    </row>
    <row r="1132" spans="2:6">
      <c r="B1132" t="str" cm="1">
        <f t="array" aca="1" ref="B1132" ca="1">IFERROR(DATE(RIGHT(INDIRECT("RC[-1]",0),4),LEFT(INDIRECT("RC[-1]",0),2),1), "")</f>
        <v/>
      </c>
      <c r="C1132" s="182"/>
      <c r="F1132" cm="1">
        <f t="array" aca="1" ref="F1132" ca="1">IF(COUNTIF($E$2:$E$2000,INDIRECT("RC[-2]",0))&gt;0,"",INDIRECT("RC[-2]",0))</f>
        <v>0</v>
      </c>
    </row>
    <row r="1133" spans="2:6">
      <c r="B1133" t="str" cm="1">
        <f t="array" aca="1" ref="B1133" ca="1">IFERROR(DATE(RIGHT(INDIRECT("RC[-1]",0),4),LEFT(INDIRECT("RC[-1]",0),2),1), "")</f>
        <v/>
      </c>
      <c r="C1133" s="182"/>
      <c r="F1133" cm="1">
        <f t="array" aca="1" ref="F1133" ca="1">IF(COUNTIF($E$2:$E$2000,INDIRECT("RC[-2]",0))&gt;0,"",INDIRECT("RC[-2]",0))</f>
        <v>0</v>
      </c>
    </row>
    <row r="1134" spans="2:6">
      <c r="B1134" t="str" cm="1">
        <f t="array" aca="1" ref="B1134" ca="1">IFERROR(DATE(RIGHT(INDIRECT("RC[-1]",0),4),LEFT(INDIRECT("RC[-1]",0),2),1), "")</f>
        <v/>
      </c>
      <c r="C1134" s="182"/>
      <c r="F1134" cm="1">
        <f t="array" aca="1" ref="F1134" ca="1">IF(COUNTIF($E$2:$E$2000,INDIRECT("RC[-2]",0))&gt;0,"",INDIRECT("RC[-2]",0))</f>
        <v>0</v>
      </c>
    </row>
    <row r="1135" spans="2:6">
      <c r="B1135" t="str" cm="1">
        <f t="array" aca="1" ref="B1135" ca="1">IFERROR(DATE(RIGHT(INDIRECT("RC[-1]",0),4),LEFT(INDIRECT("RC[-1]",0),2),1), "")</f>
        <v/>
      </c>
      <c r="C1135" s="182"/>
      <c r="F1135" cm="1">
        <f t="array" aca="1" ref="F1135" ca="1">IF(COUNTIF($E$2:$E$2000,INDIRECT("RC[-2]",0))&gt;0,"",INDIRECT("RC[-2]",0))</f>
        <v>0</v>
      </c>
    </row>
    <row r="1136" spans="2:6">
      <c r="B1136" t="str" cm="1">
        <f t="array" aca="1" ref="B1136" ca="1">IFERROR(DATE(RIGHT(INDIRECT("RC[-1]",0),4),LEFT(INDIRECT("RC[-1]",0),2),1), "")</f>
        <v/>
      </c>
      <c r="C1136" s="182"/>
      <c r="F1136" cm="1">
        <f t="array" aca="1" ref="F1136" ca="1">IF(COUNTIF($E$2:$E$2000,INDIRECT("RC[-2]",0))&gt;0,"",INDIRECT("RC[-2]",0))</f>
        <v>0</v>
      </c>
    </row>
    <row r="1137" spans="2:6">
      <c r="B1137" t="str" cm="1">
        <f t="array" aca="1" ref="B1137" ca="1">IFERROR(DATE(RIGHT(INDIRECT("RC[-1]",0),4),LEFT(INDIRECT("RC[-1]",0),2),1), "")</f>
        <v/>
      </c>
      <c r="C1137" s="182"/>
      <c r="F1137" cm="1">
        <f t="array" aca="1" ref="F1137" ca="1">IF(COUNTIF($E$2:$E$2000,INDIRECT("RC[-2]",0))&gt;0,"",INDIRECT("RC[-2]",0))</f>
        <v>0</v>
      </c>
    </row>
    <row r="1138" spans="2:6">
      <c r="B1138" t="str" cm="1">
        <f t="array" aca="1" ref="B1138" ca="1">IFERROR(DATE(RIGHT(INDIRECT("RC[-1]",0),4),LEFT(INDIRECT("RC[-1]",0),2),1), "")</f>
        <v/>
      </c>
      <c r="C1138" s="182"/>
      <c r="F1138" cm="1">
        <f t="array" aca="1" ref="F1138" ca="1">IF(COUNTIF($E$2:$E$2000,INDIRECT("RC[-2]",0))&gt;0,"",INDIRECT("RC[-2]",0))</f>
        <v>0</v>
      </c>
    </row>
    <row r="1139" spans="2:6">
      <c r="B1139" t="str" cm="1">
        <f t="array" aca="1" ref="B1139" ca="1">IFERROR(DATE(RIGHT(INDIRECT("RC[-1]",0),4),LEFT(INDIRECT("RC[-1]",0),2),1), "")</f>
        <v/>
      </c>
      <c r="C1139" s="182"/>
      <c r="F1139" cm="1">
        <f t="array" aca="1" ref="F1139" ca="1">IF(COUNTIF($E$2:$E$2000,INDIRECT("RC[-2]",0))&gt;0,"",INDIRECT("RC[-2]",0))</f>
        <v>0</v>
      </c>
    </row>
    <row r="1140" spans="2:6">
      <c r="B1140" t="str" cm="1">
        <f t="array" aca="1" ref="B1140" ca="1">IFERROR(DATE(RIGHT(INDIRECT("RC[-1]",0),4),LEFT(INDIRECT("RC[-1]",0),2),1), "")</f>
        <v/>
      </c>
      <c r="C1140" s="182"/>
      <c r="F1140" cm="1">
        <f t="array" aca="1" ref="F1140" ca="1">IF(COUNTIF($E$2:$E$2000,INDIRECT("RC[-2]",0))&gt;0,"",INDIRECT("RC[-2]",0))</f>
        <v>0</v>
      </c>
    </row>
    <row r="1141" spans="2:6">
      <c r="B1141" t="str" cm="1">
        <f t="array" aca="1" ref="B1141" ca="1">IFERROR(DATE(RIGHT(INDIRECT("RC[-1]",0),4),LEFT(INDIRECT("RC[-1]",0),2),1), "")</f>
        <v/>
      </c>
      <c r="C1141" s="182"/>
      <c r="F1141" cm="1">
        <f t="array" aca="1" ref="F1141" ca="1">IF(COUNTIF($E$2:$E$2000,INDIRECT("RC[-2]",0))&gt;0,"",INDIRECT("RC[-2]",0))</f>
        <v>0</v>
      </c>
    </row>
    <row r="1142" spans="2:6">
      <c r="B1142" t="str" cm="1">
        <f t="array" aca="1" ref="B1142" ca="1">IFERROR(DATE(RIGHT(INDIRECT("RC[-1]",0),4),LEFT(INDIRECT("RC[-1]",0),2),1), "")</f>
        <v/>
      </c>
      <c r="C1142" s="182"/>
      <c r="F1142" cm="1">
        <f t="array" aca="1" ref="F1142" ca="1">IF(COUNTIF($E$2:$E$2000,INDIRECT("RC[-2]",0))&gt;0,"",INDIRECT("RC[-2]",0))</f>
        <v>0</v>
      </c>
    </row>
    <row r="1143" spans="2:6">
      <c r="B1143" t="str" cm="1">
        <f t="array" aca="1" ref="B1143" ca="1">IFERROR(DATE(RIGHT(INDIRECT("RC[-1]",0),4),LEFT(INDIRECT("RC[-1]",0),2),1), "")</f>
        <v/>
      </c>
      <c r="C1143" s="182"/>
      <c r="F1143" cm="1">
        <f t="array" aca="1" ref="F1143" ca="1">IF(COUNTIF($E$2:$E$2000,INDIRECT("RC[-2]",0))&gt;0,"",INDIRECT("RC[-2]",0))</f>
        <v>0</v>
      </c>
    </row>
    <row r="1144" spans="2:6">
      <c r="B1144" t="str" cm="1">
        <f t="array" aca="1" ref="B1144" ca="1">IFERROR(DATE(RIGHT(INDIRECT("RC[-1]",0),4),LEFT(INDIRECT("RC[-1]",0),2),1), "")</f>
        <v/>
      </c>
      <c r="C1144" s="182"/>
      <c r="F1144" cm="1">
        <f t="array" aca="1" ref="F1144" ca="1">IF(COUNTIF($E$2:$E$2000,INDIRECT("RC[-2]",0))&gt;0,"",INDIRECT("RC[-2]",0))</f>
        <v>0</v>
      </c>
    </row>
    <row r="1145" spans="2:6">
      <c r="B1145" t="str" cm="1">
        <f t="array" aca="1" ref="B1145" ca="1">IFERROR(DATE(RIGHT(INDIRECT("RC[-1]",0),4),LEFT(INDIRECT("RC[-1]",0),2),1), "")</f>
        <v/>
      </c>
      <c r="C1145" s="182"/>
      <c r="F1145" cm="1">
        <f t="array" aca="1" ref="F1145" ca="1">IF(COUNTIF($E$2:$E$2000,INDIRECT("RC[-2]",0))&gt;0,"",INDIRECT("RC[-2]",0))</f>
        <v>0</v>
      </c>
    </row>
    <row r="1146" spans="2:6">
      <c r="B1146" t="str" cm="1">
        <f t="array" aca="1" ref="B1146" ca="1">IFERROR(DATE(RIGHT(INDIRECT("RC[-1]",0),4),LEFT(INDIRECT("RC[-1]",0),2),1), "")</f>
        <v/>
      </c>
      <c r="C1146" s="182"/>
      <c r="F1146" cm="1">
        <f t="array" aca="1" ref="F1146" ca="1">IF(COUNTIF($E$2:$E$2000,INDIRECT("RC[-2]",0))&gt;0,"",INDIRECT("RC[-2]",0))</f>
        <v>0</v>
      </c>
    </row>
    <row r="1147" spans="2:6">
      <c r="B1147" t="str" cm="1">
        <f t="array" aca="1" ref="B1147" ca="1">IFERROR(DATE(RIGHT(INDIRECT("RC[-1]",0),4),LEFT(INDIRECT("RC[-1]",0),2),1), "")</f>
        <v/>
      </c>
      <c r="C1147" s="182"/>
      <c r="F1147" cm="1">
        <f t="array" aca="1" ref="F1147" ca="1">IF(COUNTIF($E$2:$E$2000,INDIRECT("RC[-2]",0))&gt;0,"",INDIRECT("RC[-2]",0))</f>
        <v>0</v>
      </c>
    </row>
    <row r="1148" spans="2:6">
      <c r="B1148" t="str" cm="1">
        <f t="array" aca="1" ref="B1148" ca="1">IFERROR(DATE(RIGHT(INDIRECT("RC[-1]",0),4),LEFT(INDIRECT("RC[-1]",0),2),1), "")</f>
        <v/>
      </c>
      <c r="C1148" s="182"/>
      <c r="F1148" cm="1">
        <f t="array" aca="1" ref="F1148" ca="1">IF(COUNTIF($E$2:$E$2000,INDIRECT("RC[-2]",0))&gt;0,"",INDIRECT("RC[-2]",0))</f>
        <v>0</v>
      </c>
    </row>
    <row r="1149" spans="2:6">
      <c r="B1149" t="str" cm="1">
        <f t="array" aca="1" ref="B1149" ca="1">IFERROR(DATE(RIGHT(INDIRECT("RC[-1]",0),4),LEFT(INDIRECT("RC[-1]",0),2),1), "")</f>
        <v/>
      </c>
      <c r="C1149" s="182"/>
      <c r="F1149" cm="1">
        <f t="array" aca="1" ref="F1149" ca="1">IF(COUNTIF($E$2:$E$2000,INDIRECT("RC[-2]",0))&gt;0,"",INDIRECT("RC[-2]",0))</f>
        <v>0</v>
      </c>
    </row>
    <row r="1150" spans="2:6">
      <c r="B1150" t="str" cm="1">
        <f t="array" aca="1" ref="B1150" ca="1">IFERROR(DATE(RIGHT(INDIRECT("RC[-1]",0),4),LEFT(INDIRECT("RC[-1]",0),2),1), "")</f>
        <v/>
      </c>
      <c r="C1150" s="182"/>
      <c r="F1150" cm="1">
        <f t="array" aca="1" ref="F1150" ca="1">IF(COUNTIF($E$2:$E$2000,INDIRECT("RC[-2]",0))&gt;0,"",INDIRECT("RC[-2]",0))</f>
        <v>0</v>
      </c>
    </row>
    <row r="1151" spans="2:6">
      <c r="B1151" t="str" cm="1">
        <f t="array" aca="1" ref="B1151" ca="1">IFERROR(DATE(RIGHT(INDIRECT("RC[-1]",0),4),LEFT(INDIRECT("RC[-1]",0),2),1), "")</f>
        <v/>
      </c>
      <c r="C1151" s="182"/>
      <c r="F1151" cm="1">
        <f t="array" aca="1" ref="F1151" ca="1">IF(COUNTIF($E$2:$E$2000,INDIRECT("RC[-2]",0))&gt;0,"",INDIRECT("RC[-2]",0))</f>
        <v>0</v>
      </c>
    </row>
    <row r="1152" spans="2:6">
      <c r="B1152" t="str" cm="1">
        <f t="array" aca="1" ref="B1152" ca="1">IFERROR(DATE(RIGHT(INDIRECT("RC[-1]",0),4),LEFT(INDIRECT("RC[-1]",0),2),1), "")</f>
        <v/>
      </c>
      <c r="C1152" s="182"/>
      <c r="F1152" cm="1">
        <f t="array" aca="1" ref="F1152" ca="1">IF(COUNTIF($E$2:$E$2000,INDIRECT("RC[-2]",0))&gt;0,"",INDIRECT("RC[-2]",0))</f>
        <v>0</v>
      </c>
    </row>
    <row r="1153" spans="2:6">
      <c r="B1153" t="str" cm="1">
        <f t="array" aca="1" ref="B1153" ca="1">IFERROR(DATE(RIGHT(INDIRECT("RC[-1]",0),4),LEFT(INDIRECT("RC[-1]",0),2),1), "")</f>
        <v/>
      </c>
      <c r="C1153" s="182"/>
      <c r="F1153" cm="1">
        <f t="array" aca="1" ref="F1153" ca="1">IF(COUNTIF($E$2:$E$2000,INDIRECT("RC[-2]",0))&gt;0,"",INDIRECT("RC[-2]",0))</f>
        <v>0</v>
      </c>
    </row>
    <row r="1154" spans="2:6">
      <c r="B1154" t="str" cm="1">
        <f t="array" aca="1" ref="B1154" ca="1">IFERROR(DATE(RIGHT(INDIRECT("RC[-1]",0),4),LEFT(INDIRECT("RC[-1]",0),2),1), "")</f>
        <v/>
      </c>
      <c r="C1154" s="182"/>
      <c r="F1154" cm="1">
        <f t="array" aca="1" ref="F1154" ca="1">IF(COUNTIF($E$2:$E$2000,INDIRECT("RC[-2]",0))&gt;0,"",INDIRECT("RC[-2]",0))</f>
        <v>0</v>
      </c>
    </row>
    <row r="1155" spans="2:6">
      <c r="B1155" t="str" cm="1">
        <f t="array" aca="1" ref="B1155" ca="1">IFERROR(DATE(RIGHT(INDIRECT("RC[-1]",0),4),LEFT(INDIRECT("RC[-1]",0),2),1), "")</f>
        <v/>
      </c>
      <c r="C1155" s="182"/>
      <c r="F1155" cm="1">
        <f t="array" aca="1" ref="F1155" ca="1">IF(COUNTIF($E$2:$E$2000,INDIRECT("RC[-2]",0))&gt;0,"",INDIRECT("RC[-2]",0))</f>
        <v>0</v>
      </c>
    </row>
    <row r="1156" spans="2:6">
      <c r="B1156" t="str" cm="1">
        <f t="array" aca="1" ref="B1156" ca="1">IFERROR(DATE(RIGHT(INDIRECT("RC[-1]",0),4),LEFT(INDIRECT("RC[-1]",0),2),1), "")</f>
        <v/>
      </c>
      <c r="C1156" s="182"/>
      <c r="F1156" cm="1">
        <f t="array" aca="1" ref="F1156" ca="1">IF(COUNTIF($E$2:$E$2000,INDIRECT("RC[-2]",0))&gt;0,"",INDIRECT("RC[-2]",0))</f>
        <v>0</v>
      </c>
    </row>
    <row r="1157" spans="2:6">
      <c r="B1157" t="str" cm="1">
        <f t="array" aca="1" ref="B1157" ca="1">IFERROR(DATE(RIGHT(INDIRECT("RC[-1]",0),4),LEFT(INDIRECT("RC[-1]",0),2),1), "")</f>
        <v/>
      </c>
      <c r="C1157" s="182"/>
      <c r="F1157" cm="1">
        <f t="array" aca="1" ref="F1157" ca="1">IF(COUNTIF($E$2:$E$2000,INDIRECT("RC[-2]",0))&gt;0,"",INDIRECT("RC[-2]",0))</f>
        <v>0</v>
      </c>
    </row>
    <row r="1158" spans="2:6">
      <c r="B1158" t="str" cm="1">
        <f t="array" aca="1" ref="B1158" ca="1">IFERROR(DATE(RIGHT(INDIRECT("RC[-1]",0),4),LEFT(INDIRECT("RC[-1]",0),2),1), "")</f>
        <v/>
      </c>
      <c r="C1158" s="182"/>
      <c r="F1158" cm="1">
        <f t="array" aca="1" ref="F1158" ca="1">IF(COUNTIF($E$2:$E$2000,INDIRECT("RC[-2]",0))&gt;0,"",INDIRECT("RC[-2]",0))</f>
        <v>0</v>
      </c>
    </row>
    <row r="1159" spans="2:6">
      <c r="B1159" t="str" cm="1">
        <f t="array" aca="1" ref="B1159" ca="1">IFERROR(DATE(RIGHT(INDIRECT("RC[-1]",0),4),LEFT(INDIRECT("RC[-1]",0),2),1), "")</f>
        <v/>
      </c>
      <c r="C1159" s="182"/>
      <c r="F1159" cm="1">
        <f t="array" aca="1" ref="F1159" ca="1">IF(COUNTIF($E$2:$E$2000,INDIRECT("RC[-2]",0))&gt;0,"",INDIRECT("RC[-2]",0))</f>
        <v>0</v>
      </c>
    </row>
    <row r="1160" spans="2:6">
      <c r="B1160" t="str" cm="1">
        <f t="array" aca="1" ref="B1160" ca="1">IFERROR(DATE(RIGHT(INDIRECT("RC[-1]",0),4),LEFT(INDIRECT("RC[-1]",0),2),1), "")</f>
        <v/>
      </c>
      <c r="C1160" s="182"/>
      <c r="F1160" cm="1">
        <f t="array" aca="1" ref="F1160" ca="1">IF(COUNTIF($E$2:$E$2000,INDIRECT("RC[-2]",0))&gt;0,"",INDIRECT("RC[-2]",0))</f>
        <v>0</v>
      </c>
    </row>
    <row r="1161" spans="2:6">
      <c r="B1161" t="str" cm="1">
        <f t="array" aca="1" ref="B1161" ca="1">IFERROR(DATE(RIGHT(INDIRECT("RC[-1]",0),4),LEFT(INDIRECT("RC[-1]",0),2),1), "")</f>
        <v/>
      </c>
      <c r="C1161" s="182"/>
      <c r="F1161" cm="1">
        <f t="array" aca="1" ref="F1161" ca="1">IF(COUNTIF($E$2:$E$2000,INDIRECT("RC[-2]",0))&gt;0,"",INDIRECT("RC[-2]",0))</f>
        <v>0</v>
      </c>
    </row>
    <row r="1162" spans="2:6">
      <c r="B1162" t="str" cm="1">
        <f t="array" aca="1" ref="B1162" ca="1">IFERROR(DATE(RIGHT(INDIRECT("RC[-1]",0),4),LEFT(INDIRECT("RC[-1]",0),2),1), "")</f>
        <v/>
      </c>
      <c r="C1162" s="182"/>
      <c r="F1162" cm="1">
        <f t="array" aca="1" ref="F1162" ca="1">IF(COUNTIF($E$2:$E$2000,INDIRECT("RC[-2]",0))&gt;0,"",INDIRECT("RC[-2]",0))</f>
        <v>0</v>
      </c>
    </row>
    <row r="1163" spans="2:6">
      <c r="B1163" t="str" cm="1">
        <f t="array" aca="1" ref="B1163" ca="1">IFERROR(DATE(RIGHT(INDIRECT("RC[-1]",0),4),LEFT(INDIRECT("RC[-1]",0),2),1), "")</f>
        <v/>
      </c>
      <c r="C1163" s="182"/>
      <c r="F1163" cm="1">
        <f t="array" aca="1" ref="F1163" ca="1">IF(COUNTIF($E$2:$E$2000,INDIRECT("RC[-2]",0))&gt;0,"",INDIRECT("RC[-2]",0))</f>
        <v>0</v>
      </c>
    </row>
    <row r="1164" spans="2:6">
      <c r="B1164" t="str" cm="1">
        <f t="array" aca="1" ref="B1164" ca="1">IFERROR(DATE(RIGHT(INDIRECT("RC[-1]",0),4),LEFT(INDIRECT("RC[-1]",0),2),1), "")</f>
        <v/>
      </c>
      <c r="C1164" s="182"/>
      <c r="F1164" cm="1">
        <f t="array" aca="1" ref="F1164" ca="1">IF(COUNTIF($E$2:$E$2000,INDIRECT("RC[-2]",0))&gt;0,"",INDIRECT("RC[-2]",0))</f>
        <v>0</v>
      </c>
    </row>
    <row r="1165" spans="2:6">
      <c r="B1165" t="str" cm="1">
        <f t="array" aca="1" ref="B1165" ca="1">IFERROR(DATE(RIGHT(INDIRECT("RC[-1]",0),4),LEFT(INDIRECT("RC[-1]",0),2),1), "")</f>
        <v/>
      </c>
      <c r="C1165" s="182"/>
      <c r="F1165" cm="1">
        <f t="array" aca="1" ref="F1165" ca="1">IF(COUNTIF($E$2:$E$2000,INDIRECT("RC[-2]",0))&gt;0,"",INDIRECT("RC[-2]",0))</f>
        <v>0</v>
      </c>
    </row>
    <row r="1166" spans="2:6">
      <c r="B1166" t="str" cm="1">
        <f t="array" aca="1" ref="B1166" ca="1">IFERROR(DATE(RIGHT(INDIRECT("RC[-1]",0),4),LEFT(INDIRECT("RC[-1]",0),2),1), "")</f>
        <v/>
      </c>
      <c r="C1166" s="182"/>
      <c r="F1166" cm="1">
        <f t="array" aca="1" ref="F1166" ca="1">IF(COUNTIF($E$2:$E$2000,INDIRECT("RC[-2]",0))&gt;0,"",INDIRECT("RC[-2]",0))</f>
        <v>0</v>
      </c>
    </row>
    <row r="1167" spans="2:6">
      <c r="B1167" t="str" cm="1">
        <f t="array" aca="1" ref="B1167" ca="1">IFERROR(DATE(RIGHT(INDIRECT("RC[-1]",0),4),LEFT(INDIRECT("RC[-1]",0),2),1), "")</f>
        <v/>
      </c>
      <c r="C1167" s="182"/>
      <c r="F1167" cm="1">
        <f t="array" aca="1" ref="F1167" ca="1">IF(COUNTIF($E$2:$E$2000,INDIRECT("RC[-2]",0))&gt;0,"",INDIRECT("RC[-2]",0))</f>
        <v>0</v>
      </c>
    </row>
    <row r="1168" spans="2:6">
      <c r="B1168" t="str" cm="1">
        <f t="array" aca="1" ref="B1168" ca="1">IFERROR(DATE(RIGHT(INDIRECT("RC[-1]",0),4),LEFT(INDIRECT("RC[-1]",0),2),1), "")</f>
        <v/>
      </c>
      <c r="C1168" s="182"/>
      <c r="F1168" cm="1">
        <f t="array" aca="1" ref="F1168" ca="1">IF(COUNTIF($E$2:$E$2000,INDIRECT("RC[-2]",0))&gt;0,"",INDIRECT("RC[-2]",0))</f>
        <v>0</v>
      </c>
    </row>
    <row r="1169" spans="2:6">
      <c r="B1169" t="str" cm="1">
        <f t="array" aca="1" ref="B1169" ca="1">IFERROR(DATE(RIGHT(INDIRECT("RC[-1]",0),4),LEFT(INDIRECT("RC[-1]",0),2),1), "")</f>
        <v/>
      </c>
      <c r="C1169" s="182"/>
      <c r="F1169" cm="1">
        <f t="array" aca="1" ref="F1169" ca="1">IF(COUNTIF($E$2:$E$2000,INDIRECT("RC[-2]",0))&gt;0,"",INDIRECT("RC[-2]",0))</f>
        <v>0</v>
      </c>
    </row>
    <row r="1170" spans="2:6">
      <c r="B1170" t="str" cm="1">
        <f t="array" aca="1" ref="B1170" ca="1">IFERROR(DATE(RIGHT(INDIRECT("RC[-1]",0),4),LEFT(INDIRECT("RC[-1]",0),2),1), "")</f>
        <v/>
      </c>
      <c r="C1170" s="182"/>
      <c r="F1170" cm="1">
        <f t="array" aca="1" ref="F1170" ca="1">IF(COUNTIF($E$2:$E$2000,INDIRECT("RC[-2]",0))&gt;0,"",INDIRECT("RC[-2]",0))</f>
        <v>0</v>
      </c>
    </row>
    <row r="1171" spans="2:6">
      <c r="B1171" t="str" cm="1">
        <f t="array" aca="1" ref="B1171" ca="1">IFERROR(DATE(RIGHT(INDIRECT("RC[-1]",0),4),LEFT(INDIRECT("RC[-1]",0),2),1), "")</f>
        <v/>
      </c>
      <c r="C1171" s="182"/>
      <c r="F1171" cm="1">
        <f t="array" aca="1" ref="F1171" ca="1">IF(COUNTIF($E$2:$E$2000,INDIRECT("RC[-2]",0))&gt;0,"",INDIRECT("RC[-2]",0))</f>
        <v>0</v>
      </c>
    </row>
    <row r="1172" spans="2:6">
      <c r="B1172" t="str" cm="1">
        <f t="array" aca="1" ref="B1172" ca="1">IFERROR(DATE(RIGHT(INDIRECT("RC[-1]",0),4),LEFT(INDIRECT("RC[-1]",0),2),1), "")</f>
        <v/>
      </c>
      <c r="C1172" s="182"/>
      <c r="F1172" cm="1">
        <f t="array" aca="1" ref="F1172" ca="1">IF(COUNTIF($E$2:$E$2000,INDIRECT("RC[-2]",0))&gt;0,"",INDIRECT("RC[-2]",0))</f>
        <v>0</v>
      </c>
    </row>
    <row r="1173" spans="2:6">
      <c r="B1173" t="str" cm="1">
        <f t="array" aca="1" ref="B1173" ca="1">IFERROR(DATE(RIGHT(INDIRECT("RC[-1]",0),4),LEFT(INDIRECT("RC[-1]",0),2),1), "")</f>
        <v/>
      </c>
      <c r="C1173" s="182"/>
      <c r="F1173" cm="1">
        <f t="array" aca="1" ref="F1173" ca="1">IF(COUNTIF($E$2:$E$2000,INDIRECT("RC[-2]",0))&gt;0,"",INDIRECT("RC[-2]",0))</f>
        <v>0</v>
      </c>
    </row>
    <row r="1174" spans="2:6">
      <c r="B1174" t="str" cm="1">
        <f t="array" aca="1" ref="B1174" ca="1">IFERROR(DATE(RIGHT(INDIRECT("RC[-1]",0),4),LEFT(INDIRECT("RC[-1]",0),2),1), "")</f>
        <v/>
      </c>
      <c r="C1174" s="182"/>
      <c r="F1174" cm="1">
        <f t="array" aca="1" ref="F1174" ca="1">IF(COUNTIF($E$2:$E$2000,INDIRECT("RC[-2]",0))&gt;0,"",INDIRECT("RC[-2]",0))</f>
        <v>0</v>
      </c>
    </row>
    <row r="1175" spans="2:6">
      <c r="B1175" t="str" cm="1">
        <f t="array" aca="1" ref="B1175" ca="1">IFERROR(DATE(RIGHT(INDIRECT("RC[-1]",0),4),LEFT(INDIRECT("RC[-1]",0),2),1), "")</f>
        <v/>
      </c>
      <c r="C1175" s="182"/>
      <c r="F1175" cm="1">
        <f t="array" aca="1" ref="F1175" ca="1">IF(COUNTIF($E$2:$E$2000,INDIRECT("RC[-2]",0))&gt;0,"",INDIRECT("RC[-2]",0))</f>
        <v>0</v>
      </c>
    </row>
    <row r="1176" spans="2:6">
      <c r="B1176" t="str" cm="1">
        <f t="array" aca="1" ref="B1176" ca="1">IFERROR(DATE(RIGHT(INDIRECT("RC[-1]",0),4),LEFT(INDIRECT("RC[-1]",0),2),1), "")</f>
        <v/>
      </c>
      <c r="C1176" s="182"/>
      <c r="F1176" cm="1">
        <f t="array" aca="1" ref="F1176" ca="1">IF(COUNTIF($E$2:$E$2000,INDIRECT("RC[-2]",0))&gt;0,"",INDIRECT("RC[-2]",0))</f>
        <v>0</v>
      </c>
    </row>
    <row r="1177" spans="2:6">
      <c r="B1177" t="str" cm="1">
        <f t="array" aca="1" ref="B1177" ca="1">IFERROR(DATE(RIGHT(INDIRECT("RC[-1]",0),4),LEFT(INDIRECT("RC[-1]",0),2),1), "")</f>
        <v/>
      </c>
      <c r="C1177" s="182"/>
      <c r="F1177" cm="1">
        <f t="array" aca="1" ref="F1177" ca="1">IF(COUNTIF($E$2:$E$2000,INDIRECT("RC[-2]",0))&gt;0,"",INDIRECT("RC[-2]",0))</f>
        <v>0</v>
      </c>
    </row>
    <row r="1178" spans="2:6">
      <c r="B1178" t="str" cm="1">
        <f t="array" aca="1" ref="B1178" ca="1">IFERROR(DATE(RIGHT(INDIRECT("RC[-1]",0),4),LEFT(INDIRECT("RC[-1]",0),2),1), "")</f>
        <v/>
      </c>
      <c r="C1178" s="182"/>
      <c r="F1178" cm="1">
        <f t="array" aca="1" ref="F1178" ca="1">IF(COUNTIF($E$2:$E$2000,INDIRECT("RC[-2]",0))&gt;0,"",INDIRECT("RC[-2]",0))</f>
        <v>0</v>
      </c>
    </row>
    <row r="1179" spans="2:6">
      <c r="B1179" t="str" cm="1">
        <f t="array" aca="1" ref="B1179" ca="1">IFERROR(DATE(RIGHT(INDIRECT("RC[-1]",0),4),LEFT(INDIRECT("RC[-1]",0),2),1), "")</f>
        <v/>
      </c>
      <c r="C1179" s="182"/>
      <c r="F1179" cm="1">
        <f t="array" aca="1" ref="F1179" ca="1">IF(COUNTIF($E$2:$E$2000,INDIRECT("RC[-2]",0))&gt;0,"",INDIRECT("RC[-2]",0))</f>
        <v>0</v>
      </c>
    </row>
    <row r="1180" spans="2:6">
      <c r="B1180" t="str" cm="1">
        <f t="array" aca="1" ref="B1180" ca="1">IFERROR(DATE(RIGHT(INDIRECT("RC[-1]",0),4),LEFT(INDIRECT("RC[-1]",0),2),1), "")</f>
        <v/>
      </c>
      <c r="C1180" s="182"/>
      <c r="F1180" cm="1">
        <f t="array" aca="1" ref="F1180" ca="1">IF(COUNTIF($E$2:$E$2000,INDIRECT("RC[-2]",0))&gt;0,"",INDIRECT("RC[-2]",0))</f>
        <v>0</v>
      </c>
    </row>
    <row r="1181" spans="2:6">
      <c r="B1181" t="str" cm="1">
        <f t="array" aca="1" ref="B1181" ca="1">IFERROR(DATE(RIGHT(INDIRECT("RC[-1]",0),4),LEFT(INDIRECT("RC[-1]",0),2),1), "")</f>
        <v/>
      </c>
      <c r="C1181" s="182"/>
      <c r="F1181" cm="1">
        <f t="array" aca="1" ref="F1181" ca="1">IF(COUNTIF($E$2:$E$2000,INDIRECT("RC[-2]",0))&gt;0,"",INDIRECT("RC[-2]",0))</f>
        <v>0</v>
      </c>
    </row>
    <row r="1182" spans="2:6">
      <c r="B1182" t="str" cm="1">
        <f t="array" aca="1" ref="B1182" ca="1">IFERROR(DATE(RIGHT(INDIRECT("RC[-1]",0),4),LEFT(INDIRECT("RC[-1]",0),2),1), "")</f>
        <v/>
      </c>
      <c r="C1182" s="182"/>
      <c r="F1182" cm="1">
        <f t="array" aca="1" ref="F1182" ca="1">IF(COUNTIF($E$2:$E$2000,INDIRECT("RC[-2]",0))&gt;0,"",INDIRECT("RC[-2]",0))</f>
        <v>0</v>
      </c>
    </row>
    <row r="1183" spans="2:6">
      <c r="B1183" t="str" cm="1">
        <f t="array" aca="1" ref="B1183" ca="1">IFERROR(DATE(RIGHT(INDIRECT("RC[-1]",0),4),LEFT(INDIRECT("RC[-1]",0),2),1), "")</f>
        <v/>
      </c>
      <c r="C1183" s="182"/>
      <c r="F1183" cm="1">
        <f t="array" aca="1" ref="F1183" ca="1">IF(COUNTIF($E$2:$E$2000,INDIRECT("RC[-2]",0))&gt;0,"",INDIRECT("RC[-2]",0))</f>
        <v>0</v>
      </c>
    </row>
    <row r="1184" spans="2:6">
      <c r="B1184" t="str" cm="1">
        <f t="array" aca="1" ref="B1184" ca="1">IFERROR(DATE(RIGHT(INDIRECT("RC[-1]",0),4),LEFT(INDIRECT("RC[-1]",0),2),1), "")</f>
        <v/>
      </c>
      <c r="C1184" s="182"/>
      <c r="F1184" cm="1">
        <f t="array" aca="1" ref="F1184" ca="1">IF(COUNTIF($E$2:$E$2000,INDIRECT("RC[-2]",0))&gt;0,"",INDIRECT("RC[-2]",0))</f>
        <v>0</v>
      </c>
    </row>
    <row r="1185" spans="2:6">
      <c r="B1185" t="str" cm="1">
        <f t="array" aca="1" ref="B1185" ca="1">IFERROR(DATE(RIGHT(INDIRECT("RC[-1]",0),4),LEFT(INDIRECT("RC[-1]",0),2),1), "")</f>
        <v/>
      </c>
      <c r="C1185" s="182"/>
      <c r="F1185" cm="1">
        <f t="array" aca="1" ref="F1185" ca="1">IF(COUNTIF($E$2:$E$2000,INDIRECT("RC[-2]",0))&gt;0,"",INDIRECT("RC[-2]",0))</f>
        <v>0</v>
      </c>
    </row>
    <row r="1186" spans="2:6">
      <c r="B1186" t="str" cm="1">
        <f t="array" aca="1" ref="B1186" ca="1">IFERROR(DATE(RIGHT(INDIRECT("RC[-1]",0),4),LEFT(INDIRECT("RC[-1]",0),2),1), "")</f>
        <v/>
      </c>
      <c r="C1186" s="182"/>
      <c r="F1186" cm="1">
        <f t="array" aca="1" ref="F1186" ca="1">IF(COUNTIF($E$2:$E$2000,INDIRECT("RC[-2]",0))&gt;0,"",INDIRECT("RC[-2]",0))</f>
        <v>0</v>
      </c>
    </row>
    <row r="1187" spans="2:6">
      <c r="B1187" t="str" cm="1">
        <f t="array" aca="1" ref="B1187" ca="1">IFERROR(DATE(RIGHT(INDIRECT("RC[-1]",0),4),LEFT(INDIRECT("RC[-1]",0),2),1), "")</f>
        <v/>
      </c>
      <c r="C1187" s="182"/>
      <c r="F1187" cm="1">
        <f t="array" aca="1" ref="F1187" ca="1">IF(COUNTIF($E$2:$E$2000,INDIRECT("RC[-2]",0))&gt;0,"",INDIRECT("RC[-2]",0))</f>
        <v>0</v>
      </c>
    </row>
    <row r="1188" spans="2:6">
      <c r="B1188" t="str" cm="1">
        <f t="array" aca="1" ref="B1188" ca="1">IFERROR(DATE(RIGHT(INDIRECT("RC[-1]",0),4),LEFT(INDIRECT("RC[-1]",0),2),1), "")</f>
        <v/>
      </c>
      <c r="C1188" s="182"/>
      <c r="F1188" cm="1">
        <f t="array" aca="1" ref="F1188" ca="1">IF(COUNTIF($E$2:$E$2000,INDIRECT("RC[-2]",0))&gt;0,"",INDIRECT("RC[-2]",0))</f>
        <v>0</v>
      </c>
    </row>
    <row r="1189" spans="2:6">
      <c r="B1189" t="str" cm="1">
        <f t="array" aca="1" ref="B1189" ca="1">IFERROR(DATE(RIGHT(INDIRECT("RC[-1]",0),4),LEFT(INDIRECT("RC[-1]",0),2),1), "")</f>
        <v/>
      </c>
      <c r="C1189" s="182"/>
      <c r="F1189" cm="1">
        <f t="array" aca="1" ref="F1189" ca="1">IF(COUNTIF($E$2:$E$2000,INDIRECT("RC[-2]",0))&gt;0,"",INDIRECT("RC[-2]",0))</f>
        <v>0</v>
      </c>
    </row>
    <row r="1190" spans="2:6">
      <c r="B1190" t="str" cm="1">
        <f t="array" aca="1" ref="B1190" ca="1">IFERROR(DATE(RIGHT(INDIRECT("RC[-1]",0),4),LEFT(INDIRECT("RC[-1]",0),2),1), "")</f>
        <v/>
      </c>
      <c r="C1190" s="182"/>
      <c r="F1190" cm="1">
        <f t="array" aca="1" ref="F1190" ca="1">IF(COUNTIF($E$2:$E$2000,INDIRECT("RC[-2]",0))&gt;0,"",INDIRECT("RC[-2]",0))</f>
        <v>0</v>
      </c>
    </row>
    <row r="1191" spans="2:6">
      <c r="B1191" t="str" cm="1">
        <f t="array" aca="1" ref="B1191" ca="1">IFERROR(DATE(RIGHT(INDIRECT("RC[-1]",0),4),LEFT(INDIRECT("RC[-1]",0),2),1), "")</f>
        <v/>
      </c>
      <c r="C1191" s="182"/>
      <c r="F1191" cm="1">
        <f t="array" aca="1" ref="F1191" ca="1">IF(COUNTIF($E$2:$E$2000,INDIRECT("RC[-2]",0))&gt;0,"",INDIRECT("RC[-2]",0))</f>
        <v>0</v>
      </c>
    </row>
    <row r="1192" spans="2:6">
      <c r="B1192" t="str" cm="1">
        <f t="array" aca="1" ref="B1192" ca="1">IFERROR(DATE(RIGHT(INDIRECT("RC[-1]",0),4),LEFT(INDIRECT("RC[-1]",0),2),1), "")</f>
        <v/>
      </c>
      <c r="C1192" s="182"/>
      <c r="F1192" cm="1">
        <f t="array" aca="1" ref="F1192" ca="1">IF(COUNTIF($E$2:$E$2000,INDIRECT("RC[-2]",0))&gt;0,"",INDIRECT("RC[-2]",0))</f>
        <v>0</v>
      </c>
    </row>
    <row r="1193" spans="2:6">
      <c r="B1193" t="str" cm="1">
        <f t="array" aca="1" ref="B1193" ca="1">IFERROR(DATE(RIGHT(INDIRECT("RC[-1]",0),4),LEFT(INDIRECT("RC[-1]",0),2),1), "")</f>
        <v/>
      </c>
      <c r="C1193" s="182"/>
      <c r="F1193" cm="1">
        <f t="array" aca="1" ref="F1193" ca="1">IF(COUNTIF($E$2:$E$2000,INDIRECT("RC[-2]",0))&gt;0,"",INDIRECT("RC[-2]",0))</f>
        <v>0</v>
      </c>
    </row>
    <row r="1194" spans="2:6">
      <c r="B1194" t="str" cm="1">
        <f t="array" aca="1" ref="B1194" ca="1">IFERROR(DATE(RIGHT(INDIRECT("RC[-1]",0),4),LEFT(INDIRECT("RC[-1]",0),2),1), "")</f>
        <v/>
      </c>
      <c r="C1194" s="182"/>
      <c r="F1194" cm="1">
        <f t="array" aca="1" ref="F1194" ca="1">IF(COUNTIF($E$2:$E$2000,INDIRECT("RC[-2]",0))&gt;0,"",INDIRECT("RC[-2]",0))</f>
        <v>0</v>
      </c>
    </row>
    <row r="1195" spans="2:6">
      <c r="B1195" t="str" cm="1">
        <f t="array" aca="1" ref="B1195" ca="1">IFERROR(DATE(RIGHT(INDIRECT("RC[-1]",0),4),LEFT(INDIRECT("RC[-1]",0),2),1), "")</f>
        <v/>
      </c>
      <c r="C1195" s="182"/>
      <c r="F1195" cm="1">
        <f t="array" aca="1" ref="F1195" ca="1">IF(COUNTIF($E$2:$E$2000,INDIRECT("RC[-2]",0))&gt;0,"",INDIRECT("RC[-2]",0))</f>
        <v>0</v>
      </c>
    </row>
    <row r="1196" spans="2:6">
      <c r="B1196" t="str" cm="1">
        <f t="array" aca="1" ref="B1196" ca="1">IFERROR(DATE(RIGHT(INDIRECT("RC[-1]",0),4),LEFT(INDIRECT("RC[-1]",0),2),1), "")</f>
        <v/>
      </c>
      <c r="C1196" s="182"/>
      <c r="F1196" cm="1">
        <f t="array" aca="1" ref="F1196" ca="1">IF(COUNTIF($E$2:$E$2000,INDIRECT("RC[-2]",0))&gt;0,"",INDIRECT("RC[-2]",0))</f>
        <v>0</v>
      </c>
    </row>
    <row r="1197" spans="2:6">
      <c r="B1197" t="str" cm="1">
        <f t="array" aca="1" ref="B1197" ca="1">IFERROR(DATE(RIGHT(INDIRECT("RC[-1]",0),4),LEFT(INDIRECT("RC[-1]",0),2),1), "")</f>
        <v/>
      </c>
      <c r="C1197" s="182"/>
      <c r="F1197" cm="1">
        <f t="array" aca="1" ref="F1197" ca="1">IF(COUNTIF($E$2:$E$2000,INDIRECT("RC[-2]",0))&gt;0,"",INDIRECT("RC[-2]",0))</f>
        <v>0</v>
      </c>
    </row>
    <row r="1198" spans="2:6">
      <c r="B1198" t="str" cm="1">
        <f t="array" aca="1" ref="B1198" ca="1">IFERROR(DATE(RIGHT(INDIRECT("RC[-1]",0),4),LEFT(INDIRECT("RC[-1]",0),2),1), "")</f>
        <v/>
      </c>
      <c r="C1198" s="182"/>
      <c r="F1198" cm="1">
        <f t="array" aca="1" ref="F1198" ca="1">IF(COUNTIF($E$2:$E$2000,INDIRECT("RC[-2]",0))&gt;0,"",INDIRECT("RC[-2]",0))</f>
        <v>0</v>
      </c>
    </row>
    <row r="1199" spans="2:6">
      <c r="B1199" t="str" cm="1">
        <f t="array" aca="1" ref="B1199" ca="1">IFERROR(DATE(RIGHT(INDIRECT("RC[-1]",0),4),LEFT(INDIRECT("RC[-1]",0),2),1), "")</f>
        <v/>
      </c>
      <c r="C1199" s="182"/>
      <c r="F1199" cm="1">
        <f t="array" aca="1" ref="F1199" ca="1">IF(COUNTIF($E$2:$E$2000,INDIRECT("RC[-2]",0))&gt;0,"",INDIRECT("RC[-2]",0))</f>
        <v>0</v>
      </c>
    </row>
    <row r="1200" spans="2:6">
      <c r="B1200" t="str" cm="1">
        <f t="array" aca="1" ref="B1200" ca="1">IFERROR(DATE(RIGHT(INDIRECT("RC[-1]",0),4),LEFT(INDIRECT("RC[-1]",0),2),1), "")</f>
        <v/>
      </c>
      <c r="C1200" s="182"/>
      <c r="F1200" cm="1">
        <f t="array" aca="1" ref="F1200" ca="1">IF(COUNTIF($E$2:$E$2000,INDIRECT("RC[-2]",0))&gt;0,"",INDIRECT("RC[-2]",0))</f>
        <v>0</v>
      </c>
    </row>
    <row r="1201" spans="2:6">
      <c r="B1201" t="str" cm="1">
        <f t="array" aca="1" ref="B1201" ca="1">IFERROR(DATE(RIGHT(INDIRECT("RC[-1]",0),4),LEFT(INDIRECT("RC[-1]",0),2),1), "")</f>
        <v/>
      </c>
      <c r="C1201" s="182"/>
      <c r="F1201" cm="1">
        <f t="array" aca="1" ref="F1201" ca="1">IF(COUNTIF($E$2:$E$2000,INDIRECT("RC[-2]",0))&gt;0,"",INDIRECT("RC[-2]",0))</f>
        <v>0</v>
      </c>
    </row>
    <row r="1202" spans="2:6">
      <c r="B1202" t="str" cm="1">
        <f t="array" aca="1" ref="B1202" ca="1">IFERROR(DATE(RIGHT(INDIRECT("RC[-1]",0),4),LEFT(INDIRECT("RC[-1]",0),2),1), "")</f>
        <v/>
      </c>
      <c r="C1202" s="182"/>
      <c r="F1202" cm="1">
        <f t="array" aca="1" ref="F1202" ca="1">IF(COUNTIF($E$2:$E$2000,INDIRECT("RC[-2]",0))&gt;0,"",INDIRECT("RC[-2]",0))</f>
        <v>0</v>
      </c>
    </row>
    <row r="1203" spans="2:6">
      <c r="B1203" t="str" cm="1">
        <f t="array" aca="1" ref="B1203" ca="1">IFERROR(DATE(RIGHT(INDIRECT("RC[-1]",0),4),LEFT(INDIRECT("RC[-1]",0),2),1), "")</f>
        <v/>
      </c>
      <c r="C1203" s="182"/>
      <c r="F1203" cm="1">
        <f t="array" aca="1" ref="F1203" ca="1">IF(COUNTIF($E$2:$E$2000,INDIRECT("RC[-2]",0))&gt;0,"",INDIRECT("RC[-2]",0))</f>
        <v>0</v>
      </c>
    </row>
    <row r="1204" spans="2:6">
      <c r="B1204" t="str" cm="1">
        <f t="array" aca="1" ref="B1204" ca="1">IFERROR(DATE(RIGHT(INDIRECT("RC[-1]",0),4),LEFT(INDIRECT("RC[-1]",0),2),1), "")</f>
        <v/>
      </c>
      <c r="C1204" s="182"/>
      <c r="F1204" cm="1">
        <f t="array" aca="1" ref="F1204" ca="1">IF(COUNTIF($E$2:$E$2000,INDIRECT("RC[-2]",0))&gt;0,"",INDIRECT("RC[-2]",0))</f>
        <v>0</v>
      </c>
    </row>
    <row r="1205" spans="2:6">
      <c r="B1205" t="str" cm="1">
        <f t="array" aca="1" ref="B1205" ca="1">IFERROR(DATE(RIGHT(INDIRECT("RC[-1]",0),4),LEFT(INDIRECT("RC[-1]",0),2),1), "")</f>
        <v/>
      </c>
      <c r="C1205" s="182"/>
      <c r="F1205" cm="1">
        <f t="array" aca="1" ref="F1205" ca="1">IF(COUNTIF($E$2:$E$2000,INDIRECT("RC[-2]",0))&gt;0,"",INDIRECT("RC[-2]",0))</f>
        <v>0</v>
      </c>
    </row>
    <row r="1206" spans="2:6">
      <c r="B1206" t="str" cm="1">
        <f t="array" aca="1" ref="B1206" ca="1">IFERROR(DATE(RIGHT(INDIRECT("RC[-1]",0),4),LEFT(INDIRECT("RC[-1]",0),2),1), "")</f>
        <v/>
      </c>
      <c r="C1206" s="182"/>
      <c r="F1206" cm="1">
        <f t="array" aca="1" ref="F1206" ca="1">IF(COUNTIF($E$2:$E$2000,INDIRECT("RC[-2]",0))&gt;0,"",INDIRECT("RC[-2]",0))</f>
        <v>0</v>
      </c>
    </row>
    <row r="1207" spans="2:6">
      <c r="B1207" t="str" cm="1">
        <f t="array" aca="1" ref="B1207" ca="1">IFERROR(DATE(RIGHT(INDIRECT("RC[-1]",0),4),LEFT(INDIRECT("RC[-1]",0),2),1), "")</f>
        <v/>
      </c>
      <c r="C1207" s="182"/>
      <c r="F1207" cm="1">
        <f t="array" aca="1" ref="F1207" ca="1">IF(COUNTIF($E$2:$E$2000,INDIRECT("RC[-2]",0))&gt;0,"",INDIRECT("RC[-2]",0))</f>
        <v>0</v>
      </c>
    </row>
    <row r="1208" spans="2:6">
      <c r="B1208" t="str" cm="1">
        <f t="array" aca="1" ref="B1208" ca="1">IFERROR(DATE(RIGHT(INDIRECT("RC[-1]",0),4),LEFT(INDIRECT("RC[-1]",0),2),1), "")</f>
        <v/>
      </c>
      <c r="C1208" s="182"/>
      <c r="F1208" cm="1">
        <f t="array" aca="1" ref="F1208" ca="1">IF(COUNTIF($E$2:$E$2000,INDIRECT("RC[-2]",0))&gt;0,"",INDIRECT("RC[-2]",0))</f>
        <v>0</v>
      </c>
    </row>
    <row r="1209" spans="2:6">
      <c r="B1209" t="str" cm="1">
        <f t="array" aca="1" ref="B1209" ca="1">IFERROR(DATE(RIGHT(INDIRECT("RC[-1]",0),4),LEFT(INDIRECT("RC[-1]",0),2),1), "")</f>
        <v/>
      </c>
      <c r="C1209" s="182"/>
      <c r="F1209" cm="1">
        <f t="array" aca="1" ref="F1209" ca="1">IF(COUNTIF($E$2:$E$2000,INDIRECT("RC[-2]",0))&gt;0,"",INDIRECT("RC[-2]",0))</f>
        <v>0</v>
      </c>
    </row>
    <row r="1210" spans="2:6">
      <c r="B1210" t="str" cm="1">
        <f t="array" aca="1" ref="B1210" ca="1">IFERROR(DATE(RIGHT(INDIRECT("RC[-1]",0),4),LEFT(INDIRECT("RC[-1]",0),2),1), "")</f>
        <v/>
      </c>
      <c r="C1210" s="182"/>
      <c r="F1210" cm="1">
        <f t="array" aca="1" ref="F1210" ca="1">IF(COUNTIF($E$2:$E$2000,INDIRECT("RC[-2]",0))&gt;0,"",INDIRECT("RC[-2]",0))</f>
        <v>0</v>
      </c>
    </row>
    <row r="1211" spans="2:6">
      <c r="B1211" t="str" cm="1">
        <f t="array" aca="1" ref="B1211" ca="1">IFERROR(DATE(RIGHT(INDIRECT("RC[-1]",0),4),LEFT(INDIRECT("RC[-1]",0),2),1), "")</f>
        <v/>
      </c>
      <c r="C1211" s="182"/>
      <c r="F1211" cm="1">
        <f t="array" aca="1" ref="F1211" ca="1">IF(COUNTIF($E$2:$E$2000,INDIRECT("RC[-2]",0))&gt;0,"",INDIRECT("RC[-2]",0))</f>
        <v>0</v>
      </c>
    </row>
    <row r="1212" spans="2:6">
      <c r="B1212" t="str" cm="1">
        <f t="array" aca="1" ref="B1212" ca="1">IFERROR(DATE(RIGHT(INDIRECT("RC[-1]",0),4),LEFT(INDIRECT("RC[-1]",0),2),1), "")</f>
        <v/>
      </c>
      <c r="C1212" s="182"/>
      <c r="F1212" cm="1">
        <f t="array" aca="1" ref="F1212" ca="1">IF(COUNTIF($E$2:$E$2000,INDIRECT("RC[-2]",0))&gt;0,"",INDIRECT("RC[-2]",0))</f>
        <v>0</v>
      </c>
    </row>
    <row r="1213" spans="2:6">
      <c r="B1213" t="str" cm="1">
        <f t="array" aca="1" ref="B1213" ca="1">IFERROR(DATE(RIGHT(INDIRECT("RC[-1]",0),4),LEFT(INDIRECT("RC[-1]",0),2),1), "")</f>
        <v/>
      </c>
      <c r="C1213" s="182"/>
      <c r="F1213" cm="1">
        <f t="array" aca="1" ref="F1213" ca="1">IF(COUNTIF($E$2:$E$2000,INDIRECT("RC[-2]",0))&gt;0,"",INDIRECT("RC[-2]",0))</f>
        <v>0</v>
      </c>
    </row>
    <row r="1214" spans="2:6">
      <c r="B1214" t="str" cm="1">
        <f t="array" aca="1" ref="B1214" ca="1">IFERROR(DATE(RIGHT(INDIRECT("RC[-1]",0),4),LEFT(INDIRECT("RC[-1]",0),2),1), "")</f>
        <v/>
      </c>
      <c r="C1214" s="182"/>
      <c r="F1214" cm="1">
        <f t="array" aca="1" ref="F1214" ca="1">IF(COUNTIF($E$2:$E$2000,INDIRECT("RC[-2]",0))&gt;0,"",INDIRECT("RC[-2]",0))</f>
        <v>0</v>
      </c>
    </row>
    <row r="1215" spans="2:6">
      <c r="B1215" t="str" cm="1">
        <f t="array" aca="1" ref="B1215" ca="1">IFERROR(DATE(RIGHT(INDIRECT("RC[-1]",0),4),LEFT(INDIRECT("RC[-1]",0),2),1), "")</f>
        <v/>
      </c>
      <c r="C1215" s="182"/>
      <c r="F1215" cm="1">
        <f t="array" aca="1" ref="F1215" ca="1">IF(COUNTIF($E$2:$E$2000,INDIRECT("RC[-2]",0))&gt;0,"",INDIRECT("RC[-2]",0))</f>
        <v>0</v>
      </c>
    </row>
    <row r="1216" spans="2:6">
      <c r="B1216" t="str" cm="1">
        <f t="array" aca="1" ref="B1216" ca="1">IFERROR(DATE(RIGHT(INDIRECT("RC[-1]",0),4),LEFT(INDIRECT("RC[-1]",0),2),1), "")</f>
        <v/>
      </c>
      <c r="C1216" s="182"/>
      <c r="F1216" cm="1">
        <f t="array" aca="1" ref="F1216" ca="1">IF(COUNTIF($E$2:$E$2000,INDIRECT("RC[-2]",0))&gt;0,"",INDIRECT("RC[-2]",0))</f>
        <v>0</v>
      </c>
    </row>
    <row r="1217" spans="2:6">
      <c r="B1217" t="str" cm="1">
        <f t="array" aca="1" ref="B1217" ca="1">IFERROR(DATE(RIGHT(INDIRECT("RC[-1]",0),4),LEFT(INDIRECT("RC[-1]",0),2),1), "")</f>
        <v/>
      </c>
      <c r="C1217" s="182"/>
      <c r="F1217" cm="1">
        <f t="array" aca="1" ref="F1217" ca="1">IF(COUNTIF($E$2:$E$2000,INDIRECT("RC[-2]",0))&gt;0,"",INDIRECT("RC[-2]",0))</f>
        <v>0</v>
      </c>
    </row>
    <row r="1218" spans="2:6">
      <c r="B1218" t="str" cm="1">
        <f t="array" aca="1" ref="B1218" ca="1">IFERROR(DATE(RIGHT(INDIRECT("RC[-1]",0),4),LEFT(INDIRECT("RC[-1]",0),2),1), "")</f>
        <v/>
      </c>
      <c r="C1218" s="182"/>
      <c r="F1218" cm="1">
        <f t="array" aca="1" ref="F1218" ca="1">IF(COUNTIF($E$2:$E$2000,INDIRECT("RC[-2]",0))&gt;0,"",INDIRECT("RC[-2]",0))</f>
        <v>0</v>
      </c>
    </row>
    <row r="1219" spans="2:6">
      <c r="B1219" t="str" cm="1">
        <f t="array" aca="1" ref="B1219" ca="1">IFERROR(DATE(RIGHT(INDIRECT("RC[-1]",0),4),LEFT(INDIRECT("RC[-1]",0),2),1), "")</f>
        <v/>
      </c>
      <c r="C1219" s="182"/>
      <c r="F1219" cm="1">
        <f t="array" aca="1" ref="F1219" ca="1">IF(COUNTIF($E$2:$E$2000,INDIRECT("RC[-2]",0))&gt;0,"",INDIRECT("RC[-2]",0))</f>
        <v>0</v>
      </c>
    </row>
    <row r="1220" spans="2:6">
      <c r="B1220" t="str" cm="1">
        <f t="array" aca="1" ref="B1220" ca="1">IFERROR(DATE(RIGHT(INDIRECT("RC[-1]",0),4),LEFT(INDIRECT("RC[-1]",0),2),1), "")</f>
        <v/>
      </c>
      <c r="C1220" s="182"/>
      <c r="F1220" cm="1">
        <f t="array" aca="1" ref="F1220" ca="1">IF(COUNTIF($E$2:$E$2000,INDIRECT("RC[-2]",0))&gt;0,"",INDIRECT("RC[-2]",0))</f>
        <v>0</v>
      </c>
    </row>
    <row r="1221" spans="2:6">
      <c r="B1221" t="str" cm="1">
        <f t="array" aca="1" ref="B1221" ca="1">IFERROR(DATE(RIGHT(INDIRECT("RC[-1]",0),4),LEFT(INDIRECT("RC[-1]",0),2),1), "")</f>
        <v/>
      </c>
      <c r="C1221" s="182"/>
      <c r="F1221" cm="1">
        <f t="array" aca="1" ref="F1221" ca="1">IF(COUNTIF($E$2:$E$2000,INDIRECT("RC[-2]",0))&gt;0,"",INDIRECT("RC[-2]",0))</f>
        <v>0</v>
      </c>
    </row>
    <row r="1222" spans="2:6">
      <c r="B1222" t="str" cm="1">
        <f t="array" aca="1" ref="B1222" ca="1">IFERROR(DATE(RIGHT(INDIRECT("RC[-1]",0),4),LEFT(INDIRECT("RC[-1]",0),2),1), "")</f>
        <v/>
      </c>
      <c r="C1222" s="182"/>
      <c r="F1222" cm="1">
        <f t="array" aca="1" ref="F1222" ca="1">IF(COUNTIF($E$2:$E$2000,INDIRECT("RC[-2]",0))&gt;0,"",INDIRECT("RC[-2]",0))</f>
        <v>0</v>
      </c>
    </row>
    <row r="1223" spans="2:6">
      <c r="B1223" t="str" cm="1">
        <f t="array" aca="1" ref="B1223" ca="1">IFERROR(DATE(RIGHT(INDIRECT("RC[-1]",0),4),LEFT(INDIRECT("RC[-1]",0),2),1), "")</f>
        <v/>
      </c>
      <c r="C1223" s="182"/>
      <c r="F1223" cm="1">
        <f t="array" aca="1" ref="F1223" ca="1">IF(COUNTIF($E$2:$E$2000,INDIRECT("RC[-2]",0))&gt;0,"",INDIRECT("RC[-2]",0))</f>
        <v>0</v>
      </c>
    </row>
    <row r="1224" spans="2:6">
      <c r="B1224" t="str" cm="1">
        <f t="array" aca="1" ref="B1224" ca="1">IFERROR(DATE(RIGHT(INDIRECT("RC[-1]",0),4),LEFT(INDIRECT("RC[-1]",0),2),1), "")</f>
        <v/>
      </c>
      <c r="C1224" s="182"/>
      <c r="F1224" cm="1">
        <f t="array" aca="1" ref="F1224" ca="1">IF(COUNTIF($E$2:$E$2000,INDIRECT("RC[-2]",0))&gt;0,"",INDIRECT("RC[-2]",0))</f>
        <v>0</v>
      </c>
    </row>
    <row r="1225" spans="2:6">
      <c r="B1225" t="str" cm="1">
        <f t="array" aca="1" ref="B1225" ca="1">IFERROR(DATE(RIGHT(INDIRECT("RC[-1]",0),4),LEFT(INDIRECT("RC[-1]",0),2),1), "")</f>
        <v/>
      </c>
      <c r="C1225" s="182"/>
      <c r="F1225" cm="1">
        <f t="array" aca="1" ref="F1225" ca="1">IF(COUNTIF($E$2:$E$2000,INDIRECT("RC[-2]",0))&gt;0,"",INDIRECT("RC[-2]",0))</f>
        <v>0</v>
      </c>
    </row>
    <row r="1226" spans="2:6">
      <c r="B1226" t="str" cm="1">
        <f t="array" aca="1" ref="B1226" ca="1">IFERROR(DATE(RIGHT(INDIRECT("RC[-1]",0),4),LEFT(INDIRECT("RC[-1]",0),2),1), "")</f>
        <v/>
      </c>
      <c r="C1226" s="182"/>
      <c r="F1226" cm="1">
        <f t="array" aca="1" ref="F1226" ca="1">IF(COUNTIF($E$2:$E$2000,INDIRECT("RC[-2]",0))&gt;0,"",INDIRECT("RC[-2]",0))</f>
        <v>0</v>
      </c>
    </row>
    <row r="1227" spans="2:6">
      <c r="B1227" t="str" cm="1">
        <f t="array" aca="1" ref="B1227" ca="1">IFERROR(DATE(RIGHT(INDIRECT("RC[-1]",0),4),LEFT(INDIRECT("RC[-1]",0),2),1), "")</f>
        <v/>
      </c>
      <c r="C1227" s="182"/>
      <c r="F1227" cm="1">
        <f t="array" aca="1" ref="F1227" ca="1">IF(COUNTIF($E$2:$E$2000,INDIRECT("RC[-2]",0))&gt;0,"",INDIRECT("RC[-2]",0))</f>
        <v>0</v>
      </c>
    </row>
    <row r="1228" spans="2:6">
      <c r="B1228" t="str" cm="1">
        <f t="array" aca="1" ref="B1228" ca="1">IFERROR(DATE(RIGHT(INDIRECT("RC[-1]",0),4),LEFT(INDIRECT("RC[-1]",0),2),1), "")</f>
        <v/>
      </c>
      <c r="C1228" s="182"/>
      <c r="F1228" cm="1">
        <f t="array" aca="1" ref="F1228" ca="1">IF(COUNTIF($E$2:$E$2000,INDIRECT("RC[-2]",0))&gt;0,"",INDIRECT("RC[-2]",0))</f>
        <v>0</v>
      </c>
    </row>
    <row r="1229" spans="2:6">
      <c r="B1229" t="str" cm="1">
        <f t="array" aca="1" ref="B1229" ca="1">IFERROR(DATE(RIGHT(INDIRECT("RC[-1]",0),4),LEFT(INDIRECT("RC[-1]",0),2),1), "")</f>
        <v/>
      </c>
      <c r="C1229" s="182"/>
      <c r="F1229" cm="1">
        <f t="array" aca="1" ref="F1229" ca="1">IF(COUNTIF($E$2:$E$2000,INDIRECT("RC[-2]",0))&gt;0,"",INDIRECT("RC[-2]",0))</f>
        <v>0</v>
      </c>
    </row>
    <row r="1230" spans="2:6">
      <c r="B1230" t="str" cm="1">
        <f t="array" aca="1" ref="B1230" ca="1">IFERROR(DATE(RIGHT(INDIRECT("RC[-1]",0),4),LEFT(INDIRECT("RC[-1]",0),2),1), "")</f>
        <v/>
      </c>
      <c r="C1230" s="182"/>
      <c r="F1230" cm="1">
        <f t="array" aca="1" ref="F1230" ca="1">IF(COUNTIF($E$2:$E$2000,INDIRECT("RC[-2]",0))&gt;0,"",INDIRECT("RC[-2]",0))</f>
        <v>0</v>
      </c>
    </row>
    <row r="1231" spans="2:6">
      <c r="B1231" t="str" cm="1">
        <f t="array" aca="1" ref="B1231" ca="1">IFERROR(DATE(RIGHT(INDIRECT("RC[-1]",0),4),LEFT(INDIRECT("RC[-1]",0),2),1), "")</f>
        <v/>
      </c>
      <c r="C1231" s="182"/>
      <c r="F1231" cm="1">
        <f t="array" aca="1" ref="F1231" ca="1">IF(COUNTIF($E$2:$E$2000,INDIRECT("RC[-2]",0))&gt;0,"",INDIRECT("RC[-2]",0))</f>
        <v>0</v>
      </c>
    </row>
    <row r="1232" spans="2:6">
      <c r="B1232" t="str" cm="1">
        <f t="array" aca="1" ref="B1232" ca="1">IFERROR(DATE(RIGHT(INDIRECT("RC[-1]",0),4),LEFT(INDIRECT("RC[-1]",0),2),1), "")</f>
        <v/>
      </c>
      <c r="C1232" s="182"/>
      <c r="F1232" cm="1">
        <f t="array" aca="1" ref="F1232" ca="1">IF(COUNTIF($E$2:$E$2000,INDIRECT("RC[-2]",0))&gt;0,"",INDIRECT("RC[-2]",0))</f>
        <v>0</v>
      </c>
    </row>
    <row r="1233" spans="2:6">
      <c r="B1233" t="str" cm="1">
        <f t="array" aca="1" ref="B1233" ca="1">IFERROR(DATE(RIGHT(INDIRECT("RC[-1]",0),4),LEFT(INDIRECT("RC[-1]",0),2),1), "")</f>
        <v/>
      </c>
      <c r="C1233" s="182"/>
      <c r="F1233" cm="1">
        <f t="array" aca="1" ref="F1233" ca="1">IF(COUNTIF($E$2:$E$2000,INDIRECT("RC[-2]",0))&gt;0,"",INDIRECT("RC[-2]",0))</f>
        <v>0</v>
      </c>
    </row>
    <row r="1234" spans="2:6">
      <c r="B1234" t="str" cm="1">
        <f t="array" aca="1" ref="B1234" ca="1">IFERROR(DATE(RIGHT(INDIRECT("RC[-1]",0),4),LEFT(INDIRECT("RC[-1]",0),2),1), "")</f>
        <v/>
      </c>
      <c r="C1234" s="182"/>
      <c r="F1234" cm="1">
        <f t="array" aca="1" ref="F1234" ca="1">IF(COUNTIF($E$2:$E$2000,INDIRECT("RC[-2]",0))&gt;0,"",INDIRECT("RC[-2]",0))</f>
        <v>0</v>
      </c>
    </row>
    <row r="1235" spans="2:6">
      <c r="B1235" t="str" cm="1">
        <f t="array" aca="1" ref="B1235" ca="1">IFERROR(DATE(RIGHT(INDIRECT("RC[-1]",0),4),LEFT(INDIRECT("RC[-1]",0),2),1), "")</f>
        <v/>
      </c>
      <c r="C1235" s="182"/>
      <c r="F1235" cm="1">
        <f t="array" aca="1" ref="F1235" ca="1">IF(COUNTIF($E$2:$E$2000,INDIRECT("RC[-2]",0))&gt;0,"",INDIRECT("RC[-2]",0))</f>
        <v>0</v>
      </c>
    </row>
    <row r="1236" spans="2:6">
      <c r="B1236" t="str" cm="1">
        <f t="array" aca="1" ref="B1236" ca="1">IFERROR(DATE(RIGHT(INDIRECT("RC[-1]",0),4),LEFT(INDIRECT("RC[-1]",0),2),1), "")</f>
        <v/>
      </c>
      <c r="C1236" s="182"/>
      <c r="F1236" cm="1">
        <f t="array" aca="1" ref="F1236" ca="1">IF(COUNTIF($E$2:$E$2000,INDIRECT("RC[-2]",0))&gt;0,"",INDIRECT("RC[-2]",0))</f>
        <v>0</v>
      </c>
    </row>
    <row r="1237" spans="2:6">
      <c r="B1237" t="str" cm="1">
        <f t="array" aca="1" ref="B1237" ca="1">IFERROR(DATE(RIGHT(INDIRECT("RC[-1]",0),4),LEFT(INDIRECT("RC[-1]",0),2),1), "")</f>
        <v/>
      </c>
      <c r="C1237" s="182"/>
      <c r="F1237" cm="1">
        <f t="array" aca="1" ref="F1237" ca="1">IF(COUNTIF($E$2:$E$2000,INDIRECT("RC[-2]",0))&gt;0,"",INDIRECT("RC[-2]",0))</f>
        <v>0</v>
      </c>
    </row>
    <row r="1238" spans="2:6">
      <c r="B1238" t="str" cm="1">
        <f t="array" aca="1" ref="B1238" ca="1">IFERROR(DATE(RIGHT(INDIRECT("RC[-1]",0),4),LEFT(INDIRECT("RC[-1]",0),2),1), "")</f>
        <v/>
      </c>
      <c r="C1238" s="182"/>
      <c r="F1238" cm="1">
        <f t="array" aca="1" ref="F1238" ca="1">IF(COUNTIF($E$2:$E$2000,INDIRECT("RC[-2]",0))&gt;0,"",INDIRECT("RC[-2]",0))</f>
        <v>0</v>
      </c>
    </row>
    <row r="1239" spans="2:6">
      <c r="B1239" t="str" cm="1">
        <f t="array" aca="1" ref="B1239" ca="1">IFERROR(DATE(RIGHT(INDIRECT("RC[-1]",0),4),LEFT(INDIRECT("RC[-1]",0),2),1), "")</f>
        <v/>
      </c>
      <c r="C1239" s="182"/>
      <c r="F1239" cm="1">
        <f t="array" aca="1" ref="F1239" ca="1">IF(COUNTIF($E$2:$E$2000,INDIRECT("RC[-2]",0))&gt;0,"",INDIRECT("RC[-2]",0))</f>
        <v>0</v>
      </c>
    </row>
    <row r="1240" spans="2:6">
      <c r="B1240" t="str" cm="1">
        <f t="array" aca="1" ref="B1240" ca="1">IFERROR(DATE(RIGHT(INDIRECT("RC[-1]",0),4),LEFT(INDIRECT("RC[-1]",0),2),1), "")</f>
        <v/>
      </c>
      <c r="C1240" s="182"/>
      <c r="F1240" cm="1">
        <f t="array" aca="1" ref="F1240" ca="1">IF(COUNTIF($E$2:$E$2000,INDIRECT("RC[-2]",0))&gt;0,"",INDIRECT("RC[-2]",0))</f>
        <v>0</v>
      </c>
    </row>
    <row r="1241" spans="2:6">
      <c r="B1241" t="str" cm="1">
        <f t="array" aca="1" ref="B1241" ca="1">IFERROR(DATE(RIGHT(INDIRECT("RC[-1]",0),4),LEFT(INDIRECT("RC[-1]",0),2),1), "")</f>
        <v/>
      </c>
      <c r="C1241" s="182"/>
      <c r="F1241" cm="1">
        <f t="array" aca="1" ref="F1241" ca="1">IF(COUNTIF($E$2:$E$2000,INDIRECT("RC[-2]",0))&gt;0,"",INDIRECT("RC[-2]",0))</f>
        <v>0</v>
      </c>
    </row>
    <row r="1242" spans="2:6">
      <c r="B1242" t="str" cm="1">
        <f t="array" aca="1" ref="B1242" ca="1">IFERROR(DATE(RIGHT(INDIRECT("RC[-1]",0),4),LEFT(INDIRECT("RC[-1]",0),2),1), "")</f>
        <v/>
      </c>
      <c r="C1242" s="182"/>
      <c r="F1242" cm="1">
        <f t="array" aca="1" ref="F1242" ca="1">IF(COUNTIF($E$2:$E$2000,INDIRECT("RC[-2]",0))&gt;0,"",INDIRECT("RC[-2]",0))</f>
        <v>0</v>
      </c>
    </row>
    <row r="1243" spans="2:6">
      <c r="B1243" t="str" cm="1">
        <f t="array" aca="1" ref="B1243" ca="1">IFERROR(DATE(RIGHT(INDIRECT("RC[-1]",0),4),LEFT(INDIRECT("RC[-1]",0),2),1), "")</f>
        <v/>
      </c>
      <c r="C1243" s="182"/>
      <c r="F1243" cm="1">
        <f t="array" aca="1" ref="F1243" ca="1">IF(COUNTIF($E$2:$E$2000,INDIRECT("RC[-2]",0))&gt;0,"",INDIRECT("RC[-2]",0))</f>
        <v>0</v>
      </c>
    </row>
    <row r="1244" spans="2:6">
      <c r="B1244" t="str" cm="1">
        <f t="array" aca="1" ref="B1244" ca="1">IFERROR(DATE(RIGHT(INDIRECT("RC[-1]",0),4),LEFT(INDIRECT("RC[-1]",0),2),1), "")</f>
        <v/>
      </c>
      <c r="C1244" s="182"/>
      <c r="F1244" cm="1">
        <f t="array" aca="1" ref="F1244" ca="1">IF(COUNTIF($E$2:$E$2000,INDIRECT("RC[-2]",0))&gt;0,"",INDIRECT("RC[-2]",0))</f>
        <v>0</v>
      </c>
    </row>
    <row r="1245" spans="2:6">
      <c r="B1245" t="str" cm="1">
        <f t="array" aca="1" ref="B1245" ca="1">IFERROR(DATE(RIGHT(INDIRECT("RC[-1]",0),4),LEFT(INDIRECT("RC[-1]",0),2),1), "")</f>
        <v/>
      </c>
      <c r="C1245" s="182"/>
      <c r="F1245" cm="1">
        <f t="array" aca="1" ref="F1245" ca="1">IF(COUNTIF($E$2:$E$2000,INDIRECT("RC[-2]",0))&gt;0,"",INDIRECT("RC[-2]",0))</f>
        <v>0</v>
      </c>
    </row>
    <row r="1246" spans="2:6">
      <c r="B1246" t="str" cm="1">
        <f t="array" aca="1" ref="B1246" ca="1">IFERROR(DATE(RIGHT(INDIRECT("RC[-1]",0),4),LEFT(INDIRECT("RC[-1]",0),2),1), "")</f>
        <v/>
      </c>
      <c r="C1246" s="182"/>
      <c r="F1246" cm="1">
        <f t="array" aca="1" ref="F1246" ca="1">IF(COUNTIF($E$2:$E$2000,INDIRECT("RC[-2]",0))&gt;0,"",INDIRECT("RC[-2]",0))</f>
        <v>0</v>
      </c>
    </row>
    <row r="1247" spans="2:6">
      <c r="B1247" t="str" cm="1">
        <f t="array" aca="1" ref="B1247" ca="1">IFERROR(DATE(RIGHT(INDIRECT("RC[-1]",0),4),LEFT(INDIRECT("RC[-1]",0),2),1), "")</f>
        <v/>
      </c>
      <c r="C1247" s="182"/>
      <c r="F1247" cm="1">
        <f t="array" aca="1" ref="F1247" ca="1">IF(COUNTIF($E$2:$E$2000,INDIRECT("RC[-2]",0))&gt;0,"",INDIRECT("RC[-2]",0))</f>
        <v>0</v>
      </c>
    </row>
    <row r="1248" spans="2:6">
      <c r="B1248" t="str" cm="1">
        <f t="array" aca="1" ref="B1248" ca="1">IFERROR(DATE(RIGHT(INDIRECT("RC[-1]",0),4),LEFT(INDIRECT("RC[-1]",0),2),1), "")</f>
        <v/>
      </c>
      <c r="C1248" s="182"/>
      <c r="F1248" cm="1">
        <f t="array" aca="1" ref="F1248" ca="1">IF(COUNTIF($E$2:$E$2000,INDIRECT("RC[-2]",0))&gt;0,"",INDIRECT("RC[-2]",0))</f>
        <v>0</v>
      </c>
    </row>
    <row r="1249" spans="2:6">
      <c r="B1249" t="str" cm="1">
        <f t="array" aca="1" ref="B1249" ca="1">IFERROR(DATE(RIGHT(INDIRECT("RC[-1]",0),4),LEFT(INDIRECT("RC[-1]",0),2),1), "")</f>
        <v/>
      </c>
      <c r="C1249" s="182"/>
      <c r="F1249" cm="1">
        <f t="array" aca="1" ref="F1249" ca="1">IF(COUNTIF($E$2:$E$2000,INDIRECT("RC[-2]",0))&gt;0,"",INDIRECT("RC[-2]",0))</f>
        <v>0</v>
      </c>
    </row>
    <row r="1250" spans="2:6">
      <c r="B1250" t="str" cm="1">
        <f t="array" aca="1" ref="B1250" ca="1">IFERROR(DATE(RIGHT(INDIRECT("RC[-1]",0),4),LEFT(INDIRECT("RC[-1]",0),2),1), "")</f>
        <v/>
      </c>
      <c r="C1250" s="182"/>
      <c r="F1250" cm="1">
        <f t="array" aca="1" ref="F1250" ca="1">IF(COUNTIF($E$2:$E$2000,INDIRECT("RC[-2]",0))&gt;0,"",INDIRECT("RC[-2]",0))</f>
        <v>0</v>
      </c>
    </row>
    <row r="1251" spans="2:6">
      <c r="B1251" t="str" cm="1">
        <f t="array" aca="1" ref="B1251" ca="1">IFERROR(DATE(RIGHT(INDIRECT("RC[-1]",0),4),LEFT(INDIRECT("RC[-1]",0),2),1), "")</f>
        <v/>
      </c>
      <c r="C1251" s="182"/>
      <c r="F1251" cm="1">
        <f t="array" aca="1" ref="F1251" ca="1">IF(COUNTIF($E$2:$E$2000,INDIRECT("RC[-2]",0))&gt;0,"",INDIRECT("RC[-2]",0))</f>
        <v>0</v>
      </c>
    </row>
    <row r="1252" spans="2:6">
      <c r="B1252" t="str" cm="1">
        <f t="array" aca="1" ref="B1252" ca="1">IFERROR(DATE(RIGHT(INDIRECT("RC[-1]",0),4),LEFT(INDIRECT("RC[-1]",0),2),1), "")</f>
        <v/>
      </c>
      <c r="C1252" s="182"/>
      <c r="F1252" cm="1">
        <f t="array" aca="1" ref="F1252" ca="1">IF(COUNTIF($E$2:$E$2000,INDIRECT("RC[-2]",0))&gt;0,"",INDIRECT("RC[-2]",0))</f>
        <v>0</v>
      </c>
    </row>
    <row r="1253" spans="2:6">
      <c r="B1253" t="str" cm="1">
        <f t="array" aca="1" ref="B1253" ca="1">IFERROR(DATE(RIGHT(INDIRECT("RC[-1]",0),4),LEFT(INDIRECT("RC[-1]",0),2),1), "")</f>
        <v/>
      </c>
      <c r="C1253" s="182"/>
      <c r="F1253" cm="1">
        <f t="array" aca="1" ref="F1253" ca="1">IF(COUNTIF($E$2:$E$2000,INDIRECT("RC[-2]",0))&gt;0,"",INDIRECT("RC[-2]",0))</f>
        <v>0</v>
      </c>
    </row>
    <row r="1254" spans="2:6">
      <c r="B1254" t="str" cm="1">
        <f t="array" aca="1" ref="B1254" ca="1">IFERROR(DATE(RIGHT(INDIRECT("RC[-1]",0),4),LEFT(INDIRECT("RC[-1]",0),2),1), "")</f>
        <v/>
      </c>
      <c r="C1254" s="182"/>
      <c r="F1254" cm="1">
        <f t="array" aca="1" ref="F1254" ca="1">IF(COUNTIF($E$2:$E$2000,INDIRECT("RC[-2]",0))&gt;0,"",INDIRECT("RC[-2]",0))</f>
        <v>0</v>
      </c>
    </row>
    <row r="1255" spans="2:6">
      <c r="B1255" t="str" cm="1">
        <f t="array" aca="1" ref="B1255" ca="1">IFERROR(DATE(RIGHT(INDIRECT("RC[-1]",0),4),LEFT(INDIRECT("RC[-1]",0),2),1), "")</f>
        <v/>
      </c>
      <c r="C1255" s="182"/>
      <c r="F1255" cm="1">
        <f t="array" aca="1" ref="F1255" ca="1">IF(COUNTIF($E$2:$E$2000,INDIRECT("RC[-2]",0))&gt;0,"",INDIRECT("RC[-2]",0))</f>
        <v>0</v>
      </c>
    </row>
    <row r="1256" spans="2:6">
      <c r="B1256" t="str" cm="1">
        <f t="array" aca="1" ref="B1256" ca="1">IFERROR(DATE(RIGHT(INDIRECT("RC[-1]",0),4),LEFT(INDIRECT("RC[-1]",0),2),1), "")</f>
        <v/>
      </c>
      <c r="C1256" s="182"/>
      <c r="F1256" cm="1">
        <f t="array" aca="1" ref="F1256" ca="1">IF(COUNTIF($E$2:$E$2000,INDIRECT("RC[-2]",0))&gt;0,"",INDIRECT("RC[-2]",0))</f>
        <v>0</v>
      </c>
    </row>
    <row r="1257" spans="2:6">
      <c r="B1257" t="str" cm="1">
        <f t="array" aca="1" ref="B1257" ca="1">IFERROR(DATE(RIGHT(INDIRECT("RC[-1]",0),4),LEFT(INDIRECT("RC[-1]",0),2),1), "")</f>
        <v/>
      </c>
      <c r="C1257" s="182"/>
      <c r="F1257" cm="1">
        <f t="array" aca="1" ref="F1257" ca="1">IF(COUNTIF($E$2:$E$2000,INDIRECT("RC[-2]",0))&gt;0,"",INDIRECT("RC[-2]",0))</f>
        <v>0</v>
      </c>
    </row>
    <row r="1258" spans="2:6">
      <c r="B1258" t="str" cm="1">
        <f t="array" aca="1" ref="B1258" ca="1">IFERROR(DATE(RIGHT(INDIRECT("RC[-1]",0),4),LEFT(INDIRECT("RC[-1]",0),2),1), "")</f>
        <v/>
      </c>
      <c r="C1258" s="182"/>
      <c r="F1258" cm="1">
        <f t="array" aca="1" ref="F1258" ca="1">IF(COUNTIF($E$2:$E$2000,INDIRECT("RC[-2]",0))&gt;0,"",INDIRECT("RC[-2]",0))</f>
        <v>0</v>
      </c>
    </row>
    <row r="1259" spans="2:6">
      <c r="B1259" t="str" cm="1">
        <f t="array" aca="1" ref="B1259" ca="1">IFERROR(DATE(RIGHT(INDIRECT("RC[-1]",0),4),LEFT(INDIRECT("RC[-1]",0),2),1), "")</f>
        <v/>
      </c>
      <c r="C1259" s="182"/>
      <c r="F1259" cm="1">
        <f t="array" aca="1" ref="F1259" ca="1">IF(COUNTIF($E$2:$E$2000,INDIRECT("RC[-2]",0))&gt;0,"",INDIRECT("RC[-2]",0))</f>
        <v>0</v>
      </c>
    </row>
    <row r="1260" spans="2:6">
      <c r="B1260" t="str" cm="1">
        <f t="array" aca="1" ref="B1260" ca="1">IFERROR(DATE(RIGHT(INDIRECT("RC[-1]",0),4),LEFT(INDIRECT("RC[-1]",0),2),1), "")</f>
        <v/>
      </c>
      <c r="C1260" s="182"/>
      <c r="F1260" cm="1">
        <f t="array" aca="1" ref="F1260" ca="1">IF(COUNTIF($E$2:$E$2000,INDIRECT("RC[-2]",0))&gt;0,"",INDIRECT("RC[-2]",0))</f>
        <v>0</v>
      </c>
    </row>
    <row r="1261" spans="2:6">
      <c r="B1261" t="str" cm="1">
        <f t="array" aca="1" ref="B1261" ca="1">IFERROR(DATE(RIGHT(INDIRECT("RC[-1]",0),4),LEFT(INDIRECT("RC[-1]",0),2),1), "")</f>
        <v/>
      </c>
      <c r="C1261" s="182"/>
      <c r="F1261" cm="1">
        <f t="array" aca="1" ref="F1261" ca="1">IF(COUNTIF($E$2:$E$2000,INDIRECT("RC[-2]",0))&gt;0,"",INDIRECT("RC[-2]",0))</f>
        <v>0</v>
      </c>
    </row>
    <row r="1262" spans="2:6">
      <c r="B1262" t="str" cm="1">
        <f t="array" aca="1" ref="B1262" ca="1">IFERROR(DATE(RIGHT(INDIRECT("RC[-1]",0),4),LEFT(INDIRECT("RC[-1]",0),2),1), "")</f>
        <v/>
      </c>
      <c r="C1262" s="182"/>
      <c r="F1262" cm="1">
        <f t="array" aca="1" ref="F1262" ca="1">IF(COUNTIF($E$2:$E$2000,INDIRECT("RC[-2]",0))&gt;0,"",INDIRECT("RC[-2]",0))</f>
        <v>0</v>
      </c>
    </row>
    <row r="1263" spans="2:6">
      <c r="B1263" t="str" cm="1">
        <f t="array" aca="1" ref="B1263" ca="1">IFERROR(DATE(RIGHT(INDIRECT("RC[-1]",0),4),LEFT(INDIRECT("RC[-1]",0),2),1), "")</f>
        <v/>
      </c>
      <c r="C1263" s="182"/>
      <c r="F1263" cm="1">
        <f t="array" aca="1" ref="F1263" ca="1">IF(COUNTIF($E$2:$E$2000,INDIRECT("RC[-2]",0))&gt;0,"",INDIRECT("RC[-2]",0))</f>
        <v>0</v>
      </c>
    </row>
    <row r="1264" spans="2:6">
      <c r="B1264" t="str" cm="1">
        <f t="array" aca="1" ref="B1264" ca="1">IFERROR(DATE(RIGHT(INDIRECT("RC[-1]",0),4),LEFT(INDIRECT("RC[-1]",0),2),1), "")</f>
        <v/>
      </c>
      <c r="C1264" s="182"/>
      <c r="F1264" cm="1">
        <f t="array" aca="1" ref="F1264" ca="1">IF(COUNTIF($E$2:$E$2000,INDIRECT("RC[-2]",0))&gt;0,"",INDIRECT("RC[-2]",0))</f>
        <v>0</v>
      </c>
    </row>
    <row r="1265" spans="2:6">
      <c r="B1265" t="str" cm="1">
        <f t="array" aca="1" ref="B1265" ca="1">IFERROR(DATE(RIGHT(INDIRECT("RC[-1]",0),4),LEFT(INDIRECT("RC[-1]",0),2),1), "")</f>
        <v/>
      </c>
      <c r="C1265" s="182"/>
      <c r="F1265" cm="1">
        <f t="array" aca="1" ref="F1265" ca="1">IF(COUNTIF($E$2:$E$2000,INDIRECT("RC[-2]",0))&gt;0,"",INDIRECT("RC[-2]",0))</f>
        <v>0</v>
      </c>
    </row>
    <row r="1266" spans="2:6">
      <c r="B1266" t="str" cm="1">
        <f t="array" aca="1" ref="B1266" ca="1">IFERROR(DATE(RIGHT(INDIRECT("RC[-1]",0),4),LEFT(INDIRECT("RC[-1]",0),2),1), "")</f>
        <v/>
      </c>
      <c r="C1266" s="182"/>
      <c r="F1266" cm="1">
        <f t="array" aca="1" ref="F1266" ca="1">IF(COUNTIF($E$2:$E$2000,INDIRECT("RC[-2]",0))&gt;0,"",INDIRECT("RC[-2]",0))</f>
        <v>0</v>
      </c>
    </row>
    <row r="1267" spans="2:6">
      <c r="B1267" t="str" cm="1">
        <f t="array" aca="1" ref="B1267" ca="1">IFERROR(DATE(RIGHT(INDIRECT("RC[-1]",0),4),LEFT(INDIRECT("RC[-1]",0),2),1), "")</f>
        <v/>
      </c>
      <c r="C1267" s="182"/>
      <c r="F1267" cm="1">
        <f t="array" aca="1" ref="F1267" ca="1">IF(COUNTIF($E$2:$E$2000,INDIRECT("RC[-2]",0))&gt;0,"",INDIRECT("RC[-2]",0))</f>
        <v>0</v>
      </c>
    </row>
    <row r="1268" spans="2:6">
      <c r="B1268" t="str" cm="1">
        <f t="array" aca="1" ref="B1268" ca="1">IFERROR(DATE(RIGHT(INDIRECT("RC[-1]",0),4),LEFT(INDIRECT("RC[-1]",0),2),1), "")</f>
        <v/>
      </c>
      <c r="C1268" s="182"/>
      <c r="F1268" cm="1">
        <f t="array" aca="1" ref="F1268" ca="1">IF(COUNTIF($E$2:$E$2000,INDIRECT("RC[-2]",0))&gt;0,"",INDIRECT("RC[-2]",0))</f>
        <v>0</v>
      </c>
    </row>
    <row r="1269" spans="2:6">
      <c r="B1269" t="str" cm="1">
        <f t="array" aca="1" ref="B1269" ca="1">IFERROR(DATE(RIGHT(INDIRECT("RC[-1]",0),4),LEFT(INDIRECT("RC[-1]",0),2),1), "")</f>
        <v/>
      </c>
      <c r="C1269" s="182"/>
      <c r="F1269" cm="1">
        <f t="array" aca="1" ref="F1269" ca="1">IF(COUNTIF($E$2:$E$2000,INDIRECT("RC[-2]",0))&gt;0,"",INDIRECT("RC[-2]",0))</f>
        <v>0</v>
      </c>
    </row>
    <row r="1270" spans="2:6">
      <c r="B1270" t="str" cm="1">
        <f t="array" aca="1" ref="B1270" ca="1">IFERROR(DATE(RIGHT(INDIRECT("RC[-1]",0),4),LEFT(INDIRECT("RC[-1]",0),2),1), "")</f>
        <v/>
      </c>
      <c r="C1270" s="182"/>
      <c r="F1270" cm="1">
        <f t="array" aca="1" ref="F1270" ca="1">IF(COUNTIF($E$2:$E$2000,INDIRECT("RC[-2]",0))&gt;0,"",INDIRECT("RC[-2]",0))</f>
        <v>0</v>
      </c>
    </row>
    <row r="1271" spans="2:6">
      <c r="B1271" t="str" cm="1">
        <f t="array" aca="1" ref="B1271" ca="1">IFERROR(DATE(RIGHT(INDIRECT("RC[-1]",0),4),LEFT(INDIRECT("RC[-1]",0),2),1), "")</f>
        <v/>
      </c>
      <c r="C1271" s="182"/>
      <c r="F1271" cm="1">
        <f t="array" aca="1" ref="F1271" ca="1">IF(COUNTIF($E$2:$E$2000,INDIRECT("RC[-2]",0))&gt;0,"",INDIRECT("RC[-2]",0))</f>
        <v>0</v>
      </c>
    </row>
    <row r="1272" spans="2:6">
      <c r="B1272" t="str" cm="1">
        <f t="array" aca="1" ref="B1272" ca="1">IFERROR(DATE(RIGHT(INDIRECT("RC[-1]",0),4),LEFT(INDIRECT("RC[-1]",0),2),1), "")</f>
        <v/>
      </c>
      <c r="C1272" s="182"/>
      <c r="F1272" cm="1">
        <f t="array" aca="1" ref="F1272" ca="1">IF(COUNTIF($E$2:$E$2000,INDIRECT("RC[-2]",0))&gt;0,"",INDIRECT("RC[-2]",0))</f>
        <v>0</v>
      </c>
    </row>
    <row r="1273" spans="2:6">
      <c r="B1273" t="str" cm="1">
        <f t="array" aca="1" ref="B1273" ca="1">IFERROR(DATE(RIGHT(INDIRECT("RC[-1]",0),4),LEFT(INDIRECT("RC[-1]",0),2),1), "")</f>
        <v/>
      </c>
      <c r="C1273" s="182"/>
      <c r="F1273" cm="1">
        <f t="array" aca="1" ref="F1273" ca="1">IF(COUNTIF($E$2:$E$2000,INDIRECT("RC[-2]",0))&gt;0,"",INDIRECT("RC[-2]",0))</f>
        <v>0</v>
      </c>
    </row>
    <row r="1274" spans="2:6">
      <c r="B1274" t="str" cm="1">
        <f t="array" aca="1" ref="B1274" ca="1">IFERROR(DATE(RIGHT(INDIRECT("RC[-1]",0),4),LEFT(INDIRECT("RC[-1]",0),2),1), "")</f>
        <v/>
      </c>
      <c r="C1274" s="182"/>
      <c r="F1274" cm="1">
        <f t="array" aca="1" ref="F1274" ca="1">IF(COUNTIF($E$2:$E$2000,INDIRECT("RC[-2]",0))&gt;0,"",INDIRECT("RC[-2]",0))</f>
        <v>0</v>
      </c>
    </row>
    <row r="1275" spans="2:6">
      <c r="B1275" t="str" cm="1">
        <f t="array" aca="1" ref="B1275" ca="1">IFERROR(DATE(RIGHT(INDIRECT("RC[-1]",0),4),LEFT(INDIRECT("RC[-1]",0),2),1), "")</f>
        <v/>
      </c>
      <c r="C1275" s="182"/>
      <c r="F1275" cm="1">
        <f t="array" aca="1" ref="F1275" ca="1">IF(COUNTIF($E$2:$E$2000,INDIRECT("RC[-2]",0))&gt;0,"",INDIRECT("RC[-2]",0))</f>
        <v>0</v>
      </c>
    </row>
    <row r="1276" spans="2:6">
      <c r="B1276" t="str" cm="1">
        <f t="array" aca="1" ref="B1276" ca="1">IFERROR(DATE(RIGHT(INDIRECT("RC[-1]",0),4),LEFT(INDIRECT("RC[-1]",0),2),1), "")</f>
        <v/>
      </c>
      <c r="C1276" s="182"/>
      <c r="F1276" cm="1">
        <f t="array" aca="1" ref="F1276" ca="1">IF(COUNTIF($E$2:$E$2000,INDIRECT("RC[-2]",0))&gt;0,"",INDIRECT("RC[-2]",0))</f>
        <v>0</v>
      </c>
    </row>
    <row r="1277" spans="2:6">
      <c r="B1277" t="str" cm="1">
        <f t="array" aca="1" ref="B1277" ca="1">IFERROR(DATE(RIGHT(INDIRECT("RC[-1]",0),4),LEFT(INDIRECT("RC[-1]",0),2),1), "")</f>
        <v/>
      </c>
      <c r="C1277" s="182"/>
      <c r="F1277" cm="1">
        <f t="array" aca="1" ref="F1277" ca="1">IF(COUNTIF($E$2:$E$2000,INDIRECT("RC[-2]",0))&gt;0,"",INDIRECT("RC[-2]",0))</f>
        <v>0</v>
      </c>
    </row>
    <row r="1278" spans="2:6">
      <c r="B1278" t="str" cm="1">
        <f t="array" aca="1" ref="B1278" ca="1">IFERROR(DATE(RIGHT(INDIRECT("RC[-1]",0),4),LEFT(INDIRECT("RC[-1]",0),2),1), "")</f>
        <v/>
      </c>
      <c r="C1278" s="182"/>
      <c r="F1278" cm="1">
        <f t="array" aca="1" ref="F1278" ca="1">IF(COUNTIF($E$2:$E$2000,INDIRECT("RC[-2]",0))&gt;0,"",INDIRECT("RC[-2]",0))</f>
        <v>0</v>
      </c>
    </row>
    <row r="1279" spans="2:6">
      <c r="B1279" t="str" cm="1">
        <f t="array" aca="1" ref="B1279" ca="1">IFERROR(DATE(RIGHT(INDIRECT("RC[-1]",0),4),LEFT(INDIRECT("RC[-1]",0),2),1), "")</f>
        <v/>
      </c>
      <c r="C1279" s="182"/>
      <c r="F1279" cm="1">
        <f t="array" aca="1" ref="F1279" ca="1">IF(COUNTIF($E$2:$E$2000,INDIRECT("RC[-2]",0))&gt;0,"",INDIRECT("RC[-2]",0))</f>
        <v>0</v>
      </c>
    </row>
    <row r="1280" spans="2:6">
      <c r="B1280" t="str" cm="1">
        <f t="array" aca="1" ref="B1280" ca="1">IFERROR(DATE(RIGHT(INDIRECT("RC[-1]",0),4),LEFT(INDIRECT("RC[-1]",0),2),1), "")</f>
        <v/>
      </c>
      <c r="C1280" s="182"/>
      <c r="F1280" cm="1">
        <f t="array" aca="1" ref="F1280" ca="1">IF(COUNTIF($E$2:$E$2000,INDIRECT("RC[-2]",0))&gt;0,"",INDIRECT("RC[-2]",0))</f>
        <v>0</v>
      </c>
    </row>
    <row r="1281" spans="2:6">
      <c r="B1281" t="str" cm="1">
        <f t="array" aca="1" ref="B1281" ca="1">IFERROR(DATE(RIGHT(INDIRECT("RC[-1]",0),4),LEFT(INDIRECT("RC[-1]",0),2),1), "")</f>
        <v/>
      </c>
      <c r="C1281" s="182"/>
      <c r="F1281" cm="1">
        <f t="array" aca="1" ref="F1281" ca="1">IF(COUNTIF($E$2:$E$2000,INDIRECT("RC[-2]",0))&gt;0,"",INDIRECT("RC[-2]",0))</f>
        <v>0</v>
      </c>
    </row>
    <row r="1282" spans="2:6">
      <c r="B1282" t="str" cm="1">
        <f t="array" aca="1" ref="B1282" ca="1">IFERROR(DATE(RIGHT(INDIRECT("RC[-1]",0),4),LEFT(INDIRECT("RC[-1]",0),2),1), "")</f>
        <v/>
      </c>
      <c r="C1282" s="182"/>
      <c r="F1282" cm="1">
        <f t="array" aca="1" ref="F1282" ca="1">IF(COUNTIF($E$2:$E$2000,INDIRECT("RC[-2]",0))&gt;0,"",INDIRECT("RC[-2]",0))</f>
        <v>0</v>
      </c>
    </row>
    <row r="1283" spans="2:6">
      <c r="B1283" t="str" cm="1">
        <f t="array" aca="1" ref="B1283" ca="1">IFERROR(DATE(RIGHT(INDIRECT("RC[-1]",0),4),LEFT(INDIRECT("RC[-1]",0),2),1), "")</f>
        <v/>
      </c>
      <c r="C1283" s="182"/>
      <c r="F1283" cm="1">
        <f t="array" aca="1" ref="F1283" ca="1">IF(COUNTIF($E$2:$E$2000,INDIRECT("RC[-2]",0))&gt;0,"",INDIRECT("RC[-2]",0))</f>
        <v>0</v>
      </c>
    </row>
    <row r="1284" spans="2:6">
      <c r="B1284" t="str" cm="1">
        <f t="array" aca="1" ref="B1284" ca="1">IFERROR(DATE(RIGHT(INDIRECT("RC[-1]",0),4),LEFT(INDIRECT("RC[-1]",0),2),1), "")</f>
        <v/>
      </c>
      <c r="C1284" s="182"/>
      <c r="F1284" cm="1">
        <f t="array" aca="1" ref="F1284" ca="1">IF(COUNTIF($E$2:$E$2000,INDIRECT("RC[-2]",0))&gt;0,"",INDIRECT("RC[-2]",0))</f>
        <v>0</v>
      </c>
    </row>
    <row r="1285" spans="2:6">
      <c r="B1285" t="str" cm="1">
        <f t="array" aca="1" ref="B1285" ca="1">IFERROR(DATE(RIGHT(INDIRECT("RC[-1]",0),4),LEFT(INDIRECT("RC[-1]",0),2),1), "")</f>
        <v/>
      </c>
      <c r="C1285" s="182"/>
      <c r="F1285" cm="1">
        <f t="array" aca="1" ref="F1285" ca="1">IF(COUNTIF($E$2:$E$2000,INDIRECT("RC[-2]",0))&gt;0,"",INDIRECT("RC[-2]",0))</f>
        <v>0</v>
      </c>
    </row>
    <row r="1286" spans="2:6">
      <c r="B1286" t="str" cm="1">
        <f t="array" aca="1" ref="B1286" ca="1">IFERROR(DATE(RIGHT(INDIRECT("RC[-1]",0),4),LEFT(INDIRECT("RC[-1]",0),2),1), "")</f>
        <v/>
      </c>
      <c r="C1286" s="182"/>
      <c r="F1286" cm="1">
        <f t="array" aca="1" ref="F1286" ca="1">IF(COUNTIF($E$2:$E$2000,INDIRECT("RC[-2]",0))&gt;0,"",INDIRECT("RC[-2]",0))</f>
        <v>0</v>
      </c>
    </row>
    <row r="1287" spans="2:6">
      <c r="B1287" t="str" cm="1">
        <f t="array" aca="1" ref="B1287" ca="1">IFERROR(DATE(RIGHT(INDIRECT("RC[-1]",0),4),LEFT(INDIRECT("RC[-1]",0),2),1), "")</f>
        <v/>
      </c>
      <c r="C1287" s="182"/>
      <c r="F1287" cm="1">
        <f t="array" aca="1" ref="F1287" ca="1">IF(COUNTIF($E$2:$E$2000,INDIRECT("RC[-2]",0))&gt;0,"",INDIRECT("RC[-2]",0))</f>
        <v>0</v>
      </c>
    </row>
    <row r="1288" spans="2:6">
      <c r="B1288" t="str" cm="1">
        <f t="array" aca="1" ref="B1288" ca="1">IFERROR(DATE(RIGHT(INDIRECT("RC[-1]",0),4),LEFT(INDIRECT("RC[-1]",0),2),1), "")</f>
        <v/>
      </c>
      <c r="C1288" s="182"/>
      <c r="F1288" cm="1">
        <f t="array" aca="1" ref="F1288" ca="1">IF(COUNTIF($E$2:$E$2000,INDIRECT("RC[-2]",0))&gt;0,"",INDIRECT("RC[-2]",0))</f>
        <v>0</v>
      </c>
    </row>
    <row r="1289" spans="2:6">
      <c r="B1289" t="str" cm="1">
        <f t="array" aca="1" ref="B1289" ca="1">IFERROR(DATE(RIGHT(INDIRECT("RC[-1]",0),4),LEFT(INDIRECT("RC[-1]",0),2),1), "")</f>
        <v/>
      </c>
      <c r="C1289" s="182"/>
      <c r="F1289" cm="1">
        <f t="array" aca="1" ref="F1289" ca="1">IF(COUNTIF($E$2:$E$2000,INDIRECT("RC[-2]",0))&gt;0,"",INDIRECT("RC[-2]",0))</f>
        <v>0</v>
      </c>
    </row>
    <row r="1290" spans="2:6">
      <c r="B1290" t="str" cm="1">
        <f t="array" aca="1" ref="B1290" ca="1">IFERROR(DATE(RIGHT(INDIRECT("RC[-1]",0),4),LEFT(INDIRECT("RC[-1]",0),2),1), "")</f>
        <v/>
      </c>
      <c r="C1290" s="182"/>
      <c r="F1290" cm="1">
        <f t="array" aca="1" ref="F1290" ca="1">IF(COUNTIF($E$2:$E$2000,INDIRECT("RC[-2]",0))&gt;0,"",INDIRECT("RC[-2]",0))</f>
        <v>0</v>
      </c>
    </row>
    <row r="1291" spans="2:6">
      <c r="B1291" t="str" cm="1">
        <f t="array" aca="1" ref="B1291" ca="1">IFERROR(DATE(RIGHT(INDIRECT("RC[-1]",0),4),LEFT(INDIRECT("RC[-1]",0),2),1), "")</f>
        <v/>
      </c>
      <c r="C1291" s="182"/>
      <c r="F1291" cm="1">
        <f t="array" aca="1" ref="F1291" ca="1">IF(COUNTIF($E$2:$E$2000,INDIRECT("RC[-2]",0))&gt;0,"",INDIRECT("RC[-2]",0))</f>
        <v>0</v>
      </c>
    </row>
    <row r="1292" spans="2:6">
      <c r="B1292" t="str" cm="1">
        <f t="array" aca="1" ref="B1292" ca="1">IFERROR(DATE(RIGHT(INDIRECT("RC[-1]",0),4),LEFT(INDIRECT("RC[-1]",0),2),1), "")</f>
        <v/>
      </c>
      <c r="C1292" s="182"/>
      <c r="F1292" cm="1">
        <f t="array" aca="1" ref="F1292" ca="1">IF(COUNTIF($E$2:$E$2000,INDIRECT("RC[-2]",0))&gt;0,"",INDIRECT("RC[-2]",0))</f>
        <v>0</v>
      </c>
    </row>
    <row r="1293" spans="2:6">
      <c r="B1293" t="str" cm="1">
        <f t="array" aca="1" ref="B1293" ca="1">IFERROR(DATE(RIGHT(INDIRECT("RC[-1]",0),4),LEFT(INDIRECT("RC[-1]",0),2),1), "")</f>
        <v/>
      </c>
      <c r="C1293" s="182"/>
      <c r="F1293" cm="1">
        <f t="array" aca="1" ref="F1293" ca="1">IF(COUNTIF($E$2:$E$2000,INDIRECT("RC[-2]",0))&gt;0,"",INDIRECT("RC[-2]",0))</f>
        <v>0</v>
      </c>
    </row>
    <row r="1294" spans="2:6">
      <c r="B1294" t="str" cm="1">
        <f t="array" aca="1" ref="B1294" ca="1">IFERROR(DATE(RIGHT(INDIRECT("RC[-1]",0),4),LEFT(INDIRECT("RC[-1]",0),2),1), "")</f>
        <v/>
      </c>
      <c r="C1294" s="182"/>
      <c r="F1294" cm="1">
        <f t="array" aca="1" ref="F1294" ca="1">IF(COUNTIF($E$2:$E$2000,INDIRECT("RC[-2]",0))&gt;0,"",INDIRECT("RC[-2]",0))</f>
        <v>0</v>
      </c>
    </row>
    <row r="1295" spans="2:6">
      <c r="B1295" t="str" cm="1">
        <f t="array" aca="1" ref="B1295" ca="1">IFERROR(DATE(RIGHT(INDIRECT("RC[-1]",0),4),LEFT(INDIRECT("RC[-1]",0),2),1), "")</f>
        <v/>
      </c>
      <c r="C1295" s="182"/>
      <c r="F1295" cm="1">
        <f t="array" aca="1" ref="F1295" ca="1">IF(COUNTIF($E$2:$E$2000,INDIRECT("RC[-2]",0))&gt;0,"",INDIRECT("RC[-2]",0))</f>
        <v>0</v>
      </c>
    </row>
    <row r="1296" spans="2:6">
      <c r="B1296" t="str" cm="1">
        <f t="array" aca="1" ref="B1296" ca="1">IFERROR(DATE(RIGHT(INDIRECT("RC[-1]",0),4),LEFT(INDIRECT("RC[-1]",0),2),1), "")</f>
        <v/>
      </c>
      <c r="C1296" s="182"/>
      <c r="F1296" cm="1">
        <f t="array" aca="1" ref="F1296" ca="1">IF(COUNTIF($E$2:$E$2000,INDIRECT("RC[-2]",0))&gt;0,"",INDIRECT("RC[-2]",0))</f>
        <v>0</v>
      </c>
    </row>
    <row r="1297" spans="2:6">
      <c r="B1297" t="str" cm="1">
        <f t="array" aca="1" ref="B1297" ca="1">IFERROR(DATE(RIGHT(INDIRECT("RC[-1]",0),4),LEFT(INDIRECT("RC[-1]",0),2),1), "")</f>
        <v/>
      </c>
      <c r="C1297" s="182"/>
      <c r="F1297" cm="1">
        <f t="array" aca="1" ref="F1297" ca="1">IF(COUNTIF($E$2:$E$2000,INDIRECT("RC[-2]",0))&gt;0,"",INDIRECT("RC[-2]",0))</f>
        <v>0</v>
      </c>
    </row>
    <row r="1298" spans="2:6">
      <c r="B1298" t="str" cm="1">
        <f t="array" aca="1" ref="B1298" ca="1">IFERROR(DATE(RIGHT(INDIRECT("RC[-1]",0),4),LEFT(INDIRECT("RC[-1]",0),2),1), "")</f>
        <v/>
      </c>
      <c r="C1298" s="182"/>
      <c r="F1298" cm="1">
        <f t="array" aca="1" ref="F1298" ca="1">IF(COUNTIF($E$2:$E$2000,INDIRECT("RC[-2]",0))&gt;0,"",INDIRECT("RC[-2]",0))</f>
        <v>0</v>
      </c>
    </row>
    <row r="1299" spans="2:6">
      <c r="B1299" t="str" cm="1">
        <f t="array" aca="1" ref="B1299" ca="1">IFERROR(DATE(RIGHT(INDIRECT("RC[-1]",0),4),LEFT(INDIRECT("RC[-1]",0),2),1), "")</f>
        <v/>
      </c>
      <c r="C1299" s="182"/>
      <c r="F1299" cm="1">
        <f t="array" aca="1" ref="F1299" ca="1">IF(COUNTIF($E$2:$E$2000,INDIRECT("RC[-2]",0))&gt;0,"",INDIRECT("RC[-2]",0))</f>
        <v>0</v>
      </c>
    </row>
    <row r="1300" spans="2:6">
      <c r="B1300" t="str" cm="1">
        <f t="array" aca="1" ref="B1300" ca="1">IFERROR(DATE(RIGHT(INDIRECT("RC[-1]",0),4),LEFT(INDIRECT("RC[-1]",0),2),1), "")</f>
        <v/>
      </c>
      <c r="C1300" s="182"/>
      <c r="F1300" cm="1">
        <f t="array" aca="1" ref="F1300" ca="1">IF(COUNTIF($E$2:$E$2000,INDIRECT("RC[-2]",0))&gt;0,"",INDIRECT("RC[-2]",0))</f>
        <v>0</v>
      </c>
    </row>
    <row r="1301" spans="2:6">
      <c r="B1301" t="str" cm="1">
        <f t="array" aca="1" ref="B1301" ca="1">IFERROR(DATE(RIGHT(INDIRECT("RC[-1]",0),4),LEFT(INDIRECT("RC[-1]",0),2),1), "")</f>
        <v/>
      </c>
      <c r="C1301" s="182"/>
      <c r="F1301" cm="1">
        <f t="array" aca="1" ref="F1301" ca="1">IF(COUNTIF($E$2:$E$2000,INDIRECT("RC[-2]",0))&gt;0,"",INDIRECT("RC[-2]",0))</f>
        <v>0</v>
      </c>
    </row>
    <row r="1302" spans="2:6">
      <c r="B1302" t="str" cm="1">
        <f t="array" aca="1" ref="B1302" ca="1">IFERROR(DATE(RIGHT(INDIRECT("RC[-1]",0),4),LEFT(INDIRECT("RC[-1]",0),2),1), "")</f>
        <v/>
      </c>
      <c r="C1302" s="182"/>
      <c r="F1302" cm="1">
        <f t="array" aca="1" ref="F1302" ca="1">IF(COUNTIF($E$2:$E$2000,INDIRECT("RC[-2]",0))&gt;0,"",INDIRECT("RC[-2]",0))</f>
        <v>0</v>
      </c>
    </row>
    <row r="1303" spans="2:6">
      <c r="B1303" t="str" cm="1">
        <f t="array" aca="1" ref="B1303" ca="1">IFERROR(DATE(RIGHT(INDIRECT("RC[-1]",0),4),LEFT(INDIRECT("RC[-1]",0),2),1), "")</f>
        <v/>
      </c>
      <c r="C1303" s="182"/>
      <c r="F1303" cm="1">
        <f t="array" aca="1" ref="F1303" ca="1">IF(COUNTIF($E$2:$E$2000,INDIRECT("RC[-2]",0))&gt;0,"",INDIRECT("RC[-2]",0))</f>
        <v>0</v>
      </c>
    </row>
    <row r="1304" spans="2:6">
      <c r="B1304" t="str" cm="1">
        <f t="array" aca="1" ref="B1304" ca="1">IFERROR(DATE(RIGHT(INDIRECT("RC[-1]",0),4),LEFT(INDIRECT("RC[-1]",0),2),1), "")</f>
        <v/>
      </c>
      <c r="C1304" s="182"/>
      <c r="F1304" cm="1">
        <f t="array" aca="1" ref="F1304" ca="1">IF(COUNTIF($E$2:$E$2000,INDIRECT("RC[-2]",0))&gt;0,"",INDIRECT("RC[-2]",0))</f>
        <v>0</v>
      </c>
    </row>
    <row r="1305" spans="2:6">
      <c r="B1305" t="str" cm="1">
        <f t="array" aca="1" ref="B1305" ca="1">IFERROR(DATE(RIGHT(INDIRECT("RC[-1]",0),4),LEFT(INDIRECT("RC[-1]",0),2),1), "")</f>
        <v/>
      </c>
      <c r="C1305" s="182"/>
      <c r="F1305" cm="1">
        <f t="array" aca="1" ref="F1305" ca="1">IF(COUNTIF($E$2:$E$2000,INDIRECT("RC[-2]",0))&gt;0,"",INDIRECT("RC[-2]",0))</f>
        <v>0</v>
      </c>
    </row>
    <row r="1306" spans="2:6">
      <c r="B1306" t="str" cm="1">
        <f t="array" aca="1" ref="B1306" ca="1">IFERROR(DATE(RIGHT(INDIRECT("RC[-1]",0),4),LEFT(INDIRECT("RC[-1]",0),2),1), "")</f>
        <v/>
      </c>
      <c r="C1306" s="182"/>
      <c r="F1306" cm="1">
        <f t="array" aca="1" ref="F1306" ca="1">IF(COUNTIF($E$2:$E$2000,INDIRECT("RC[-2]",0))&gt;0,"",INDIRECT("RC[-2]",0))</f>
        <v>0</v>
      </c>
    </row>
    <row r="1307" spans="2:6">
      <c r="B1307" t="str" cm="1">
        <f t="array" aca="1" ref="B1307" ca="1">IFERROR(DATE(RIGHT(INDIRECT("RC[-1]",0),4),LEFT(INDIRECT("RC[-1]",0),2),1), "")</f>
        <v/>
      </c>
      <c r="C1307" s="182"/>
      <c r="F1307" cm="1">
        <f t="array" aca="1" ref="F1307" ca="1">IF(COUNTIF($E$2:$E$2000,INDIRECT("RC[-2]",0))&gt;0,"",INDIRECT("RC[-2]",0))</f>
        <v>0</v>
      </c>
    </row>
    <row r="1308" spans="2:6">
      <c r="B1308" t="str" cm="1">
        <f t="array" aca="1" ref="B1308" ca="1">IFERROR(DATE(RIGHT(INDIRECT("RC[-1]",0),4),LEFT(INDIRECT("RC[-1]",0),2),1), "")</f>
        <v/>
      </c>
      <c r="C1308" s="182"/>
      <c r="F1308" cm="1">
        <f t="array" aca="1" ref="F1308" ca="1">IF(COUNTIF($E$2:$E$2000,INDIRECT("RC[-2]",0))&gt;0,"",INDIRECT("RC[-2]",0))</f>
        <v>0</v>
      </c>
    </row>
    <row r="1309" spans="2:6">
      <c r="B1309" t="str" cm="1">
        <f t="array" aca="1" ref="B1309" ca="1">IFERROR(DATE(RIGHT(INDIRECT("RC[-1]",0),4),LEFT(INDIRECT("RC[-1]",0),2),1), "")</f>
        <v/>
      </c>
      <c r="C1309" s="182"/>
      <c r="F1309" cm="1">
        <f t="array" aca="1" ref="F1309" ca="1">IF(COUNTIF($E$2:$E$2000,INDIRECT("RC[-2]",0))&gt;0,"",INDIRECT("RC[-2]",0))</f>
        <v>0</v>
      </c>
    </row>
    <row r="1310" spans="2:6">
      <c r="B1310" t="str" cm="1">
        <f t="array" aca="1" ref="B1310" ca="1">IFERROR(DATE(RIGHT(INDIRECT("RC[-1]",0),4),LEFT(INDIRECT("RC[-1]",0),2),1), "")</f>
        <v/>
      </c>
      <c r="C1310" s="182"/>
      <c r="F1310" cm="1">
        <f t="array" aca="1" ref="F1310" ca="1">IF(COUNTIF($E$2:$E$2000,INDIRECT("RC[-2]",0))&gt;0,"",INDIRECT("RC[-2]",0))</f>
        <v>0</v>
      </c>
    </row>
    <row r="1311" spans="2:6">
      <c r="B1311" t="str" cm="1">
        <f t="array" aca="1" ref="B1311" ca="1">IFERROR(DATE(RIGHT(INDIRECT("RC[-1]",0),4),LEFT(INDIRECT("RC[-1]",0),2),1), "")</f>
        <v/>
      </c>
      <c r="C1311" s="182"/>
      <c r="F1311" cm="1">
        <f t="array" aca="1" ref="F1311" ca="1">IF(COUNTIF($E$2:$E$2000,INDIRECT("RC[-2]",0))&gt;0,"",INDIRECT("RC[-2]",0))</f>
        <v>0</v>
      </c>
    </row>
    <row r="1312" spans="2:6">
      <c r="B1312" t="str" cm="1">
        <f t="array" aca="1" ref="B1312" ca="1">IFERROR(DATE(RIGHT(INDIRECT("RC[-1]",0),4),LEFT(INDIRECT("RC[-1]",0),2),1), "")</f>
        <v/>
      </c>
      <c r="C1312" s="182"/>
      <c r="F1312" cm="1">
        <f t="array" aca="1" ref="F1312" ca="1">IF(COUNTIF($E$2:$E$2000,INDIRECT("RC[-2]",0))&gt;0,"",INDIRECT("RC[-2]",0))</f>
        <v>0</v>
      </c>
    </row>
    <row r="1313" spans="2:6">
      <c r="B1313" t="str" cm="1">
        <f t="array" aca="1" ref="B1313" ca="1">IFERROR(DATE(RIGHT(INDIRECT("RC[-1]",0),4),LEFT(INDIRECT("RC[-1]",0),2),1), "")</f>
        <v/>
      </c>
      <c r="C1313" s="182"/>
      <c r="F1313" cm="1">
        <f t="array" aca="1" ref="F1313" ca="1">IF(COUNTIF($E$2:$E$2000,INDIRECT("RC[-2]",0))&gt;0,"",INDIRECT("RC[-2]",0))</f>
        <v>0</v>
      </c>
    </row>
    <row r="1314" spans="2:6">
      <c r="B1314" t="str" cm="1">
        <f t="array" aca="1" ref="B1314" ca="1">IFERROR(DATE(RIGHT(INDIRECT("RC[-1]",0),4),LEFT(INDIRECT("RC[-1]",0),2),1), "")</f>
        <v/>
      </c>
      <c r="C1314" s="182"/>
      <c r="F1314" cm="1">
        <f t="array" aca="1" ref="F1314" ca="1">IF(COUNTIF($E$2:$E$2000,INDIRECT("RC[-2]",0))&gt;0,"",INDIRECT("RC[-2]",0))</f>
        <v>0</v>
      </c>
    </row>
    <row r="1315" spans="2:6">
      <c r="B1315" t="str" cm="1">
        <f t="array" aca="1" ref="B1315" ca="1">IFERROR(DATE(RIGHT(INDIRECT("RC[-1]",0),4),LEFT(INDIRECT("RC[-1]",0),2),1), "")</f>
        <v/>
      </c>
      <c r="C1315" s="182"/>
      <c r="F1315" cm="1">
        <f t="array" aca="1" ref="F1315" ca="1">IF(COUNTIF($E$2:$E$2000,INDIRECT("RC[-2]",0))&gt;0,"",INDIRECT("RC[-2]",0))</f>
        <v>0</v>
      </c>
    </row>
    <row r="1316" spans="2:6">
      <c r="B1316" t="str" cm="1">
        <f t="array" aca="1" ref="B1316" ca="1">IFERROR(DATE(RIGHT(INDIRECT("RC[-1]",0),4),LEFT(INDIRECT("RC[-1]",0),2),1), "")</f>
        <v/>
      </c>
      <c r="C1316" s="182"/>
      <c r="F1316" cm="1">
        <f t="array" aca="1" ref="F1316" ca="1">IF(COUNTIF($E$2:$E$2000,INDIRECT("RC[-2]",0))&gt;0,"",INDIRECT("RC[-2]",0))</f>
        <v>0</v>
      </c>
    </row>
    <row r="1317" spans="2:6">
      <c r="B1317" t="str" cm="1">
        <f t="array" aca="1" ref="B1317" ca="1">IFERROR(DATE(RIGHT(INDIRECT("RC[-1]",0),4),LEFT(INDIRECT("RC[-1]",0),2),1), "")</f>
        <v/>
      </c>
      <c r="C1317" s="182"/>
      <c r="F1317" cm="1">
        <f t="array" aca="1" ref="F1317" ca="1">IF(COUNTIF($E$2:$E$2000,INDIRECT("RC[-2]",0))&gt;0,"",INDIRECT("RC[-2]",0))</f>
        <v>0</v>
      </c>
    </row>
    <row r="1318" spans="2:6">
      <c r="B1318" t="str" cm="1">
        <f t="array" aca="1" ref="B1318" ca="1">IFERROR(DATE(RIGHT(INDIRECT("RC[-1]",0),4),LEFT(INDIRECT("RC[-1]",0),2),1), "")</f>
        <v/>
      </c>
      <c r="C1318" s="182"/>
      <c r="F1318" cm="1">
        <f t="array" aca="1" ref="F1318" ca="1">IF(COUNTIF($E$2:$E$2000,INDIRECT("RC[-2]",0))&gt;0,"",INDIRECT("RC[-2]",0))</f>
        <v>0</v>
      </c>
    </row>
    <row r="1319" spans="2:6">
      <c r="B1319" t="str" cm="1">
        <f t="array" aca="1" ref="B1319" ca="1">IFERROR(DATE(RIGHT(INDIRECT("RC[-1]",0),4),LEFT(INDIRECT("RC[-1]",0),2),1), "")</f>
        <v/>
      </c>
      <c r="C1319" s="182"/>
      <c r="F1319" cm="1">
        <f t="array" aca="1" ref="F1319" ca="1">IF(COUNTIF($E$2:$E$2000,INDIRECT("RC[-2]",0))&gt;0,"",INDIRECT("RC[-2]",0))</f>
        <v>0</v>
      </c>
    </row>
    <row r="1320" spans="2:6">
      <c r="B1320" t="str" cm="1">
        <f t="array" aca="1" ref="B1320" ca="1">IFERROR(DATE(RIGHT(INDIRECT("RC[-1]",0),4),LEFT(INDIRECT("RC[-1]",0),2),1), "")</f>
        <v/>
      </c>
      <c r="C1320" s="182"/>
      <c r="F1320" cm="1">
        <f t="array" aca="1" ref="F1320" ca="1">IF(COUNTIF($E$2:$E$2000,INDIRECT("RC[-2]",0))&gt;0,"",INDIRECT("RC[-2]",0))</f>
        <v>0</v>
      </c>
    </row>
    <row r="1321" spans="2:6">
      <c r="B1321" t="str" cm="1">
        <f t="array" aca="1" ref="B1321" ca="1">IFERROR(DATE(RIGHT(INDIRECT("RC[-1]",0),4),LEFT(INDIRECT("RC[-1]",0),2),1), "")</f>
        <v/>
      </c>
      <c r="C1321" s="182"/>
      <c r="F1321" cm="1">
        <f t="array" aca="1" ref="F1321" ca="1">IF(COUNTIF($E$2:$E$2000,INDIRECT("RC[-2]",0))&gt;0,"",INDIRECT("RC[-2]",0))</f>
        <v>0</v>
      </c>
    </row>
    <row r="1322" spans="2:6">
      <c r="B1322" t="str" cm="1">
        <f t="array" aca="1" ref="B1322" ca="1">IFERROR(DATE(RIGHT(INDIRECT("RC[-1]",0),4),LEFT(INDIRECT("RC[-1]",0),2),1), "")</f>
        <v/>
      </c>
      <c r="C1322" s="182"/>
      <c r="F1322" cm="1">
        <f t="array" aca="1" ref="F1322" ca="1">IF(COUNTIF($E$2:$E$2000,INDIRECT("RC[-2]",0))&gt;0,"",INDIRECT("RC[-2]",0))</f>
        <v>0</v>
      </c>
    </row>
    <row r="1323" spans="2:6">
      <c r="B1323" t="str" cm="1">
        <f t="array" aca="1" ref="B1323" ca="1">IFERROR(DATE(RIGHT(INDIRECT("RC[-1]",0),4),LEFT(INDIRECT("RC[-1]",0),2),1), "")</f>
        <v/>
      </c>
      <c r="C1323" s="182"/>
      <c r="F1323" cm="1">
        <f t="array" aca="1" ref="F1323" ca="1">IF(COUNTIF($E$2:$E$2000,INDIRECT("RC[-2]",0))&gt;0,"",INDIRECT("RC[-2]",0))</f>
        <v>0</v>
      </c>
    </row>
    <row r="1324" spans="2:6">
      <c r="B1324" t="str" cm="1">
        <f t="array" aca="1" ref="B1324" ca="1">IFERROR(DATE(RIGHT(INDIRECT("RC[-1]",0),4),LEFT(INDIRECT("RC[-1]",0),2),1), "")</f>
        <v/>
      </c>
      <c r="C1324" s="182"/>
      <c r="F1324" cm="1">
        <f t="array" aca="1" ref="F1324" ca="1">IF(COUNTIF($E$2:$E$2000,INDIRECT("RC[-2]",0))&gt;0,"",INDIRECT("RC[-2]",0))</f>
        <v>0</v>
      </c>
    </row>
    <row r="1325" spans="2:6">
      <c r="B1325" t="str" cm="1">
        <f t="array" aca="1" ref="B1325" ca="1">IFERROR(DATE(RIGHT(INDIRECT("RC[-1]",0),4),LEFT(INDIRECT("RC[-1]",0),2),1), "")</f>
        <v/>
      </c>
      <c r="C1325" s="182"/>
      <c r="F1325" cm="1">
        <f t="array" aca="1" ref="F1325" ca="1">IF(COUNTIF($E$2:$E$2000,INDIRECT("RC[-2]",0))&gt;0,"",INDIRECT("RC[-2]",0))</f>
        <v>0</v>
      </c>
    </row>
    <row r="1326" spans="2:6">
      <c r="B1326" t="str" cm="1">
        <f t="array" aca="1" ref="B1326" ca="1">IFERROR(DATE(RIGHT(INDIRECT("RC[-1]",0),4),LEFT(INDIRECT("RC[-1]",0),2),1), "")</f>
        <v/>
      </c>
      <c r="C1326" s="182"/>
      <c r="F1326" cm="1">
        <f t="array" aca="1" ref="F1326" ca="1">IF(COUNTIF($E$2:$E$2000,INDIRECT("RC[-2]",0))&gt;0,"",INDIRECT("RC[-2]",0))</f>
        <v>0</v>
      </c>
    </row>
    <row r="1327" spans="2:6">
      <c r="B1327" t="str" cm="1">
        <f t="array" aca="1" ref="B1327" ca="1">IFERROR(DATE(RIGHT(INDIRECT("RC[-1]",0),4),LEFT(INDIRECT("RC[-1]",0),2),1), "")</f>
        <v/>
      </c>
      <c r="C1327" s="182"/>
      <c r="F1327" cm="1">
        <f t="array" aca="1" ref="F1327" ca="1">IF(COUNTIF($E$2:$E$2000,INDIRECT("RC[-2]",0))&gt;0,"",INDIRECT("RC[-2]",0))</f>
        <v>0</v>
      </c>
    </row>
    <row r="1328" spans="2:6">
      <c r="B1328" t="str" cm="1">
        <f t="array" aca="1" ref="B1328" ca="1">IFERROR(DATE(RIGHT(INDIRECT("RC[-1]",0),4),LEFT(INDIRECT("RC[-1]",0),2),1), "")</f>
        <v/>
      </c>
      <c r="C1328" s="182"/>
      <c r="F1328" cm="1">
        <f t="array" aca="1" ref="F1328" ca="1">IF(COUNTIF($E$2:$E$2000,INDIRECT("RC[-2]",0))&gt;0,"",INDIRECT("RC[-2]",0))</f>
        <v>0</v>
      </c>
    </row>
    <row r="1329" spans="2:6">
      <c r="B1329" t="str" cm="1">
        <f t="array" aca="1" ref="B1329" ca="1">IFERROR(DATE(RIGHT(INDIRECT("RC[-1]",0),4),LEFT(INDIRECT("RC[-1]",0),2),1), "")</f>
        <v/>
      </c>
      <c r="C1329" s="182"/>
      <c r="F1329" cm="1">
        <f t="array" aca="1" ref="F1329" ca="1">IF(COUNTIF($E$2:$E$2000,INDIRECT("RC[-2]",0))&gt;0,"",INDIRECT("RC[-2]",0))</f>
        <v>0</v>
      </c>
    </row>
    <row r="1330" spans="2:6">
      <c r="B1330" t="str" cm="1">
        <f t="array" aca="1" ref="B1330" ca="1">IFERROR(DATE(RIGHT(INDIRECT("RC[-1]",0),4),LEFT(INDIRECT("RC[-1]",0),2),1), "")</f>
        <v/>
      </c>
      <c r="C1330" s="182"/>
      <c r="F1330" cm="1">
        <f t="array" aca="1" ref="F1330" ca="1">IF(COUNTIF($E$2:$E$2000,INDIRECT("RC[-2]",0))&gt;0,"",INDIRECT("RC[-2]",0))</f>
        <v>0</v>
      </c>
    </row>
    <row r="1331" spans="2:6">
      <c r="B1331" t="str" cm="1">
        <f t="array" aca="1" ref="B1331" ca="1">IFERROR(DATE(RIGHT(INDIRECT("RC[-1]",0),4),LEFT(INDIRECT("RC[-1]",0),2),1), "")</f>
        <v/>
      </c>
      <c r="C1331" s="182"/>
      <c r="F1331" cm="1">
        <f t="array" aca="1" ref="F1331" ca="1">IF(COUNTIF($E$2:$E$2000,INDIRECT("RC[-2]",0))&gt;0,"",INDIRECT("RC[-2]",0))</f>
        <v>0</v>
      </c>
    </row>
    <row r="1332" spans="2:6">
      <c r="B1332" t="str" cm="1">
        <f t="array" aca="1" ref="B1332" ca="1">IFERROR(DATE(RIGHT(INDIRECT("RC[-1]",0),4),LEFT(INDIRECT("RC[-1]",0),2),1), "")</f>
        <v/>
      </c>
      <c r="C1332" s="182"/>
      <c r="F1332" cm="1">
        <f t="array" aca="1" ref="F1332" ca="1">IF(COUNTIF($E$2:$E$2000,INDIRECT("RC[-2]",0))&gt;0,"",INDIRECT("RC[-2]",0))</f>
        <v>0</v>
      </c>
    </row>
    <row r="1333" spans="2:6">
      <c r="B1333" t="str" cm="1">
        <f t="array" aca="1" ref="B1333" ca="1">IFERROR(DATE(RIGHT(INDIRECT("RC[-1]",0),4),LEFT(INDIRECT("RC[-1]",0),2),1), "")</f>
        <v/>
      </c>
      <c r="C1333" s="182"/>
      <c r="F1333" cm="1">
        <f t="array" aca="1" ref="F1333" ca="1">IF(COUNTIF($E$2:$E$2000,INDIRECT("RC[-2]",0))&gt;0,"",INDIRECT("RC[-2]",0))</f>
        <v>0</v>
      </c>
    </row>
    <row r="1334" spans="2:6">
      <c r="B1334" t="str" cm="1">
        <f t="array" aca="1" ref="B1334" ca="1">IFERROR(DATE(RIGHT(INDIRECT("RC[-1]",0),4),LEFT(INDIRECT("RC[-1]",0),2),1), "")</f>
        <v/>
      </c>
      <c r="C1334" s="182"/>
      <c r="F1334" cm="1">
        <f t="array" aca="1" ref="F1334" ca="1">IF(COUNTIF($E$2:$E$2000,INDIRECT("RC[-2]",0))&gt;0,"",INDIRECT("RC[-2]",0))</f>
        <v>0</v>
      </c>
    </row>
    <row r="1335" spans="2:6">
      <c r="B1335" t="str" cm="1">
        <f t="array" aca="1" ref="B1335" ca="1">IFERROR(DATE(RIGHT(INDIRECT("RC[-1]",0),4),LEFT(INDIRECT("RC[-1]",0),2),1), "")</f>
        <v/>
      </c>
      <c r="C1335" s="182"/>
      <c r="F1335" cm="1">
        <f t="array" aca="1" ref="F1335" ca="1">IF(COUNTIF($E$2:$E$2000,INDIRECT("RC[-2]",0))&gt;0,"",INDIRECT("RC[-2]",0))</f>
        <v>0</v>
      </c>
    </row>
    <row r="1336" spans="2:6">
      <c r="B1336" t="str" cm="1">
        <f t="array" aca="1" ref="B1336" ca="1">IFERROR(DATE(RIGHT(INDIRECT("RC[-1]",0),4),LEFT(INDIRECT("RC[-1]",0),2),1), "")</f>
        <v/>
      </c>
      <c r="C1336" s="182"/>
      <c r="F1336" cm="1">
        <f t="array" aca="1" ref="F1336" ca="1">IF(COUNTIF($E$2:$E$2000,INDIRECT("RC[-2]",0))&gt;0,"",INDIRECT("RC[-2]",0))</f>
        <v>0</v>
      </c>
    </row>
    <row r="1337" spans="2:6">
      <c r="B1337" t="str" cm="1">
        <f t="array" aca="1" ref="B1337" ca="1">IFERROR(DATE(RIGHT(INDIRECT("RC[-1]",0),4),LEFT(INDIRECT("RC[-1]",0),2),1), "")</f>
        <v/>
      </c>
      <c r="C1337" s="182"/>
      <c r="F1337" cm="1">
        <f t="array" aca="1" ref="F1337" ca="1">IF(COUNTIF($E$2:$E$2000,INDIRECT("RC[-2]",0))&gt;0,"",INDIRECT("RC[-2]",0))</f>
        <v>0</v>
      </c>
    </row>
    <row r="1338" spans="2:6">
      <c r="B1338" t="str" cm="1">
        <f t="array" aca="1" ref="B1338" ca="1">IFERROR(DATE(RIGHT(INDIRECT("RC[-1]",0),4),LEFT(INDIRECT("RC[-1]",0),2),1), "")</f>
        <v/>
      </c>
      <c r="C1338" s="182"/>
      <c r="F1338" cm="1">
        <f t="array" aca="1" ref="F1338" ca="1">IF(COUNTIF($E$2:$E$2000,INDIRECT("RC[-2]",0))&gt;0,"",INDIRECT("RC[-2]",0))</f>
        <v>0</v>
      </c>
    </row>
    <row r="1339" spans="2:6">
      <c r="B1339" t="str" cm="1">
        <f t="array" aca="1" ref="B1339" ca="1">IFERROR(DATE(RIGHT(INDIRECT("RC[-1]",0),4),LEFT(INDIRECT("RC[-1]",0),2),1), "")</f>
        <v/>
      </c>
      <c r="C1339" s="182"/>
      <c r="F1339" cm="1">
        <f t="array" aca="1" ref="F1339" ca="1">IF(COUNTIF($E$2:$E$2000,INDIRECT("RC[-2]",0))&gt;0,"",INDIRECT("RC[-2]",0))</f>
        <v>0</v>
      </c>
    </row>
    <row r="1340" spans="2:6">
      <c r="B1340" t="str" cm="1">
        <f t="array" aca="1" ref="B1340" ca="1">IFERROR(DATE(RIGHT(INDIRECT("RC[-1]",0),4),LEFT(INDIRECT("RC[-1]",0),2),1), "")</f>
        <v/>
      </c>
      <c r="C1340" s="182"/>
      <c r="F1340" cm="1">
        <f t="array" aca="1" ref="F1340" ca="1">IF(COUNTIF($E$2:$E$2000,INDIRECT("RC[-2]",0))&gt;0,"",INDIRECT("RC[-2]",0))</f>
        <v>0</v>
      </c>
    </row>
    <row r="1341" spans="2:6">
      <c r="B1341" t="str" cm="1">
        <f t="array" aca="1" ref="B1341" ca="1">IFERROR(DATE(RIGHT(INDIRECT("RC[-1]",0),4),LEFT(INDIRECT("RC[-1]",0),2),1), "")</f>
        <v/>
      </c>
      <c r="C1341" s="182"/>
      <c r="F1341" cm="1">
        <f t="array" aca="1" ref="F1341" ca="1">IF(COUNTIF($E$2:$E$2000,INDIRECT("RC[-2]",0))&gt;0,"",INDIRECT("RC[-2]",0))</f>
        <v>0</v>
      </c>
    </row>
    <row r="1342" spans="2:6">
      <c r="B1342" t="str" cm="1">
        <f t="array" aca="1" ref="B1342" ca="1">IFERROR(DATE(RIGHT(INDIRECT("RC[-1]",0),4),LEFT(INDIRECT("RC[-1]",0),2),1), "")</f>
        <v/>
      </c>
      <c r="C1342" s="182"/>
      <c r="F1342" cm="1">
        <f t="array" aca="1" ref="F1342" ca="1">IF(COUNTIF($E$2:$E$2000,INDIRECT("RC[-2]",0))&gt;0,"",INDIRECT("RC[-2]",0))</f>
        <v>0</v>
      </c>
    </row>
    <row r="1343" spans="2:6">
      <c r="B1343" t="str" cm="1">
        <f t="array" aca="1" ref="B1343" ca="1">IFERROR(DATE(RIGHT(INDIRECT("RC[-1]",0),4),LEFT(INDIRECT("RC[-1]",0),2),1), "")</f>
        <v/>
      </c>
      <c r="C1343" s="182"/>
      <c r="F1343" cm="1">
        <f t="array" aca="1" ref="F1343" ca="1">IF(COUNTIF($E$2:$E$2000,INDIRECT("RC[-2]",0))&gt;0,"",INDIRECT("RC[-2]",0))</f>
        <v>0</v>
      </c>
    </row>
    <row r="1344" spans="2:6">
      <c r="B1344" t="str" cm="1">
        <f t="array" aca="1" ref="B1344" ca="1">IFERROR(DATE(RIGHT(INDIRECT("RC[-1]",0),4),LEFT(INDIRECT("RC[-1]",0),2),1), "")</f>
        <v/>
      </c>
      <c r="C1344" s="182"/>
      <c r="F1344" cm="1">
        <f t="array" aca="1" ref="F1344" ca="1">IF(COUNTIF($E$2:$E$2000,INDIRECT("RC[-2]",0))&gt;0,"",INDIRECT("RC[-2]",0))</f>
        <v>0</v>
      </c>
    </row>
    <row r="1345" spans="2:6">
      <c r="B1345" t="str" cm="1">
        <f t="array" aca="1" ref="B1345" ca="1">IFERROR(DATE(RIGHT(INDIRECT("RC[-1]",0),4),LEFT(INDIRECT("RC[-1]",0),2),1), "")</f>
        <v/>
      </c>
      <c r="C1345" s="182"/>
      <c r="F1345" cm="1">
        <f t="array" aca="1" ref="F1345" ca="1">IF(COUNTIF($E$2:$E$2000,INDIRECT("RC[-2]",0))&gt;0,"",INDIRECT("RC[-2]",0))</f>
        <v>0</v>
      </c>
    </row>
    <row r="1346" spans="2:6">
      <c r="B1346" t="str" cm="1">
        <f t="array" aca="1" ref="B1346" ca="1">IFERROR(DATE(RIGHT(INDIRECT("RC[-1]",0),4),LEFT(INDIRECT("RC[-1]",0),2),1), "")</f>
        <v/>
      </c>
      <c r="C1346" s="182"/>
      <c r="F1346" cm="1">
        <f t="array" aca="1" ref="F1346" ca="1">IF(COUNTIF($E$2:$E$2000,INDIRECT("RC[-2]",0))&gt;0,"",INDIRECT("RC[-2]",0))</f>
        <v>0</v>
      </c>
    </row>
    <row r="1347" spans="2:6">
      <c r="B1347" t="str" cm="1">
        <f t="array" aca="1" ref="B1347" ca="1">IFERROR(DATE(RIGHT(INDIRECT("RC[-1]",0),4),LEFT(INDIRECT("RC[-1]",0),2),1), "")</f>
        <v/>
      </c>
      <c r="C1347" s="182"/>
      <c r="F1347" cm="1">
        <f t="array" aca="1" ref="F1347" ca="1">IF(COUNTIF($E$2:$E$2000,INDIRECT("RC[-2]",0))&gt;0,"",INDIRECT("RC[-2]",0))</f>
        <v>0</v>
      </c>
    </row>
    <row r="1348" spans="2:6">
      <c r="B1348" t="str" cm="1">
        <f t="array" aca="1" ref="B1348" ca="1">IFERROR(DATE(RIGHT(INDIRECT("RC[-1]",0),4),LEFT(INDIRECT("RC[-1]",0),2),1), "")</f>
        <v/>
      </c>
      <c r="C1348" s="182"/>
      <c r="F1348" cm="1">
        <f t="array" aca="1" ref="F1348" ca="1">IF(COUNTIF($E$2:$E$2000,INDIRECT("RC[-2]",0))&gt;0,"",INDIRECT("RC[-2]",0))</f>
        <v>0</v>
      </c>
    </row>
    <row r="1349" spans="2:6">
      <c r="B1349" t="str" cm="1">
        <f t="array" aca="1" ref="B1349" ca="1">IFERROR(DATE(RIGHT(INDIRECT("RC[-1]",0),4),LEFT(INDIRECT("RC[-1]",0),2),1), "")</f>
        <v/>
      </c>
      <c r="C1349" s="182"/>
      <c r="F1349" cm="1">
        <f t="array" aca="1" ref="F1349" ca="1">IF(COUNTIF($E$2:$E$2000,INDIRECT("RC[-2]",0))&gt;0,"",INDIRECT("RC[-2]",0))</f>
        <v>0</v>
      </c>
    </row>
    <row r="1350" spans="2:6">
      <c r="B1350" t="str" cm="1">
        <f t="array" aca="1" ref="B1350" ca="1">IFERROR(DATE(RIGHT(INDIRECT("RC[-1]",0),4),LEFT(INDIRECT("RC[-1]",0),2),1), "")</f>
        <v/>
      </c>
      <c r="C1350" s="182"/>
      <c r="F1350" cm="1">
        <f t="array" aca="1" ref="F1350" ca="1">IF(COUNTIF($E$2:$E$2000,INDIRECT("RC[-2]",0))&gt;0,"",INDIRECT("RC[-2]",0))</f>
        <v>0</v>
      </c>
    </row>
    <row r="1351" spans="2:6">
      <c r="B1351" t="str" cm="1">
        <f t="array" aca="1" ref="B1351" ca="1">IFERROR(DATE(RIGHT(INDIRECT("RC[-1]",0),4),LEFT(INDIRECT("RC[-1]",0),2),1), "")</f>
        <v/>
      </c>
      <c r="C1351" s="182"/>
      <c r="F1351" cm="1">
        <f t="array" aca="1" ref="F1351" ca="1">IF(COUNTIF($E$2:$E$2000,INDIRECT("RC[-2]",0))&gt;0,"",INDIRECT("RC[-2]",0))</f>
        <v>0</v>
      </c>
    </row>
    <row r="1352" spans="2:6">
      <c r="B1352" t="str" cm="1">
        <f t="array" aca="1" ref="B1352" ca="1">IFERROR(DATE(RIGHT(INDIRECT("RC[-1]",0),4),LEFT(INDIRECT("RC[-1]",0),2),1), "")</f>
        <v/>
      </c>
      <c r="C1352" s="182"/>
      <c r="F1352" cm="1">
        <f t="array" aca="1" ref="F1352" ca="1">IF(COUNTIF($E$2:$E$2000,INDIRECT("RC[-2]",0))&gt;0,"",INDIRECT("RC[-2]",0))</f>
        <v>0</v>
      </c>
    </row>
    <row r="1353" spans="2:6">
      <c r="B1353" t="str" cm="1">
        <f t="array" aca="1" ref="B1353" ca="1">IFERROR(DATE(RIGHT(INDIRECT("RC[-1]",0),4),LEFT(INDIRECT("RC[-1]",0),2),1), "")</f>
        <v/>
      </c>
      <c r="C1353" s="182"/>
      <c r="F1353" cm="1">
        <f t="array" aca="1" ref="F1353" ca="1">IF(COUNTIF($E$2:$E$2000,INDIRECT("RC[-2]",0))&gt;0,"",INDIRECT("RC[-2]",0))</f>
        <v>0</v>
      </c>
    </row>
    <row r="1354" spans="2:6">
      <c r="B1354" t="str" cm="1">
        <f t="array" aca="1" ref="B1354" ca="1">IFERROR(DATE(RIGHT(INDIRECT("RC[-1]",0),4),LEFT(INDIRECT("RC[-1]",0),2),1), "")</f>
        <v/>
      </c>
      <c r="C1354" s="182"/>
      <c r="F1354" cm="1">
        <f t="array" aca="1" ref="F1354" ca="1">IF(COUNTIF($E$2:$E$2000,INDIRECT("RC[-2]",0))&gt;0,"",INDIRECT("RC[-2]",0))</f>
        <v>0</v>
      </c>
    </row>
    <row r="1355" spans="2:6">
      <c r="B1355" t="str" cm="1">
        <f t="array" aca="1" ref="B1355" ca="1">IFERROR(DATE(RIGHT(INDIRECT("RC[-1]",0),4),LEFT(INDIRECT("RC[-1]",0),2),1), "")</f>
        <v/>
      </c>
      <c r="C1355" s="182"/>
      <c r="F1355" cm="1">
        <f t="array" aca="1" ref="F1355" ca="1">IF(COUNTIF($E$2:$E$2000,INDIRECT("RC[-2]",0))&gt;0,"",INDIRECT("RC[-2]",0))</f>
        <v>0</v>
      </c>
    </row>
    <row r="1356" spans="2:6">
      <c r="B1356" t="str" cm="1">
        <f t="array" aca="1" ref="B1356" ca="1">IFERROR(DATE(RIGHT(INDIRECT("RC[-1]",0),4),LEFT(INDIRECT("RC[-1]",0),2),1), "")</f>
        <v/>
      </c>
      <c r="C1356" s="182"/>
      <c r="F1356" cm="1">
        <f t="array" aca="1" ref="F1356" ca="1">IF(COUNTIF($E$2:$E$2000,INDIRECT("RC[-2]",0))&gt;0,"",INDIRECT("RC[-2]",0))</f>
        <v>0</v>
      </c>
    </row>
    <row r="1357" spans="2:6">
      <c r="B1357" t="str" cm="1">
        <f t="array" aca="1" ref="B1357" ca="1">IFERROR(DATE(RIGHT(INDIRECT("RC[-1]",0),4),LEFT(INDIRECT("RC[-1]",0),2),1), "")</f>
        <v/>
      </c>
      <c r="C1357" s="182"/>
      <c r="F1357" cm="1">
        <f t="array" aca="1" ref="F1357" ca="1">IF(COUNTIF($E$2:$E$2000,INDIRECT("RC[-2]",0))&gt;0,"",INDIRECT("RC[-2]",0))</f>
        <v>0</v>
      </c>
    </row>
    <row r="1358" spans="2:6">
      <c r="B1358" t="str" cm="1">
        <f t="array" aca="1" ref="B1358" ca="1">IFERROR(DATE(RIGHT(INDIRECT("RC[-1]",0),4),LEFT(INDIRECT("RC[-1]",0),2),1), "")</f>
        <v/>
      </c>
      <c r="C1358" s="182"/>
      <c r="F1358" cm="1">
        <f t="array" aca="1" ref="F1358" ca="1">IF(COUNTIF($E$2:$E$2000,INDIRECT("RC[-2]",0))&gt;0,"",INDIRECT("RC[-2]",0))</f>
        <v>0</v>
      </c>
    </row>
    <row r="1359" spans="2:6">
      <c r="B1359" t="str" cm="1">
        <f t="array" aca="1" ref="B1359" ca="1">IFERROR(DATE(RIGHT(INDIRECT("RC[-1]",0),4),LEFT(INDIRECT("RC[-1]",0),2),1), "")</f>
        <v/>
      </c>
      <c r="C1359" s="182"/>
      <c r="F1359" cm="1">
        <f t="array" aca="1" ref="F1359" ca="1">IF(COUNTIF($E$2:$E$2000,INDIRECT("RC[-2]",0))&gt;0,"",INDIRECT("RC[-2]",0))</f>
        <v>0</v>
      </c>
    </row>
    <row r="1360" spans="2:6">
      <c r="B1360" t="str" cm="1">
        <f t="array" aca="1" ref="B1360" ca="1">IFERROR(DATE(RIGHT(INDIRECT("RC[-1]",0),4),LEFT(INDIRECT("RC[-1]",0),2),1), "")</f>
        <v/>
      </c>
      <c r="C1360" s="182"/>
      <c r="F1360" cm="1">
        <f t="array" aca="1" ref="F1360" ca="1">IF(COUNTIF($E$2:$E$2000,INDIRECT("RC[-2]",0))&gt;0,"",INDIRECT("RC[-2]",0))</f>
        <v>0</v>
      </c>
    </row>
    <row r="1361" spans="2:6">
      <c r="B1361" t="str" cm="1">
        <f t="array" aca="1" ref="B1361" ca="1">IFERROR(DATE(RIGHT(INDIRECT("RC[-1]",0),4),LEFT(INDIRECT("RC[-1]",0),2),1), "")</f>
        <v/>
      </c>
      <c r="C1361" s="182"/>
      <c r="F1361" cm="1">
        <f t="array" aca="1" ref="F1361" ca="1">IF(COUNTIF($E$2:$E$2000,INDIRECT("RC[-2]",0))&gt;0,"",INDIRECT("RC[-2]",0))</f>
        <v>0</v>
      </c>
    </row>
    <row r="1362" spans="2:6">
      <c r="B1362" t="str" cm="1">
        <f t="array" aca="1" ref="B1362" ca="1">IFERROR(DATE(RIGHT(INDIRECT("RC[-1]",0),4),LEFT(INDIRECT("RC[-1]",0),2),1), "")</f>
        <v/>
      </c>
      <c r="C1362" s="182"/>
      <c r="F1362" cm="1">
        <f t="array" aca="1" ref="F1362" ca="1">IF(COUNTIF($E$2:$E$2000,INDIRECT("RC[-2]",0))&gt;0,"",INDIRECT("RC[-2]",0))</f>
        <v>0</v>
      </c>
    </row>
    <row r="1363" spans="2:6">
      <c r="B1363" t="str" cm="1">
        <f t="array" aca="1" ref="B1363" ca="1">IFERROR(DATE(RIGHT(INDIRECT("RC[-1]",0),4),LEFT(INDIRECT("RC[-1]",0),2),1), "")</f>
        <v/>
      </c>
      <c r="C1363" s="182"/>
      <c r="F1363" cm="1">
        <f t="array" aca="1" ref="F1363" ca="1">IF(COUNTIF($E$2:$E$2000,INDIRECT("RC[-2]",0))&gt;0,"",INDIRECT("RC[-2]",0))</f>
        <v>0</v>
      </c>
    </row>
    <row r="1364" spans="2:6">
      <c r="B1364" t="str" cm="1">
        <f t="array" aca="1" ref="B1364" ca="1">IFERROR(DATE(RIGHT(INDIRECT("RC[-1]",0),4),LEFT(INDIRECT("RC[-1]",0),2),1), "")</f>
        <v/>
      </c>
      <c r="C1364" s="182"/>
      <c r="F1364" cm="1">
        <f t="array" aca="1" ref="F1364" ca="1">IF(COUNTIF($E$2:$E$2000,INDIRECT("RC[-2]",0))&gt;0,"",INDIRECT("RC[-2]",0))</f>
        <v>0</v>
      </c>
    </row>
    <row r="1365" spans="2:6">
      <c r="B1365" t="str" cm="1">
        <f t="array" aca="1" ref="B1365" ca="1">IFERROR(DATE(RIGHT(INDIRECT("RC[-1]",0),4),LEFT(INDIRECT("RC[-1]",0),2),1), "")</f>
        <v/>
      </c>
      <c r="C1365" s="182"/>
      <c r="F1365" cm="1">
        <f t="array" aca="1" ref="F1365" ca="1">IF(COUNTIF($E$2:$E$2000,INDIRECT("RC[-2]",0))&gt;0,"",INDIRECT("RC[-2]",0))</f>
        <v>0</v>
      </c>
    </row>
    <row r="1366" spans="2:6">
      <c r="B1366" t="str" cm="1">
        <f t="array" aca="1" ref="B1366" ca="1">IFERROR(DATE(RIGHT(INDIRECT("RC[-1]",0),4),LEFT(INDIRECT("RC[-1]",0),2),1), "")</f>
        <v/>
      </c>
      <c r="C1366" s="182"/>
      <c r="F1366" cm="1">
        <f t="array" aca="1" ref="F1366" ca="1">IF(COUNTIF($E$2:$E$2000,INDIRECT("RC[-2]",0))&gt;0,"",INDIRECT("RC[-2]",0))</f>
        <v>0</v>
      </c>
    </row>
    <row r="1367" spans="2:6">
      <c r="B1367" t="str" cm="1">
        <f t="array" aca="1" ref="B1367" ca="1">IFERROR(DATE(RIGHT(INDIRECT("RC[-1]",0),4),LEFT(INDIRECT("RC[-1]",0),2),1), "")</f>
        <v/>
      </c>
      <c r="C1367" s="182"/>
      <c r="F1367" cm="1">
        <f t="array" aca="1" ref="F1367" ca="1">IF(COUNTIF($E$2:$E$2000,INDIRECT("RC[-2]",0))&gt;0,"",INDIRECT("RC[-2]",0))</f>
        <v>0</v>
      </c>
    </row>
    <row r="1368" spans="2:6">
      <c r="B1368" t="str" cm="1">
        <f t="array" aca="1" ref="B1368" ca="1">IFERROR(DATE(RIGHT(INDIRECT("RC[-1]",0),4),LEFT(INDIRECT("RC[-1]",0),2),1), "")</f>
        <v/>
      </c>
      <c r="C1368" s="182"/>
      <c r="F1368" cm="1">
        <f t="array" aca="1" ref="F1368" ca="1">IF(COUNTIF($E$2:$E$2000,INDIRECT("RC[-2]",0))&gt;0,"",INDIRECT("RC[-2]",0))</f>
        <v>0</v>
      </c>
    </row>
    <row r="1369" spans="2:6">
      <c r="B1369" t="str" cm="1">
        <f t="array" aca="1" ref="B1369" ca="1">IFERROR(DATE(RIGHT(INDIRECT("RC[-1]",0),4),LEFT(INDIRECT("RC[-1]",0),2),1), "")</f>
        <v/>
      </c>
      <c r="C1369" s="182"/>
      <c r="F1369" cm="1">
        <f t="array" aca="1" ref="F1369" ca="1">IF(COUNTIF($E$2:$E$2000,INDIRECT("RC[-2]",0))&gt;0,"",INDIRECT("RC[-2]",0))</f>
        <v>0</v>
      </c>
    </row>
    <row r="1370" spans="2:6">
      <c r="B1370" t="str" cm="1">
        <f t="array" aca="1" ref="B1370" ca="1">IFERROR(DATE(RIGHT(INDIRECT("RC[-1]",0),4),LEFT(INDIRECT("RC[-1]",0),2),1), "")</f>
        <v/>
      </c>
      <c r="C1370" s="182"/>
      <c r="F1370" cm="1">
        <f t="array" aca="1" ref="F1370" ca="1">IF(COUNTIF($E$2:$E$2000,INDIRECT("RC[-2]",0))&gt;0,"",INDIRECT("RC[-2]",0))</f>
        <v>0</v>
      </c>
    </row>
    <row r="1371" spans="2:6">
      <c r="B1371" t="str" cm="1">
        <f t="array" aca="1" ref="B1371" ca="1">IFERROR(DATE(RIGHT(INDIRECT("RC[-1]",0),4),LEFT(INDIRECT("RC[-1]",0),2),1), "")</f>
        <v/>
      </c>
      <c r="C1371" s="182"/>
      <c r="F1371" cm="1">
        <f t="array" aca="1" ref="F1371" ca="1">IF(COUNTIF($E$2:$E$2000,INDIRECT("RC[-2]",0))&gt;0,"",INDIRECT("RC[-2]",0))</f>
        <v>0</v>
      </c>
    </row>
    <row r="1372" spans="2:6">
      <c r="B1372" t="str" cm="1">
        <f t="array" aca="1" ref="B1372" ca="1">IFERROR(DATE(RIGHT(INDIRECT("RC[-1]",0),4),LEFT(INDIRECT("RC[-1]",0),2),1), "")</f>
        <v/>
      </c>
      <c r="C1372" s="182"/>
      <c r="F1372" cm="1">
        <f t="array" aca="1" ref="F1372" ca="1">IF(COUNTIF($E$2:$E$2000,INDIRECT("RC[-2]",0))&gt;0,"",INDIRECT("RC[-2]",0))</f>
        <v>0</v>
      </c>
    </row>
    <row r="1373" spans="2:6">
      <c r="B1373" t="str" cm="1">
        <f t="array" aca="1" ref="B1373" ca="1">IFERROR(DATE(RIGHT(INDIRECT("RC[-1]",0),4),LEFT(INDIRECT("RC[-1]",0),2),1), "")</f>
        <v/>
      </c>
      <c r="C1373" s="182"/>
      <c r="F1373" cm="1">
        <f t="array" aca="1" ref="F1373" ca="1">IF(COUNTIF($E$2:$E$2000,INDIRECT("RC[-2]",0))&gt;0,"",INDIRECT("RC[-2]",0))</f>
        <v>0</v>
      </c>
    </row>
    <row r="1374" spans="2:6">
      <c r="B1374" t="str" cm="1">
        <f t="array" aca="1" ref="B1374" ca="1">IFERROR(DATE(RIGHT(INDIRECT("RC[-1]",0),4),LEFT(INDIRECT("RC[-1]",0),2),1), "")</f>
        <v/>
      </c>
      <c r="C1374" s="182"/>
      <c r="F1374" cm="1">
        <f t="array" aca="1" ref="F1374" ca="1">IF(COUNTIF($E$2:$E$2000,INDIRECT("RC[-2]",0))&gt;0,"",INDIRECT("RC[-2]",0))</f>
        <v>0</v>
      </c>
    </row>
    <row r="1375" spans="2:6">
      <c r="B1375" t="str" cm="1">
        <f t="array" aca="1" ref="B1375" ca="1">IFERROR(DATE(RIGHT(INDIRECT("RC[-1]",0),4),LEFT(INDIRECT("RC[-1]",0),2),1), "")</f>
        <v/>
      </c>
      <c r="C1375" s="182"/>
      <c r="F1375" cm="1">
        <f t="array" aca="1" ref="F1375" ca="1">IF(COUNTIF($E$2:$E$2000,INDIRECT("RC[-2]",0))&gt;0,"",INDIRECT("RC[-2]",0))</f>
        <v>0</v>
      </c>
    </row>
    <row r="1376" spans="2:6">
      <c r="B1376" t="str" cm="1">
        <f t="array" aca="1" ref="B1376" ca="1">IFERROR(DATE(RIGHT(INDIRECT("RC[-1]",0),4),LEFT(INDIRECT("RC[-1]",0),2),1), "")</f>
        <v/>
      </c>
      <c r="C1376" s="182"/>
      <c r="F1376" cm="1">
        <f t="array" aca="1" ref="F1376" ca="1">IF(COUNTIF($E$2:$E$2000,INDIRECT("RC[-2]",0))&gt;0,"",INDIRECT("RC[-2]",0))</f>
        <v>0</v>
      </c>
    </row>
    <row r="1377" spans="2:6">
      <c r="B1377" t="str" cm="1">
        <f t="array" aca="1" ref="B1377" ca="1">IFERROR(DATE(RIGHT(INDIRECT("RC[-1]",0),4),LEFT(INDIRECT("RC[-1]",0),2),1), "")</f>
        <v/>
      </c>
      <c r="C1377" s="182"/>
      <c r="F1377" cm="1">
        <f t="array" aca="1" ref="F1377" ca="1">IF(COUNTIF($E$2:$E$2000,INDIRECT("RC[-2]",0))&gt;0,"",INDIRECT("RC[-2]",0))</f>
        <v>0</v>
      </c>
    </row>
    <row r="1378" spans="2:6">
      <c r="B1378" t="str" cm="1">
        <f t="array" aca="1" ref="B1378" ca="1">IFERROR(DATE(RIGHT(INDIRECT("RC[-1]",0),4),LEFT(INDIRECT("RC[-1]",0),2),1), "")</f>
        <v/>
      </c>
      <c r="C1378" s="182"/>
      <c r="F1378" cm="1">
        <f t="array" aca="1" ref="F1378" ca="1">IF(COUNTIF($E$2:$E$2000,INDIRECT("RC[-2]",0))&gt;0,"",INDIRECT("RC[-2]",0))</f>
        <v>0</v>
      </c>
    </row>
    <row r="1379" spans="2:6">
      <c r="B1379" t="str" cm="1">
        <f t="array" aca="1" ref="B1379" ca="1">IFERROR(DATE(RIGHT(INDIRECT("RC[-1]",0),4),LEFT(INDIRECT("RC[-1]",0),2),1), "")</f>
        <v/>
      </c>
      <c r="C1379" s="182"/>
      <c r="F1379" cm="1">
        <f t="array" aca="1" ref="F1379" ca="1">IF(COUNTIF($E$2:$E$2000,INDIRECT("RC[-2]",0))&gt;0,"",INDIRECT("RC[-2]",0))</f>
        <v>0</v>
      </c>
    </row>
    <row r="1380" spans="2:6">
      <c r="B1380" t="str" cm="1">
        <f t="array" aca="1" ref="B1380" ca="1">IFERROR(DATE(RIGHT(INDIRECT("RC[-1]",0),4),LEFT(INDIRECT("RC[-1]",0),2),1), "")</f>
        <v/>
      </c>
      <c r="C1380" s="182"/>
      <c r="F1380" cm="1">
        <f t="array" aca="1" ref="F1380" ca="1">IF(COUNTIF($E$2:$E$2000,INDIRECT("RC[-2]",0))&gt;0,"",INDIRECT("RC[-2]",0))</f>
        <v>0</v>
      </c>
    </row>
    <row r="1381" spans="2:6">
      <c r="B1381" t="str" cm="1">
        <f t="array" aca="1" ref="B1381" ca="1">IFERROR(DATE(RIGHT(INDIRECT("RC[-1]",0),4),LEFT(INDIRECT("RC[-1]",0),2),1), "")</f>
        <v/>
      </c>
      <c r="C1381" s="182"/>
      <c r="F1381" cm="1">
        <f t="array" aca="1" ref="F1381" ca="1">IF(COUNTIF($E$2:$E$2000,INDIRECT("RC[-2]",0))&gt;0,"",INDIRECT("RC[-2]",0))</f>
        <v>0</v>
      </c>
    </row>
    <row r="1382" spans="2:6">
      <c r="B1382" t="str" cm="1">
        <f t="array" aca="1" ref="B1382" ca="1">IFERROR(DATE(RIGHT(INDIRECT("RC[-1]",0),4),LEFT(INDIRECT("RC[-1]",0),2),1), "")</f>
        <v/>
      </c>
      <c r="C1382" s="182"/>
      <c r="F1382" cm="1">
        <f t="array" aca="1" ref="F1382" ca="1">IF(COUNTIF($E$2:$E$2000,INDIRECT("RC[-2]",0))&gt;0,"",INDIRECT("RC[-2]",0))</f>
        <v>0</v>
      </c>
    </row>
    <row r="1383" spans="2:6">
      <c r="B1383" t="str" cm="1">
        <f t="array" aca="1" ref="B1383" ca="1">IFERROR(DATE(RIGHT(INDIRECT("RC[-1]",0),4),LEFT(INDIRECT("RC[-1]",0),2),1), "")</f>
        <v/>
      </c>
      <c r="C1383" s="182"/>
      <c r="F1383" cm="1">
        <f t="array" aca="1" ref="F1383" ca="1">IF(COUNTIF($E$2:$E$2000,INDIRECT("RC[-2]",0))&gt;0,"",INDIRECT("RC[-2]",0))</f>
        <v>0</v>
      </c>
    </row>
    <row r="1384" spans="2:6">
      <c r="B1384" t="str" cm="1">
        <f t="array" aca="1" ref="B1384" ca="1">IFERROR(DATE(RIGHT(INDIRECT("RC[-1]",0),4),LEFT(INDIRECT("RC[-1]",0),2),1), "")</f>
        <v/>
      </c>
      <c r="C1384" s="182"/>
      <c r="F1384" cm="1">
        <f t="array" aca="1" ref="F1384" ca="1">IF(COUNTIF($E$2:$E$2000,INDIRECT("RC[-2]",0))&gt;0,"",INDIRECT("RC[-2]",0))</f>
        <v>0</v>
      </c>
    </row>
    <row r="1385" spans="2:6">
      <c r="B1385" t="str" cm="1">
        <f t="array" aca="1" ref="B1385" ca="1">IFERROR(DATE(RIGHT(INDIRECT("RC[-1]",0),4),LEFT(INDIRECT("RC[-1]",0),2),1), "")</f>
        <v/>
      </c>
      <c r="C1385" s="182"/>
      <c r="F1385" cm="1">
        <f t="array" aca="1" ref="F1385" ca="1">IF(COUNTIF($E$2:$E$2000,INDIRECT("RC[-2]",0))&gt;0,"",INDIRECT("RC[-2]",0))</f>
        <v>0</v>
      </c>
    </row>
    <row r="1386" spans="2:6">
      <c r="B1386" t="str" cm="1">
        <f t="array" aca="1" ref="B1386" ca="1">IFERROR(DATE(RIGHT(INDIRECT("RC[-1]",0),4),LEFT(INDIRECT("RC[-1]",0),2),1), "")</f>
        <v/>
      </c>
      <c r="C1386" s="182"/>
      <c r="F1386" cm="1">
        <f t="array" aca="1" ref="F1386" ca="1">IF(COUNTIF($E$2:$E$2000,INDIRECT("RC[-2]",0))&gt;0,"",INDIRECT("RC[-2]",0))</f>
        <v>0</v>
      </c>
    </row>
    <row r="1387" spans="2:6">
      <c r="B1387" t="str" cm="1">
        <f t="array" aca="1" ref="B1387" ca="1">IFERROR(DATE(RIGHT(INDIRECT("RC[-1]",0),4),LEFT(INDIRECT("RC[-1]",0),2),1), "")</f>
        <v/>
      </c>
      <c r="C1387" s="182"/>
      <c r="F1387" cm="1">
        <f t="array" aca="1" ref="F1387" ca="1">IF(COUNTIF($E$2:$E$2000,INDIRECT("RC[-2]",0))&gt;0,"",INDIRECT("RC[-2]",0))</f>
        <v>0</v>
      </c>
    </row>
    <row r="1388" spans="2:6">
      <c r="B1388" t="str" cm="1">
        <f t="array" aca="1" ref="B1388" ca="1">IFERROR(DATE(RIGHT(INDIRECT("RC[-1]",0),4),LEFT(INDIRECT("RC[-1]",0),2),1), "")</f>
        <v/>
      </c>
      <c r="C1388" s="182"/>
      <c r="F1388" cm="1">
        <f t="array" aca="1" ref="F1388" ca="1">IF(COUNTIF($E$2:$E$2000,INDIRECT("RC[-2]",0))&gt;0,"",INDIRECT("RC[-2]",0))</f>
        <v>0</v>
      </c>
    </row>
    <row r="1389" spans="2:6">
      <c r="B1389" t="str" cm="1">
        <f t="array" aca="1" ref="B1389" ca="1">IFERROR(DATE(RIGHT(INDIRECT("RC[-1]",0),4),LEFT(INDIRECT("RC[-1]",0),2),1), "")</f>
        <v/>
      </c>
      <c r="C1389" s="182"/>
      <c r="F1389" cm="1">
        <f t="array" aca="1" ref="F1389" ca="1">IF(COUNTIF($E$2:$E$2000,INDIRECT("RC[-2]",0))&gt;0,"",INDIRECT("RC[-2]",0))</f>
        <v>0</v>
      </c>
    </row>
    <row r="1390" spans="2:6">
      <c r="B1390" t="str" cm="1">
        <f t="array" aca="1" ref="B1390" ca="1">IFERROR(DATE(RIGHT(INDIRECT("RC[-1]",0),4),LEFT(INDIRECT("RC[-1]",0),2),1), "")</f>
        <v/>
      </c>
      <c r="C1390" s="182"/>
      <c r="F1390" cm="1">
        <f t="array" aca="1" ref="F1390" ca="1">IF(COUNTIF($E$2:$E$2000,INDIRECT("RC[-2]",0))&gt;0,"",INDIRECT("RC[-2]",0))</f>
        <v>0</v>
      </c>
    </row>
    <row r="1391" spans="2:6">
      <c r="B1391" t="str" cm="1">
        <f t="array" aca="1" ref="B1391" ca="1">IFERROR(DATE(RIGHT(INDIRECT("RC[-1]",0),4),LEFT(INDIRECT("RC[-1]",0),2),1), "")</f>
        <v/>
      </c>
      <c r="C1391" s="182"/>
      <c r="F1391" cm="1">
        <f t="array" aca="1" ref="F1391" ca="1">IF(COUNTIF($E$2:$E$2000,INDIRECT("RC[-2]",0))&gt;0,"",INDIRECT("RC[-2]",0))</f>
        <v>0</v>
      </c>
    </row>
    <row r="1392" spans="2:6">
      <c r="B1392" t="str" cm="1">
        <f t="array" aca="1" ref="B1392" ca="1">IFERROR(DATE(RIGHT(INDIRECT("RC[-1]",0),4),LEFT(INDIRECT("RC[-1]",0),2),1), "")</f>
        <v/>
      </c>
      <c r="C1392" s="182"/>
      <c r="F1392" cm="1">
        <f t="array" aca="1" ref="F1392" ca="1">IF(COUNTIF($E$2:$E$2000,INDIRECT("RC[-2]",0))&gt;0,"",INDIRECT("RC[-2]",0))</f>
        <v>0</v>
      </c>
    </row>
    <row r="1393" spans="2:6">
      <c r="B1393" t="str" cm="1">
        <f t="array" aca="1" ref="B1393" ca="1">IFERROR(DATE(RIGHT(INDIRECT("RC[-1]",0),4),LEFT(INDIRECT("RC[-1]",0),2),1), "")</f>
        <v/>
      </c>
      <c r="C1393" s="182"/>
      <c r="F1393" cm="1">
        <f t="array" aca="1" ref="F1393" ca="1">IF(COUNTIF($E$2:$E$2000,INDIRECT("RC[-2]",0))&gt;0,"",INDIRECT("RC[-2]",0))</f>
        <v>0</v>
      </c>
    </row>
    <row r="1394" spans="2:6">
      <c r="B1394" t="str" cm="1">
        <f t="array" aca="1" ref="B1394" ca="1">IFERROR(DATE(RIGHT(INDIRECT("RC[-1]",0),4),LEFT(INDIRECT("RC[-1]",0),2),1), "")</f>
        <v/>
      </c>
      <c r="C1394" s="182"/>
      <c r="F1394" cm="1">
        <f t="array" aca="1" ref="F1394" ca="1">IF(COUNTIF($E$2:$E$2000,INDIRECT("RC[-2]",0))&gt;0,"",INDIRECT("RC[-2]",0))</f>
        <v>0</v>
      </c>
    </row>
    <row r="1395" spans="2:6">
      <c r="B1395" t="str" cm="1">
        <f t="array" aca="1" ref="B1395" ca="1">IFERROR(DATE(RIGHT(INDIRECT("RC[-1]",0),4),LEFT(INDIRECT("RC[-1]",0),2),1), "")</f>
        <v/>
      </c>
      <c r="C1395" s="182"/>
      <c r="F1395" cm="1">
        <f t="array" aca="1" ref="F1395" ca="1">IF(COUNTIF($E$2:$E$2000,INDIRECT("RC[-2]",0))&gt;0,"",INDIRECT("RC[-2]",0))</f>
        <v>0</v>
      </c>
    </row>
    <row r="1396" spans="2:6">
      <c r="B1396" t="str" cm="1">
        <f t="array" aca="1" ref="B1396" ca="1">IFERROR(DATE(RIGHT(INDIRECT("RC[-1]",0),4),LEFT(INDIRECT("RC[-1]",0),2),1), "")</f>
        <v/>
      </c>
      <c r="C1396" s="182"/>
      <c r="F1396" cm="1">
        <f t="array" aca="1" ref="F1396" ca="1">IF(COUNTIF($E$2:$E$2000,INDIRECT("RC[-2]",0))&gt;0,"",INDIRECT("RC[-2]",0))</f>
        <v>0</v>
      </c>
    </row>
    <row r="1397" spans="2:6">
      <c r="B1397" t="str" cm="1">
        <f t="array" aca="1" ref="B1397" ca="1">IFERROR(DATE(RIGHT(INDIRECT("RC[-1]",0),4),LEFT(INDIRECT("RC[-1]",0),2),1), "")</f>
        <v/>
      </c>
      <c r="C1397" s="182"/>
      <c r="F1397" cm="1">
        <f t="array" aca="1" ref="F1397" ca="1">IF(COUNTIF($E$2:$E$2000,INDIRECT("RC[-2]",0))&gt;0,"",INDIRECT("RC[-2]",0))</f>
        <v>0</v>
      </c>
    </row>
    <row r="1398" spans="2:6">
      <c r="B1398" t="str" cm="1">
        <f t="array" aca="1" ref="B1398" ca="1">IFERROR(DATE(RIGHT(INDIRECT("RC[-1]",0),4),LEFT(INDIRECT("RC[-1]",0),2),1), "")</f>
        <v/>
      </c>
      <c r="C1398" s="182"/>
      <c r="F1398" cm="1">
        <f t="array" aca="1" ref="F1398" ca="1">IF(COUNTIF($E$2:$E$2000,INDIRECT("RC[-2]",0))&gt;0,"",INDIRECT("RC[-2]",0))</f>
        <v>0</v>
      </c>
    </row>
    <row r="1399" spans="2:6">
      <c r="B1399" t="str" cm="1">
        <f t="array" aca="1" ref="B1399" ca="1">IFERROR(DATE(RIGHT(INDIRECT("RC[-1]",0),4),LEFT(INDIRECT("RC[-1]",0),2),1), "")</f>
        <v/>
      </c>
      <c r="C1399" s="182"/>
      <c r="F1399" cm="1">
        <f t="array" aca="1" ref="F1399" ca="1">IF(COUNTIF($E$2:$E$2000,INDIRECT("RC[-2]",0))&gt;0,"",INDIRECT("RC[-2]",0))</f>
        <v>0</v>
      </c>
    </row>
    <row r="1400" spans="2:6">
      <c r="B1400" t="str" cm="1">
        <f t="array" aca="1" ref="B1400" ca="1">IFERROR(DATE(RIGHT(INDIRECT("RC[-1]",0),4),LEFT(INDIRECT("RC[-1]",0),2),1), "")</f>
        <v/>
      </c>
      <c r="C1400" s="182"/>
      <c r="F1400" cm="1">
        <f t="array" aca="1" ref="F1400" ca="1">IF(COUNTIF($E$2:$E$2000,INDIRECT("RC[-2]",0))&gt;0,"",INDIRECT("RC[-2]",0))</f>
        <v>0</v>
      </c>
    </row>
    <row r="1401" spans="2:6">
      <c r="B1401" t="str" cm="1">
        <f t="array" aca="1" ref="B1401" ca="1">IFERROR(DATE(RIGHT(INDIRECT("RC[-1]",0),4),LEFT(INDIRECT("RC[-1]",0),2),1), "")</f>
        <v/>
      </c>
      <c r="C1401" s="182"/>
      <c r="F1401" cm="1">
        <f t="array" aca="1" ref="F1401" ca="1">IF(COUNTIF($E$2:$E$2000,INDIRECT("RC[-2]",0))&gt;0,"",INDIRECT("RC[-2]",0))</f>
        <v>0</v>
      </c>
    </row>
    <row r="1402" spans="2:6">
      <c r="B1402" t="str" cm="1">
        <f t="array" aca="1" ref="B1402" ca="1">IFERROR(DATE(RIGHT(INDIRECT("RC[-1]",0),4),LEFT(INDIRECT("RC[-1]",0),2),1), "")</f>
        <v/>
      </c>
      <c r="C1402" s="182"/>
      <c r="F1402" cm="1">
        <f t="array" aca="1" ref="F1402" ca="1">IF(COUNTIF($E$2:$E$2000,INDIRECT("RC[-2]",0))&gt;0,"",INDIRECT("RC[-2]",0))</f>
        <v>0</v>
      </c>
    </row>
    <row r="1403" spans="2:6">
      <c r="B1403" t="str" cm="1">
        <f t="array" aca="1" ref="B1403" ca="1">IFERROR(DATE(RIGHT(INDIRECT("RC[-1]",0),4),LEFT(INDIRECT("RC[-1]",0),2),1), "")</f>
        <v/>
      </c>
      <c r="C1403" s="182"/>
      <c r="F1403" cm="1">
        <f t="array" aca="1" ref="F1403" ca="1">IF(COUNTIF($E$2:$E$2000,INDIRECT("RC[-2]",0))&gt;0,"",INDIRECT("RC[-2]",0))</f>
        <v>0</v>
      </c>
    </row>
    <row r="1404" spans="2:6">
      <c r="B1404" t="str" cm="1">
        <f t="array" aca="1" ref="B1404" ca="1">IFERROR(DATE(RIGHT(INDIRECT("RC[-1]",0),4),LEFT(INDIRECT("RC[-1]",0),2),1), "")</f>
        <v/>
      </c>
      <c r="C1404" s="182"/>
      <c r="F1404" cm="1">
        <f t="array" aca="1" ref="F1404" ca="1">IF(COUNTIF($E$2:$E$2000,INDIRECT("RC[-2]",0))&gt;0,"",INDIRECT("RC[-2]",0))</f>
        <v>0</v>
      </c>
    </row>
    <row r="1405" spans="2:6">
      <c r="B1405" t="str" cm="1">
        <f t="array" aca="1" ref="B1405" ca="1">IFERROR(DATE(RIGHT(INDIRECT("RC[-1]",0),4),LEFT(INDIRECT("RC[-1]",0),2),1), "")</f>
        <v/>
      </c>
      <c r="C1405" s="182"/>
      <c r="F1405" cm="1">
        <f t="array" aca="1" ref="F1405" ca="1">IF(COUNTIF($E$2:$E$2000,INDIRECT("RC[-2]",0))&gt;0,"",INDIRECT("RC[-2]",0))</f>
        <v>0</v>
      </c>
    </row>
    <row r="1406" spans="2:6">
      <c r="B1406" t="str" cm="1">
        <f t="array" aca="1" ref="B1406" ca="1">IFERROR(DATE(RIGHT(INDIRECT("RC[-1]",0),4),LEFT(INDIRECT("RC[-1]",0),2),1), "")</f>
        <v/>
      </c>
      <c r="C1406" s="182"/>
      <c r="F1406" cm="1">
        <f t="array" aca="1" ref="F1406" ca="1">IF(COUNTIF($E$2:$E$2000,INDIRECT("RC[-2]",0))&gt;0,"",INDIRECT("RC[-2]",0))</f>
        <v>0</v>
      </c>
    </row>
    <row r="1407" spans="2:6">
      <c r="B1407" t="str" cm="1">
        <f t="array" aca="1" ref="B1407" ca="1">IFERROR(DATE(RIGHT(INDIRECT("RC[-1]",0),4),LEFT(INDIRECT("RC[-1]",0),2),1), "")</f>
        <v/>
      </c>
      <c r="C1407" s="182"/>
      <c r="F1407" cm="1">
        <f t="array" aca="1" ref="F1407" ca="1">IF(COUNTIF($E$2:$E$2000,INDIRECT("RC[-2]",0))&gt;0,"",INDIRECT("RC[-2]",0))</f>
        <v>0</v>
      </c>
    </row>
    <row r="1408" spans="2:6">
      <c r="B1408" t="str" cm="1">
        <f t="array" aca="1" ref="B1408" ca="1">IFERROR(DATE(RIGHT(INDIRECT("RC[-1]",0),4),LEFT(INDIRECT("RC[-1]",0),2),1), "")</f>
        <v/>
      </c>
      <c r="C1408" s="182"/>
      <c r="F1408" cm="1">
        <f t="array" aca="1" ref="F1408" ca="1">IF(COUNTIF($E$2:$E$2000,INDIRECT("RC[-2]",0))&gt;0,"",INDIRECT("RC[-2]",0))</f>
        <v>0</v>
      </c>
    </row>
    <row r="1409" spans="2:6">
      <c r="B1409" t="str" cm="1">
        <f t="array" aca="1" ref="B1409" ca="1">IFERROR(DATE(RIGHT(INDIRECT("RC[-1]",0),4),LEFT(INDIRECT("RC[-1]",0),2),1), "")</f>
        <v/>
      </c>
      <c r="C1409" s="182"/>
      <c r="F1409" cm="1">
        <f t="array" aca="1" ref="F1409" ca="1">IF(COUNTIF($E$2:$E$2000,INDIRECT("RC[-2]",0))&gt;0,"",INDIRECT("RC[-2]",0))</f>
        <v>0</v>
      </c>
    </row>
    <row r="1410" spans="2:6">
      <c r="B1410" t="str" cm="1">
        <f t="array" aca="1" ref="B1410" ca="1">IFERROR(DATE(RIGHT(INDIRECT("RC[-1]",0),4),LEFT(INDIRECT("RC[-1]",0),2),1), "")</f>
        <v/>
      </c>
      <c r="C1410" s="182"/>
      <c r="F1410" cm="1">
        <f t="array" aca="1" ref="F1410" ca="1">IF(COUNTIF($E$2:$E$2000,INDIRECT("RC[-2]",0))&gt;0,"",INDIRECT("RC[-2]",0))</f>
        <v>0</v>
      </c>
    </row>
    <row r="1411" spans="2:6">
      <c r="B1411" t="str" cm="1">
        <f t="array" aca="1" ref="B1411" ca="1">IFERROR(DATE(RIGHT(INDIRECT("RC[-1]",0),4),LEFT(INDIRECT("RC[-1]",0),2),1), "")</f>
        <v/>
      </c>
      <c r="C1411" s="182"/>
      <c r="F1411" cm="1">
        <f t="array" aca="1" ref="F1411" ca="1">IF(COUNTIF($E$2:$E$2000,INDIRECT("RC[-2]",0))&gt;0,"",INDIRECT("RC[-2]",0))</f>
        <v>0</v>
      </c>
    </row>
    <row r="1412" spans="2:6">
      <c r="B1412" t="str" cm="1">
        <f t="array" aca="1" ref="B1412" ca="1">IFERROR(DATE(RIGHT(INDIRECT("RC[-1]",0),4),LEFT(INDIRECT("RC[-1]",0),2),1), "")</f>
        <v/>
      </c>
      <c r="C1412" s="182"/>
      <c r="F1412" cm="1">
        <f t="array" aca="1" ref="F1412" ca="1">IF(COUNTIF($E$2:$E$2000,INDIRECT("RC[-2]",0))&gt;0,"",INDIRECT("RC[-2]",0))</f>
        <v>0</v>
      </c>
    </row>
    <row r="1413" spans="2:6">
      <c r="B1413" t="str" cm="1">
        <f t="array" aca="1" ref="B1413" ca="1">IFERROR(DATE(RIGHT(INDIRECT("RC[-1]",0),4),LEFT(INDIRECT("RC[-1]",0),2),1), "")</f>
        <v/>
      </c>
      <c r="C1413" s="182"/>
      <c r="F1413" cm="1">
        <f t="array" aca="1" ref="F1413" ca="1">IF(COUNTIF($E$2:$E$2000,INDIRECT("RC[-2]",0))&gt;0,"",INDIRECT("RC[-2]",0))</f>
        <v>0</v>
      </c>
    </row>
    <row r="1414" spans="2:6">
      <c r="B1414" t="str" cm="1">
        <f t="array" aca="1" ref="B1414" ca="1">IFERROR(DATE(RIGHT(INDIRECT("RC[-1]",0),4),LEFT(INDIRECT("RC[-1]",0),2),1), "")</f>
        <v/>
      </c>
      <c r="C1414" s="182"/>
      <c r="F1414" cm="1">
        <f t="array" aca="1" ref="F1414" ca="1">IF(COUNTIF($E$2:$E$2000,INDIRECT("RC[-2]",0))&gt;0,"",INDIRECT("RC[-2]",0))</f>
        <v>0</v>
      </c>
    </row>
    <row r="1415" spans="2:6">
      <c r="B1415" t="str" cm="1">
        <f t="array" aca="1" ref="B1415" ca="1">IFERROR(DATE(RIGHT(INDIRECT("RC[-1]",0),4),LEFT(INDIRECT("RC[-1]",0),2),1), "")</f>
        <v/>
      </c>
      <c r="C1415" s="182"/>
      <c r="F1415" cm="1">
        <f t="array" aca="1" ref="F1415" ca="1">IF(COUNTIF($E$2:$E$2000,INDIRECT("RC[-2]",0))&gt;0,"",INDIRECT("RC[-2]",0))</f>
        <v>0</v>
      </c>
    </row>
    <row r="1416" spans="2:6">
      <c r="B1416" t="str" cm="1">
        <f t="array" aca="1" ref="B1416" ca="1">IFERROR(DATE(RIGHT(INDIRECT("RC[-1]",0),4),LEFT(INDIRECT("RC[-1]",0),2),1), "")</f>
        <v/>
      </c>
      <c r="C1416" s="182"/>
      <c r="F1416" cm="1">
        <f t="array" aca="1" ref="F1416" ca="1">IF(COUNTIF($E$2:$E$2000,INDIRECT("RC[-2]",0))&gt;0,"",INDIRECT("RC[-2]",0))</f>
        <v>0</v>
      </c>
    </row>
    <row r="1417" spans="2:6">
      <c r="B1417" t="str" cm="1">
        <f t="array" aca="1" ref="B1417" ca="1">IFERROR(DATE(RIGHT(INDIRECT("RC[-1]",0),4),LEFT(INDIRECT("RC[-1]",0),2),1), "")</f>
        <v/>
      </c>
      <c r="C1417" s="182"/>
      <c r="F1417" cm="1">
        <f t="array" aca="1" ref="F1417" ca="1">IF(COUNTIF($E$2:$E$2000,INDIRECT("RC[-2]",0))&gt;0,"",INDIRECT("RC[-2]",0))</f>
        <v>0</v>
      </c>
    </row>
    <row r="1418" spans="2:6">
      <c r="B1418" t="str" cm="1">
        <f t="array" aca="1" ref="B1418" ca="1">IFERROR(DATE(RIGHT(INDIRECT("RC[-1]",0),4),LEFT(INDIRECT("RC[-1]",0),2),1), "")</f>
        <v/>
      </c>
      <c r="C1418" s="182"/>
      <c r="F1418" cm="1">
        <f t="array" aca="1" ref="F1418" ca="1">IF(COUNTIF($E$2:$E$2000,INDIRECT("RC[-2]",0))&gt;0,"",INDIRECT("RC[-2]",0))</f>
        <v>0</v>
      </c>
    </row>
    <row r="1419" spans="2:6">
      <c r="B1419" t="str" cm="1">
        <f t="array" aca="1" ref="B1419" ca="1">IFERROR(DATE(RIGHT(INDIRECT("RC[-1]",0),4),LEFT(INDIRECT("RC[-1]",0),2),1), "")</f>
        <v/>
      </c>
      <c r="C1419" s="182"/>
      <c r="F1419" cm="1">
        <f t="array" aca="1" ref="F1419" ca="1">IF(COUNTIF($E$2:$E$2000,INDIRECT("RC[-2]",0))&gt;0,"",INDIRECT("RC[-2]",0))</f>
        <v>0</v>
      </c>
    </row>
    <row r="1420" spans="2:6">
      <c r="B1420" t="str" cm="1">
        <f t="array" aca="1" ref="B1420" ca="1">IFERROR(DATE(RIGHT(INDIRECT("RC[-1]",0),4),LEFT(INDIRECT("RC[-1]",0),2),1), "")</f>
        <v/>
      </c>
      <c r="C1420" s="182"/>
      <c r="F1420" cm="1">
        <f t="array" aca="1" ref="F1420" ca="1">IF(COUNTIF($E$2:$E$2000,INDIRECT("RC[-2]",0))&gt;0,"",INDIRECT("RC[-2]",0))</f>
        <v>0</v>
      </c>
    </row>
    <row r="1421" spans="2:6">
      <c r="B1421" t="str" cm="1">
        <f t="array" aca="1" ref="B1421" ca="1">IFERROR(DATE(RIGHT(INDIRECT("RC[-1]",0),4),LEFT(INDIRECT("RC[-1]",0),2),1), "")</f>
        <v/>
      </c>
      <c r="C1421" s="182"/>
      <c r="F1421" cm="1">
        <f t="array" aca="1" ref="F1421" ca="1">IF(COUNTIF($E$2:$E$2000,INDIRECT("RC[-2]",0))&gt;0,"",INDIRECT("RC[-2]",0))</f>
        <v>0</v>
      </c>
    </row>
    <row r="1422" spans="2:6">
      <c r="B1422" t="str" cm="1">
        <f t="array" aca="1" ref="B1422" ca="1">IFERROR(DATE(RIGHT(INDIRECT("RC[-1]",0),4),LEFT(INDIRECT("RC[-1]",0),2),1), "")</f>
        <v/>
      </c>
      <c r="C1422" s="182"/>
      <c r="F1422" cm="1">
        <f t="array" aca="1" ref="F1422" ca="1">IF(COUNTIF($E$2:$E$2000,INDIRECT("RC[-2]",0))&gt;0,"",INDIRECT("RC[-2]",0))</f>
        <v>0</v>
      </c>
    </row>
    <row r="1423" spans="2:6">
      <c r="B1423" t="str" cm="1">
        <f t="array" aca="1" ref="B1423" ca="1">IFERROR(DATE(RIGHT(INDIRECT("RC[-1]",0),4),LEFT(INDIRECT("RC[-1]",0),2),1), "")</f>
        <v/>
      </c>
      <c r="C1423" s="182"/>
      <c r="F1423" cm="1">
        <f t="array" aca="1" ref="F1423" ca="1">IF(COUNTIF($E$2:$E$2000,INDIRECT("RC[-2]",0))&gt;0,"",INDIRECT("RC[-2]",0))</f>
        <v>0</v>
      </c>
    </row>
    <row r="1424" spans="2:6">
      <c r="B1424" t="str" cm="1">
        <f t="array" aca="1" ref="B1424" ca="1">IFERROR(DATE(RIGHT(INDIRECT("RC[-1]",0),4),LEFT(INDIRECT("RC[-1]",0),2),1), "")</f>
        <v/>
      </c>
      <c r="C1424" s="182"/>
      <c r="F1424" cm="1">
        <f t="array" aca="1" ref="F1424" ca="1">IF(COUNTIF($E$2:$E$2000,INDIRECT("RC[-2]",0))&gt;0,"",INDIRECT("RC[-2]",0))</f>
        <v>0</v>
      </c>
    </row>
    <row r="1425" spans="2:6">
      <c r="B1425" t="str" cm="1">
        <f t="array" aca="1" ref="B1425" ca="1">IFERROR(DATE(RIGHT(INDIRECT("RC[-1]",0),4),LEFT(INDIRECT("RC[-1]",0),2),1), "")</f>
        <v/>
      </c>
      <c r="C1425" s="182"/>
      <c r="F1425" cm="1">
        <f t="array" aca="1" ref="F1425" ca="1">IF(COUNTIF($E$2:$E$2000,INDIRECT("RC[-2]",0))&gt;0,"",INDIRECT("RC[-2]",0))</f>
        <v>0</v>
      </c>
    </row>
    <row r="1426" spans="2:6">
      <c r="B1426" t="str" cm="1">
        <f t="array" aca="1" ref="B1426" ca="1">IFERROR(DATE(RIGHT(INDIRECT("RC[-1]",0),4),LEFT(INDIRECT("RC[-1]",0),2),1), "")</f>
        <v/>
      </c>
      <c r="C1426" s="182"/>
      <c r="F1426" cm="1">
        <f t="array" aca="1" ref="F1426" ca="1">IF(COUNTIF($E$2:$E$2000,INDIRECT("RC[-2]",0))&gt;0,"",INDIRECT("RC[-2]",0))</f>
        <v>0</v>
      </c>
    </row>
    <row r="1427" spans="2:6">
      <c r="B1427" t="str" cm="1">
        <f t="array" aca="1" ref="B1427" ca="1">IFERROR(DATE(RIGHT(INDIRECT("RC[-1]",0),4),LEFT(INDIRECT("RC[-1]",0),2),1), "")</f>
        <v/>
      </c>
      <c r="C1427" s="182"/>
      <c r="F1427" cm="1">
        <f t="array" aca="1" ref="F1427" ca="1">IF(COUNTIF($E$2:$E$2000,INDIRECT("RC[-2]",0))&gt;0,"",INDIRECT("RC[-2]",0))</f>
        <v>0</v>
      </c>
    </row>
    <row r="1428" spans="2:6">
      <c r="B1428" t="str" cm="1">
        <f t="array" aca="1" ref="B1428" ca="1">IFERROR(DATE(RIGHT(INDIRECT("RC[-1]",0),4),LEFT(INDIRECT("RC[-1]",0),2),1), "")</f>
        <v/>
      </c>
      <c r="C1428" s="182"/>
      <c r="F1428" cm="1">
        <f t="array" aca="1" ref="F1428" ca="1">IF(COUNTIF($E$2:$E$2000,INDIRECT("RC[-2]",0))&gt;0,"",INDIRECT("RC[-2]",0))</f>
        <v>0</v>
      </c>
    </row>
    <row r="1429" spans="2:6">
      <c r="B1429" t="str" cm="1">
        <f t="array" aca="1" ref="B1429" ca="1">IFERROR(DATE(RIGHT(INDIRECT("RC[-1]",0),4),LEFT(INDIRECT("RC[-1]",0),2),1), "")</f>
        <v/>
      </c>
      <c r="C1429" s="182"/>
      <c r="F1429" cm="1">
        <f t="array" aca="1" ref="F1429" ca="1">IF(COUNTIF($E$2:$E$2000,INDIRECT("RC[-2]",0))&gt;0,"",INDIRECT("RC[-2]",0))</f>
        <v>0</v>
      </c>
    </row>
    <row r="1430" spans="2:6">
      <c r="B1430" t="str" cm="1">
        <f t="array" aca="1" ref="B1430" ca="1">IFERROR(DATE(RIGHT(INDIRECT("RC[-1]",0),4),LEFT(INDIRECT("RC[-1]",0),2),1), "")</f>
        <v/>
      </c>
      <c r="C1430" s="182"/>
      <c r="F1430" cm="1">
        <f t="array" aca="1" ref="F1430" ca="1">IF(COUNTIF($E$2:$E$2000,INDIRECT("RC[-2]",0))&gt;0,"",INDIRECT("RC[-2]",0))</f>
        <v>0</v>
      </c>
    </row>
    <row r="1431" spans="2:6">
      <c r="B1431" t="str" cm="1">
        <f t="array" aca="1" ref="B1431" ca="1">IFERROR(DATE(RIGHT(INDIRECT("RC[-1]",0),4),LEFT(INDIRECT("RC[-1]",0),2),1), "")</f>
        <v/>
      </c>
      <c r="C1431" s="182"/>
      <c r="F1431" cm="1">
        <f t="array" aca="1" ref="F1431" ca="1">IF(COUNTIF($E$2:$E$2000,INDIRECT("RC[-2]",0))&gt;0,"",INDIRECT("RC[-2]",0))</f>
        <v>0</v>
      </c>
    </row>
    <row r="1432" spans="2:6">
      <c r="B1432" t="str" cm="1">
        <f t="array" aca="1" ref="B1432" ca="1">IFERROR(DATE(RIGHT(INDIRECT("RC[-1]",0),4),LEFT(INDIRECT("RC[-1]",0),2),1), "")</f>
        <v/>
      </c>
      <c r="C1432" s="182"/>
      <c r="F1432" cm="1">
        <f t="array" aca="1" ref="F1432" ca="1">IF(COUNTIF($E$2:$E$2000,INDIRECT("RC[-2]",0))&gt;0,"",INDIRECT("RC[-2]",0))</f>
        <v>0</v>
      </c>
    </row>
    <row r="1433" spans="2:6">
      <c r="B1433" t="str" cm="1">
        <f t="array" aca="1" ref="B1433" ca="1">IFERROR(DATE(RIGHT(INDIRECT("RC[-1]",0),4),LEFT(INDIRECT("RC[-1]",0),2),1), "")</f>
        <v/>
      </c>
      <c r="C1433" s="182"/>
      <c r="F1433" cm="1">
        <f t="array" aca="1" ref="F1433" ca="1">IF(COUNTIF($E$2:$E$2000,INDIRECT("RC[-2]",0))&gt;0,"",INDIRECT("RC[-2]",0))</f>
        <v>0</v>
      </c>
    </row>
    <row r="1434" spans="2:6">
      <c r="B1434" t="str" cm="1">
        <f t="array" aca="1" ref="B1434" ca="1">IFERROR(DATE(RIGHT(INDIRECT("RC[-1]",0),4),LEFT(INDIRECT("RC[-1]",0),2),1), "")</f>
        <v/>
      </c>
      <c r="C1434" s="182"/>
      <c r="F1434" cm="1">
        <f t="array" aca="1" ref="F1434" ca="1">IF(COUNTIF($E$2:$E$2000,INDIRECT("RC[-2]",0))&gt;0,"",INDIRECT("RC[-2]",0))</f>
        <v>0</v>
      </c>
    </row>
    <row r="1435" spans="2:6">
      <c r="B1435" t="str" cm="1">
        <f t="array" aca="1" ref="B1435" ca="1">IFERROR(DATE(RIGHT(INDIRECT("RC[-1]",0),4),LEFT(INDIRECT("RC[-1]",0),2),1), "")</f>
        <v/>
      </c>
      <c r="C1435" s="182"/>
      <c r="F1435" cm="1">
        <f t="array" aca="1" ref="F1435" ca="1">IF(COUNTIF($E$2:$E$2000,INDIRECT("RC[-2]",0))&gt;0,"",INDIRECT("RC[-2]",0))</f>
        <v>0</v>
      </c>
    </row>
    <row r="1436" spans="2:6">
      <c r="B1436" t="str" cm="1">
        <f t="array" aca="1" ref="B1436" ca="1">IFERROR(DATE(RIGHT(INDIRECT("RC[-1]",0),4),LEFT(INDIRECT("RC[-1]",0),2),1), "")</f>
        <v/>
      </c>
      <c r="C1436" s="182"/>
      <c r="F1436" cm="1">
        <f t="array" aca="1" ref="F1436" ca="1">IF(COUNTIF($E$2:$E$2000,INDIRECT("RC[-2]",0))&gt;0,"",INDIRECT("RC[-2]",0))</f>
        <v>0</v>
      </c>
    </row>
    <row r="1437" spans="2:6">
      <c r="B1437" t="str" cm="1">
        <f t="array" aca="1" ref="B1437" ca="1">IFERROR(DATE(RIGHT(INDIRECT("RC[-1]",0),4),LEFT(INDIRECT("RC[-1]",0),2),1), "")</f>
        <v/>
      </c>
      <c r="C1437" s="182"/>
      <c r="F1437" cm="1">
        <f t="array" aca="1" ref="F1437" ca="1">IF(COUNTIF($E$2:$E$2000,INDIRECT("RC[-2]",0))&gt;0,"",INDIRECT("RC[-2]",0))</f>
        <v>0</v>
      </c>
    </row>
    <row r="1438" spans="2:6">
      <c r="B1438" t="str" cm="1">
        <f t="array" aca="1" ref="B1438" ca="1">IFERROR(DATE(RIGHT(INDIRECT("RC[-1]",0),4),LEFT(INDIRECT("RC[-1]",0),2),1), "")</f>
        <v/>
      </c>
      <c r="C1438" s="182"/>
      <c r="F1438" cm="1">
        <f t="array" aca="1" ref="F1438" ca="1">IF(COUNTIF($E$2:$E$2000,INDIRECT("RC[-2]",0))&gt;0,"",INDIRECT("RC[-2]",0))</f>
        <v>0</v>
      </c>
    </row>
    <row r="1439" spans="2:6">
      <c r="B1439" t="str" cm="1">
        <f t="array" aca="1" ref="B1439" ca="1">IFERROR(DATE(RIGHT(INDIRECT("RC[-1]",0),4),LEFT(INDIRECT("RC[-1]",0),2),1), "")</f>
        <v/>
      </c>
      <c r="C1439" s="182"/>
      <c r="F1439" cm="1">
        <f t="array" aca="1" ref="F1439" ca="1">IF(COUNTIF($E$2:$E$2000,INDIRECT("RC[-2]",0))&gt;0,"",INDIRECT("RC[-2]",0))</f>
        <v>0</v>
      </c>
    </row>
    <row r="1440" spans="2:6">
      <c r="B1440" t="str" cm="1">
        <f t="array" aca="1" ref="B1440" ca="1">IFERROR(DATE(RIGHT(INDIRECT("RC[-1]",0),4),LEFT(INDIRECT("RC[-1]",0),2),1), "")</f>
        <v/>
      </c>
      <c r="C1440" s="182"/>
      <c r="F1440" cm="1">
        <f t="array" aca="1" ref="F1440" ca="1">IF(COUNTIF($E$2:$E$2000,INDIRECT("RC[-2]",0))&gt;0,"",INDIRECT("RC[-2]",0))</f>
        <v>0</v>
      </c>
    </row>
    <row r="1441" spans="2:6">
      <c r="B1441" t="str" cm="1">
        <f t="array" aca="1" ref="B1441" ca="1">IFERROR(DATE(RIGHT(INDIRECT("RC[-1]",0),4),LEFT(INDIRECT("RC[-1]",0),2),1), "")</f>
        <v/>
      </c>
      <c r="C1441" s="182"/>
      <c r="F1441" cm="1">
        <f t="array" aca="1" ref="F1441" ca="1">IF(COUNTIF($E$2:$E$2000,INDIRECT("RC[-2]",0))&gt;0,"",INDIRECT("RC[-2]",0))</f>
        <v>0</v>
      </c>
    </row>
    <row r="1442" spans="2:6">
      <c r="B1442" t="str" cm="1">
        <f t="array" aca="1" ref="B1442" ca="1">IFERROR(DATE(RIGHT(INDIRECT("RC[-1]",0),4),LEFT(INDIRECT("RC[-1]",0),2),1), "")</f>
        <v/>
      </c>
      <c r="C1442" s="182"/>
      <c r="F1442" cm="1">
        <f t="array" aca="1" ref="F1442" ca="1">IF(COUNTIF($E$2:$E$2000,INDIRECT("RC[-2]",0))&gt;0,"",INDIRECT("RC[-2]",0))</f>
        <v>0</v>
      </c>
    </row>
    <row r="1443" spans="2:6">
      <c r="B1443" t="str" cm="1">
        <f t="array" aca="1" ref="B1443" ca="1">IFERROR(DATE(RIGHT(INDIRECT("RC[-1]",0),4),LEFT(INDIRECT("RC[-1]",0),2),1), "")</f>
        <v/>
      </c>
      <c r="C1443" s="182"/>
      <c r="F1443" cm="1">
        <f t="array" aca="1" ref="F1443" ca="1">IF(COUNTIF($E$2:$E$2000,INDIRECT("RC[-2]",0))&gt;0,"",INDIRECT("RC[-2]",0))</f>
        <v>0</v>
      </c>
    </row>
    <row r="1444" spans="2:6">
      <c r="B1444" t="str" cm="1">
        <f t="array" aca="1" ref="B1444" ca="1">IFERROR(DATE(RIGHT(INDIRECT("RC[-1]",0),4),LEFT(INDIRECT("RC[-1]",0),2),1), "")</f>
        <v/>
      </c>
      <c r="C1444" s="182"/>
      <c r="F1444" cm="1">
        <f t="array" aca="1" ref="F1444" ca="1">IF(COUNTIF($E$2:$E$2000,INDIRECT("RC[-2]",0))&gt;0,"",INDIRECT("RC[-2]",0))</f>
        <v>0</v>
      </c>
    </row>
    <row r="1445" spans="2:6">
      <c r="B1445" t="str" cm="1">
        <f t="array" aca="1" ref="B1445" ca="1">IFERROR(DATE(RIGHT(INDIRECT("RC[-1]",0),4),LEFT(INDIRECT("RC[-1]",0),2),1), "")</f>
        <v/>
      </c>
      <c r="C1445" s="182"/>
      <c r="F1445" cm="1">
        <f t="array" aca="1" ref="F1445" ca="1">IF(COUNTIF($E$2:$E$2000,INDIRECT("RC[-2]",0))&gt;0,"",INDIRECT("RC[-2]",0))</f>
        <v>0</v>
      </c>
    </row>
    <row r="1446" spans="2:6">
      <c r="B1446" t="str" cm="1">
        <f t="array" aca="1" ref="B1446" ca="1">IFERROR(DATE(RIGHT(INDIRECT("RC[-1]",0),4),LEFT(INDIRECT("RC[-1]",0),2),1), "")</f>
        <v/>
      </c>
      <c r="C1446" s="182"/>
      <c r="F1446" cm="1">
        <f t="array" aca="1" ref="F1446" ca="1">IF(COUNTIF($E$2:$E$2000,INDIRECT("RC[-2]",0))&gt;0,"",INDIRECT("RC[-2]",0))</f>
        <v>0</v>
      </c>
    </row>
    <row r="1447" spans="2:6">
      <c r="B1447" t="str" cm="1">
        <f t="array" aca="1" ref="B1447" ca="1">IFERROR(DATE(RIGHT(INDIRECT("RC[-1]",0),4),LEFT(INDIRECT("RC[-1]",0),2),1), "")</f>
        <v/>
      </c>
      <c r="C1447" s="182"/>
      <c r="F1447" cm="1">
        <f t="array" aca="1" ref="F1447" ca="1">IF(COUNTIF($E$2:$E$2000,INDIRECT("RC[-2]",0))&gt;0,"",INDIRECT("RC[-2]",0))</f>
        <v>0</v>
      </c>
    </row>
    <row r="1448" spans="2:6">
      <c r="B1448" t="str" cm="1">
        <f t="array" aca="1" ref="B1448" ca="1">IFERROR(DATE(RIGHT(INDIRECT("RC[-1]",0),4),LEFT(INDIRECT("RC[-1]",0),2),1), "")</f>
        <v/>
      </c>
      <c r="C1448" s="182"/>
      <c r="F1448" cm="1">
        <f t="array" aca="1" ref="F1448" ca="1">IF(COUNTIF($E$2:$E$2000,INDIRECT("RC[-2]",0))&gt;0,"",INDIRECT("RC[-2]",0))</f>
        <v>0</v>
      </c>
    </row>
    <row r="1449" spans="2:6">
      <c r="B1449" t="str" cm="1">
        <f t="array" aca="1" ref="B1449" ca="1">IFERROR(DATE(RIGHT(INDIRECT("RC[-1]",0),4),LEFT(INDIRECT("RC[-1]",0),2),1), "")</f>
        <v/>
      </c>
      <c r="C1449" s="182"/>
      <c r="F1449" cm="1">
        <f t="array" aca="1" ref="F1449" ca="1">IF(COUNTIF($E$2:$E$2000,INDIRECT("RC[-2]",0))&gt;0,"",INDIRECT("RC[-2]",0))</f>
        <v>0</v>
      </c>
    </row>
    <row r="1450" spans="2:6">
      <c r="B1450" t="str" cm="1">
        <f t="array" aca="1" ref="B1450" ca="1">IFERROR(DATE(RIGHT(INDIRECT("RC[-1]",0),4),LEFT(INDIRECT("RC[-1]",0),2),1), "")</f>
        <v/>
      </c>
      <c r="C1450" s="182"/>
      <c r="F1450" cm="1">
        <f t="array" aca="1" ref="F1450" ca="1">IF(COUNTIF($E$2:$E$2000,INDIRECT("RC[-2]",0))&gt;0,"",INDIRECT("RC[-2]",0))</f>
        <v>0</v>
      </c>
    </row>
    <row r="1451" spans="2:6">
      <c r="B1451" t="str" cm="1">
        <f t="array" aca="1" ref="B1451" ca="1">IFERROR(DATE(RIGHT(INDIRECT("RC[-1]",0),4),LEFT(INDIRECT("RC[-1]",0),2),1), "")</f>
        <v/>
      </c>
      <c r="C1451" s="182"/>
      <c r="F1451" cm="1">
        <f t="array" aca="1" ref="F1451" ca="1">IF(COUNTIF($E$2:$E$2000,INDIRECT("RC[-2]",0))&gt;0,"",INDIRECT("RC[-2]",0))</f>
        <v>0</v>
      </c>
    </row>
    <row r="1452" spans="2:6">
      <c r="B1452" t="str" cm="1">
        <f t="array" aca="1" ref="B1452" ca="1">IFERROR(DATE(RIGHT(INDIRECT("RC[-1]",0),4),LEFT(INDIRECT("RC[-1]",0),2),1), "")</f>
        <v/>
      </c>
      <c r="C1452" s="182"/>
      <c r="F1452" cm="1">
        <f t="array" aca="1" ref="F1452" ca="1">IF(COUNTIF($E$2:$E$2000,INDIRECT("RC[-2]",0))&gt;0,"",INDIRECT("RC[-2]",0))</f>
        <v>0</v>
      </c>
    </row>
    <row r="1453" spans="2:6">
      <c r="B1453" t="str" cm="1">
        <f t="array" aca="1" ref="B1453" ca="1">IFERROR(DATE(RIGHT(INDIRECT("RC[-1]",0),4),LEFT(INDIRECT("RC[-1]",0),2),1), "")</f>
        <v/>
      </c>
      <c r="C1453" s="182"/>
      <c r="F1453" cm="1">
        <f t="array" aca="1" ref="F1453" ca="1">IF(COUNTIF($E$2:$E$2000,INDIRECT("RC[-2]",0))&gt;0,"",INDIRECT("RC[-2]",0))</f>
        <v>0</v>
      </c>
    </row>
    <row r="1454" spans="2:6">
      <c r="B1454" t="str" cm="1">
        <f t="array" aca="1" ref="B1454" ca="1">IFERROR(DATE(RIGHT(INDIRECT("RC[-1]",0),4),LEFT(INDIRECT("RC[-1]",0),2),1), "")</f>
        <v/>
      </c>
      <c r="C1454" s="182"/>
      <c r="F1454" cm="1">
        <f t="array" aca="1" ref="F1454" ca="1">IF(COUNTIF($E$2:$E$2000,INDIRECT("RC[-2]",0))&gt;0,"",INDIRECT("RC[-2]",0))</f>
        <v>0</v>
      </c>
    </row>
    <row r="1455" spans="2:6">
      <c r="B1455" t="str" cm="1">
        <f t="array" aca="1" ref="B1455" ca="1">IFERROR(DATE(RIGHT(INDIRECT("RC[-1]",0),4),LEFT(INDIRECT("RC[-1]",0),2),1), "")</f>
        <v/>
      </c>
      <c r="C1455" s="182"/>
      <c r="F1455" cm="1">
        <f t="array" aca="1" ref="F1455" ca="1">IF(COUNTIF($E$2:$E$2000,INDIRECT("RC[-2]",0))&gt;0,"",INDIRECT("RC[-2]",0))</f>
        <v>0</v>
      </c>
    </row>
    <row r="1456" spans="2:6">
      <c r="B1456" t="str" cm="1">
        <f t="array" aca="1" ref="B1456" ca="1">IFERROR(DATE(RIGHT(INDIRECT("RC[-1]",0),4),LEFT(INDIRECT("RC[-1]",0),2),1), "")</f>
        <v/>
      </c>
      <c r="C1456" s="182"/>
      <c r="F1456" cm="1">
        <f t="array" aca="1" ref="F1456" ca="1">IF(COUNTIF($E$2:$E$2000,INDIRECT("RC[-2]",0))&gt;0,"",INDIRECT("RC[-2]",0))</f>
        <v>0</v>
      </c>
    </row>
    <row r="1457" spans="2:6">
      <c r="B1457" t="str" cm="1">
        <f t="array" aca="1" ref="B1457" ca="1">IFERROR(DATE(RIGHT(INDIRECT("RC[-1]",0),4),LEFT(INDIRECT("RC[-1]",0),2),1), "")</f>
        <v/>
      </c>
      <c r="C1457" s="182"/>
      <c r="F1457" cm="1">
        <f t="array" aca="1" ref="F1457" ca="1">IF(COUNTIF($E$2:$E$2000,INDIRECT("RC[-2]",0))&gt;0,"",INDIRECT("RC[-2]",0))</f>
        <v>0</v>
      </c>
    </row>
    <row r="1458" spans="2:6">
      <c r="B1458" t="str" cm="1">
        <f t="array" aca="1" ref="B1458" ca="1">IFERROR(DATE(RIGHT(INDIRECT("RC[-1]",0),4),LEFT(INDIRECT("RC[-1]",0),2),1), "")</f>
        <v/>
      </c>
      <c r="C1458" s="182"/>
      <c r="F1458" cm="1">
        <f t="array" aca="1" ref="F1458" ca="1">IF(COUNTIF($E$2:$E$2000,INDIRECT("RC[-2]",0))&gt;0,"",INDIRECT("RC[-2]",0))</f>
        <v>0</v>
      </c>
    </row>
    <row r="1459" spans="2:6">
      <c r="B1459" t="str" cm="1">
        <f t="array" aca="1" ref="B1459" ca="1">IFERROR(DATE(RIGHT(INDIRECT("RC[-1]",0),4),LEFT(INDIRECT("RC[-1]",0),2),1), "")</f>
        <v/>
      </c>
      <c r="C1459" s="182"/>
      <c r="F1459" cm="1">
        <f t="array" aca="1" ref="F1459" ca="1">IF(COUNTIF($E$2:$E$2000,INDIRECT("RC[-2]",0))&gt;0,"",INDIRECT("RC[-2]",0))</f>
        <v>0</v>
      </c>
    </row>
    <row r="1460" spans="2:6">
      <c r="B1460" t="str" cm="1">
        <f t="array" aca="1" ref="B1460" ca="1">IFERROR(DATE(RIGHT(INDIRECT("RC[-1]",0),4),LEFT(INDIRECT("RC[-1]",0),2),1), "")</f>
        <v/>
      </c>
      <c r="C1460" s="182"/>
      <c r="F1460" cm="1">
        <f t="array" aca="1" ref="F1460" ca="1">IF(COUNTIF($E$2:$E$2000,INDIRECT("RC[-2]",0))&gt;0,"",INDIRECT("RC[-2]",0))</f>
        <v>0</v>
      </c>
    </row>
    <row r="1461" spans="2:6">
      <c r="B1461" t="str" cm="1">
        <f t="array" aca="1" ref="B1461" ca="1">IFERROR(DATE(RIGHT(INDIRECT("RC[-1]",0),4),LEFT(INDIRECT("RC[-1]",0),2),1), "")</f>
        <v/>
      </c>
      <c r="C1461" s="182"/>
      <c r="F1461" cm="1">
        <f t="array" aca="1" ref="F1461" ca="1">IF(COUNTIF($E$2:$E$2000,INDIRECT("RC[-2]",0))&gt;0,"",INDIRECT("RC[-2]",0))</f>
        <v>0</v>
      </c>
    </row>
    <row r="1462" spans="2:6">
      <c r="B1462" t="str" cm="1">
        <f t="array" aca="1" ref="B1462" ca="1">IFERROR(DATE(RIGHT(INDIRECT("RC[-1]",0),4),LEFT(INDIRECT("RC[-1]",0),2),1), "")</f>
        <v/>
      </c>
      <c r="C1462" s="182"/>
      <c r="F1462" cm="1">
        <f t="array" aca="1" ref="F1462" ca="1">IF(COUNTIF($E$2:$E$2000,INDIRECT("RC[-2]",0))&gt;0,"",INDIRECT("RC[-2]",0))</f>
        <v>0</v>
      </c>
    </row>
    <row r="1463" spans="2:6">
      <c r="B1463" t="str" cm="1">
        <f t="array" aca="1" ref="B1463" ca="1">IFERROR(DATE(RIGHT(INDIRECT("RC[-1]",0),4),LEFT(INDIRECT("RC[-1]",0),2),1), "")</f>
        <v/>
      </c>
      <c r="C1463" s="182"/>
      <c r="F1463" cm="1">
        <f t="array" aca="1" ref="F1463" ca="1">IF(COUNTIF($E$2:$E$2000,INDIRECT("RC[-2]",0))&gt;0,"",INDIRECT("RC[-2]",0))</f>
        <v>0</v>
      </c>
    </row>
    <row r="1464" spans="2:6">
      <c r="B1464" t="str" cm="1">
        <f t="array" aca="1" ref="B1464" ca="1">IFERROR(DATE(RIGHT(INDIRECT("RC[-1]",0),4),LEFT(INDIRECT("RC[-1]",0),2),1), "")</f>
        <v/>
      </c>
      <c r="C1464" s="182"/>
      <c r="F1464" cm="1">
        <f t="array" aca="1" ref="F1464" ca="1">IF(COUNTIF($E$2:$E$2000,INDIRECT("RC[-2]",0))&gt;0,"",INDIRECT("RC[-2]",0))</f>
        <v>0</v>
      </c>
    </row>
    <row r="1465" spans="2:6">
      <c r="B1465" t="str" cm="1">
        <f t="array" aca="1" ref="B1465" ca="1">IFERROR(DATE(RIGHT(INDIRECT("RC[-1]",0),4),LEFT(INDIRECT("RC[-1]",0),2),1), "")</f>
        <v/>
      </c>
      <c r="C1465" s="182"/>
      <c r="F1465" cm="1">
        <f t="array" aca="1" ref="F1465" ca="1">IF(COUNTIF($E$2:$E$2000,INDIRECT("RC[-2]",0))&gt;0,"",INDIRECT("RC[-2]",0))</f>
        <v>0</v>
      </c>
    </row>
    <row r="1466" spans="2:6">
      <c r="B1466" t="str" cm="1">
        <f t="array" aca="1" ref="B1466" ca="1">IFERROR(DATE(RIGHT(INDIRECT("RC[-1]",0),4),LEFT(INDIRECT("RC[-1]",0),2),1), "")</f>
        <v/>
      </c>
      <c r="C1466" s="182"/>
      <c r="F1466" cm="1">
        <f t="array" aca="1" ref="F1466" ca="1">IF(COUNTIF($E$2:$E$2000,INDIRECT("RC[-2]",0))&gt;0,"",INDIRECT("RC[-2]",0))</f>
        <v>0</v>
      </c>
    </row>
    <row r="1467" spans="2:6">
      <c r="B1467" t="str" cm="1">
        <f t="array" aca="1" ref="B1467" ca="1">IFERROR(DATE(RIGHT(INDIRECT("RC[-1]",0),4),LEFT(INDIRECT("RC[-1]",0),2),1), "")</f>
        <v/>
      </c>
      <c r="C1467" s="182"/>
      <c r="F1467" cm="1">
        <f t="array" aca="1" ref="F1467" ca="1">IF(COUNTIF($E$2:$E$2000,INDIRECT("RC[-2]",0))&gt;0,"",INDIRECT("RC[-2]",0))</f>
        <v>0</v>
      </c>
    </row>
    <row r="1468" spans="2:6">
      <c r="B1468" t="str" cm="1">
        <f t="array" aca="1" ref="B1468" ca="1">IFERROR(DATE(RIGHT(INDIRECT("RC[-1]",0),4),LEFT(INDIRECT("RC[-1]",0),2),1), "")</f>
        <v/>
      </c>
      <c r="C1468" s="182"/>
      <c r="F1468" cm="1">
        <f t="array" aca="1" ref="F1468" ca="1">IF(COUNTIF($E$2:$E$2000,INDIRECT("RC[-2]",0))&gt;0,"",INDIRECT("RC[-2]",0))</f>
        <v>0</v>
      </c>
    </row>
    <row r="1469" spans="2:6">
      <c r="B1469" t="str" cm="1">
        <f t="array" aca="1" ref="B1469" ca="1">IFERROR(DATE(RIGHT(INDIRECT("RC[-1]",0),4),LEFT(INDIRECT("RC[-1]",0),2),1), "")</f>
        <v/>
      </c>
      <c r="C1469" s="182"/>
      <c r="F1469" cm="1">
        <f t="array" aca="1" ref="F1469" ca="1">IF(COUNTIF($E$2:$E$2000,INDIRECT("RC[-2]",0))&gt;0,"",INDIRECT("RC[-2]",0))</f>
        <v>0</v>
      </c>
    </row>
    <row r="1470" spans="2:6">
      <c r="B1470" t="str" cm="1">
        <f t="array" aca="1" ref="B1470" ca="1">IFERROR(DATE(RIGHT(INDIRECT("RC[-1]",0),4),LEFT(INDIRECT("RC[-1]",0),2),1), "")</f>
        <v/>
      </c>
      <c r="C1470" s="182"/>
      <c r="F1470" cm="1">
        <f t="array" aca="1" ref="F1470" ca="1">IF(COUNTIF($E$2:$E$2000,INDIRECT("RC[-2]",0))&gt;0,"",INDIRECT("RC[-2]",0))</f>
        <v>0</v>
      </c>
    </row>
    <row r="1471" spans="2:6">
      <c r="B1471" t="str" cm="1">
        <f t="array" aca="1" ref="B1471" ca="1">IFERROR(DATE(RIGHT(INDIRECT("RC[-1]",0),4),LEFT(INDIRECT("RC[-1]",0),2),1), "")</f>
        <v/>
      </c>
      <c r="C1471" s="182"/>
      <c r="F1471" cm="1">
        <f t="array" aca="1" ref="F1471" ca="1">IF(COUNTIF($E$2:$E$2000,INDIRECT("RC[-2]",0))&gt;0,"",INDIRECT("RC[-2]",0))</f>
        <v>0</v>
      </c>
    </row>
    <row r="1472" spans="2:6">
      <c r="B1472" t="str" cm="1">
        <f t="array" aca="1" ref="B1472" ca="1">IFERROR(DATE(RIGHT(INDIRECT("RC[-1]",0),4),LEFT(INDIRECT("RC[-1]",0),2),1), "")</f>
        <v/>
      </c>
      <c r="C1472" s="182"/>
      <c r="F1472" cm="1">
        <f t="array" aca="1" ref="F1472" ca="1">IF(COUNTIF($E$2:$E$2000,INDIRECT("RC[-2]",0))&gt;0,"",INDIRECT("RC[-2]",0))</f>
        <v>0</v>
      </c>
    </row>
    <row r="1473" spans="2:6">
      <c r="B1473" t="str" cm="1">
        <f t="array" aca="1" ref="B1473" ca="1">IFERROR(DATE(RIGHT(INDIRECT("RC[-1]",0),4),LEFT(INDIRECT("RC[-1]",0),2),1), "")</f>
        <v/>
      </c>
      <c r="C1473" s="182"/>
      <c r="F1473" cm="1">
        <f t="array" aca="1" ref="F1473" ca="1">IF(COUNTIF($E$2:$E$2000,INDIRECT("RC[-2]",0))&gt;0,"",INDIRECT("RC[-2]",0))</f>
        <v>0</v>
      </c>
    </row>
    <row r="1474" spans="2:6">
      <c r="B1474" t="str" cm="1">
        <f t="array" aca="1" ref="B1474" ca="1">IFERROR(DATE(RIGHT(INDIRECT("RC[-1]",0),4),LEFT(INDIRECT("RC[-1]",0),2),1), "")</f>
        <v/>
      </c>
      <c r="C1474" s="182"/>
      <c r="F1474" cm="1">
        <f t="array" aca="1" ref="F1474" ca="1">IF(COUNTIF($E$2:$E$2000,INDIRECT("RC[-2]",0))&gt;0,"",INDIRECT("RC[-2]",0))</f>
        <v>0</v>
      </c>
    </row>
    <row r="1475" spans="2:6">
      <c r="B1475" t="str" cm="1">
        <f t="array" aca="1" ref="B1475" ca="1">IFERROR(DATE(RIGHT(INDIRECT("RC[-1]",0),4),LEFT(INDIRECT("RC[-1]",0),2),1), "")</f>
        <v/>
      </c>
      <c r="C1475" s="182"/>
      <c r="F1475" cm="1">
        <f t="array" aca="1" ref="F1475" ca="1">IF(COUNTIF($E$2:$E$2000,INDIRECT("RC[-2]",0))&gt;0,"",INDIRECT("RC[-2]",0))</f>
        <v>0</v>
      </c>
    </row>
    <row r="1476" spans="2:6">
      <c r="B1476" t="str" cm="1">
        <f t="array" aca="1" ref="B1476" ca="1">IFERROR(DATE(RIGHT(INDIRECT("RC[-1]",0),4),LEFT(INDIRECT("RC[-1]",0),2),1), "")</f>
        <v/>
      </c>
      <c r="C1476" s="182"/>
      <c r="F1476" cm="1">
        <f t="array" aca="1" ref="F1476" ca="1">IF(COUNTIF($E$2:$E$2000,INDIRECT("RC[-2]",0))&gt;0,"",INDIRECT("RC[-2]",0))</f>
        <v>0</v>
      </c>
    </row>
    <row r="1477" spans="2:6">
      <c r="B1477" t="str" cm="1">
        <f t="array" aca="1" ref="B1477" ca="1">IFERROR(DATE(RIGHT(INDIRECT("RC[-1]",0),4),LEFT(INDIRECT("RC[-1]",0),2),1), "")</f>
        <v/>
      </c>
      <c r="C1477" s="182"/>
      <c r="F1477" cm="1">
        <f t="array" aca="1" ref="F1477" ca="1">IF(COUNTIF($E$2:$E$2000,INDIRECT("RC[-2]",0))&gt;0,"",INDIRECT("RC[-2]",0))</f>
        <v>0</v>
      </c>
    </row>
    <row r="1478" spans="2:6">
      <c r="B1478" t="str" cm="1">
        <f t="array" aca="1" ref="B1478" ca="1">IFERROR(DATE(RIGHT(INDIRECT("RC[-1]",0),4),LEFT(INDIRECT("RC[-1]",0),2),1), "")</f>
        <v/>
      </c>
      <c r="C1478" s="182"/>
      <c r="F1478" cm="1">
        <f t="array" aca="1" ref="F1478" ca="1">IF(COUNTIF($E$2:$E$2000,INDIRECT("RC[-2]",0))&gt;0,"",INDIRECT("RC[-2]",0))</f>
        <v>0</v>
      </c>
    </row>
    <row r="1479" spans="2:6">
      <c r="B1479" t="str" cm="1">
        <f t="array" aca="1" ref="B1479" ca="1">IFERROR(DATE(RIGHT(INDIRECT("RC[-1]",0),4),LEFT(INDIRECT("RC[-1]",0),2),1), "")</f>
        <v/>
      </c>
      <c r="C1479" s="182"/>
      <c r="F1479" cm="1">
        <f t="array" aca="1" ref="F1479" ca="1">IF(COUNTIF($E$2:$E$2000,INDIRECT("RC[-2]",0))&gt;0,"",INDIRECT("RC[-2]",0))</f>
        <v>0</v>
      </c>
    </row>
    <row r="1480" spans="2:6">
      <c r="B1480" t="str" cm="1">
        <f t="array" aca="1" ref="B1480" ca="1">IFERROR(DATE(RIGHT(INDIRECT("RC[-1]",0),4),LEFT(INDIRECT("RC[-1]",0),2),1), "")</f>
        <v/>
      </c>
      <c r="C1480" s="182"/>
      <c r="F1480" cm="1">
        <f t="array" aca="1" ref="F1480" ca="1">IF(COUNTIF($E$2:$E$2000,INDIRECT("RC[-2]",0))&gt;0,"",INDIRECT("RC[-2]",0))</f>
        <v>0</v>
      </c>
    </row>
    <row r="1481" spans="2:6">
      <c r="B1481" t="str" cm="1">
        <f t="array" aca="1" ref="B1481" ca="1">IFERROR(DATE(RIGHT(INDIRECT("RC[-1]",0),4),LEFT(INDIRECT("RC[-1]",0),2),1), "")</f>
        <v/>
      </c>
      <c r="C1481" s="182"/>
      <c r="F1481" cm="1">
        <f t="array" aca="1" ref="F1481" ca="1">IF(COUNTIF($E$2:$E$2000,INDIRECT("RC[-2]",0))&gt;0,"",INDIRECT("RC[-2]",0))</f>
        <v>0</v>
      </c>
    </row>
    <row r="1482" spans="2:6">
      <c r="B1482" t="str" cm="1">
        <f t="array" aca="1" ref="B1482" ca="1">IFERROR(DATE(RIGHT(INDIRECT("RC[-1]",0),4),LEFT(INDIRECT("RC[-1]",0),2),1), "")</f>
        <v/>
      </c>
      <c r="C1482" s="182"/>
      <c r="F1482" cm="1">
        <f t="array" aca="1" ref="F1482" ca="1">IF(COUNTIF($E$2:$E$2000,INDIRECT("RC[-2]",0))&gt;0,"",INDIRECT("RC[-2]",0))</f>
        <v>0</v>
      </c>
    </row>
    <row r="1483" spans="2:6">
      <c r="B1483" t="str" cm="1">
        <f t="array" aca="1" ref="B1483" ca="1">IFERROR(DATE(RIGHT(INDIRECT("RC[-1]",0),4),LEFT(INDIRECT("RC[-1]",0),2),1), "")</f>
        <v/>
      </c>
      <c r="C1483" s="182"/>
      <c r="F1483" cm="1">
        <f t="array" aca="1" ref="F1483" ca="1">IF(COUNTIF($E$2:$E$2000,INDIRECT("RC[-2]",0))&gt;0,"",INDIRECT("RC[-2]",0))</f>
        <v>0</v>
      </c>
    </row>
    <row r="1484" spans="2:6">
      <c r="B1484" t="str" cm="1">
        <f t="array" aca="1" ref="B1484" ca="1">IFERROR(DATE(RIGHT(INDIRECT("RC[-1]",0),4),LEFT(INDIRECT("RC[-1]",0),2),1), "")</f>
        <v/>
      </c>
      <c r="C1484" s="182"/>
      <c r="F1484" cm="1">
        <f t="array" aca="1" ref="F1484" ca="1">IF(COUNTIF($E$2:$E$2000,INDIRECT("RC[-2]",0))&gt;0,"",INDIRECT("RC[-2]",0))</f>
        <v>0</v>
      </c>
    </row>
    <row r="1485" spans="2:6">
      <c r="B1485" t="str" cm="1">
        <f t="array" aca="1" ref="B1485" ca="1">IFERROR(DATE(RIGHT(INDIRECT("RC[-1]",0),4),LEFT(INDIRECT("RC[-1]",0),2),1), "")</f>
        <v/>
      </c>
      <c r="C1485" s="182"/>
      <c r="F1485" cm="1">
        <f t="array" aca="1" ref="F1485" ca="1">IF(COUNTIF($E$2:$E$2000,INDIRECT("RC[-2]",0))&gt;0,"",INDIRECT("RC[-2]",0))</f>
        <v>0</v>
      </c>
    </row>
    <row r="1486" spans="2:6">
      <c r="B1486" t="str" cm="1">
        <f t="array" aca="1" ref="B1486" ca="1">IFERROR(DATE(RIGHT(INDIRECT("RC[-1]",0),4),LEFT(INDIRECT("RC[-1]",0),2),1), "")</f>
        <v/>
      </c>
      <c r="C1486" s="182"/>
      <c r="F1486" cm="1">
        <f t="array" aca="1" ref="F1486" ca="1">IF(COUNTIF($E$2:$E$2000,INDIRECT("RC[-2]",0))&gt;0,"",INDIRECT("RC[-2]",0))</f>
        <v>0</v>
      </c>
    </row>
    <row r="1487" spans="2:6">
      <c r="B1487" t="str" cm="1">
        <f t="array" aca="1" ref="B1487" ca="1">IFERROR(DATE(RIGHT(INDIRECT("RC[-1]",0),4),LEFT(INDIRECT("RC[-1]",0),2),1), "")</f>
        <v/>
      </c>
      <c r="C1487" s="182"/>
      <c r="F1487" cm="1">
        <f t="array" aca="1" ref="F1487" ca="1">IF(COUNTIF($E$2:$E$2000,INDIRECT("RC[-2]",0))&gt;0,"",INDIRECT("RC[-2]",0))</f>
        <v>0</v>
      </c>
    </row>
    <row r="1488" spans="2:6">
      <c r="B1488" t="str" cm="1">
        <f t="array" aca="1" ref="B1488" ca="1">IFERROR(DATE(RIGHT(INDIRECT("RC[-1]",0),4),LEFT(INDIRECT("RC[-1]",0),2),1), "")</f>
        <v/>
      </c>
      <c r="C1488" s="182"/>
      <c r="F1488" cm="1">
        <f t="array" aca="1" ref="F1488" ca="1">IF(COUNTIF($E$2:$E$2000,INDIRECT("RC[-2]",0))&gt;0,"",INDIRECT("RC[-2]",0))</f>
        <v>0</v>
      </c>
    </row>
    <row r="1489" spans="2:6">
      <c r="B1489" t="str" cm="1">
        <f t="array" aca="1" ref="B1489" ca="1">IFERROR(DATE(RIGHT(INDIRECT("RC[-1]",0),4),LEFT(INDIRECT("RC[-1]",0),2),1), "")</f>
        <v/>
      </c>
      <c r="C1489" s="182"/>
      <c r="F1489" cm="1">
        <f t="array" aca="1" ref="F1489" ca="1">IF(COUNTIF($E$2:$E$2000,INDIRECT("RC[-2]",0))&gt;0,"",INDIRECT("RC[-2]",0))</f>
        <v>0</v>
      </c>
    </row>
    <row r="1490" spans="2:6">
      <c r="B1490" t="str" cm="1">
        <f t="array" aca="1" ref="B1490" ca="1">IFERROR(DATE(RIGHT(INDIRECT("RC[-1]",0),4),LEFT(INDIRECT("RC[-1]",0),2),1), "")</f>
        <v/>
      </c>
      <c r="C1490" s="182"/>
      <c r="F1490" cm="1">
        <f t="array" aca="1" ref="F1490" ca="1">IF(COUNTIF($E$2:$E$2000,INDIRECT("RC[-2]",0))&gt;0,"",INDIRECT("RC[-2]",0))</f>
        <v>0</v>
      </c>
    </row>
    <row r="1491" spans="2:6">
      <c r="B1491" t="str" cm="1">
        <f t="array" aca="1" ref="B1491" ca="1">IFERROR(DATE(RIGHT(INDIRECT("RC[-1]",0),4),LEFT(INDIRECT("RC[-1]",0),2),1), "")</f>
        <v/>
      </c>
      <c r="C1491" s="182"/>
      <c r="F1491" cm="1">
        <f t="array" aca="1" ref="F1491" ca="1">IF(COUNTIF($E$2:$E$2000,INDIRECT("RC[-2]",0))&gt;0,"",INDIRECT("RC[-2]",0))</f>
        <v>0</v>
      </c>
    </row>
    <row r="1492" spans="2:6">
      <c r="B1492" t="str" cm="1">
        <f t="array" aca="1" ref="B1492" ca="1">IFERROR(DATE(RIGHT(INDIRECT("RC[-1]",0),4),LEFT(INDIRECT("RC[-1]",0),2),1), "")</f>
        <v/>
      </c>
      <c r="C1492" s="182"/>
      <c r="F1492" cm="1">
        <f t="array" aca="1" ref="F1492" ca="1">IF(COUNTIF($E$2:$E$2000,INDIRECT("RC[-2]",0))&gt;0,"",INDIRECT("RC[-2]",0))</f>
        <v>0</v>
      </c>
    </row>
    <row r="1493" spans="2:6">
      <c r="B1493" t="str" cm="1">
        <f t="array" aca="1" ref="B1493" ca="1">IFERROR(DATE(RIGHT(INDIRECT("RC[-1]",0),4),LEFT(INDIRECT("RC[-1]",0),2),1), "")</f>
        <v/>
      </c>
      <c r="C1493" s="182"/>
      <c r="F1493" cm="1">
        <f t="array" aca="1" ref="F1493" ca="1">IF(COUNTIF($E$2:$E$2000,INDIRECT("RC[-2]",0))&gt;0,"",INDIRECT("RC[-2]",0))</f>
        <v>0</v>
      </c>
    </row>
    <row r="1494" spans="2:6">
      <c r="B1494" t="str" cm="1">
        <f t="array" aca="1" ref="B1494" ca="1">IFERROR(DATE(RIGHT(INDIRECT("RC[-1]",0),4),LEFT(INDIRECT("RC[-1]",0),2),1), "")</f>
        <v/>
      </c>
      <c r="C1494" s="182"/>
      <c r="F1494" cm="1">
        <f t="array" aca="1" ref="F1494" ca="1">IF(COUNTIF($E$2:$E$2000,INDIRECT("RC[-2]",0))&gt;0,"",INDIRECT("RC[-2]",0))</f>
        <v>0</v>
      </c>
    </row>
    <row r="1495" spans="2:6">
      <c r="B1495" t="str" cm="1">
        <f t="array" aca="1" ref="B1495" ca="1">IFERROR(DATE(RIGHT(INDIRECT("RC[-1]",0),4),LEFT(INDIRECT("RC[-1]",0),2),1), "")</f>
        <v/>
      </c>
      <c r="C1495" s="182"/>
      <c r="F1495" cm="1">
        <f t="array" aca="1" ref="F1495" ca="1">IF(COUNTIF($E$2:$E$2000,INDIRECT("RC[-2]",0))&gt;0,"",INDIRECT("RC[-2]",0))</f>
        <v>0</v>
      </c>
    </row>
    <row r="1496" spans="2:6">
      <c r="B1496" t="str" cm="1">
        <f t="array" aca="1" ref="B1496" ca="1">IFERROR(DATE(RIGHT(INDIRECT("RC[-1]",0),4),LEFT(INDIRECT("RC[-1]",0),2),1), "")</f>
        <v/>
      </c>
      <c r="C1496" s="182"/>
      <c r="F1496" cm="1">
        <f t="array" aca="1" ref="F1496" ca="1">IF(COUNTIF($E$2:$E$2000,INDIRECT("RC[-2]",0))&gt;0,"",INDIRECT("RC[-2]",0))</f>
        <v>0</v>
      </c>
    </row>
    <row r="1497" spans="2:6">
      <c r="B1497" t="str" cm="1">
        <f t="array" aca="1" ref="B1497" ca="1">IFERROR(DATE(RIGHT(INDIRECT("RC[-1]",0),4),LEFT(INDIRECT("RC[-1]",0),2),1), "")</f>
        <v/>
      </c>
      <c r="C1497" s="182"/>
      <c r="F1497" cm="1">
        <f t="array" aca="1" ref="F1497" ca="1">IF(COUNTIF($E$2:$E$2000,INDIRECT("RC[-2]",0))&gt;0,"",INDIRECT("RC[-2]",0))</f>
        <v>0</v>
      </c>
    </row>
    <row r="1498" spans="2:6">
      <c r="B1498" t="str" cm="1">
        <f t="array" aca="1" ref="B1498" ca="1">IFERROR(DATE(RIGHT(INDIRECT("RC[-1]",0),4),LEFT(INDIRECT("RC[-1]",0),2),1), "")</f>
        <v/>
      </c>
      <c r="C1498" s="182"/>
      <c r="F1498" cm="1">
        <f t="array" aca="1" ref="F1498" ca="1">IF(COUNTIF($E$2:$E$2000,INDIRECT("RC[-2]",0))&gt;0,"",INDIRECT("RC[-2]",0))</f>
        <v>0</v>
      </c>
    </row>
    <row r="1499" spans="2:6">
      <c r="B1499" t="str" cm="1">
        <f t="array" aca="1" ref="B1499" ca="1">IFERROR(DATE(RIGHT(INDIRECT("RC[-1]",0),4),LEFT(INDIRECT("RC[-1]",0),2),1), "")</f>
        <v/>
      </c>
      <c r="C1499" s="182"/>
      <c r="F1499" cm="1">
        <f t="array" aca="1" ref="F1499" ca="1">IF(COUNTIF($E$2:$E$2000,INDIRECT("RC[-2]",0))&gt;0,"",INDIRECT("RC[-2]",0))</f>
        <v>0</v>
      </c>
    </row>
    <row r="1500" spans="2:6">
      <c r="B1500" t="str" cm="1">
        <f t="array" aca="1" ref="B1500" ca="1">IFERROR(DATE(RIGHT(INDIRECT("RC[-1]",0),4),LEFT(INDIRECT("RC[-1]",0),2),1), "")</f>
        <v/>
      </c>
      <c r="C1500" s="182"/>
      <c r="F1500" cm="1">
        <f t="array" aca="1" ref="F1500" ca="1">IF(COUNTIF($E$2:$E$2000,INDIRECT("RC[-2]",0))&gt;0,"",INDIRECT("RC[-2]",0))</f>
        <v>0</v>
      </c>
    </row>
    <row r="1501" spans="2:6">
      <c r="B1501" t="str" cm="1">
        <f t="array" aca="1" ref="B1501" ca="1">IFERROR(DATE(RIGHT(INDIRECT("RC[-1]",0),4),LEFT(INDIRECT("RC[-1]",0),2),1), "")</f>
        <v/>
      </c>
      <c r="C1501" s="182"/>
      <c r="F1501" cm="1">
        <f t="array" aca="1" ref="F1501" ca="1">IF(COUNTIF($E$2:$E$2000,INDIRECT("RC[-2]",0))&gt;0,"",INDIRECT("RC[-2]",0))</f>
        <v>0</v>
      </c>
    </row>
    <row r="1502" spans="2:6">
      <c r="B1502" t="str" cm="1">
        <f t="array" aca="1" ref="B1502" ca="1">IFERROR(DATE(RIGHT(INDIRECT("RC[-1]",0),4),LEFT(INDIRECT("RC[-1]",0),2),1), "")</f>
        <v/>
      </c>
      <c r="C1502" s="182"/>
      <c r="F1502" cm="1">
        <f t="array" aca="1" ref="F1502" ca="1">IF(COUNTIF($E$2:$E$2000,INDIRECT("RC[-2]",0))&gt;0,"",INDIRECT("RC[-2]",0))</f>
        <v>0</v>
      </c>
    </row>
    <row r="1503" spans="2:6">
      <c r="B1503" t="str" cm="1">
        <f t="array" aca="1" ref="B1503" ca="1">IFERROR(DATE(RIGHT(INDIRECT("RC[-1]",0),4),LEFT(INDIRECT("RC[-1]",0),2),1), "")</f>
        <v/>
      </c>
      <c r="C1503" s="182"/>
      <c r="F1503" cm="1">
        <f t="array" aca="1" ref="F1503" ca="1">IF(COUNTIF($E$2:$E$2000,INDIRECT("RC[-2]",0))&gt;0,"",INDIRECT("RC[-2]",0))</f>
        <v>0</v>
      </c>
    </row>
    <row r="1504" spans="2:6">
      <c r="B1504" t="str" cm="1">
        <f t="array" aca="1" ref="B1504" ca="1">IFERROR(DATE(RIGHT(INDIRECT("RC[-1]",0),4),LEFT(INDIRECT("RC[-1]",0),2),1), "")</f>
        <v/>
      </c>
      <c r="C1504" s="182"/>
      <c r="F1504" cm="1">
        <f t="array" aca="1" ref="F1504" ca="1">IF(COUNTIF($E$2:$E$2000,INDIRECT("RC[-2]",0))&gt;0,"",INDIRECT("RC[-2]",0))</f>
        <v>0</v>
      </c>
    </row>
    <row r="1505" spans="2:6">
      <c r="B1505" t="str" cm="1">
        <f t="array" aca="1" ref="B1505" ca="1">IFERROR(DATE(RIGHT(INDIRECT("RC[-1]",0),4),LEFT(INDIRECT("RC[-1]",0),2),1), "")</f>
        <v/>
      </c>
      <c r="C1505" s="182"/>
      <c r="F1505" cm="1">
        <f t="array" aca="1" ref="F1505" ca="1">IF(COUNTIF($E$2:$E$2000,INDIRECT("RC[-2]",0))&gt;0,"",INDIRECT("RC[-2]",0))</f>
        <v>0</v>
      </c>
    </row>
    <row r="1506" spans="2:6">
      <c r="B1506" t="str" cm="1">
        <f t="array" aca="1" ref="B1506" ca="1">IFERROR(DATE(RIGHT(INDIRECT("RC[-1]",0),4),LEFT(INDIRECT("RC[-1]",0),2),1), "")</f>
        <v/>
      </c>
      <c r="C1506" s="182"/>
      <c r="F1506" cm="1">
        <f t="array" aca="1" ref="F1506" ca="1">IF(COUNTIF($E$2:$E$2000,INDIRECT("RC[-2]",0))&gt;0,"",INDIRECT("RC[-2]",0))</f>
        <v>0</v>
      </c>
    </row>
    <row r="1507" spans="2:6">
      <c r="B1507" t="str" cm="1">
        <f t="array" aca="1" ref="B1507" ca="1">IFERROR(DATE(RIGHT(INDIRECT("RC[-1]",0),4),LEFT(INDIRECT("RC[-1]",0),2),1), "")</f>
        <v/>
      </c>
      <c r="C1507" s="182"/>
      <c r="F1507" cm="1">
        <f t="array" aca="1" ref="F1507" ca="1">IF(COUNTIF($E$2:$E$2000,INDIRECT("RC[-2]",0))&gt;0,"",INDIRECT("RC[-2]",0))</f>
        <v>0</v>
      </c>
    </row>
    <row r="1508" spans="2:6">
      <c r="B1508" t="str" cm="1">
        <f t="array" aca="1" ref="B1508" ca="1">IFERROR(DATE(RIGHT(INDIRECT("RC[-1]",0),4),LEFT(INDIRECT("RC[-1]",0),2),1), "")</f>
        <v/>
      </c>
      <c r="C1508" s="182"/>
      <c r="F1508" cm="1">
        <f t="array" aca="1" ref="F1508" ca="1">IF(COUNTIF($E$2:$E$2000,INDIRECT("RC[-2]",0))&gt;0,"",INDIRECT("RC[-2]",0))</f>
        <v>0</v>
      </c>
    </row>
    <row r="1509" spans="2:6">
      <c r="B1509" t="str" cm="1">
        <f t="array" aca="1" ref="B1509" ca="1">IFERROR(DATE(RIGHT(INDIRECT("RC[-1]",0),4),LEFT(INDIRECT("RC[-1]",0),2),1), "")</f>
        <v/>
      </c>
      <c r="C1509" s="182"/>
      <c r="F1509" cm="1">
        <f t="array" aca="1" ref="F1509" ca="1">IF(COUNTIF($E$2:$E$2000,INDIRECT("RC[-2]",0))&gt;0,"",INDIRECT("RC[-2]",0))</f>
        <v>0</v>
      </c>
    </row>
    <row r="1510" spans="2:6">
      <c r="B1510" t="str" cm="1">
        <f t="array" aca="1" ref="B1510" ca="1">IFERROR(DATE(RIGHT(INDIRECT("RC[-1]",0),4),LEFT(INDIRECT("RC[-1]",0),2),1), "")</f>
        <v/>
      </c>
      <c r="C1510" s="182"/>
      <c r="F1510" cm="1">
        <f t="array" aca="1" ref="F1510" ca="1">IF(COUNTIF($E$2:$E$2000,INDIRECT("RC[-2]",0))&gt;0,"",INDIRECT("RC[-2]",0))</f>
        <v>0</v>
      </c>
    </row>
    <row r="1511" spans="2:6">
      <c r="B1511" t="str" cm="1">
        <f t="array" aca="1" ref="B1511" ca="1">IFERROR(DATE(RIGHT(INDIRECT("RC[-1]",0),4),LEFT(INDIRECT("RC[-1]",0),2),1), "")</f>
        <v/>
      </c>
      <c r="C1511" s="182"/>
      <c r="F1511" cm="1">
        <f t="array" aca="1" ref="F1511" ca="1">IF(COUNTIF($E$2:$E$2000,INDIRECT("RC[-2]",0))&gt;0,"",INDIRECT("RC[-2]",0))</f>
        <v>0</v>
      </c>
    </row>
    <row r="1512" spans="2:6">
      <c r="B1512" t="str" cm="1">
        <f t="array" aca="1" ref="B1512" ca="1">IFERROR(DATE(RIGHT(INDIRECT("RC[-1]",0),4),LEFT(INDIRECT("RC[-1]",0),2),1), "")</f>
        <v/>
      </c>
      <c r="C1512" s="182"/>
      <c r="F1512" cm="1">
        <f t="array" aca="1" ref="F1512" ca="1">IF(COUNTIF($E$2:$E$2000,INDIRECT("RC[-2]",0))&gt;0,"",INDIRECT("RC[-2]",0))</f>
        <v>0</v>
      </c>
    </row>
    <row r="1513" spans="2:6">
      <c r="B1513" t="str" cm="1">
        <f t="array" aca="1" ref="B1513" ca="1">IFERROR(DATE(RIGHT(INDIRECT("RC[-1]",0),4),LEFT(INDIRECT("RC[-1]",0),2),1), "")</f>
        <v/>
      </c>
      <c r="C1513" s="182"/>
      <c r="F1513" cm="1">
        <f t="array" aca="1" ref="F1513" ca="1">IF(COUNTIF($E$2:$E$2000,INDIRECT("RC[-2]",0))&gt;0,"",INDIRECT("RC[-2]",0))</f>
        <v>0</v>
      </c>
    </row>
    <row r="1514" spans="2:6">
      <c r="B1514" t="str" cm="1">
        <f t="array" aca="1" ref="B1514" ca="1">IFERROR(DATE(RIGHT(INDIRECT("RC[-1]",0),4),LEFT(INDIRECT("RC[-1]",0),2),1), "")</f>
        <v/>
      </c>
      <c r="C1514" s="182"/>
      <c r="F1514" cm="1">
        <f t="array" aca="1" ref="F1514" ca="1">IF(COUNTIF($E$2:$E$2000,INDIRECT("RC[-2]",0))&gt;0,"",INDIRECT("RC[-2]",0))</f>
        <v>0</v>
      </c>
    </row>
    <row r="1515" spans="2:6">
      <c r="B1515" t="str" cm="1">
        <f t="array" aca="1" ref="B1515" ca="1">IFERROR(DATE(RIGHT(INDIRECT("RC[-1]",0),4),LEFT(INDIRECT("RC[-1]",0),2),1), "")</f>
        <v/>
      </c>
      <c r="C1515" s="182"/>
      <c r="F1515" cm="1">
        <f t="array" aca="1" ref="F1515" ca="1">IF(COUNTIF($E$2:$E$2000,INDIRECT("RC[-2]",0))&gt;0,"",INDIRECT("RC[-2]",0))</f>
        <v>0</v>
      </c>
    </row>
    <row r="1516" spans="2:6">
      <c r="B1516" t="str" cm="1">
        <f t="array" aca="1" ref="B1516" ca="1">IFERROR(DATE(RIGHT(INDIRECT("RC[-1]",0),4),LEFT(INDIRECT("RC[-1]",0),2),1), "")</f>
        <v/>
      </c>
      <c r="C1516" s="182"/>
      <c r="F1516" cm="1">
        <f t="array" aca="1" ref="F1516" ca="1">IF(COUNTIF($E$2:$E$2000,INDIRECT("RC[-2]",0))&gt;0,"",INDIRECT("RC[-2]",0))</f>
        <v>0</v>
      </c>
    </row>
    <row r="1517" spans="2:6">
      <c r="B1517" t="str" cm="1">
        <f t="array" aca="1" ref="B1517" ca="1">IFERROR(DATE(RIGHT(INDIRECT("RC[-1]",0),4),LEFT(INDIRECT("RC[-1]",0),2),1), "")</f>
        <v/>
      </c>
      <c r="C1517" s="182"/>
      <c r="F1517" cm="1">
        <f t="array" aca="1" ref="F1517" ca="1">IF(COUNTIF($E$2:$E$2000,INDIRECT("RC[-2]",0))&gt;0,"",INDIRECT("RC[-2]",0))</f>
        <v>0</v>
      </c>
    </row>
    <row r="1518" spans="2:6">
      <c r="B1518" t="str" cm="1">
        <f t="array" aca="1" ref="B1518" ca="1">IFERROR(DATE(RIGHT(INDIRECT("RC[-1]",0),4),LEFT(INDIRECT("RC[-1]",0),2),1), "")</f>
        <v/>
      </c>
      <c r="C1518" s="182"/>
      <c r="F1518" cm="1">
        <f t="array" aca="1" ref="F1518" ca="1">IF(COUNTIF($E$2:$E$2000,INDIRECT("RC[-2]",0))&gt;0,"",INDIRECT("RC[-2]",0))</f>
        <v>0</v>
      </c>
    </row>
    <row r="1519" spans="2:6">
      <c r="B1519" t="str" cm="1">
        <f t="array" aca="1" ref="B1519" ca="1">IFERROR(DATE(RIGHT(INDIRECT("RC[-1]",0),4),LEFT(INDIRECT("RC[-1]",0),2),1), "")</f>
        <v/>
      </c>
      <c r="C1519" s="182"/>
      <c r="F1519" cm="1">
        <f t="array" aca="1" ref="F1519" ca="1">IF(COUNTIF($E$2:$E$2000,INDIRECT("RC[-2]",0))&gt;0,"",INDIRECT("RC[-2]",0))</f>
        <v>0</v>
      </c>
    </row>
    <row r="1520" spans="2:6">
      <c r="B1520" t="str" cm="1">
        <f t="array" aca="1" ref="B1520" ca="1">IFERROR(DATE(RIGHT(INDIRECT("RC[-1]",0),4),LEFT(INDIRECT("RC[-1]",0),2),1), "")</f>
        <v/>
      </c>
      <c r="C1520" s="182"/>
      <c r="F1520" cm="1">
        <f t="array" aca="1" ref="F1520" ca="1">IF(COUNTIF($E$2:$E$2000,INDIRECT("RC[-2]",0))&gt;0,"",INDIRECT("RC[-2]",0))</f>
        <v>0</v>
      </c>
    </row>
    <row r="1521" spans="2:6">
      <c r="B1521" t="str" cm="1">
        <f t="array" aca="1" ref="B1521" ca="1">IFERROR(DATE(RIGHT(INDIRECT("RC[-1]",0),4),LEFT(INDIRECT("RC[-1]",0),2),1), "")</f>
        <v/>
      </c>
      <c r="C1521" s="182"/>
      <c r="F1521" cm="1">
        <f t="array" aca="1" ref="F1521" ca="1">IF(COUNTIF($E$2:$E$2000,INDIRECT("RC[-2]",0))&gt;0,"",INDIRECT("RC[-2]",0))</f>
        <v>0</v>
      </c>
    </row>
    <row r="1522" spans="2:6">
      <c r="B1522" t="str" cm="1">
        <f t="array" aca="1" ref="B1522" ca="1">IFERROR(DATE(RIGHT(INDIRECT("RC[-1]",0),4),LEFT(INDIRECT("RC[-1]",0),2),1), "")</f>
        <v/>
      </c>
      <c r="C1522" s="182"/>
      <c r="F1522" cm="1">
        <f t="array" aca="1" ref="F1522" ca="1">IF(COUNTIF($E$2:$E$2000,INDIRECT("RC[-2]",0))&gt;0,"",INDIRECT("RC[-2]",0))</f>
        <v>0</v>
      </c>
    </row>
    <row r="1523" spans="2:6">
      <c r="B1523" t="str" cm="1">
        <f t="array" aca="1" ref="B1523" ca="1">IFERROR(DATE(RIGHT(INDIRECT("RC[-1]",0),4),LEFT(INDIRECT("RC[-1]",0),2),1), "")</f>
        <v/>
      </c>
      <c r="C1523" s="182"/>
      <c r="F1523" cm="1">
        <f t="array" aca="1" ref="F1523" ca="1">IF(COUNTIF($E$2:$E$2000,INDIRECT("RC[-2]",0))&gt;0,"",INDIRECT("RC[-2]",0))</f>
        <v>0</v>
      </c>
    </row>
    <row r="1524" spans="2:6">
      <c r="B1524" t="str" cm="1">
        <f t="array" aca="1" ref="B1524" ca="1">IFERROR(DATE(RIGHT(INDIRECT("RC[-1]",0),4),LEFT(INDIRECT("RC[-1]",0),2),1), "")</f>
        <v/>
      </c>
      <c r="C1524" s="182"/>
      <c r="F1524" cm="1">
        <f t="array" aca="1" ref="F1524" ca="1">IF(COUNTIF($E$2:$E$2000,INDIRECT("RC[-2]",0))&gt;0,"",INDIRECT("RC[-2]",0))</f>
        <v>0</v>
      </c>
    </row>
    <row r="1525" spans="2:6">
      <c r="B1525" t="str" cm="1">
        <f t="array" aca="1" ref="B1525" ca="1">IFERROR(DATE(RIGHT(INDIRECT("RC[-1]",0),4),LEFT(INDIRECT("RC[-1]",0),2),1), "")</f>
        <v/>
      </c>
      <c r="C1525" s="182"/>
      <c r="F1525" cm="1">
        <f t="array" aca="1" ref="F1525" ca="1">IF(COUNTIF($E$2:$E$2000,INDIRECT("RC[-2]",0))&gt;0,"",INDIRECT("RC[-2]",0))</f>
        <v>0</v>
      </c>
    </row>
    <row r="1526" spans="2:6">
      <c r="B1526" t="str" cm="1">
        <f t="array" aca="1" ref="B1526" ca="1">IFERROR(DATE(RIGHT(INDIRECT("RC[-1]",0),4),LEFT(INDIRECT("RC[-1]",0),2),1), "")</f>
        <v/>
      </c>
      <c r="C1526" s="182"/>
      <c r="F1526" cm="1">
        <f t="array" aca="1" ref="F1526" ca="1">IF(COUNTIF($E$2:$E$2000,INDIRECT("RC[-2]",0))&gt;0,"",INDIRECT("RC[-2]",0))</f>
        <v>0</v>
      </c>
    </row>
    <row r="1527" spans="2:6">
      <c r="B1527" t="str" cm="1">
        <f t="array" aca="1" ref="B1527" ca="1">IFERROR(DATE(RIGHT(INDIRECT("RC[-1]",0),4),LEFT(INDIRECT("RC[-1]",0),2),1), "")</f>
        <v/>
      </c>
      <c r="C1527" s="182"/>
      <c r="F1527" cm="1">
        <f t="array" aca="1" ref="F1527" ca="1">IF(COUNTIF($E$2:$E$2000,INDIRECT("RC[-2]",0))&gt;0,"",INDIRECT("RC[-2]",0))</f>
        <v>0</v>
      </c>
    </row>
    <row r="1528" spans="2:6">
      <c r="B1528" t="str" cm="1">
        <f t="array" aca="1" ref="B1528" ca="1">IFERROR(DATE(RIGHT(INDIRECT("RC[-1]",0),4),LEFT(INDIRECT("RC[-1]",0),2),1), "")</f>
        <v/>
      </c>
      <c r="C1528" s="182"/>
      <c r="F1528" cm="1">
        <f t="array" aca="1" ref="F1528" ca="1">IF(COUNTIF($E$2:$E$2000,INDIRECT("RC[-2]",0))&gt;0,"",INDIRECT("RC[-2]",0))</f>
        <v>0</v>
      </c>
    </row>
    <row r="1529" spans="2:6">
      <c r="B1529" t="str" cm="1">
        <f t="array" aca="1" ref="B1529" ca="1">IFERROR(DATE(RIGHT(INDIRECT("RC[-1]",0),4),LEFT(INDIRECT("RC[-1]",0),2),1), "")</f>
        <v/>
      </c>
      <c r="C1529" s="182"/>
      <c r="F1529" cm="1">
        <f t="array" aca="1" ref="F1529" ca="1">IF(COUNTIF($E$2:$E$2000,INDIRECT("RC[-2]",0))&gt;0,"",INDIRECT("RC[-2]",0))</f>
        <v>0</v>
      </c>
    </row>
    <row r="1530" spans="2:6">
      <c r="B1530" t="str" cm="1">
        <f t="array" aca="1" ref="B1530" ca="1">IFERROR(DATE(RIGHT(INDIRECT("RC[-1]",0),4),LEFT(INDIRECT("RC[-1]",0),2),1), "")</f>
        <v/>
      </c>
      <c r="C1530" s="182"/>
      <c r="F1530" cm="1">
        <f t="array" aca="1" ref="F1530" ca="1">IF(COUNTIF($E$2:$E$2000,INDIRECT("RC[-2]",0))&gt;0,"",INDIRECT("RC[-2]",0))</f>
        <v>0</v>
      </c>
    </row>
    <row r="1531" spans="2:6">
      <c r="B1531" t="str" cm="1">
        <f t="array" aca="1" ref="B1531" ca="1">IFERROR(DATE(RIGHT(INDIRECT("RC[-1]",0),4),LEFT(INDIRECT("RC[-1]",0),2),1), "")</f>
        <v/>
      </c>
      <c r="C1531" s="182"/>
      <c r="F1531" cm="1">
        <f t="array" aca="1" ref="F1531" ca="1">IF(COUNTIF($E$2:$E$2000,INDIRECT("RC[-2]",0))&gt;0,"",INDIRECT("RC[-2]",0))</f>
        <v>0</v>
      </c>
    </row>
    <row r="1532" spans="2:6">
      <c r="B1532" t="str" cm="1">
        <f t="array" aca="1" ref="B1532" ca="1">IFERROR(DATE(RIGHT(INDIRECT("RC[-1]",0),4),LEFT(INDIRECT("RC[-1]",0),2),1), "")</f>
        <v/>
      </c>
      <c r="C1532" s="182"/>
      <c r="F1532" cm="1">
        <f t="array" aca="1" ref="F1532" ca="1">IF(COUNTIF($E$2:$E$2000,INDIRECT("RC[-2]",0))&gt;0,"",INDIRECT("RC[-2]",0))</f>
        <v>0</v>
      </c>
    </row>
    <row r="1533" spans="2:6">
      <c r="B1533" t="str" cm="1">
        <f t="array" aca="1" ref="B1533" ca="1">IFERROR(DATE(RIGHT(INDIRECT("RC[-1]",0),4),LEFT(INDIRECT("RC[-1]",0),2),1), "")</f>
        <v/>
      </c>
      <c r="C1533" s="182"/>
      <c r="F1533" cm="1">
        <f t="array" aca="1" ref="F1533" ca="1">IF(COUNTIF($E$2:$E$2000,INDIRECT("RC[-2]",0))&gt;0,"",INDIRECT("RC[-2]",0))</f>
        <v>0</v>
      </c>
    </row>
    <row r="1534" spans="2:6">
      <c r="B1534" t="str" cm="1">
        <f t="array" aca="1" ref="B1534" ca="1">IFERROR(DATE(RIGHT(INDIRECT("RC[-1]",0),4),LEFT(INDIRECT("RC[-1]",0),2),1), "")</f>
        <v/>
      </c>
      <c r="C1534" s="182"/>
      <c r="F1534" cm="1">
        <f t="array" aca="1" ref="F1534" ca="1">IF(COUNTIF($E$2:$E$2000,INDIRECT("RC[-2]",0))&gt;0,"",INDIRECT("RC[-2]",0))</f>
        <v>0</v>
      </c>
    </row>
    <row r="1535" spans="2:6">
      <c r="B1535" t="str" cm="1">
        <f t="array" aca="1" ref="B1535" ca="1">IFERROR(DATE(RIGHT(INDIRECT("RC[-1]",0),4),LEFT(INDIRECT("RC[-1]",0),2),1), "")</f>
        <v/>
      </c>
      <c r="C1535" s="182"/>
      <c r="F1535" cm="1">
        <f t="array" aca="1" ref="F1535" ca="1">IF(COUNTIF($E$2:$E$2000,INDIRECT("RC[-2]",0))&gt;0,"",INDIRECT("RC[-2]",0))</f>
        <v>0</v>
      </c>
    </row>
    <row r="1536" spans="2:6">
      <c r="B1536" t="str" cm="1">
        <f t="array" aca="1" ref="B1536" ca="1">IFERROR(DATE(RIGHT(INDIRECT("RC[-1]",0),4),LEFT(INDIRECT("RC[-1]",0),2),1), "")</f>
        <v/>
      </c>
      <c r="C1536" s="182"/>
      <c r="F1536" cm="1">
        <f t="array" aca="1" ref="F1536" ca="1">IF(COUNTIF($E$2:$E$2000,INDIRECT("RC[-2]",0))&gt;0,"",INDIRECT("RC[-2]",0))</f>
        <v>0</v>
      </c>
    </row>
    <row r="1537" spans="2:6">
      <c r="B1537" t="str" cm="1">
        <f t="array" aca="1" ref="B1537" ca="1">IFERROR(DATE(RIGHT(INDIRECT("RC[-1]",0),4),LEFT(INDIRECT("RC[-1]",0),2),1), "")</f>
        <v/>
      </c>
      <c r="C1537" s="182"/>
      <c r="F1537" cm="1">
        <f t="array" aca="1" ref="F1537" ca="1">IF(COUNTIF($E$2:$E$2000,INDIRECT("RC[-2]",0))&gt;0,"",INDIRECT("RC[-2]",0))</f>
        <v>0</v>
      </c>
    </row>
    <row r="1538" spans="2:6">
      <c r="B1538" t="str" cm="1">
        <f t="array" aca="1" ref="B1538" ca="1">IFERROR(DATE(RIGHT(INDIRECT("RC[-1]",0),4),LEFT(INDIRECT("RC[-1]",0),2),1), "")</f>
        <v/>
      </c>
      <c r="C1538" s="182"/>
      <c r="F1538" cm="1">
        <f t="array" aca="1" ref="F1538" ca="1">IF(COUNTIF($E$2:$E$2000,INDIRECT("RC[-2]",0))&gt;0,"",INDIRECT("RC[-2]",0))</f>
        <v>0</v>
      </c>
    </row>
    <row r="1539" spans="2:6">
      <c r="B1539" t="str" cm="1">
        <f t="array" aca="1" ref="B1539" ca="1">IFERROR(DATE(RIGHT(INDIRECT("RC[-1]",0),4),LEFT(INDIRECT("RC[-1]",0),2),1), "")</f>
        <v/>
      </c>
      <c r="C1539" s="182"/>
      <c r="F1539" cm="1">
        <f t="array" aca="1" ref="F1539" ca="1">IF(COUNTIF($E$2:$E$2000,INDIRECT("RC[-2]",0))&gt;0,"",INDIRECT("RC[-2]",0))</f>
        <v>0</v>
      </c>
    </row>
    <row r="1540" spans="2:6">
      <c r="B1540" t="str" cm="1">
        <f t="array" aca="1" ref="B1540" ca="1">IFERROR(DATE(RIGHT(INDIRECT("RC[-1]",0),4),LEFT(INDIRECT("RC[-1]",0),2),1), "")</f>
        <v/>
      </c>
      <c r="C1540" s="182"/>
      <c r="F1540" cm="1">
        <f t="array" aca="1" ref="F1540" ca="1">IF(COUNTIF($E$2:$E$2000,INDIRECT("RC[-2]",0))&gt;0,"",INDIRECT("RC[-2]",0))</f>
        <v>0</v>
      </c>
    </row>
    <row r="1541" spans="2:6">
      <c r="B1541" t="str" cm="1">
        <f t="array" aca="1" ref="B1541" ca="1">IFERROR(DATE(RIGHT(INDIRECT("RC[-1]",0),4),LEFT(INDIRECT("RC[-1]",0),2),1), "")</f>
        <v/>
      </c>
      <c r="C1541" s="182"/>
      <c r="F1541" cm="1">
        <f t="array" aca="1" ref="F1541" ca="1">IF(COUNTIF($E$2:$E$2000,INDIRECT("RC[-2]",0))&gt;0,"",INDIRECT("RC[-2]",0))</f>
        <v>0</v>
      </c>
    </row>
    <row r="1542" spans="2:6">
      <c r="B1542" t="str" cm="1">
        <f t="array" aca="1" ref="B1542" ca="1">IFERROR(DATE(RIGHT(INDIRECT("RC[-1]",0),4),LEFT(INDIRECT("RC[-1]",0),2),1), "")</f>
        <v/>
      </c>
      <c r="C1542" s="182"/>
      <c r="F1542" cm="1">
        <f t="array" aca="1" ref="F1542" ca="1">IF(COUNTIF($E$2:$E$2000,INDIRECT("RC[-2]",0))&gt;0,"",INDIRECT("RC[-2]",0))</f>
        <v>0</v>
      </c>
    </row>
    <row r="1543" spans="2:6">
      <c r="B1543" t="str" cm="1">
        <f t="array" aca="1" ref="B1543" ca="1">IFERROR(DATE(RIGHT(INDIRECT("RC[-1]",0),4),LEFT(INDIRECT("RC[-1]",0),2),1), "")</f>
        <v/>
      </c>
      <c r="C1543" s="182"/>
      <c r="F1543" cm="1">
        <f t="array" aca="1" ref="F1543" ca="1">IF(COUNTIF($E$2:$E$2000,INDIRECT("RC[-2]",0))&gt;0,"",INDIRECT("RC[-2]",0))</f>
        <v>0</v>
      </c>
    </row>
    <row r="1544" spans="2:6">
      <c r="B1544" t="str" cm="1">
        <f t="array" aca="1" ref="B1544" ca="1">IFERROR(DATE(RIGHT(INDIRECT("RC[-1]",0),4),LEFT(INDIRECT("RC[-1]",0),2),1), "")</f>
        <v/>
      </c>
      <c r="C1544" s="182"/>
      <c r="F1544" cm="1">
        <f t="array" aca="1" ref="F1544" ca="1">IF(COUNTIF($E$2:$E$2000,INDIRECT("RC[-2]",0))&gt;0,"",INDIRECT("RC[-2]",0))</f>
        <v>0</v>
      </c>
    </row>
    <row r="1545" spans="2:6">
      <c r="B1545" t="str" cm="1">
        <f t="array" aca="1" ref="B1545" ca="1">IFERROR(DATE(RIGHT(INDIRECT("RC[-1]",0),4),LEFT(INDIRECT("RC[-1]",0),2),1), "")</f>
        <v/>
      </c>
      <c r="C1545" s="182"/>
      <c r="F1545" cm="1">
        <f t="array" aca="1" ref="F1545" ca="1">IF(COUNTIF($E$2:$E$2000,INDIRECT("RC[-2]",0))&gt;0,"",INDIRECT("RC[-2]",0))</f>
        <v>0</v>
      </c>
    </row>
    <row r="1546" spans="2:6">
      <c r="B1546" t="str" cm="1">
        <f t="array" aca="1" ref="B1546" ca="1">IFERROR(DATE(RIGHT(INDIRECT("RC[-1]",0),4),LEFT(INDIRECT("RC[-1]",0),2),1), "")</f>
        <v/>
      </c>
      <c r="C1546" s="182"/>
      <c r="F1546" cm="1">
        <f t="array" aca="1" ref="F1546" ca="1">IF(COUNTIF($E$2:$E$2000,INDIRECT("RC[-2]",0))&gt;0,"",INDIRECT("RC[-2]",0))</f>
        <v>0</v>
      </c>
    </row>
    <row r="1547" spans="2:6">
      <c r="B1547" t="str" cm="1">
        <f t="array" aca="1" ref="B1547" ca="1">IFERROR(DATE(RIGHT(INDIRECT("RC[-1]",0),4),LEFT(INDIRECT("RC[-1]",0),2),1), "")</f>
        <v/>
      </c>
      <c r="C1547" s="182"/>
      <c r="F1547" cm="1">
        <f t="array" aca="1" ref="F1547" ca="1">IF(COUNTIF($E$2:$E$2000,INDIRECT("RC[-2]",0))&gt;0,"",INDIRECT("RC[-2]",0))</f>
        <v>0</v>
      </c>
    </row>
    <row r="1548" spans="2:6">
      <c r="B1548" t="str" cm="1">
        <f t="array" aca="1" ref="B1548" ca="1">IFERROR(DATE(RIGHT(INDIRECT("RC[-1]",0),4),LEFT(INDIRECT("RC[-1]",0),2),1), "")</f>
        <v/>
      </c>
      <c r="C1548" s="182"/>
      <c r="F1548" cm="1">
        <f t="array" aca="1" ref="F1548" ca="1">IF(COUNTIF($E$2:$E$2000,INDIRECT("RC[-2]",0))&gt;0,"",INDIRECT("RC[-2]",0))</f>
        <v>0</v>
      </c>
    </row>
    <row r="1549" spans="2:6">
      <c r="B1549" t="str" cm="1">
        <f t="array" aca="1" ref="B1549" ca="1">IFERROR(DATE(RIGHT(INDIRECT("RC[-1]",0),4),LEFT(INDIRECT("RC[-1]",0),2),1), "")</f>
        <v/>
      </c>
      <c r="C1549" s="182"/>
      <c r="F1549" cm="1">
        <f t="array" aca="1" ref="F1549" ca="1">IF(COUNTIF($E$2:$E$2000,INDIRECT("RC[-2]",0))&gt;0,"",INDIRECT("RC[-2]",0))</f>
        <v>0</v>
      </c>
    </row>
    <row r="1550" spans="2:6">
      <c r="B1550" t="str" cm="1">
        <f t="array" aca="1" ref="B1550" ca="1">IFERROR(DATE(RIGHT(INDIRECT("RC[-1]",0),4),LEFT(INDIRECT("RC[-1]",0),2),1), "")</f>
        <v/>
      </c>
      <c r="C1550" s="182"/>
      <c r="F1550" cm="1">
        <f t="array" aca="1" ref="F1550" ca="1">IF(COUNTIF($E$2:$E$2000,INDIRECT("RC[-2]",0))&gt;0,"",INDIRECT("RC[-2]",0))</f>
        <v>0</v>
      </c>
    </row>
    <row r="1551" spans="2:6">
      <c r="B1551" t="str" cm="1">
        <f t="array" aca="1" ref="B1551" ca="1">IFERROR(DATE(RIGHT(INDIRECT("RC[-1]",0),4),LEFT(INDIRECT("RC[-1]",0),2),1), "")</f>
        <v/>
      </c>
      <c r="C1551" s="182"/>
      <c r="F1551" cm="1">
        <f t="array" aca="1" ref="F1551" ca="1">IF(COUNTIF($E$2:$E$2000,INDIRECT("RC[-2]",0))&gt;0,"",INDIRECT("RC[-2]",0))</f>
        <v>0</v>
      </c>
    </row>
    <row r="1552" spans="2:6">
      <c r="B1552" t="str" cm="1">
        <f t="array" aca="1" ref="B1552" ca="1">IFERROR(DATE(RIGHT(INDIRECT("RC[-1]",0),4),LEFT(INDIRECT("RC[-1]",0),2),1), "")</f>
        <v/>
      </c>
      <c r="C1552" s="182"/>
      <c r="F1552" cm="1">
        <f t="array" aca="1" ref="F1552" ca="1">IF(COUNTIF($E$2:$E$2000,INDIRECT("RC[-2]",0))&gt;0,"",INDIRECT("RC[-2]",0))</f>
        <v>0</v>
      </c>
    </row>
    <row r="1553" spans="2:6">
      <c r="B1553" t="str" cm="1">
        <f t="array" aca="1" ref="B1553" ca="1">IFERROR(DATE(RIGHT(INDIRECT("RC[-1]",0),4),LEFT(INDIRECT("RC[-1]",0),2),1), "")</f>
        <v/>
      </c>
      <c r="C1553" s="182"/>
      <c r="F1553" cm="1">
        <f t="array" aca="1" ref="F1553" ca="1">IF(COUNTIF($E$2:$E$2000,INDIRECT("RC[-2]",0))&gt;0,"",INDIRECT("RC[-2]",0))</f>
        <v>0</v>
      </c>
    </row>
    <row r="1554" spans="2:6">
      <c r="B1554" t="str" cm="1">
        <f t="array" aca="1" ref="B1554" ca="1">IFERROR(DATE(RIGHT(INDIRECT("RC[-1]",0),4),LEFT(INDIRECT("RC[-1]",0),2),1), "")</f>
        <v/>
      </c>
      <c r="C1554" s="182"/>
      <c r="F1554" cm="1">
        <f t="array" aca="1" ref="F1554" ca="1">IF(COUNTIF($E$2:$E$2000,INDIRECT("RC[-2]",0))&gt;0,"",INDIRECT("RC[-2]",0))</f>
        <v>0</v>
      </c>
    </row>
    <row r="1555" spans="2:6">
      <c r="B1555" t="str" cm="1">
        <f t="array" aca="1" ref="B1555" ca="1">IFERROR(DATE(RIGHT(INDIRECT("RC[-1]",0),4),LEFT(INDIRECT("RC[-1]",0),2),1), "")</f>
        <v/>
      </c>
      <c r="C1555" s="182"/>
      <c r="F1555" cm="1">
        <f t="array" aca="1" ref="F1555" ca="1">IF(COUNTIF($E$2:$E$2000,INDIRECT("RC[-2]",0))&gt;0,"",INDIRECT("RC[-2]",0))</f>
        <v>0</v>
      </c>
    </row>
    <row r="1556" spans="2:6">
      <c r="B1556" t="str" cm="1">
        <f t="array" aca="1" ref="B1556" ca="1">IFERROR(DATE(RIGHT(INDIRECT("RC[-1]",0),4),LEFT(INDIRECT("RC[-1]",0),2),1), "")</f>
        <v/>
      </c>
      <c r="C1556" s="182"/>
      <c r="F1556" cm="1">
        <f t="array" aca="1" ref="F1556" ca="1">IF(COUNTIF($E$2:$E$2000,INDIRECT("RC[-2]",0))&gt;0,"",INDIRECT("RC[-2]",0))</f>
        <v>0</v>
      </c>
    </row>
    <row r="1557" spans="2:6">
      <c r="B1557" t="str" cm="1">
        <f t="array" aca="1" ref="B1557" ca="1">IFERROR(DATE(RIGHT(INDIRECT("RC[-1]",0),4),LEFT(INDIRECT("RC[-1]",0),2),1), "")</f>
        <v/>
      </c>
      <c r="C1557" s="182"/>
      <c r="F1557" cm="1">
        <f t="array" aca="1" ref="F1557" ca="1">IF(COUNTIF($E$2:$E$2000,INDIRECT("RC[-2]",0))&gt;0,"",INDIRECT("RC[-2]",0))</f>
        <v>0</v>
      </c>
    </row>
    <row r="1558" spans="2:6">
      <c r="B1558" t="str" cm="1">
        <f t="array" aca="1" ref="B1558" ca="1">IFERROR(DATE(RIGHT(INDIRECT("RC[-1]",0),4),LEFT(INDIRECT("RC[-1]",0),2),1), "")</f>
        <v/>
      </c>
      <c r="C1558" s="182"/>
      <c r="F1558" cm="1">
        <f t="array" aca="1" ref="F1558" ca="1">IF(COUNTIF($E$2:$E$2000,INDIRECT("RC[-2]",0))&gt;0,"",INDIRECT("RC[-2]",0))</f>
        <v>0</v>
      </c>
    </row>
    <row r="1559" spans="2:6">
      <c r="B1559" t="str" cm="1">
        <f t="array" aca="1" ref="B1559" ca="1">IFERROR(DATE(RIGHT(INDIRECT("RC[-1]",0),4),LEFT(INDIRECT("RC[-1]",0),2),1), "")</f>
        <v/>
      </c>
      <c r="C1559" s="182"/>
      <c r="F1559" cm="1">
        <f t="array" aca="1" ref="F1559" ca="1">IF(COUNTIF($E$2:$E$2000,INDIRECT("RC[-2]",0))&gt;0,"",INDIRECT("RC[-2]",0))</f>
        <v>0</v>
      </c>
    </row>
    <row r="1560" spans="2:6">
      <c r="B1560" t="str" cm="1">
        <f t="array" aca="1" ref="B1560" ca="1">IFERROR(DATE(RIGHT(INDIRECT("RC[-1]",0),4),LEFT(INDIRECT("RC[-1]",0),2),1), "")</f>
        <v/>
      </c>
      <c r="C1560" s="182"/>
      <c r="F1560" cm="1">
        <f t="array" aca="1" ref="F1560" ca="1">IF(COUNTIF($E$2:$E$2000,INDIRECT("RC[-2]",0))&gt;0,"",INDIRECT("RC[-2]",0))</f>
        <v>0</v>
      </c>
    </row>
    <row r="1561" spans="2:6">
      <c r="B1561" t="str" cm="1">
        <f t="array" aca="1" ref="B1561" ca="1">IFERROR(DATE(RIGHT(INDIRECT("RC[-1]",0),4),LEFT(INDIRECT("RC[-1]",0),2),1), "")</f>
        <v/>
      </c>
      <c r="C1561" s="182"/>
      <c r="F1561" cm="1">
        <f t="array" aca="1" ref="F1561" ca="1">IF(COUNTIF($E$2:$E$2000,INDIRECT("RC[-2]",0))&gt;0,"",INDIRECT("RC[-2]",0))</f>
        <v>0</v>
      </c>
    </row>
    <row r="1562" spans="2:6">
      <c r="B1562" t="str" cm="1">
        <f t="array" aca="1" ref="B1562" ca="1">IFERROR(DATE(RIGHT(INDIRECT("RC[-1]",0),4),LEFT(INDIRECT("RC[-1]",0),2),1), "")</f>
        <v/>
      </c>
      <c r="C1562" s="182"/>
      <c r="F1562" cm="1">
        <f t="array" aca="1" ref="F1562" ca="1">IF(COUNTIF($E$2:$E$2000,INDIRECT("RC[-2]",0))&gt;0,"",INDIRECT("RC[-2]",0))</f>
        <v>0</v>
      </c>
    </row>
    <row r="1563" spans="2:6">
      <c r="B1563" t="str" cm="1">
        <f t="array" aca="1" ref="B1563" ca="1">IFERROR(DATE(RIGHT(INDIRECT("RC[-1]",0),4),LEFT(INDIRECT("RC[-1]",0),2),1), "")</f>
        <v/>
      </c>
      <c r="C1563" s="182"/>
      <c r="F1563" cm="1">
        <f t="array" aca="1" ref="F1563" ca="1">IF(COUNTIF($E$2:$E$2000,INDIRECT("RC[-2]",0))&gt;0,"",INDIRECT("RC[-2]",0))</f>
        <v>0</v>
      </c>
    </row>
    <row r="1564" spans="2:6">
      <c r="B1564" t="str" cm="1">
        <f t="array" aca="1" ref="B1564" ca="1">IFERROR(DATE(RIGHT(INDIRECT("RC[-1]",0),4),LEFT(INDIRECT("RC[-1]",0),2),1), "")</f>
        <v/>
      </c>
      <c r="C1564" s="182"/>
      <c r="F1564" cm="1">
        <f t="array" aca="1" ref="F1564" ca="1">IF(COUNTIF($E$2:$E$2000,INDIRECT("RC[-2]",0))&gt;0,"",INDIRECT("RC[-2]",0))</f>
        <v>0</v>
      </c>
    </row>
    <row r="1565" spans="2:6">
      <c r="B1565" t="str" cm="1">
        <f t="array" aca="1" ref="B1565" ca="1">IFERROR(DATE(RIGHT(INDIRECT("RC[-1]",0),4),LEFT(INDIRECT("RC[-1]",0),2),1), "")</f>
        <v/>
      </c>
      <c r="C1565" s="182"/>
      <c r="F1565" cm="1">
        <f t="array" aca="1" ref="F1565" ca="1">IF(COUNTIF($E$2:$E$2000,INDIRECT("RC[-2]",0))&gt;0,"",INDIRECT("RC[-2]",0))</f>
        <v>0</v>
      </c>
    </row>
    <row r="1566" spans="2:6">
      <c r="B1566" t="str" cm="1">
        <f t="array" aca="1" ref="B1566" ca="1">IFERROR(DATE(RIGHT(INDIRECT("RC[-1]",0),4),LEFT(INDIRECT("RC[-1]",0),2),1), "")</f>
        <v/>
      </c>
      <c r="C1566" s="182"/>
      <c r="F1566" cm="1">
        <f t="array" aca="1" ref="F1566" ca="1">IF(COUNTIF($E$2:$E$2000,INDIRECT("RC[-2]",0))&gt;0,"",INDIRECT("RC[-2]",0))</f>
        <v>0</v>
      </c>
    </row>
    <row r="1567" spans="2:6">
      <c r="B1567" t="str" cm="1">
        <f t="array" aca="1" ref="B1567" ca="1">IFERROR(DATE(RIGHT(INDIRECT("RC[-1]",0),4),LEFT(INDIRECT("RC[-1]",0),2),1), "")</f>
        <v/>
      </c>
      <c r="C1567" s="182"/>
      <c r="F1567" cm="1">
        <f t="array" aca="1" ref="F1567" ca="1">IF(COUNTIF($E$2:$E$2000,INDIRECT("RC[-2]",0))&gt;0,"",INDIRECT("RC[-2]",0))</f>
        <v>0</v>
      </c>
    </row>
    <row r="1568" spans="2:6">
      <c r="B1568" t="str" cm="1">
        <f t="array" aca="1" ref="B1568" ca="1">IFERROR(DATE(RIGHT(INDIRECT("RC[-1]",0),4),LEFT(INDIRECT("RC[-1]",0),2),1), "")</f>
        <v/>
      </c>
      <c r="C1568" s="182"/>
      <c r="F1568" cm="1">
        <f t="array" aca="1" ref="F1568" ca="1">IF(COUNTIF($E$2:$E$2000,INDIRECT("RC[-2]",0))&gt;0,"",INDIRECT("RC[-2]",0))</f>
        <v>0</v>
      </c>
    </row>
    <row r="1569" spans="2:6">
      <c r="B1569" t="str" cm="1">
        <f t="array" aca="1" ref="B1569" ca="1">IFERROR(DATE(RIGHT(INDIRECT("RC[-1]",0),4),LEFT(INDIRECT("RC[-1]",0),2),1), "")</f>
        <v/>
      </c>
      <c r="C1569" s="182"/>
      <c r="F1569" cm="1">
        <f t="array" aca="1" ref="F1569" ca="1">IF(COUNTIF($E$2:$E$2000,INDIRECT("RC[-2]",0))&gt;0,"",INDIRECT("RC[-2]",0))</f>
        <v>0</v>
      </c>
    </row>
    <row r="1570" spans="2:6">
      <c r="B1570" t="str" cm="1">
        <f t="array" aca="1" ref="B1570" ca="1">IFERROR(DATE(RIGHT(INDIRECT("RC[-1]",0),4),LEFT(INDIRECT("RC[-1]",0),2),1), "")</f>
        <v/>
      </c>
      <c r="C1570" s="182"/>
      <c r="F1570" cm="1">
        <f t="array" aca="1" ref="F1570" ca="1">IF(COUNTIF($E$2:$E$2000,INDIRECT("RC[-2]",0))&gt;0,"",INDIRECT("RC[-2]",0))</f>
        <v>0</v>
      </c>
    </row>
    <row r="1571" spans="2:6">
      <c r="B1571" t="str" cm="1">
        <f t="array" aca="1" ref="B1571" ca="1">IFERROR(DATE(RIGHT(INDIRECT("RC[-1]",0),4),LEFT(INDIRECT("RC[-1]",0),2),1), "")</f>
        <v/>
      </c>
      <c r="C1571" s="182"/>
      <c r="F1571" cm="1">
        <f t="array" aca="1" ref="F1571" ca="1">IF(COUNTIF($E$2:$E$2000,INDIRECT("RC[-2]",0))&gt;0,"",INDIRECT("RC[-2]",0))</f>
        <v>0</v>
      </c>
    </row>
    <row r="1572" spans="2:6">
      <c r="B1572" t="str" cm="1">
        <f t="array" aca="1" ref="B1572" ca="1">IFERROR(DATE(RIGHT(INDIRECT("RC[-1]",0),4),LEFT(INDIRECT("RC[-1]",0),2),1), "")</f>
        <v/>
      </c>
      <c r="C1572" s="182"/>
      <c r="F1572" cm="1">
        <f t="array" aca="1" ref="F1572" ca="1">IF(COUNTIF($E$2:$E$2000,INDIRECT("RC[-2]",0))&gt;0,"",INDIRECT("RC[-2]",0))</f>
        <v>0</v>
      </c>
    </row>
    <row r="1573" spans="2:6">
      <c r="B1573" t="str" cm="1">
        <f t="array" aca="1" ref="B1573" ca="1">IFERROR(DATE(RIGHT(INDIRECT("RC[-1]",0),4),LEFT(INDIRECT("RC[-1]",0),2),1), "")</f>
        <v/>
      </c>
      <c r="C1573" s="182"/>
      <c r="F1573" cm="1">
        <f t="array" aca="1" ref="F1573" ca="1">IF(COUNTIF($E$2:$E$2000,INDIRECT("RC[-2]",0))&gt;0,"",INDIRECT("RC[-2]",0))</f>
        <v>0</v>
      </c>
    </row>
    <row r="1574" spans="2:6">
      <c r="B1574" t="str" cm="1">
        <f t="array" aca="1" ref="B1574" ca="1">IFERROR(DATE(RIGHT(INDIRECT("RC[-1]",0),4),LEFT(INDIRECT("RC[-1]",0),2),1), "")</f>
        <v/>
      </c>
      <c r="C1574" s="182"/>
      <c r="F1574" cm="1">
        <f t="array" aca="1" ref="F1574" ca="1">IF(COUNTIF($E$2:$E$2000,INDIRECT("RC[-2]",0))&gt;0,"",INDIRECT("RC[-2]",0))</f>
        <v>0</v>
      </c>
    </row>
    <row r="1575" spans="2:6">
      <c r="B1575" t="str" cm="1">
        <f t="array" aca="1" ref="B1575" ca="1">IFERROR(DATE(RIGHT(INDIRECT("RC[-1]",0),4),LEFT(INDIRECT("RC[-1]",0),2),1), "")</f>
        <v/>
      </c>
      <c r="C1575" s="182"/>
      <c r="F1575" cm="1">
        <f t="array" aca="1" ref="F1575" ca="1">IF(COUNTIF($E$2:$E$2000,INDIRECT("RC[-2]",0))&gt;0,"",INDIRECT("RC[-2]",0))</f>
        <v>0</v>
      </c>
    </row>
    <row r="1576" spans="2:6">
      <c r="B1576" t="str" cm="1">
        <f t="array" aca="1" ref="B1576" ca="1">IFERROR(DATE(RIGHT(INDIRECT("RC[-1]",0),4),LEFT(INDIRECT("RC[-1]",0),2),1), "")</f>
        <v/>
      </c>
      <c r="C1576" s="182"/>
      <c r="F1576" cm="1">
        <f t="array" aca="1" ref="F1576" ca="1">IF(COUNTIF($E$2:$E$2000,INDIRECT("RC[-2]",0))&gt;0,"",INDIRECT("RC[-2]",0))</f>
        <v>0</v>
      </c>
    </row>
    <row r="1577" spans="2:6">
      <c r="B1577" t="str" cm="1">
        <f t="array" aca="1" ref="B1577" ca="1">IFERROR(DATE(RIGHT(INDIRECT("RC[-1]",0),4),LEFT(INDIRECT("RC[-1]",0),2),1), "")</f>
        <v/>
      </c>
      <c r="C1577" s="182"/>
      <c r="F1577" cm="1">
        <f t="array" aca="1" ref="F1577" ca="1">IF(COUNTIF($E$2:$E$2000,INDIRECT("RC[-2]",0))&gt;0,"",INDIRECT("RC[-2]",0))</f>
        <v>0</v>
      </c>
    </row>
    <row r="1578" spans="2:6">
      <c r="B1578" t="str" cm="1">
        <f t="array" aca="1" ref="B1578" ca="1">IFERROR(DATE(RIGHT(INDIRECT("RC[-1]",0),4),LEFT(INDIRECT("RC[-1]",0),2),1), "")</f>
        <v/>
      </c>
      <c r="C1578" s="182"/>
      <c r="F1578" cm="1">
        <f t="array" aca="1" ref="F1578" ca="1">IF(COUNTIF($E$2:$E$2000,INDIRECT("RC[-2]",0))&gt;0,"",INDIRECT("RC[-2]",0))</f>
        <v>0</v>
      </c>
    </row>
    <row r="1579" spans="2:6">
      <c r="B1579" t="str" cm="1">
        <f t="array" aca="1" ref="B1579" ca="1">IFERROR(DATE(RIGHT(INDIRECT("RC[-1]",0),4),LEFT(INDIRECT("RC[-1]",0),2),1), "")</f>
        <v/>
      </c>
      <c r="C1579" s="182"/>
      <c r="F1579" cm="1">
        <f t="array" aca="1" ref="F1579" ca="1">IF(COUNTIF($E$2:$E$2000,INDIRECT("RC[-2]",0))&gt;0,"",INDIRECT("RC[-2]",0))</f>
        <v>0</v>
      </c>
    </row>
    <row r="1580" spans="2:6">
      <c r="B1580" t="str" cm="1">
        <f t="array" aca="1" ref="B1580" ca="1">IFERROR(DATE(RIGHT(INDIRECT("RC[-1]",0),4),LEFT(INDIRECT("RC[-1]",0),2),1), "")</f>
        <v/>
      </c>
      <c r="C1580" s="182"/>
      <c r="F1580" cm="1">
        <f t="array" aca="1" ref="F1580" ca="1">IF(COUNTIF($E$2:$E$2000,INDIRECT("RC[-2]",0))&gt;0,"",INDIRECT("RC[-2]",0))</f>
        <v>0</v>
      </c>
    </row>
    <row r="1581" spans="2:6">
      <c r="B1581" t="str" cm="1">
        <f t="array" aca="1" ref="B1581" ca="1">IFERROR(DATE(RIGHT(INDIRECT("RC[-1]",0),4),LEFT(INDIRECT("RC[-1]",0),2),1), "")</f>
        <v/>
      </c>
      <c r="C1581" s="182"/>
      <c r="F1581" cm="1">
        <f t="array" aca="1" ref="F1581" ca="1">IF(COUNTIF($E$2:$E$2000,INDIRECT("RC[-2]",0))&gt;0,"",INDIRECT("RC[-2]",0))</f>
        <v>0</v>
      </c>
    </row>
    <row r="1582" spans="2:6">
      <c r="B1582" t="str" cm="1">
        <f t="array" aca="1" ref="B1582" ca="1">IFERROR(DATE(RIGHT(INDIRECT("RC[-1]",0),4),LEFT(INDIRECT("RC[-1]",0),2),1), "")</f>
        <v/>
      </c>
      <c r="C1582" s="182"/>
      <c r="F1582" cm="1">
        <f t="array" aca="1" ref="F1582" ca="1">IF(COUNTIF($E$2:$E$2000,INDIRECT("RC[-2]",0))&gt;0,"",INDIRECT("RC[-2]",0))</f>
        <v>0</v>
      </c>
    </row>
    <row r="1583" spans="2:6">
      <c r="B1583" t="str" cm="1">
        <f t="array" aca="1" ref="B1583" ca="1">IFERROR(DATE(RIGHT(INDIRECT("RC[-1]",0),4),LEFT(INDIRECT("RC[-1]",0),2),1), "")</f>
        <v/>
      </c>
      <c r="C1583" s="182"/>
      <c r="F1583" cm="1">
        <f t="array" aca="1" ref="F1583" ca="1">IF(COUNTIF($E$2:$E$2000,INDIRECT("RC[-2]",0))&gt;0,"",INDIRECT("RC[-2]",0))</f>
        <v>0</v>
      </c>
    </row>
    <row r="1584" spans="2:6">
      <c r="B1584" t="str" cm="1">
        <f t="array" aca="1" ref="B1584" ca="1">IFERROR(DATE(RIGHT(INDIRECT("RC[-1]",0),4),LEFT(INDIRECT("RC[-1]",0),2),1), "")</f>
        <v/>
      </c>
      <c r="C1584" s="182"/>
      <c r="F1584" cm="1">
        <f t="array" aca="1" ref="F1584" ca="1">IF(COUNTIF($E$2:$E$2000,INDIRECT("RC[-2]",0))&gt;0,"",INDIRECT("RC[-2]",0))</f>
        <v>0</v>
      </c>
    </row>
    <row r="1585" spans="2:6">
      <c r="B1585" t="str" cm="1">
        <f t="array" aca="1" ref="B1585" ca="1">IFERROR(DATE(RIGHT(INDIRECT("RC[-1]",0),4),LEFT(INDIRECT("RC[-1]",0),2),1), "")</f>
        <v/>
      </c>
      <c r="C1585" s="182"/>
      <c r="F1585" cm="1">
        <f t="array" aca="1" ref="F1585" ca="1">IF(COUNTIF($E$2:$E$2000,INDIRECT("RC[-2]",0))&gt;0,"",INDIRECT("RC[-2]",0))</f>
        <v>0</v>
      </c>
    </row>
    <row r="1586" spans="2:6">
      <c r="B1586" t="str" cm="1">
        <f t="array" aca="1" ref="B1586" ca="1">IFERROR(DATE(RIGHT(INDIRECT("RC[-1]",0),4),LEFT(INDIRECT("RC[-1]",0),2),1), "")</f>
        <v/>
      </c>
      <c r="C1586" s="182"/>
      <c r="F1586" cm="1">
        <f t="array" aca="1" ref="F1586" ca="1">IF(COUNTIF($E$2:$E$2000,INDIRECT("RC[-2]",0))&gt;0,"",INDIRECT("RC[-2]",0))</f>
        <v>0</v>
      </c>
    </row>
    <row r="1587" spans="2:6">
      <c r="B1587" t="str" cm="1">
        <f t="array" aca="1" ref="B1587" ca="1">IFERROR(DATE(RIGHT(INDIRECT("RC[-1]",0),4),LEFT(INDIRECT("RC[-1]",0),2),1), "")</f>
        <v/>
      </c>
      <c r="C1587" s="182"/>
      <c r="F1587" cm="1">
        <f t="array" aca="1" ref="F1587" ca="1">IF(COUNTIF($E$2:$E$2000,INDIRECT("RC[-2]",0))&gt;0,"",INDIRECT("RC[-2]",0))</f>
        <v>0</v>
      </c>
    </row>
    <row r="1588" spans="2:6">
      <c r="B1588" t="str" cm="1">
        <f t="array" aca="1" ref="B1588" ca="1">IFERROR(DATE(RIGHT(INDIRECT("RC[-1]",0),4),LEFT(INDIRECT("RC[-1]",0),2),1), "")</f>
        <v/>
      </c>
      <c r="C1588" s="182"/>
      <c r="F1588" cm="1">
        <f t="array" aca="1" ref="F1588" ca="1">IF(COUNTIF($E$2:$E$2000,INDIRECT("RC[-2]",0))&gt;0,"",INDIRECT("RC[-2]",0))</f>
        <v>0</v>
      </c>
    </row>
    <row r="1589" spans="2:6">
      <c r="B1589" t="str" cm="1">
        <f t="array" aca="1" ref="B1589" ca="1">IFERROR(DATE(RIGHT(INDIRECT("RC[-1]",0),4),LEFT(INDIRECT("RC[-1]",0),2),1), "")</f>
        <v/>
      </c>
      <c r="C1589" s="182"/>
      <c r="F1589" cm="1">
        <f t="array" aca="1" ref="F1589" ca="1">IF(COUNTIF($E$2:$E$2000,INDIRECT("RC[-2]",0))&gt;0,"",INDIRECT("RC[-2]",0))</f>
        <v>0</v>
      </c>
    </row>
    <row r="1590" spans="2:6">
      <c r="B1590" t="str" cm="1">
        <f t="array" aca="1" ref="B1590" ca="1">IFERROR(DATE(RIGHT(INDIRECT("RC[-1]",0),4),LEFT(INDIRECT("RC[-1]",0),2),1), "")</f>
        <v/>
      </c>
      <c r="C1590" s="182"/>
      <c r="F1590" cm="1">
        <f t="array" aca="1" ref="F1590" ca="1">IF(COUNTIF($E$2:$E$2000,INDIRECT("RC[-2]",0))&gt;0,"",INDIRECT("RC[-2]",0))</f>
        <v>0</v>
      </c>
    </row>
    <row r="1591" spans="2:6">
      <c r="B1591" t="str" cm="1">
        <f t="array" aca="1" ref="B1591" ca="1">IFERROR(DATE(RIGHT(INDIRECT("RC[-1]",0),4),LEFT(INDIRECT("RC[-1]",0),2),1), "")</f>
        <v/>
      </c>
      <c r="C1591" s="182"/>
      <c r="F1591" cm="1">
        <f t="array" aca="1" ref="F1591" ca="1">IF(COUNTIF($E$2:$E$2000,INDIRECT("RC[-2]",0))&gt;0,"",INDIRECT("RC[-2]",0))</f>
        <v>0</v>
      </c>
    </row>
    <row r="1592" spans="2:6">
      <c r="B1592" t="str" cm="1">
        <f t="array" aca="1" ref="B1592" ca="1">IFERROR(DATE(RIGHT(INDIRECT("RC[-1]",0),4),LEFT(INDIRECT("RC[-1]",0),2),1), "")</f>
        <v/>
      </c>
      <c r="C1592" s="182"/>
      <c r="F1592" cm="1">
        <f t="array" aca="1" ref="F1592" ca="1">IF(COUNTIF($E$2:$E$2000,INDIRECT("RC[-2]",0))&gt;0,"",INDIRECT("RC[-2]",0))</f>
        <v>0</v>
      </c>
    </row>
    <row r="1593" spans="2:6">
      <c r="B1593" t="str" cm="1">
        <f t="array" aca="1" ref="B1593" ca="1">IFERROR(DATE(RIGHT(INDIRECT("RC[-1]",0),4),LEFT(INDIRECT("RC[-1]",0),2),1), "")</f>
        <v/>
      </c>
      <c r="C1593" s="182"/>
      <c r="F1593" cm="1">
        <f t="array" aca="1" ref="F1593" ca="1">IF(COUNTIF($E$2:$E$2000,INDIRECT("RC[-2]",0))&gt;0,"",INDIRECT("RC[-2]",0))</f>
        <v>0</v>
      </c>
    </row>
    <row r="1594" spans="2:6">
      <c r="B1594" t="str" cm="1">
        <f t="array" aca="1" ref="B1594" ca="1">IFERROR(DATE(RIGHT(INDIRECT("RC[-1]",0),4),LEFT(INDIRECT("RC[-1]",0),2),1), "")</f>
        <v/>
      </c>
      <c r="C1594" s="182"/>
      <c r="F1594" cm="1">
        <f t="array" aca="1" ref="F1594" ca="1">IF(COUNTIF($E$2:$E$2000,INDIRECT("RC[-2]",0))&gt;0,"",INDIRECT("RC[-2]",0))</f>
        <v>0</v>
      </c>
    </row>
    <row r="1595" spans="2:6">
      <c r="B1595" t="str" cm="1">
        <f t="array" aca="1" ref="B1595" ca="1">IFERROR(DATE(RIGHT(INDIRECT("RC[-1]",0),4),LEFT(INDIRECT("RC[-1]",0),2),1), "")</f>
        <v/>
      </c>
      <c r="C1595" s="182"/>
      <c r="F1595" cm="1">
        <f t="array" aca="1" ref="F1595" ca="1">IF(COUNTIF($E$2:$E$2000,INDIRECT("RC[-2]",0))&gt;0,"",INDIRECT("RC[-2]",0))</f>
        <v>0</v>
      </c>
    </row>
    <row r="1596" spans="2:6">
      <c r="B1596" t="str" cm="1">
        <f t="array" aca="1" ref="B1596" ca="1">IFERROR(DATE(RIGHT(INDIRECT("RC[-1]",0),4),LEFT(INDIRECT("RC[-1]",0),2),1), "")</f>
        <v/>
      </c>
      <c r="C1596" s="182"/>
      <c r="F1596" cm="1">
        <f t="array" aca="1" ref="F1596" ca="1">IF(COUNTIF($E$2:$E$2000,INDIRECT("RC[-2]",0))&gt;0,"",INDIRECT("RC[-2]",0))</f>
        <v>0</v>
      </c>
    </row>
    <row r="1597" spans="2:6">
      <c r="B1597" t="str" cm="1">
        <f t="array" aca="1" ref="B1597" ca="1">IFERROR(DATE(RIGHT(INDIRECT("RC[-1]",0),4),LEFT(INDIRECT("RC[-1]",0),2),1), "")</f>
        <v/>
      </c>
      <c r="C1597" s="182"/>
      <c r="F1597" cm="1">
        <f t="array" aca="1" ref="F1597" ca="1">IF(COUNTIF($E$2:$E$2000,INDIRECT("RC[-2]",0))&gt;0,"",INDIRECT("RC[-2]",0))</f>
        <v>0</v>
      </c>
    </row>
    <row r="1598" spans="2:6">
      <c r="B1598" t="str" cm="1">
        <f t="array" aca="1" ref="B1598" ca="1">IFERROR(DATE(RIGHT(INDIRECT("RC[-1]",0),4),LEFT(INDIRECT("RC[-1]",0),2),1), "")</f>
        <v/>
      </c>
      <c r="C1598" s="182"/>
      <c r="F1598" cm="1">
        <f t="array" aca="1" ref="F1598" ca="1">IF(COUNTIF($E$2:$E$2000,INDIRECT("RC[-2]",0))&gt;0,"",INDIRECT("RC[-2]",0))</f>
        <v>0</v>
      </c>
    </row>
    <row r="1599" spans="2:6">
      <c r="B1599" t="str" cm="1">
        <f t="array" aca="1" ref="B1599" ca="1">IFERROR(DATE(RIGHT(INDIRECT("RC[-1]",0),4),LEFT(INDIRECT("RC[-1]",0),2),1), "")</f>
        <v/>
      </c>
      <c r="C1599" s="182"/>
      <c r="F1599" cm="1">
        <f t="array" aca="1" ref="F1599" ca="1">IF(COUNTIF($E$2:$E$2000,INDIRECT("RC[-2]",0))&gt;0,"",INDIRECT("RC[-2]",0))</f>
        <v>0</v>
      </c>
    </row>
    <row r="1600" spans="2:6">
      <c r="B1600" t="str" cm="1">
        <f t="array" aca="1" ref="B1600" ca="1">IFERROR(DATE(RIGHT(INDIRECT("RC[-1]",0),4),LEFT(INDIRECT("RC[-1]",0),2),1), "")</f>
        <v/>
      </c>
      <c r="C1600" s="182"/>
      <c r="F1600" cm="1">
        <f t="array" aca="1" ref="F1600" ca="1">IF(COUNTIF($E$2:$E$2000,INDIRECT("RC[-2]",0))&gt;0,"",INDIRECT("RC[-2]",0))</f>
        <v>0</v>
      </c>
    </row>
    <row r="1601" spans="2:6">
      <c r="B1601" t="str" cm="1">
        <f t="array" aca="1" ref="B1601" ca="1">IFERROR(DATE(RIGHT(INDIRECT("RC[-1]",0),4),LEFT(INDIRECT("RC[-1]",0),2),1), "")</f>
        <v/>
      </c>
      <c r="C1601" s="182"/>
      <c r="F1601" cm="1">
        <f t="array" aca="1" ref="F1601" ca="1">IF(COUNTIF($E$2:$E$2000,INDIRECT("RC[-2]",0))&gt;0,"",INDIRECT("RC[-2]",0))</f>
        <v>0</v>
      </c>
    </row>
    <row r="1602" spans="2:6">
      <c r="B1602" t="str" cm="1">
        <f t="array" aca="1" ref="B1602" ca="1">IFERROR(DATE(RIGHT(INDIRECT("RC[-1]",0),4),LEFT(INDIRECT("RC[-1]",0),2),1), "")</f>
        <v/>
      </c>
      <c r="C1602" s="182"/>
      <c r="F1602" cm="1">
        <f t="array" aca="1" ref="F1602" ca="1">IF(COUNTIF($E$2:$E$2000,INDIRECT("RC[-2]",0))&gt;0,"",INDIRECT("RC[-2]",0))</f>
        <v>0</v>
      </c>
    </row>
    <row r="1603" spans="2:6">
      <c r="B1603" t="str" cm="1">
        <f t="array" aca="1" ref="B1603" ca="1">IFERROR(DATE(RIGHT(INDIRECT("RC[-1]",0),4),LEFT(INDIRECT("RC[-1]",0),2),1), "")</f>
        <v/>
      </c>
      <c r="C1603" s="182"/>
      <c r="F1603" cm="1">
        <f t="array" aca="1" ref="F1603" ca="1">IF(COUNTIF($E$2:$E$2000,INDIRECT("RC[-2]",0))&gt;0,"",INDIRECT("RC[-2]",0))</f>
        <v>0</v>
      </c>
    </row>
    <row r="1604" spans="2:6">
      <c r="B1604" t="str" cm="1">
        <f t="array" aca="1" ref="B1604" ca="1">IFERROR(DATE(RIGHT(INDIRECT("RC[-1]",0),4),LEFT(INDIRECT("RC[-1]",0),2),1), "")</f>
        <v/>
      </c>
      <c r="C1604" s="182"/>
      <c r="F1604" cm="1">
        <f t="array" aca="1" ref="F1604" ca="1">IF(COUNTIF($E$2:$E$2000,INDIRECT("RC[-2]",0))&gt;0,"",INDIRECT("RC[-2]",0))</f>
        <v>0</v>
      </c>
    </row>
    <row r="1605" spans="2:6">
      <c r="B1605" t="str" cm="1">
        <f t="array" aca="1" ref="B1605" ca="1">IFERROR(DATE(RIGHT(INDIRECT("RC[-1]",0),4),LEFT(INDIRECT("RC[-1]",0),2),1), "")</f>
        <v/>
      </c>
      <c r="C1605" s="182"/>
      <c r="F1605" cm="1">
        <f t="array" aca="1" ref="F1605" ca="1">IF(COUNTIF($E$2:$E$2000,INDIRECT("RC[-2]",0))&gt;0,"",INDIRECT("RC[-2]",0))</f>
        <v>0</v>
      </c>
    </row>
    <row r="1606" spans="2:6">
      <c r="B1606" t="str" cm="1">
        <f t="array" aca="1" ref="B1606" ca="1">IFERROR(DATE(RIGHT(INDIRECT("RC[-1]",0),4),LEFT(INDIRECT("RC[-1]",0),2),1), "")</f>
        <v/>
      </c>
      <c r="C1606" s="182"/>
      <c r="F1606" cm="1">
        <f t="array" aca="1" ref="F1606" ca="1">IF(COUNTIF($E$2:$E$2000,INDIRECT("RC[-2]",0))&gt;0,"",INDIRECT("RC[-2]",0))</f>
        <v>0</v>
      </c>
    </row>
    <row r="1607" spans="2:6">
      <c r="B1607" t="str" cm="1">
        <f t="array" aca="1" ref="B1607" ca="1">IFERROR(DATE(RIGHT(INDIRECT("RC[-1]",0),4),LEFT(INDIRECT("RC[-1]",0),2),1), "")</f>
        <v/>
      </c>
      <c r="C1607" s="182"/>
      <c r="F1607" cm="1">
        <f t="array" aca="1" ref="F1607" ca="1">IF(COUNTIF($E$2:$E$2000,INDIRECT("RC[-2]",0))&gt;0,"",INDIRECT("RC[-2]",0))</f>
        <v>0</v>
      </c>
    </row>
    <row r="1608" spans="2:6">
      <c r="B1608" t="str" cm="1">
        <f t="array" aca="1" ref="B1608" ca="1">IFERROR(DATE(RIGHT(INDIRECT("RC[-1]",0),4),LEFT(INDIRECT("RC[-1]",0),2),1), "")</f>
        <v/>
      </c>
      <c r="C1608" s="182"/>
      <c r="F1608" cm="1">
        <f t="array" aca="1" ref="F1608" ca="1">IF(COUNTIF($E$2:$E$2000,INDIRECT("RC[-2]",0))&gt;0,"",INDIRECT("RC[-2]",0))</f>
        <v>0</v>
      </c>
    </row>
    <row r="1609" spans="2:6">
      <c r="B1609" t="str" cm="1">
        <f t="array" aca="1" ref="B1609" ca="1">IFERROR(DATE(RIGHT(INDIRECT("RC[-1]",0),4),LEFT(INDIRECT("RC[-1]",0),2),1), "")</f>
        <v/>
      </c>
      <c r="C1609" s="182"/>
      <c r="F1609" cm="1">
        <f t="array" aca="1" ref="F1609" ca="1">IF(COUNTIF($E$2:$E$2000,INDIRECT("RC[-2]",0))&gt;0,"",INDIRECT("RC[-2]",0))</f>
        <v>0</v>
      </c>
    </row>
    <row r="1610" spans="2:6">
      <c r="B1610" t="str" cm="1">
        <f t="array" aca="1" ref="B1610" ca="1">IFERROR(DATE(RIGHT(INDIRECT("RC[-1]",0),4),LEFT(INDIRECT("RC[-1]",0),2),1), "")</f>
        <v/>
      </c>
      <c r="C1610" s="182"/>
      <c r="F1610" cm="1">
        <f t="array" aca="1" ref="F1610" ca="1">IF(COUNTIF($E$2:$E$2000,INDIRECT("RC[-2]",0))&gt;0,"",INDIRECT("RC[-2]",0))</f>
        <v>0</v>
      </c>
    </row>
    <row r="1611" spans="2:6">
      <c r="B1611" t="str" cm="1">
        <f t="array" aca="1" ref="B1611" ca="1">IFERROR(DATE(RIGHT(INDIRECT("RC[-1]",0),4),LEFT(INDIRECT("RC[-1]",0),2),1), "")</f>
        <v/>
      </c>
      <c r="C1611" s="182"/>
      <c r="F1611" cm="1">
        <f t="array" aca="1" ref="F1611" ca="1">IF(COUNTIF($E$2:$E$2000,INDIRECT("RC[-2]",0))&gt;0,"",INDIRECT("RC[-2]",0))</f>
        <v>0</v>
      </c>
    </row>
    <row r="1612" spans="2:6">
      <c r="B1612" t="str" cm="1">
        <f t="array" aca="1" ref="B1612" ca="1">IFERROR(DATE(RIGHT(INDIRECT("RC[-1]",0),4),LEFT(INDIRECT("RC[-1]",0),2),1), "")</f>
        <v/>
      </c>
      <c r="C1612" s="182"/>
      <c r="F1612" cm="1">
        <f t="array" aca="1" ref="F1612" ca="1">IF(COUNTIF($E$2:$E$2000,INDIRECT("RC[-2]",0))&gt;0,"",INDIRECT("RC[-2]",0))</f>
        <v>0</v>
      </c>
    </row>
    <row r="1613" spans="2:6">
      <c r="B1613" t="str" cm="1">
        <f t="array" aca="1" ref="B1613" ca="1">IFERROR(DATE(RIGHT(INDIRECT("RC[-1]",0),4),LEFT(INDIRECT("RC[-1]",0),2),1), "")</f>
        <v/>
      </c>
      <c r="C1613" s="182"/>
      <c r="F1613" cm="1">
        <f t="array" aca="1" ref="F1613" ca="1">IF(COUNTIF($E$2:$E$2000,INDIRECT("RC[-2]",0))&gt;0,"",INDIRECT("RC[-2]",0))</f>
        <v>0</v>
      </c>
    </row>
    <row r="1614" spans="2:6">
      <c r="B1614" t="str" cm="1">
        <f t="array" aca="1" ref="B1614" ca="1">IFERROR(DATE(RIGHT(INDIRECT("RC[-1]",0),4),LEFT(INDIRECT("RC[-1]",0),2),1), "")</f>
        <v/>
      </c>
      <c r="C1614" s="182"/>
      <c r="F1614" cm="1">
        <f t="array" aca="1" ref="F1614" ca="1">IF(COUNTIF($E$2:$E$2000,INDIRECT("RC[-2]",0))&gt;0,"",INDIRECT("RC[-2]",0))</f>
        <v>0</v>
      </c>
    </row>
    <row r="1615" spans="2:6">
      <c r="B1615" t="str" cm="1">
        <f t="array" aca="1" ref="B1615" ca="1">IFERROR(DATE(RIGHT(INDIRECT("RC[-1]",0),4),LEFT(INDIRECT("RC[-1]",0),2),1), "")</f>
        <v/>
      </c>
      <c r="C1615" s="182"/>
      <c r="F1615" cm="1">
        <f t="array" aca="1" ref="F1615" ca="1">IF(COUNTIF($E$2:$E$2000,INDIRECT("RC[-2]",0))&gt;0,"",INDIRECT("RC[-2]",0))</f>
        <v>0</v>
      </c>
    </row>
    <row r="1616" spans="2:6">
      <c r="B1616" t="str" cm="1">
        <f t="array" aca="1" ref="B1616" ca="1">IFERROR(DATE(RIGHT(INDIRECT("RC[-1]",0),4),LEFT(INDIRECT("RC[-1]",0),2),1), "")</f>
        <v/>
      </c>
      <c r="C1616" s="182"/>
      <c r="F1616" cm="1">
        <f t="array" aca="1" ref="F1616" ca="1">IF(COUNTIF($E$2:$E$2000,INDIRECT("RC[-2]",0))&gt;0,"",INDIRECT("RC[-2]",0))</f>
        <v>0</v>
      </c>
    </row>
    <row r="1617" spans="2:6">
      <c r="B1617" t="str" cm="1">
        <f t="array" aca="1" ref="B1617" ca="1">IFERROR(DATE(RIGHT(INDIRECT("RC[-1]",0),4),LEFT(INDIRECT("RC[-1]",0),2),1), "")</f>
        <v/>
      </c>
      <c r="C1617" s="182"/>
      <c r="F1617" cm="1">
        <f t="array" aca="1" ref="F1617" ca="1">IF(COUNTIF($E$2:$E$2000,INDIRECT("RC[-2]",0))&gt;0,"",INDIRECT("RC[-2]",0))</f>
        <v>0</v>
      </c>
    </row>
    <row r="1618" spans="2:6">
      <c r="B1618" t="str" cm="1">
        <f t="array" aca="1" ref="B1618" ca="1">IFERROR(DATE(RIGHT(INDIRECT("RC[-1]",0),4),LEFT(INDIRECT("RC[-1]",0),2),1), "")</f>
        <v/>
      </c>
      <c r="C1618" s="182"/>
      <c r="F1618" cm="1">
        <f t="array" aca="1" ref="F1618" ca="1">IF(COUNTIF($E$2:$E$2000,INDIRECT("RC[-2]",0))&gt;0,"",INDIRECT("RC[-2]",0))</f>
        <v>0</v>
      </c>
    </row>
    <row r="1619" spans="2:6">
      <c r="B1619" t="str" cm="1">
        <f t="array" aca="1" ref="B1619" ca="1">IFERROR(DATE(RIGHT(INDIRECT("RC[-1]",0),4),LEFT(INDIRECT("RC[-1]",0),2),1), "")</f>
        <v/>
      </c>
      <c r="C1619" s="182"/>
      <c r="F1619" cm="1">
        <f t="array" aca="1" ref="F1619" ca="1">IF(COUNTIF($E$2:$E$2000,INDIRECT("RC[-2]",0))&gt;0,"",INDIRECT("RC[-2]",0))</f>
        <v>0</v>
      </c>
    </row>
    <row r="1620" spans="2:6">
      <c r="B1620" t="str" cm="1">
        <f t="array" aca="1" ref="B1620" ca="1">IFERROR(DATE(RIGHT(INDIRECT("RC[-1]",0),4),LEFT(INDIRECT("RC[-1]",0),2),1), "")</f>
        <v/>
      </c>
      <c r="C1620" s="182"/>
      <c r="F1620" cm="1">
        <f t="array" aca="1" ref="F1620" ca="1">IF(COUNTIF($E$2:$E$2000,INDIRECT("RC[-2]",0))&gt;0,"",INDIRECT("RC[-2]",0))</f>
        <v>0</v>
      </c>
    </row>
    <row r="1621" spans="2:6">
      <c r="B1621" t="str" cm="1">
        <f t="array" aca="1" ref="B1621" ca="1">IFERROR(DATE(RIGHT(INDIRECT("RC[-1]",0),4),LEFT(INDIRECT("RC[-1]",0),2),1), "")</f>
        <v/>
      </c>
      <c r="C1621" s="182"/>
      <c r="F1621" cm="1">
        <f t="array" aca="1" ref="F1621" ca="1">IF(COUNTIF($E$2:$E$2000,INDIRECT("RC[-2]",0))&gt;0,"",INDIRECT("RC[-2]",0))</f>
        <v>0</v>
      </c>
    </row>
    <row r="1622" spans="2:6">
      <c r="B1622" t="str" cm="1">
        <f t="array" aca="1" ref="B1622" ca="1">IFERROR(DATE(RIGHT(INDIRECT("RC[-1]",0),4),LEFT(INDIRECT("RC[-1]",0),2),1), "")</f>
        <v/>
      </c>
      <c r="C1622" s="182"/>
      <c r="F1622" cm="1">
        <f t="array" aca="1" ref="F1622" ca="1">IF(COUNTIF($E$2:$E$2000,INDIRECT("RC[-2]",0))&gt;0,"",INDIRECT("RC[-2]",0))</f>
        <v>0</v>
      </c>
    </row>
    <row r="1623" spans="2:6">
      <c r="B1623" t="str" cm="1">
        <f t="array" aca="1" ref="B1623" ca="1">IFERROR(DATE(RIGHT(INDIRECT("RC[-1]",0),4),LEFT(INDIRECT("RC[-1]",0),2),1), "")</f>
        <v/>
      </c>
      <c r="C1623" s="182"/>
      <c r="F1623" cm="1">
        <f t="array" aca="1" ref="F1623" ca="1">IF(COUNTIF($E$2:$E$2000,INDIRECT("RC[-2]",0))&gt;0,"",INDIRECT("RC[-2]",0))</f>
        <v>0</v>
      </c>
    </row>
    <row r="1624" spans="2:6">
      <c r="B1624" t="str" cm="1">
        <f t="array" aca="1" ref="B1624" ca="1">IFERROR(DATE(RIGHT(INDIRECT("RC[-1]",0),4),LEFT(INDIRECT("RC[-1]",0),2),1), "")</f>
        <v/>
      </c>
      <c r="C1624" s="182"/>
      <c r="F1624" cm="1">
        <f t="array" aca="1" ref="F1624" ca="1">IF(COUNTIF($E$2:$E$2000,INDIRECT("RC[-2]",0))&gt;0,"",INDIRECT("RC[-2]",0))</f>
        <v>0</v>
      </c>
    </row>
    <row r="1625" spans="2:6">
      <c r="B1625" t="str" cm="1">
        <f t="array" aca="1" ref="B1625" ca="1">IFERROR(DATE(RIGHT(INDIRECT("RC[-1]",0),4),LEFT(INDIRECT("RC[-1]",0),2),1), "")</f>
        <v/>
      </c>
      <c r="C1625" s="182"/>
      <c r="F1625" cm="1">
        <f t="array" aca="1" ref="F1625" ca="1">IF(COUNTIF($E$2:$E$2000,INDIRECT("RC[-2]",0))&gt;0,"",INDIRECT("RC[-2]",0))</f>
        <v>0</v>
      </c>
    </row>
    <row r="1626" spans="2:6">
      <c r="B1626" t="str" cm="1">
        <f t="array" aca="1" ref="B1626" ca="1">IFERROR(DATE(RIGHT(INDIRECT("RC[-1]",0),4),LEFT(INDIRECT("RC[-1]",0),2),1), "")</f>
        <v/>
      </c>
      <c r="C1626" s="182"/>
      <c r="F1626" cm="1">
        <f t="array" aca="1" ref="F1626" ca="1">IF(COUNTIF($E$2:$E$2000,INDIRECT("RC[-2]",0))&gt;0,"",INDIRECT("RC[-2]",0))</f>
        <v>0</v>
      </c>
    </row>
    <row r="1627" spans="2:6">
      <c r="B1627" t="str" cm="1">
        <f t="array" aca="1" ref="B1627" ca="1">IFERROR(DATE(RIGHT(INDIRECT("RC[-1]",0),4),LEFT(INDIRECT("RC[-1]",0),2),1), "")</f>
        <v/>
      </c>
      <c r="C1627" s="182"/>
      <c r="F1627" cm="1">
        <f t="array" aca="1" ref="F1627" ca="1">IF(COUNTIF($E$2:$E$2000,INDIRECT("RC[-2]",0))&gt;0,"",INDIRECT("RC[-2]",0))</f>
        <v>0</v>
      </c>
    </row>
    <row r="1628" spans="2:6">
      <c r="B1628" t="str" cm="1">
        <f t="array" aca="1" ref="B1628" ca="1">IFERROR(DATE(RIGHT(INDIRECT("RC[-1]",0),4),LEFT(INDIRECT("RC[-1]",0),2),1), "")</f>
        <v/>
      </c>
      <c r="C1628" s="182"/>
      <c r="F1628" cm="1">
        <f t="array" aca="1" ref="F1628" ca="1">IF(COUNTIF($E$2:$E$2000,INDIRECT("RC[-2]",0))&gt;0,"",INDIRECT("RC[-2]",0))</f>
        <v>0</v>
      </c>
    </row>
    <row r="1629" spans="2:6">
      <c r="B1629" t="str" cm="1">
        <f t="array" aca="1" ref="B1629" ca="1">IFERROR(DATE(RIGHT(INDIRECT("RC[-1]",0),4),LEFT(INDIRECT("RC[-1]",0),2),1), "")</f>
        <v/>
      </c>
      <c r="C1629" s="182"/>
      <c r="F1629" cm="1">
        <f t="array" aca="1" ref="F1629" ca="1">IF(COUNTIF($E$2:$E$2000,INDIRECT("RC[-2]",0))&gt;0,"",INDIRECT("RC[-2]",0))</f>
        <v>0</v>
      </c>
    </row>
    <row r="1630" spans="2:6">
      <c r="B1630" t="str" cm="1">
        <f t="array" aca="1" ref="B1630" ca="1">IFERROR(DATE(RIGHT(INDIRECT("RC[-1]",0),4),LEFT(INDIRECT("RC[-1]",0),2),1), "")</f>
        <v/>
      </c>
      <c r="C1630" s="182"/>
      <c r="F1630" cm="1">
        <f t="array" aca="1" ref="F1630" ca="1">IF(COUNTIF($E$2:$E$2000,INDIRECT("RC[-2]",0))&gt;0,"",INDIRECT("RC[-2]",0))</f>
        <v>0</v>
      </c>
    </row>
    <row r="1631" spans="2:6">
      <c r="B1631" t="str" cm="1">
        <f t="array" aca="1" ref="B1631" ca="1">IFERROR(DATE(RIGHT(INDIRECT("RC[-1]",0),4),LEFT(INDIRECT("RC[-1]",0),2),1), "")</f>
        <v/>
      </c>
      <c r="C1631" s="182"/>
      <c r="F1631" cm="1">
        <f t="array" aca="1" ref="F1631" ca="1">IF(COUNTIF($E$2:$E$2000,INDIRECT("RC[-2]",0))&gt;0,"",INDIRECT("RC[-2]",0))</f>
        <v>0</v>
      </c>
    </row>
    <row r="1632" spans="2:6">
      <c r="B1632" t="str" cm="1">
        <f t="array" aca="1" ref="B1632" ca="1">IFERROR(DATE(RIGHT(INDIRECT("RC[-1]",0),4),LEFT(INDIRECT("RC[-1]",0),2),1), "")</f>
        <v/>
      </c>
      <c r="C1632" s="182"/>
      <c r="F1632" cm="1">
        <f t="array" aca="1" ref="F1632" ca="1">IF(COUNTIF($E$2:$E$2000,INDIRECT("RC[-2]",0))&gt;0,"",INDIRECT("RC[-2]",0))</f>
        <v>0</v>
      </c>
    </row>
    <row r="1633" spans="2:6">
      <c r="B1633" t="str" cm="1">
        <f t="array" aca="1" ref="B1633" ca="1">IFERROR(DATE(RIGHT(INDIRECT("RC[-1]",0),4),LEFT(INDIRECT("RC[-1]",0),2),1), "")</f>
        <v/>
      </c>
      <c r="C1633" s="182"/>
      <c r="F1633" cm="1">
        <f t="array" aca="1" ref="F1633" ca="1">IF(COUNTIF($E$2:$E$2000,INDIRECT("RC[-2]",0))&gt;0,"",INDIRECT("RC[-2]",0))</f>
        <v>0</v>
      </c>
    </row>
    <row r="1634" spans="2:6">
      <c r="B1634" t="str" cm="1">
        <f t="array" aca="1" ref="B1634" ca="1">IFERROR(DATE(RIGHT(INDIRECT("RC[-1]",0),4),LEFT(INDIRECT("RC[-1]",0),2),1), "")</f>
        <v/>
      </c>
      <c r="C1634" s="182"/>
      <c r="F1634" cm="1">
        <f t="array" aca="1" ref="F1634" ca="1">IF(COUNTIF($E$2:$E$2000,INDIRECT("RC[-2]",0))&gt;0,"",INDIRECT("RC[-2]",0))</f>
        <v>0</v>
      </c>
    </row>
    <row r="1635" spans="2:6">
      <c r="B1635" t="str" cm="1">
        <f t="array" aca="1" ref="B1635" ca="1">IFERROR(DATE(RIGHT(INDIRECT("RC[-1]",0),4),LEFT(INDIRECT("RC[-1]",0),2),1), "")</f>
        <v/>
      </c>
      <c r="C1635" s="182"/>
      <c r="F1635" cm="1">
        <f t="array" aca="1" ref="F1635" ca="1">IF(COUNTIF($E$2:$E$2000,INDIRECT("RC[-2]",0))&gt;0,"",INDIRECT("RC[-2]",0))</f>
        <v>0</v>
      </c>
    </row>
    <row r="1636" spans="2:6">
      <c r="B1636" t="str" cm="1">
        <f t="array" aca="1" ref="B1636" ca="1">IFERROR(DATE(RIGHT(INDIRECT("RC[-1]",0),4),LEFT(INDIRECT("RC[-1]",0),2),1), "")</f>
        <v/>
      </c>
      <c r="C1636" s="182"/>
      <c r="F1636" cm="1">
        <f t="array" aca="1" ref="F1636" ca="1">IF(COUNTIF($E$2:$E$2000,INDIRECT("RC[-2]",0))&gt;0,"",INDIRECT("RC[-2]",0))</f>
        <v>0</v>
      </c>
    </row>
    <row r="1637" spans="2:6">
      <c r="B1637" t="str" cm="1">
        <f t="array" aca="1" ref="B1637" ca="1">IFERROR(DATE(RIGHT(INDIRECT("RC[-1]",0),4),LEFT(INDIRECT("RC[-1]",0),2),1), "")</f>
        <v/>
      </c>
      <c r="C1637" s="182"/>
      <c r="F1637" cm="1">
        <f t="array" aca="1" ref="F1637" ca="1">IF(COUNTIF($E$2:$E$2000,INDIRECT("RC[-2]",0))&gt;0,"",INDIRECT("RC[-2]",0))</f>
        <v>0</v>
      </c>
    </row>
    <row r="1638" spans="2:6">
      <c r="B1638" t="str" cm="1">
        <f t="array" aca="1" ref="B1638" ca="1">IFERROR(DATE(RIGHT(INDIRECT("RC[-1]",0),4),LEFT(INDIRECT("RC[-1]",0),2),1), "")</f>
        <v/>
      </c>
      <c r="C1638" s="182"/>
      <c r="F1638" cm="1">
        <f t="array" aca="1" ref="F1638" ca="1">IF(COUNTIF($E$2:$E$2000,INDIRECT("RC[-2]",0))&gt;0,"",INDIRECT("RC[-2]",0))</f>
        <v>0</v>
      </c>
    </row>
    <row r="1639" spans="2:6">
      <c r="B1639" t="str" cm="1">
        <f t="array" aca="1" ref="B1639" ca="1">IFERROR(DATE(RIGHT(INDIRECT("RC[-1]",0),4),LEFT(INDIRECT("RC[-1]",0),2),1), "")</f>
        <v/>
      </c>
      <c r="C1639" s="182"/>
      <c r="F1639" cm="1">
        <f t="array" aca="1" ref="F1639" ca="1">IF(COUNTIF($E$2:$E$2000,INDIRECT("RC[-2]",0))&gt;0,"",INDIRECT("RC[-2]",0))</f>
        <v>0</v>
      </c>
    </row>
    <row r="1640" spans="2:6">
      <c r="B1640" t="str" cm="1">
        <f t="array" aca="1" ref="B1640" ca="1">IFERROR(DATE(RIGHT(INDIRECT("RC[-1]",0),4),LEFT(INDIRECT("RC[-1]",0),2),1), "")</f>
        <v/>
      </c>
      <c r="C1640" s="182"/>
      <c r="F1640" cm="1">
        <f t="array" aca="1" ref="F1640" ca="1">IF(COUNTIF($E$2:$E$2000,INDIRECT("RC[-2]",0))&gt;0,"",INDIRECT("RC[-2]",0))</f>
        <v>0</v>
      </c>
    </row>
    <row r="1641" spans="2:6">
      <c r="B1641" t="str" cm="1">
        <f t="array" aca="1" ref="B1641" ca="1">IFERROR(DATE(RIGHT(INDIRECT("RC[-1]",0),4),LEFT(INDIRECT("RC[-1]",0),2),1), "")</f>
        <v/>
      </c>
      <c r="C1641" s="182"/>
      <c r="F1641" cm="1">
        <f t="array" aca="1" ref="F1641" ca="1">IF(COUNTIF($E$2:$E$2000,INDIRECT("RC[-2]",0))&gt;0,"",INDIRECT("RC[-2]",0))</f>
        <v>0</v>
      </c>
    </row>
    <row r="1642" spans="2:6">
      <c r="B1642" t="str" cm="1">
        <f t="array" aca="1" ref="B1642" ca="1">IFERROR(DATE(RIGHT(INDIRECT("RC[-1]",0),4),LEFT(INDIRECT("RC[-1]",0),2),1), "")</f>
        <v/>
      </c>
      <c r="C1642" s="182"/>
      <c r="F1642" cm="1">
        <f t="array" aca="1" ref="F1642" ca="1">IF(COUNTIF($E$2:$E$2000,INDIRECT("RC[-2]",0))&gt;0,"",INDIRECT("RC[-2]",0))</f>
        <v>0</v>
      </c>
    </row>
    <row r="1643" spans="2:6">
      <c r="B1643" t="str" cm="1">
        <f t="array" aca="1" ref="B1643" ca="1">IFERROR(DATE(RIGHT(INDIRECT("RC[-1]",0),4),LEFT(INDIRECT("RC[-1]",0),2),1), "")</f>
        <v/>
      </c>
      <c r="C1643" s="182"/>
      <c r="F1643" cm="1">
        <f t="array" aca="1" ref="F1643" ca="1">IF(COUNTIF($E$2:$E$2000,INDIRECT("RC[-2]",0))&gt;0,"",INDIRECT("RC[-2]",0))</f>
        <v>0</v>
      </c>
    </row>
    <row r="1644" spans="2:6">
      <c r="B1644" t="str" cm="1">
        <f t="array" aca="1" ref="B1644" ca="1">IFERROR(DATE(RIGHT(INDIRECT("RC[-1]",0),4),LEFT(INDIRECT("RC[-1]",0),2),1), "")</f>
        <v/>
      </c>
      <c r="C1644" s="182"/>
      <c r="F1644" cm="1">
        <f t="array" aca="1" ref="F1644" ca="1">IF(COUNTIF($E$2:$E$2000,INDIRECT("RC[-2]",0))&gt;0,"",INDIRECT("RC[-2]",0))</f>
        <v>0</v>
      </c>
    </row>
    <row r="1645" spans="2:6">
      <c r="B1645" t="str" cm="1">
        <f t="array" aca="1" ref="B1645" ca="1">IFERROR(DATE(RIGHT(INDIRECT("RC[-1]",0),4),LEFT(INDIRECT("RC[-1]",0),2),1), "")</f>
        <v/>
      </c>
      <c r="C1645" s="182"/>
      <c r="F1645" cm="1">
        <f t="array" aca="1" ref="F1645" ca="1">IF(COUNTIF($E$2:$E$2000,INDIRECT("RC[-2]",0))&gt;0,"",INDIRECT("RC[-2]",0))</f>
        <v>0</v>
      </c>
    </row>
    <row r="1646" spans="2:6">
      <c r="B1646" t="str" cm="1">
        <f t="array" aca="1" ref="B1646" ca="1">IFERROR(DATE(RIGHT(INDIRECT("RC[-1]",0),4),LEFT(INDIRECT("RC[-1]",0),2),1), "")</f>
        <v/>
      </c>
      <c r="C1646" s="182"/>
      <c r="F1646" cm="1">
        <f t="array" aca="1" ref="F1646" ca="1">IF(COUNTIF($E$2:$E$2000,INDIRECT("RC[-2]",0))&gt;0,"",INDIRECT("RC[-2]",0))</f>
        <v>0</v>
      </c>
    </row>
    <row r="1647" spans="2:6">
      <c r="B1647" t="str" cm="1">
        <f t="array" aca="1" ref="B1647" ca="1">IFERROR(DATE(RIGHT(INDIRECT("RC[-1]",0),4),LEFT(INDIRECT("RC[-1]",0),2),1), "")</f>
        <v/>
      </c>
      <c r="C1647" s="182"/>
      <c r="F1647" cm="1">
        <f t="array" aca="1" ref="F1647" ca="1">IF(COUNTIF($E$2:$E$2000,INDIRECT("RC[-2]",0))&gt;0,"",INDIRECT("RC[-2]",0))</f>
        <v>0</v>
      </c>
    </row>
    <row r="1648" spans="2:6">
      <c r="B1648" t="str" cm="1">
        <f t="array" aca="1" ref="B1648" ca="1">IFERROR(DATE(RIGHT(INDIRECT("RC[-1]",0),4),LEFT(INDIRECT("RC[-1]",0),2),1), "")</f>
        <v/>
      </c>
      <c r="C1648" s="182"/>
      <c r="F1648" cm="1">
        <f t="array" aca="1" ref="F1648" ca="1">IF(COUNTIF($E$2:$E$2000,INDIRECT("RC[-2]",0))&gt;0,"",INDIRECT("RC[-2]",0))</f>
        <v>0</v>
      </c>
    </row>
    <row r="1649" spans="2:6">
      <c r="B1649" t="str" cm="1">
        <f t="array" aca="1" ref="B1649" ca="1">IFERROR(DATE(RIGHT(INDIRECT("RC[-1]",0),4),LEFT(INDIRECT("RC[-1]",0),2),1), "")</f>
        <v/>
      </c>
      <c r="C1649" s="182"/>
      <c r="F1649" cm="1">
        <f t="array" aca="1" ref="F1649" ca="1">IF(COUNTIF($E$2:$E$2000,INDIRECT("RC[-2]",0))&gt;0,"",INDIRECT("RC[-2]",0))</f>
        <v>0</v>
      </c>
    </row>
    <row r="1650" spans="2:6">
      <c r="B1650" t="str" cm="1">
        <f t="array" aca="1" ref="B1650" ca="1">IFERROR(DATE(RIGHT(INDIRECT("RC[-1]",0),4),LEFT(INDIRECT("RC[-1]",0),2),1), "")</f>
        <v/>
      </c>
      <c r="C1650" s="182"/>
      <c r="F1650" cm="1">
        <f t="array" aca="1" ref="F1650" ca="1">IF(COUNTIF($E$2:$E$2000,INDIRECT("RC[-2]",0))&gt;0,"",INDIRECT("RC[-2]",0))</f>
        <v>0</v>
      </c>
    </row>
    <row r="1651" spans="2:6">
      <c r="B1651" t="str" cm="1">
        <f t="array" aca="1" ref="B1651" ca="1">IFERROR(DATE(RIGHT(INDIRECT("RC[-1]",0),4),LEFT(INDIRECT("RC[-1]",0),2),1), "")</f>
        <v/>
      </c>
      <c r="C1651" s="182"/>
      <c r="F1651" cm="1">
        <f t="array" aca="1" ref="F1651" ca="1">IF(COUNTIF($E$2:$E$2000,INDIRECT("RC[-2]",0))&gt;0,"",INDIRECT("RC[-2]",0))</f>
        <v>0</v>
      </c>
    </row>
    <row r="1652" spans="2:6">
      <c r="B1652" t="str" cm="1">
        <f t="array" aca="1" ref="B1652" ca="1">IFERROR(DATE(RIGHT(INDIRECT("RC[-1]",0),4),LEFT(INDIRECT("RC[-1]",0),2),1), "")</f>
        <v/>
      </c>
      <c r="C1652" s="182"/>
      <c r="F1652" cm="1">
        <f t="array" aca="1" ref="F1652" ca="1">IF(COUNTIF($E$2:$E$2000,INDIRECT("RC[-2]",0))&gt;0,"",INDIRECT("RC[-2]",0))</f>
        <v>0</v>
      </c>
    </row>
    <row r="1653" spans="2:6">
      <c r="B1653" t="str" cm="1">
        <f t="array" aca="1" ref="B1653" ca="1">IFERROR(DATE(RIGHT(INDIRECT("RC[-1]",0),4),LEFT(INDIRECT("RC[-1]",0),2),1), "")</f>
        <v/>
      </c>
      <c r="C1653" s="182"/>
      <c r="F1653" cm="1">
        <f t="array" aca="1" ref="F1653" ca="1">IF(COUNTIF($E$2:$E$2000,INDIRECT("RC[-2]",0))&gt;0,"",INDIRECT("RC[-2]",0))</f>
        <v>0</v>
      </c>
    </row>
    <row r="1654" spans="2:6">
      <c r="B1654" t="str" cm="1">
        <f t="array" aca="1" ref="B1654" ca="1">IFERROR(DATE(RIGHT(INDIRECT("RC[-1]",0),4),LEFT(INDIRECT("RC[-1]",0),2),1), "")</f>
        <v/>
      </c>
      <c r="C1654" s="182"/>
      <c r="F1654" cm="1">
        <f t="array" aca="1" ref="F1654" ca="1">IF(COUNTIF($E$2:$E$2000,INDIRECT("RC[-2]",0))&gt;0,"",INDIRECT("RC[-2]",0))</f>
        <v>0</v>
      </c>
    </row>
    <row r="1655" spans="2:6">
      <c r="B1655" t="str" cm="1">
        <f t="array" aca="1" ref="B1655" ca="1">IFERROR(DATE(RIGHT(INDIRECT("RC[-1]",0),4),LEFT(INDIRECT("RC[-1]",0),2),1), "")</f>
        <v/>
      </c>
      <c r="C1655" s="182"/>
      <c r="F1655" cm="1">
        <f t="array" aca="1" ref="F1655" ca="1">IF(COUNTIF($E$2:$E$2000,INDIRECT("RC[-2]",0))&gt;0,"",INDIRECT("RC[-2]",0))</f>
        <v>0</v>
      </c>
    </row>
    <row r="1656" spans="2:6">
      <c r="B1656" t="str" cm="1">
        <f t="array" aca="1" ref="B1656" ca="1">IFERROR(DATE(RIGHT(INDIRECT("RC[-1]",0),4),LEFT(INDIRECT("RC[-1]",0),2),1), "")</f>
        <v/>
      </c>
      <c r="C1656" s="182"/>
      <c r="F1656" cm="1">
        <f t="array" aca="1" ref="F1656" ca="1">IF(COUNTIF($E$2:$E$2000,INDIRECT("RC[-2]",0))&gt;0,"",INDIRECT("RC[-2]",0))</f>
        <v>0</v>
      </c>
    </row>
    <row r="1657" spans="2:6">
      <c r="B1657" t="str" cm="1">
        <f t="array" aca="1" ref="B1657" ca="1">IFERROR(DATE(RIGHT(INDIRECT("RC[-1]",0),4),LEFT(INDIRECT("RC[-1]",0),2),1), "")</f>
        <v/>
      </c>
      <c r="C1657" s="182"/>
      <c r="F1657" cm="1">
        <f t="array" aca="1" ref="F1657" ca="1">IF(COUNTIF($E$2:$E$2000,INDIRECT("RC[-2]",0))&gt;0,"",INDIRECT("RC[-2]",0))</f>
        <v>0</v>
      </c>
    </row>
    <row r="1658" spans="2:6">
      <c r="B1658" t="str" cm="1">
        <f t="array" aca="1" ref="B1658" ca="1">IFERROR(DATE(RIGHT(INDIRECT("RC[-1]",0),4),LEFT(INDIRECT("RC[-1]",0),2),1), "")</f>
        <v/>
      </c>
      <c r="C1658" s="182"/>
      <c r="F1658" cm="1">
        <f t="array" aca="1" ref="F1658" ca="1">IF(COUNTIF($E$2:$E$2000,INDIRECT("RC[-2]",0))&gt;0,"",INDIRECT("RC[-2]",0))</f>
        <v>0</v>
      </c>
    </row>
    <row r="1659" spans="2:6">
      <c r="B1659" t="str" cm="1">
        <f t="array" aca="1" ref="B1659" ca="1">IFERROR(DATE(RIGHT(INDIRECT("RC[-1]",0),4),LEFT(INDIRECT("RC[-1]",0),2),1), "")</f>
        <v/>
      </c>
      <c r="C1659" s="182"/>
      <c r="F1659" cm="1">
        <f t="array" aca="1" ref="F1659" ca="1">IF(COUNTIF($E$2:$E$2000,INDIRECT("RC[-2]",0))&gt;0,"",INDIRECT("RC[-2]",0))</f>
        <v>0</v>
      </c>
    </row>
    <row r="1660" spans="2:6">
      <c r="B1660" t="str" cm="1">
        <f t="array" aca="1" ref="B1660" ca="1">IFERROR(DATE(RIGHT(INDIRECT("RC[-1]",0),4),LEFT(INDIRECT("RC[-1]",0),2),1), "")</f>
        <v/>
      </c>
      <c r="C1660" s="182"/>
      <c r="F1660" cm="1">
        <f t="array" aca="1" ref="F1660" ca="1">IF(COUNTIF($E$2:$E$2000,INDIRECT("RC[-2]",0))&gt;0,"",INDIRECT("RC[-2]",0))</f>
        <v>0</v>
      </c>
    </row>
    <row r="1661" spans="2:6">
      <c r="B1661" t="str" cm="1">
        <f t="array" aca="1" ref="B1661" ca="1">IFERROR(DATE(RIGHT(INDIRECT("RC[-1]",0),4),LEFT(INDIRECT("RC[-1]",0),2),1), "")</f>
        <v/>
      </c>
      <c r="C1661" s="182"/>
      <c r="F1661" cm="1">
        <f t="array" aca="1" ref="F1661" ca="1">IF(COUNTIF($E$2:$E$2000,INDIRECT("RC[-2]",0))&gt;0,"",INDIRECT("RC[-2]",0))</f>
        <v>0</v>
      </c>
    </row>
    <row r="1662" spans="2:6">
      <c r="B1662" t="str" cm="1">
        <f t="array" aca="1" ref="B1662" ca="1">IFERROR(DATE(RIGHT(INDIRECT("RC[-1]",0),4),LEFT(INDIRECT("RC[-1]",0),2),1), "")</f>
        <v/>
      </c>
      <c r="C1662" s="182"/>
      <c r="F1662" cm="1">
        <f t="array" aca="1" ref="F1662" ca="1">IF(COUNTIF($E$2:$E$2000,INDIRECT("RC[-2]",0))&gt;0,"",INDIRECT("RC[-2]",0))</f>
        <v>0</v>
      </c>
    </row>
    <row r="1663" spans="2:6">
      <c r="B1663" t="str" cm="1">
        <f t="array" aca="1" ref="B1663" ca="1">IFERROR(DATE(RIGHT(INDIRECT("RC[-1]",0),4),LEFT(INDIRECT("RC[-1]",0),2),1), "")</f>
        <v/>
      </c>
      <c r="C1663" s="182"/>
      <c r="F1663" cm="1">
        <f t="array" aca="1" ref="F1663" ca="1">IF(COUNTIF($E$2:$E$2000,INDIRECT("RC[-2]",0))&gt;0,"",INDIRECT("RC[-2]",0))</f>
        <v>0</v>
      </c>
    </row>
    <row r="1664" spans="2:6">
      <c r="B1664" t="str" cm="1">
        <f t="array" aca="1" ref="B1664" ca="1">IFERROR(DATE(RIGHT(INDIRECT("RC[-1]",0),4),LEFT(INDIRECT("RC[-1]",0),2),1), "")</f>
        <v/>
      </c>
      <c r="C1664" s="182"/>
      <c r="F1664" cm="1">
        <f t="array" aca="1" ref="F1664" ca="1">IF(COUNTIF($E$2:$E$2000,INDIRECT("RC[-2]",0))&gt;0,"",INDIRECT("RC[-2]",0))</f>
        <v>0</v>
      </c>
    </row>
    <row r="1665" spans="2:6">
      <c r="B1665" t="str" cm="1">
        <f t="array" aca="1" ref="B1665" ca="1">IFERROR(DATE(RIGHT(INDIRECT("RC[-1]",0),4),LEFT(INDIRECT("RC[-1]",0),2),1), "")</f>
        <v/>
      </c>
      <c r="C1665" s="182"/>
      <c r="F1665" cm="1">
        <f t="array" aca="1" ref="F1665" ca="1">IF(COUNTIF($E$2:$E$2000,INDIRECT("RC[-2]",0))&gt;0,"",INDIRECT("RC[-2]",0))</f>
        <v>0</v>
      </c>
    </row>
    <row r="1666" spans="2:6">
      <c r="B1666" t="str" cm="1">
        <f t="array" aca="1" ref="B1666" ca="1">IFERROR(DATE(RIGHT(INDIRECT("RC[-1]",0),4),LEFT(INDIRECT("RC[-1]",0),2),1), "")</f>
        <v/>
      </c>
      <c r="C1666" s="182"/>
      <c r="F1666" cm="1">
        <f t="array" aca="1" ref="F1666" ca="1">IF(COUNTIF($E$2:$E$2000,INDIRECT("RC[-2]",0))&gt;0,"",INDIRECT("RC[-2]",0))</f>
        <v>0</v>
      </c>
    </row>
    <row r="1667" spans="2:6">
      <c r="B1667" t="str" cm="1">
        <f t="array" aca="1" ref="B1667" ca="1">IFERROR(DATE(RIGHT(INDIRECT("RC[-1]",0),4),LEFT(INDIRECT("RC[-1]",0),2),1), "")</f>
        <v/>
      </c>
      <c r="C1667" s="182"/>
      <c r="F1667" cm="1">
        <f t="array" aca="1" ref="F1667" ca="1">IF(COUNTIF($E$2:$E$2000,INDIRECT("RC[-2]",0))&gt;0,"",INDIRECT("RC[-2]",0))</f>
        <v>0</v>
      </c>
    </row>
    <row r="1668" spans="2:6">
      <c r="B1668" t="str" cm="1">
        <f t="array" aca="1" ref="B1668" ca="1">IFERROR(DATE(RIGHT(INDIRECT("RC[-1]",0),4),LEFT(INDIRECT("RC[-1]",0),2),1), "")</f>
        <v/>
      </c>
      <c r="C1668" s="182"/>
      <c r="F1668" cm="1">
        <f t="array" aca="1" ref="F1668" ca="1">IF(COUNTIF($E$2:$E$2000,INDIRECT("RC[-2]",0))&gt;0,"",INDIRECT("RC[-2]",0))</f>
        <v>0</v>
      </c>
    </row>
    <row r="1669" spans="2:6">
      <c r="B1669" t="str" cm="1">
        <f t="array" aca="1" ref="B1669" ca="1">IFERROR(DATE(RIGHT(INDIRECT("RC[-1]",0),4),LEFT(INDIRECT("RC[-1]",0),2),1), "")</f>
        <v/>
      </c>
      <c r="C1669" s="182"/>
      <c r="F1669" cm="1">
        <f t="array" aca="1" ref="F1669" ca="1">IF(COUNTIF($E$2:$E$2000,INDIRECT("RC[-2]",0))&gt;0,"",INDIRECT("RC[-2]",0))</f>
        <v>0</v>
      </c>
    </row>
    <row r="1670" spans="2:6">
      <c r="B1670" t="str" cm="1">
        <f t="array" aca="1" ref="B1670" ca="1">IFERROR(DATE(RIGHT(INDIRECT("RC[-1]",0),4),LEFT(INDIRECT("RC[-1]",0),2),1), "")</f>
        <v/>
      </c>
      <c r="C1670" s="182"/>
      <c r="F1670" cm="1">
        <f t="array" aca="1" ref="F1670" ca="1">IF(COUNTIF($E$2:$E$2000,INDIRECT("RC[-2]",0))&gt;0,"",INDIRECT("RC[-2]",0))</f>
        <v>0</v>
      </c>
    </row>
    <row r="1671" spans="2:6">
      <c r="B1671" t="str" cm="1">
        <f t="array" aca="1" ref="B1671" ca="1">IFERROR(DATE(RIGHT(INDIRECT("RC[-1]",0),4),LEFT(INDIRECT("RC[-1]",0),2),1), "")</f>
        <v/>
      </c>
      <c r="C1671" s="182"/>
      <c r="F1671" cm="1">
        <f t="array" aca="1" ref="F1671" ca="1">IF(COUNTIF($E$2:$E$2000,INDIRECT("RC[-2]",0))&gt;0,"",INDIRECT("RC[-2]",0))</f>
        <v>0</v>
      </c>
    </row>
    <row r="1672" spans="2:6">
      <c r="B1672" t="str" cm="1">
        <f t="array" aca="1" ref="B1672" ca="1">IFERROR(DATE(RIGHT(INDIRECT("RC[-1]",0),4),LEFT(INDIRECT("RC[-1]",0),2),1), "")</f>
        <v/>
      </c>
      <c r="C1672" s="182"/>
      <c r="F1672" cm="1">
        <f t="array" aca="1" ref="F1672" ca="1">IF(COUNTIF($E$2:$E$2000,INDIRECT("RC[-2]",0))&gt;0,"",INDIRECT("RC[-2]",0))</f>
        <v>0</v>
      </c>
    </row>
    <row r="1673" spans="2:6">
      <c r="B1673" t="str" cm="1">
        <f t="array" aca="1" ref="B1673" ca="1">IFERROR(DATE(RIGHT(INDIRECT("RC[-1]",0),4),LEFT(INDIRECT("RC[-1]",0),2),1), "")</f>
        <v/>
      </c>
      <c r="C1673" s="182"/>
      <c r="F1673" cm="1">
        <f t="array" aca="1" ref="F1673" ca="1">IF(COUNTIF($E$2:$E$2000,INDIRECT("RC[-2]",0))&gt;0,"",INDIRECT("RC[-2]",0))</f>
        <v>0</v>
      </c>
    </row>
    <row r="1674" spans="2:6">
      <c r="B1674" t="str" cm="1">
        <f t="array" aca="1" ref="B1674" ca="1">IFERROR(DATE(RIGHT(INDIRECT("RC[-1]",0),4),LEFT(INDIRECT("RC[-1]",0),2),1), "")</f>
        <v/>
      </c>
      <c r="C1674" s="182"/>
      <c r="F1674" cm="1">
        <f t="array" aca="1" ref="F1674" ca="1">IF(COUNTIF($E$2:$E$2000,INDIRECT("RC[-2]",0))&gt;0,"",INDIRECT("RC[-2]",0))</f>
        <v>0</v>
      </c>
    </row>
    <row r="1675" spans="2:6">
      <c r="B1675" t="str" cm="1">
        <f t="array" aca="1" ref="B1675" ca="1">IFERROR(DATE(RIGHT(INDIRECT("RC[-1]",0),4),LEFT(INDIRECT("RC[-1]",0),2),1), "")</f>
        <v/>
      </c>
      <c r="C1675" s="182"/>
      <c r="F1675" cm="1">
        <f t="array" aca="1" ref="F1675" ca="1">IF(COUNTIF($E$2:$E$2000,INDIRECT("RC[-2]",0))&gt;0,"",INDIRECT("RC[-2]",0))</f>
        <v>0</v>
      </c>
    </row>
    <row r="1676" spans="2:6">
      <c r="B1676" t="str" cm="1">
        <f t="array" aca="1" ref="B1676" ca="1">IFERROR(DATE(RIGHT(INDIRECT("RC[-1]",0),4),LEFT(INDIRECT("RC[-1]",0),2),1), "")</f>
        <v/>
      </c>
      <c r="C1676" s="182"/>
      <c r="F1676" cm="1">
        <f t="array" aca="1" ref="F1676" ca="1">IF(COUNTIF($E$2:$E$2000,INDIRECT("RC[-2]",0))&gt;0,"",INDIRECT("RC[-2]",0))</f>
        <v>0</v>
      </c>
    </row>
    <row r="1677" spans="2:6">
      <c r="B1677" t="str" cm="1">
        <f t="array" aca="1" ref="B1677" ca="1">IFERROR(DATE(RIGHT(INDIRECT("RC[-1]",0),4),LEFT(INDIRECT("RC[-1]",0),2),1), "")</f>
        <v/>
      </c>
      <c r="C1677" s="182"/>
      <c r="F1677" cm="1">
        <f t="array" aca="1" ref="F1677" ca="1">IF(COUNTIF($E$2:$E$2000,INDIRECT("RC[-2]",0))&gt;0,"",INDIRECT("RC[-2]",0))</f>
        <v>0</v>
      </c>
    </row>
    <row r="1678" spans="2:6">
      <c r="B1678" t="str" cm="1">
        <f t="array" aca="1" ref="B1678" ca="1">IFERROR(DATE(RIGHT(INDIRECT("RC[-1]",0),4),LEFT(INDIRECT("RC[-1]",0),2),1), "")</f>
        <v/>
      </c>
      <c r="C1678" s="182"/>
      <c r="F1678" cm="1">
        <f t="array" aca="1" ref="F1678" ca="1">IF(COUNTIF($E$2:$E$2000,INDIRECT("RC[-2]",0))&gt;0,"",INDIRECT("RC[-2]",0))</f>
        <v>0</v>
      </c>
    </row>
    <row r="1679" spans="2:6">
      <c r="B1679" t="str" cm="1">
        <f t="array" aca="1" ref="B1679" ca="1">IFERROR(DATE(RIGHT(INDIRECT("RC[-1]",0),4),LEFT(INDIRECT("RC[-1]",0),2),1), "")</f>
        <v/>
      </c>
      <c r="C1679" s="182"/>
      <c r="F1679" cm="1">
        <f t="array" aca="1" ref="F1679" ca="1">IF(COUNTIF($E$2:$E$2000,INDIRECT("RC[-2]",0))&gt;0,"",INDIRECT("RC[-2]",0))</f>
        <v>0</v>
      </c>
    </row>
    <row r="1680" spans="2:6">
      <c r="B1680" t="str" cm="1">
        <f t="array" aca="1" ref="B1680" ca="1">IFERROR(DATE(RIGHT(INDIRECT("RC[-1]",0),4),LEFT(INDIRECT("RC[-1]",0),2),1), "")</f>
        <v/>
      </c>
      <c r="C1680" s="182"/>
      <c r="F1680" cm="1">
        <f t="array" aca="1" ref="F1680" ca="1">IF(COUNTIF($E$2:$E$2000,INDIRECT("RC[-2]",0))&gt;0,"",INDIRECT("RC[-2]",0))</f>
        <v>0</v>
      </c>
    </row>
    <row r="1681" spans="2:6">
      <c r="B1681" t="str" cm="1">
        <f t="array" aca="1" ref="B1681" ca="1">IFERROR(DATE(RIGHT(INDIRECT("RC[-1]",0),4),LEFT(INDIRECT("RC[-1]",0),2),1), "")</f>
        <v/>
      </c>
      <c r="C1681" s="182"/>
      <c r="F1681" cm="1">
        <f t="array" aca="1" ref="F1681" ca="1">IF(COUNTIF($E$2:$E$2000,INDIRECT("RC[-2]",0))&gt;0,"",INDIRECT("RC[-2]",0))</f>
        <v>0</v>
      </c>
    </row>
    <row r="1682" spans="2:6">
      <c r="B1682" t="str" cm="1">
        <f t="array" aca="1" ref="B1682" ca="1">IFERROR(DATE(RIGHT(INDIRECT("RC[-1]",0),4),LEFT(INDIRECT("RC[-1]",0),2),1), "")</f>
        <v/>
      </c>
      <c r="C1682" s="182"/>
      <c r="F1682" cm="1">
        <f t="array" aca="1" ref="F1682" ca="1">IF(COUNTIF($E$2:$E$2000,INDIRECT("RC[-2]",0))&gt;0,"",INDIRECT("RC[-2]",0))</f>
        <v>0</v>
      </c>
    </row>
    <row r="1683" spans="2:6">
      <c r="B1683" t="str" cm="1">
        <f t="array" aca="1" ref="B1683" ca="1">IFERROR(DATE(RIGHT(INDIRECT("RC[-1]",0),4),LEFT(INDIRECT("RC[-1]",0),2),1), "")</f>
        <v/>
      </c>
      <c r="C1683" s="182"/>
      <c r="F1683" cm="1">
        <f t="array" aca="1" ref="F1683" ca="1">IF(COUNTIF($E$2:$E$2000,INDIRECT("RC[-2]",0))&gt;0,"",INDIRECT("RC[-2]",0))</f>
        <v>0</v>
      </c>
    </row>
    <row r="1684" spans="2:6">
      <c r="B1684" t="str" cm="1">
        <f t="array" aca="1" ref="B1684" ca="1">IFERROR(DATE(RIGHT(INDIRECT("RC[-1]",0),4),LEFT(INDIRECT("RC[-1]",0),2),1), "")</f>
        <v/>
      </c>
      <c r="C1684" s="182"/>
      <c r="F1684" cm="1">
        <f t="array" aca="1" ref="F1684" ca="1">IF(COUNTIF($E$2:$E$2000,INDIRECT("RC[-2]",0))&gt;0,"",INDIRECT("RC[-2]",0))</f>
        <v>0</v>
      </c>
    </row>
    <row r="1685" spans="2:6">
      <c r="B1685" t="str" cm="1">
        <f t="array" aca="1" ref="B1685" ca="1">IFERROR(DATE(RIGHT(INDIRECT("RC[-1]",0),4),LEFT(INDIRECT("RC[-1]",0),2),1), "")</f>
        <v/>
      </c>
      <c r="C1685" s="182"/>
      <c r="F1685" cm="1">
        <f t="array" aca="1" ref="F1685" ca="1">IF(COUNTIF($E$2:$E$2000,INDIRECT("RC[-2]",0))&gt;0,"",INDIRECT("RC[-2]",0))</f>
        <v>0</v>
      </c>
    </row>
    <row r="1686" spans="2:6">
      <c r="B1686" t="str" cm="1">
        <f t="array" aca="1" ref="B1686" ca="1">IFERROR(DATE(RIGHT(INDIRECT("RC[-1]",0),4),LEFT(INDIRECT("RC[-1]",0),2),1), "")</f>
        <v/>
      </c>
      <c r="C1686" s="182"/>
      <c r="F1686" cm="1">
        <f t="array" aca="1" ref="F1686" ca="1">IF(COUNTIF($E$2:$E$2000,INDIRECT("RC[-2]",0))&gt;0,"",INDIRECT("RC[-2]",0))</f>
        <v>0</v>
      </c>
    </row>
    <row r="1687" spans="2:6">
      <c r="B1687" t="str" cm="1">
        <f t="array" aca="1" ref="B1687" ca="1">IFERROR(DATE(RIGHT(INDIRECT("RC[-1]",0),4),LEFT(INDIRECT("RC[-1]",0),2),1), "")</f>
        <v/>
      </c>
      <c r="C1687" s="182"/>
      <c r="F1687" cm="1">
        <f t="array" aca="1" ref="F1687" ca="1">IF(COUNTIF($E$2:$E$2000,INDIRECT("RC[-2]",0))&gt;0,"",INDIRECT("RC[-2]",0))</f>
        <v>0</v>
      </c>
    </row>
    <row r="1688" spans="2:6">
      <c r="B1688" t="str" cm="1">
        <f t="array" aca="1" ref="B1688" ca="1">IFERROR(DATE(RIGHT(INDIRECT("RC[-1]",0),4),LEFT(INDIRECT("RC[-1]",0),2),1), "")</f>
        <v/>
      </c>
      <c r="C1688" s="182"/>
      <c r="F1688" cm="1">
        <f t="array" aca="1" ref="F1688" ca="1">IF(COUNTIF($E$2:$E$2000,INDIRECT("RC[-2]",0))&gt;0,"",INDIRECT("RC[-2]",0))</f>
        <v>0</v>
      </c>
    </row>
    <row r="1689" spans="2:6">
      <c r="B1689" t="str" cm="1">
        <f t="array" aca="1" ref="B1689" ca="1">IFERROR(DATE(RIGHT(INDIRECT("RC[-1]",0),4),LEFT(INDIRECT("RC[-1]",0),2),1), "")</f>
        <v/>
      </c>
      <c r="C1689" s="182"/>
      <c r="F1689" cm="1">
        <f t="array" aca="1" ref="F1689" ca="1">IF(COUNTIF($E$2:$E$2000,INDIRECT("RC[-2]",0))&gt;0,"",INDIRECT("RC[-2]",0))</f>
        <v>0</v>
      </c>
    </row>
    <row r="1690" spans="2:6">
      <c r="B1690" t="str" cm="1">
        <f t="array" aca="1" ref="B1690" ca="1">IFERROR(DATE(RIGHT(INDIRECT("RC[-1]",0),4),LEFT(INDIRECT("RC[-1]",0),2),1), "")</f>
        <v/>
      </c>
      <c r="C1690" s="182"/>
      <c r="F1690" cm="1">
        <f t="array" aca="1" ref="F1690" ca="1">IF(COUNTIF($E$2:$E$2000,INDIRECT("RC[-2]",0))&gt;0,"",INDIRECT("RC[-2]",0))</f>
        <v>0</v>
      </c>
    </row>
    <row r="1691" spans="2:6">
      <c r="B1691" t="str" cm="1">
        <f t="array" aca="1" ref="B1691" ca="1">IFERROR(DATE(RIGHT(INDIRECT("RC[-1]",0),4),LEFT(INDIRECT("RC[-1]",0),2),1), "")</f>
        <v/>
      </c>
      <c r="C1691" s="182"/>
      <c r="F1691" cm="1">
        <f t="array" aca="1" ref="F1691" ca="1">IF(COUNTIF($E$2:$E$2000,INDIRECT("RC[-2]",0))&gt;0,"",INDIRECT("RC[-2]",0))</f>
        <v>0</v>
      </c>
    </row>
    <row r="1692" spans="2:6">
      <c r="B1692" t="str" cm="1">
        <f t="array" aca="1" ref="B1692" ca="1">IFERROR(DATE(RIGHT(INDIRECT("RC[-1]",0),4),LEFT(INDIRECT("RC[-1]",0),2),1), "")</f>
        <v/>
      </c>
      <c r="C1692" s="182"/>
      <c r="F1692" cm="1">
        <f t="array" aca="1" ref="F1692" ca="1">IF(COUNTIF($E$2:$E$2000,INDIRECT("RC[-2]",0))&gt;0,"",INDIRECT("RC[-2]",0))</f>
        <v>0</v>
      </c>
    </row>
    <row r="1693" spans="2:6">
      <c r="B1693" t="str" cm="1">
        <f t="array" aca="1" ref="B1693" ca="1">IFERROR(DATE(RIGHT(INDIRECT("RC[-1]",0),4),LEFT(INDIRECT("RC[-1]",0),2),1), "")</f>
        <v/>
      </c>
      <c r="C1693" s="182"/>
      <c r="F1693" cm="1">
        <f t="array" aca="1" ref="F1693" ca="1">IF(COUNTIF($E$2:$E$2000,INDIRECT("RC[-2]",0))&gt;0,"",INDIRECT("RC[-2]",0))</f>
        <v>0</v>
      </c>
    </row>
    <row r="1694" spans="2:6">
      <c r="B1694" t="str" cm="1">
        <f t="array" aca="1" ref="B1694" ca="1">IFERROR(DATE(RIGHT(INDIRECT("RC[-1]",0),4),LEFT(INDIRECT("RC[-1]",0),2),1), "")</f>
        <v/>
      </c>
      <c r="C1694" s="182"/>
      <c r="F1694" cm="1">
        <f t="array" aca="1" ref="F1694" ca="1">IF(COUNTIF($E$2:$E$2000,INDIRECT("RC[-2]",0))&gt;0,"",INDIRECT("RC[-2]",0))</f>
        <v>0</v>
      </c>
    </row>
    <row r="1695" spans="2:6">
      <c r="B1695" t="str" cm="1">
        <f t="array" aca="1" ref="B1695" ca="1">IFERROR(DATE(RIGHT(INDIRECT("RC[-1]",0),4),LEFT(INDIRECT("RC[-1]",0),2),1), "")</f>
        <v/>
      </c>
      <c r="C1695" s="182"/>
      <c r="F1695" cm="1">
        <f t="array" aca="1" ref="F1695" ca="1">IF(COUNTIF($E$2:$E$2000,INDIRECT("RC[-2]",0))&gt;0,"",INDIRECT("RC[-2]",0))</f>
        <v>0</v>
      </c>
    </row>
    <row r="1696" spans="2:6">
      <c r="B1696" t="str" cm="1">
        <f t="array" aca="1" ref="B1696" ca="1">IFERROR(DATE(RIGHT(INDIRECT("RC[-1]",0),4),LEFT(INDIRECT("RC[-1]",0),2),1), "")</f>
        <v/>
      </c>
      <c r="C1696" s="182"/>
      <c r="F1696" cm="1">
        <f t="array" aca="1" ref="F1696" ca="1">IF(COUNTIF($E$2:$E$2000,INDIRECT("RC[-2]",0))&gt;0,"",INDIRECT("RC[-2]",0))</f>
        <v>0</v>
      </c>
    </row>
    <row r="1697" spans="2:6">
      <c r="B1697" t="str" cm="1">
        <f t="array" aca="1" ref="B1697" ca="1">IFERROR(DATE(RIGHT(INDIRECT("RC[-1]",0),4),LEFT(INDIRECT("RC[-1]",0),2),1), "")</f>
        <v/>
      </c>
      <c r="C1697" s="182"/>
      <c r="F1697" cm="1">
        <f t="array" aca="1" ref="F1697" ca="1">IF(COUNTIF($E$2:$E$2000,INDIRECT("RC[-2]",0))&gt;0,"",INDIRECT("RC[-2]",0))</f>
        <v>0</v>
      </c>
    </row>
    <row r="1698" spans="2:6">
      <c r="B1698" t="str" cm="1">
        <f t="array" aca="1" ref="B1698" ca="1">IFERROR(DATE(RIGHT(INDIRECT("RC[-1]",0),4),LEFT(INDIRECT("RC[-1]",0),2),1), "")</f>
        <v/>
      </c>
      <c r="C1698" s="182"/>
      <c r="F1698" cm="1">
        <f t="array" aca="1" ref="F1698" ca="1">IF(COUNTIF($E$2:$E$2000,INDIRECT("RC[-2]",0))&gt;0,"",INDIRECT("RC[-2]",0))</f>
        <v>0</v>
      </c>
    </row>
    <row r="1699" spans="2:6">
      <c r="B1699" t="str" cm="1">
        <f t="array" aca="1" ref="B1699" ca="1">IFERROR(DATE(RIGHT(INDIRECT("RC[-1]",0),4),LEFT(INDIRECT("RC[-1]",0),2),1), "")</f>
        <v/>
      </c>
      <c r="C1699" s="182"/>
      <c r="F1699" cm="1">
        <f t="array" aca="1" ref="F1699" ca="1">IF(COUNTIF($E$2:$E$2000,INDIRECT("RC[-2]",0))&gt;0,"",INDIRECT("RC[-2]",0))</f>
        <v>0</v>
      </c>
    </row>
    <row r="1700" spans="2:6">
      <c r="B1700" t="str" cm="1">
        <f t="array" aca="1" ref="B1700" ca="1">IFERROR(DATE(RIGHT(INDIRECT("RC[-1]",0),4),LEFT(INDIRECT("RC[-1]",0),2),1), "")</f>
        <v/>
      </c>
      <c r="C1700" s="182"/>
      <c r="F1700" cm="1">
        <f t="array" aca="1" ref="F1700" ca="1">IF(COUNTIF($E$2:$E$2000,INDIRECT("RC[-2]",0))&gt;0,"",INDIRECT("RC[-2]",0))</f>
        <v>0</v>
      </c>
    </row>
    <row r="1701" spans="2:6">
      <c r="B1701" t="str" cm="1">
        <f t="array" aca="1" ref="B1701" ca="1">IFERROR(DATE(RIGHT(INDIRECT("RC[-1]",0),4),LEFT(INDIRECT("RC[-1]",0),2),1), "")</f>
        <v/>
      </c>
      <c r="C1701" s="182"/>
      <c r="F1701" cm="1">
        <f t="array" aca="1" ref="F1701" ca="1">IF(COUNTIF($E$2:$E$2000,INDIRECT("RC[-2]",0))&gt;0,"",INDIRECT("RC[-2]",0))</f>
        <v>0</v>
      </c>
    </row>
    <row r="1702" spans="2:6">
      <c r="B1702" t="str" cm="1">
        <f t="array" aca="1" ref="B1702" ca="1">IFERROR(DATE(RIGHT(INDIRECT("RC[-1]",0),4),LEFT(INDIRECT("RC[-1]",0),2),1), "")</f>
        <v/>
      </c>
      <c r="C1702" s="182"/>
      <c r="F1702" cm="1">
        <f t="array" aca="1" ref="F1702" ca="1">IF(COUNTIF($E$2:$E$2000,INDIRECT("RC[-2]",0))&gt;0,"",INDIRECT("RC[-2]",0))</f>
        <v>0</v>
      </c>
    </row>
    <row r="1703" spans="2:6">
      <c r="B1703" t="str" cm="1">
        <f t="array" aca="1" ref="B1703" ca="1">IFERROR(DATE(RIGHT(INDIRECT("RC[-1]",0),4),LEFT(INDIRECT("RC[-1]",0),2),1), "")</f>
        <v/>
      </c>
      <c r="C1703" s="182"/>
      <c r="F1703" cm="1">
        <f t="array" aca="1" ref="F1703" ca="1">IF(COUNTIF($E$2:$E$2000,INDIRECT("RC[-2]",0))&gt;0,"",INDIRECT("RC[-2]",0))</f>
        <v>0</v>
      </c>
    </row>
    <row r="1704" spans="2:6">
      <c r="B1704" t="str" cm="1">
        <f t="array" aca="1" ref="B1704" ca="1">IFERROR(DATE(RIGHT(INDIRECT("RC[-1]",0),4),LEFT(INDIRECT("RC[-1]",0),2),1), "")</f>
        <v/>
      </c>
      <c r="C1704" s="182"/>
      <c r="F1704" cm="1">
        <f t="array" aca="1" ref="F1704" ca="1">IF(COUNTIF($E$2:$E$2000,INDIRECT("RC[-2]",0))&gt;0,"",INDIRECT("RC[-2]",0))</f>
        <v>0</v>
      </c>
    </row>
    <row r="1705" spans="2:6">
      <c r="B1705" t="str" cm="1">
        <f t="array" aca="1" ref="B1705" ca="1">IFERROR(DATE(RIGHT(INDIRECT("RC[-1]",0),4),LEFT(INDIRECT("RC[-1]",0),2),1), "")</f>
        <v/>
      </c>
      <c r="C1705" s="182"/>
      <c r="F1705" cm="1">
        <f t="array" aca="1" ref="F1705" ca="1">IF(COUNTIF($E$2:$E$2000,INDIRECT("RC[-2]",0))&gt;0,"",INDIRECT("RC[-2]",0))</f>
        <v>0</v>
      </c>
    </row>
    <row r="1706" spans="2:6">
      <c r="B1706" t="str" cm="1">
        <f t="array" aca="1" ref="B1706" ca="1">IFERROR(DATE(RIGHT(INDIRECT("RC[-1]",0),4),LEFT(INDIRECT("RC[-1]",0),2),1), "")</f>
        <v/>
      </c>
      <c r="C1706" s="182"/>
      <c r="F1706" cm="1">
        <f t="array" aca="1" ref="F1706" ca="1">IF(COUNTIF($E$2:$E$2000,INDIRECT("RC[-2]",0))&gt;0,"",INDIRECT("RC[-2]",0))</f>
        <v>0</v>
      </c>
    </row>
    <row r="1707" spans="2:6">
      <c r="B1707" t="str" cm="1">
        <f t="array" aca="1" ref="B1707" ca="1">IFERROR(DATE(RIGHT(INDIRECT("RC[-1]",0),4),LEFT(INDIRECT("RC[-1]",0),2),1), "")</f>
        <v/>
      </c>
      <c r="C1707" s="182"/>
      <c r="F1707" cm="1">
        <f t="array" aca="1" ref="F1707" ca="1">IF(COUNTIF($E$2:$E$2000,INDIRECT("RC[-2]",0))&gt;0,"",INDIRECT("RC[-2]",0))</f>
        <v>0</v>
      </c>
    </row>
    <row r="1708" spans="2:6">
      <c r="B1708" t="str" cm="1">
        <f t="array" aca="1" ref="B1708" ca="1">IFERROR(DATE(RIGHT(INDIRECT("RC[-1]",0),4),LEFT(INDIRECT("RC[-1]",0),2),1), "")</f>
        <v/>
      </c>
      <c r="C1708" s="182"/>
      <c r="F1708" cm="1">
        <f t="array" aca="1" ref="F1708" ca="1">IF(COUNTIF($E$2:$E$2000,INDIRECT("RC[-2]",0))&gt;0,"",INDIRECT("RC[-2]",0))</f>
        <v>0</v>
      </c>
    </row>
    <row r="1709" spans="2:6">
      <c r="B1709" t="str" cm="1">
        <f t="array" aca="1" ref="B1709" ca="1">IFERROR(DATE(RIGHT(INDIRECT("RC[-1]",0),4),LEFT(INDIRECT("RC[-1]",0),2),1), "")</f>
        <v/>
      </c>
      <c r="C1709" s="182"/>
      <c r="F1709" cm="1">
        <f t="array" aca="1" ref="F1709" ca="1">IF(COUNTIF($E$2:$E$2000,INDIRECT("RC[-2]",0))&gt;0,"",INDIRECT("RC[-2]",0))</f>
        <v>0</v>
      </c>
    </row>
    <row r="1710" spans="2:6">
      <c r="B1710" t="str" cm="1">
        <f t="array" aca="1" ref="B1710" ca="1">IFERROR(DATE(RIGHT(INDIRECT("RC[-1]",0),4),LEFT(INDIRECT("RC[-1]",0),2),1), "")</f>
        <v/>
      </c>
      <c r="C1710" s="182"/>
      <c r="F1710" cm="1">
        <f t="array" aca="1" ref="F1710" ca="1">IF(COUNTIF($E$2:$E$2000,INDIRECT("RC[-2]",0))&gt;0,"",INDIRECT("RC[-2]",0))</f>
        <v>0</v>
      </c>
    </row>
    <row r="1711" spans="2:6">
      <c r="B1711" t="str" cm="1">
        <f t="array" aca="1" ref="B1711" ca="1">IFERROR(DATE(RIGHT(INDIRECT("RC[-1]",0),4),LEFT(INDIRECT("RC[-1]",0),2),1), "")</f>
        <v/>
      </c>
      <c r="C1711" s="182"/>
      <c r="F1711" cm="1">
        <f t="array" aca="1" ref="F1711" ca="1">IF(COUNTIF($E$2:$E$2000,INDIRECT("RC[-2]",0))&gt;0,"",INDIRECT("RC[-2]",0))</f>
        <v>0</v>
      </c>
    </row>
    <row r="1712" spans="2:6">
      <c r="B1712" t="str" cm="1">
        <f t="array" aca="1" ref="B1712" ca="1">IFERROR(DATE(RIGHT(INDIRECT("RC[-1]",0),4),LEFT(INDIRECT("RC[-1]",0),2),1), "")</f>
        <v/>
      </c>
      <c r="C1712" s="182"/>
      <c r="F1712" cm="1">
        <f t="array" aca="1" ref="F1712" ca="1">IF(COUNTIF($E$2:$E$2000,INDIRECT("RC[-2]",0))&gt;0,"",INDIRECT("RC[-2]",0))</f>
        <v>0</v>
      </c>
    </row>
    <row r="1713" spans="2:6">
      <c r="B1713" t="str" cm="1">
        <f t="array" aca="1" ref="B1713" ca="1">IFERROR(DATE(RIGHT(INDIRECT("RC[-1]",0),4),LEFT(INDIRECT("RC[-1]",0),2),1), "")</f>
        <v/>
      </c>
      <c r="C1713" s="182"/>
      <c r="F1713" cm="1">
        <f t="array" aca="1" ref="F1713" ca="1">IF(COUNTIF($E$2:$E$2000,INDIRECT("RC[-2]",0))&gt;0,"",INDIRECT("RC[-2]",0))</f>
        <v>0</v>
      </c>
    </row>
    <row r="1714" spans="2:6">
      <c r="B1714" t="str" cm="1">
        <f t="array" aca="1" ref="B1714" ca="1">IFERROR(DATE(RIGHT(INDIRECT("RC[-1]",0),4),LEFT(INDIRECT("RC[-1]",0),2),1), "")</f>
        <v/>
      </c>
      <c r="C1714" s="182"/>
      <c r="F1714" cm="1">
        <f t="array" aca="1" ref="F1714" ca="1">IF(COUNTIF($E$2:$E$2000,INDIRECT("RC[-2]",0))&gt;0,"",INDIRECT("RC[-2]",0))</f>
        <v>0</v>
      </c>
    </row>
    <row r="1715" spans="2:6">
      <c r="B1715" t="str" cm="1">
        <f t="array" aca="1" ref="B1715" ca="1">IFERROR(DATE(RIGHT(INDIRECT("RC[-1]",0),4),LEFT(INDIRECT("RC[-1]",0),2),1), "")</f>
        <v/>
      </c>
      <c r="C1715" s="182"/>
      <c r="F1715" cm="1">
        <f t="array" aca="1" ref="F1715" ca="1">IF(COUNTIF($E$2:$E$2000,INDIRECT("RC[-2]",0))&gt;0,"",INDIRECT("RC[-2]",0))</f>
        <v>0</v>
      </c>
    </row>
    <row r="1716" spans="2:6">
      <c r="B1716" t="str" cm="1">
        <f t="array" aca="1" ref="B1716" ca="1">IFERROR(DATE(RIGHT(INDIRECT("RC[-1]",0),4),LEFT(INDIRECT("RC[-1]",0),2),1), "")</f>
        <v/>
      </c>
      <c r="C1716" s="182"/>
      <c r="F1716" cm="1">
        <f t="array" aca="1" ref="F1716" ca="1">IF(COUNTIF($E$2:$E$2000,INDIRECT("RC[-2]",0))&gt;0,"",INDIRECT("RC[-2]",0))</f>
        <v>0</v>
      </c>
    </row>
    <row r="1717" spans="2:6">
      <c r="B1717" t="str" cm="1">
        <f t="array" aca="1" ref="B1717" ca="1">IFERROR(DATE(RIGHT(INDIRECT("RC[-1]",0),4),LEFT(INDIRECT("RC[-1]",0),2),1), "")</f>
        <v/>
      </c>
      <c r="C1717" s="182"/>
      <c r="F1717" cm="1">
        <f t="array" aca="1" ref="F1717" ca="1">IF(COUNTIF($E$2:$E$2000,INDIRECT("RC[-2]",0))&gt;0,"",INDIRECT("RC[-2]",0))</f>
        <v>0</v>
      </c>
    </row>
    <row r="1718" spans="2:6">
      <c r="B1718" t="str" cm="1">
        <f t="array" aca="1" ref="B1718" ca="1">IFERROR(DATE(RIGHT(INDIRECT("RC[-1]",0),4),LEFT(INDIRECT("RC[-1]",0),2),1), "")</f>
        <v/>
      </c>
      <c r="C1718" s="182"/>
      <c r="F1718" cm="1">
        <f t="array" aca="1" ref="F1718" ca="1">IF(COUNTIF($E$2:$E$2000,INDIRECT("RC[-2]",0))&gt;0,"",INDIRECT("RC[-2]",0))</f>
        <v>0</v>
      </c>
    </row>
    <row r="1719" spans="2:6">
      <c r="B1719" t="str" cm="1">
        <f t="array" aca="1" ref="B1719" ca="1">IFERROR(DATE(RIGHT(INDIRECT("RC[-1]",0),4),LEFT(INDIRECT("RC[-1]",0),2),1), "")</f>
        <v/>
      </c>
      <c r="C1719" s="182"/>
      <c r="F1719" cm="1">
        <f t="array" aca="1" ref="F1719" ca="1">IF(COUNTIF($E$2:$E$2000,INDIRECT("RC[-2]",0))&gt;0,"",INDIRECT("RC[-2]",0))</f>
        <v>0</v>
      </c>
    </row>
    <row r="1720" spans="2:6">
      <c r="B1720" t="str" cm="1">
        <f t="array" aca="1" ref="B1720" ca="1">IFERROR(DATE(RIGHT(INDIRECT("RC[-1]",0),4),LEFT(INDIRECT("RC[-1]",0),2),1), "")</f>
        <v/>
      </c>
      <c r="C1720" s="182"/>
      <c r="F1720" cm="1">
        <f t="array" aca="1" ref="F1720" ca="1">IF(COUNTIF($E$2:$E$2000,INDIRECT("RC[-2]",0))&gt;0,"",INDIRECT("RC[-2]",0))</f>
        <v>0</v>
      </c>
    </row>
    <row r="1721" spans="2:6">
      <c r="B1721" t="str" cm="1">
        <f t="array" aca="1" ref="B1721" ca="1">IFERROR(DATE(RIGHT(INDIRECT("RC[-1]",0),4),LEFT(INDIRECT("RC[-1]",0),2),1), "")</f>
        <v/>
      </c>
      <c r="C1721" s="182"/>
      <c r="F1721" cm="1">
        <f t="array" aca="1" ref="F1721" ca="1">IF(COUNTIF($E$2:$E$2000,INDIRECT("RC[-2]",0))&gt;0,"",INDIRECT("RC[-2]",0))</f>
        <v>0</v>
      </c>
    </row>
    <row r="1722" spans="2:6">
      <c r="B1722" t="str" cm="1">
        <f t="array" aca="1" ref="B1722" ca="1">IFERROR(DATE(RIGHT(INDIRECT("RC[-1]",0),4),LEFT(INDIRECT("RC[-1]",0),2),1), "")</f>
        <v/>
      </c>
      <c r="C1722" s="182"/>
      <c r="F1722" cm="1">
        <f t="array" aca="1" ref="F1722" ca="1">IF(COUNTIF($E$2:$E$2000,INDIRECT("RC[-2]",0))&gt;0,"",INDIRECT("RC[-2]",0))</f>
        <v>0</v>
      </c>
    </row>
    <row r="1723" spans="2:6">
      <c r="B1723" t="str" cm="1">
        <f t="array" aca="1" ref="B1723" ca="1">IFERROR(DATE(RIGHT(INDIRECT("RC[-1]",0),4),LEFT(INDIRECT("RC[-1]",0),2),1), "")</f>
        <v/>
      </c>
      <c r="C1723" s="182"/>
      <c r="F1723" cm="1">
        <f t="array" aca="1" ref="F1723" ca="1">IF(COUNTIF($E$2:$E$2000,INDIRECT("RC[-2]",0))&gt;0,"",INDIRECT("RC[-2]",0))</f>
        <v>0</v>
      </c>
    </row>
    <row r="1724" spans="2:6">
      <c r="B1724" t="str" cm="1">
        <f t="array" aca="1" ref="B1724" ca="1">IFERROR(DATE(RIGHT(INDIRECT("RC[-1]",0),4),LEFT(INDIRECT("RC[-1]",0),2),1), "")</f>
        <v/>
      </c>
      <c r="C1724" s="182"/>
      <c r="F1724" cm="1">
        <f t="array" aca="1" ref="F1724" ca="1">IF(COUNTIF($E$2:$E$2000,INDIRECT("RC[-2]",0))&gt;0,"",INDIRECT("RC[-2]",0))</f>
        <v>0</v>
      </c>
    </row>
    <row r="1725" spans="2:6">
      <c r="B1725" t="str" cm="1">
        <f t="array" aca="1" ref="B1725" ca="1">IFERROR(DATE(RIGHT(INDIRECT("RC[-1]",0),4),LEFT(INDIRECT("RC[-1]",0),2),1), "")</f>
        <v/>
      </c>
      <c r="C1725" s="182"/>
      <c r="F1725" cm="1">
        <f t="array" aca="1" ref="F1725" ca="1">IF(COUNTIF($E$2:$E$2000,INDIRECT("RC[-2]",0))&gt;0,"",INDIRECT("RC[-2]",0))</f>
        <v>0</v>
      </c>
    </row>
    <row r="1726" spans="2:6">
      <c r="B1726" t="str" cm="1">
        <f t="array" aca="1" ref="B1726" ca="1">IFERROR(DATE(RIGHT(INDIRECT("RC[-1]",0),4),LEFT(INDIRECT("RC[-1]",0),2),1), "")</f>
        <v/>
      </c>
      <c r="C1726" s="182"/>
      <c r="F1726" cm="1">
        <f t="array" aca="1" ref="F1726" ca="1">IF(COUNTIF($E$2:$E$2000,INDIRECT("RC[-2]",0))&gt;0,"",INDIRECT("RC[-2]",0))</f>
        <v>0</v>
      </c>
    </row>
    <row r="1727" spans="2:6">
      <c r="B1727" t="str" cm="1">
        <f t="array" aca="1" ref="B1727" ca="1">IFERROR(DATE(RIGHT(INDIRECT("RC[-1]",0),4),LEFT(INDIRECT("RC[-1]",0),2),1), "")</f>
        <v/>
      </c>
      <c r="C1727" s="182"/>
      <c r="F1727" cm="1">
        <f t="array" aca="1" ref="F1727" ca="1">IF(COUNTIF($E$2:$E$2000,INDIRECT("RC[-2]",0))&gt;0,"",INDIRECT("RC[-2]",0))</f>
        <v>0</v>
      </c>
    </row>
    <row r="1728" spans="2:6">
      <c r="B1728" t="str" cm="1">
        <f t="array" aca="1" ref="B1728" ca="1">IFERROR(DATE(RIGHT(INDIRECT("RC[-1]",0),4),LEFT(INDIRECT("RC[-1]",0),2),1), "")</f>
        <v/>
      </c>
      <c r="C1728" s="182"/>
      <c r="F1728" cm="1">
        <f t="array" aca="1" ref="F1728" ca="1">IF(COUNTIF($E$2:$E$2000,INDIRECT("RC[-2]",0))&gt;0,"",INDIRECT("RC[-2]",0))</f>
        <v>0</v>
      </c>
    </row>
    <row r="1729" spans="2:6">
      <c r="B1729" t="str" cm="1">
        <f t="array" aca="1" ref="B1729" ca="1">IFERROR(DATE(RIGHT(INDIRECT("RC[-1]",0),4),LEFT(INDIRECT("RC[-1]",0),2),1), "")</f>
        <v/>
      </c>
      <c r="C1729" s="182"/>
      <c r="F1729" cm="1">
        <f t="array" aca="1" ref="F1729" ca="1">IF(COUNTIF($E$2:$E$2000,INDIRECT("RC[-2]",0))&gt;0,"",INDIRECT("RC[-2]",0))</f>
        <v>0</v>
      </c>
    </row>
    <row r="1730" spans="2:6">
      <c r="B1730" t="str" cm="1">
        <f t="array" aca="1" ref="B1730" ca="1">IFERROR(DATE(RIGHT(INDIRECT("RC[-1]",0),4),LEFT(INDIRECT("RC[-1]",0),2),1), "")</f>
        <v/>
      </c>
      <c r="C1730" s="182"/>
      <c r="F1730" cm="1">
        <f t="array" aca="1" ref="F1730" ca="1">IF(COUNTIF($E$2:$E$2000,INDIRECT("RC[-2]",0))&gt;0,"",INDIRECT("RC[-2]",0))</f>
        <v>0</v>
      </c>
    </row>
    <row r="1731" spans="2:6">
      <c r="B1731" t="str" cm="1">
        <f t="array" aca="1" ref="B1731" ca="1">IFERROR(DATE(RIGHT(INDIRECT("RC[-1]",0),4),LEFT(INDIRECT("RC[-1]",0),2),1), "")</f>
        <v/>
      </c>
      <c r="C1731" s="182"/>
      <c r="F1731" cm="1">
        <f t="array" aca="1" ref="F1731" ca="1">IF(COUNTIF($E$2:$E$2000,INDIRECT("RC[-2]",0))&gt;0,"",INDIRECT("RC[-2]",0))</f>
        <v>0</v>
      </c>
    </row>
    <row r="1732" spans="2:6">
      <c r="B1732" t="str" cm="1">
        <f t="array" aca="1" ref="B1732" ca="1">IFERROR(DATE(RIGHT(INDIRECT("RC[-1]",0),4),LEFT(INDIRECT("RC[-1]",0),2),1), "")</f>
        <v/>
      </c>
      <c r="C1732" s="182"/>
      <c r="F1732" cm="1">
        <f t="array" aca="1" ref="F1732" ca="1">IF(COUNTIF($E$2:$E$2000,INDIRECT("RC[-2]",0))&gt;0,"",INDIRECT("RC[-2]",0))</f>
        <v>0</v>
      </c>
    </row>
    <row r="1733" spans="2:6">
      <c r="B1733" t="str" cm="1">
        <f t="array" aca="1" ref="B1733" ca="1">IFERROR(DATE(RIGHT(INDIRECT("RC[-1]",0),4),LEFT(INDIRECT("RC[-1]",0),2),1), "")</f>
        <v/>
      </c>
      <c r="C1733" s="182"/>
      <c r="F1733" cm="1">
        <f t="array" aca="1" ref="F1733" ca="1">IF(COUNTIF($E$2:$E$2000,INDIRECT("RC[-2]",0))&gt;0,"",INDIRECT("RC[-2]",0))</f>
        <v>0</v>
      </c>
    </row>
    <row r="1734" spans="2:6">
      <c r="B1734" t="str" cm="1">
        <f t="array" aca="1" ref="B1734" ca="1">IFERROR(DATE(RIGHT(INDIRECT("RC[-1]",0),4),LEFT(INDIRECT("RC[-1]",0),2),1), "")</f>
        <v/>
      </c>
      <c r="C1734" s="182"/>
      <c r="F1734" cm="1">
        <f t="array" aca="1" ref="F1734" ca="1">IF(COUNTIF($E$2:$E$2000,INDIRECT("RC[-2]",0))&gt;0,"",INDIRECT("RC[-2]",0))</f>
        <v>0</v>
      </c>
    </row>
    <row r="1735" spans="2:6">
      <c r="B1735" t="str" cm="1">
        <f t="array" aca="1" ref="B1735" ca="1">IFERROR(DATE(RIGHT(INDIRECT("RC[-1]",0),4),LEFT(INDIRECT("RC[-1]",0),2),1), "")</f>
        <v/>
      </c>
      <c r="C1735" s="182"/>
      <c r="F1735" cm="1">
        <f t="array" aca="1" ref="F1735" ca="1">IF(COUNTIF($E$2:$E$2000,INDIRECT("RC[-2]",0))&gt;0,"",INDIRECT("RC[-2]",0))</f>
        <v>0</v>
      </c>
    </row>
    <row r="1736" spans="2:6">
      <c r="B1736" t="str" cm="1">
        <f t="array" aca="1" ref="B1736" ca="1">IFERROR(DATE(RIGHT(INDIRECT("RC[-1]",0),4),LEFT(INDIRECT("RC[-1]",0),2),1), "")</f>
        <v/>
      </c>
      <c r="C1736" s="182"/>
      <c r="F1736" cm="1">
        <f t="array" aca="1" ref="F1736" ca="1">IF(COUNTIF($E$2:$E$2000,INDIRECT("RC[-2]",0))&gt;0,"",INDIRECT("RC[-2]",0))</f>
        <v>0</v>
      </c>
    </row>
    <row r="1737" spans="2:6">
      <c r="B1737" t="str" cm="1">
        <f t="array" aca="1" ref="B1737" ca="1">IFERROR(DATE(RIGHT(INDIRECT("RC[-1]",0),4),LEFT(INDIRECT("RC[-1]",0),2),1), "")</f>
        <v/>
      </c>
      <c r="C1737" s="182"/>
      <c r="F1737" cm="1">
        <f t="array" aca="1" ref="F1737" ca="1">IF(COUNTIF($E$2:$E$2000,INDIRECT("RC[-2]",0))&gt;0,"",INDIRECT("RC[-2]",0))</f>
        <v>0</v>
      </c>
    </row>
    <row r="1738" spans="2:6">
      <c r="B1738" t="str" cm="1">
        <f t="array" aca="1" ref="B1738" ca="1">IFERROR(DATE(RIGHT(INDIRECT("RC[-1]",0),4),LEFT(INDIRECT("RC[-1]",0),2),1), "")</f>
        <v/>
      </c>
      <c r="C1738" s="182"/>
      <c r="F1738" cm="1">
        <f t="array" aca="1" ref="F1738" ca="1">IF(COUNTIF($E$2:$E$2000,INDIRECT("RC[-2]",0))&gt;0,"",INDIRECT("RC[-2]",0))</f>
        <v>0</v>
      </c>
    </row>
    <row r="1739" spans="2:6">
      <c r="B1739" t="str" cm="1">
        <f t="array" aca="1" ref="B1739" ca="1">IFERROR(DATE(RIGHT(INDIRECT("RC[-1]",0),4),LEFT(INDIRECT("RC[-1]",0),2),1), "")</f>
        <v/>
      </c>
      <c r="C1739" s="182"/>
      <c r="F1739" cm="1">
        <f t="array" aca="1" ref="F1739" ca="1">IF(COUNTIF($E$2:$E$2000,INDIRECT("RC[-2]",0))&gt;0,"",INDIRECT("RC[-2]",0))</f>
        <v>0</v>
      </c>
    </row>
    <row r="1740" spans="2:6">
      <c r="B1740" t="str" cm="1">
        <f t="array" aca="1" ref="B1740" ca="1">IFERROR(DATE(RIGHT(INDIRECT("RC[-1]",0),4),LEFT(INDIRECT("RC[-1]",0),2),1), "")</f>
        <v/>
      </c>
      <c r="C1740" s="182"/>
      <c r="F1740" cm="1">
        <f t="array" aca="1" ref="F1740" ca="1">IF(COUNTIF($E$2:$E$2000,INDIRECT("RC[-2]",0))&gt;0,"",INDIRECT("RC[-2]",0))</f>
        <v>0</v>
      </c>
    </row>
    <row r="1741" spans="2:6">
      <c r="B1741" t="str" cm="1">
        <f t="array" aca="1" ref="B1741" ca="1">IFERROR(DATE(RIGHT(INDIRECT("RC[-1]",0),4),LEFT(INDIRECT("RC[-1]",0),2),1), "")</f>
        <v/>
      </c>
      <c r="C1741" s="182"/>
      <c r="F1741" cm="1">
        <f t="array" aca="1" ref="F1741" ca="1">IF(COUNTIF($E$2:$E$2000,INDIRECT("RC[-2]",0))&gt;0,"",INDIRECT("RC[-2]",0))</f>
        <v>0</v>
      </c>
    </row>
    <row r="1742" spans="2:6">
      <c r="B1742" t="str" cm="1">
        <f t="array" aca="1" ref="B1742" ca="1">IFERROR(DATE(RIGHT(INDIRECT("RC[-1]",0),4),LEFT(INDIRECT("RC[-1]",0),2),1), "")</f>
        <v/>
      </c>
      <c r="C1742" s="182"/>
      <c r="F1742" cm="1">
        <f t="array" aca="1" ref="F1742" ca="1">IF(COUNTIF($E$2:$E$2000,INDIRECT("RC[-2]",0))&gt;0,"",INDIRECT("RC[-2]",0))</f>
        <v>0</v>
      </c>
    </row>
    <row r="1743" spans="2:6">
      <c r="B1743" t="str" cm="1">
        <f t="array" aca="1" ref="B1743" ca="1">IFERROR(DATE(RIGHT(INDIRECT("RC[-1]",0),4),LEFT(INDIRECT("RC[-1]",0),2),1), "")</f>
        <v/>
      </c>
      <c r="C1743" s="182"/>
      <c r="F1743" cm="1">
        <f t="array" aca="1" ref="F1743" ca="1">IF(COUNTIF($E$2:$E$2000,INDIRECT("RC[-2]",0))&gt;0,"",INDIRECT("RC[-2]",0))</f>
        <v>0</v>
      </c>
    </row>
    <row r="1744" spans="2:6">
      <c r="B1744" t="str" cm="1">
        <f t="array" aca="1" ref="B1744" ca="1">IFERROR(DATE(RIGHT(INDIRECT("RC[-1]",0),4),LEFT(INDIRECT("RC[-1]",0),2),1), "")</f>
        <v/>
      </c>
      <c r="C1744" s="182"/>
      <c r="F1744" cm="1">
        <f t="array" aca="1" ref="F1744" ca="1">IF(COUNTIF($E$2:$E$2000,INDIRECT("RC[-2]",0))&gt;0,"",INDIRECT("RC[-2]",0))</f>
        <v>0</v>
      </c>
    </row>
    <row r="1745" spans="2:6">
      <c r="B1745" t="str" cm="1">
        <f t="array" aca="1" ref="B1745" ca="1">IFERROR(DATE(RIGHT(INDIRECT("RC[-1]",0),4),LEFT(INDIRECT("RC[-1]",0),2),1), "")</f>
        <v/>
      </c>
      <c r="C1745" s="182"/>
      <c r="F1745" cm="1">
        <f t="array" aca="1" ref="F1745" ca="1">IF(COUNTIF($E$2:$E$2000,INDIRECT("RC[-2]",0))&gt;0,"",INDIRECT("RC[-2]",0))</f>
        <v>0</v>
      </c>
    </row>
    <row r="1746" spans="2:6">
      <c r="B1746" t="str" cm="1">
        <f t="array" aca="1" ref="B1746" ca="1">IFERROR(DATE(RIGHT(INDIRECT("RC[-1]",0),4),LEFT(INDIRECT("RC[-1]",0),2),1), "")</f>
        <v/>
      </c>
      <c r="C1746" s="182"/>
      <c r="F1746" cm="1">
        <f t="array" aca="1" ref="F1746" ca="1">IF(COUNTIF($E$2:$E$2000,INDIRECT("RC[-2]",0))&gt;0,"",INDIRECT("RC[-2]",0))</f>
        <v>0</v>
      </c>
    </row>
    <row r="1747" spans="2:6">
      <c r="B1747" t="str" cm="1">
        <f t="array" aca="1" ref="B1747" ca="1">IFERROR(DATE(RIGHT(INDIRECT("RC[-1]",0),4),LEFT(INDIRECT("RC[-1]",0),2),1), "")</f>
        <v/>
      </c>
      <c r="C1747" s="182"/>
      <c r="F1747" cm="1">
        <f t="array" aca="1" ref="F1747" ca="1">IF(COUNTIF($E$2:$E$2000,INDIRECT("RC[-2]",0))&gt;0,"",INDIRECT("RC[-2]",0))</f>
        <v>0</v>
      </c>
    </row>
    <row r="1748" spans="2:6">
      <c r="B1748" t="str" cm="1">
        <f t="array" aca="1" ref="B1748" ca="1">IFERROR(DATE(RIGHT(INDIRECT("RC[-1]",0),4),LEFT(INDIRECT("RC[-1]",0),2),1), "")</f>
        <v/>
      </c>
      <c r="C1748" s="182"/>
      <c r="F1748" cm="1">
        <f t="array" aca="1" ref="F1748" ca="1">IF(COUNTIF($E$2:$E$2000,INDIRECT("RC[-2]",0))&gt;0,"",INDIRECT("RC[-2]",0))</f>
        <v>0</v>
      </c>
    </row>
    <row r="1749" spans="2:6">
      <c r="B1749" t="str" cm="1">
        <f t="array" aca="1" ref="B1749" ca="1">IFERROR(DATE(RIGHT(INDIRECT("RC[-1]",0),4),LEFT(INDIRECT("RC[-1]",0),2),1), "")</f>
        <v/>
      </c>
      <c r="C1749" s="182"/>
      <c r="F1749" cm="1">
        <f t="array" aca="1" ref="F1749" ca="1">IF(COUNTIF($E$2:$E$2000,INDIRECT("RC[-2]",0))&gt;0,"",INDIRECT("RC[-2]",0))</f>
        <v>0</v>
      </c>
    </row>
    <row r="1750" spans="2:6">
      <c r="B1750" t="str" cm="1">
        <f t="array" aca="1" ref="B1750" ca="1">IFERROR(DATE(RIGHT(INDIRECT("RC[-1]",0),4),LEFT(INDIRECT("RC[-1]",0),2),1), "")</f>
        <v/>
      </c>
      <c r="C1750" s="182"/>
      <c r="F1750" cm="1">
        <f t="array" aca="1" ref="F1750" ca="1">IF(COUNTIF($E$2:$E$2000,INDIRECT("RC[-2]",0))&gt;0,"",INDIRECT("RC[-2]",0))</f>
        <v>0</v>
      </c>
    </row>
    <row r="1751" spans="2:6">
      <c r="B1751" t="str" cm="1">
        <f t="array" aca="1" ref="B1751" ca="1">IFERROR(DATE(RIGHT(INDIRECT("RC[-1]",0),4),LEFT(INDIRECT("RC[-1]",0),2),1), "")</f>
        <v/>
      </c>
      <c r="C1751" s="182"/>
      <c r="F1751" cm="1">
        <f t="array" aca="1" ref="F1751" ca="1">IF(COUNTIF($E$2:$E$2000,INDIRECT("RC[-2]",0))&gt;0,"",INDIRECT("RC[-2]",0))</f>
        <v>0</v>
      </c>
    </row>
    <row r="1752" spans="2:6">
      <c r="B1752" t="str" cm="1">
        <f t="array" aca="1" ref="B1752" ca="1">IFERROR(DATE(RIGHT(INDIRECT("RC[-1]",0),4),LEFT(INDIRECT("RC[-1]",0),2),1), "")</f>
        <v/>
      </c>
      <c r="C1752" s="182"/>
      <c r="F1752" cm="1">
        <f t="array" aca="1" ref="F1752" ca="1">IF(COUNTIF($E$2:$E$2000,INDIRECT("RC[-2]",0))&gt;0,"",INDIRECT("RC[-2]",0))</f>
        <v>0</v>
      </c>
    </row>
    <row r="1753" spans="2:6">
      <c r="B1753" t="str" cm="1">
        <f t="array" aca="1" ref="B1753" ca="1">IFERROR(DATE(RIGHT(INDIRECT("RC[-1]",0),4),LEFT(INDIRECT("RC[-1]",0),2),1), "")</f>
        <v/>
      </c>
      <c r="C1753" s="182"/>
      <c r="F1753" cm="1">
        <f t="array" aca="1" ref="F1753" ca="1">IF(COUNTIF($E$2:$E$2000,INDIRECT("RC[-2]",0))&gt;0,"",INDIRECT("RC[-2]",0))</f>
        <v>0</v>
      </c>
    </row>
    <row r="1754" spans="2:6">
      <c r="B1754" t="str" cm="1">
        <f t="array" aca="1" ref="B1754" ca="1">IFERROR(DATE(RIGHT(INDIRECT("RC[-1]",0),4),LEFT(INDIRECT("RC[-1]",0),2),1), "")</f>
        <v/>
      </c>
      <c r="C1754" s="182"/>
      <c r="F1754" cm="1">
        <f t="array" aca="1" ref="F1754" ca="1">IF(COUNTIF($E$2:$E$2000,INDIRECT("RC[-2]",0))&gt;0,"",INDIRECT("RC[-2]",0))</f>
        <v>0</v>
      </c>
    </row>
    <row r="1755" spans="2:6">
      <c r="B1755" t="str" cm="1">
        <f t="array" aca="1" ref="B1755" ca="1">IFERROR(DATE(RIGHT(INDIRECT("RC[-1]",0),4),LEFT(INDIRECT("RC[-1]",0),2),1), "")</f>
        <v/>
      </c>
      <c r="C1755" s="182"/>
      <c r="F1755" cm="1">
        <f t="array" aca="1" ref="F1755" ca="1">IF(COUNTIF($E$2:$E$2000,INDIRECT("RC[-2]",0))&gt;0,"",INDIRECT("RC[-2]",0))</f>
        <v>0</v>
      </c>
    </row>
    <row r="1756" spans="2:6">
      <c r="B1756" t="str" cm="1">
        <f t="array" aca="1" ref="B1756" ca="1">IFERROR(DATE(RIGHT(INDIRECT("RC[-1]",0),4),LEFT(INDIRECT("RC[-1]",0),2),1), "")</f>
        <v/>
      </c>
      <c r="C1756" s="182"/>
      <c r="F1756" cm="1">
        <f t="array" aca="1" ref="F1756" ca="1">IF(COUNTIF($E$2:$E$2000,INDIRECT("RC[-2]",0))&gt;0,"",INDIRECT("RC[-2]",0))</f>
        <v>0</v>
      </c>
    </row>
    <row r="1757" spans="2:6">
      <c r="B1757" t="str" cm="1">
        <f t="array" aca="1" ref="B1757" ca="1">IFERROR(DATE(RIGHT(INDIRECT("RC[-1]",0),4),LEFT(INDIRECT("RC[-1]",0),2),1), "")</f>
        <v/>
      </c>
      <c r="C1757" s="182"/>
      <c r="F1757" cm="1">
        <f t="array" aca="1" ref="F1757" ca="1">IF(COUNTIF($E$2:$E$2000,INDIRECT("RC[-2]",0))&gt;0,"",INDIRECT("RC[-2]",0))</f>
        <v>0</v>
      </c>
    </row>
    <row r="1758" spans="2:6">
      <c r="B1758" t="str" cm="1">
        <f t="array" aca="1" ref="B1758" ca="1">IFERROR(DATE(RIGHT(INDIRECT("RC[-1]",0),4),LEFT(INDIRECT("RC[-1]",0),2),1), "")</f>
        <v/>
      </c>
      <c r="C1758" s="182"/>
      <c r="F1758" cm="1">
        <f t="array" aca="1" ref="F1758" ca="1">IF(COUNTIF($E$2:$E$2000,INDIRECT("RC[-2]",0))&gt;0,"",INDIRECT("RC[-2]",0))</f>
        <v>0</v>
      </c>
    </row>
    <row r="1759" spans="2:6">
      <c r="B1759" t="str" cm="1">
        <f t="array" aca="1" ref="B1759" ca="1">IFERROR(DATE(RIGHT(INDIRECT("RC[-1]",0),4),LEFT(INDIRECT("RC[-1]",0),2),1), "")</f>
        <v/>
      </c>
      <c r="C1759" s="182"/>
      <c r="F1759" cm="1">
        <f t="array" aca="1" ref="F1759" ca="1">IF(COUNTIF($E$2:$E$2000,INDIRECT("RC[-2]",0))&gt;0,"",INDIRECT("RC[-2]",0))</f>
        <v>0</v>
      </c>
    </row>
    <row r="1760" spans="2:6">
      <c r="B1760" t="str" cm="1">
        <f t="array" aca="1" ref="B1760" ca="1">IFERROR(DATE(RIGHT(INDIRECT("RC[-1]",0),4),LEFT(INDIRECT("RC[-1]",0),2),1), "")</f>
        <v/>
      </c>
      <c r="C1760" s="182"/>
      <c r="F1760" cm="1">
        <f t="array" aca="1" ref="F1760" ca="1">IF(COUNTIF($E$2:$E$2000,INDIRECT("RC[-2]",0))&gt;0,"",INDIRECT("RC[-2]",0))</f>
        <v>0</v>
      </c>
    </row>
    <row r="1761" spans="2:6">
      <c r="B1761" t="str" cm="1">
        <f t="array" aca="1" ref="B1761" ca="1">IFERROR(DATE(RIGHT(INDIRECT("RC[-1]",0),4),LEFT(INDIRECT("RC[-1]",0),2),1), "")</f>
        <v/>
      </c>
      <c r="C1761" s="182"/>
      <c r="F1761" cm="1">
        <f t="array" aca="1" ref="F1761" ca="1">IF(COUNTIF($E$2:$E$2000,INDIRECT("RC[-2]",0))&gt;0,"",INDIRECT("RC[-2]",0))</f>
        <v>0</v>
      </c>
    </row>
    <row r="1762" spans="2:6">
      <c r="B1762" t="str" cm="1">
        <f t="array" aca="1" ref="B1762" ca="1">IFERROR(DATE(RIGHT(INDIRECT("RC[-1]",0),4),LEFT(INDIRECT("RC[-1]",0),2),1), "")</f>
        <v/>
      </c>
      <c r="C1762" s="182"/>
      <c r="F1762" cm="1">
        <f t="array" aca="1" ref="F1762" ca="1">IF(COUNTIF($E$2:$E$2000,INDIRECT("RC[-2]",0))&gt;0,"",INDIRECT("RC[-2]",0))</f>
        <v>0</v>
      </c>
    </row>
    <row r="1763" spans="2:6">
      <c r="B1763" t="str" cm="1">
        <f t="array" aca="1" ref="B1763" ca="1">IFERROR(DATE(RIGHT(INDIRECT("RC[-1]",0),4),LEFT(INDIRECT("RC[-1]",0),2),1), "")</f>
        <v/>
      </c>
      <c r="C1763" s="182"/>
      <c r="F1763" cm="1">
        <f t="array" aca="1" ref="F1763" ca="1">IF(COUNTIF($E$2:$E$2000,INDIRECT("RC[-2]",0))&gt;0,"",INDIRECT("RC[-2]",0))</f>
        <v>0</v>
      </c>
    </row>
    <row r="1764" spans="2:6">
      <c r="B1764" t="str" cm="1">
        <f t="array" aca="1" ref="B1764" ca="1">IFERROR(DATE(RIGHT(INDIRECT("RC[-1]",0),4),LEFT(INDIRECT("RC[-1]",0),2),1), "")</f>
        <v/>
      </c>
      <c r="C1764" s="182"/>
      <c r="F1764" cm="1">
        <f t="array" aca="1" ref="F1764" ca="1">IF(COUNTIF($E$2:$E$2000,INDIRECT("RC[-2]",0))&gt;0,"",INDIRECT("RC[-2]",0))</f>
        <v>0</v>
      </c>
    </row>
    <row r="1765" spans="2:6">
      <c r="B1765" t="str" cm="1">
        <f t="array" aca="1" ref="B1765" ca="1">IFERROR(DATE(RIGHT(INDIRECT("RC[-1]",0),4),LEFT(INDIRECT("RC[-1]",0),2),1), "")</f>
        <v/>
      </c>
      <c r="C1765" s="182"/>
      <c r="F1765" cm="1">
        <f t="array" aca="1" ref="F1765" ca="1">IF(COUNTIF($E$2:$E$2000,INDIRECT("RC[-2]",0))&gt;0,"",INDIRECT("RC[-2]",0))</f>
        <v>0</v>
      </c>
    </row>
    <row r="1766" spans="2:6">
      <c r="B1766" t="str" cm="1">
        <f t="array" aca="1" ref="B1766" ca="1">IFERROR(DATE(RIGHT(INDIRECT("RC[-1]",0),4),LEFT(INDIRECT("RC[-1]",0),2),1), "")</f>
        <v/>
      </c>
      <c r="C1766" s="182"/>
      <c r="F1766" cm="1">
        <f t="array" aca="1" ref="F1766" ca="1">IF(COUNTIF($E$2:$E$2000,INDIRECT("RC[-2]",0))&gt;0,"",INDIRECT("RC[-2]",0))</f>
        <v>0</v>
      </c>
    </row>
    <row r="1767" spans="2:6">
      <c r="B1767" t="str" cm="1">
        <f t="array" aca="1" ref="B1767" ca="1">IFERROR(DATE(RIGHT(INDIRECT("RC[-1]",0),4),LEFT(INDIRECT("RC[-1]",0),2),1), "")</f>
        <v/>
      </c>
      <c r="C1767" s="182"/>
      <c r="F1767" cm="1">
        <f t="array" aca="1" ref="F1767" ca="1">IF(COUNTIF($E$2:$E$2000,INDIRECT("RC[-2]",0))&gt;0,"",INDIRECT("RC[-2]",0))</f>
        <v>0</v>
      </c>
    </row>
    <row r="1768" spans="2:6">
      <c r="B1768" t="str" cm="1">
        <f t="array" aca="1" ref="B1768" ca="1">IFERROR(DATE(RIGHT(INDIRECT("RC[-1]",0),4),LEFT(INDIRECT("RC[-1]",0),2),1), "")</f>
        <v/>
      </c>
      <c r="C1768" s="182"/>
      <c r="F1768" cm="1">
        <f t="array" aca="1" ref="F1768" ca="1">IF(COUNTIF($E$2:$E$2000,INDIRECT("RC[-2]",0))&gt;0,"",INDIRECT("RC[-2]",0))</f>
        <v>0</v>
      </c>
    </row>
    <row r="1769" spans="2:6">
      <c r="B1769" t="str" cm="1">
        <f t="array" aca="1" ref="B1769" ca="1">IFERROR(DATE(RIGHT(INDIRECT("RC[-1]",0),4),LEFT(INDIRECT("RC[-1]",0),2),1), "")</f>
        <v/>
      </c>
      <c r="C1769" s="182"/>
      <c r="F1769" cm="1">
        <f t="array" aca="1" ref="F1769" ca="1">IF(COUNTIF($E$2:$E$2000,INDIRECT("RC[-2]",0))&gt;0,"",INDIRECT("RC[-2]",0))</f>
        <v>0</v>
      </c>
    </row>
    <row r="1770" spans="2:6">
      <c r="B1770" t="str" cm="1">
        <f t="array" aca="1" ref="B1770" ca="1">IFERROR(DATE(RIGHT(INDIRECT("RC[-1]",0),4),LEFT(INDIRECT("RC[-1]",0),2),1), "")</f>
        <v/>
      </c>
      <c r="C1770" s="182"/>
      <c r="F1770" cm="1">
        <f t="array" aca="1" ref="F1770" ca="1">IF(COUNTIF($E$2:$E$2000,INDIRECT("RC[-2]",0))&gt;0,"",INDIRECT("RC[-2]",0))</f>
        <v>0</v>
      </c>
    </row>
    <row r="1771" spans="2:6">
      <c r="B1771" t="str" cm="1">
        <f t="array" aca="1" ref="B1771" ca="1">IFERROR(DATE(RIGHT(INDIRECT("RC[-1]",0),4),LEFT(INDIRECT("RC[-1]",0),2),1), "")</f>
        <v/>
      </c>
      <c r="C1771" s="182"/>
      <c r="F1771" cm="1">
        <f t="array" aca="1" ref="F1771" ca="1">IF(COUNTIF($E$2:$E$2000,INDIRECT("RC[-2]",0))&gt;0,"",INDIRECT("RC[-2]",0))</f>
        <v>0</v>
      </c>
    </row>
    <row r="1772" spans="2:6">
      <c r="B1772" t="str" cm="1">
        <f t="array" aca="1" ref="B1772" ca="1">IFERROR(DATE(RIGHT(INDIRECT("RC[-1]",0),4),LEFT(INDIRECT("RC[-1]",0),2),1), "")</f>
        <v/>
      </c>
      <c r="C1772" s="182"/>
      <c r="F1772" cm="1">
        <f t="array" aca="1" ref="F1772" ca="1">IF(COUNTIF($E$2:$E$2000,INDIRECT("RC[-2]",0))&gt;0,"",INDIRECT("RC[-2]",0))</f>
        <v>0</v>
      </c>
    </row>
    <row r="1773" spans="2:6">
      <c r="B1773" t="str" cm="1">
        <f t="array" aca="1" ref="B1773" ca="1">IFERROR(DATE(RIGHT(INDIRECT("RC[-1]",0),4),LEFT(INDIRECT("RC[-1]",0),2),1), "")</f>
        <v/>
      </c>
      <c r="C1773" s="182"/>
      <c r="F1773" cm="1">
        <f t="array" aca="1" ref="F1773" ca="1">IF(COUNTIF($E$2:$E$2000,INDIRECT("RC[-2]",0))&gt;0,"",INDIRECT("RC[-2]",0))</f>
        <v>0</v>
      </c>
    </row>
    <row r="1774" spans="2:6">
      <c r="B1774" t="str" cm="1">
        <f t="array" aca="1" ref="B1774" ca="1">IFERROR(DATE(RIGHT(INDIRECT("RC[-1]",0),4),LEFT(INDIRECT("RC[-1]",0),2),1), "")</f>
        <v/>
      </c>
      <c r="C1774" s="182"/>
      <c r="F1774" cm="1">
        <f t="array" aca="1" ref="F1774" ca="1">IF(COUNTIF($E$2:$E$2000,INDIRECT("RC[-2]",0))&gt;0,"",INDIRECT("RC[-2]",0))</f>
        <v>0</v>
      </c>
    </row>
    <row r="1775" spans="2:6">
      <c r="B1775" t="str" cm="1">
        <f t="array" aca="1" ref="B1775" ca="1">IFERROR(DATE(RIGHT(INDIRECT("RC[-1]",0),4),LEFT(INDIRECT("RC[-1]",0),2),1), "")</f>
        <v/>
      </c>
      <c r="C1775" s="182"/>
      <c r="F1775" cm="1">
        <f t="array" aca="1" ref="F1775" ca="1">IF(COUNTIF($E$2:$E$2000,INDIRECT("RC[-2]",0))&gt;0,"",INDIRECT("RC[-2]",0))</f>
        <v>0</v>
      </c>
    </row>
    <row r="1776" spans="2:6">
      <c r="B1776" t="str" cm="1">
        <f t="array" aca="1" ref="B1776" ca="1">IFERROR(DATE(RIGHT(INDIRECT("RC[-1]",0),4),LEFT(INDIRECT("RC[-1]",0),2),1), "")</f>
        <v/>
      </c>
      <c r="C1776" s="182"/>
      <c r="F1776" cm="1">
        <f t="array" aca="1" ref="F1776" ca="1">IF(COUNTIF($E$2:$E$2000,INDIRECT("RC[-2]",0))&gt;0,"",INDIRECT("RC[-2]",0))</f>
        <v>0</v>
      </c>
    </row>
    <row r="1777" spans="2:6">
      <c r="B1777" t="str" cm="1">
        <f t="array" aca="1" ref="B1777" ca="1">IFERROR(DATE(RIGHT(INDIRECT("RC[-1]",0),4),LEFT(INDIRECT("RC[-1]",0),2),1), "")</f>
        <v/>
      </c>
      <c r="C1777" s="182"/>
      <c r="F1777" cm="1">
        <f t="array" aca="1" ref="F1777" ca="1">IF(COUNTIF($E$2:$E$2000,INDIRECT("RC[-2]",0))&gt;0,"",INDIRECT("RC[-2]",0))</f>
        <v>0</v>
      </c>
    </row>
    <row r="1778" spans="2:6">
      <c r="B1778" t="str" cm="1">
        <f t="array" aca="1" ref="B1778" ca="1">IFERROR(DATE(RIGHT(INDIRECT("RC[-1]",0),4),LEFT(INDIRECT("RC[-1]",0),2),1), "")</f>
        <v/>
      </c>
      <c r="C1778" s="182"/>
      <c r="F1778" cm="1">
        <f t="array" aca="1" ref="F1778" ca="1">IF(COUNTIF($E$2:$E$2000,INDIRECT("RC[-2]",0))&gt;0,"",INDIRECT("RC[-2]",0))</f>
        <v>0</v>
      </c>
    </row>
    <row r="1779" spans="2:6">
      <c r="B1779" t="str" cm="1">
        <f t="array" aca="1" ref="B1779" ca="1">IFERROR(DATE(RIGHT(INDIRECT("RC[-1]",0),4),LEFT(INDIRECT("RC[-1]",0),2),1), "")</f>
        <v/>
      </c>
      <c r="C1779" s="182"/>
      <c r="F1779" cm="1">
        <f t="array" aca="1" ref="F1779" ca="1">IF(COUNTIF($E$2:$E$2000,INDIRECT("RC[-2]",0))&gt;0,"",INDIRECT("RC[-2]",0))</f>
        <v>0</v>
      </c>
    </row>
    <row r="1780" spans="2:6">
      <c r="B1780" t="str" cm="1">
        <f t="array" aca="1" ref="B1780" ca="1">IFERROR(DATE(RIGHT(INDIRECT("RC[-1]",0),4),LEFT(INDIRECT("RC[-1]",0),2),1), "")</f>
        <v/>
      </c>
      <c r="C1780" s="182"/>
      <c r="F1780" cm="1">
        <f t="array" aca="1" ref="F1780" ca="1">IF(COUNTIF($E$2:$E$2000,INDIRECT("RC[-2]",0))&gt;0,"",INDIRECT("RC[-2]",0))</f>
        <v>0</v>
      </c>
    </row>
    <row r="1781" spans="2:6">
      <c r="B1781" t="str" cm="1">
        <f t="array" aca="1" ref="B1781" ca="1">IFERROR(DATE(RIGHT(INDIRECT("RC[-1]",0),4),LEFT(INDIRECT("RC[-1]",0),2),1), "")</f>
        <v/>
      </c>
      <c r="C1781" s="182"/>
      <c r="F1781" cm="1">
        <f t="array" aca="1" ref="F1781" ca="1">IF(COUNTIF($E$2:$E$2000,INDIRECT("RC[-2]",0))&gt;0,"",INDIRECT("RC[-2]",0))</f>
        <v>0</v>
      </c>
    </row>
    <row r="1782" spans="2:6">
      <c r="B1782" t="str" cm="1">
        <f t="array" aca="1" ref="B1782" ca="1">IFERROR(DATE(RIGHT(INDIRECT("RC[-1]",0),4),LEFT(INDIRECT("RC[-1]",0),2),1), "")</f>
        <v/>
      </c>
      <c r="C1782" s="182"/>
      <c r="F1782" cm="1">
        <f t="array" aca="1" ref="F1782" ca="1">IF(COUNTIF($E$2:$E$2000,INDIRECT("RC[-2]",0))&gt;0,"",INDIRECT("RC[-2]",0))</f>
        <v>0</v>
      </c>
    </row>
    <row r="1783" spans="2:6">
      <c r="B1783" t="str" cm="1">
        <f t="array" aca="1" ref="B1783" ca="1">IFERROR(DATE(RIGHT(INDIRECT("RC[-1]",0),4),LEFT(INDIRECT("RC[-1]",0),2),1), "")</f>
        <v/>
      </c>
      <c r="C1783" s="182"/>
      <c r="F1783" cm="1">
        <f t="array" aca="1" ref="F1783" ca="1">IF(COUNTIF($E$2:$E$2000,INDIRECT("RC[-2]",0))&gt;0,"",INDIRECT("RC[-2]",0))</f>
        <v>0</v>
      </c>
    </row>
    <row r="1784" spans="2:6">
      <c r="B1784" t="str" cm="1">
        <f t="array" aca="1" ref="B1784" ca="1">IFERROR(DATE(RIGHT(INDIRECT("RC[-1]",0),4),LEFT(INDIRECT("RC[-1]",0),2),1), "")</f>
        <v/>
      </c>
      <c r="C1784" s="182"/>
      <c r="F1784" cm="1">
        <f t="array" aca="1" ref="F1784" ca="1">IF(COUNTIF($E$2:$E$2000,INDIRECT("RC[-2]",0))&gt;0,"",INDIRECT("RC[-2]",0))</f>
        <v>0</v>
      </c>
    </row>
    <row r="1785" spans="2:6">
      <c r="B1785" t="str" cm="1">
        <f t="array" aca="1" ref="B1785" ca="1">IFERROR(DATE(RIGHT(INDIRECT("RC[-1]",0),4),LEFT(INDIRECT("RC[-1]",0),2),1), "")</f>
        <v/>
      </c>
      <c r="C1785" s="182"/>
      <c r="F1785" cm="1">
        <f t="array" aca="1" ref="F1785" ca="1">IF(COUNTIF($E$2:$E$2000,INDIRECT("RC[-2]",0))&gt;0,"",INDIRECT("RC[-2]",0))</f>
        <v>0</v>
      </c>
    </row>
    <row r="1786" spans="2:6">
      <c r="B1786" t="str" cm="1">
        <f t="array" aca="1" ref="B1786" ca="1">IFERROR(DATE(RIGHT(INDIRECT("RC[-1]",0),4),LEFT(INDIRECT("RC[-1]",0),2),1), "")</f>
        <v/>
      </c>
      <c r="C1786" s="182"/>
      <c r="F1786" cm="1">
        <f t="array" aca="1" ref="F1786" ca="1">IF(COUNTIF($E$2:$E$2000,INDIRECT("RC[-2]",0))&gt;0,"",INDIRECT("RC[-2]",0))</f>
        <v>0</v>
      </c>
    </row>
    <row r="1787" spans="2:6">
      <c r="B1787" t="str" cm="1">
        <f t="array" aca="1" ref="B1787" ca="1">IFERROR(DATE(RIGHT(INDIRECT("RC[-1]",0),4),LEFT(INDIRECT("RC[-1]",0),2),1), "")</f>
        <v/>
      </c>
      <c r="C1787" s="182"/>
      <c r="F1787" cm="1">
        <f t="array" aca="1" ref="F1787" ca="1">IF(COUNTIF($E$2:$E$2000,INDIRECT("RC[-2]",0))&gt;0,"",INDIRECT("RC[-2]",0))</f>
        <v>0</v>
      </c>
    </row>
    <row r="1788" spans="2:6">
      <c r="B1788" t="str" cm="1">
        <f t="array" aca="1" ref="B1788" ca="1">IFERROR(DATE(RIGHT(INDIRECT("RC[-1]",0),4),LEFT(INDIRECT("RC[-1]",0),2),1), "")</f>
        <v/>
      </c>
      <c r="C1788" s="182"/>
      <c r="F1788" cm="1">
        <f t="array" aca="1" ref="F1788" ca="1">IF(COUNTIF($E$2:$E$2000,INDIRECT("RC[-2]",0))&gt;0,"",INDIRECT("RC[-2]",0))</f>
        <v>0</v>
      </c>
    </row>
    <row r="1789" spans="2:6">
      <c r="B1789" t="str" cm="1">
        <f t="array" aca="1" ref="B1789" ca="1">IFERROR(DATE(RIGHT(INDIRECT("RC[-1]",0),4),LEFT(INDIRECT("RC[-1]",0),2),1), "")</f>
        <v/>
      </c>
      <c r="C1789" s="182"/>
      <c r="F1789" cm="1">
        <f t="array" aca="1" ref="F1789" ca="1">IF(COUNTIF($E$2:$E$2000,INDIRECT("RC[-2]",0))&gt;0,"",INDIRECT("RC[-2]",0))</f>
        <v>0</v>
      </c>
    </row>
    <row r="1790" spans="2:6">
      <c r="B1790" t="str" cm="1">
        <f t="array" aca="1" ref="B1790" ca="1">IFERROR(DATE(RIGHT(INDIRECT("RC[-1]",0),4),LEFT(INDIRECT("RC[-1]",0),2),1), "")</f>
        <v/>
      </c>
      <c r="C1790" s="182"/>
      <c r="F1790" cm="1">
        <f t="array" aca="1" ref="F1790" ca="1">IF(COUNTIF($E$2:$E$2000,INDIRECT("RC[-2]",0))&gt;0,"",INDIRECT("RC[-2]",0))</f>
        <v>0</v>
      </c>
    </row>
    <row r="1791" spans="2:6">
      <c r="B1791" t="str" cm="1">
        <f t="array" aca="1" ref="B1791" ca="1">IFERROR(DATE(RIGHT(INDIRECT("RC[-1]",0),4),LEFT(INDIRECT("RC[-1]",0),2),1), "")</f>
        <v/>
      </c>
      <c r="C1791" s="182"/>
      <c r="F1791" cm="1">
        <f t="array" aca="1" ref="F1791" ca="1">IF(COUNTIF($E$2:$E$2000,INDIRECT("RC[-2]",0))&gt;0,"",INDIRECT("RC[-2]",0))</f>
        <v>0</v>
      </c>
    </row>
    <row r="1792" spans="2:6">
      <c r="B1792" t="str" cm="1">
        <f t="array" aca="1" ref="B1792" ca="1">IFERROR(DATE(RIGHT(INDIRECT("RC[-1]",0),4),LEFT(INDIRECT("RC[-1]",0),2),1), "")</f>
        <v/>
      </c>
      <c r="C1792" s="182"/>
      <c r="F1792" cm="1">
        <f t="array" aca="1" ref="F1792" ca="1">IF(COUNTIF($E$2:$E$2000,INDIRECT("RC[-2]",0))&gt;0,"",INDIRECT("RC[-2]",0))</f>
        <v>0</v>
      </c>
    </row>
    <row r="1793" spans="2:6">
      <c r="B1793" t="str" cm="1">
        <f t="array" aca="1" ref="B1793" ca="1">IFERROR(DATE(RIGHT(INDIRECT("RC[-1]",0),4),LEFT(INDIRECT("RC[-1]",0),2),1), "")</f>
        <v/>
      </c>
      <c r="C1793" s="182"/>
      <c r="F1793" cm="1">
        <f t="array" aca="1" ref="F1793" ca="1">IF(COUNTIF($E$2:$E$2000,INDIRECT("RC[-2]",0))&gt;0,"",INDIRECT("RC[-2]",0))</f>
        <v>0</v>
      </c>
    </row>
    <row r="1794" spans="2:6">
      <c r="B1794" t="str" cm="1">
        <f t="array" aca="1" ref="B1794" ca="1">IFERROR(DATE(RIGHT(INDIRECT("RC[-1]",0),4),LEFT(INDIRECT("RC[-1]",0),2),1), "")</f>
        <v/>
      </c>
      <c r="C1794" s="182"/>
      <c r="F1794" cm="1">
        <f t="array" aca="1" ref="F1794" ca="1">IF(COUNTIF($E$2:$E$2000,INDIRECT("RC[-2]",0))&gt;0,"",INDIRECT("RC[-2]",0))</f>
        <v>0</v>
      </c>
    </row>
    <row r="1795" spans="2:6">
      <c r="B1795" t="str" cm="1">
        <f t="array" aca="1" ref="B1795" ca="1">IFERROR(DATE(RIGHT(INDIRECT("RC[-1]",0),4),LEFT(INDIRECT("RC[-1]",0),2),1), "")</f>
        <v/>
      </c>
      <c r="C1795" s="182"/>
      <c r="F1795" cm="1">
        <f t="array" aca="1" ref="F1795" ca="1">IF(COUNTIF($E$2:$E$2000,INDIRECT("RC[-2]",0))&gt;0,"",INDIRECT("RC[-2]",0))</f>
        <v>0</v>
      </c>
    </row>
    <row r="1796" spans="2:6">
      <c r="B1796" t="str" cm="1">
        <f t="array" aca="1" ref="B1796" ca="1">IFERROR(DATE(RIGHT(INDIRECT("RC[-1]",0),4),LEFT(INDIRECT("RC[-1]",0),2),1), "")</f>
        <v/>
      </c>
      <c r="C1796" s="182"/>
      <c r="F1796" cm="1">
        <f t="array" aca="1" ref="F1796" ca="1">IF(COUNTIF($E$2:$E$2000,INDIRECT("RC[-2]",0))&gt;0,"",INDIRECT("RC[-2]",0))</f>
        <v>0</v>
      </c>
    </row>
    <row r="1797" spans="2:6">
      <c r="B1797" t="str" cm="1">
        <f t="array" aca="1" ref="B1797" ca="1">IFERROR(DATE(RIGHT(INDIRECT("RC[-1]",0),4),LEFT(INDIRECT("RC[-1]",0),2),1), "")</f>
        <v/>
      </c>
      <c r="C1797" s="182"/>
      <c r="F1797" cm="1">
        <f t="array" aca="1" ref="F1797" ca="1">IF(COUNTIF($E$2:$E$2000,INDIRECT("RC[-2]",0))&gt;0,"",INDIRECT("RC[-2]",0))</f>
        <v>0</v>
      </c>
    </row>
    <row r="1798" spans="2:6">
      <c r="B1798" t="str" cm="1">
        <f t="array" aca="1" ref="B1798" ca="1">IFERROR(DATE(RIGHT(INDIRECT("RC[-1]",0),4),LEFT(INDIRECT("RC[-1]",0),2),1), "")</f>
        <v/>
      </c>
      <c r="C1798" s="182"/>
      <c r="F1798" cm="1">
        <f t="array" aca="1" ref="F1798" ca="1">IF(COUNTIF($E$2:$E$2000,INDIRECT("RC[-2]",0))&gt;0,"",INDIRECT("RC[-2]",0))</f>
        <v>0</v>
      </c>
    </row>
    <row r="1799" spans="2:6">
      <c r="B1799" t="str" cm="1">
        <f t="array" aca="1" ref="B1799" ca="1">IFERROR(DATE(RIGHT(INDIRECT("RC[-1]",0),4),LEFT(INDIRECT("RC[-1]",0),2),1), "")</f>
        <v/>
      </c>
      <c r="C1799" s="182"/>
      <c r="F1799" cm="1">
        <f t="array" aca="1" ref="F1799" ca="1">IF(COUNTIF($E$2:$E$2000,INDIRECT("RC[-2]",0))&gt;0,"",INDIRECT("RC[-2]",0))</f>
        <v>0</v>
      </c>
    </row>
    <row r="1800" spans="2:6">
      <c r="B1800" t="str" cm="1">
        <f t="array" aca="1" ref="B1800" ca="1">IFERROR(DATE(RIGHT(INDIRECT("RC[-1]",0),4),LEFT(INDIRECT("RC[-1]",0),2),1), "")</f>
        <v/>
      </c>
      <c r="C1800" s="182"/>
      <c r="F1800" cm="1">
        <f t="array" aca="1" ref="F1800" ca="1">IF(COUNTIF($E$2:$E$2000,INDIRECT("RC[-2]",0))&gt;0,"",INDIRECT("RC[-2]",0))</f>
        <v>0</v>
      </c>
    </row>
    <row r="1801" spans="2:6">
      <c r="B1801" t="str" cm="1">
        <f t="array" aca="1" ref="B1801" ca="1">IFERROR(DATE(RIGHT(INDIRECT("RC[-1]",0),4),LEFT(INDIRECT("RC[-1]",0),2),1), "")</f>
        <v/>
      </c>
      <c r="C1801" s="182"/>
      <c r="F1801" cm="1">
        <f t="array" aca="1" ref="F1801" ca="1">IF(COUNTIF($E$2:$E$2000,INDIRECT("RC[-2]",0))&gt;0,"",INDIRECT("RC[-2]",0))</f>
        <v>0</v>
      </c>
    </row>
    <row r="1802" spans="2:6">
      <c r="B1802" t="str" cm="1">
        <f t="array" aca="1" ref="B1802" ca="1">IFERROR(DATE(RIGHT(INDIRECT("RC[-1]",0),4),LEFT(INDIRECT("RC[-1]",0),2),1), "")</f>
        <v/>
      </c>
      <c r="C1802" s="182"/>
      <c r="F1802" cm="1">
        <f t="array" aca="1" ref="F1802" ca="1">IF(COUNTIF($E$2:$E$2000,INDIRECT("RC[-2]",0))&gt;0,"",INDIRECT("RC[-2]",0))</f>
        <v>0</v>
      </c>
    </row>
    <row r="1803" spans="2:6">
      <c r="B1803" t="str" cm="1">
        <f t="array" aca="1" ref="B1803" ca="1">IFERROR(DATE(RIGHT(INDIRECT("RC[-1]",0),4),LEFT(INDIRECT("RC[-1]",0),2),1), "")</f>
        <v/>
      </c>
      <c r="C1803" s="182"/>
      <c r="F1803" cm="1">
        <f t="array" aca="1" ref="F1803" ca="1">IF(COUNTIF($E$2:$E$2000,INDIRECT("RC[-2]",0))&gt;0,"",INDIRECT("RC[-2]",0))</f>
        <v>0</v>
      </c>
    </row>
    <row r="1804" spans="2:6">
      <c r="B1804" t="str" cm="1">
        <f t="array" aca="1" ref="B1804" ca="1">IFERROR(DATE(RIGHT(INDIRECT("RC[-1]",0),4),LEFT(INDIRECT("RC[-1]",0),2),1), "")</f>
        <v/>
      </c>
      <c r="C1804" s="182"/>
      <c r="F1804" cm="1">
        <f t="array" aca="1" ref="F1804" ca="1">IF(COUNTIF($E$2:$E$2000,INDIRECT("RC[-2]",0))&gt;0,"",INDIRECT("RC[-2]",0))</f>
        <v>0</v>
      </c>
    </row>
    <row r="1805" spans="2:6">
      <c r="B1805" t="str" cm="1">
        <f t="array" aca="1" ref="B1805" ca="1">IFERROR(DATE(RIGHT(INDIRECT("RC[-1]",0),4),LEFT(INDIRECT("RC[-1]",0),2),1), "")</f>
        <v/>
      </c>
      <c r="C1805" s="182"/>
      <c r="F1805" cm="1">
        <f t="array" aca="1" ref="F1805" ca="1">IF(COUNTIF($E$2:$E$2000,INDIRECT("RC[-2]",0))&gt;0,"",INDIRECT("RC[-2]",0))</f>
        <v>0</v>
      </c>
    </row>
    <row r="1806" spans="2:6">
      <c r="B1806" t="str" cm="1">
        <f t="array" aca="1" ref="B1806" ca="1">IFERROR(DATE(RIGHT(INDIRECT("RC[-1]",0),4),LEFT(INDIRECT("RC[-1]",0),2),1), "")</f>
        <v/>
      </c>
      <c r="C1806" s="182"/>
      <c r="F1806" cm="1">
        <f t="array" aca="1" ref="F1806" ca="1">IF(COUNTIF($E$2:$E$2000,INDIRECT("RC[-2]",0))&gt;0,"",INDIRECT("RC[-2]",0))</f>
        <v>0</v>
      </c>
    </row>
    <row r="1807" spans="2:6">
      <c r="B1807" t="str" cm="1">
        <f t="array" aca="1" ref="B1807" ca="1">IFERROR(DATE(RIGHT(INDIRECT("RC[-1]",0),4),LEFT(INDIRECT("RC[-1]",0),2),1), "")</f>
        <v/>
      </c>
      <c r="C1807" s="182"/>
      <c r="F1807" cm="1">
        <f t="array" aca="1" ref="F1807" ca="1">IF(COUNTIF($E$2:$E$2000,INDIRECT("RC[-2]",0))&gt;0,"",INDIRECT("RC[-2]",0))</f>
        <v>0</v>
      </c>
    </row>
    <row r="1808" spans="2:6">
      <c r="B1808" t="str" cm="1">
        <f t="array" aca="1" ref="B1808" ca="1">IFERROR(DATE(RIGHT(INDIRECT("RC[-1]",0),4),LEFT(INDIRECT("RC[-1]",0),2),1), "")</f>
        <v/>
      </c>
      <c r="C1808" s="182"/>
      <c r="F1808" cm="1">
        <f t="array" aca="1" ref="F1808" ca="1">IF(COUNTIF($E$2:$E$2000,INDIRECT("RC[-2]",0))&gt;0,"",INDIRECT("RC[-2]",0))</f>
        <v>0</v>
      </c>
    </row>
    <row r="1809" spans="2:6">
      <c r="B1809" t="str" cm="1">
        <f t="array" aca="1" ref="B1809" ca="1">IFERROR(DATE(RIGHT(INDIRECT("RC[-1]",0),4),LEFT(INDIRECT("RC[-1]",0),2),1), "")</f>
        <v/>
      </c>
      <c r="C1809" s="182"/>
      <c r="F1809" cm="1">
        <f t="array" aca="1" ref="F1809" ca="1">IF(COUNTIF($E$2:$E$2000,INDIRECT("RC[-2]",0))&gt;0,"",INDIRECT("RC[-2]",0))</f>
        <v>0</v>
      </c>
    </row>
    <row r="1810" spans="2:6">
      <c r="B1810" t="str" cm="1">
        <f t="array" aca="1" ref="B1810" ca="1">IFERROR(DATE(RIGHT(INDIRECT("RC[-1]",0),4),LEFT(INDIRECT("RC[-1]",0),2),1), "")</f>
        <v/>
      </c>
      <c r="C1810" s="182"/>
      <c r="F1810" cm="1">
        <f t="array" aca="1" ref="F1810" ca="1">IF(COUNTIF($E$2:$E$2000,INDIRECT("RC[-2]",0))&gt;0,"",INDIRECT("RC[-2]",0))</f>
        <v>0</v>
      </c>
    </row>
    <row r="1811" spans="2:6">
      <c r="B1811" t="str" cm="1">
        <f t="array" aca="1" ref="B1811" ca="1">IFERROR(DATE(RIGHT(INDIRECT("RC[-1]",0),4),LEFT(INDIRECT("RC[-1]",0),2),1), "")</f>
        <v/>
      </c>
      <c r="C1811" s="182"/>
      <c r="F1811" cm="1">
        <f t="array" aca="1" ref="F1811" ca="1">IF(COUNTIF($E$2:$E$2000,INDIRECT("RC[-2]",0))&gt;0,"",INDIRECT("RC[-2]",0))</f>
        <v>0</v>
      </c>
    </row>
    <row r="1812" spans="2:6">
      <c r="B1812" t="str" cm="1">
        <f t="array" aca="1" ref="B1812" ca="1">IFERROR(DATE(RIGHT(INDIRECT("RC[-1]",0),4),LEFT(INDIRECT("RC[-1]",0),2),1), "")</f>
        <v/>
      </c>
      <c r="C1812" s="182"/>
      <c r="F1812" cm="1">
        <f t="array" aca="1" ref="F1812" ca="1">IF(COUNTIF($E$2:$E$2000,INDIRECT("RC[-2]",0))&gt;0,"",INDIRECT("RC[-2]",0))</f>
        <v>0</v>
      </c>
    </row>
    <row r="1813" spans="2:6">
      <c r="B1813" t="str" cm="1">
        <f t="array" aca="1" ref="B1813" ca="1">IFERROR(DATE(RIGHT(INDIRECT("RC[-1]",0),4),LEFT(INDIRECT("RC[-1]",0),2),1), "")</f>
        <v/>
      </c>
      <c r="C1813" s="182"/>
      <c r="F1813" cm="1">
        <f t="array" aca="1" ref="F1813" ca="1">IF(COUNTIF($E$2:$E$2000,INDIRECT("RC[-2]",0))&gt;0,"",INDIRECT("RC[-2]",0))</f>
        <v>0</v>
      </c>
    </row>
    <row r="1814" spans="2:6">
      <c r="B1814" t="str" cm="1">
        <f t="array" aca="1" ref="B1814" ca="1">IFERROR(DATE(RIGHT(INDIRECT("RC[-1]",0),4),LEFT(INDIRECT("RC[-1]",0),2),1), "")</f>
        <v/>
      </c>
      <c r="C1814" s="182"/>
      <c r="F1814" cm="1">
        <f t="array" aca="1" ref="F1814" ca="1">IF(COUNTIF($E$2:$E$2000,INDIRECT("RC[-2]",0))&gt;0,"",INDIRECT("RC[-2]",0))</f>
        <v>0</v>
      </c>
    </row>
    <row r="1815" spans="2:6">
      <c r="B1815" t="str" cm="1">
        <f t="array" aca="1" ref="B1815" ca="1">IFERROR(DATE(RIGHT(INDIRECT("RC[-1]",0),4),LEFT(INDIRECT("RC[-1]",0),2),1), "")</f>
        <v/>
      </c>
      <c r="C1815" s="182"/>
      <c r="F1815" cm="1">
        <f t="array" aca="1" ref="F1815" ca="1">IF(COUNTIF($E$2:$E$2000,INDIRECT("RC[-2]",0))&gt;0,"",INDIRECT("RC[-2]",0))</f>
        <v>0</v>
      </c>
    </row>
    <row r="1816" spans="2:6">
      <c r="B1816" t="str" cm="1">
        <f t="array" aca="1" ref="B1816" ca="1">IFERROR(DATE(RIGHT(INDIRECT("RC[-1]",0),4),LEFT(INDIRECT("RC[-1]",0),2),1), "")</f>
        <v/>
      </c>
      <c r="C1816" s="182"/>
      <c r="F1816" cm="1">
        <f t="array" aca="1" ref="F1816" ca="1">IF(COUNTIF($E$2:$E$2000,INDIRECT("RC[-2]",0))&gt;0,"",INDIRECT("RC[-2]",0))</f>
        <v>0</v>
      </c>
    </row>
    <row r="1817" spans="2:6">
      <c r="B1817" t="str" cm="1">
        <f t="array" aca="1" ref="B1817" ca="1">IFERROR(DATE(RIGHT(INDIRECT("RC[-1]",0),4),LEFT(INDIRECT("RC[-1]",0),2),1), "")</f>
        <v/>
      </c>
      <c r="C1817" s="182"/>
      <c r="F1817" cm="1">
        <f t="array" aca="1" ref="F1817" ca="1">IF(COUNTIF($E$2:$E$2000,INDIRECT("RC[-2]",0))&gt;0,"",INDIRECT("RC[-2]",0))</f>
        <v>0</v>
      </c>
    </row>
    <row r="1818" spans="2:6">
      <c r="B1818" t="str" cm="1">
        <f t="array" aca="1" ref="B1818" ca="1">IFERROR(DATE(RIGHT(INDIRECT("RC[-1]",0),4),LEFT(INDIRECT("RC[-1]",0),2),1), "")</f>
        <v/>
      </c>
      <c r="C1818" s="182"/>
      <c r="F1818" cm="1">
        <f t="array" aca="1" ref="F1818" ca="1">IF(COUNTIF($E$2:$E$2000,INDIRECT("RC[-2]",0))&gt;0,"",INDIRECT("RC[-2]",0))</f>
        <v>0</v>
      </c>
    </row>
    <row r="1819" spans="2:6">
      <c r="B1819" t="str" cm="1">
        <f t="array" aca="1" ref="B1819" ca="1">IFERROR(DATE(RIGHT(INDIRECT("RC[-1]",0),4),LEFT(INDIRECT("RC[-1]",0),2),1), "")</f>
        <v/>
      </c>
      <c r="C1819" s="182"/>
      <c r="F1819" cm="1">
        <f t="array" aca="1" ref="F1819" ca="1">IF(COUNTIF($E$2:$E$2000,INDIRECT("RC[-2]",0))&gt;0,"",INDIRECT("RC[-2]",0))</f>
        <v>0</v>
      </c>
    </row>
    <row r="1820" spans="2:6">
      <c r="B1820" t="str" cm="1">
        <f t="array" aca="1" ref="B1820" ca="1">IFERROR(DATE(RIGHT(INDIRECT("RC[-1]",0),4),LEFT(INDIRECT("RC[-1]",0),2),1), "")</f>
        <v/>
      </c>
      <c r="C1820" s="182"/>
      <c r="F1820" cm="1">
        <f t="array" aca="1" ref="F1820" ca="1">IF(COUNTIF($E$2:$E$2000,INDIRECT("RC[-2]",0))&gt;0,"",INDIRECT("RC[-2]",0))</f>
        <v>0</v>
      </c>
    </row>
    <row r="1821" spans="2:6">
      <c r="B1821" t="str" cm="1">
        <f t="array" aca="1" ref="B1821" ca="1">IFERROR(DATE(RIGHT(INDIRECT("RC[-1]",0),4),LEFT(INDIRECT("RC[-1]",0),2),1), "")</f>
        <v/>
      </c>
      <c r="C1821" s="182"/>
      <c r="F1821" cm="1">
        <f t="array" aca="1" ref="F1821" ca="1">IF(COUNTIF($E$2:$E$2000,INDIRECT("RC[-2]",0))&gt;0,"",INDIRECT("RC[-2]",0))</f>
        <v>0</v>
      </c>
    </row>
    <row r="1822" spans="2:6">
      <c r="B1822" t="str" cm="1">
        <f t="array" aca="1" ref="B1822" ca="1">IFERROR(DATE(RIGHT(INDIRECT("RC[-1]",0),4),LEFT(INDIRECT("RC[-1]",0),2),1), "")</f>
        <v/>
      </c>
      <c r="C1822" s="182"/>
      <c r="F1822" cm="1">
        <f t="array" aca="1" ref="F1822" ca="1">IF(COUNTIF($E$2:$E$2000,INDIRECT("RC[-2]",0))&gt;0,"",INDIRECT("RC[-2]",0))</f>
        <v>0</v>
      </c>
    </row>
    <row r="1823" spans="2:6">
      <c r="B1823" t="str" cm="1">
        <f t="array" aca="1" ref="B1823" ca="1">IFERROR(DATE(RIGHT(INDIRECT("RC[-1]",0),4),LEFT(INDIRECT("RC[-1]",0),2),1), "")</f>
        <v/>
      </c>
      <c r="C1823" s="182"/>
      <c r="F1823" cm="1">
        <f t="array" aca="1" ref="F1823" ca="1">IF(COUNTIF($E$2:$E$2000,INDIRECT("RC[-2]",0))&gt;0,"",INDIRECT("RC[-2]",0))</f>
        <v>0</v>
      </c>
    </row>
    <row r="1824" spans="2:6">
      <c r="B1824" t="str" cm="1">
        <f t="array" aca="1" ref="B1824" ca="1">IFERROR(DATE(RIGHT(INDIRECT("RC[-1]",0),4),LEFT(INDIRECT("RC[-1]",0),2),1), "")</f>
        <v/>
      </c>
      <c r="C1824" s="182"/>
      <c r="F1824" cm="1">
        <f t="array" aca="1" ref="F1824" ca="1">IF(COUNTIF($E$2:$E$2000,INDIRECT("RC[-2]",0))&gt;0,"",INDIRECT("RC[-2]",0))</f>
        <v>0</v>
      </c>
    </row>
    <row r="1825" spans="2:6">
      <c r="B1825" t="str" cm="1">
        <f t="array" aca="1" ref="B1825" ca="1">IFERROR(DATE(RIGHT(INDIRECT("RC[-1]",0),4),LEFT(INDIRECT("RC[-1]",0),2),1), "")</f>
        <v/>
      </c>
      <c r="C1825" s="182"/>
      <c r="F1825" cm="1">
        <f t="array" aca="1" ref="F1825" ca="1">IF(COUNTIF($E$2:$E$2000,INDIRECT("RC[-2]",0))&gt;0,"",INDIRECT("RC[-2]",0))</f>
        <v>0</v>
      </c>
    </row>
    <row r="1826" spans="2:6">
      <c r="B1826" t="str" cm="1">
        <f t="array" aca="1" ref="B1826" ca="1">IFERROR(DATE(RIGHT(INDIRECT("RC[-1]",0),4),LEFT(INDIRECT("RC[-1]",0),2),1), "")</f>
        <v/>
      </c>
      <c r="C1826" s="182"/>
      <c r="F1826" cm="1">
        <f t="array" aca="1" ref="F1826" ca="1">IF(COUNTIF($E$2:$E$2000,INDIRECT("RC[-2]",0))&gt;0,"",INDIRECT("RC[-2]",0))</f>
        <v>0</v>
      </c>
    </row>
    <row r="1827" spans="2:6">
      <c r="B1827" t="str" cm="1">
        <f t="array" aca="1" ref="B1827" ca="1">IFERROR(DATE(RIGHT(INDIRECT("RC[-1]",0),4),LEFT(INDIRECT("RC[-1]",0),2),1), "")</f>
        <v/>
      </c>
      <c r="C1827" s="182"/>
      <c r="F1827" cm="1">
        <f t="array" aca="1" ref="F1827" ca="1">IF(COUNTIF($E$2:$E$2000,INDIRECT("RC[-2]",0))&gt;0,"",INDIRECT("RC[-2]",0))</f>
        <v>0</v>
      </c>
    </row>
    <row r="1828" spans="2:6">
      <c r="B1828" t="str" cm="1">
        <f t="array" aca="1" ref="B1828" ca="1">IFERROR(DATE(RIGHT(INDIRECT("RC[-1]",0),4),LEFT(INDIRECT("RC[-1]",0),2),1), "")</f>
        <v/>
      </c>
      <c r="C1828" s="182"/>
      <c r="F1828" cm="1">
        <f t="array" aca="1" ref="F1828" ca="1">IF(COUNTIF($E$2:$E$2000,INDIRECT("RC[-2]",0))&gt;0,"",INDIRECT("RC[-2]",0))</f>
        <v>0</v>
      </c>
    </row>
    <row r="1829" spans="2:6">
      <c r="B1829" t="str" cm="1">
        <f t="array" aca="1" ref="B1829" ca="1">IFERROR(DATE(RIGHT(INDIRECT("RC[-1]",0),4),LEFT(INDIRECT("RC[-1]",0),2),1), "")</f>
        <v/>
      </c>
      <c r="C1829" s="182"/>
      <c r="F1829" cm="1">
        <f t="array" aca="1" ref="F1829" ca="1">IF(COUNTIF($E$2:$E$2000,INDIRECT("RC[-2]",0))&gt;0,"",INDIRECT("RC[-2]",0))</f>
        <v>0</v>
      </c>
    </row>
    <row r="1830" spans="2:6">
      <c r="B1830" t="str" cm="1">
        <f t="array" aca="1" ref="B1830" ca="1">IFERROR(DATE(RIGHT(INDIRECT("RC[-1]",0),4),LEFT(INDIRECT("RC[-1]",0),2),1), "")</f>
        <v/>
      </c>
      <c r="C1830" s="182"/>
      <c r="F1830" cm="1">
        <f t="array" aca="1" ref="F1830" ca="1">IF(COUNTIF($E$2:$E$2000,INDIRECT("RC[-2]",0))&gt;0,"",INDIRECT("RC[-2]",0))</f>
        <v>0</v>
      </c>
    </row>
    <row r="1831" spans="2:6">
      <c r="B1831" t="str" cm="1">
        <f t="array" aca="1" ref="B1831" ca="1">IFERROR(DATE(RIGHT(INDIRECT("RC[-1]",0),4),LEFT(INDIRECT("RC[-1]",0),2),1), "")</f>
        <v/>
      </c>
      <c r="C1831" s="182"/>
      <c r="F1831" cm="1">
        <f t="array" aca="1" ref="F1831" ca="1">IF(COUNTIF($E$2:$E$2000,INDIRECT("RC[-2]",0))&gt;0,"",INDIRECT("RC[-2]",0))</f>
        <v>0</v>
      </c>
    </row>
    <row r="1832" spans="2:6">
      <c r="B1832" t="str" cm="1">
        <f t="array" aca="1" ref="B1832" ca="1">IFERROR(DATE(RIGHT(INDIRECT("RC[-1]",0),4),LEFT(INDIRECT("RC[-1]",0),2),1), "")</f>
        <v/>
      </c>
      <c r="C1832" s="182"/>
      <c r="F1832" cm="1">
        <f t="array" aca="1" ref="F1832" ca="1">IF(COUNTIF($E$2:$E$2000,INDIRECT("RC[-2]",0))&gt;0,"",INDIRECT("RC[-2]",0))</f>
        <v>0</v>
      </c>
    </row>
    <row r="1833" spans="2:6">
      <c r="B1833" t="str" cm="1">
        <f t="array" aca="1" ref="B1833" ca="1">IFERROR(DATE(RIGHT(INDIRECT("RC[-1]",0),4),LEFT(INDIRECT("RC[-1]",0),2),1), "")</f>
        <v/>
      </c>
      <c r="C1833" s="182"/>
      <c r="F1833" cm="1">
        <f t="array" aca="1" ref="F1833" ca="1">IF(COUNTIF($E$2:$E$2000,INDIRECT("RC[-2]",0))&gt;0,"",INDIRECT("RC[-2]",0))</f>
        <v>0</v>
      </c>
    </row>
    <row r="1834" spans="2:6">
      <c r="B1834" t="str" cm="1">
        <f t="array" aca="1" ref="B1834" ca="1">IFERROR(DATE(RIGHT(INDIRECT("RC[-1]",0),4),LEFT(INDIRECT("RC[-1]",0),2),1), "")</f>
        <v/>
      </c>
      <c r="C1834" s="182"/>
      <c r="F1834" cm="1">
        <f t="array" aca="1" ref="F1834" ca="1">IF(COUNTIF($E$2:$E$2000,INDIRECT("RC[-2]",0))&gt;0,"",INDIRECT("RC[-2]",0))</f>
        <v>0</v>
      </c>
    </row>
    <row r="1835" spans="2:6">
      <c r="B1835" t="str" cm="1">
        <f t="array" aca="1" ref="B1835" ca="1">IFERROR(DATE(RIGHT(INDIRECT("RC[-1]",0),4),LEFT(INDIRECT("RC[-1]",0),2),1), "")</f>
        <v/>
      </c>
      <c r="C1835" s="182"/>
      <c r="F1835" cm="1">
        <f t="array" aca="1" ref="F1835" ca="1">IF(COUNTIF($E$2:$E$2000,INDIRECT("RC[-2]",0))&gt;0,"",INDIRECT("RC[-2]",0))</f>
        <v>0</v>
      </c>
    </row>
    <row r="1836" spans="2:6">
      <c r="B1836" t="str" cm="1">
        <f t="array" aca="1" ref="B1836" ca="1">IFERROR(DATE(RIGHT(INDIRECT("RC[-1]",0),4),LEFT(INDIRECT("RC[-1]",0),2),1), "")</f>
        <v/>
      </c>
      <c r="C1836" s="182"/>
      <c r="F1836" cm="1">
        <f t="array" aca="1" ref="F1836" ca="1">IF(COUNTIF($E$2:$E$2000,INDIRECT("RC[-2]",0))&gt;0,"",INDIRECT("RC[-2]",0))</f>
        <v>0</v>
      </c>
    </row>
    <row r="1837" spans="2:6">
      <c r="B1837" t="str" cm="1">
        <f t="array" aca="1" ref="B1837" ca="1">IFERROR(DATE(RIGHT(INDIRECT("RC[-1]",0),4),LEFT(INDIRECT("RC[-1]",0),2),1), "")</f>
        <v/>
      </c>
      <c r="C1837" s="182"/>
      <c r="F1837" cm="1">
        <f t="array" aca="1" ref="F1837" ca="1">IF(COUNTIF($E$2:$E$2000,INDIRECT("RC[-2]",0))&gt;0,"",INDIRECT("RC[-2]",0))</f>
        <v>0</v>
      </c>
    </row>
    <row r="1838" spans="2:6">
      <c r="B1838" t="str" cm="1">
        <f t="array" aca="1" ref="B1838" ca="1">IFERROR(DATE(RIGHT(INDIRECT("RC[-1]",0),4),LEFT(INDIRECT("RC[-1]",0),2),1), "")</f>
        <v/>
      </c>
      <c r="C1838" s="182"/>
      <c r="F1838" cm="1">
        <f t="array" aca="1" ref="F1838" ca="1">IF(COUNTIF($E$2:$E$2000,INDIRECT("RC[-2]",0))&gt;0,"",INDIRECT("RC[-2]",0))</f>
        <v>0</v>
      </c>
    </row>
    <row r="1839" spans="2:6">
      <c r="B1839" t="str" cm="1">
        <f t="array" aca="1" ref="B1839" ca="1">IFERROR(DATE(RIGHT(INDIRECT("RC[-1]",0),4),LEFT(INDIRECT("RC[-1]",0),2),1), "")</f>
        <v/>
      </c>
      <c r="C1839" s="182"/>
      <c r="F1839" cm="1">
        <f t="array" aca="1" ref="F1839" ca="1">IF(COUNTIF($E$2:$E$2000,INDIRECT("RC[-2]",0))&gt;0,"",INDIRECT("RC[-2]",0))</f>
        <v>0</v>
      </c>
    </row>
    <row r="1840" spans="2:6">
      <c r="B1840" t="str" cm="1">
        <f t="array" aca="1" ref="B1840" ca="1">IFERROR(DATE(RIGHT(INDIRECT("RC[-1]",0),4),LEFT(INDIRECT("RC[-1]",0),2),1), "")</f>
        <v/>
      </c>
      <c r="C1840" s="182"/>
      <c r="F1840" cm="1">
        <f t="array" aca="1" ref="F1840" ca="1">IF(COUNTIF($E$2:$E$2000,INDIRECT("RC[-2]",0))&gt;0,"",INDIRECT("RC[-2]",0))</f>
        <v>0</v>
      </c>
    </row>
    <row r="1841" spans="2:6">
      <c r="B1841" t="str" cm="1">
        <f t="array" aca="1" ref="B1841" ca="1">IFERROR(DATE(RIGHT(INDIRECT("RC[-1]",0),4),LEFT(INDIRECT("RC[-1]",0),2),1), "")</f>
        <v/>
      </c>
      <c r="C1841" s="182"/>
      <c r="F1841" cm="1">
        <f t="array" aca="1" ref="F1841" ca="1">IF(COUNTIF($E$2:$E$2000,INDIRECT("RC[-2]",0))&gt;0,"",INDIRECT("RC[-2]",0))</f>
        <v>0</v>
      </c>
    </row>
    <row r="1842" spans="2:6">
      <c r="B1842" t="str" cm="1">
        <f t="array" aca="1" ref="B1842" ca="1">IFERROR(DATE(RIGHT(INDIRECT("RC[-1]",0),4),LEFT(INDIRECT("RC[-1]",0),2),1), "")</f>
        <v/>
      </c>
      <c r="C1842" s="182"/>
      <c r="F1842" cm="1">
        <f t="array" aca="1" ref="F1842" ca="1">IF(COUNTIF($E$2:$E$2000,INDIRECT("RC[-2]",0))&gt;0,"",INDIRECT("RC[-2]",0))</f>
        <v>0</v>
      </c>
    </row>
    <row r="1843" spans="2:6">
      <c r="B1843" t="str" cm="1">
        <f t="array" aca="1" ref="B1843" ca="1">IFERROR(DATE(RIGHT(INDIRECT("RC[-1]",0),4),LEFT(INDIRECT("RC[-1]",0),2),1), "")</f>
        <v/>
      </c>
      <c r="C1843" s="182"/>
      <c r="F1843" cm="1">
        <f t="array" aca="1" ref="F1843" ca="1">IF(COUNTIF($E$2:$E$2000,INDIRECT("RC[-2]",0))&gt;0,"",INDIRECT("RC[-2]",0))</f>
        <v>0</v>
      </c>
    </row>
    <row r="1844" spans="2:6">
      <c r="B1844" t="str" cm="1">
        <f t="array" aca="1" ref="B1844" ca="1">IFERROR(DATE(RIGHT(INDIRECT("RC[-1]",0),4),LEFT(INDIRECT("RC[-1]",0),2),1), "")</f>
        <v/>
      </c>
      <c r="C1844" s="182"/>
      <c r="F1844" cm="1">
        <f t="array" aca="1" ref="F1844" ca="1">IF(COUNTIF($E$2:$E$2000,INDIRECT("RC[-2]",0))&gt;0,"",INDIRECT("RC[-2]",0))</f>
        <v>0</v>
      </c>
    </row>
    <row r="1845" spans="2:6">
      <c r="B1845" t="str" cm="1">
        <f t="array" aca="1" ref="B1845" ca="1">IFERROR(DATE(RIGHT(INDIRECT("RC[-1]",0),4),LEFT(INDIRECT("RC[-1]",0),2),1), "")</f>
        <v/>
      </c>
      <c r="C1845" s="182"/>
      <c r="F1845" cm="1">
        <f t="array" aca="1" ref="F1845" ca="1">IF(COUNTIF($E$2:$E$2000,INDIRECT("RC[-2]",0))&gt;0,"",INDIRECT("RC[-2]",0))</f>
        <v>0</v>
      </c>
    </row>
    <row r="1846" spans="2:6">
      <c r="B1846" t="str" cm="1">
        <f t="array" aca="1" ref="B1846" ca="1">IFERROR(DATE(RIGHT(INDIRECT("RC[-1]",0),4),LEFT(INDIRECT("RC[-1]",0),2),1), "")</f>
        <v/>
      </c>
      <c r="C1846" s="182"/>
      <c r="F1846" cm="1">
        <f t="array" aca="1" ref="F1846" ca="1">IF(COUNTIF($E$2:$E$2000,INDIRECT("RC[-2]",0))&gt;0,"",INDIRECT("RC[-2]",0))</f>
        <v>0</v>
      </c>
    </row>
    <row r="1847" spans="2:6">
      <c r="B1847" t="str" cm="1">
        <f t="array" aca="1" ref="B1847" ca="1">IFERROR(DATE(RIGHT(INDIRECT("RC[-1]",0),4),LEFT(INDIRECT("RC[-1]",0),2),1), "")</f>
        <v/>
      </c>
      <c r="C1847" s="182"/>
      <c r="F1847" cm="1">
        <f t="array" aca="1" ref="F1847" ca="1">IF(COUNTIF($E$2:$E$2000,INDIRECT("RC[-2]",0))&gt;0,"",INDIRECT("RC[-2]",0))</f>
        <v>0</v>
      </c>
    </row>
    <row r="1848" spans="2:6">
      <c r="B1848" t="str" cm="1">
        <f t="array" aca="1" ref="B1848" ca="1">IFERROR(DATE(RIGHT(INDIRECT("RC[-1]",0),4),LEFT(INDIRECT("RC[-1]",0),2),1), "")</f>
        <v/>
      </c>
      <c r="C1848" s="182"/>
      <c r="F1848" cm="1">
        <f t="array" aca="1" ref="F1848" ca="1">IF(COUNTIF($E$2:$E$2000,INDIRECT("RC[-2]",0))&gt;0,"",INDIRECT("RC[-2]",0))</f>
        <v>0</v>
      </c>
    </row>
    <row r="1849" spans="2:6">
      <c r="B1849" t="str" cm="1">
        <f t="array" aca="1" ref="B1849" ca="1">IFERROR(DATE(RIGHT(INDIRECT("RC[-1]",0),4),LEFT(INDIRECT("RC[-1]",0),2),1), "")</f>
        <v/>
      </c>
      <c r="C1849" s="182"/>
      <c r="F1849" cm="1">
        <f t="array" aca="1" ref="F1849" ca="1">IF(COUNTIF($E$2:$E$2000,INDIRECT("RC[-2]",0))&gt;0,"",INDIRECT("RC[-2]",0))</f>
        <v>0</v>
      </c>
    </row>
    <row r="1850" spans="2:6">
      <c r="B1850" t="str" cm="1">
        <f t="array" aca="1" ref="B1850" ca="1">IFERROR(DATE(RIGHT(INDIRECT("RC[-1]",0),4),LEFT(INDIRECT("RC[-1]",0),2),1), "")</f>
        <v/>
      </c>
      <c r="C1850" s="182"/>
      <c r="F1850" cm="1">
        <f t="array" aca="1" ref="F1850" ca="1">IF(COUNTIF($E$2:$E$2000,INDIRECT("RC[-2]",0))&gt;0,"",INDIRECT("RC[-2]",0))</f>
        <v>0</v>
      </c>
    </row>
    <row r="1851" spans="2:6">
      <c r="B1851" t="str" cm="1">
        <f t="array" aca="1" ref="B1851" ca="1">IFERROR(DATE(RIGHT(INDIRECT("RC[-1]",0),4),LEFT(INDIRECT("RC[-1]",0),2),1), "")</f>
        <v/>
      </c>
      <c r="C1851" s="182"/>
      <c r="F1851" cm="1">
        <f t="array" aca="1" ref="F1851" ca="1">IF(COUNTIF($E$2:$E$2000,INDIRECT("RC[-2]",0))&gt;0,"",INDIRECT("RC[-2]",0))</f>
        <v>0</v>
      </c>
    </row>
    <row r="1852" spans="2:6">
      <c r="B1852" t="str" cm="1">
        <f t="array" aca="1" ref="B1852" ca="1">IFERROR(DATE(RIGHT(INDIRECT("RC[-1]",0),4),LEFT(INDIRECT("RC[-1]",0),2),1), "")</f>
        <v/>
      </c>
      <c r="C1852" s="182"/>
      <c r="F1852" cm="1">
        <f t="array" aca="1" ref="F1852" ca="1">IF(COUNTIF($E$2:$E$2000,INDIRECT("RC[-2]",0))&gt;0,"",INDIRECT("RC[-2]",0))</f>
        <v>0</v>
      </c>
    </row>
    <row r="1853" spans="2:6">
      <c r="B1853" t="str" cm="1">
        <f t="array" aca="1" ref="B1853" ca="1">IFERROR(DATE(RIGHT(INDIRECT("RC[-1]",0),4),LEFT(INDIRECT("RC[-1]",0),2),1), "")</f>
        <v/>
      </c>
      <c r="C1853" s="182"/>
      <c r="F1853" cm="1">
        <f t="array" aca="1" ref="F1853" ca="1">IF(COUNTIF($E$2:$E$2000,INDIRECT("RC[-2]",0))&gt;0,"",INDIRECT("RC[-2]",0))</f>
        <v>0</v>
      </c>
    </row>
    <row r="1854" spans="2:6">
      <c r="B1854" t="str" cm="1">
        <f t="array" aca="1" ref="B1854" ca="1">IFERROR(DATE(RIGHT(INDIRECT("RC[-1]",0),4),LEFT(INDIRECT("RC[-1]",0),2),1), "")</f>
        <v/>
      </c>
      <c r="C1854" s="182"/>
      <c r="F1854" cm="1">
        <f t="array" aca="1" ref="F1854" ca="1">IF(COUNTIF($E$2:$E$2000,INDIRECT("RC[-2]",0))&gt;0,"",INDIRECT("RC[-2]",0))</f>
        <v>0</v>
      </c>
    </row>
    <row r="1855" spans="2:6">
      <c r="B1855" t="str" cm="1">
        <f t="array" aca="1" ref="B1855" ca="1">IFERROR(DATE(RIGHT(INDIRECT("RC[-1]",0),4),LEFT(INDIRECT("RC[-1]",0),2),1), "")</f>
        <v/>
      </c>
      <c r="C1855" s="182"/>
      <c r="F1855" cm="1">
        <f t="array" aca="1" ref="F1855" ca="1">IF(COUNTIF($E$2:$E$2000,INDIRECT("RC[-2]",0))&gt;0,"",INDIRECT("RC[-2]",0))</f>
        <v>0</v>
      </c>
    </row>
    <row r="1856" spans="2:6">
      <c r="B1856" t="str" cm="1">
        <f t="array" aca="1" ref="B1856" ca="1">IFERROR(DATE(RIGHT(INDIRECT("RC[-1]",0),4),LEFT(INDIRECT("RC[-1]",0),2),1), "")</f>
        <v/>
      </c>
      <c r="C1856" s="182"/>
      <c r="F1856" cm="1">
        <f t="array" aca="1" ref="F1856" ca="1">IF(COUNTIF($E$2:$E$2000,INDIRECT("RC[-2]",0))&gt;0,"",INDIRECT("RC[-2]",0))</f>
        <v>0</v>
      </c>
    </row>
    <row r="1857" spans="2:6">
      <c r="B1857" t="str" cm="1">
        <f t="array" aca="1" ref="B1857" ca="1">IFERROR(DATE(RIGHT(INDIRECT("RC[-1]",0),4),LEFT(INDIRECT("RC[-1]",0),2),1), "")</f>
        <v/>
      </c>
      <c r="C1857" s="182"/>
      <c r="F1857" cm="1">
        <f t="array" aca="1" ref="F1857" ca="1">IF(COUNTIF($E$2:$E$2000,INDIRECT("RC[-2]",0))&gt;0,"",INDIRECT("RC[-2]",0))</f>
        <v>0</v>
      </c>
    </row>
    <row r="1858" spans="2:6">
      <c r="B1858" t="str" cm="1">
        <f t="array" aca="1" ref="B1858" ca="1">IFERROR(DATE(RIGHT(INDIRECT("RC[-1]",0),4),LEFT(INDIRECT("RC[-1]",0),2),1), "")</f>
        <v/>
      </c>
      <c r="C1858" s="182"/>
      <c r="F1858" cm="1">
        <f t="array" aca="1" ref="F1858" ca="1">IF(COUNTIF($E$2:$E$2000,INDIRECT("RC[-2]",0))&gt;0,"",INDIRECT("RC[-2]",0))</f>
        <v>0</v>
      </c>
    </row>
    <row r="1859" spans="2:6">
      <c r="B1859" t="str" cm="1">
        <f t="array" aca="1" ref="B1859" ca="1">IFERROR(DATE(RIGHT(INDIRECT("RC[-1]",0),4),LEFT(INDIRECT("RC[-1]",0),2),1), "")</f>
        <v/>
      </c>
      <c r="C1859" s="182"/>
      <c r="F1859" cm="1">
        <f t="array" aca="1" ref="F1859" ca="1">IF(COUNTIF($E$2:$E$2000,INDIRECT("RC[-2]",0))&gt;0,"",INDIRECT("RC[-2]",0))</f>
        <v>0</v>
      </c>
    </row>
    <row r="1860" spans="2:6">
      <c r="B1860" t="str" cm="1">
        <f t="array" aca="1" ref="B1860" ca="1">IFERROR(DATE(RIGHT(INDIRECT("RC[-1]",0),4),LEFT(INDIRECT("RC[-1]",0),2),1), "")</f>
        <v/>
      </c>
      <c r="C1860" s="182"/>
      <c r="F1860" cm="1">
        <f t="array" aca="1" ref="F1860" ca="1">IF(COUNTIF($E$2:$E$2000,INDIRECT("RC[-2]",0))&gt;0,"",INDIRECT("RC[-2]",0))</f>
        <v>0</v>
      </c>
    </row>
    <row r="1861" spans="2:6">
      <c r="B1861" t="str" cm="1">
        <f t="array" aca="1" ref="B1861" ca="1">IFERROR(DATE(RIGHT(INDIRECT("RC[-1]",0),4),LEFT(INDIRECT("RC[-1]",0),2),1), "")</f>
        <v/>
      </c>
      <c r="C1861" s="182"/>
      <c r="F1861" cm="1">
        <f t="array" aca="1" ref="F1861" ca="1">IF(COUNTIF($E$2:$E$2000,INDIRECT("RC[-2]",0))&gt;0,"",INDIRECT("RC[-2]",0))</f>
        <v>0</v>
      </c>
    </row>
    <row r="1862" spans="2:6">
      <c r="B1862" t="str" cm="1">
        <f t="array" aca="1" ref="B1862" ca="1">IFERROR(DATE(RIGHT(INDIRECT("RC[-1]",0),4),LEFT(INDIRECT("RC[-1]",0),2),1), "")</f>
        <v/>
      </c>
      <c r="C1862" s="182"/>
      <c r="F1862" cm="1">
        <f t="array" aca="1" ref="F1862" ca="1">IF(COUNTIF($E$2:$E$2000,INDIRECT("RC[-2]",0))&gt;0,"",INDIRECT("RC[-2]",0))</f>
        <v>0</v>
      </c>
    </row>
    <row r="1863" spans="2:6">
      <c r="B1863" t="str" cm="1">
        <f t="array" aca="1" ref="B1863" ca="1">IFERROR(DATE(RIGHT(INDIRECT("RC[-1]",0),4),LEFT(INDIRECT("RC[-1]",0),2),1), "")</f>
        <v/>
      </c>
      <c r="C1863" s="182"/>
      <c r="F1863" cm="1">
        <f t="array" aca="1" ref="F1863" ca="1">IF(COUNTIF($E$2:$E$2000,INDIRECT("RC[-2]",0))&gt;0,"",INDIRECT("RC[-2]",0))</f>
        <v>0</v>
      </c>
    </row>
    <row r="1864" spans="2:6">
      <c r="B1864" t="str" cm="1">
        <f t="array" aca="1" ref="B1864" ca="1">IFERROR(DATE(RIGHT(INDIRECT("RC[-1]",0),4),LEFT(INDIRECT("RC[-1]",0),2),1), "")</f>
        <v/>
      </c>
      <c r="C1864" s="182"/>
      <c r="F1864" cm="1">
        <f t="array" aca="1" ref="F1864" ca="1">IF(COUNTIF($E$2:$E$2000,INDIRECT("RC[-2]",0))&gt;0,"",INDIRECT("RC[-2]",0))</f>
        <v>0</v>
      </c>
    </row>
    <row r="1865" spans="2:6">
      <c r="B1865" t="str" cm="1">
        <f t="array" aca="1" ref="B1865" ca="1">IFERROR(DATE(RIGHT(INDIRECT("RC[-1]",0),4),LEFT(INDIRECT("RC[-1]",0),2),1), "")</f>
        <v/>
      </c>
      <c r="C1865" s="182"/>
      <c r="F1865" cm="1">
        <f t="array" aca="1" ref="F1865" ca="1">IF(COUNTIF($E$2:$E$2000,INDIRECT("RC[-2]",0))&gt;0,"",INDIRECT("RC[-2]",0))</f>
        <v>0</v>
      </c>
    </row>
    <row r="1866" spans="2:6">
      <c r="B1866" t="str" cm="1">
        <f t="array" aca="1" ref="B1866" ca="1">IFERROR(DATE(RIGHT(INDIRECT("RC[-1]",0),4),LEFT(INDIRECT("RC[-1]",0),2),1), "")</f>
        <v/>
      </c>
      <c r="C1866" s="182"/>
      <c r="F1866" cm="1">
        <f t="array" aca="1" ref="F1866" ca="1">IF(COUNTIF($E$2:$E$2000,INDIRECT("RC[-2]",0))&gt;0,"",INDIRECT("RC[-2]",0))</f>
        <v>0</v>
      </c>
    </row>
    <row r="1867" spans="2:6">
      <c r="B1867" t="str" cm="1">
        <f t="array" aca="1" ref="B1867" ca="1">IFERROR(DATE(RIGHT(INDIRECT("RC[-1]",0),4),LEFT(INDIRECT("RC[-1]",0),2),1), "")</f>
        <v/>
      </c>
      <c r="C1867" s="182"/>
      <c r="F1867" cm="1">
        <f t="array" aca="1" ref="F1867" ca="1">IF(COUNTIF($E$2:$E$2000,INDIRECT("RC[-2]",0))&gt;0,"",INDIRECT("RC[-2]",0))</f>
        <v>0</v>
      </c>
    </row>
    <row r="1868" spans="2:6">
      <c r="B1868" t="str" cm="1">
        <f t="array" aca="1" ref="B1868" ca="1">IFERROR(DATE(RIGHT(INDIRECT("RC[-1]",0),4),LEFT(INDIRECT("RC[-1]",0),2),1), "")</f>
        <v/>
      </c>
      <c r="C1868" s="182"/>
      <c r="F1868" cm="1">
        <f t="array" aca="1" ref="F1868" ca="1">IF(COUNTIF($E$2:$E$2000,INDIRECT("RC[-2]",0))&gt;0,"",INDIRECT("RC[-2]",0))</f>
        <v>0</v>
      </c>
    </row>
    <row r="1869" spans="2:6">
      <c r="B1869" t="str" cm="1">
        <f t="array" aca="1" ref="B1869" ca="1">IFERROR(DATE(RIGHT(INDIRECT("RC[-1]",0),4),LEFT(INDIRECT("RC[-1]",0),2),1), "")</f>
        <v/>
      </c>
      <c r="C1869" s="182"/>
      <c r="F1869" cm="1">
        <f t="array" aca="1" ref="F1869" ca="1">IF(COUNTIF($E$2:$E$2000,INDIRECT("RC[-2]",0))&gt;0,"",INDIRECT("RC[-2]",0))</f>
        <v>0</v>
      </c>
    </row>
    <row r="1870" spans="2:6">
      <c r="B1870" t="str" cm="1">
        <f t="array" aca="1" ref="B1870" ca="1">IFERROR(DATE(RIGHT(INDIRECT("RC[-1]",0),4),LEFT(INDIRECT("RC[-1]",0),2),1), "")</f>
        <v/>
      </c>
      <c r="C1870" s="182"/>
      <c r="F1870" cm="1">
        <f t="array" aca="1" ref="F1870" ca="1">IF(COUNTIF($E$2:$E$2000,INDIRECT("RC[-2]",0))&gt;0,"",INDIRECT("RC[-2]",0))</f>
        <v>0</v>
      </c>
    </row>
    <row r="1871" spans="2:6">
      <c r="B1871" t="str" cm="1">
        <f t="array" aca="1" ref="B1871" ca="1">IFERROR(DATE(RIGHT(INDIRECT("RC[-1]",0),4),LEFT(INDIRECT("RC[-1]",0),2),1), "")</f>
        <v/>
      </c>
      <c r="C1871" s="182"/>
      <c r="F1871" cm="1">
        <f t="array" aca="1" ref="F1871" ca="1">IF(COUNTIF($E$2:$E$2000,INDIRECT("RC[-2]",0))&gt;0,"",INDIRECT("RC[-2]",0))</f>
        <v>0</v>
      </c>
    </row>
    <row r="1872" spans="2:6">
      <c r="B1872" t="str" cm="1">
        <f t="array" aca="1" ref="B1872" ca="1">IFERROR(DATE(RIGHT(INDIRECT("RC[-1]",0),4),LEFT(INDIRECT("RC[-1]",0),2),1), "")</f>
        <v/>
      </c>
      <c r="C1872" s="182"/>
      <c r="F1872" cm="1">
        <f t="array" aca="1" ref="F1872" ca="1">IF(COUNTIF($E$2:$E$2000,INDIRECT("RC[-2]",0))&gt;0,"",INDIRECT("RC[-2]",0))</f>
        <v>0</v>
      </c>
    </row>
    <row r="1873" spans="2:6">
      <c r="B1873" t="str" cm="1">
        <f t="array" aca="1" ref="B1873" ca="1">IFERROR(DATE(RIGHT(INDIRECT("RC[-1]",0),4),LEFT(INDIRECT("RC[-1]",0),2),1), "")</f>
        <v/>
      </c>
      <c r="C1873" s="182"/>
      <c r="F1873" cm="1">
        <f t="array" aca="1" ref="F1873" ca="1">IF(COUNTIF($E$2:$E$2000,INDIRECT("RC[-2]",0))&gt;0,"",INDIRECT("RC[-2]",0))</f>
        <v>0</v>
      </c>
    </row>
    <row r="1874" spans="2:6">
      <c r="B1874" t="str" cm="1">
        <f t="array" aca="1" ref="B1874" ca="1">IFERROR(DATE(RIGHT(INDIRECT("RC[-1]",0),4),LEFT(INDIRECT("RC[-1]",0),2),1), "")</f>
        <v/>
      </c>
      <c r="C1874" s="182"/>
      <c r="F1874" cm="1">
        <f t="array" aca="1" ref="F1874" ca="1">IF(COUNTIF($E$2:$E$2000,INDIRECT("RC[-2]",0))&gt;0,"",INDIRECT("RC[-2]",0))</f>
        <v>0</v>
      </c>
    </row>
    <row r="1875" spans="2:6">
      <c r="B1875" t="str" cm="1">
        <f t="array" aca="1" ref="B1875" ca="1">IFERROR(DATE(RIGHT(INDIRECT("RC[-1]",0),4),LEFT(INDIRECT("RC[-1]",0),2),1), "")</f>
        <v/>
      </c>
      <c r="C1875" s="182"/>
      <c r="F1875" cm="1">
        <f t="array" aca="1" ref="F1875" ca="1">IF(COUNTIF($E$2:$E$2000,INDIRECT("RC[-2]",0))&gt;0,"",INDIRECT("RC[-2]",0))</f>
        <v>0</v>
      </c>
    </row>
    <row r="1876" spans="2:6">
      <c r="B1876" t="str" cm="1">
        <f t="array" aca="1" ref="B1876" ca="1">IFERROR(DATE(RIGHT(INDIRECT("RC[-1]",0),4),LEFT(INDIRECT("RC[-1]",0),2),1), "")</f>
        <v/>
      </c>
      <c r="C1876" s="182"/>
      <c r="F1876" cm="1">
        <f t="array" aca="1" ref="F1876" ca="1">IF(COUNTIF($E$2:$E$2000,INDIRECT("RC[-2]",0))&gt;0,"",INDIRECT("RC[-2]",0))</f>
        <v>0</v>
      </c>
    </row>
    <row r="1877" spans="2:6">
      <c r="B1877" t="str" cm="1">
        <f t="array" aca="1" ref="B1877" ca="1">IFERROR(DATE(RIGHT(INDIRECT("RC[-1]",0),4),LEFT(INDIRECT("RC[-1]",0),2),1), "")</f>
        <v/>
      </c>
      <c r="C1877" s="182"/>
      <c r="F1877" cm="1">
        <f t="array" aca="1" ref="F1877" ca="1">IF(COUNTIF($E$2:$E$2000,INDIRECT("RC[-2]",0))&gt;0,"",INDIRECT("RC[-2]",0))</f>
        <v>0</v>
      </c>
    </row>
    <row r="1878" spans="2:6">
      <c r="B1878" t="str" cm="1">
        <f t="array" aca="1" ref="B1878" ca="1">IFERROR(DATE(RIGHT(INDIRECT("RC[-1]",0),4),LEFT(INDIRECT("RC[-1]",0),2),1), "")</f>
        <v/>
      </c>
      <c r="C1878" s="182"/>
      <c r="F1878" cm="1">
        <f t="array" aca="1" ref="F1878" ca="1">IF(COUNTIF($E$2:$E$2000,INDIRECT("RC[-2]",0))&gt;0,"",INDIRECT("RC[-2]",0))</f>
        <v>0</v>
      </c>
    </row>
    <row r="1879" spans="2:6">
      <c r="B1879" t="str" cm="1">
        <f t="array" aca="1" ref="B1879" ca="1">IFERROR(DATE(RIGHT(INDIRECT("RC[-1]",0),4),LEFT(INDIRECT("RC[-1]",0),2),1), "")</f>
        <v/>
      </c>
      <c r="C1879" s="182"/>
      <c r="F1879" cm="1">
        <f t="array" aca="1" ref="F1879" ca="1">IF(COUNTIF($E$2:$E$2000,INDIRECT("RC[-2]",0))&gt;0,"",INDIRECT("RC[-2]",0))</f>
        <v>0</v>
      </c>
    </row>
    <row r="1880" spans="2:6">
      <c r="B1880" t="str" cm="1">
        <f t="array" aca="1" ref="B1880" ca="1">IFERROR(DATE(RIGHT(INDIRECT("RC[-1]",0),4),LEFT(INDIRECT("RC[-1]",0),2),1), "")</f>
        <v/>
      </c>
      <c r="C1880" s="182"/>
      <c r="F1880" cm="1">
        <f t="array" aca="1" ref="F1880" ca="1">IF(COUNTIF($E$2:$E$2000,INDIRECT("RC[-2]",0))&gt;0,"",INDIRECT("RC[-2]",0))</f>
        <v>0</v>
      </c>
    </row>
    <row r="1881" spans="2:6">
      <c r="B1881" t="str" cm="1">
        <f t="array" aca="1" ref="B1881" ca="1">IFERROR(DATE(RIGHT(INDIRECT("RC[-1]",0),4),LEFT(INDIRECT("RC[-1]",0),2),1), "")</f>
        <v/>
      </c>
      <c r="C1881" s="182"/>
      <c r="F1881" cm="1">
        <f t="array" aca="1" ref="F1881" ca="1">IF(COUNTIF($E$2:$E$2000,INDIRECT("RC[-2]",0))&gt;0,"",INDIRECT("RC[-2]",0))</f>
        <v>0</v>
      </c>
    </row>
    <row r="1882" spans="2:6">
      <c r="B1882" t="str" cm="1">
        <f t="array" aca="1" ref="B1882" ca="1">IFERROR(DATE(RIGHT(INDIRECT("RC[-1]",0),4),LEFT(INDIRECT("RC[-1]",0),2),1), "")</f>
        <v/>
      </c>
      <c r="C1882" s="182"/>
      <c r="F1882" cm="1">
        <f t="array" aca="1" ref="F1882" ca="1">IF(COUNTIF($E$2:$E$2000,INDIRECT("RC[-2]",0))&gt;0,"",INDIRECT("RC[-2]",0))</f>
        <v>0</v>
      </c>
    </row>
    <row r="1883" spans="2:6">
      <c r="B1883" t="str" cm="1">
        <f t="array" aca="1" ref="B1883" ca="1">IFERROR(DATE(RIGHT(INDIRECT("RC[-1]",0),4),LEFT(INDIRECT("RC[-1]",0),2),1), "")</f>
        <v/>
      </c>
      <c r="C1883" s="182"/>
      <c r="F1883" cm="1">
        <f t="array" aca="1" ref="F1883" ca="1">IF(COUNTIF($E$2:$E$2000,INDIRECT("RC[-2]",0))&gt;0,"",INDIRECT("RC[-2]",0))</f>
        <v>0</v>
      </c>
    </row>
    <row r="1884" spans="2:6">
      <c r="B1884" t="str" cm="1">
        <f t="array" aca="1" ref="B1884" ca="1">IFERROR(DATE(RIGHT(INDIRECT("RC[-1]",0),4),LEFT(INDIRECT("RC[-1]",0),2),1), "")</f>
        <v/>
      </c>
      <c r="C1884" s="182"/>
      <c r="F1884" cm="1">
        <f t="array" aca="1" ref="F1884" ca="1">IF(COUNTIF($E$2:$E$2000,INDIRECT("RC[-2]",0))&gt;0,"",INDIRECT("RC[-2]",0))</f>
        <v>0</v>
      </c>
    </row>
    <row r="1885" spans="2:6">
      <c r="B1885" t="str" cm="1">
        <f t="array" aca="1" ref="B1885" ca="1">IFERROR(DATE(RIGHT(INDIRECT("RC[-1]",0),4),LEFT(INDIRECT("RC[-1]",0),2),1), "")</f>
        <v/>
      </c>
      <c r="C1885" s="182"/>
      <c r="F1885" cm="1">
        <f t="array" aca="1" ref="F1885" ca="1">IF(COUNTIF($E$2:$E$2000,INDIRECT("RC[-2]",0))&gt;0,"",INDIRECT("RC[-2]",0))</f>
        <v>0</v>
      </c>
    </row>
    <row r="1886" spans="2:6">
      <c r="B1886" t="str" cm="1">
        <f t="array" aca="1" ref="B1886" ca="1">IFERROR(DATE(RIGHT(INDIRECT("RC[-1]",0),4),LEFT(INDIRECT("RC[-1]",0),2),1), "")</f>
        <v/>
      </c>
      <c r="C1886" s="182"/>
      <c r="F1886" cm="1">
        <f t="array" aca="1" ref="F1886" ca="1">IF(COUNTIF($E$2:$E$2000,INDIRECT("RC[-2]",0))&gt;0,"",INDIRECT("RC[-2]",0))</f>
        <v>0</v>
      </c>
    </row>
    <row r="1887" spans="2:6">
      <c r="B1887" t="str" cm="1">
        <f t="array" aca="1" ref="B1887" ca="1">IFERROR(DATE(RIGHT(INDIRECT("RC[-1]",0),4),LEFT(INDIRECT("RC[-1]",0),2),1), "")</f>
        <v/>
      </c>
      <c r="C1887" s="182"/>
      <c r="F1887" cm="1">
        <f t="array" aca="1" ref="F1887" ca="1">IF(COUNTIF($E$2:$E$2000,INDIRECT("RC[-2]",0))&gt;0,"",INDIRECT("RC[-2]",0))</f>
        <v>0</v>
      </c>
    </row>
    <row r="1888" spans="2:6">
      <c r="B1888" t="str" cm="1">
        <f t="array" aca="1" ref="B1888" ca="1">IFERROR(DATE(RIGHT(INDIRECT("RC[-1]",0),4),LEFT(INDIRECT("RC[-1]",0),2),1), "")</f>
        <v/>
      </c>
      <c r="C1888" s="182"/>
      <c r="F1888" cm="1">
        <f t="array" aca="1" ref="F1888" ca="1">IF(COUNTIF($E$2:$E$2000,INDIRECT("RC[-2]",0))&gt;0,"",INDIRECT("RC[-2]",0))</f>
        <v>0</v>
      </c>
    </row>
    <row r="1889" spans="2:6">
      <c r="B1889" t="str" cm="1">
        <f t="array" aca="1" ref="B1889" ca="1">IFERROR(DATE(RIGHT(INDIRECT("RC[-1]",0),4),LEFT(INDIRECT("RC[-1]",0),2),1), "")</f>
        <v/>
      </c>
      <c r="C1889" s="182"/>
      <c r="F1889" cm="1">
        <f t="array" aca="1" ref="F1889" ca="1">IF(COUNTIF($E$2:$E$2000,INDIRECT("RC[-2]",0))&gt;0,"",INDIRECT("RC[-2]",0))</f>
        <v>0</v>
      </c>
    </row>
    <row r="1890" spans="2:6">
      <c r="B1890" t="str" cm="1">
        <f t="array" aca="1" ref="B1890" ca="1">IFERROR(DATE(RIGHT(INDIRECT("RC[-1]",0),4),LEFT(INDIRECT("RC[-1]",0),2),1), "")</f>
        <v/>
      </c>
      <c r="C1890" s="182"/>
      <c r="F1890" cm="1">
        <f t="array" aca="1" ref="F1890" ca="1">IF(COUNTIF($E$2:$E$2000,INDIRECT("RC[-2]",0))&gt;0,"",INDIRECT("RC[-2]",0))</f>
        <v>0</v>
      </c>
    </row>
    <row r="1891" spans="2:6">
      <c r="B1891" t="str" cm="1">
        <f t="array" aca="1" ref="B1891" ca="1">IFERROR(DATE(RIGHT(INDIRECT("RC[-1]",0),4),LEFT(INDIRECT("RC[-1]",0),2),1), "")</f>
        <v/>
      </c>
      <c r="C1891" s="182"/>
      <c r="F1891" cm="1">
        <f t="array" aca="1" ref="F1891" ca="1">IF(COUNTIF($E$2:$E$2000,INDIRECT("RC[-2]",0))&gt;0,"",INDIRECT("RC[-2]",0))</f>
        <v>0</v>
      </c>
    </row>
    <row r="1892" spans="2:6">
      <c r="B1892" t="str" cm="1">
        <f t="array" aca="1" ref="B1892" ca="1">IFERROR(DATE(RIGHT(INDIRECT("RC[-1]",0),4),LEFT(INDIRECT("RC[-1]",0),2),1), "")</f>
        <v/>
      </c>
      <c r="C1892" s="182"/>
      <c r="F1892" cm="1">
        <f t="array" aca="1" ref="F1892" ca="1">IF(COUNTIF($E$2:$E$2000,INDIRECT("RC[-2]",0))&gt;0,"",INDIRECT("RC[-2]",0))</f>
        <v>0</v>
      </c>
    </row>
    <row r="1893" spans="2:6">
      <c r="B1893" t="str" cm="1">
        <f t="array" aca="1" ref="B1893" ca="1">IFERROR(DATE(RIGHT(INDIRECT("RC[-1]",0),4),LEFT(INDIRECT("RC[-1]",0),2),1), "")</f>
        <v/>
      </c>
      <c r="C1893" s="182"/>
      <c r="F1893" cm="1">
        <f t="array" aca="1" ref="F1893" ca="1">IF(COUNTIF($E$2:$E$2000,INDIRECT("RC[-2]",0))&gt;0,"",INDIRECT("RC[-2]",0))</f>
        <v>0</v>
      </c>
    </row>
    <row r="1894" spans="2:6">
      <c r="B1894" t="str" cm="1">
        <f t="array" aca="1" ref="B1894" ca="1">IFERROR(DATE(RIGHT(INDIRECT("RC[-1]",0),4),LEFT(INDIRECT("RC[-1]",0),2),1), "")</f>
        <v/>
      </c>
      <c r="C1894" s="182"/>
      <c r="F1894" cm="1">
        <f t="array" aca="1" ref="F1894" ca="1">IF(COUNTIF($E$2:$E$2000,INDIRECT("RC[-2]",0))&gt;0,"",INDIRECT("RC[-2]",0))</f>
        <v>0</v>
      </c>
    </row>
    <row r="1895" spans="2:6">
      <c r="B1895" t="str" cm="1">
        <f t="array" aca="1" ref="B1895" ca="1">IFERROR(DATE(RIGHT(INDIRECT("RC[-1]",0),4),LEFT(INDIRECT("RC[-1]",0),2),1), "")</f>
        <v/>
      </c>
      <c r="C1895" s="182"/>
      <c r="F1895" cm="1">
        <f t="array" aca="1" ref="F1895" ca="1">IF(COUNTIF($E$2:$E$2000,INDIRECT("RC[-2]",0))&gt;0,"",INDIRECT("RC[-2]",0))</f>
        <v>0</v>
      </c>
    </row>
    <row r="1896" spans="2:6">
      <c r="B1896" t="str" cm="1">
        <f t="array" aca="1" ref="B1896" ca="1">IFERROR(DATE(RIGHT(INDIRECT("RC[-1]",0),4),LEFT(INDIRECT("RC[-1]",0),2),1), "")</f>
        <v/>
      </c>
      <c r="C1896" s="182"/>
      <c r="F1896" cm="1">
        <f t="array" aca="1" ref="F1896" ca="1">IF(COUNTIF($E$2:$E$2000,INDIRECT("RC[-2]",0))&gt;0,"",INDIRECT("RC[-2]",0))</f>
        <v>0</v>
      </c>
    </row>
    <row r="1897" spans="2:6">
      <c r="B1897" t="str" cm="1">
        <f t="array" aca="1" ref="B1897" ca="1">IFERROR(DATE(RIGHT(INDIRECT("RC[-1]",0),4),LEFT(INDIRECT("RC[-1]",0),2),1), "")</f>
        <v/>
      </c>
      <c r="C1897" s="182"/>
      <c r="F1897" cm="1">
        <f t="array" aca="1" ref="F1897" ca="1">IF(COUNTIF($E$2:$E$2000,INDIRECT("RC[-2]",0))&gt;0,"",INDIRECT("RC[-2]",0))</f>
        <v>0</v>
      </c>
    </row>
    <row r="1898" spans="2:6">
      <c r="B1898" t="str" cm="1">
        <f t="array" aca="1" ref="B1898" ca="1">IFERROR(DATE(RIGHT(INDIRECT("RC[-1]",0),4),LEFT(INDIRECT("RC[-1]",0),2),1), "")</f>
        <v/>
      </c>
      <c r="C1898" s="182"/>
      <c r="F1898" cm="1">
        <f t="array" aca="1" ref="F1898" ca="1">IF(COUNTIF($E$2:$E$2000,INDIRECT("RC[-2]",0))&gt;0,"",INDIRECT("RC[-2]",0))</f>
        <v>0</v>
      </c>
    </row>
    <row r="1899" spans="2:6">
      <c r="B1899" t="str" cm="1">
        <f t="array" aca="1" ref="B1899" ca="1">IFERROR(DATE(RIGHT(INDIRECT("RC[-1]",0),4),LEFT(INDIRECT("RC[-1]",0),2),1), "")</f>
        <v/>
      </c>
      <c r="C1899" s="182"/>
      <c r="F1899" cm="1">
        <f t="array" aca="1" ref="F1899" ca="1">IF(COUNTIF($E$2:$E$2000,INDIRECT("RC[-2]",0))&gt;0,"",INDIRECT("RC[-2]",0))</f>
        <v>0</v>
      </c>
    </row>
    <row r="1900" spans="2:6">
      <c r="B1900" t="str" cm="1">
        <f t="array" aca="1" ref="B1900" ca="1">IFERROR(DATE(RIGHT(INDIRECT("RC[-1]",0),4),LEFT(INDIRECT("RC[-1]",0),2),1), "")</f>
        <v/>
      </c>
      <c r="C1900" s="182"/>
      <c r="F1900" cm="1">
        <f t="array" aca="1" ref="F1900" ca="1">IF(COUNTIF($E$2:$E$2000,INDIRECT("RC[-2]",0))&gt;0,"",INDIRECT("RC[-2]",0))</f>
        <v>0</v>
      </c>
    </row>
    <row r="1901" spans="2:6">
      <c r="B1901" t="str" cm="1">
        <f t="array" aca="1" ref="B1901" ca="1">IFERROR(DATE(RIGHT(INDIRECT("RC[-1]",0),4),LEFT(INDIRECT("RC[-1]",0),2),1), "")</f>
        <v/>
      </c>
      <c r="C1901" s="182"/>
      <c r="F1901" cm="1">
        <f t="array" aca="1" ref="F1901" ca="1">IF(COUNTIF($E$2:$E$2000,INDIRECT("RC[-2]",0))&gt;0,"",INDIRECT("RC[-2]",0))</f>
        <v>0</v>
      </c>
    </row>
    <row r="1902" spans="2:6">
      <c r="B1902" t="str" cm="1">
        <f t="array" aca="1" ref="B1902" ca="1">IFERROR(DATE(RIGHT(INDIRECT("RC[-1]",0),4),LEFT(INDIRECT("RC[-1]",0),2),1), "")</f>
        <v/>
      </c>
      <c r="C1902" s="182"/>
      <c r="F1902" cm="1">
        <f t="array" aca="1" ref="F1902" ca="1">IF(COUNTIF($E$2:$E$2000,INDIRECT("RC[-2]",0))&gt;0,"",INDIRECT("RC[-2]",0))</f>
        <v>0</v>
      </c>
    </row>
    <row r="1903" spans="2:6">
      <c r="B1903" t="str" cm="1">
        <f t="array" aca="1" ref="B1903" ca="1">IFERROR(DATE(RIGHT(INDIRECT("RC[-1]",0),4),LEFT(INDIRECT("RC[-1]",0),2),1), "")</f>
        <v/>
      </c>
      <c r="C1903" s="182"/>
      <c r="F1903" cm="1">
        <f t="array" aca="1" ref="F1903" ca="1">IF(COUNTIF($E$2:$E$2000,INDIRECT("RC[-2]",0))&gt;0,"",INDIRECT("RC[-2]",0))</f>
        <v>0</v>
      </c>
    </row>
    <row r="1904" spans="2:6">
      <c r="B1904" t="str" cm="1">
        <f t="array" aca="1" ref="B1904" ca="1">IFERROR(DATE(RIGHT(INDIRECT("RC[-1]",0),4),LEFT(INDIRECT("RC[-1]",0),2),1), "")</f>
        <v/>
      </c>
      <c r="C1904" s="182"/>
      <c r="F1904" cm="1">
        <f t="array" aca="1" ref="F1904" ca="1">IF(COUNTIF($E$2:$E$2000,INDIRECT("RC[-2]",0))&gt;0,"",INDIRECT("RC[-2]",0))</f>
        <v>0</v>
      </c>
    </row>
    <row r="1905" spans="2:6">
      <c r="B1905" t="str" cm="1">
        <f t="array" aca="1" ref="B1905" ca="1">IFERROR(DATE(RIGHT(INDIRECT("RC[-1]",0),4),LEFT(INDIRECT("RC[-1]",0),2),1), "")</f>
        <v/>
      </c>
      <c r="C1905" s="182"/>
      <c r="F1905" cm="1">
        <f t="array" aca="1" ref="F1905" ca="1">IF(COUNTIF($E$2:$E$2000,INDIRECT("RC[-2]",0))&gt;0,"",INDIRECT("RC[-2]",0))</f>
        <v>0</v>
      </c>
    </row>
    <row r="1906" spans="2:6">
      <c r="B1906" t="str" cm="1">
        <f t="array" aca="1" ref="B1906" ca="1">IFERROR(DATE(RIGHT(INDIRECT("RC[-1]",0),4),LEFT(INDIRECT("RC[-1]",0),2),1), "")</f>
        <v/>
      </c>
      <c r="C1906" s="182"/>
      <c r="F1906" cm="1">
        <f t="array" aca="1" ref="F1906" ca="1">IF(COUNTIF($E$2:$E$2000,INDIRECT("RC[-2]",0))&gt;0,"",INDIRECT("RC[-2]",0))</f>
        <v>0</v>
      </c>
    </row>
    <row r="1907" spans="2:6">
      <c r="B1907" t="str" cm="1">
        <f t="array" aca="1" ref="B1907" ca="1">IFERROR(DATE(RIGHT(INDIRECT("RC[-1]",0),4),LEFT(INDIRECT("RC[-1]",0),2),1), "")</f>
        <v/>
      </c>
      <c r="C1907" s="182"/>
      <c r="F1907" cm="1">
        <f t="array" aca="1" ref="F1907" ca="1">IF(COUNTIF($E$2:$E$2000,INDIRECT("RC[-2]",0))&gt;0,"",INDIRECT("RC[-2]",0))</f>
        <v>0</v>
      </c>
    </row>
    <row r="1908" spans="2:6">
      <c r="B1908" t="str" cm="1">
        <f t="array" aca="1" ref="B1908" ca="1">IFERROR(DATE(RIGHT(INDIRECT("RC[-1]",0),4),LEFT(INDIRECT("RC[-1]",0),2),1), "")</f>
        <v/>
      </c>
      <c r="C1908" s="182"/>
      <c r="F1908" cm="1">
        <f t="array" aca="1" ref="F1908" ca="1">IF(COUNTIF($E$2:$E$2000,INDIRECT("RC[-2]",0))&gt;0,"",INDIRECT("RC[-2]",0))</f>
        <v>0</v>
      </c>
    </row>
    <row r="1909" spans="2:6">
      <c r="B1909" t="str" cm="1">
        <f t="array" aca="1" ref="B1909" ca="1">IFERROR(DATE(RIGHT(INDIRECT("RC[-1]",0),4),LEFT(INDIRECT("RC[-1]",0),2),1), "")</f>
        <v/>
      </c>
      <c r="C1909" s="182"/>
      <c r="F1909" cm="1">
        <f t="array" aca="1" ref="F1909" ca="1">IF(COUNTIF($E$2:$E$2000,INDIRECT("RC[-2]",0))&gt;0,"",INDIRECT("RC[-2]",0))</f>
        <v>0</v>
      </c>
    </row>
    <row r="1910" spans="2:6">
      <c r="B1910" t="str" cm="1">
        <f t="array" aca="1" ref="B1910" ca="1">IFERROR(DATE(RIGHT(INDIRECT("RC[-1]",0),4),LEFT(INDIRECT("RC[-1]",0),2),1), "")</f>
        <v/>
      </c>
      <c r="C1910" s="182"/>
      <c r="F1910" cm="1">
        <f t="array" aca="1" ref="F1910" ca="1">IF(COUNTIF($E$2:$E$2000,INDIRECT("RC[-2]",0))&gt;0,"",INDIRECT("RC[-2]",0))</f>
        <v>0</v>
      </c>
    </row>
    <row r="1911" spans="2:6">
      <c r="B1911" t="str" cm="1">
        <f t="array" aca="1" ref="B1911" ca="1">IFERROR(DATE(RIGHT(INDIRECT("RC[-1]",0),4),LEFT(INDIRECT("RC[-1]",0),2),1), "")</f>
        <v/>
      </c>
      <c r="C1911" s="182"/>
      <c r="F1911" cm="1">
        <f t="array" aca="1" ref="F1911" ca="1">IF(COUNTIF($E$2:$E$2000,INDIRECT("RC[-2]",0))&gt;0,"",INDIRECT("RC[-2]",0))</f>
        <v>0</v>
      </c>
    </row>
    <row r="1912" spans="2:6">
      <c r="B1912" t="str" cm="1">
        <f t="array" aca="1" ref="B1912" ca="1">IFERROR(DATE(RIGHT(INDIRECT("RC[-1]",0),4),LEFT(INDIRECT("RC[-1]",0),2),1), "")</f>
        <v/>
      </c>
      <c r="C1912" s="182"/>
      <c r="F1912" cm="1">
        <f t="array" aca="1" ref="F1912" ca="1">IF(COUNTIF($E$2:$E$2000,INDIRECT("RC[-2]",0))&gt;0,"",INDIRECT("RC[-2]",0))</f>
        <v>0</v>
      </c>
    </row>
    <row r="1913" spans="2:6">
      <c r="B1913" t="str" cm="1">
        <f t="array" aca="1" ref="B1913" ca="1">IFERROR(DATE(RIGHT(INDIRECT("RC[-1]",0),4),LEFT(INDIRECT("RC[-1]",0),2),1), "")</f>
        <v/>
      </c>
      <c r="C1913" s="182"/>
      <c r="F1913" cm="1">
        <f t="array" aca="1" ref="F1913" ca="1">IF(COUNTIF($E$2:$E$2000,INDIRECT("RC[-2]",0))&gt;0,"",INDIRECT("RC[-2]",0))</f>
        <v>0</v>
      </c>
    </row>
    <row r="1914" spans="2:6">
      <c r="B1914" t="str" cm="1">
        <f t="array" aca="1" ref="B1914" ca="1">IFERROR(DATE(RIGHT(INDIRECT("RC[-1]",0),4),LEFT(INDIRECT("RC[-1]",0),2),1), "")</f>
        <v/>
      </c>
      <c r="C1914" s="182"/>
      <c r="F1914" cm="1">
        <f t="array" aca="1" ref="F1914" ca="1">IF(COUNTIF($E$2:$E$2000,INDIRECT("RC[-2]",0))&gt;0,"",INDIRECT("RC[-2]",0))</f>
        <v>0</v>
      </c>
    </row>
    <row r="1915" spans="2:6">
      <c r="B1915" t="str" cm="1">
        <f t="array" aca="1" ref="B1915" ca="1">IFERROR(DATE(RIGHT(INDIRECT("RC[-1]",0),4),LEFT(INDIRECT("RC[-1]",0),2),1), "")</f>
        <v/>
      </c>
      <c r="C1915" s="182"/>
      <c r="F1915" cm="1">
        <f t="array" aca="1" ref="F1915" ca="1">IF(COUNTIF($E$2:$E$2000,INDIRECT("RC[-2]",0))&gt;0,"",INDIRECT("RC[-2]",0))</f>
        <v>0</v>
      </c>
    </row>
    <row r="1916" spans="2:6">
      <c r="B1916" t="str" cm="1">
        <f t="array" aca="1" ref="B1916" ca="1">IFERROR(DATE(RIGHT(INDIRECT("RC[-1]",0),4),LEFT(INDIRECT("RC[-1]",0),2),1), "")</f>
        <v/>
      </c>
      <c r="C1916" s="182"/>
      <c r="F1916" cm="1">
        <f t="array" aca="1" ref="F1916" ca="1">IF(COUNTIF($E$2:$E$2000,INDIRECT("RC[-2]",0))&gt;0,"",INDIRECT("RC[-2]",0))</f>
        <v>0</v>
      </c>
    </row>
    <row r="1917" spans="2:6">
      <c r="B1917" t="str" cm="1">
        <f t="array" aca="1" ref="B1917" ca="1">IFERROR(DATE(RIGHT(INDIRECT("RC[-1]",0),4),LEFT(INDIRECT("RC[-1]",0),2),1), "")</f>
        <v/>
      </c>
      <c r="C1917" s="182"/>
      <c r="F1917" cm="1">
        <f t="array" aca="1" ref="F1917" ca="1">IF(COUNTIF($E$2:$E$2000,INDIRECT("RC[-2]",0))&gt;0,"",INDIRECT("RC[-2]",0))</f>
        <v>0</v>
      </c>
    </row>
    <row r="1918" spans="2:6">
      <c r="B1918" t="str" cm="1">
        <f t="array" aca="1" ref="B1918" ca="1">IFERROR(DATE(RIGHT(INDIRECT("RC[-1]",0),4),LEFT(INDIRECT("RC[-1]",0),2),1), "")</f>
        <v/>
      </c>
      <c r="C1918" s="182"/>
      <c r="F1918" cm="1">
        <f t="array" aca="1" ref="F1918" ca="1">IF(COUNTIF($E$2:$E$2000,INDIRECT("RC[-2]",0))&gt;0,"",INDIRECT("RC[-2]",0))</f>
        <v>0</v>
      </c>
    </row>
    <row r="1919" spans="2:6">
      <c r="B1919" t="str" cm="1">
        <f t="array" aca="1" ref="B1919" ca="1">IFERROR(DATE(RIGHT(INDIRECT("RC[-1]",0),4),LEFT(INDIRECT("RC[-1]",0),2),1), "")</f>
        <v/>
      </c>
      <c r="C1919" s="182"/>
      <c r="F1919" cm="1">
        <f t="array" aca="1" ref="F1919" ca="1">IF(COUNTIF($E$2:$E$2000,INDIRECT("RC[-2]",0))&gt;0,"",INDIRECT("RC[-2]",0))</f>
        <v>0</v>
      </c>
    </row>
    <row r="1920" spans="2:6">
      <c r="B1920" t="str" cm="1">
        <f t="array" aca="1" ref="B1920" ca="1">IFERROR(DATE(RIGHT(INDIRECT("RC[-1]",0),4),LEFT(INDIRECT("RC[-1]",0),2),1), "")</f>
        <v/>
      </c>
      <c r="C1920" s="182"/>
      <c r="F1920" cm="1">
        <f t="array" aca="1" ref="F1920" ca="1">IF(COUNTIF($E$2:$E$2000,INDIRECT("RC[-2]",0))&gt;0,"",INDIRECT("RC[-2]",0))</f>
        <v>0</v>
      </c>
    </row>
    <row r="1921" spans="2:6">
      <c r="B1921" t="str" cm="1">
        <f t="array" aca="1" ref="B1921" ca="1">IFERROR(DATE(RIGHT(INDIRECT("RC[-1]",0),4),LEFT(INDIRECT("RC[-1]",0),2),1), "")</f>
        <v/>
      </c>
      <c r="C1921" s="182"/>
      <c r="F1921" cm="1">
        <f t="array" aca="1" ref="F1921" ca="1">IF(COUNTIF($E$2:$E$2000,INDIRECT("RC[-2]",0))&gt;0,"",INDIRECT("RC[-2]",0))</f>
        <v>0</v>
      </c>
    </row>
    <row r="1922" spans="2:6">
      <c r="B1922" t="str" cm="1">
        <f t="array" aca="1" ref="B1922" ca="1">IFERROR(DATE(RIGHT(INDIRECT("RC[-1]",0),4),LEFT(INDIRECT("RC[-1]",0),2),1), "")</f>
        <v/>
      </c>
      <c r="C1922" s="182"/>
      <c r="F1922" cm="1">
        <f t="array" aca="1" ref="F1922" ca="1">IF(COUNTIF($E$2:$E$2000,INDIRECT("RC[-2]",0))&gt;0,"",INDIRECT("RC[-2]",0))</f>
        <v>0</v>
      </c>
    </row>
    <row r="1923" spans="2:6">
      <c r="B1923" t="str" cm="1">
        <f t="array" aca="1" ref="B1923" ca="1">IFERROR(DATE(RIGHT(INDIRECT("RC[-1]",0),4),LEFT(INDIRECT("RC[-1]",0),2),1), "")</f>
        <v/>
      </c>
      <c r="C1923" s="182"/>
      <c r="F1923" cm="1">
        <f t="array" aca="1" ref="F1923" ca="1">IF(COUNTIF($E$2:$E$2000,INDIRECT("RC[-2]",0))&gt;0,"",INDIRECT("RC[-2]",0))</f>
        <v>0</v>
      </c>
    </row>
    <row r="1924" spans="2:6">
      <c r="B1924" t="str" cm="1">
        <f t="array" aca="1" ref="B1924" ca="1">IFERROR(DATE(RIGHT(INDIRECT("RC[-1]",0),4),LEFT(INDIRECT("RC[-1]",0),2),1), "")</f>
        <v/>
      </c>
      <c r="C1924" s="182"/>
      <c r="F1924" cm="1">
        <f t="array" aca="1" ref="F1924" ca="1">IF(COUNTIF($E$2:$E$2000,INDIRECT("RC[-2]",0))&gt;0,"",INDIRECT("RC[-2]",0))</f>
        <v>0</v>
      </c>
    </row>
    <row r="1925" spans="2:6">
      <c r="B1925" t="str" cm="1">
        <f t="array" aca="1" ref="B1925" ca="1">IFERROR(DATE(RIGHT(INDIRECT("RC[-1]",0),4),LEFT(INDIRECT("RC[-1]",0),2),1), "")</f>
        <v/>
      </c>
      <c r="C1925" s="182"/>
      <c r="F1925" cm="1">
        <f t="array" aca="1" ref="F1925" ca="1">IF(COUNTIF($E$2:$E$2000,INDIRECT("RC[-2]",0))&gt;0,"",INDIRECT("RC[-2]",0))</f>
        <v>0</v>
      </c>
    </row>
    <row r="1926" spans="2:6">
      <c r="B1926" t="str" cm="1">
        <f t="array" aca="1" ref="B1926" ca="1">IFERROR(DATE(RIGHT(INDIRECT("RC[-1]",0),4),LEFT(INDIRECT("RC[-1]",0),2),1), "")</f>
        <v/>
      </c>
      <c r="C1926" s="182"/>
      <c r="F1926" cm="1">
        <f t="array" aca="1" ref="F1926" ca="1">IF(COUNTIF($E$2:$E$2000,INDIRECT("RC[-2]",0))&gt;0,"",INDIRECT("RC[-2]",0))</f>
        <v>0</v>
      </c>
    </row>
    <row r="1927" spans="2:6">
      <c r="B1927" t="str" cm="1">
        <f t="array" aca="1" ref="B1927" ca="1">IFERROR(DATE(RIGHT(INDIRECT("RC[-1]",0),4),LEFT(INDIRECT("RC[-1]",0),2),1), "")</f>
        <v/>
      </c>
      <c r="C1927" s="182"/>
      <c r="F1927" cm="1">
        <f t="array" aca="1" ref="F1927" ca="1">IF(COUNTIF($E$2:$E$2000,INDIRECT("RC[-2]",0))&gt;0,"",INDIRECT("RC[-2]",0))</f>
        <v>0</v>
      </c>
    </row>
    <row r="1928" spans="2:6">
      <c r="B1928" t="str" cm="1">
        <f t="array" aca="1" ref="B1928" ca="1">IFERROR(DATE(RIGHT(INDIRECT("RC[-1]",0),4),LEFT(INDIRECT("RC[-1]",0),2),1), "")</f>
        <v/>
      </c>
      <c r="C1928" s="182"/>
      <c r="F1928" cm="1">
        <f t="array" aca="1" ref="F1928" ca="1">IF(COUNTIF($E$2:$E$2000,INDIRECT("RC[-2]",0))&gt;0,"",INDIRECT("RC[-2]",0))</f>
        <v>0</v>
      </c>
    </row>
    <row r="1929" spans="2:6">
      <c r="B1929" t="str" cm="1">
        <f t="array" aca="1" ref="B1929" ca="1">IFERROR(DATE(RIGHT(INDIRECT("RC[-1]",0),4),LEFT(INDIRECT("RC[-1]",0),2),1), "")</f>
        <v/>
      </c>
      <c r="C1929" s="182"/>
      <c r="F1929" cm="1">
        <f t="array" aca="1" ref="F1929" ca="1">IF(COUNTIF($E$2:$E$2000,INDIRECT("RC[-2]",0))&gt;0,"",INDIRECT("RC[-2]",0))</f>
        <v>0</v>
      </c>
    </row>
    <row r="1930" spans="2:6">
      <c r="B1930" t="str" cm="1">
        <f t="array" aca="1" ref="B1930" ca="1">IFERROR(DATE(RIGHT(INDIRECT("RC[-1]",0),4),LEFT(INDIRECT("RC[-1]",0),2),1), "")</f>
        <v/>
      </c>
      <c r="C1930" s="182"/>
      <c r="F1930" cm="1">
        <f t="array" aca="1" ref="F1930" ca="1">IF(COUNTIF($E$2:$E$2000,INDIRECT("RC[-2]",0))&gt;0,"",INDIRECT("RC[-2]",0))</f>
        <v>0</v>
      </c>
    </row>
    <row r="1931" spans="2:6">
      <c r="B1931" t="str" cm="1">
        <f t="array" aca="1" ref="B1931" ca="1">IFERROR(DATE(RIGHT(INDIRECT("RC[-1]",0),4),LEFT(INDIRECT("RC[-1]",0),2),1), "")</f>
        <v/>
      </c>
      <c r="C1931" s="182"/>
      <c r="F1931" cm="1">
        <f t="array" aca="1" ref="F1931" ca="1">IF(COUNTIF($E$2:$E$2000,INDIRECT("RC[-2]",0))&gt;0,"",INDIRECT("RC[-2]",0))</f>
        <v>0</v>
      </c>
    </row>
    <row r="1932" spans="2:6">
      <c r="B1932" t="str" cm="1">
        <f t="array" aca="1" ref="B1932" ca="1">IFERROR(DATE(RIGHT(INDIRECT("RC[-1]",0),4),LEFT(INDIRECT("RC[-1]",0),2),1), "")</f>
        <v/>
      </c>
      <c r="C1932" s="182"/>
      <c r="F1932" cm="1">
        <f t="array" aca="1" ref="F1932" ca="1">IF(COUNTIF($E$2:$E$2000,INDIRECT("RC[-2]",0))&gt;0,"",INDIRECT("RC[-2]",0))</f>
        <v>0</v>
      </c>
    </row>
    <row r="1933" spans="2:6">
      <c r="B1933" t="str" cm="1">
        <f t="array" aca="1" ref="B1933" ca="1">IFERROR(DATE(RIGHT(INDIRECT("RC[-1]",0),4),LEFT(INDIRECT("RC[-1]",0),2),1), "")</f>
        <v/>
      </c>
      <c r="C1933" s="182"/>
      <c r="F1933" cm="1">
        <f t="array" aca="1" ref="F1933" ca="1">IF(COUNTIF($E$2:$E$2000,INDIRECT("RC[-2]",0))&gt;0,"",INDIRECT("RC[-2]",0))</f>
        <v>0</v>
      </c>
    </row>
    <row r="1934" spans="2:6">
      <c r="B1934" t="str" cm="1">
        <f t="array" aca="1" ref="B1934" ca="1">IFERROR(DATE(RIGHT(INDIRECT("RC[-1]",0),4),LEFT(INDIRECT("RC[-1]",0),2),1), "")</f>
        <v/>
      </c>
      <c r="C1934" s="182"/>
      <c r="F1934" cm="1">
        <f t="array" aca="1" ref="F1934" ca="1">IF(COUNTIF($E$2:$E$2000,INDIRECT("RC[-2]",0))&gt;0,"",INDIRECT("RC[-2]",0))</f>
        <v>0</v>
      </c>
    </row>
    <row r="1935" spans="2:6">
      <c r="B1935" t="str" cm="1">
        <f t="array" aca="1" ref="B1935" ca="1">IFERROR(DATE(RIGHT(INDIRECT("RC[-1]",0),4),LEFT(INDIRECT("RC[-1]",0),2),1), "")</f>
        <v/>
      </c>
      <c r="C1935" s="182"/>
      <c r="F1935" cm="1">
        <f t="array" aca="1" ref="F1935" ca="1">IF(COUNTIF($E$2:$E$2000,INDIRECT("RC[-2]",0))&gt;0,"",INDIRECT("RC[-2]",0))</f>
        <v>0</v>
      </c>
    </row>
    <row r="1936" spans="2:6">
      <c r="B1936" t="str" cm="1">
        <f t="array" aca="1" ref="B1936" ca="1">IFERROR(DATE(RIGHT(INDIRECT("RC[-1]",0),4),LEFT(INDIRECT("RC[-1]",0),2),1), "")</f>
        <v/>
      </c>
      <c r="C1936" s="182"/>
      <c r="F1936" cm="1">
        <f t="array" aca="1" ref="F1936" ca="1">IF(COUNTIF($E$2:$E$2000,INDIRECT("RC[-2]",0))&gt;0,"",INDIRECT("RC[-2]",0))</f>
        <v>0</v>
      </c>
    </row>
    <row r="1937" spans="2:6">
      <c r="B1937" t="str" cm="1">
        <f t="array" aca="1" ref="B1937" ca="1">IFERROR(DATE(RIGHT(INDIRECT("RC[-1]",0),4),LEFT(INDIRECT("RC[-1]",0),2),1), "")</f>
        <v/>
      </c>
      <c r="C1937" s="182"/>
      <c r="F1937" cm="1">
        <f t="array" aca="1" ref="F1937" ca="1">IF(COUNTIF($E$2:$E$2000,INDIRECT("RC[-2]",0))&gt;0,"",INDIRECT("RC[-2]",0))</f>
        <v>0</v>
      </c>
    </row>
    <row r="1938" spans="2:6">
      <c r="B1938" t="str" cm="1">
        <f t="array" aca="1" ref="B1938" ca="1">IFERROR(DATE(RIGHT(INDIRECT("RC[-1]",0),4),LEFT(INDIRECT("RC[-1]",0),2),1), "")</f>
        <v/>
      </c>
      <c r="C1938" s="182"/>
      <c r="F1938" cm="1">
        <f t="array" aca="1" ref="F1938" ca="1">IF(COUNTIF($E$2:$E$2000,INDIRECT("RC[-2]",0))&gt;0,"",INDIRECT("RC[-2]",0))</f>
        <v>0</v>
      </c>
    </row>
    <row r="1939" spans="2:6">
      <c r="B1939" t="str" cm="1">
        <f t="array" aca="1" ref="B1939" ca="1">IFERROR(DATE(RIGHT(INDIRECT("RC[-1]",0),4),LEFT(INDIRECT("RC[-1]",0),2),1), "")</f>
        <v/>
      </c>
      <c r="C1939" s="182"/>
      <c r="F1939" cm="1">
        <f t="array" aca="1" ref="F1939" ca="1">IF(COUNTIF($E$2:$E$2000,INDIRECT("RC[-2]",0))&gt;0,"",INDIRECT("RC[-2]",0))</f>
        <v>0</v>
      </c>
    </row>
    <row r="1940" spans="2:6">
      <c r="B1940" t="str" cm="1">
        <f t="array" aca="1" ref="B1940" ca="1">IFERROR(DATE(RIGHT(INDIRECT("RC[-1]",0),4),LEFT(INDIRECT("RC[-1]",0),2),1), "")</f>
        <v/>
      </c>
      <c r="C1940" s="182"/>
      <c r="F1940" cm="1">
        <f t="array" aca="1" ref="F1940" ca="1">IF(COUNTIF($E$2:$E$2000,INDIRECT("RC[-2]",0))&gt;0,"",INDIRECT("RC[-2]",0))</f>
        <v>0</v>
      </c>
    </row>
    <row r="1941" spans="2:6">
      <c r="B1941" t="str" cm="1">
        <f t="array" aca="1" ref="B1941" ca="1">IFERROR(DATE(RIGHT(INDIRECT("RC[-1]",0),4),LEFT(INDIRECT("RC[-1]",0),2),1), "")</f>
        <v/>
      </c>
      <c r="C1941" s="182"/>
      <c r="F1941" cm="1">
        <f t="array" aca="1" ref="F1941" ca="1">IF(COUNTIF($E$2:$E$2000,INDIRECT("RC[-2]",0))&gt;0,"",INDIRECT("RC[-2]",0))</f>
        <v>0</v>
      </c>
    </row>
    <row r="1942" spans="2:6">
      <c r="B1942" t="str" cm="1">
        <f t="array" aca="1" ref="B1942" ca="1">IFERROR(DATE(RIGHT(INDIRECT("RC[-1]",0),4),LEFT(INDIRECT("RC[-1]",0),2),1), "")</f>
        <v/>
      </c>
      <c r="C1942" s="182"/>
      <c r="F1942" cm="1">
        <f t="array" aca="1" ref="F1942" ca="1">IF(COUNTIF($E$2:$E$2000,INDIRECT("RC[-2]",0))&gt;0,"",INDIRECT("RC[-2]",0))</f>
        <v>0</v>
      </c>
    </row>
    <row r="1943" spans="2:6">
      <c r="B1943" t="str" cm="1">
        <f t="array" aca="1" ref="B1943" ca="1">IFERROR(DATE(RIGHT(INDIRECT("RC[-1]",0),4),LEFT(INDIRECT("RC[-1]",0),2),1), "")</f>
        <v/>
      </c>
      <c r="C1943" s="182"/>
      <c r="F1943" cm="1">
        <f t="array" aca="1" ref="F1943" ca="1">IF(COUNTIF($E$2:$E$2000,INDIRECT("RC[-2]",0))&gt;0,"",INDIRECT("RC[-2]",0))</f>
        <v>0</v>
      </c>
    </row>
    <row r="1944" spans="2:6">
      <c r="B1944" t="str" cm="1">
        <f t="array" aca="1" ref="B1944" ca="1">IFERROR(DATE(RIGHT(INDIRECT("RC[-1]",0),4),LEFT(INDIRECT("RC[-1]",0),2),1), "")</f>
        <v/>
      </c>
      <c r="C1944" s="182"/>
      <c r="F1944" cm="1">
        <f t="array" aca="1" ref="F1944" ca="1">IF(COUNTIF($E$2:$E$2000,INDIRECT("RC[-2]",0))&gt;0,"",INDIRECT("RC[-2]",0))</f>
        <v>0</v>
      </c>
    </row>
    <row r="1945" spans="2:6">
      <c r="B1945" t="str" cm="1">
        <f t="array" aca="1" ref="B1945" ca="1">IFERROR(DATE(RIGHT(INDIRECT("RC[-1]",0),4),LEFT(INDIRECT("RC[-1]",0),2),1), "")</f>
        <v/>
      </c>
      <c r="C1945" s="182"/>
      <c r="F1945" cm="1">
        <f t="array" aca="1" ref="F1945" ca="1">IF(COUNTIF($E$2:$E$2000,INDIRECT("RC[-2]",0))&gt;0,"",INDIRECT("RC[-2]",0))</f>
        <v>0</v>
      </c>
    </row>
    <row r="1946" spans="2:6">
      <c r="B1946" t="str" cm="1">
        <f t="array" aca="1" ref="B1946" ca="1">IFERROR(DATE(RIGHT(INDIRECT("RC[-1]",0),4),LEFT(INDIRECT("RC[-1]",0),2),1), "")</f>
        <v/>
      </c>
      <c r="C1946" s="182"/>
      <c r="F1946" cm="1">
        <f t="array" aca="1" ref="F1946" ca="1">IF(COUNTIF($E$2:$E$2000,INDIRECT("RC[-2]",0))&gt;0,"",INDIRECT("RC[-2]",0))</f>
        <v>0</v>
      </c>
    </row>
    <row r="1947" spans="2:6">
      <c r="B1947" t="str" cm="1">
        <f t="array" aca="1" ref="B1947" ca="1">IFERROR(DATE(RIGHT(INDIRECT("RC[-1]",0),4),LEFT(INDIRECT("RC[-1]",0),2),1), "")</f>
        <v/>
      </c>
      <c r="C1947" s="182"/>
      <c r="F1947" cm="1">
        <f t="array" aca="1" ref="F1947" ca="1">IF(COUNTIF($E$2:$E$2000,INDIRECT("RC[-2]",0))&gt;0,"",INDIRECT("RC[-2]",0))</f>
        <v>0</v>
      </c>
    </row>
    <row r="1948" spans="2:6">
      <c r="B1948" t="str" cm="1">
        <f t="array" aca="1" ref="B1948" ca="1">IFERROR(DATE(RIGHT(INDIRECT("RC[-1]",0),4),LEFT(INDIRECT("RC[-1]",0),2),1), "")</f>
        <v/>
      </c>
      <c r="C1948" s="182"/>
      <c r="F1948" cm="1">
        <f t="array" aca="1" ref="F1948" ca="1">IF(COUNTIF($E$2:$E$2000,INDIRECT("RC[-2]",0))&gt;0,"",INDIRECT("RC[-2]",0))</f>
        <v>0</v>
      </c>
    </row>
    <row r="1949" spans="2:6">
      <c r="B1949" t="str" cm="1">
        <f t="array" aca="1" ref="B1949" ca="1">IFERROR(DATE(RIGHT(INDIRECT("RC[-1]",0),4),LEFT(INDIRECT("RC[-1]",0),2),1), "")</f>
        <v/>
      </c>
      <c r="C1949" s="182"/>
      <c r="F1949" cm="1">
        <f t="array" aca="1" ref="F1949" ca="1">IF(COUNTIF($E$2:$E$2000,INDIRECT("RC[-2]",0))&gt;0,"",INDIRECT("RC[-2]",0))</f>
        <v>0</v>
      </c>
    </row>
    <row r="1950" spans="2:6">
      <c r="B1950" t="str" cm="1">
        <f t="array" aca="1" ref="B1950" ca="1">IFERROR(DATE(RIGHT(INDIRECT("RC[-1]",0),4),LEFT(INDIRECT("RC[-1]",0),2),1), "")</f>
        <v/>
      </c>
      <c r="C1950" s="182"/>
      <c r="F1950" cm="1">
        <f t="array" aca="1" ref="F1950" ca="1">IF(COUNTIF($E$2:$E$2000,INDIRECT("RC[-2]",0))&gt;0,"",INDIRECT("RC[-2]",0))</f>
        <v>0</v>
      </c>
    </row>
    <row r="1951" spans="2:6">
      <c r="B1951" t="str" cm="1">
        <f t="array" aca="1" ref="B1951" ca="1">IFERROR(DATE(RIGHT(INDIRECT("RC[-1]",0),4),LEFT(INDIRECT("RC[-1]",0),2),1), "")</f>
        <v/>
      </c>
      <c r="C1951" s="182"/>
      <c r="F1951" cm="1">
        <f t="array" aca="1" ref="F1951" ca="1">IF(COUNTIF($E$2:$E$2000,INDIRECT("RC[-2]",0))&gt;0,"",INDIRECT("RC[-2]",0))</f>
        <v>0</v>
      </c>
    </row>
    <row r="1952" spans="2:6">
      <c r="B1952" t="str" cm="1">
        <f t="array" aca="1" ref="B1952" ca="1">IFERROR(DATE(RIGHT(INDIRECT("RC[-1]",0),4),LEFT(INDIRECT("RC[-1]",0),2),1), "")</f>
        <v/>
      </c>
      <c r="C1952" s="182"/>
      <c r="F1952" cm="1">
        <f t="array" aca="1" ref="F1952" ca="1">IF(COUNTIF($E$2:$E$2000,INDIRECT("RC[-2]",0))&gt;0,"",INDIRECT("RC[-2]",0))</f>
        <v>0</v>
      </c>
    </row>
    <row r="1953" spans="2:6">
      <c r="B1953" t="str" cm="1">
        <f t="array" aca="1" ref="B1953" ca="1">IFERROR(DATE(RIGHT(INDIRECT("RC[-1]",0),4),LEFT(INDIRECT("RC[-1]",0),2),1), "")</f>
        <v/>
      </c>
      <c r="C1953" s="182"/>
      <c r="F1953" cm="1">
        <f t="array" aca="1" ref="F1953" ca="1">IF(COUNTIF($E$2:$E$2000,INDIRECT("RC[-2]",0))&gt;0,"",INDIRECT("RC[-2]",0))</f>
        <v>0</v>
      </c>
    </row>
    <row r="1954" spans="2:6">
      <c r="B1954" t="str" cm="1">
        <f t="array" aca="1" ref="B1954" ca="1">IFERROR(DATE(RIGHT(INDIRECT("RC[-1]",0),4),LEFT(INDIRECT("RC[-1]",0),2),1), "")</f>
        <v/>
      </c>
      <c r="C1954" s="182"/>
      <c r="F1954" cm="1">
        <f t="array" aca="1" ref="F1954" ca="1">IF(COUNTIF($E$2:$E$2000,INDIRECT("RC[-2]",0))&gt;0,"",INDIRECT("RC[-2]",0))</f>
        <v>0</v>
      </c>
    </row>
    <row r="1955" spans="2:6">
      <c r="B1955" t="str" cm="1">
        <f t="array" aca="1" ref="B1955" ca="1">IFERROR(DATE(RIGHT(INDIRECT("RC[-1]",0),4),LEFT(INDIRECT("RC[-1]",0),2),1), "")</f>
        <v/>
      </c>
      <c r="C1955" s="182"/>
      <c r="F1955" cm="1">
        <f t="array" aca="1" ref="F1955" ca="1">IF(COUNTIF($E$2:$E$2000,INDIRECT("RC[-2]",0))&gt;0,"",INDIRECT("RC[-2]",0))</f>
        <v>0</v>
      </c>
    </row>
    <row r="1956" spans="2:6">
      <c r="B1956" t="str" cm="1">
        <f t="array" aca="1" ref="B1956" ca="1">IFERROR(DATE(RIGHT(INDIRECT("RC[-1]",0),4),LEFT(INDIRECT("RC[-1]",0),2),1), "")</f>
        <v/>
      </c>
      <c r="C1956" s="182"/>
      <c r="F1956" cm="1">
        <f t="array" aca="1" ref="F1956" ca="1">IF(COUNTIF($E$2:$E$2000,INDIRECT("RC[-2]",0))&gt;0,"",INDIRECT("RC[-2]",0))</f>
        <v>0</v>
      </c>
    </row>
    <row r="1957" spans="2:6">
      <c r="B1957" t="str" cm="1">
        <f t="array" aca="1" ref="B1957" ca="1">IFERROR(DATE(RIGHT(INDIRECT("RC[-1]",0),4),LEFT(INDIRECT("RC[-1]",0),2),1), "")</f>
        <v/>
      </c>
      <c r="C1957" s="182"/>
      <c r="F1957" cm="1">
        <f t="array" aca="1" ref="F1957" ca="1">IF(COUNTIF($E$2:$E$2000,INDIRECT("RC[-2]",0))&gt;0,"",INDIRECT("RC[-2]",0))</f>
        <v>0</v>
      </c>
    </row>
    <row r="1958" spans="2:6">
      <c r="B1958" t="str" cm="1">
        <f t="array" aca="1" ref="B1958" ca="1">IFERROR(DATE(RIGHT(INDIRECT("RC[-1]",0),4),LEFT(INDIRECT("RC[-1]",0),2),1), "")</f>
        <v/>
      </c>
      <c r="C1958" s="182"/>
      <c r="F1958" cm="1">
        <f t="array" aca="1" ref="F1958" ca="1">IF(COUNTIF($E$2:$E$2000,INDIRECT("RC[-2]",0))&gt;0,"",INDIRECT("RC[-2]",0))</f>
        <v>0</v>
      </c>
    </row>
    <row r="1959" spans="2:6">
      <c r="B1959" t="str" cm="1">
        <f t="array" aca="1" ref="B1959" ca="1">IFERROR(DATE(RIGHT(INDIRECT("RC[-1]",0),4),LEFT(INDIRECT("RC[-1]",0),2),1), "")</f>
        <v/>
      </c>
      <c r="C1959" s="182"/>
      <c r="F1959" cm="1">
        <f t="array" aca="1" ref="F1959" ca="1">IF(COUNTIF($E$2:$E$2000,INDIRECT("RC[-2]",0))&gt;0,"",INDIRECT("RC[-2]",0))</f>
        <v>0</v>
      </c>
    </row>
    <row r="1960" spans="2:6">
      <c r="B1960" t="str" cm="1">
        <f t="array" aca="1" ref="B1960" ca="1">IFERROR(DATE(RIGHT(INDIRECT("RC[-1]",0),4),LEFT(INDIRECT("RC[-1]",0),2),1), "")</f>
        <v/>
      </c>
      <c r="C1960" s="182"/>
      <c r="F1960" cm="1">
        <f t="array" aca="1" ref="F1960" ca="1">IF(COUNTIF($E$2:$E$2000,INDIRECT("RC[-2]",0))&gt;0,"",INDIRECT("RC[-2]",0))</f>
        <v>0</v>
      </c>
    </row>
    <row r="1961" spans="2:6">
      <c r="B1961" t="str" cm="1">
        <f t="array" aca="1" ref="B1961" ca="1">IFERROR(DATE(RIGHT(INDIRECT("RC[-1]",0),4),LEFT(INDIRECT("RC[-1]",0),2),1), "")</f>
        <v/>
      </c>
      <c r="C1961" s="182"/>
      <c r="F1961" cm="1">
        <f t="array" aca="1" ref="F1961" ca="1">IF(COUNTIF($E$2:$E$2000,INDIRECT("RC[-2]",0))&gt;0,"",INDIRECT("RC[-2]",0))</f>
        <v>0</v>
      </c>
    </row>
    <row r="1962" spans="2:6">
      <c r="B1962" t="str" cm="1">
        <f t="array" aca="1" ref="B1962" ca="1">IFERROR(DATE(RIGHT(INDIRECT("RC[-1]",0),4),LEFT(INDIRECT("RC[-1]",0),2),1), "")</f>
        <v/>
      </c>
      <c r="C1962" s="182"/>
      <c r="F1962" cm="1">
        <f t="array" aca="1" ref="F1962" ca="1">IF(COUNTIF($E$2:$E$2000,INDIRECT("RC[-2]",0))&gt;0,"",INDIRECT("RC[-2]",0))</f>
        <v>0</v>
      </c>
    </row>
    <row r="1963" spans="2:6">
      <c r="B1963" t="str" cm="1">
        <f t="array" aca="1" ref="B1963" ca="1">IFERROR(DATE(RIGHT(INDIRECT("RC[-1]",0),4),LEFT(INDIRECT("RC[-1]",0),2),1), "")</f>
        <v/>
      </c>
      <c r="C1963" s="182"/>
      <c r="F1963" cm="1">
        <f t="array" aca="1" ref="F1963" ca="1">IF(COUNTIF($E$2:$E$2000,INDIRECT("RC[-2]",0))&gt;0,"",INDIRECT("RC[-2]",0))</f>
        <v>0</v>
      </c>
    </row>
    <row r="1964" spans="2:6">
      <c r="B1964" t="str" cm="1">
        <f t="array" aca="1" ref="B1964" ca="1">IFERROR(DATE(RIGHT(INDIRECT("RC[-1]",0),4),LEFT(INDIRECT("RC[-1]",0),2),1), "")</f>
        <v/>
      </c>
      <c r="C1964" s="182"/>
      <c r="F1964" cm="1">
        <f t="array" aca="1" ref="F1964" ca="1">IF(COUNTIF($E$2:$E$2000,INDIRECT("RC[-2]",0))&gt;0,"",INDIRECT("RC[-2]",0))</f>
        <v>0</v>
      </c>
    </row>
    <row r="1965" spans="2:6">
      <c r="B1965" t="str" cm="1">
        <f t="array" aca="1" ref="B1965" ca="1">IFERROR(DATE(RIGHT(INDIRECT("RC[-1]",0),4),LEFT(INDIRECT("RC[-1]",0),2),1), "")</f>
        <v/>
      </c>
      <c r="C1965" s="182"/>
      <c r="F1965" cm="1">
        <f t="array" aca="1" ref="F1965" ca="1">IF(COUNTIF($E$2:$E$2000,INDIRECT("RC[-2]",0))&gt;0,"",INDIRECT("RC[-2]",0))</f>
        <v>0</v>
      </c>
    </row>
    <row r="1966" spans="2:6">
      <c r="B1966" t="str" cm="1">
        <f t="array" aca="1" ref="B1966" ca="1">IFERROR(DATE(RIGHT(INDIRECT("RC[-1]",0),4),LEFT(INDIRECT("RC[-1]",0),2),1), "")</f>
        <v/>
      </c>
      <c r="C1966" s="182"/>
      <c r="F1966" cm="1">
        <f t="array" aca="1" ref="F1966" ca="1">IF(COUNTIF($E$2:$E$2000,INDIRECT("RC[-2]",0))&gt;0,"",INDIRECT("RC[-2]",0))</f>
        <v>0</v>
      </c>
    </row>
    <row r="1967" spans="2:6">
      <c r="B1967" t="str" cm="1">
        <f t="array" aca="1" ref="B1967" ca="1">IFERROR(DATE(RIGHT(INDIRECT("RC[-1]",0),4),LEFT(INDIRECT("RC[-1]",0),2),1), "")</f>
        <v/>
      </c>
      <c r="C1967" s="182"/>
      <c r="F1967" cm="1">
        <f t="array" aca="1" ref="F1967" ca="1">IF(COUNTIF($E$2:$E$2000,INDIRECT("RC[-2]",0))&gt;0,"",INDIRECT("RC[-2]",0))</f>
        <v>0</v>
      </c>
    </row>
    <row r="1968" spans="2:6">
      <c r="B1968" t="str" cm="1">
        <f t="array" aca="1" ref="B1968" ca="1">IFERROR(DATE(RIGHT(INDIRECT("RC[-1]",0),4),LEFT(INDIRECT("RC[-1]",0),2),1), "")</f>
        <v/>
      </c>
      <c r="C1968" s="182"/>
      <c r="F1968" cm="1">
        <f t="array" aca="1" ref="F1968" ca="1">IF(COUNTIF($E$2:$E$2000,INDIRECT("RC[-2]",0))&gt;0,"",INDIRECT("RC[-2]",0))</f>
        <v>0</v>
      </c>
    </row>
    <row r="1969" spans="2:6">
      <c r="B1969" t="str" cm="1">
        <f t="array" aca="1" ref="B1969" ca="1">IFERROR(DATE(RIGHT(INDIRECT("RC[-1]",0),4),LEFT(INDIRECT("RC[-1]",0),2),1), "")</f>
        <v/>
      </c>
      <c r="C1969" s="182"/>
      <c r="F1969" cm="1">
        <f t="array" aca="1" ref="F1969" ca="1">IF(COUNTIF($E$2:$E$2000,INDIRECT("RC[-2]",0))&gt;0,"",INDIRECT("RC[-2]",0))</f>
        <v>0</v>
      </c>
    </row>
    <row r="1970" spans="2:6">
      <c r="B1970" t="str" cm="1">
        <f t="array" aca="1" ref="B1970" ca="1">IFERROR(DATE(RIGHT(INDIRECT("RC[-1]",0),4),LEFT(INDIRECT("RC[-1]",0),2),1), "")</f>
        <v/>
      </c>
      <c r="C1970" s="182"/>
      <c r="F1970" cm="1">
        <f t="array" aca="1" ref="F1970" ca="1">IF(COUNTIF($E$2:$E$2000,INDIRECT("RC[-2]",0))&gt;0,"",INDIRECT("RC[-2]",0))</f>
        <v>0</v>
      </c>
    </row>
    <row r="1971" spans="2:6">
      <c r="B1971" t="str" cm="1">
        <f t="array" aca="1" ref="B1971" ca="1">IFERROR(DATE(RIGHT(INDIRECT("RC[-1]",0),4),LEFT(INDIRECT("RC[-1]",0),2),1), "")</f>
        <v/>
      </c>
      <c r="C1971" s="182"/>
      <c r="F1971" cm="1">
        <f t="array" aca="1" ref="F1971" ca="1">IF(COUNTIF($E$2:$E$2000,INDIRECT("RC[-2]",0))&gt;0,"",INDIRECT("RC[-2]",0))</f>
        <v>0</v>
      </c>
    </row>
    <row r="1972" spans="2:6">
      <c r="B1972" t="str" cm="1">
        <f t="array" aca="1" ref="B1972" ca="1">IFERROR(DATE(RIGHT(INDIRECT("RC[-1]",0),4),LEFT(INDIRECT("RC[-1]",0),2),1), "")</f>
        <v/>
      </c>
      <c r="C1972" s="182"/>
      <c r="F1972" cm="1">
        <f t="array" aca="1" ref="F1972" ca="1">IF(COUNTIF($E$2:$E$2000,INDIRECT("RC[-2]",0))&gt;0,"",INDIRECT("RC[-2]",0))</f>
        <v>0</v>
      </c>
    </row>
    <row r="1973" spans="2:6">
      <c r="B1973" t="str" cm="1">
        <f t="array" aca="1" ref="B1973" ca="1">IFERROR(DATE(RIGHT(INDIRECT("RC[-1]",0),4),LEFT(INDIRECT("RC[-1]",0),2),1), "")</f>
        <v/>
      </c>
      <c r="C1973" s="182"/>
      <c r="F1973" cm="1">
        <f t="array" aca="1" ref="F1973" ca="1">IF(COUNTIF($E$2:$E$2000,INDIRECT("RC[-2]",0))&gt;0,"",INDIRECT("RC[-2]",0))</f>
        <v>0</v>
      </c>
    </row>
    <row r="1974" spans="2:6">
      <c r="B1974" t="str" cm="1">
        <f t="array" aca="1" ref="B1974" ca="1">IFERROR(DATE(RIGHT(INDIRECT("RC[-1]",0),4),LEFT(INDIRECT("RC[-1]",0),2),1), "")</f>
        <v/>
      </c>
      <c r="C1974" s="182"/>
      <c r="F1974" cm="1">
        <f t="array" aca="1" ref="F1974" ca="1">IF(COUNTIF($E$2:$E$2000,INDIRECT("RC[-2]",0))&gt;0,"",INDIRECT("RC[-2]",0))</f>
        <v>0</v>
      </c>
    </row>
    <row r="1975" spans="2:6">
      <c r="B1975" t="str" cm="1">
        <f t="array" aca="1" ref="B1975" ca="1">IFERROR(DATE(RIGHT(INDIRECT("RC[-1]",0),4),LEFT(INDIRECT("RC[-1]",0),2),1), "")</f>
        <v/>
      </c>
      <c r="C1975" s="182"/>
      <c r="F1975" cm="1">
        <f t="array" aca="1" ref="F1975" ca="1">IF(COUNTIF($E$2:$E$2000,INDIRECT("RC[-2]",0))&gt;0,"",INDIRECT("RC[-2]",0))</f>
        <v>0</v>
      </c>
    </row>
    <row r="1976" spans="2:6">
      <c r="B1976" t="str" cm="1">
        <f t="array" aca="1" ref="B1976" ca="1">IFERROR(DATE(RIGHT(INDIRECT("RC[-1]",0),4),LEFT(INDIRECT("RC[-1]",0),2),1), "")</f>
        <v/>
      </c>
      <c r="C1976" s="182"/>
      <c r="F1976" cm="1">
        <f t="array" aca="1" ref="F1976" ca="1">IF(COUNTIF($E$2:$E$2000,INDIRECT("RC[-2]",0))&gt;0,"",INDIRECT("RC[-2]",0))</f>
        <v>0</v>
      </c>
    </row>
    <row r="1977" spans="2:6">
      <c r="B1977" t="str" cm="1">
        <f t="array" aca="1" ref="B1977" ca="1">IFERROR(DATE(RIGHT(INDIRECT("RC[-1]",0),4),LEFT(INDIRECT("RC[-1]",0),2),1), "")</f>
        <v/>
      </c>
      <c r="C1977" s="182"/>
      <c r="F1977" cm="1">
        <f t="array" aca="1" ref="F1977" ca="1">IF(COUNTIF($E$2:$E$2000,INDIRECT("RC[-2]",0))&gt;0,"",INDIRECT("RC[-2]",0))</f>
        <v>0</v>
      </c>
    </row>
    <row r="1978" spans="2:6">
      <c r="B1978" t="str" cm="1">
        <f t="array" aca="1" ref="B1978" ca="1">IFERROR(DATE(RIGHT(INDIRECT("RC[-1]",0),4),LEFT(INDIRECT("RC[-1]",0),2),1), "")</f>
        <v/>
      </c>
      <c r="C1978" s="182"/>
      <c r="F1978" cm="1">
        <f t="array" aca="1" ref="F1978" ca="1">IF(COUNTIF($E$2:$E$2000,INDIRECT("RC[-2]",0))&gt;0,"",INDIRECT("RC[-2]",0))</f>
        <v>0</v>
      </c>
    </row>
    <row r="1979" spans="2:6">
      <c r="B1979" t="str" cm="1">
        <f t="array" aca="1" ref="B1979" ca="1">IFERROR(DATE(RIGHT(INDIRECT("RC[-1]",0),4),LEFT(INDIRECT("RC[-1]",0),2),1), "")</f>
        <v/>
      </c>
      <c r="C1979" s="182"/>
      <c r="F1979" cm="1">
        <f t="array" aca="1" ref="F1979" ca="1">IF(COUNTIF($E$2:$E$2000,INDIRECT("RC[-2]",0))&gt;0,"",INDIRECT("RC[-2]",0))</f>
        <v>0</v>
      </c>
    </row>
    <row r="1980" spans="2:6">
      <c r="B1980" t="str" cm="1">
        <f t="array" aca="1" ref="B1980" ca="1">IFERROR(DATE(RIGHT(INDIRECT("RC[-1]",0),4),LEFT(INDIRECT("RC[-1]",0),2),1), "")</f>
        <v/>
      </c>
      <c r="C1980" s="182"/>
      <c r="F1980" cm="1">
        <f t="array" aca="1" ref="F1980" ca="1">IF(COUNTIF($E$2:$E$2000,INDIRECT("RC[-2]",0))&gt;0,"",INDIRECT("RC[-2]",0))</f>
        <v>0</v>
      </c>
    </row>
    <row r="1981" spans="2:6">
      <c r="B1981" t="str" cm="1">
        <f t="array" aca="1" ref="B1981" ca="1">IFERROR(DATE(RIGHT(INDIRECT("RC[-1]",0),4),LEFT(INDIRECT("RC[-1]",0),2),1), "")</f>
        <v/>
      </c>
      <c r="C1981" s="182"/>
      <c r="F1981" cm="1">
        <f t="array" aca="1" ref="F1981" ca="1">IF(COUNTIF($E$2:$E$2000,INDIRECT("RC[-2]",0))&gt;0,"",INDIRECT("RC[-2]",0))</f>
        <v>0</v>
      </c>
    </row>
    <row r="1982" spans="2:6">
      <c r="B1982" t="str" cm="1">
        <f t="array" aca="1" ref="B1982" ca="1">IFERROR(DATE(RIGHT(INDIRECT("RC[-1]",0),4),LEFT(INDIRECT("RC[-1]",0),2),1), "")</f>
        <v/>
      </c>
      <c r="C1982" s="182"/>
      <c r="F1982" cm="1">
        <f t="array" aca="1" ref="F1982" ca="1">IF(COUNTIF($E$2:$E$2000,INDIRECT("RC[-2]",0))&gt;0,"",INDIRECT("RC[-2]",0))</f>
        <v>0</v>
      </c>
    </row>
    <row r="1983" spans="2:6">
      <c r="B1983" t="str" cm="1">
        <f t="array" aca="1" ref="B1983" ca="1">IFERROR(DATE(RIGHT(INDIRECT("RC[-1]",0),4),LEFT(INDIRECT("RC[-1]",0),2),1), "")</f>
        <v/>
      </c>
      <c r="C1983" s="182"/>
      <c r="F1983" cm="1">
        <f t="array" aca="1" ref="F1983" ca="1">IF(COUNTIF($E$2:$E$2000,INDIRECT("RC[-2]",0))&gt;0,"",INDIRECT("RC[-2]",0))</f>
        <v>0</v>
      </c>
    </row>
    <row r="1984" spans="2:6">
      <c r="B1984" t="str" cm="1">
        <f t="array" aca="1" ref="B1984" ca="1">IFERROR(DATE(RIGHT(INDIRECT("RC[-1]",0),4),LEFT(INDIRECT("RC[-1]",0),2),1), "")</f>
        <v/>
      </c>
      <c r="C1984" s="182"/>
      <c r="F1984" cm="1">
        <f t="array" aca="1" ref="F1984" ca="1">IF(COUNTIF($E$2:$E$2000,INDIRECT("RC[-2]",0))&gt;0,"",INDIRECT("RC[-2]",0))</f>
        <v>0</v>
      </c>
    </row>
    <row r="1985" spans="2:6">
      <c r="B1985" t="str" cm="1">
        <f t="array" aca="1" ref="B1985" ca="1">IFERROR(DATE(RIGHT(INDIRECT("RC[-1]",0),4),LEFT(INDIRECT("RC[-1]",0),2),1), "")</f>
        <v/>
      </c>
      <c r="C1985" s="182"/>
      <c r="F1985" cm="1">
        <f t="array" aca="1" ref="F1985" ca="1">IF(COUNTIF($E$2:$E$2000,INDIRECT("RC[-2]",0))&gt;0,"",INDIRECT("RC[-2]",0))</f>
        <v>0</v>
      </c>
    </row>
    <row r="1986" spans="2:6">
      <c r="B1986" t="str" cm="1">
        <f t="array" aca="1" ref="B1986" ca="1">IFERROR(DATE(RIGHT(INDIRECT("RC[-1]",0),4),LEFT(INDIRECT("RC[-1]",0),2),1), "")</f>
        <v/>
      </c>
      <c r="C1986" s="182"/>
      <c r="F1986" cm="1">
        <f t="array" aca="1" ref="F1986" ca="1">IF(COUNTIF($E$2:$E$2000,INDIRECT("RC[-2]",0))&gt;0,"",INDIRECT("RC[-2]",0))</f>
        <v>0</v>
      </c>
    </row>
    <row r="1987" spans="2:6">
      <c r="B1987" t="str" cm="1">
        <f t="array" aca="1" ref="B1987" ca="1">IFERROR(DATE(RIGHT(INDIRECT("RC[-1]",0),4),LEFT(INDIRECT("RC[-1]",0),2),1), "")</f>
        <v/>
      </c>
      <c r="C1987" s="182"/>
      <c r="F1987" cm="1">
        <f t="array" aca="1" ref="F1987" ca="1">IF(COUNTIF($E$2:$E$2000,INDIRECT("RC[-2]",0))&gt;0,"",INDIRECT("RC[-2]",0))</f>
        <v>0</v>
      </c>
    </row>
    <row r="1988" spans="2:6">
      <c r="B1988" t="str" cm="1">
        <f t="array" aca="1" ref="B1988" ca="1">IFERROR(DATE(RIGHT(INDIRECT("RC[-1]",0),4),LEFT(INDIRECT("RC[-1]",0),2),1), "")</f>
        <v/>
      </c>
      <c r="C1988" s="182"/>
      <c r="F1988" cm="1">
        <f t="array" aca="1" ref="F1988" ca="1">IF(COUNTIF($E$2:$E$2000,INDIRECT("RC[-2]",0))&gt;0,"",INDIRECT("RC[-2]",0))</f>
        <v>0</v>
      </c>
    </row>
    <row r="1989" spans="2:6">
      <c r="B1989" t="str" cm="1">
        <f t="array" aca="1" ref="B1989" ca="1">IFERROR(DATE(RIGHT(INDIRECT("RC[-1]",0),4),LEFT(INDIRECT("RC[-1]",0),2),1), "")</f>
        <v/>
      </c>
      <c r="C1989" s="182"/>
      <c r="F1989" cm="1">
        <f t="array" aca="1" ref="F1989" ca="1">IF(COUNTIF($E$2:$E$2000,INDIRECT("RC[-2]",0))&gt;0,"",INDIRECT("RC[-2]",0))</f>
        <v>0</v>
      </c>
    </row>
    <row r="1990" spans="2:6">
      <c r="B1990" t="str" cm="1">
        <f t="array" aca="1" ref="B1990" ca="1">IFERROR(DATE(RIGHT(INDIRECT("RC[-1]",0),4),LEFT(INDIRECT("RC[-1]",0),2),1), "")</f>
        <v/>
      </c>
      <c r="C1990" s="182"/>
      <c r="F1990" cm="1">
        <f t="array" aca="1" ref="F1990" ca="1">IF(COUNTIF($E$2:$E$2000,INDIRECT("RC[-2]",0))&gt;0,"",INDIRECT("RC[-2]",0))</f>
        <v>0</v>
      </c>
    </row>
    <row r="1991" spans="2:6">
      <c r="B1991" t="str" cm="1">
        <f t="array" aca="1" ref="B1991" ca="1">IFERROR(DATE(RIGHT(INDIRECT("RC[-1]",0),4),LEFT(INDIRECT("RC[-1]",0),2),1), "")</f>
        <v/>
      </c>
      <c r="C1991" s="182"/>
      <c r="F1991" cm="1">
        <f t="array" aca="1" ref="F1991" ca="1">IF(COUNTIF($E$2:$E$2000,INDIRECT("RC[-2]",0))&gt;0,"",INDIRECT("RC[-2]",0))</f>
        <v>0</v>
      </c>
    </row>
    <row r="1992" spans="2:6">
      <c r="B1992" t="str" cm="1">
        <f t="array" aca="1" ref="B1992" ca="1">IFERROR(DATE(RIGHT(INDIRECT("RC[-1]",0),4),LEFT(INDIRECT("RC[-1]",0),2),1), "")</f>
        <v/>
      </c>
      <c r="C1992" s="182"/>
      <c r="F1992" cm="1">
        <f t="array" aca="1" ref="F1992" ca="1">IF(COUNTIF($E$2:$E$2000,INDIRECT("RC[-2]",0))&gt;0,"",INDIRECT("RC[-2]",0))</f>
        <v>0</v>
      </c>
    </row>
    <row r="1993" spans="2:6">
      <c r="B1993" t="str" cm="1">
        <f t="array" aca="1" ref="B1993" ca="1">IFERROR(DATE(RIGHT(INDIRECT("RC[-1]",0),4),LEFT(INDIRECT("RC[-1]",0),2),1), "")</f>
        <v/>
      </c>
      <c r="C1993" s="182"/>
      <c r="F1993" cm="1">
        <f t="array" aca="1" ref="F1993" ca="1">IF(COUNTIF($E$2:$E$2000,INDIRECT("RC[-2]",0))&gt;0,"",INDIRECT("RC[-2]",0))</f>
        <v>0</v>
      </c>
    </row>
    <row r="1994" spans="2:6">
      <c r="B1994" t="str" cm="1">
        <f t="array" aca="1" ref="B1994" ca="1">IFERROR(DATE(RIGHT(INDIRECT("RC[-1]",0),4),LEFT(INDIRECT("RC[-1]",0),2),1), "")</f>
        <v/>
      </c>
      <c r="C1994" s="182"/>
      <c r="F1994" cm="1">
        <f t="array" aca="1" ref="F1994" ca="1">IF(COUNTIF($E$2:$E$2000,INDIRECT("RC[-2]",0))&gt;0,"",INDIRECT("RC[-2]",0))</f>
        <v>0</v>
      </c>
    </row>
    <row r="1995" spans="2:6">
      <c r="B1995" t="str" cm="1">
        <f t="array" aca="1" ref="B1995" ca="1">IFERROR(DATE(RIGHT(INDIRECT("RC[-1]",0),4),LEFT(INDIRECT("RC[-1]",0),2),1), "")</f>
        <v/>
      </c>
      <c r="C1995" s="182"/>
      <c r="F1995" cm="1">
        <f t="array" aca="1" ref="F1995" ca="1">IF(COUNTIF($E$2:$E$2000,INDIRECT("RC[-2]",0))&gt;0,"",INDIRECT("RC[-2]",0))</f>
        <v>0</v>
      </c>
    </row>
    <row r="1996" spans="2:6">
      <c r="B1996" t="str" cm="1">
        <f t="array" aca="1" ref="B1996" ca="1">IFERROR(DATE(RIGHT(INDIRECT("RC[-1]",0),4),LEFT(INDIRECT("RC[-1]",0),2),1), "")</f>
        <v/>
      </c>
      <c r="C1996" s="182"/>
      <c r="F1996" cm="1">
        <f t="array" aca="1" ref="F1996" ca="1">IF(COUNTIF($E$2:$E$2000,INDIRECT("RC[-2]",0))&gt;0,"",INDIRECT("RC[-2]",0))</f>
        <v>0</v>
      </c>
    </row>
    <row r="1997" spans="2:6">
      <c r="B1997" t="str" cm="1">
        <f t="array" aca="1" ref="B1997" ca="1">IFERROR(DATE(RIGHT(INDIRECT("RC[-1]",0),4),LEFT(INDIRECT("RC[-1]",0),2),1), "")</f>
        <v/>
      </c>
      <c r="C1997" s="182"/>
      <c r="F1997" cm="1">
        <f t="array" aca="1" ref="F1997" ca="1">IF(COUNTIF($E$2:$E$2000,INDIRECT("RC[-2]",0))&gt;0,"",INDIRECT("RC[-2]",0))</f>
        <v>0</v>
      </c>
    </row>
    <row r="1998" spans="2:6">
      <c r="B1998" t="str" cm="1">
        <f t="array" aca="1" ref="B1998" ca="1">IFERROR(DATE(RIGHT(INDIRECT("RC[-1]",0),4),LEFT(INDIRECT("RC[-1]",0),2),1), "")</f>
        <v/>
      </c>
      <c r="C1998" s="182"/>
      <c r="F1998" cm="1">
        <f t="array" aca="1" ref="F1998" ca="1">IF(COUNTIF($E$2:$E$2000,INDIRECT("RC[-2]",0))&gt;0,"",INDIRECT("RC[-2]",0))</f>
        <v>0</v>
      </c>
    </row>
    <row r="1999" spans="2:6">
      <c r="B1999" t="str" cm="1">
        <f t="array" aca="1" ref="B1999" ca="1">IFERROR(DATE(RIGHT(INDIRECT("RC[-1]",0),4),LEFT(INDIRECT("RC[-1]",0),2),1), "")</f>
        <v/>
      </c>
      <c r="C1999" s="182"/>
      <c r="F1999" cm="1">
        <f t="array" aca="1" ref="F1999" ca="1">IF(COUNTIF($E$2:$E$2000,INDIRECT("RC[-2]",0))&gt;0,"",INDIRECT("RC[-2]",0))</f>
        <v>0</v>
      </c>
    </row>
    <row r="2000" spans="2:6">
      <c r="B2000" t="str" cm="1">
        <f t="array" aca="1" ref="B2000" ca="1">IFERROR(DATE(RIGHT(INDIRECT("RC[-1]",0),4),LEFT(INDIRECT("RC[-1]",0),2),1), "")</f>
        <v/>
      </c>
      <c r="C2000" s="182"/>
      <c r="F2000" cm="1">
        <f t="array" aca="1" ref="F2000" ca="1">IF(COUNTIF($E$2:$E$2000,INDIRECT("RC[-2]",0))&gt;0,"",INDIRECT("RC[-2]",0))</f>
        <v>0</v>
      </c>
    </row>
  </sheetData>
  <sheetProtection sheet="1" scenarios="1" formatCells="0" formatColumns="0" formatRows="0" insertColumns="0" insertRows="0" deleteColumns="0" sort="0" autoFilter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9B982-24B3-4303-9D1F-0857D40B5F2E}">
  <dimension ref="B1:X54"/>
  <sheetViews>
    <sheetView showGridLines="0" topLeftCell="A22" workbookViewId="0">
      <selection activeCell="F51" sqref="F51"/>
    </sheetView>
  </sheetViews>
  <sheetFormatPr defaultRowHeight="15"/>
  <cols>
    <col min="1" max="2" width="3" customWidth="1"/>
    <col min="3" max="6" width="18.85546875" customWidth="1"/>
    <col min="7" max="9" width="3" customWidth="1"/>
    <col min="10" max="10" width="14.42578125" customWidth="1"/>
    <col min="11" max="11" width="3" customWidth="1"/>
    <col min="12" max="12" width="17.7109375" customWidth="1"/>
    <col min="13" max="14" width="3" customWidth="1"/>
    <col min="15" max="15" width="14.42578125" customWidth="1"/>
    <col min="16" max="16" width="3" customWidth="1"/>
    <col min="17" max="17" width="17.7109375" customWidth="1"/>
    <col min="18" max="23" width="12" hidden="1" customWidth="1"/>
    <col min="24" max="25" width="3" customWidth="1"/>
  </cols>
  <sheetData>
    <row r="1" spans="2:24" s="210" customFormat="1" ht="3" customHeight="1" thickBot="1"/>
    <row r="2" spans="2:24" ht="39" customHeight="1" thickTop="1">
      <c r="B2" s="244" t="str">
        <f>_xlfn.CONCAT(TEXT(MonthlyBudgetDate,"mmmm yyyy")," Monthly Budget")</f>
        <v>January 2022 Monthly Budget</v>
      </c>
      <c r="C2" s="244"/>
      <c r="D2" s="244"/>
      <c r="E2" s="244"/>
      <c r="F2" s="244"/>
      <c r="G2" s="244"/>
      <c r="H2" s="244"/>
      <c r="I2" s="244"/>
      <c r="J2" s="244"/>
      <c r="O2" s="246" t="s">
        <v>1</v>
      </c>
      <c r="P2" s="246"/>
      <c r="Q2" s="246"/>
      <c r="R2" s="246"/>
      <c r="S2" s="246"/>
      <c r="T2" s="246"/>
      <c r="U2" s="246"/>
      <c r="V2" s="246"/>
      <c r="W2" s="246"/>
      <c r="X2" s="246"/>
    </row>
    <row r="3" spans="2:24" ht="32.1" customHeight="1">
      <c r="B3" s="245" t="s">
        <v>3445</v>
      </c>
      <c r="C3" s="245"/>
      <c r="D3" s="245"/>
      <c r="E3" s="245"/>
      <c r="F3" s="245"/>
      <c r="G3" s="245"/>
      <c r="H3" s="245"/>
      <c r="I3" s="245"/>
      <c r="J3" s="245"/>
      <c r="O3" s="243">
        <v>44562</v>
      </c>
      <c r="P3" s="243"/>
      <c r="Q3" s="243"/>
      <c r="R3" s="243"/>
      <c r="S3" s="243"/>
      <c r="T3" s="243"/>
      <c r="U3" s="243"/>
      <c r="V3" s="243"/>
      <c r="W3" s="243"/>
      <c r="X3" s="243"/>
    </row>
    <row r="4" spans="2:24">
      <c r="B4" s="247"/>
      <c r="C4" s="247"/>
      <c r="D4" s="247"/>
      <c r="E4" s="247"/>
      <c r="F4" s="247"/>
      <c r="G4" s="247"/>
      <c r="H4" s="247"/>
      <c r="I4" s="247"/>
      <c r="J4" s="247"/>
      <c r="K4" s="247"/>
      <c r="L4" s="247"/>
      <c r="M4" s="247"/>
      <c r="N4" s="247"/>
      <c r="O4" s="247"/>
      <c r="P4" s="247"/>
      <c r="Q4" s="247"/>
      <c r="R4" s="247"/>
      <c r="S4" s="247"/>
      <c r="T4" s="247"/>
      <c r="U4" s="247"/>
      <c r="V4" s="247"/>
      <c r="W4" s="247"/>
      <c r="X4" s="247"/>
    </row>
    <row r="5" spans="2:24" ht="15.75" thickBot="1"/>
    <row r="6" spans="2:24">
      <c r="B6" s="192"/>
      <c r="C6" s="193"/>
      <c r="D6" s="193"/>
      <c r="E6" s="193"/>
      <c r="F6" s="193"/>
      <c r="G6" s="194"/>
      <c r="I6" s="192"/>
      <c r="J6" s="193"/>
      <c r="K6" s="193"/>
      <c r="L6" s="193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94"/>
    </row>
    <row r="7" spans="2:24" ht="18.75">
      <c r="B7" s="188"/>
      <c r="C7" s="240" t="s">
        <v>3446</v>
      </c>
      <c r="D7" s="240"/>
      <c r="E7" s="240"/>
      <c r="F7" s="240"/>
      <c r="G7" s="190"/>
      <c r="I7" s="188"/>
      <c r="J7" s="240" t="s">
        <v>3450</v>
      </c>
      <c r="K7" s="240"/>
      <c r="L7" s="240"/>
      <c r="M7" s="240"/>
      <c r="N7" s="240"/>
      <c r="O7" s="240"/>
      <c r="P7" s="240"/>
      <c r="Q7" s="240"/>
      <c r="R7" s="149"/>
      <c r="S7" s="149"/>
      <c r="T7" s="149"/>
      <c r="U7" s="149"/>
      <c r="V7" s="149"/>
      <c r="W7" s="149"/>
      <c r="X7" s="190"/>
    </row>
    <row r="8" spans="2:24">
      <c r="B8" s="188"/>
      <c r="C8" s="239" t="str">
        <f>_xlfn.CONCAT("You spent ",TEXT(ABS(MonthlyBudgetTotalExpenses-MonthlyBudgetTotalIncome),"$#,##0.00")," ",IF(MonthlyBudgetTotalExpenses&gt;MonthlyBudgetTotalIncome,"more","less")," than you earned this month")</f>
        <v>You spent $50.90 less than you earned this month</v>
      </c>
      <c r="D8" s="239"/>
      <c r="E8" s="239"/>
      <c r="F8" s="239"/>
      <c r="G8" s="190"/>
      <c r="I8" s="188"/>
      <c r="J8" s="239" t="str">
        <f ca="1">_xlfn.CONCAT("You spent an average of ",TEXT(AVERAGE(MonthlyBudgetSpendingOverTime),"$#,##0.00")," per month over the past 6 months")</f>
        <v>You spent an average of -$38.07 per month over the past 6 months</v>
      </c>
      <c r="K8" s="239"/>
      <c r="L8" s="239"/>
      <c r="M8" s="239"/>
      <c r="N8" s="239"/>
      <c r="O8" s="239"/>
      <c r="P8" s="239"/>
      <c r="Q8" s="239"/>
      <c r="R8" s="149"/>
      <c r="S8" s="149"/>
      <c r="T8" s="149"/>
      <c r="U8" s="149"/>
      <c r="V8" s="149"/>
      <c r="W8" s="149"/>
      <c r="X8" s="190"/>
    </row>
    <row r="9" spans="2:24">
      <c r="B9" s="188"/>
      <c r="C9" s="149"/>
      <c r="D9" s="149"/>
      <c r="E9" s="149"/>
      <c r="F9" s="149"/>
      <c r="G9" s="190"/>
      <c r="I9" s="188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90"/>
    </row>
    <row r="10" spans="2:24">
      <c r="B10" s="188"/>
      <c r="C10" s="196" t="s">
        <v>91</v>
      </c>
      <c r="D10" s="197">
        <f>MonthlyBudgetTotalIncome</f>
        <v>0</v>
      </c>
      <c r="E10" s="149"/>
      <c r="F10" s="149"/>
      <c r="G10" s="190"/>
      <c r="I10" s="188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90"/>
    </row>
    <row r="11" spans="2:24">
      <c r="B11" s="188"/>
      <c r="C11" s="196" t="s">
        <v>3449</v>
      </c>
      <c r="D11" s="197">
        <f>MonthlyBudgetTotalExpenses</f>
        <v>-50.900000000000226</v>
      </c>
      <c r="E11" s="149"/>
      <c r="F11" s="149"/>
      <c r="G11" s="190"/>
      <c r="I11" s="188"/>
      <c r="J11" s="200" t="s">
        <v>47</v>
      </c>
      <c r="K11" s="200" t="s">
        <v>3449</v>
      </c>
      <c r="L11" s="200" t="s">
        <v>3451</v>
      </c>
      <c r="M11" s="202" t="s">
        <v>3452</v>
      </c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90"/>
    </row>
    <row r="12" spans="2:24" ht="15.75">
      <c r="B12" s="188"/>
      <c r="C12" s="149"/>
      <c r="D12" s="149"/>
      <c r="E12" s="149"/>
      <c r="F12" s="195" t="s">
        <v>3447</v>
      </c>
      <c r="G12" s="190"/>
      <c r="I12" s="188"/>
      <c r="J12" s="201">
        <f>MonthlyBudgetDate</f>
        <v>44562</v>
      </c>
      <c r="K12" s="199" cm="1">
        <f t="array" aca="1" ref="K12" ca="1">(SUMIFS(Table1[Amount $],Table1[Category Type],"Expense",Table1[Date_Month],INDIRECT("RC[1]",0),Table1[Date_Year],INDIRECT("RC[2]",0)))*(-1)</f>
        <v>-50.900000000000226</v>
      </c>
      <c r="L12" s="198" cm="1">
        <f t="array" aca="1" ref="L12" ca="1">MONTH(INDIRECT("RC[-2]", 0))</f>
        <v>1</v>
      </c>
      <c r="M12" s="198" cm="1">
        <f t="array" aca="1" ref="M12" ca="1">YEAR(INDIRECT("RC[-3]", 0))</f>
        <v>2022</v>
      </c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90"/>
    </row>
    <row r="13" spans="2:24" ht="15.75">
      <c r="B13" s="188"/>
      <c r="C13" s="149"/>
      <c r="D13" s="149"/>
      <c r="E13" s="149"/>
      <c r="F13" s="217">
        <f>SUMIFS(Table1[Amount $],Table1[Category Type],"Income",Table1[Date_Month],MONTH(MonthlyBudgetDate),Table1[Date_Year],YEAR(MonthlyBudgetDate))</f>
        <v>0</v>
      </c>
      <c r="G13" s="190"/>
      <c r="I13" s="188"/>
      <c r="J13" s="201">
        <f ca="1">EOMONTH(INDIRECT("R[-1]C",0), -1)</f>
        <v>44561</v>
      </c>
      <c r="K13" s="199" cm="1">
        <f t="array" aca="1" ref="K13" ca="1">(SUMIFS(Table1[Amount $],Table1[Category Type],"Expense",Table1[Date_Month],INDIRECT("RC[1]",0),Table1[Date_Year],INDIRECT("RC[2]",0)))*(-1)</f>
        <v>-177.54999999999978</v>
      </c>
      <c r="L13" s="198" cm="1">
        <f t="array" aca="1" ref="L13" ca="1">MONTH(INDIRECT("RC[-2]", 0))</f>
        <v>12</v>
      </c>
      <c r="M13" s="198" cm="1">
        <f t="array" aca="1" ref="M13" ca="1">YEAR(INDIRECT("RC[-3]", 0))</f>
        <v>2021</v>
      </c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90"/>
    </row>
    <row r="14" spans="2:24">
      <c r="B14" s="188"/>
      <c r="C14" s="149"/>
      <c r="D14" s="149"/>
      <c r="E14" s="149"/>
      <c r="F14" s="149"/>
      <c r="G14" s="190"/>
      <c r="I14" s="188"/>
      <c r="J14" s="201">
        <f ca="1">EOMONTH(INDIRECT("R[-1]C",0), -1)</f>
        <v>44530</v>
      </c>
      <c r="K14" s="199" cm="1">
        <f t="array" aca="1" ref="K14" ca="1">(SUMIFS(Table1[Amount $],Table1[Category Type],"Expense",Table1[Date_Month],INDIRECT("RC[1]",0),Table1[Date_Year],INDIRECT("RC[2]",0)))*(-1)</f>
        <v>0</v>
      </c>
      <c r="L14" s="198" cm="1">
        <f t="array" aca="1" ref="L14" ca="1">MONTH(INDIRECT("RC[-2]", 0))</f>
        <v>11</v>
      </c>
      <c r="M14" s="198" cm="1">
        <f t="array" aca="1" ref="M14" ca="1">YEAR(INDIRECT("RC[-3]", 0))</f>
        <v>2021</v>
      </c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90"/>
    </row>
    <row r="15" spans="2:24" ht="15.75">
      <c r="B15" s="188"/>
      <c r="C15" s="149"/>
      <c r="D15" s="149"/>
      <c r="E15" s="149"/>
      <c r="F15" s="195" t="s">
        <v>3448</v>
      </c>
      <c r="G15" s="190"/>
      <c r="I15" s="188"/>
      <c r="J15" s="201">
        <f ca="1">EOMONTH(INDIRECT("R[-1]C",0), -1)</f>
        <v>44500</v>
      </c>
      <c r="K15" s="199" cm="1">
        <f t="array" aca="1" ref="K15" ca="1">(SUMIFS(Table1[Amount $],Table1[Category Type],"Expense",Table1[Date_Month],INDIRECT("RC[1]",0),Table1[Date_Year],INDIRECT("RC[2]",0)))*(-1)</f>
        <v>-2378.52</v>
      </c>
      <c r="L15" s="198" cm="1">
        <f t="array" aca="1" ref="L15" ca="1">MONTH(INDIRECT("RC[-2]", 0))</f>
        <v>10</v>
      </c>
      <c r="M15" s="198" cm="1">
        <f t="array" aca="1" ref="M15" ca="1">YEAR(INDIRECT("RC[-3]", 0))</f>
        <v>2021</v>
      </c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90"/>
    </row>
    <row r="16" spans="2:24" ht="15.75">
      <c r="B16" s="188"/>
      <c r="C16" s="149"/>
      <c r="D16" s="149"/>
      <c r="E16" s="149"/>
      <c r="F16" s="218">
        <f>(SUMIFS(Table1[Amount $],Table1[Category Type],"Expense",Table1[Date_Month],MONTH(MonthlyBudgetDate),Table1[Date_Year],YEAR(MonthlyBudgetDate)))*(-1)</f>
        <v>-50.900000000000226</v>
      </c>
      <c r="G16" s="190"/>
      <c r="I16" s="188"/>
      <c r="J16" s="201">
        <f ca="1">EOMONTH(INDIRECT("R[-1]C",0), -1)</f>
        <v>44469</v>
      </c>
      <c r="K16" s="199" cm="1">
        <f t="array" aca="1" ref="K16" ca="1">(SUMIFS(Table1[Amount $],Table1[Category Type],"Expense",Table1[Date_Month],INDIRECT("RC[1]",0),Table1[Date_Year],INDIRECT("RC[2]",0)))*(-1)</f>
        <v>2187.7400000000002</v>
      </c>
      <c r="L16" s="198" cm="1">
        <f t="array" aca="1" ref="L16" ca="1">MONTH(INDIRECT("RC[-2]", 0))</f>
        <v>9</v>
      </c>
      <c r="M16" s="198" cm="1">
        <f t="array" aca="1" ref="M16" ca="1">YEAR(INDIRECT("RC[-3]", 0))</f>
        <v>2021</v>
      </c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90"/>
    </row>
    <row r="17" spans="2:24">
      <c r="B17" s="188"/>
      <c r="C17" s="149"/>
      <c r="D17" s="149"/>
      <c r="E17" s="149"/>
      <c r="F17" s="149"/>
      <c r="G17" s="190"/>
      <c r="I17" s="188"/>
      <c r="J17" s="201">
        <f ca="1">EOMONTH(INDIRECT("R[-1]C",0), -1)</f>
        <v>44439</v>
      </c>
      <c r="K17" s="199" cm="1">
        <f t="array" aca="1" ref="K17" ca="1">(SUMIFS(Table1[Amount $],Table1[Category Type],"Expense",Table1[Date_Month],INDIRECT("RC[1]",0),Table1[Date_Year],INDIRECT("RC[2]",0)))*(-1)</f>
        <v>190.78</v>
      </c>
      <c r="L17" s="198" cm="1">
        <f t="array" aca="1" ref="L17" ca="1">MONTH(INDIRECT("RC[-2]", 0))</f>
        <v>8</v>
      </c>
      <c r="M17" s="198" cm="1">
        <f t="array" aca="1" ref="M17" ca="1">YEAR(INDIRECT("RC[-3]", 0))</f>
        <v>2021</v>
      </c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90"/>
    </row>
    <row r="18" spans="2:24">
      <c r="B18" s="188"/>
      <c r="C18" s="149"/>
      <c r="D18" s="149"/>
      <c r="E18" s="149"/>
      <c r="F18" s="149"/>
      <c r="G18" s="190"/>
      <c r="I18" s="188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90"/>
    </row>
    <row r="19" spans="2:24" ht="15.75" thickBot="1">
      <c r="B19" s="189"/>
      <c r="C19" s="187"/>
      <c r="D19" s="187"/>
      <c r="E19" s="187"/>
      <c r="F19" s="187"/>
      <c r="G19" s="191"/>
      <c r="I19" s="189"/>
      <c r="J19" s="187"/>
      <c r="K19" s="187"/>
      <c r="L19" s="187"/>
      <c r="M19" s="187"/>
      <c r="N19" s="187"/>
      <c r="O19" s="187"/>
      <c r="P19" s="187"/>
      <c r="Q19" s="187"/>
      <c r="R19" s="187"/>
      <c r="S19" s="187"/>
      <c r="T19" s="187"/>
      <c r="U19" s="187"/>
      <c r="V19" s="187"/>
      <c r="W19" s="187"/>
      <c r="X19" s="191"/>
    </row>
    <row r="20" spans="2:24" ht="15.75" thickBot="1"/>
    <row r="21" spans="2:24">
      <c r="B21" s="192"/>
      <c r="C21" s="193"/>
      <c r="D21" s="193"/>
      <c r="E21" s="193"/>
      <c r="F21" s="193"/>
      <c r="G21" s="194"/>
      <c r="I21" s="192"/>
      <c r="J21" s="193"/>
      <c r="K21" s="193"/>
      <c r="L21" s="193"/>
      <c r="M21" s="193"/>
      <c r="N21" s="193"/>
      <c r="O21" s="193"/>
      <c r="P21" s="193"/>
      <c r="Q21" s="193"/>
      <c r="R21" s="193"/>
      <c r="S21" s="193"/>
      <c r="T21" s="193"/>
      <c r="U21" s="193"/>
      <c r="V21" s="193"/>
      <c r="W21" s="193"/>
      <c r="X21" s="194"/>
    </row>
    <row r="22" spans="2:24" ht="18.75">
      <c r="B22" s="188"/>
      <c r="C22" s="240" t="s">
        <v>3453</v>
      </c>
      <c r="D22" s="240"/>
      <c r="E22" s="240"/>
      <c r="F22" s="240"/>
      <c r="G22" s="190"/>
      <c r="I22" s="188"/>
      <c r="J22" s="240" t="s">
        <v>3454</v>
      </c>
      <c r="K22" s="240"/>
      <c r="L22" s="240"/>
      <c r="M22" s="240"/>
      <c r="N22" s="240"/>
      <c r="O22" s="240"/>
      <c r="P22" s="240"/>
      <c r="Q22" s="240"/>
      <c r="R22" s="149"/>
      <c r="S22" s="149"/>
      <c r="T22" s="149"/>
      <c r="U22" s="149"/>
      <c r="V22" s="149"/>
      <c r="W22" s="149"/>
      <c r="X22" s="190"/>
    </row>
    <row r="23" spans="2:24">
      <c r="B23" s="188"/>
      <c r="C23" s="239" t="str">
        <f>IF(MonthlyBudgetTotalRemaining&lt;0,_xlfn.CONCAT("You went ",TEXT(MonthlyBudgetTotalRemaining*(-1),"$#,##0.00")," over your budget"),_xlfn.CONCAT("You have ",TEXT(MonthlyBudgetTotalRemaining,"$#,##0.00")," remaining in your budget"))</f>
        <v>You have $2,031.67 remaining in your budget</v>
      </c>
      <c r="D23" s="239"/>
      <c r="E23" s="239"/>
      <c r="F23" s="239"/>
      <c r="G23" s="190"/>
      <c r="I23" s="188"/>
      <c r="J23" s="241" t="s">
        <v>3455</v>
      </c>
      <c r="K23" s="241"/>
      <c r="L23" s="241"/>
      <c r="M23" s="241"/>
      <c r="N23" s="241"/>
      <c r="O23" s="241"/>
      <c r="P23" s="241"/>
      <c r="Q23" s="241"/>
      <c r="R23" s="149"/>
      <c r="S23" s="149"/>
      <c r="T23" s="149"/>
      <c r="U23" s="149"/>
      <c r="V23" s="149"/>
      <c r="W23" s="149"/>
      <c r="X23" s="190"/>
    </row>
    <row r="24" spans="2:24">
      <c r="B24" s="188"/>
      <c r="C24" s="149"/>
      <c r="D24" s="149"/>
      <c r="E24" s="149"/>
      <c r="F24" s="149"/>
      <c r="G24" s="190"/>
      <c r="I24" s="188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90"/>
    </row>
    <row r="25" spans="2:24">
      <c r="B25" s="188"/>
      <c r="C25" s="149"/>
      <c r="D25" s="149"/>
      <c r="E25" s="149"/>
      <c r="F25" s="216" t="str">
        <f>IF(MonthlyBudgetTotalRemaining&lt;0,_xlfn.CONCAT(TEXT(MonthlyBudgetTotalRemaining*(-1),"$#,##0.00")," over"),_xlfn.CONCAT(TEXT(MonthlyBudgetTotalRemaining,"$#,##0.00")," left"))</f>
        <v>$2,031.67 left</v>
      </c>
      <c r="G25" s="190"/>
      <c r="I25" s="188"/>
      <c r="J25" s="242" t="s">
        <v>85</v>
      </c>
      <c r="K25" s="242"/>
      <c r="L25" s="216" t="str">
        <f>IF(_xlfn.XLOOKUP(MonthlyBudgetFavoriteCategory1,MonthlyBudgetTable[Category],MonthlyBudgetTable[Remaining])&lt;0,_xlfn.CONCAT(TEXT(_xlfn.XLOOKUP(MonthlyBudgetFavoriteCategory1,MonthlyBudgetTable[Category],MonthlyBudgetTable[Remaining])*(-1),"$#,##0.00")," over"),_xlfn.CONCAT(TEXT(_xlfn.XLOOKUP(MonthlyBudgetFavoriteCategory1,MonthlyBudgetTable[Category],MonthlyBudgetTable[Remaining]),"$#,##0.00")," left"))</f>
        <v>$0.00 left</v>
      </c>
      <c r="M25" s="149"/>
      <c r="N25" s="149"/>
      <c r="O25" s="242" t="s">
        <v>108</v>
      </c>
      <c r="P25" s="242"/>
      <c r="Q25" s="216" t="e">
        <f>IF(_xlfn.XLOOKUP(MonthlyBudgetFavoriteCategory2,MonthlyBudgetTable[Category],MonthlyBudgetTable[Remaining])&lt;0,_xlfn.CONCAT(TEXT(_xlfn.XLOOKUP(MonthlyBudgetFavoriteCategory2,MonthlyBudgetTable[Category],MonthlyBudgetTable[Remaining])*(-1),"$#,##0.00")," over"),_xlfn.CONCAT(TEXT(_xlfn.XLOOKUP(MonthlyBudgetFavoriteCategory2,MonthlyBudgetTable[Category],MonthlyBudgetTable[Remaining]),"$#,##0.00")," left"))</f>
        <v>#N/A</v>
      </c>
      <c r="R25" s="149"/>
      <c r="S25" s="149"/>
      <c r="T25" s="149"/>
      <c r="U25" s="149"/>
      <c r="V25" s="149"/>
      <c r="W25" s="149"/>
      <c r="X25" s="190"/>
    </row>
    <row r="26" spans="2:24">
      <c r="B26" s="188"/>
      <c r="C26" s="149"/>
      <c r="D26" s="149"/>
      <c r="E26" s="149"/>
      <c r="F26" s="149"/>
      <c r="G26" s="190"/>
      <c r="I26" s="188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90"/>
    </row>
    <row r="27" spans="2:24">
      <c r="B27" s="188"/>
      <c r="C27" s="203" cm="1">
        <f t="array" ref="C27">IF(MonthlyBudgetTotalRemaining&lt;0,0%,1-MonthlyBudgetTotalBudgetPercentage)</f>
        <v>0.19271497653645486</v>
      </c>
      <c r="D27" s="203">
        <f>IF(MonthlyBudgetTotalRemaining&lt;0,0%,IF(MonthlyBudgetTotalBudget&lt;&gt;0,MonthlyBudgetTotalRemaining/MonthlyBudgetTotalBudget,100%))</f>
        <v>0.80728502346354514</v>
      </c>
      <c r="E27" s="203">
        <f>IF(MonthlyBudgetTotalRemaining&lt;0,100%,0%)</f>
        <v>0</v>
      </c>
      <c r="F27" s="149"/>
      <c r="G27" s="190"/>
      <c r="I27" s="188"/>
      <c r="J27" s="204">
        <f>IF(_xlfn.XLOOKUP(MonthlyBudgetFavoriteCategory1,MonthlyBudgetTable[Category],MonthlyBudgetTable[Remaining])&lt;0,0%,1-MonthlyBudgetFavoriteCategory1BudgetPercentage)</f>
        <v>0</v>
      </c>
      <c r="K27" s="204">
        <f>IF(_xlfn.XLOOKUP(MonthlyBudgetFavoriteCategory1,MonthlyBudgetTable[Category],MonthlyBudgetTable[Remaining])&lt;0,0%,IF(_xlfn.XLOOKUP(MonthlyBudgetFavoriteCategory1,MonthlyBudgetTable[Category],MonthlyBudgetTable[Budget])&gt;0,_xlfn.XLOOKUP(MonthlyBudgetFavoriteCategory1,MonthlyBudgetTable[Category],MonthlyBudgetTable[Remaining])/_xlfn.XLOOKUP(MonthlyBudgetFavoriteCategory1,MonthlyBudgetTable[Category],MonthlyBudgetTable[Budget]),100%))</f>
        <v>1</v>
      </c>
      <c r="L27" s="204">
        <f>IF(_xlfn.XLOOKUP(MonthlyBudgetFavoriteCategory1,MonthlyBudgetTable[Category],MonthlyBudgetTable[Remaining])&lt;0,100%,0%)</f>
        <v>0</v>
      </c>
      <c r="M27" s="149"/>
      <c r="N27" s="149"/>
      <c r="O27" s="204" t="e">
        <f>IF(_xlfn.XLOOKUP(MonthlyBudgetFavoriteCategory2,MonthlyBudgetTable[Category],MonthlyBudgetTable[Remaining])&lt;0,0%,1-MonthlyBudgetFavoriteCategory2BudgetPercentage)</f>
        <v>#N/A</v>
      </c>
      <c r="P27" s="204" t="e">
        <f>IF(_xlfn.XLOOKUP(MonthlyBudgetFavoriteCategory2,MonthlyBudgetTable[Category],MonthlyBudgetTable[Remaining])&lt;0,0%,IF(_xlfn.XLOOKUP(MonthlyBudgetFavoriteCategory2,MonthlyBudgetTable[Category],MonthlyBudgetTable[Budget])&gt;0,_xlfn.XLOOKUP(MonthlyBudgetFavoriteCategory2,MonthlyBudgetTable[Category],MonthlyBudgetTable[Remaining])/_xlfn.XLOOKUP(MonthlyBudgetFavoriteCategory2,MonthlyBudgetTable[Category],MonthlyBudgetTable[Budget]),100%))</f>
        <v>#N/A</v>
      </c>
      <c r="Q27" s="204" t="e">
        <f>IF(_xlfn.XLOOKUP(MonthlyBudgetFavoriteCategory2,MonthlyBudgetTable[Category],MonthlyBudgetTable[Remaining])&lt;0,100%,0%)</f>
        <v>#N/A</v>
      </c>
      <c r="R27" s="149"/>
      <c r="S27" s="149"/>
      <c r="T27" s="149"/>
      <c r="U27" s="149"/>
      <c r="V27" s="149"/>
      <c r="W27" s="149"/>
      <c r="X27" s="190"/>
    </row>
    <row r="28" spans="2:24">
      <c r="B28" s="188"/>
      <c r="C28" s="239" t="str">
        <f>_xlfn.CONCAT(TEXT(MonthlyBudgetTotalSpent,"$#,##0.00")," of ",TEXT(MonthlyBudgetTotalBudget,"$#,##0.00"))</f>
        <v>$485.00 of $2,516.67</v>
      </c>
      <c r="D28" s="239"/>
      <c r="E28" s="239"/>
      <c r="F28" s="239"/>
      <c r="G28" s="190"/>
      <c r="I28" s="188"/>
      <c r="J28" s="220" t="str">
        <f>_xlfn.CONCAT(TEXT(_xlfn.XLOOKUP(MonthlyBudgetFavoriteCategory1,MonthlyBudgetTable[Category],MonthlyBudgetTable[Spent]),"$#,##0.00")," of ",TEXT(_xlfn.XLOOKUP(MonthlyBudgetFavoriteCategory1,MonthlyBudgetTable[Category],MonthlyBudgetTable[Budget]),"$#,##0.00"))</f>
        <v>$0.00 of $0.00</v>
      </c>
      <c r="K28" s="149"/>
      <c r="L28" s="149"/>
      <c r="M28" s="149"/>
      <c r="N28" s="149"/>
      <c r="O28" s="220" t="e">
        <f>_xlfn.CONCAT(TEXT(_xlfn.XLOOKUP(MonthlyBudgetFavoriteCategory2,MonthlyBudgetTable[Category],MonthlyBudgetTable[Spent]),"$#,##0.00")," of ",TEXT(_xlfn.XLOOKUP(MonthlyBudgetFavoriteCategory2,MonthlyBudgetTable[Category],MonthlyBudgetTable[Budget]),"$#,##0.00"))</f>
        <v>#N/A</v>
      </c>
      <c r="P28" s="149"/>
      <c r="Q28" s="149"/>
      <c r="R28" s="149"/>
      <c r="S28" s="149"/>
      <c r="T28" s="149"/>
      <c r="U28" s="149"/>
      <c r="V28" s="149"/>
      <c r="W28" s="149"/>
      <c r="X28" s="190"/>
    </row>
    <row r="29" spans="2:24" ht="15.75" thickBot="1">
      <c r="B29" s="189"/>
      <c r="C29" s="187"/>
      <c r="D29" s="187"/>
      <c r="E29" s="187"/>
      <c r="F29" s="187"/>
      <c r="G29" s="191"/>
      <c r="I29" s="189"/>
      <c r="J29" s="187"/>
      <c r="K29" s="187"/>
      <c r="L29" s="187"/>
      <c r="M29" s="187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91"/>
    </row>
    <row r="31" spans="2:24" ht="18.75">
      <c r="C31" s="205" t="s">
        <v>3456</v>
      </c>
    </row>
    <row r="32" spans="2:24" ht="15.75" thickBot="1"/>
    <row r="33" spans="2:24" ht="15.75" thickBot="1">
      <c r="B33" s="206"/>
      <c r="C33" s="207" t="s">
        <v>22</v>
      </c>
      <c r="D33" s="238"/>
      <c r="E33" s="238"/>
      <c r="F33" s="219">
        <f>SUBTOTAL(109,MonthlyBudgetTable[Spent])</f>
        <v>485</v>
      </c>
      <c r="G33" s="238"/>
      <c r="H33" s="238"/>
      <c r="I33" s="238"/>
      <c r="J33" s="219">
        <f>SUBTOTAL(109,MonthlyBudgetTable[Budget])</f>
        <v>2516.67</v>
      </c>
      <c r="K33" s="206"/>
      <c r="L33" s="219">
        <f>SUBTOTAL(109,MonthlyBudgetTable[Remaining])</f>
        <v>2031.67</v>
      </c>
      <c r="M33" s="238"/>
      <c r="N33" s="238"/>
      <c r="O33" s="238"/>
      <c r="P33" s="238"/>
      <c r="Q33" s="238"/>
      <c r="R33" s="238"/>
      <c r="S33" s="238"/>
      <c r="T33" s="238"/>
      <c r="U33" s="238"/>
      <c r="V33" s="238"/>
      <c r="W33" s="238"/>
      <c r="X33" s="238"/>
    </row>
    <row r="35" spans="2:24">
      <c r="B35" s="208"/>
      <c r="C35" s="211" t="s">
        <v>4</v>
      </c>
      <c r="D35" s="183" t="s">
        <v>3425</v>
      </c>
      <c r="E35" s="183" t="s">
        <v>3426</v>
      </c>
      <c r="F35" s="221" t="s">
        <v>3427</v>
      </c>
      <c r="G35" s="183" t="s">
        <v>3428</v>
      </c>
      <c r="H35" s="183" t="s">
        <v>3429</v>
      </c>
      <c r="I35" s="183" t="s">
        <v>3430</v>
      </c>
      <c r="J35" s="221" t="s">
        <v>3431</v>
      </c>
      <c r="K35" s="183" t="s">
        <v>3432</v>
      </c>
      <c r="L35" s="221" t="s">
        <v>3433</v>
      </c>
      <c r="M35" s="183" t="s">
        <v>3434</v>
      </c>
      <c r="N35" s="183" t="s">
        <v>3435</v>
      </c>
      <c r="O35" s="183" t="s">
        <v>3436</v>
      </c>
      <c r="P35" s="183" t="s">
        <v>3437</v>
      </c>
      <c r="Q35" s="183" t="s">
        <v>3438</v>
      </c>
      <c r="R35" s="183" t="s">
        <v>3439</v>
      </c>
      <c r="S35" s="209" t="s">
        <v>3440</v>
      </c>
      <c r="T35" s="184" t="s">
        <v>3441</v>
      </c>
      <c r="U35" s="184" t="s">
        <v>3442</v>
      </c>
      <c r="V35" s="183" t="s">
        <v>3443</v>
      </c>
      <c r="W35" s="183" t="s">
        <v>3444</v>
      </c>
    </row>
    <row r="36" spans="2:24" hidden="1">
      <c r="C36" s="215" t="s">
        <v>95</v>
      </c>
      <c r="D36" s="183"/>
      <c r="E36" s="183"/>
      <c r="F36" s="185">
        <f>IF(OR(ISBLANK(MonthlyBudgetTable[[#This Row],[Category]]),MonthlyBudgetTable[[#This Row],[Category]]=""),"",(SUMIFS(Table1[Amount $],Table1[Category Type],"Expense",Table1[Date_Month],MONTH(MonthlyBudgetDate),Table1[Date_Year],YEAR(MonthlyBudgetDate),Table1[Category],MonthlyBudgetTable[[#This Row],[Category]]))*(-1))</f>
        <v>0</v>
      </c>
      <c r="G36" s="183"/>
      <c r="H36" s="183"/>
      <c r="I36" s="183"/>
      <c r="J36" s="186">
        <v>166.67</v>
      </c>
      <c r="K36" s="183"/>
      <c r="L36" s="185">
        <f>IF(OR(ISBLANK(MonthlyBudgetTable[[#This Row],[Category]]),MonthlyBudgetTable[[#This Row],[Category]]=""),"",MonthlyBudgetTable[[#This Row],[Budget]]-MonthlyBudgetTable[[#This Row],[Spent]])</f>
        <v>166.67</v>
      </c>
      <c r="M36" s="183"/>
      <c r="N36" s="183"/>
      <c r="O36" s="183"/>
      <c r="P36" s="183"/>
      <c r="Q36" s="183"/>
      <c r="R36" s="212" t="s">
        <v>3464</v>
      </c>
      <c r="S36" s="213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Type],"Expense",Table1[Date_Month],MONTH(EOMONTH(MonthlyBudgetNearestTransactionDate,-1)),Table1[Date_Year],YEAR(EOMONTH(MonthlyBudgetNearestTransactionDate,-1)))*(-1)))</f>
        <v>150</v>
      </c>
      <c r="T36" s="214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Type],"Expense",Table1[Date_Month],MONTH(EOMONTH(MonthlyBudgetNearestTransactionDate,-2)),Table1[Date_Year],YEAR(EOMONTH(MonthlyBudgetNearestTransactionDate,-2)))*(-1)))</f>
        <v>0</v>
      </c>
      <c r="U36" s="214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Type],"Expense",Table1[Date_Month],MONTH(EOMONTH(MonthlyBudgetNearestTransactionDate,-3)),Table1[Date_Year],YEAR(EOMONTH(MonthlyBudgetNearestTransactionDate,-3)))*(-1)))</f>
        <v>0</v>
      </c>
      <c r="V36" s="223">
        <f ca="1">IF(OR(ISBLANK(MonthlyBudgetTable[[#This Row],[Category]]),MonthlyBudgetTable[[#This Row],[Category]]=""),0,(COUNTIF(MonthlyBudgetTable[[#This Row],[OneMonthAgoBudget]]:MonthlyBudgetTable[[#This Row],[ThreeMonthsAgoBudget]],"&lt;&gt;0")))</f>
        <v>1</v>
      </c>
      <c r="W36" s="223" t="str">
        <f>IF(AND(NOT(ISBLANK(MonthlyBudgetTable[[#This Row],[Category]])),NOT(ISBLANK(_xlfn.XLOOKUP(MonthlyBudgetTable[[#This Row],[Category]],CategoriesTable[Category name],CategoriesTable[ID],"")))),_xlfn.XLOOKUP(MonthlyBudgetTable[[#This Row],[Category]],CategoriesTable[Category name],CategoriesTable[ID],""),"")</f>
        <v>013119218f2e4bdd86aa9097992873f8</v>
      </c>
    </row>
    <row r="37" spans="2:24" hidden="1">
      <c r="C37" s="215" t="s">
        <v>80</v>
      </c>
      <c r="D37" s="183"/>
      <c r="E37" s="183"/>
      <c r="F37" s="185">
        <f>IF(OR(ISBLANK(MonthlyBudgetTable[[#This Row],[Category]]),MonthlyBudgetTable[[#This Row],[Category]]=""),"",(SUMIFS(Table1[Amount $],Table1[Category Type],"Expense",Table1[Date_Month],MONTH(MonthlyBudgetDate),Table1[Date_Year],YEAR(MonthlyBudgetDate),Table1[Category],MonthlyBudgetTable[[#This Row],[Category]]))*(-1))</f>
        <v>0</v>
      </c>
      <c r="G37" s="183"/>
      <c r="H37" s="183"/>
      <c r="I37" s="183"/>
      <c r="J37" s="186">
        <v>0</v>
      </c>
      <c r="K37" s="183"/>
      <c r="L37" s="185">
        <f>IF(OR(ISBLANK(MonthlyBudgetTable[[#This Row],[Category]]),MonthlyBudgetTable[[#This Row],[Category]]=""),"",MonthlyBudgetTable[[#This Row],[Budget]]-MonthlyBudgetTable[[#This Row],[Spent]])</f>
        <v>0</v>
      </c>
      <c r="M37" s="183"/>
      <c r="N37" s="183"/>
      <c r="O37" s="183"/>
      <c r="P37" s="183"/>
      <c r="Q37" s="183"/>
      <c r="R37" s="212" t="s">
        <v>3457</v>
      </c>
      <c r="S37" s="213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Type],"Expense",Table1[Date_Month],MONTH(EOMONTH(MonthlyBudgetNearestTransactionDate,-1)),Table1[Date_Year],YEAR(EOMONTH(MonthlyBudgetNearestTransactionDate,-1)))*(-1)))</f>
        <v>0</v>
      </c>
      <c r="T37" s="214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Type],"Expense",Table1[Date_Month],MONTH(EOMONTH(MonthlyBudgetNearestTransactionDate,-2)),Table1[Date_Year],YEAR(EOMONTH(MonthlyBudgetNearestTransactionDate,-2)))*(-1)))</f>
        <v>0</v>
      </c>
      <c r="U37" s="214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Type],"Expense",Table1[Date_Month],MONTH(EOMONTH(MonthlyBudgetNearestTransactionDate,-3)),Table1[Date_Year],YEAR(EOMONTH(MonthlyBudgetNearestTransactionDate,-3)))*(-1)))</f>
        <v>0</v>
      </c>
      <c r="V37" s="223">
        <f ca="1">IF(OR(ISBLANK(MonthlyBudgetTable[[#This Row],[Category]]),MonthlyBudgetTable[[#This Row],[Category]]=""),0,(COUNTIF(MonthlyBudgetTable[[#This Row],[OneMonthAgoBudget]]:MonthlyBudgetTable[[#This Row],[ThreeMonthsAgoBudget]],"&lt;&gt;0")))</f>
        <v>0</v>
      </c>
      <c r="W37" s="223" t="str">
        <f>IF(AND(NOT(ISBLANK(MonthlyBudgetTable[[#This Row],[Category]])),NOT(ISBLANK(_xlfn.XLOOKUP(MonthlyBudgetTable[[#This Row],[Category]],CategoriesTable[Category name],CategoriesTable[ID],"")))),_xlfn.XLOOKUP(MonthlyBudgetTable[[#This Row],[Category]],CategoriesTable[Category name],CategoriesTable[ID],""),"")</f>
        <v>9fa283df10474311b55af8d4cf39d146</v>
      </c>
    </row>
    <row r="38" spans="2:24" hidden="1">
      <c r="C38" s="215" t="s">
        <v>85</v>
      </c>
      <c r="D38" s="183"/>
      <c r="E38" s="183"/>
      <c r="F38" s="185">
        <f>IF(OR(ISBLANK(MonthlyBudgetTable[[#This Row],[Category]]),MonthlyBudgetTable[[#This Row],[Category]]=""),"",(SUMIFS(Table1[Amount $],Table1[Category Type],"Expense",Table1[Date_Month],MONTH(MonthlyBudgetDate),Table1[Date_Year],YEAR(MonthlyBudgetDate),Table1[Category],MonthlyBudgetTable[[#This Row],[Category]]))*(-1))</f>
        <v>0</v>
      </c>
      <c r="G38" s="183"/>
      <c r="H38" s="183"/>
      <c r="I38" s="183"/>
      <c r="J38" s="186">
        <v>0</v>
      </c>
      <c r="K38" s="183"/>
      <c r="L38" s="185">
        <f>IF(OR(ISBLANK(MonthlyBudgetTable[[#This Row],[Category]]),MonthlyBudgetTable[[#This Row],[Category]]=""),"",MonthlyBudgetTable[[#This Row],[Budget]]-MonthlyBudgetTable[[#This Row],[Spent]])</f>
        <v>0</v>
      </c>
      <c r="M38" s="183"/>
      <c r="N38" s="183"/>
      <c r="O38" s="183"/>
      <c r="P38" s="183"/>
      <c r="Q38" s="183"/>
      <c r="R38" s="212" t="s">
        <v>3459</v>
      </c>
      <c r="S38" s="213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Type],"Expense",Table1[Date_Month],MONTH(EOMONTH(MonthlyBudgetNearestTransactionDate,-1)),Table1[Date_Year],YEAR(EOMONTH(MonthlyBudgetNearestTransactionDate,-1)))*(-1)))</f>
        <v>0</v>
      </c>
      <c r="T38" s="214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Type],"Expense",Table1[Date_Month],MONTH(EOMONTH(MonthlyBudgetNearestTransactionDate,-2)),Table1[Date_Year],YEAR(EOMONTH(MonthlyBudgetNearestTransactionDate,-2)))*(-1)))</f>
        <v>0</v>
      </c>
      <c r="U38" s="214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Type],"Expense",Table1[Date_Month],MONTH(EOMONTH(MonthlyBudgetNearestTransactionDate,-3)),Table1[Date_Year],YEAR(EOMONTH(MonthlyBudgetNearestTransactionDate,-3)))*(-1)))</f>
        <v>0</v>
      </c>
      <c r="V38" s="223">
        <f ca="1">IF(OR(ISBLANK(MonthlyBudgetTable[[#This Row],[Category]]),MonthlyBudgetTable[[#This Row],[Category]]=""),0,(COUNTIF(MonthlyBudgetTable[[#This Row],[OneMonthAgoBudget]]:MonthlyBudgetTable[[#This Row],[ThreeMonthsAgoBudget]],"&lt;&gt;0")))</f>
        <v>0</v>
      </c>
      <c r="W38" s="223" t="str">
        <f>IF(AND(NOT(ISBLANK(MonthlyBudgetTable[[#This Row],[Category]])),NOT(ISBLANK(_xlfn.XLOOKUP(MonthlyBudgetTable[[#This Row],[Category]],CategoriesTable[Category name],CategoriesTable[ID],"")))),_xlfn.XLOOKUP(MonthlyBudgetTable[[#This Row],[Category]],CategoriesTable[Category name],CategoriesTable[ID],""),"")</f>
        <v>1c7ed344fd3c47f1b0c4926eb05c305c</v>
      </c>
    </row>
    <row r="39" spans="2:24" hidden="1">
      <c r="C39" s="215" t="s">
        <v>101</v>
      </c>
      <c r="D39" s="183"/>
      <c r="E39" s="183"/>
      <c r="F39" s="185">
        <f>IF(OR(ISBLANK(MonthlyBudgetTable[[#This Row],[Category]]),MonthlyBudgetTable[[#This Row],[Category]]=""),"",(SUMIFS(Table1[Amount $],Table1[Category Type],"Expense",Table1[Date_Month],MONTH(MonthlyBudgetDate),Table1[Date_Year],YEAR(MonthlyBudgetDate),Table1[Category],MonthlyBudgetTable[[#This Row],[Category]]))*(-1))</f>
        <v>0</v>
      </c>
      <c r="G39" s="183"/>
      <c r="H39" s="183"/>
      <c r="I39" s="183"/>
      <c r="J39" s="186">
        <v>0</v>
      </c>
      <c r="K39" s="183"/>
      <c r="L39" s="185">
        <f>IF(OR(ISBLANK(MonthlyBudgetTable[[#This Row],[Category]]),MonthlyBudgetTable[[#This Row],[Category]]=""),"",MonthlyBudgetTable[[#This Row],[Budget]]-MonthlyBudgetTable[[#This Row],[Spent]])</f>
        <v>0</v>
      </c>
      <c r="M39" s="183"/>
      <c r="N39" s="183"/>
      <c r="O39" s="183"/>
      <c r="P39" s="183"/>
      <c r="Q39" s="183"/>
      <c r="R39" s="212" t="s">
        <v>3460</v>
      </c>
      <c r="S39" s="213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Type],"Expense",Table1[Date_Month],MONTH(EOMONTH(MonthlyBudgetNearestTransactionDate,-1)),Table1[Date_Year],YEAR(EOMONTH(MonthlyBudgetNearestTransactionDate,-1)))*(-1)))</f>
        <v>0</v>
      </c>
      <c r="T39" s="214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Type],"Expense",Table1[Date_Month],MONTH(EOMONTH(MonthlyBudgetNearestTransactionDate,-2)),Table1[Date_Year],YEAR(EOMONTH(MonthlyBudgetNearestTransactionDate,-2)))*(-1)))</f>
        <v>0</v>
      </c>
      <c r="U39" s="214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Type],"Expense",Table1[Date_Month],MONTH(EOMONTH(MonthlyBudgetNearestTransactionDate,-3)),Table1[Date_Year],YEAR(EOMONTH(MonthlyBudgetNearestTransactionDate,-3)))*(-1)))</f>
        <v>0</v>
      </c>
      <c r="V39" s="223">
        <f ca="1">IF(OR(ISBLANK(MonthlyBudgetTable[[#This Row],[Category]]),MonthlyBudgetTable[[#This Row],[Category]]=""),0,(COUNTIF(MonthlyBudgetTable[[#This Row],[OneMonthAgoBudget]]:MonthlyBudgetTable[[#This Row],[ThreeMonthsAgoBudget]],"&lt;&gt;0")))</f>
        <v>0</v>
      </c>
      <c r="W39" s="223" t="str">
        <f>IF(AND(NOT(ISBLANK(MonthlyBudgetTable[[#This Row],[Category]])),NOT(ISBLANK(_xlfn.XLOOKUP(MonthlyBudgetTable[[#This Row],[Category]],CategoriesTable[Category name],CategoriesTable[ID],"")))),_xlfn.XLOOKUP(MonthlyBudgetTable[[#This Row],[Category]],CategoriesTable[Category name],CategoriesTable[ID],""),"")</f>
        <v>cc336735a5324e28bf4f3414f7548cf1</v>
      </c>
    </row>
    <row r="40" spans="2:24">
      <c r="C40" s="215" t="s">
        <v>75</v>
      </c>
      <c r="D40" s="183"/>
      <c r="E40" s="183"/>
      <c r="F40" s="185">
        <f>IF(OR(ISBLANK(MonthlyBudgetTable[[#This Row],[Category]]),MonthlyBudgetTable[[#This Row],[Category]]=""),"",(SUMIFS(Table1[Amount $],Table1[Category Type],"Expense",Table1[Date_Month],MONTH(MonthlyBudgetDate),Table1[Date_Year],YEAR(MonthlyBudgetDate),Table1[Category],MonthlyBudgetTable[[#This Row],[Category]]))*(-1))</f>
        <v>0</v>
      </c>
      <c r="G40" s="183"/>
      <c r="H40" s="183"/>
      <c r="I40" s="183"/>
      <c r="J40" s="186">
        <v>0</v>
      </c>
      <c r="K40" s="183"/>
      <c r="L40" s="185">
        <f>IF(OR(ISBLANK(MonthlyBudgetTable[[#This Row],[Category]]),MonthlyBudgetTable[[#This Row],[Category]]=""),"",MonthlyBudgetTable[[#This Row],[Budget]]-MonthlyBudgetTable[[#This Row],[Spent]])</f>
        <v>0</v>
      </c>
      <c r="M40" s="183"/>
      <c r="N40" s="183"/>
      <c r="O40" s="183"/>
      <c r="P40" s="183"/>
      <c r="Q40" s="183"/>
      <c r="R40" s="212" t="s">
        <v>3458</v>
      </c>
      <c r="S40" s="213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Type],"Expense",Table1[Date_Month],MONTH(EOMONTH(MonthlyBudgetNearestTransactionDate,-1)),Table1[Date_Year],YEAR(EOMONTH(MonthlyBudgetNearestTransactionDate,-1)))*(-1)))</f>
        <v>476</v>
      </c>
      <c r="T40" s="214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Type],"Expense",Table1[Date_Month],MONTH(EOMONTH(MonthlyBudgetNearestTransactionDate,-2)),Table1[Date_Year],YEAR(EOMONTH(MonthlyBudgetNearestTransactionDate,-2)))*(-1)))</f>
        <v>0</v>
      </c>
      <c r="U40" s="214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Type],"Expense",Table1[Date_Month],MONTH(EOMONTH(MonthlyBudgetNearestTransactionDate,-3)),Table1[Date_Year],YEAR(EOMONTH(MonthlyBudgetNearestTransactionDate,-3)))*(-1)))</f>
        <v>0</v>
      </c>
      <c r="V40" s="223">
        <f ca="1">IF(OR(ISBLANK(MonthlyBudgetTable[[#This Row],[Category]]),MonthlyBudgetTable[[#This Row],[Category]]=""),0,(COUNTIF(MonthlyBudgetTable[[#This Row],[OneMonthAgoBudget]]:MonthlyBudgetTable[[#This Row],[ThreeMonthsAgoBudget]],"&lt;&gt;0")))</f>
        <v>1</v>
      </c>
      <c r="W40" s="223" t="str">
        <f>IF(AND(NOT(ISBLANK(MonthlyBudgetTable[[#This Row],[Category]])),NOT(ISBLANK(_xlfn.XLOOKUP(MonthlyBudgetTable[[#This Row],[Category]],CategoriesTable[Category name],CategoriesTable[ID],"")))),_xlfn.XLOOKUP(MonthlyBudgetTable[[#This Row],[Category]],CategoriesTable[Category name],CategoriesTable[ID],""),"")</f>
        <v>ca8ac7c19b84437194c3fe5508eb8bda</v>
      </c>
    </row>
    <row r="41" spans="2:24">
      <c r="C41" s="215" t="s">
        <v>80</v>
      </c>
      <c r="D41" s="183"/>
      <c r="E41" s="183"/>
      <c r="F41" s="185">
        <f>IF(OR(ISBLANK(MonthlyBudgetTable[[#This Row],[Category]]),MonthlyBudgetTable[[#This Row],[Category]]=""),"",(SUMIFS(Table1[Amount $],Table1[Category Type],"Expense",Table1[Date_Month],MONTH(MonthlyBudgetDate),Table1[Date_Year],YEAR(MonthlyBudgetDate),Table1[Category],MonthlyBudgetTable[[#This Row],[Category]]))*(-1))</f>
        <v>0</v>
      </c>
      <c r="G41" s="183"/>
      <c r="H41" s="183"/>
      <c r="I41" s="183"/>
      <c r="J41" s="186">
        <v>0</v>
      </c>
      <c r="K41" s="183"/>
      <c r="L41" s="185">
        <f>IF(OR(ISBLANK(MonthlyBudgetTable[[#This Row],[Category]]),MonthlyBudgetTable[[#This Row],[Category]]=""),"",MonthlyBudgetTable[[#This Row],[Budget]]-MonthlyBudgetTable[[#This Row],[Spent]])</f>
        <v>0</v>
      </c>
      <c r="M41" s="183"/>
      <c r="N41" s="183"/>
      <c r="O41" s="183"/>
      <c r="P41" s="183"/>
      <c r="Q41" s="183"/>
      <c r="R41" s="212" t="s">
        <v>3457</v>
      </c>
      <c r="S41" s="213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Type],"Expense",Table1[Date_Month],MONTH(EOMONTH(MonthlyBudgetNearestTransactionDate,-1)),Table1[Date_Year],YEAR(EOMONTH(MonthlyBudgetNearestTransactionDate,-1)))*(-1)))</f>
        <v>0</v>
      </c>
      <c r="T41" s="214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Type],"Expense",Table1[Date_Month],MONTH(EOMONTH(MonthlyBudgetNearestTransactionDate,-2)),Table1[Date_Year],YEAR(EOMONTH(MonthlyBudgetNearestTransactionDate,-2)))*(-1)))</f>
        <v>0</v>
      </c>
      <c r="U41" s="214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Type],"Expense",Table1[Date_Month],MONTH(EOMONTH(MonthlyBudgetNearestTransactionDate,-3)),Table1[Date_Year],YEAR(EOMONTH(MonthlyBudgetNearestTransactionDate,-3)))*(-1)))</f>
        <v>0</v>
      </c>
      <c r="V41" s="223">
        <f ca="1">IF(OR(ISBLANK(MonthlyBudgetTable[[#This Row],[Category]]),MonthlyBudgetTable[[#This Row],[Category]]=""),0,(COUNTIF(MonthlyBudgetTable[[#This Row],[OneMonthAgoBudget]]:MonthlyBudgetTable[[#This Row],[ThreeMonthsAgoBudget]],"&lt;&gt;0")))</f>
        <v>0</v>
      </c>
      <c r="W41" s="223" t="str">
        <f>IF(AND(NOT(ISBLANK(MonthlyBudgetTable[[#This Row],[Category]])),NOT(ISBLANK(_xlfn.XLOOKUP(MonthlyBudgetTable[[#This Row],[Category]],CategoriesTable[Category name],CategoriesTable[ID],"")))),_xlfn.XLOOKUP(MonthlyBudgetTable[[#This Row],[Category]],CategoriesTable[Category name],CategoriesTable[ID],""),"")</f>
        <v>9fa283df10474311b55af8d4cf39d146</v>
      </c>
    </row>
    <row r="42" spans="2:24">
      <c r="C42" s="215" t="s">
        <v>117</v>
      </c>
      <c r="D42" s="183"/>
      <c r="E42" s="183"/>
      <c r="F42" s="185">
        <f>IF(OR(ISBLANK(MonthlyBudgetTable[[#This Row],[Category]]),MonthlyBudgetTable[[#This Row],[Category]]=""),"",(SUMIFS(Table1[Amount $],Table1[Category Type],"Expense",Table1[Date_Month],MONTH(MonthlyBudgetDate),Table1[Date_Year],YEAR(MonthlyBudgetDate),Table1[Category],MonthlyBudgetTable[[#This Row],[Category]]))*(-1))</f>
        <v>0</v>
      </c>
      <c r="G42" s="183"/>
      <c r="H42" s="183"/>
      <c r="I42" s="183"/>
      <c r="J42" s="186">
        <v>583.33000000000004</v>
      </c>
      <c r="K42" s="183"/>
      <c r="L42" s="185">
        <f>IF(OR(ISBLANK(MonthlyBudgetTable[[#This Row],[Category]]),MonthlyBudgetTable[[#This Row],[Category]]=""),"",MonthlyBudgetTable[[#This Row],[Budget]]-MonthlyBudgetTable[[#This Row],[Spent]])</f>
        <v>583.33000000000004</v>
      </c>
      <c r="M42" s="183"/>
      <c r="N42" s="183"/>
      <c r="O42" s="183"/>
      <c r="P42" s="183"/>
      <c r="Q42" s="183"/>
      <c r="R42" s="212" t="s">
        <v>3468</v>
      </c>
      <c r="S42" s="213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Type],"Expense",Table1[Date_Month],MONTH(EOMONTH(MonthlyBudgetNearestTransactionDate,-1)),Table1[Date_Year],YEAR(EOMONTH(MonthlyBudgetNearestTransactionDate,-1)))*(-1)))</f>
        <v>317.58000000000004</v>
      </c>
      <c r="T42" s="214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Type],"Expense",Table1[Date_Month],MONTH(EOMONTH(MonthlyBudgetNearestTransactionDate,-2)),Table1[Date_Year],YEAR(EOMONTH(MonthlyBudgetNearestTransactionDate,-2)))*(-1)))</f>
        <v>0</v>
      </c>
      <c r="U42" s="214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Type],"Expense",Table1[Date_Month],MONTH(EOMONTH(MonthlyBudgetNearestTransactionDate,-3)),Table1[Date_Year],YEAR(EOMONTH(MonthlyBudgetNearestTransactionDate,-3)))*(-1)))</f>
        <v>0</v>
      </c>
      <c r="V42" s="212">
        <f ca="1">IF(OR(ISBLANK(MonthlyBudgetTable[[#This Row],[Category]]),MonthlyBudgetTable[[#This Row],[Category]]=""),0,(COUNTIF(MonthlyBudgetTable[[#This Row],[OneMonthAgoBudget]]:MonthlyBudgetTable[[#This Row],[ThreeMonthsAgoBudget]],"&lt;&gt;0")))</f>
        <v>1</v>
      </c>
      <c r="W42" s="212" t="str">
        <f>IF(AND(NOT(ISBLANK(MonthlyBudgetTable[[#This Row],[Category]])),NOT(ISBLANK(_xlfn.XLOOKUP(MonthlyBudgetTable[[#This Row],[Category]],CategoriesTable[Category name],CategoriesTable[ID],"")))),_xlfn.XLOOKUP(MonthlyBudgetTable[[#This Row],[Category]],CategoriesTable[Category name],CategoriesTable[ID],""),"")</f>
        <v>fec746a44521f2118fef19237dbf4f91</v>
      </c>
    </row>
    <row r="43" spans="2:24">
      <c r="C43" s="215" t="s">
        <v>85</v>
      </c>
      <c r="D43" s="183"/>
      <c r="E43" s="183"/>
      <c r="F43" s="185">
        <f>IF(OR(ISBLANK(MonthlyBudgetTable[[#This Row],[Category]]),MonthlyBudgetTable[[#This Row],[Category]]=""),"",(SUMIFS(Table1[Amount $],Table1[Category Type],"Expense",Table1[Date_Month],MONTH(MonthlyBudgetDate),Table1[Date_Year],YEAR(MonthlyBudgetDate),Table1[Category],MonthlyBudgetTable[[#This Row],[Category]]))*(-1))</f>
        <v>0</v>
      </c>
      <c r="G43" s="183"/>
      <c r="H43" s="183"/>
      <c r="I43" s="183"/>
      <c r="J43" s="186">
        <v>0</v>
      </c>
      <c r="K43" s="183"/>
      <c r="L43" s="185">
        <f>IF(OR(ISBLANK(MonthlyBudgetTable[[#This Row],[Category]]),MonthlyBudgetTable[[#This Row],[Category]]=""),"",MonthlyBudgetTable[[#This Row],[Budget]]-MonthlyBudgetTable[[#This Row],[Spent]])</f>
        <v>0</v>
      </c>
      <c r="M43" s="183"/>
      <c r="N43" s="183"/>
      <c r="O43" s="183"/>
      <c r="P43" s="183"/>
      <c r="Q43" s="183"/>
      <c r="R43" s="212" t="s">
        <v>3459</v>
      </c>
      <c r="S43" s="213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Type],"Expense",Table1[Date_Month],MONTH(EOMONTH(MonthlyBudgetNearestTransactionDate,-1)),Table1[Date_Year],YEAR(EOMONTH(MonthlyBudgetNearestTransactionDate,-1)))*(-1)))</f>
        <v>0</v>
      </c>
      <c r="T43" s="214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Type],"Expense",Table1[Date_Month],MONTH(EOMONTH(MonthlyBudgetNearestTransactionDate,-2)),Table1[Date_Year],YEAR(EOMONTH(MonthlyBudgetNearestTransactionDate,-2)))*(-1)))</f>
        <v>0</v>
      </c>
      <c r="U43" s="214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Type],"Expense",Table1[Date_Month],MONTH(EOMONTH(MonthlyBudgetNearestTransactionDate,-3)),Table1[Date_Year],YEAR(EOMONTH(MonthlyBudgetNearestTransactionDate,-3)))*(-1)))</f>
        <v>0</v>
      </c>
      <c r="V43" s="223">
        <f ca="1">IF(OR(ISBLANK(MonthlyBudgetTable[[#This Row],[Category]]),MonthlyBudgetTable[[#This Row],[Category]]=""),0,(COUNTIF(MonthlyBudgetTable[[#This Row],[OneMonthAgoBudget]]:MonthlyBudgetTable[[#This Row],[ThreeMonthsAgoBudget]],"&lt;&gt;0")))</f>
        <v>0</v>
      </c>
      <c r="W43" s="223" t="str">
        <f>IF(AND(NOT(ISBLANK(MonthlyBudgetTable[[#This Row],[Category]])),NOT(ISBLANK(_xlfn.XLOOKUP(MonthlyBudgetTable[[#This Row],[Category]],CategoriesTable[Category name],CategoriesTable[ID],"")))),_xlfn.XLOOKUP(MonthlyBudgetTable[[#This Row],[Category]],CategoriesTable[Category name],CategoriesTable[ID],""),"")</f>
        <v>1c7ed344fd3c47f1b0c4926eb05c305c</v>
      </c>
    </row>
    <row r="44" spans="2:24">
      <c r="C44" s="215" t="s">
        <v>85</v>
      </c>
      <c r="D44" s="183"/>
      <c r="E44" s="183"/>
      <c r="F44" s="185"/>
      <c r="G44" s="183"/>
      <c r="H44" s="183"/>
      <c r="I44" s="183"/>
      <c r="J44" s="186"/>
      <c r="K44" s="183"/>
      <c r="L44" s="185"/>
      <c r="M44" s="183"/>
      <c r="N44" s="183"/>
      <c r="O44" s="183"/>
      <c r="P44" s="183"/>
      <c r="Q44" s="183"/>
      <c r="R44" s="212" t="s">
        <v>3461</v>
      </c>
      <c r="S44" s="213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Type],"Expense",Table1[Date_Month],MONTH(EOMONTH(MonthlyBudgetNearestTransactionDate,-1)),Table1[Date_Year],YEAR(EOMONTH(MonthlyBudgetNearestTransactionDate,-1)))*(-1)))</f>
        <v>0</v>
      </c>
      <c r="T44" s="214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Type],"Expense",Table1[Date_Month],MONTH(EOMONTH(MonthlyBudgetNearestTransactionDate,-2)),Table1[Date_Year],YEAR(EOMONTH(MonthlyBudgetNearestTransactionDate,-2)))*(-1)))</f>
        <v>0</v>
      </c>
      <c r="U44" s="214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Type],"Expense",Table1[Date_Month],MONTH(EOMONTH(MonthlyBudgetNearestTransactionDate,-3)),Table1[Date_Year],YEAR(EOMONTH(MonthlyBudgetNearestTransactionDate,-3)))*(-1)))</f>
        <v>0</v>
      </c>
      <c r="V44" s="212">
        <f ca="1">IF(OR(ISBLANK(MonthlyBudgetTable[[#This Row],[Category]]),MonthlyBudgetTable[[#This Row],[Category]]=""),0,(COUNTIF(MonthlyBudgetTable[[#This Row],[OneMonthAgoBudget]]:MonthlyBudgetTable[[#This Row],[ThreeMonthsAgoBudget]],"&lt;&gt;0")))</f>
        <v>0</v>
      </c>
      <c r="W44" s="212" t="str">
        <f>IF(AND(NOT(ISBLANK(MonthlyBudgetTable[[#This Row],[Category]])),NOT(ISBLANK(_xlfn.XLOOKUP(MonthlyBudgetTable[[#This Row],[Category]],CategoriesTable[Category name],CategoriesTable[ID],"")))),_xlfn.XLOOKUP(MonthlyBudgetTable[[#This Row],[Category]],CategoriesTable[Category name],CategoriesTable[ID],""),"")</f>
        <v>1c7ed344fd3c47f1b0c4926eb05c305c</v>
      </c>
    </row>
    <row r="45" spans="2:24">
      <c r="C45" s="215" t="s">
        <v>87</v>
      </c>
      <c r="D45" s="183"/>
      <c r="E45" s="183"/>
      <c r="F45" s="185"/>
      <c r="G45" s="183"/>
      <c r="H45" s="183"/>
      <c r="I45" s="183"/>
      <c r="J45" s="186"/>
      <c r="K45" s="183"/>
      <c r="L45" s="185"/>
      <c r="M45" s="183"/>
      <c r="N45" s="183"/>
      <c r="O45" s="183"/>
      <c r="P45" s="183"/>
      <c r="Q45" s="183"/>
      <c r="R45" s="212" t="s">
        <v>3462</v>
      </c>
      <c r="S45" s="213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Type],"Expense",Table1[Date_Month],MONTH(EOMONTH(MonthlyBudgetNearestTransactionDate,-1)),Table1[Date_Year],YEAR(EOMONTH(MonthlyBudgetNearestTransactionDate,-1)))*(-1)))</f>
        <v>0</v>
      </c>
      <c r="T45" s="214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Type],"Expense",Table1[Date_Month],MONTH(EOMONTH(MonthlyBudgetNearestTransactionDate,-2)),Table1[Date_Year],YEAR(EOMONTH(MonthlyBudgetNearestTransactionDate,-2)))*(-1)))</f>
        <v>0</v>
      </c>
      <c r="U45" s="214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Type],"Expense",Table1[Date_Month],MONTH(EOMONTH(MonthlyBudgetNearestTransactionDate,-3)),Table1[Date_Year],YEAR(EOMONTH(MonthlyBudgetNearestTransactionDate,-3)))*(-1)))</f>
        <v>0</v>
      </c>
      <c r="V45" s="212">
        <f ca="1">IF(OR(ISBLANK(MonthlyBudgetTable[[#This Row],[Category]]),MonthlyBudgetTable[[#This Row],[Category]]=""),0,(COUNTIF(MonthlyBudgetTable[[#This Row],[OneMonthAgoBudget]]:MonthlyBudgetTable[[#This Row],[ThreeMonthsAgoBudget]],"&lt;&gt;0")))</f>
        <v>0</v>
      </c>
      <c r="W45" s="212" t="str">
        <f>IF(AND(NOT(ISBLANK(MonthlyBudgetTable[[#This Row],[Category]])),NOT(ISBLANK(_xlfn.XLOOKUP(MonthlyBudgetTable[[#This Row],[Category]],CategoriesTable[Category name],CategoriesTable[ID],"")))),_xlfn.XLOOKUP(MonthlyBudgetTable[[#This Row],[Category]],CategoriesTable[Category name],CategoriesTable[ID],""),"")</f>
        <v>0c9f3488736a4d97bd78b9c29fbb29fb</v>
      </c>
    </row>
    <row r="46" spans="2:24">
      <c r="C46" s="215" t="s">
        <v>89</v>
      </c>
      <c r="D46" s="183"/>
      <c r="E46" s="183"/>
      <c r="F46" s="185">
        <f>IF(OR(ISBLANK(MonthlyBudgetTable[[#This Row],[Category]]),MonthlyBudgetTable[[#This Row],[Category]]=""),"",(SUMIFS(Table1[Amount $],Table1[Category Type],"Expense",Table1[Date_Month],MONTH(MonthlyBudgetDate),Table1[Date_Year],YEAR(MonthlyBudgetDate),Table1[Category],MonthlyBudgetTable[[#This Row],[Category]]))*(-1))</f>
        <v>485</v>
      </c>
      <c r="G46" s="183"/>
      <c r="H46" s="183"/>
      <c r="I46" s="183"/>
      <c r="J46" s="186">
        <v>933.34</v>
      </c>
      <c r="K46" s="183"/>
      <c r="L46" s="185">
        <f>IF(OR(ISBLANK(MonthlyBudgetTable[[#This Row],[Category]]),MonthlyBudgetTable[[#This Row],[Category]]=""),"",MonthlyBudgetTable[[#This Row],[Budget]]-MonthlyBudgetTable[[#This Row],[Spent]])</f>
        <v>448.34000000000003</v>
      </c>
      <c r="M46" s="183"/>
      <c r="N46" s="183"/>
      <c r="O46" s="183"/>
      <c r="P46" s="183"/>
      <c r="Q46" s="183"/>
      <c r="R46" s="212" t="s">
        <v>3463</v>
      </c>
      <c r="S46" s="213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Type],"Expense",Table1[Date_Month],MONTH(EOMONTH(MonthlyBudgetNearestTransactionDate,-1)),Table1[Date_Year],YEAR(EOMONTH(MonthlyBudgetNearestTransactionDate,-1)))*(-1)))</f>
        <v>0</v>
      </c>
      <c r="T46" s="214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Type],"Expense",Table1[Date_Month],MONTH(EOMONTH(MonthlyBudgetNearestTransactionDate,-2)),Table1[Date_Year],YEAR(EOMONTH(MonthlyBudgetNearestTransactionDate,-2)))*(-1)))</f>
        <v>0</v>
      </c>
      <c r="U46" s="214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Type],"Expense",Table1[Date_Month],MONTH(EOMONTH(MonthlyBudgetNearestTransactionDate,-3)),Table1[Date_Year],YEAR(EOMONTH(MonthlyBudgetNearestTransactionDate,-3)))*(-1)))</f>
        <v>0</v>
      </c>
      <c r="V46" s="223">
        <f ca="1">IF(OR(ISBLANK(MonthlyBudgetTable[[#This Row],[Category]]),MonthlyBudgetTable[[#This Row],[Category]]=""),0,(COUNTIF(MonthlyBudgetTable[[#This Row],[OneMonthAgoBudget]]:MonthlyBudgetTable[[#This Row],[ThreeMonthsAgoBudget]],"&lt;&gt;0")))</f>
        <v>0</v>
      </c>
      <c r="W46" s="223" t="str">
        <f>IF(AND(NOT(ISBLANK(MonthlyBudgetTable[[#This Row],[Category]])),NOT(ISBLANK(_xlfn.XLOOKUP(MonthlyBudgetTable[[#This Row],[Category]],CategoriesTable[Category name],CategoriesTable[ID],"")))),_xlfn.XLOOKUP(MonthlyBudgetTable[[#This Row],[Category]],CategoriesTable[Category name],CategoriesTable[ID],""),"")</f>
        <v>0613345f0a8b4edfb294d0fdc6fe7382</v>
      </c>
    </row>
    <row r="47" spans="2:24">
      <c r="C47" s="215" t="s">
        <v>119</v>
      </c>
      <c r="D47" s="183"/>
      <c r="E47" s="183"/>
      <c r="F47" s="185">
        <f>IF(OR(ISBLANK(MonthlyBudgetTable[[#This Row],[Category]]),MonthlyBudgetTable[[#This Row],[Category]]=""),"",(SUMIFS(Table1[Amount $],Table1[Category Type],"Expense",Table1[Date_Month],MONTH(MonthlyBudgetDate),Table1[Date_Year],YEAR(MonthlyBudgetDate),Table1[Category],MonthlyBudgetTable[[#This Row],[Category]]))*(-1))</f>
        <v>0</v>
      </c>
      <c r="G47" s="183"/>
      <c r="H47" s="183"/>
      <c r="I47" s="183"/>
      <c r="J47" s="186">
        <v>83.33</v>
      </c>
      <c r="K47" s="183"/>
      <c r="L47" s="185">
        <f>IF(OR(ISBLANK(MonthlyBudgetTable[[#This Row],[Category]]),MonthlyBudgetTable[[#This Row],[Category]]=""),"",MonthlyBudgetTable[[#This Row],[Budget]]-MonthlyBudgetTable[[#This Row],[Spent]])</f>
        <v>83.33</v>
      </c>
      <c r="M47" s="183"/>
      <c r="N47" s="183"/>
      <c r="O47" s="183"/>
      <c r="P47" s="183"/>
      <c r="Q47" s="183"/>
      <c r="R47" s="212" t="s">
        <v>3469</v>
      </c>
      <c r="S47" s="213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Type],"Expense",Table1[Date_Month],MONTH(EOMONTH(MonthlyBudgetNearestTransactionDate,-1)),Table1[Date_Year],YEAR(EOMONTH(MonthlyBudgetNearestTransactionDate,-1)))*(-1)))</f>
        <v>60.44</v>
      </c>
      <c r="T47" s="214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Type],"Expense",Table1[Date_Month],MONTH(EOMONTH(MonthlyBudgetNearestTransactionDate,-2)),Table1[Date_Year],YEAR(EOMONTH(MonthlyBudgetNearestTransactionDate,-2)))*(-1)))</f>
        <v>0</v>
      </c>
      <c r="U47" s="214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Type],"Expense",Table1[Date_Month],MONTH(EOMONTH(MonthlyBudgetNearestTransactionDate,-3)),Table1[Date_Year],YEAR(EOMONTH(MonthlyBudgetNearestTransactionDate,-3)))*(-1)))</f>
        <v>0</v>
      </c>
      <c r="V47" s="212">
        <f ca="1">IF(OR(ISBLANK(MonthlyBudgetTable[[#This Row],[Category]]),MonthlyBudgetTable[[#This Row],[Category]]=""),0,(COUNTIF(MonthlyBudgetTable[[#This Row],[OneMonthAgoBudget]]:MonthlyBudgetTable[[#This Row],[ThreeMonthsAgoBudget]],"&lt;&gt;0")))</f>
        <v>1</v>
      </c>
      <c r="W47" s="212" t="str">
        <f>IF(AND(NOT(ISBLANK(MonthlyBudgetTable[[#This Row],[Category]])),NOT(ISBLANK(_xlfn.XLOOKUP(MonthlyBudgetTable[[#This Row],[Category]],CategoriesTable[Category name],CategoriesTable[ID],"")))),_xlfn.XLOOKUP(MonthlyBudgetTable[[#This Row],[Category]],CategoriesTable[Category name],CategoriesTable[ID],""),"")</f>
        <v>fc644bd9ea3a9fa6cdcd5fd08cd93f11</v>
      </c>
    </row>
    <row r="48" spans="2:24">
      <c r="C48" s="215" t="s">
        <v>120</v>
      </c>
      <c r="D48" s="183"/>
      <c r="E48" s="183"/>
      <c r="F48" s="185">
        <f>IF(OR(ISBLANK(MonthlyBudgetTable[[#This Row],[Category]]),MonthlyBudgetTable[[#This Row],[Category]]=""),"",(SUMIFS(Table1[Amount $],Table1[Category Type],"Expense",Table1[Date_Month],MONTH(MonthlyBudgetDate),Table1[Date_Year],YEAR(MonthlyBudgetDate),Table1[Category],MonthlyBudgetTable[[#This Row],[Category]]))*(-1))</f>
        <v>0</v>
      </c>
      <c r="G48" s="183"/>
      <c r="H48" s="183"/>
      <c r="I48" s="183"/>
      <c r="J48" s="186">
        <v>250</v>
      </c>
      <c r="K48" s="183"/>
      <c r="L48" s="185">
        <f>IF(OR(ISBLANK(MonthlyBudgetTable[[#This Row],[Category]]),MonthlyBudgetTable[[#This Row],[Category]]=""),"",MonthlyBudgetTable[[#This Row],[Budget]]-MonthlyBudgetTable[[#This Row],[Spent]])</f>
        <v>250</v>
      </c>
      <c r="M48" s="183"/>
      <c r="N48" s="183"/>
      <c r="O48" s="183"/>
      <c r="P48" s="183"/>
      <c r="Q48" s="183"/>
      <c r="R48" s="212" t="s">
        <v>3470</v>
      </c>
      <c r="S48" s="213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Type],"Expense",Table1[Date_Month],MONTH(EOMONTH(MonthlyBudgetNearestTransactionDate,-1)),Table1[Date_Year],YEAR(EOMONTH(MonthlyBudgetNearestTransactionDate,-1)))*(-1)))</f>
        <v>64.069999999999993</v>
      </c>
      <c r="T48" s="214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Type],"Expense",Table1[Date_Month],MONTH(EOMONTH(MonthlyBudgetNearestTransactionDate,-2)),Table1[Date_Year],YEAR(EOMONTH(MonthlyBudgetNearestTransactionDate,-2)))*(-1)))</f>
        <v>0</v>
      </c>
      <c r="U48" s="214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Type],"Expense",Table1[Date_Month],MONTH(EOMONTH(MonthlyBudgetNearestTransactionDate,-3)),Table1[Date_Year],YEAR(EOMONTH(MonthlyBudgetNearestTransactionDate,-3)))*(-1)))</f>
        <v>0</v>
      </c>
      <c r="V48" s="212">
        <f ca="1">IF(OR(ISBLANK(MonthlyBudgetTable[[#This Row],[Category]]),MonthlyBudgetTable[[#This Row],[Category]]=""),0,(COUNTIF(MonthlyBudgetTable[[#This Row],[OneMonthAgoBudget]]:MonthlyBudgetTable[[#This Row],[ThreeMonthsAgoBudget]],"&lt;&gt;0")))</f>
        <v>1</v>
      </c>
      <c r="W48" s="212" t="str">
        <f>IF(AND(NOT(ISBLANK(MonthlyBudgetTable[[#This Row],[Category]])),NOT(ISBLANK(_xlfn.XLOOKUP(MonthlyBudgetTable[[#This Row],[Category]],CategoriesTable[Category name],CategoriesTable[ID],"")))),_xlfn.XLOOKUP(MonthlyBudgetTable[[#This Row],[Category]],CategoriesTable[Category name],CategoriesTable[ID],""),"")</f>
        <v>fb81ce070826aab24513c89fbfe939e9</v>
      </c>
    </row>
    <row r="49" spans="3:23">
      <c r="C49" s="215" t="s">
        <v>95</v>
      </c>
      <c r="D49" s="183"/>
      <c r="E49" s="183"/>
      <c r="F49" s="185">
        <f>IF(OR(ISBLANK(MonthlyBudgetTable[[#This Row],[Category]]),MonthlyBudgetTable[[#This Row],[Category]]=""),"",(SUMIFS(Table1[Amount $],Table1[Category Type],"Expense",Table1[Date_Month],MONTH(MonthlyBudgetDate),Table1[Date_Year],YEAR(MonthlyBudgetDate),Table1[Category],MonthlyBudgetTable[[#This Row],[Category]]))*(-1))</f>
        <v>0</v>
      </c>
      <c r="G49" s="183"/>
      <c r="H49" s="183"/>
      <c r="I49" s="183"/>
      <c r="J49" s="186">
        <v>166.67</v>
      </c>
      <c r="K49" s="183"/>
      <c r="L49" s="185">
        <f>IF(OR(ISBLANK(MonthlyBudgetTable[[#This Row],[Category]]),MonthlyBudgetTable[[#This Row],[Category]]=""),"",MonthlyBudgetTable[[#This Row],[Budget]]-MonthlyBudgetTable[[#This Row],[Spent]])</f>
        <v>166.67</v>
      </c>
      <c r="M49" s="183"/>
      <c r="N49" s="183"/>
      <c r="O49" s="183"/>
      <c r="P49" s="183"/>
      <c r="Q49" s="183"/>
      <c r="R49" s="212" t="s">
        <v>3464</v>
      </c>
      <c r="S49" s="213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Type],"Expense",Table1[Date_Month],MONTH(EOMONTH(MonthlyBudgetNearestTransactionDate,-1)),Table1[Date_Year],YEAR(EOMONTH(MonthlyBudgetNearestTransactionDate,-1)))*(-1)))</f>
        <v>150</v>
      </c>
      <c r="T49" s="214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Type],"Expense",Table1[Date_Month],MONTH(EOMONTH(MonthlyBudgetNearestTransactionDate,-2)),Table1[Date_Year],YEAR(EOMONTH(MonthlyBudgetNearestTransactionDate,-2)))*(-1)))</f>
        <v>0</v>
      </c>
      <c r="U49" s="214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Type],"Expense",Table1[Date_Month],MONTH(EOMONTH(MonthlyBudgetNearestTransactionDate,-3)),Table1[Date_Year],YEAR(EOMONTH(MonthlyBudgetNearestTransactionDate,-3)))*(-1)))</f>
        <v>0</v>
      </c>
      <c r="V49" s="223">
        <f ca="1">IF(OR(ISBLANK(MonthlyBudgetTable[[#This Row],[Category]]),MonthlyBudgetTable[[#This Row],[Category]]=""),0,(COUNTIF(MonthlyBudgetTable[[#This Row],[OneMonthAgoBudget]]:MonthlyBudgetTable[[#This Row],[ThreeMonthsAgoBudget]],"&lt;&gt;0")))</f>
        <v>1</v>
      </c>
      <c r="W49" s="223" t="str">
        <f>IF(AND(NOT(ISBLANK(MonthlyBudgetTable[[#This Row],[Category]])),NOT(ISBLANK(_xlfn.XLOOKUP(MonthlyBudgetTable[[#This Row],[Category]],CategoriesTable[Category name],CategoriesTable[ID],"")))),_xlfn.XLOOKUP(MonthlyBudgetTable[[#This Row],[Category]],CategoriesTable[Category name],CategoriesTable[ID],""),"")</f>
        <v>013119218f2e4bdd86aa9097992873f8</v>
      </c>
    </row>
    <row r="50" spans="3:23">
      <c r="C50" s="215" t="s">
        <v>97</v>
      </c>
      <c r="D50" s="183"/>
      <c r="E50" s="183"/>
      <c r="F50" s="185"/>
      <c r="G50" s="183"/>
      <c r="H50" s="183"/>
      <c r="I50" s="183"/>
      <c r="J50" s="186"/>
      <c r="K50" s="183"/>
      <c r="L50" s="185"/>
      <c r="M50" s="183"/>
      <c r="N50" s="183"/>
      <c r="O50" s="183"/>
      <c r="P50" s="183"/>
      <c r="Q50" s="183"/>
      <c r="R50" s="212" t="s">
        <v>3465</v>
      </c>
      <c r="S50" s="213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Type],"Expense",Table1[Date_Month],MONTH(EOMONTH(MonthlyBudgetNearestTransactionDate,-1)),Table1[Date_Year],YEAR(EOMONTH(MonthlyBudgetNearestTransactionDate,-1)))*(-1)))</f>
        <v>0</v>
      </c>
      <c r="T50" s="214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Type],"Expense",Table1[Date_Month],MONTH(EOMONTH(MonthlyBudgetNearestTransactionDate,-2)),Table1[Date_Year],YEAR(EOMONTH(MonthlyBudgetNearestTransactionDate,-2)))*(-1)))</f>
        <v>0</v>
      </c>
      <c r="U50" s="214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Type],"Expense",Table1[Date_Month],MONTH(EOMONTH(MonthlyBudgetNearestTransactionDate,-3)),Table1[Date_Year],YEAR(EOMONTH(MonthlyBudgetNearestTransactionDate,-3)))*(-1)))</f>
        <v>0</v>
      </c>
      <c r="V50" s="212">
        <f ca="1">IF(OR(ISBLANK(MonthlyBudgetTable[[#This Row],[Category]]),MonthlyBudgetTable[[#This Row],[Category]]=""),0,(COUNTIF(MonthlyBudgetTable[[#This Row],[OneMonthAgoBudget]]:MonthlyBudgetTable[[#This Row],[ThreeMonthsAgoBudget]],"&lt;&gt;0")))</f>
        <v>0</v>
      </c>
      <c r="W50" s="212" t="str">
        <f>IF(AND(NOT(ISBLANK(MonthlyBudgetTable[[#This Row],[Category]])),NOT(ISBLANK(_xlfn.XLOOKUP(MonthlyBudgetTable[[#This Row],[Category]],CategoriesTable[Category name],CategoriesTable[ID],"")))),_xlfn.XLOOKUP(MonthlyBudgetTable[[#This Row],[Category]],CategoriesTable[Category name],CategoriesTable[ID],""),"")</f>
        <v>23fe5da83519415dae0687f037d51b09</v>
      </c>
    </row>
    <row r="51" spans="3:23">
      <c r="C51" s="215" t="s">
        <v>99</v>
      </c>
      <c r="D51" s="183"/>
      <c r="E51" s="183"/>
      <c r="F51" s="185"/>
      <c r="G51" s="183"/>
      <c r="H51" s="183"/>
      <c r="I51" s="183"/>
      <c r="J51" s="186"/>
      <c r="K51" s="183"/>
      <c r="L51" s="185"/>
      <c r="M51" s="183"/>
      <c r="N51" s="183"/>
      <c r="O51" s="183"/>
      <c r="P51" s="183"/>
      <c r="Q51" s="183"/>
      <c r="R51" s="212" t="s">
        <v>3466</v>
      </c>
      <c r="S51" s="213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Type],"Expense",Table1[Date_Month],MONTH(EOMONTH(MonthlyBudgetNearestTransactionDate,-1)),Table1[Date_Year],YEAR(EOMONTH(MonthlyBudgetNearestTransactionDate,-1)))*(-1)))</f>
        <v>1455.6</v>
      </c>
      <c r="T51" s="214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Type],"Expense",Table1[Date_Month],MONTH(EOMONTH(MonthlyBudgetNearestTransactionDate,-2)),Table1[Date_Year],YEAR(EOMONTH(MonthlyBudgetNearestTransactionDate,-2)))*(-1)))</f>
        <v>0</v>
      </c>
      <c r="U51" s="214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Type],"Expense",Table1[Date_Month],MONTH(EOMONTH(MonthlyBudgetNearestTransactionDate,-3)),Table1[Date_Year],YEAR(EOMONTH(MonthlyBudgetNearestTransactionDate,-3)))*(-1)))</f>
        <v>0</v>
      </c>
      <c r="V51" s="212">
        <f ca="1">IF(OR(ISBLANK(MonthlyBudgetTable[[#This Row],[Category]]),MonthlyBudgetTable[[#This Row],[Category]]=""),0,(COUNTIF(MonthlyBudgetTable[[#This Row],[OneMonthAgoBudget]]:MonthlyBudgetTable[[#This Row],[ThreeMonthsAgoBudget]],"&lt;&gt;0")))</f>
        <v>1</v>
      </c>
      <c r="W51" s="212" t="str">
        <f>IF(AND(NOT(ISBLANK(MonthlyBudgetTable[[#This Row],[Category]])),NOT(ISBLANK(_xlfn.XLOOKUP(MonthlyBudgetTable[[#This Row],[Category]],CategoriesTable[Category name],CategoriesTable[ID],"")))),_xlfn.XLOOKUP(MonthlyBudgetTable[[#This Row],[Category]],CategoriesTable[Category name],CategoriesTable[ID],""),"")</f>
        <v>6385c1768b814d3d89087c436c9cab15</v>
      </c>
    </row>
    <row r="52" spans="3:23">
      <c r="C52" s="215" t="s">
        <v>122</v>
      </c>
      <c r="D52" s="183"/>
      <c r="E52" s="183"/>
      <c r="F52" s="185">
        <f>IF(OR(ISBLANK(MonthlyBudgetTable[[#This Row],[Category]]),MonthlyBudgetTable[[#This Row],[Category]]=""),"",(SUMIFS(Table1[Amount $],Table1[Category Type],"Expense",Table1[Date_Month],MONTH(MonthlyBudgetDate),Table1[Date_Year],YEAR(MonthlyBudgetDate),Table1[Category],MonthlyBudgetTable[[#This Row],[Category]]))*(-1))</f>
        <v>0</v>
      </c>
      <c r="G52" s="183"/>
      <c r="H52" s="183"/>
      <c r="I52" s="183"/>
      <c r="J52" s="186">
        <v>250</v>
      </c>
      <c r="K52" s="183"/>
      <c r="L52" s="185">
        <f>IF(OR(ISBLANK(MonthlyBudgetTable[[#This Row],[Category]]),MonthlyBudgetTable[[#This Row],[Category]]=""),"",MonthlyBudgetTable[[#This Row],[Budget]]-MonthlyBudgetTable[[#This Row],[Spent]])</f>
        <v>250</v>
      </c>
      <c r="M52" s="183"/>
      <c r="N52" s="183"/>
      <c r="O52" s="183"/>
      <c r="P52" s="183"/>
      <c r="Q52" s="183"/>
      <c r="R52" s="212" t="s">
        <v>3471</v>
      </c>
      <c r="S52" s="213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Type],"Expense",Table1[Date_Month],MONTH(EOMONTH(MonthlyBudgetNearestTransactionDate,-1)),Table1[Date_Year],YEAR(EOMONTH(MonthlyBudgetNearestTransactionDate,-1)))*(-1)))</f>
        <v>1164.98</v>
      </c>
      <c r="T52" s="214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Type],"Expense",Table1[Date_Month],MONTH(EOMONTH(MonthlyBudgetNearestTransactionDate,-2)),Table1[Date_Year],YEAR(EOMONTH(MonthlyBudgetNearestTransactionDate,-2)))*(-1)))</f>
        <v>0</v>
      </c>
      <c r="U52" s="214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Type],"Expense",Table1[Date_Month],MONTH(EOMONTH(MonthlyBudgetNearestTransactionDate,-3)),Table1[Date_Year],YEAR(EOMONTH(MonthlyBudgetNearestTransactionDate,-3)))*(-1)))</f>
        <v>0</v>
      </c>
      <c r="V52" s="212">
        <f ca="1">IF(OR(ISBLANK(MonthlyBudgetTable[[#This Row],[Category]]),MonthlyBudgetTable[[#This Row],[Category]]=""),0,(COUNTIF(MonthlyBudgetTable[[#This Row],[OneMonthAgoBudget]]:MonthlyBudgetTable[[#This Row],[ThreeMonthsAgoBudget]],"&lt;&gt;0")))</f>
        <v>1</v>
      </c>
      <c r="W52" s="212" t="str">
        <f>IF(AND(NOT(ISBLANK(MonthlyBudgetTable[[#This Row],[Category]])),NOT(ISBLANK(_xlfn.XLOOKUP(MonthlyBudgetTable[[#This Row],[Category]],CategoriesTable[Category name],CategoriesTable[ID],"")))),_xlfn.XLOOKUP(MonthlyBudgetTable[[#This Row],[Category]],CategoriesTable[Category name],CategoriesTable[ID],""),"")</f>
        <v>f9fd776a16da81a948d166fcd5952d14</v>
      </c>
    </row>
    <row r="53" spans="3:23">
      <c r="C53" s="215" t="s">
        <v>101</v>
      </c>
      <c r="D53" s="183"/>
      <c r="E53" s="183"/>
      <c r="F53" s="185">
        <f>IF(OR(ISBLANK(MonthlyBudgetTable[[#This Row],[Category]]),MonthlyBudgetTable[[#This Row],[Category]]=""),"",(SUMIFS(Table1[Amount $],Table1[Category Type],"Expense",Table1[Date_Month],MONTH(MonthlyBudgetDate),Table1[Date_Year],YEAR(MonthlyBudgetDate),Table1[Category],MonthlyBudgetTable[[#This Row],[Category]]))*(-1))</f>
        <v>0</v>
      </c>
      <c r="G53" s="183"/>
      <c r="H53" s="183"/>
      <c r="I53" s="183"/>
      <c r="J53" s="186">
        <v>0</v>
      </c>
      <c r="K53" s="183"/>
      <c r="L53" s="185">
        <f>IF(OR(ISBLANK(MonthlyBudgetTable[[#This Row],[Category]]),MonthlyBudgetTable[[#This Row],[Category]]=""),"",MonthlyBudgetTable[[#This Row],[Budget]]-MonthlyBudgetTable[[#This Row],[Spent]])</f>
        <v>0</v>
      </c>
      <c r="M53" s="183"/>
      <c r="N53" s="183"/>
      <c r="O53" s="183"/>
      <c r="P53" s="183"/>
      <c r="Q53" s="183"/>
      <c r="R53" s="212" t="s">
        <v>3460</v>
      </c>
      <c r="S53" s="213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Type],"Expense",Table1[Date_Month],MONTH(EOMONTH(MonthlyBudgetNearestTransactionDate,-1)),Table1[Date_Year],YEAR(EOMONTH(MonthlyBudgetNearestTransactionDate,-1)))*(-1)))</f>
        <v>0</v>
      </c>
      <c r="T53" s="214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Type],"Expense",Table1[Date_Month],MONTH(EOMONTH(MonthlyBudgetNearestTransactionDate,-2)),Table1[Date_Year],YEAR(EOMONTH(MonthlyBudgetNearestTransactionDate,-2)))*(-1)))</f>
        <v>0</v>
      </c>
      <c r="U53" s="214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Type],"Expense",Table1[Date_Month],MONTH(EOMONTH(MonthlyBudgetNearestTransactionDate,-3)),Table1[Date_Year],YEAR(EOMONTH(MonthlyBudgetNearestTransactionDate,-3)))*(-1)))</f>
        <v>0</v>
      </c>
      <c r="V53" s="223">
        <f ca="1">IF(OR(ISBLANK(MonthlyBudgetTable[[#This Row],[Category]]),MonthlyBudgetTable[[#This Row],[Category]]=""),0,(COUNTIF(MonthlyBudgetTable[[#This Row],[OneMonthAgoBudget]]:MonthlyBudgetTable[[#This Row],[ThreeMonthsAgoBudget]],"&lt;&gt;0")))</f>
        <v>0</v>
      </c>
      <c r="W53" s="223" t="str">
        <f>IF(AND(NOT(ISBLANK(MonthlyBudgetTable[[#This Row],[Category]])),NOT(ISBLANK(_xlfn.XLOOKUP(MonthlyBudgetTable[[#This Row],[Category]],CategoriesTable[Category name],CategoriesTable[ID],"")))),_xlfn.XLOOKUP(MonthlyBudgetTable[[#This Row],[Category]],CategoriesTable[Category name],CategoriesTable[ID],""),"")</f>
        <v>cc336735a5324e28bf4f3414f7548cf1</v>
      </c>
    </row>
    <row r="54" spans="3:23">
      <c r="C54" s="215" t="s">
        <v>104</v>
      </c>
      <c r="D54" s="183"/>
      <c r="E54" s="183"/>
      <c r="F54" s="185">
        <f>IF(OR(ISBLANK(MonthlyBudgetTable[[#This Row],[Category]]),MonthlyBudgetTable[[#This Row],[Category]]=""),"",(SUMIFS(Table1[Amount $],Table1[Category Type],"Expense",Table1[Date_Month],MONTH(MonthlyBudgetDate),Table1[Date_Year],YEAR(MonthlyBudgetDate),Table1[Category],MonthlyBudgetTable[[#This Row],[Category]]))*(-1))</f>
        <v>0</v>
      </c>
      <c r="G54" s="183"/>
      <c r="H54" s="183"/>
      <c r="I54" s="183"/>
      <c r="J54" s="186">
        <v>250</v>
      </c>
      <c r="K54" s="183"/>
      <c r="L54" s="185">
        <f>IF(OR(ISBLANK(MonthlyBudgetTable[[#This Row],[Category]]),MonthlyBudgetTable[[#This Row],[Category]]=""),"",MonthlyBudgetTable[[#This Row],[Budget]]-MonthlyBudgetTable[[#This Row],[Spent]])</f>
        <v>250</v>
      </c>
      <c r="M54" s="183"/>
      <c r="N54" s="183"/>
      <c r="O54" s="183"/>
      <c r="P54" s="183"/>
      <c r="Q54" s="183"/>
      <c r="R54" s="212" t="s">
        <v>3467</v>
      </c>
      <c r="S54" s="213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Type],"Expense",Table1[Date_Month],MONTH(EOMONTH(MonthlyBudgetNearestTransactionDate,-1)),Table1[Date_Year],YEAR(EOMONTH(MonthlyBudgetNearestTransactionDate,-1)))*(-1)))</f>
        <v>-1500</v>
      </c>
      <c r="T54" s="214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Type],"Expense",Table1[Date_Month],MONTH(EOMONTH(MonthlyBudgetNearestTransactionDate,-2)),Table1[Date_Year],YEAR(EOMONTH(MonthlyBudgetNearestTransactionDate,-2)))*(-1)))</f>
        <v>0</v>
      </c>
      <c r="U54" s="214">
        <f ca="1">IF(OR(ISBLANK(MonthlyBudgetTable[[#This Row],[Category]]),MonthlyBudgetTable[[#This Row],[Category]]=""),"",(SUMIFS(Table1[Amount $],Table1[Category],MonthlyBudgetTable[[#This Row],[Category]],Table1[Category Type],"Expense",Table1[Date_Month],MONTH(EOMONTH(MonthlyBudgetNearestTransactionDate,-3)),Table1[Date_Year],YEAR(EOMONTH(MonthlyBudgetNearestTransactionDate,-3)))*(-1)))</f>
        <v>0</v>
      </c>
      <c r="V54" s="223">
        <f ca="1">IF(OR(ISBLANK(MonthlyBudgetTable[[#This Row],[Category]]),MonthlyBudgetTable[[#This Row],[Category]]=""),0,(COUNTIF(MonthlyBudgetTable[[#This Row],[OneMonthAgoBudget]]:MonthlyBudgetTable[[#This Row],[ThreeMonthsAgoBudget]],"&lt;&gt;0")))</f>
        <v>1</v>
      </c>
      <c r="W54" s="223" t="str">
        <f>IF(AND(NOT(ISBLANK(MonthlyBudgetTable[[#This Row],[Category]])),NOT(ISBLANK(_xlfn.XLOOKUP(MonthlyBudgetTable[[#This Row],[Category]],CategoriesTable[Category name],CategoriesTable[ID],"")))),_xlfn.XLOOKUP(MonthlyBudgetTable[[#This Row],[Category]],CategoriesTable[Category name],CategoriesTable[ID],""),"")</f>
        <v>1c99e2ba30f14dbfb79dfa7d009e0924</v>
      </c>
    </row>
  </sheetData>
  <mergeCells count="19">
    <mergeCell ref="O3:X3"/>
    <mergeCell ref="B2:J2"/>
    <mergeCell ref="B3:J3"/>
    <mergeCell ref="O2:X2"/>
    <mergeCell ref="B4:X4"/>
    <mergeCell ref="D33:E33"/>
    <mergeCell ref="G33:I33"/>
    <mergeCell ref="M33:X33"/>
    <mergeCell ref="C8:F8"/>
    <mergeCell ref="J7:Q7"/>
    <mergeCell ref="J8:Q8"/>
    <mergeCell ref="C22:F22"/>
    <mergeCell ref="C23:F23"/>
    <mergeCell ref="C28:F28"/>
    <mergeCell ref="J22:Q22"/>
    <mergeCell ref="J23:Q23"/>
    <mergeCell ref="J25:K25"/>
    <mergeCell ref="O25:P25"/>
    <mergeCell ref="C7:F7"/>
  </mergeCells>
  <conditionalFormatting sqref="C36:C54">
    <cfRule type="expression" dxfId="12" priority="1">
      <formula>AND(NOT(ISNUMBER(MATCH(INDIRECT("RC", FALSE),HiddenCategoriesCategoryNames,0))), NOT(ISBLANK(INDIRECT("RC", FALSE))))</formula>
    </cfRule>
  </conditionalFormatting>
  <conditionalFormatting sqref="F36:F54 J36:J54">
    <cfRule type="expression" dxfId="11" priority="2">
      <formula>INDIRECT("RC", FALSE) &lt; 0</formula>
    </cfRule>
  </conditionalFormatting>
  <conditionalFormatting sqref="L36:L54">
    <cfRule type="expression" dxfId="10" priority="4">
      <formula>ROUND(INDIRECT("RC", FALSE), 2) &lt; 0</formula>
    </cfRule>
  </conditionalFormatting>
  <conditionalFormatting sqref="L33">
    <cfRule type="expression" dxfId="9" priority="5">
      <formula>ROUND(INDIRECT("RC", FALSE), 2) &lt; 0</formula>
    </cfRule>
  </conditionalFormatting>
  <conditionalFormatting sqref="F25">
    <cfRule type="expression" dxfId="8" priority="6">
      <formula>MonthlyBudgetTotalRemaining&lt;0</formula>
    </cfRule>
  </conditionalFormatting>
  <conditionalFormatting sqref="L25">
    <cfRule type="expression" dxfId="7" priority="7">
      <formula>ISNUMBER(SEARCH("over",L25))</formula>
    </cfRule>
  </conditionalFormatting>
  <conditionalFormatting sqref="Q25">
    <cfRule type="expression" dxfId="6" priority="8">
      <formula>ISNUMBER(SEARCH("over",Q25))</formula>
    </cfRule>
  </conditionalFormatting>
  <dataValidations count="8">
    <dataValidation allowBlank="1" showInputMessage="1" showErrorMessage="1" promptTitle="Income" prompt="Add monthly income" sqref="F13" xr:uid="{DAF6FAC5-1D31-4E26-92D0-651C2BD88CA1}"/>
    <dataValidation type="list" allowBlank="1" showInputMessage="1" showErrorMessage="1" promptTitle="Category budget" prompt="Select a category from the list" sqref="J25:K25 O25:P25" xr:uid="{F4AA80CA-764F-45AD-9989-DBD2F2BB8291}">
      <formula1>MonthlyBudgetUsedCategoryNames</formula1>
    </dataValidation>
    <dataValidation type="list" allowBlank="1" showInputMessage="1" showErrorMessage="1" promptTitle="Category" prompt="Select a category from the list" sqref="C50:C52" xr:uid="{15326248-03A0-4DE0-A30B-A06B280A9823}">
      <formula1>MonthlyBudgetValidCategoryNames</formula1>
    </dataValidation>
    <dataValidation allowBlank="1" showInputMessage="1" showErrorMessage="1" promptTitle="Spent" prompt="Spent value will update automatically" sqref="F50:F52" xr:uid="{9300BF06-EF48-4F3F-9C9C-4BBA80D2E3F3}"/>
    <dataValidation allowBlank="1" showInputMessage="1" showErrorMessage="1" promptTitle="Budget" prompt="Edit the budget value" sqref="J50:J52" xr:uid="{E820E0FA-5F89-4C24-B912-7F7E3B49A9C5}"/>
    <dataValidation allowBlank="1" showInputMessage="1" showErrorMessage="1" promptTitle="Remaining" prompt="Remaining value will update automatically" sqref="L50:L52" xr:uid="{BB03463A-374E-4A45-A392-DDEAEFE4329E}"/>
    <dataValidation type="list" allowBlank="1" showInputMessage="1" showErrorMessage="1" sqref="C53:C54" xr:uid="{C22397DC-D09C-4EA3-A737-044F8E037E12}">
      <formula1>MonthlyBudgetValidCategoryNames</formula1>
    </dataValidation>
    <dataValidation type="list" allowBlank="1" showInputMessage="1" showErrorMessage="1" promptTitle="Month selection" prompt="Select a month from the list" sqref="O3:X3" xr:uid="{0807CFBB-C440-479E-9F5C-E364E1BB959E}">
      <formula1>MonthlyBudgetAvailableDates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TM77948210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47</vt:i4>
      </vt:variant>
    </vt:vector>
  </HeadingPairs>
  <TitlesOfParts>
    <vt:vector size="55" baseType="lpstr">
      <vt:lpstr>Income</vt:lpstr>
      <vt:lpstr>Snapshot</vt:lpstr>
      <vt:lpstr>Transactions</vt:lpstr>
      <vt:lpstr>Categories</vt:lpstr>
      <vt:lpstr>HiddenCategories</vt:lpstr>
      <vt:lpstr>Institutions</vt:lpstr>
      <vt:lpstr>MonthlyBudgetHidden</vt:lpstr>
      <vt:lpstr>MonthlyBudget</vt:lpstr>
      <vt:lpstr>CategoryIdentifiers</vt:lpstr>
      <vt:lpstr>CategoryNames</vt:lpstr>
      <vt:lpstr>HiddenCategoriesSubcategoryNames</vt:lpstr>
      <vt:lpstr>HiddenCategoriesSubcategoryNamesRows</vt:lpstr>
      <vt:lpstr>MonthlyBudgetAvailableDateValues</vt:lpstr>
      <vt:lpstr>MonthlyBudgetHidden!MonthlyBudgetCurrentDate</vt:lpstr>
      <vt:lpstr>MonthlyBudget!MonthlyBudgetDate</vt:lpstr>
      <vt:lpstr>MonthlyBudgetHidden!MonthlyBudgetDates</vt:lpstr>
      <vt:lpstr>MonthlyBudget!MonthlyBudgetFavoriteCategory1</vt:lpstr>
      <vt:lpstr>MonthlyBudget!MonthlyBudgetFavoriteCategory1BudgetPercentage</vt:lpstr>
      <vt:lpstr>MonthlyBudget!MonthlyBudgetFavoriteCategory1DetailsText</vt:lpstr>
      <vt:lpstr>MonthlyBudget!MonthlyBudgetFavoriteCategory1LeftText</vt:lpstr>
      <vt:lpstr>MonthlyBudget!MonthlyBudgetFavoriteCategory1Percentages</vt:lpstr>
      <vt:lpstr>MonthlyBudget!MonthlyBudgetFavoriteCategory1RemainingPercentage</vt:lpstr>
      <vt:lpstr>MonthlyBudget!MonthlyBudgetFavoriteCategory1SpentPercentage</vt:lpstr>
      <vt:lpstr>MonthlyBudget!MonthlyBudgetFavoriteCategory2</vt:lpstr>
      <vt:lpstr>MonthlyBudget!MonthlyBudgetFavoriteCategory2BudgetPercentage</vt:lpstr>
      <vt:lpstr>MonthlyBudget!MonthlyBudgetFavoriteCategory2DetailsText</vt:lpstr>
      <vt:lpstr>MonthlyBudget!MonthlyBudgetFavoriteCategory2LeftText</vt:lpstr>
      <vt:lpstr>MonthlyBudget!MonthlyBudgetFavoriteCategory2Percentages</vt:lpstr>
      <vt:lpstr>MonthlyBudget!MonthlyBudgetFavoriteCategory2RemainingPercentage</vt:lpstr>
      <vt:lpstr>MonthlyBudget!MonthlyBudgetFavoriteCategory2SpentPercentage</vt:lpstr>
      <vt:lpstr>MonthlyBudget!MonthlyBudgetIncomeVsSpendingDescriptionText</vt:lpstr>
      <vt:lpstr>MonthlyBudgetNearestTransactionDate</vt:lpstr>
      <vt:lpstr>MonthlyBudget!MonthlyBudgetSpendingOverTime</vt:lpstr>
      <vt:lpstr>MonthlyBudget!MonthlyBudgetSpendingOverTimeDescriptionText</vt:lpstr>
      <vt:lpstr>MonthlyBudgetHidden!MonthlyBudgetTextDates</vt:lpstr>
      <vt:lpstr>MonthlyBudget!MonthlyBudgetTitle</vt:lpstr>
      <vt:lpstr>MonthlyBudget!MonthlyBudgetTotalBudget</vt:lpstr>
      <vt:lpstr>MonthlyBudget!MonthlyBudgetTotalBudgetDescriptionText</vt:lpstr>
      <vt:lpstr>MonthlyBudget!MonthlyBudgetTotalBudgetDetailsText</vt:lpstr>
      <vt:lpstr>MonthlyBudget!MonthlyBudgetTotalBudgetLeftText</vt:lpstr>
      <vt:lpstr>MonthlyBudget!MonthlyBudgetTotalBudgetPercentage</vt:lpstr>
      <vt:lpstr>MonthlyBudget!MonthlyBudgetTotalExpenses</vt:lpstr>
      <vt:lpstr>MonthlyBudget!MonthlyBudgetTotalIncome</vt:lpstr>
      <vt:lpstr>MonthlyBudget!MonthlyBudgetTotalPercentages</vt:lpstr>
      <vt:lpstr>MonthlyBudget!MonthlyBudgetTotalRemaining</vt:lpstr>
      <vt:lpstr>MonthlyBudget!MonthlyBudgetTotalRemainingPercentage</vt:lpstr>
      <vt:lpstr>MonthlyBudget!MonthlyBudgetTotalSpent</vt:lpstr>
      <vt:lpstr>MonthlyBudget!MonthlyBudgetTotalSpentPercentage</vt:lpstr>
      <vt:lpstr>MonthlyBudgetHidden!MonthlyBudgetTransactionDates</vt:lpstr>
      <vt:lpstr>MonthlyBudgetHidden!MonthlyBudgetUnusedCategories</vt:lpstr>
      <vt:lpstr>MonthlyBudgetHidden!MonthlyBudgetUnusedFilteredCategories</vt:lpstr>
      <vt:lpstr>MonthlyBudgetHidden!MonthlyBudgetUsedCategories</vt:lpstr>
      <vt:lpstr>MonthlyBudgetHidden!MonthlyBudgetValidCategories</vt:lpstr>
      <vt:lpstr>snapshot_month</vt:lpstr>
      <vt:lpstr>SubcategoryNames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2020-06-12T20:59:23Z</dcterms:created>
  <dcterms:modified xsi:type="dcterms:W3CDTF">2022-01-06T16:24:29Z</dcterms:modified>
  <cp:category/>
  <cp:contentStatus/>
</cp:coreProperties>
</file>